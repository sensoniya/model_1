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KiNESYS_29R_Jan2025\SubRes_Tmpl\"/>
    </mc:Choice>
  </mc:AlternateContent>
  <xr:revisionPtr revIDLastSave="0" documentId="13_ncr:1_{EFD31AF0-E139-4CCC-B5EC-C68F2D0A1B0F}" xr6:coauthVersionLast="47" xr6:coauthVersionMax="47" xr10:uidLastSave="{00000000-0000-0000-0000-000000000000}"/>
  <bookViews>
    <workbookView xWindow="-98" yWindow="-98" windowWidth="28996" windowHeight="17475" activeTab="8" xr2:uid="{00000000-000D-0000-FFFF-FFFF00000000}"/>
  </bookViews>
  <sheets>
    <sheet name="ELC_GridExt" sheetId="19" r:id="rId1"/>
    <sheet name="Hydro Methodology" sheetId="12" r:id="rId2"/>
    <sheet name="Hydro" sheetId="15" r:id="rId3"/>
    <sheet name="SupplyCurves_Low" sheetId="13" r:id="rId4"/>
    <sheet name="SupplyCurves_High" sheetId="14" r:id="rId5"/>
    <sheet name="spv" sheetId="20" r:id="rId6"/>
    <sheet name="won" sheetId="21" r:id="rId7"/>
    <sheet name="wof" sheetId="22" r:id="rId8"/>
    <sheet name="LNG Terminals" sheetId="2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8" i="15" l="1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F208" i="15"/>
  <c r="E208" i="15"/>
  <c r="B208" i="15"/>
  <c r="F207" i="15"/>
  <c r="E207" i="15"/>
  <c r="B207" i="15"/>
  <c r="F206" i="15"/>
  <c r="E206" i="15"/>
  <c r="B206" i="15"/>
  <c r="F205" i="15"/>
  <c r="E205" i="15"/>
  <c r="B205" i="15"/>
  <c r="F204" i="15"/>
  <c r="E204" i="15"/>
  <c r="B204" i="15"/>
  <c r="F203" i="15"/>
  <c r="E203" i="15"/>
  <c r="B203" i="15"/>
  <c r="F202" i="15"/>
  <c r="E202" i="15"/>
  <c r="B202" i="15"/>
  <c r="F201" i="15"/>
  <c r="E201" i="15"/>
  <c r="B201" i="15"/>
  <c r="F200" i="15"/>
  <c r="E200" i="15"/>
  <c r="B200" i="15"/>
  <c r="F199" i="15"/>
  <c r="E199" i="15"/>
  <c r="B199" i="15"/>
  <c r="F198" i="15"/>
  <c r="E198" i="15"/>
  <c r="B198" i="15"/>
  <c r="F197" i="15"/>
  <c r="E197" i="15"/>
  <c r="B197" i="15"/>
  <c r="F196" i="15"/>
  <c r="E196" i="15"/>
  <c r="B196" i="15"/>
  <c r="F195" i="15"/>
  <c r="E195" i="15"/>
  <c r="B195" i="15"/>
  <c r="F194" i="15"/>
  <c r="E194" i="15"/>
  <c r="B194" i="15"/>
  <c r="F193" i="15"/>
  <c r="E193" i="15"/>
  <c r="B193" i="15"/>
  <c r="F192" i="15"/>
  <c r="E192" i="15"/>
  <c r="B192" i="15"/>
  <c r="F191" i="15"/>
  <c r="E191" i="15"/>
  <c r="B191" i="15"/>
  <c r="F190" i="15"/>
  <c r="E190" i="15"/>
  <c r="B190" i="15"/>
  <c r="F189" i="15"/>
  <c r="E189" i="15"/>
  <c r="B189" i="15"/>
  <c r="F188" i="15"/>
  <c r="E188" i="15"/>
  <c r="B188" i="15"/>
  <c r="F187" i="15"/>
  <c r="E187" i="15"/>
  <c r="B187" i="15"/>
  <c r="F186" i="15"/>
  <c r="E186" i="15"/>
  <c r="B186" i="15"/>
  <c r="F185" i="15"/>
  <c r="E185" i="15"/>
  <c r="B185" i="15"/>
  <c r="F184" i="15"/>
  <c r="E184" i="15"/>
  <c r="B184" i="15"/>
  <c r="F183" i="15"/>
  <c r="E183" i="15"/>
  <c r="B183" i="15"/>
  <c r="F182" i="15"/>
  <c r="E182" i="15"/>
  <c r="B182" i="15"/>
  <c r="F181" i="15"/>
  <c r="E181" i="15"/>
  <c r="B181" i="15"/>
  <c r="F180" i="15"/>
  <c r="E180" i="15"/>
  <c r="B180" i="15"/>
  <c r="F179" i="15"/>
  <c r="E179" i="15"/>
  <c r="B179" i="15"/>
  <c r="F178" i="15"/>
  <c r="E178" i="15"/>
  <c r="B178" i="15"/>
  <c r="F177" i="15"/>
  <c r="E177" i="15"/>
  <c r="B177" i="15"/>
  <c r="F176" i="15"/>
  <c r="E176" i="15"/>
  <c r="B176" i="15"/>
  <c r="F175" i="15"/>
  <c r="E175" i="15"/>
  <c r="B175" i="15"/>
  <c r="F174" i="15"/>
  <c r="E174" i="15"/>
  <c r="B174" i="15"/>
  <c r="F173" i="15"/>
  <c r="E173" i="15"/>
  <c r="B173" i="15"/>
  <c r="F172" i="15"/>
  <c r="E172" i="15"/>
  <c r="B172" i="15"/>
  <c r="F171" i="15"/>
  <c r="E171" i="15"/>
  <c r="B171" i="15"/>
  <c r="F170" i="15"/>
  <c r="E170" i="15"/>
  <c r="B170" i="15"/>
  <c r="F169" i="15"/>
  <c r="E169" i="15"/>
  <c r="B169" i="15"/>
  <c r="F168" i="15"/>
  <c r="E168" i="15"/>
  <c r="B168" i="15"/>
  <c r="F167" i="15"/>
  <c r="E167" i="15"/>
  <c r="B167" i="15"/>
  <c r="F166" i="15"/>
  <c r="E166" i="15"/>
  <c r="B166" i="15"/>
  <c r="F165" i="15"/>
  <c r="E165" i="15"/>
  <c r="B165" i="15"/>
  <c r="F164" i="15"/>
  <c r="E164" i="15"/>
  <c r="B164" i="15"/>
  <c r="F163" i="15"/>
  <c r="E163" i="15"/>
  <c r="B163" i="15"/>
  <c r="F162" i="15"/>
  <c r="E162" i="15"/>
  <c r="B162" i="15"/>
  <c r="F161" i="15"/>
  <c r="E161" i="15"/>
  <c r="B161" i="15"/>
  <c r="F160" i="15"/>
  <c r="E160" i="15"/>
  <c r="B160" i="15"/>
  <c r="F159" i="15"/>
  <c r="E159" i="15"/>
  <c r="B159" i="15"/>
  <c r="F158" i="15"/>
  <c r="E158" i="15"/>
  <c r="B158" i="15"/>
  <c r="F157" i="15"/>
  <c r="E157" i="15"/>
  <c r="B157" i="15"/>
  <c r="F156" i="15"/>
  <c r="E156" i="15"/>
  <c r="B156" i="15"/>
  <c r="F155" i="15"/>
  <c r="E155" i="15"/>
  <c r="B155" i="15"/>
  <c r="F154" i="15"/>
  <c r="E154" i="15"/>
  <c r="B154" i="15"/>
  <c r="F153" i="15"/>
  <c r="E153" i="15"/>
  <c r="B153" i="15"/>
  <c r="F152" i="15"/>
  <c r="E152" i="15"/>
  <c r="B152" i="15"/>
  <c r="F151" i="15"/>
  <c r="E151" i="15"/>
  <c r="B151" i="15"/>
  <c r="F150" i="15"/>
  <c r="E150" i="15"/>
  <c r="B150" i="15"/>
  <c r="F149" i="15"/>
  <c r="E149" i="15"/>
  <c r="B149" i="15"/>
  <c r="F148" i="15"/>
  <c r="E148" i="15"/>
  <c r="B148" i="15"/>
  <c r="F147" i="15"/>
  <c r="E147" i="15"/>
  <c r="B147" i="15"/>
  <c r="F146" i="15"/>
  <c r="E146" i="15"/>
  <c r="B146" i="15"/>
  <c r="F145" i="15"/>
  <c r="E145" i="15"/>
  <c r="B145" i="15"/>
  <c r="F144" i="15"/>
  <c r="E144" i="15"/>
  <c r="B144" i="15"/>
  <c r="F143" i="15"/>
  <c r="E143" i="15"/>
  <c r="B143" i="15"/>
  <c r="F142" i="15"/>
  <c r="E142" i="15"/>
  <c r="B142" i="15"/>
  <c r="F141" i="15"/>
  <c r="E141" i="15"/>
  <c r="B141" i="15"/>
  <c r="F140" i="15"/>
  <c r="E140" i="15"/>
  <c r="B140" i="15"/>
  <c r="F139" i="15"/>
  <c r="E139" i="15"/>
  <c r="B139" i="15"/>
  <c r="F138" i="15"/>
  <c r="E138" i="15"/>
  <c r="B138" i="15"/>
  <c r="F137" i="15"/>
  <c r="E137" i="15"/>
  <c r="B137" i="15"/>
  <c r="F136" i="15"/>
  <c r="E136" i="15"/>
  <c r="B136" i="15"/>
  <c r="F135" i="15"/>
  <c r="E135" i="15"/>
  <c r="B135" i="15"/>
  <c r="F134" i="15"/>
  <c r="E134" i="15"/>
  <c r="B134" i="15"/>
  <c r="F133" i="15"/>
  <c r="E133" i="15"/>
  <c r="B133" i="15"/>
  <c r="F132" i="15"/>
  <c r="E132" i="15"/>
  <c r="B132" i="15"/>
  <c r="F131" i="15"/>
  <c r="E131" i="15"/>
  <c r="B131" i="15"/>
  <c r="F130" i="15"/>
  <c r="E130" i="15"/>
  <c r="B130" i="15"/>
  <c r="F129" i="15"/>
  <c r="E129" i="15"/>
  <c r="B129" i="15"/>
  <c r="F128" i="15"/>
  <c r="E128" i="15"/>
  <c r="B128" i="15"/>
  <c r="F127" i="15"/>
  <c r="E127" i="15"/>
  <c r="B127" i="15"/>
  <c r="F126" i="15"/>
  <c r="E126" i="15"/>
  <c r="B126" i="15"/>
  <c r="F125" i="15"/>
  <c r="E125" i="15"/>
  <c r="B125" i="15"/>
  <c r="F124" i="15"/>
  <c r="E124" i="15"/>
  <c r="B124" i="15"/>
  <c r="F123" i="15"/>
  <c r="E123" i="15"/>
  <c r="B123" i="15"/>
  <c r="F122" i="15"/>
  <c r="E122" i="15"/>
  <c r="B122" i="15"/>
  <c r="F121" i="15"/>
  <c r="E121" i="15"/>
  <c r="B121" i="15"/>
  <c r="F120" i="15"/>
  <c r="E120" i="15"/>
  <c r="B120" i="15"/>
  <c r="F119" i="15"/>
  <c r="E119" i="15"/>
  <c r="B119" i="15"/>
  <c r="F118" i="15"/>
  <c r="E118" i="15"/>
  <c r="B118" i="15"/>
  <c r="F117" i="15"/>
  <c r="E117" i="15"/>
  <c r="B117" i="15"/>
  <c r="F116" i="15"/>
  <c r="E116" i="15"/>
  <c r="B116" i="15"/>
  <c r="F115" i="15"/>
  <c r="E115" i="15"/>
  <c r="B115" i="15"/>
  <c r="F114" i="15"/>
  <c r="E114" i="15"/>
  <c r="B114" i="15"/>
  <c r="F113" i="15"/>
  <c r="E113" i="15"/>
  <c r="B113" i="15"/>
  <c r="F112" i="15"/>
  <c r="E112" i="15"/>
  <c r="B112" i="15"/>
  <c r="F111" i="15"/>
  <c r="E111" i="15"/>
  <c r="B111" i="15"/>
  <c r="F110" i="15"/>
  <c r="E110" i="15"/>
  <c r="B110" i="15"/>
  <c r="F109" i="15"/>
  <c r="E109" i="15"/>
  <c r="B109" i="15"/>
  <c r="F108" i="15"/>
  <c r="E108" i="15"/>
  <c r="B108" i="15"/>
  <c r="F107" i="15"/>
  <c r="E107" i="15"/>
  <c r="B107" i="15"/>
  <c r="F106" i="15"/>
  <c r="E106" i="15"/>
  <c r="B106" i="15"/>
  <c r="F105" i="15"/>
  <c r="E105" i="15"/>
  <c r="B105" i="15"/>
  <c r="F104" i="15"/>
  <c r="E104" i="15"/>
  <c r="B104" i="15"/>
  <c r="F103" i="15"/>
  <c r="E103" i="15"/>
  <c r="B103" i="15"/>
  <c r="F102" i="15"/>
  <c r="E102" i="15"/>
  <c r="B102" i="15"/>
  <c r="F101" i="15"/>
  <c r="E101" i="15"/>
  <c r="B101" i="15"/>
  <c r="F100" i="15"/>
  <c r="E100" i="15"/>
  <c r="B100" i="15"/>
  <c r="F99" i="15"/>
  <c r="E99" i="15"/>
  <c r="B99" i="15"/>
  <c r="F98" i="15"/>
  <c r="E98" i="15"/>
  <c r="B98" i="15"/>
  <c r="F97" i="15"/>
  <c r="E97" i="15"/>
  <c r="B97" i="15"/>
  <c r="F96" i="15"/>
  <c r="E96" i="15"/>
  <c r="B96" i="15"/>
  <c r="F95" i="15"/>
  <c r="E95" i="15"/>
  <c r="B95" i="15"/>
  <c r="F94" i="15"/>
  <c r="E94" i="15"/>
  <c r="B94" i="15"/>
  <c r="F93" i="15"/>
  <c r="E93" i="15"/>
  <c r="B93" i="15"/>
  <c r="F92" i="15"/>
  <c r="E92" i="15"/>
  <c r="B92" i="15"/>
  <c r="F91" i="15"/>
  <c r="E91" i="15"/>
  <c r="B91" i="15"/>
  <c r="F90" i="15"/>
  <c r="E90" i="15"/>
  <c r="B90" i="15"/>
  <c r="F89" i="15"/>
  <c r="E89" i="15"/>
  <c r="B89" i="15"/>
  <c r="F88" i="15"/>
  <c r="E88" i="15"/>
  <c r="B88" i="15"/>
  <c r="F87" i="15"/>
  <c r="E87" i="15"/>
  <c r="B87" i="15"/>
  <c r="F86" i="15"/>
  <c r="E86" i="15"/>
  <c r="B86" i="15"/>
  <c r="F85" i="15"/>
  <c r="E85" i="15"/>
  <c r="B85" i="15"/>
  <c r="F84" i="15"/>
  <c r="E84" i="15"/>
  <c r="B84" i="15"/>
  <c r="F83" i="15"/>
  <c r="E83" i="15"/>
  <c r="B83" i="15"/>
  <c r="F82" i="15"/>
  <c r="E82" i="15"/>
  <c r="B82" i="15"/>
  <c r="F81" i="15"/>
  <c r="E81" i="15"/>
  <c r="B81" i="15"/>
  <c r="F80" i="15"/>
  <c r="E80" i="15"/>
  <c r="B80" i="15"/>
  <c r="F79" i="15"/>
  <c r="E79" i="15"/>
  <c r="B79" i="15"/>
  <c r="F78" i="15"/>
  <c r="E78" i="15"/>
  <c r="B78" i="15"/>
  <c r="F77" i="15"/>
  <c r="E77" i="15"/>
  <c r="B77" i="15"/>
  <c r="F76" i="15"/>
  <c r="E76" i="15"/>
  <c r="B76" i="15"/>
  <c r="F75" i="15"/>
  <c r="E75" i="15"/>
  <c r="B75" i="15"/>
  <c r="F74" i="15"/>
  <c r="E74" i="15"/>
  <c r="B74" i="15"/>
  <c r="F73" i="15"/>
  <c r="E73" i="15"/>
  <c r="B73" i="15"/>
  <c r="F72" i="15"/>
  <c r="E72" i="15"/>
  <c r="B72" i="15"/>
  <c r="F71" i="15"/>
  <c r="E71" i="15"/>
  <c r="B71" i="15"/>
  <c r="F70" i="15"/>
  <c r="E70" i="15"/>
  <c r="B70" i="15"/>
  <c r="F69" i="15"/>
  <c r="E69" i="15"/>
  <c r="B69" i="15"/>
  <c r="F68" i="15"/>
  <c r="E68" i="15"/>
  <c r="B68" i="15"/>
  <c r="F67" i="15"/>
  <c r="E67" i="15"/>
  <c r="B67" i="15"/>
  <c r="F66" i="15"/>
  <c r="E66" i="15"/>
  <c r="B66" i="15"/>
  <c r="F65" i="15"/>
  <c r="E65" i="15"/>
  <c r="B65" i="15"/>
  <c r="F64" i="15"/>
  <c r="E64" i="15"/>
  <c r="B64" i="15"/>
  <c r="F63" i="15"/>
  <c r="E63" i="15"/>
  <c r="B63" i="15"/>
  <c r="F62" i="15"/>
  <c r="E62" i="15"/>
  <c r="B62" i="15"/>
  <c r="F61" i="15"/>
  <c r="E61" i="15"/>
  <c r="B61" i="15"/>
  <c r="F60" i="15"/>
  <c r="E60" i="15"/>
  <c r="B60" i="15"/>
  <c r="F59" i="15"/>
  <c r="E59" i="15"/>
  <c r="B59" i="15"/>
  <c r="F58" i="15"/>
  <c r="E58" i="15"/>
  <c r="B58" i="15"/>
  <c r="F57" i="15"/>
  <c r="E57" i="15"/>
  <c r="B57" i="15"/>
  <c r="F56" i="15"/>
  <c r="E56" i="15"/>
  <c r="B56" i="15"/>
  <c r="F55" i="15"/>
  <c r="E55" i="15"/>
  <c r="B55" i="15"/>
  <c r="F54" i="15"/>
  <c r="E54" i="15"/>
  <c r="B54" i="15"/>
  <c r="F53" i="15"/>
  <c r="E53" i="15"/>
  <c r="B53" i="15"/>
  <c r="F52" i="15"/>
  <c r="E52" i="15"/>
  <c r="B52" i="15"/>
  <c r="F51" i="15"/>
  <c r="E51" i="15"/>
  <c r="B51" i="15"/>
  <c r="F50" i="15"/>
  <c r="E50" i="15"/>
  <c r="B50" i="15"/>
  <c r="F49" i="15"/>
  <c r="E49" i="15"/>
  <c r="B49" i="15"/>
  <c r="F48" i="15"/>
  <c r="E48" i="15"/>
  <c r="B48" i="15"/>
  <c r="F47" i="15"/>
  <c r="E47" i="15"/>
  <c r="B47" i="15"/>
  <c r="F46" i="15"/>
  <c r="E46" i="15"/>
  <c r="B46" i="15"/>
  <c r="F45" i="15"/>
  <c r="E45" i="15"/>
  <c r="B45" i="15"/>
  <c r="F44" i="15"/>
  <c r="E44" i="15"/>
  <c r="B44" i="15"/>
  <c r="F43" i="15"/>
  <c r="E43" i="15"/>
  <c r="B43" i="15"/>
  <c r="F42" i="15"/>
  <c r="E42" i="15"/>
  <c r="B42" i="15"/>
  <c r="F41" i="15"/>
  <c r="E41" i="15"/>
  <c r="B41" i="15"/>
  <c r="F40" i="15"/>
  <c r="E40" i="15"/>
  <c r="B40" i="15"/>
  <c r="F39" i="15"/>
  <c r="E39" i="15"/>
  <c r="B39" i="15"/>
  <c r="F38" i="15"/>
  <c r="E38" i="15"/>
  <c r="B38" i="15"/>
  <c r="F37" i="15"/>
  <c r="E37" i="15"/>
  <c r="B37" i="15"/>
  <c r="F36" i="15"/>
  <c r="E36" i="15"/>
  <c r="B36" i="15"/>
  <c r="F35" i="15"/>
  <c r="E35" i="15"/>
  <c r="B35" i="15"/>
  <c r="F34" i="15"/>
  <c r="E34" i="15"/>
  <c r="B34" i="15"/>
  <c r="F33" i="15"/>
  <c r="E33" i="15"/>
  <c r="B33" i="15"/>
  <c r="F32" i="15"/>
  <c r="E32" i="15"/>
  <c r="B32" i="15"/>
  <c r="F31" i="15"/>
  <c r="E31" i="15"/>
  <c r="B31" i="15"/>
  <c r="F30" i="15"/>
  <c r="E30" i="15"/>
  <c r="B30" i="15"/>
  <c r="F29" i="15"/>
  <c r="E29" i="15"/>
  <c r="B29" i="15"/>
  <c r="F28" i="15"/>
  <c r="E28" i="15"/>
  <c r="B28" i="15"/>
  <c r="F27" i="15"/>
  <c r="E27" i="15"/>
  <c r="B27" i="15"/>
  <c r="F26" i="15"/>
  <c r="E26" i="15"/>
  <c r="B26" i="15"/>
  <c r="F25" i="15"/>
  <c r="E25" i="15"/>
  <c r="B25" i="15"/>
  <c r="F24" i="15"/>
  <c r="E24" i="15"/>
  <c r="B24" i="15"/>
  <c r="F23" i="15"/>
  <c r="E23" i="15"/>
  <c r="B23" i="15"/>
  <c r="F22" i="15"/>
  <c r="E22" i="15"/>
  <c r="B22" i="15"/>
  <c r="F21" i="15"/>
  <c r="E21" i="15"/>
  <c r="B21" i="15"/>
  <c r="F20" i="15"/>
  <c r="E20" i="15"/>
  <c r="B20" i="15"/>
  <c r="F19" i="15"/>
  <c r="E19" i="15"/>
  <c r="B19" i="15"/>
  <c r="F18" i="15"/>
  <c r="E18" i="15"/>
  <c r="B18" i="15"/>
  <c r="F17" i="15"/>
  <c r="E17" i="15"/>
  <c r="B17" i="15"/>
  <c r="F16" i="15"/>
  <c r="E16" i="15"/>
  <c r="B16" i="15"/>
  <c r="F15" i="15"/>
  <c r="E15" i="15"/>
  <c r="B15" i="15"/>
  <c r="F14" i="15"/>
  <c r="E14" i="15"/>
  <c r="B14" i="15"/>
  <c r="F13" i="15"/>
  <c r="E13" i="15"/>
  <c r="B13" i="15"/>
  <c r="F12" i="15"/>
  <c r="E12" i="15"/>
  <c r="B12" i="15"/>
  <c r="F11" i="15"/>
  <c r="E11" i="15"/>
  <c r="B11" i="15"/>
  <c r="F10" i="15"/>
  <c r="E10" i="15"/>
  <c r="B10" i="15"/>
  <c r="F9" i="15"/>
  <c r="E9" i="15"/>
  <c r="B9" i="15"/>
  <c r="F8" i="15"/>
  <c r="E8" i="15"/>
  <c r="B8" i="15"/>
  <c r="F7" i="15"/>
  <c r="E7" i="15"/>
  <c r="B7" i="15"/>
  <c r="F6" i="15"/>
  <c r="E6" i="15"/>
  <c r="B6" i="15"/>
  <c r="F5" i="15"/>
  <c r="E5" i="15"/>
  <c r="B5" i="15"/>
  <c r="G172" i="19"/>
  <c r="F172" i="19"/>
  <c r="G171" i="19"/>
  <c r="F171" i="19"/>
  <c r="G170" i="19"/>
  <c r="F170" i="19"/>
  <c r="G169" i="19"/>
  <c r="F169" i="19"/>
  <c r="G168" i="19"/>
  <c r="F168" i="19"/>
  <c r="G167" i="19"/>
  <c r="F167" i="19"/>
  <c r="G166" i="19"/>
  <c r="F166" i="19"/>
  <c r="G165" i="19"/>
  <c r="F165" i="19"/>
  <c r="G164" i="19"/>
  <c r="F164" i="19"/>
  <c r="G163" i="19"/>
  <c r="F163" i="19"/>
  <c r="G162" i="19"/>
  <c r="F162" i="19"/>
  <c r="G161" i="19"/>
  <c r="F161" i="19"/>
  <c r="G160" i="19"/>
  <c r="F160" i="19"/>
  <c r="G159" i="19"/>
  <c r="F159" i="19"/>
  <c r="G158" i="19"/>
  <c r="F158" i="19"/>
  <c r="G157" i="19"/>
  <c r="F157" i="19"/>
  <c r="G156" i="19"/>
  <c r="F156" i="19"/>
  <c r="G155" i="19"/>
  <c r="F155" i="19"/>
  <c r="G154" i="19"/>
  <c r="F154" i="19"/>
  <c r="G153" i="19"/>
  <c r="F153" i="19"/>
  <c r="G152" i="19"/>
  <c r="F152" i="19"/>
  <c r="G151" i="19"/>
  <c r="F151" i="19"/>
  <c r="G150" i="19"/>
  <c r="F150" i="19"/>
  <c r="G149" i="19"/>
  <c r="F149" i="19"/>
  <c r="G148" i="19"/>
  <c r="F148" i="19"/>
  <c r="G147" i="19"/>
  <c r="F147" i="19"/>
  <c r="G146" i="19"/>
  <c r="F146" i="19"/>
  <c r="G145" i="19"/>
  <c r="F145" i="19"/>
  <c r="G144" i="19"/>
  <c r="F144" i="19"/>
  <c r="G143" i="19"/>
  <c r="F143" i="19"/>
  <c r="G142" i="19"/>
  <c r="F142" i="19"/>
  <c r="G141" i="19"/>
  <c r="F141" i="19"/>
  <c r="G140" i="19"/>
  <c r="F140" i="19"/>
  <c r="G139" i="19"/>
  <c r="F139" i="19"/>
  <c r="G138" i="19"/>
  <c r="F138" i="19"/>
  <c r="G137" i="19"/>
  <c r="F137" i="19"/>
  <c r="G136" i="19"/>
  <c r="F136" i="19"/>
  <c r="G135" i="19"/>
  <c r="F135" i="19"/>
  <c r="G134" i="19"/>
  <c r="F134" i="19"/>
  <c r="G133" i="19"/>
  <c r="F133" i="19"/>
  <c r="G132" i="19"/>
  <c r="F132" i="19"/>
  <c r="G131" i="19"/>
  <c r="F131" i="19"/>
  <c r="G130" i="19"/>
  <c r="F130" i="19"/>
  <c r="G129" i="19"/>
  <c r="F129" i="19"/>
  <c r="G128" i="19"/>
  <c r="F128" i="19"/>
  <c r="G127" i="19"/>
  <c r="F127" i="19"/>
  <c r="G126" i="19"/>
  <c r="F126" i="19"/>
  <c r="G125" i="19"/>
  <c r="F125" i="19"/>
  <c r="G124" i="19"/>
  <c r="F124" i="19"/>
  <c r="G123" i="19"/>
  <c r="F123" i="19"/>
  <c r="G122" i="19"/>
  <c r="F122" i="19"/>
  <c r="G121" i="19"/>
  <c r="F121" i="19"/>
  <c r="G120" i="19"/>
  <c r="F120" i="19"/>
  <c r="G119" i="19"/>
  <c r="F119" i="19"/>
  <c r="G118" i="19"/>
  <c r="F118" i="19"/>
  <c r="G117" i="19"/>
  <c r="F117" i="19"/>
  <c r="G116" i="19"/>
  <c r="F116" i="19"/>
  <c r="G115" i="19"/>
  <c r="F115" i="19"/>
  <c r="G114" i="19"/>
  <c r="F114" i="19"/>
  <c r="G113" i="19"/>
  <c r="F113" i="19"/>
  <c r="G112" i="19"/>
  <c r="F112" i="19"/>
  <c r="G111" i="19"/>
  <c r="F111" i="19"/>
  <c r="G110" i="19"/>
  <c r="F110" i="19"/>
  <c r="G109" i="19"/>
  <c r="F109" i="19"/>
  <c r="G108" i="19"/>
  <c r="F108" i="19"/>
  <c r="G107" i="19"/>
  <c r="F107" i="19"/>
  <c r="G106" i="19"/>
  <c r="F106" i="19"/>
  <c r="G105" i="19"/>
  <c r="F105" i="19"/>
  <c r="G104" i="19"/>
  <c r="F104" i="19"/>
  <c r="G103" i="19"/>
  <c r="F103" i="19"/>
  <c r="G102" i="19"/>
  <c r="F102" i="19"/>
  <c r="G101" i="19"/>
  <c r="F101" i="19"/>
  <c r="G100" i="19"/>
  <c r="F100" i="19"/>
  <c r="G99" i="19"/>
  <c r="F99" i="19"/>
  <c r="G98" i="19"/>
  <c r="F98" i="19"/>
  <c r="G97" i="19"/>
  <c r="F97" i="19"/>
  <c r="G96" i="19"/>
  <c r="F96" i="19"/>
  <c r="G95" i="19"/>
  <c r="F95" i="19"/>
  <c r="G94" i="19"/>
  <c r="F94" i="19"/>
  <c r="G93" i="19"/>
  <c r="F93" i="19"/>
  <c r="G92" i="19"/>
  <c r="F92" i="19"/>
  <c r="G91" i="19"/>
  <c r="F91" i="19"/>
  <c r="G90" i="19"/>
  <c r="F90" i="19"/>
  <c r="G89" i="19"/>
  <c r="F89" i="19"/>
  <c r="G88" i="19"/>
  <c r="F88" i="19"/>
  <c r="G87" i="19"/>
  <c r="F87" i="19"/>
  <c r="G86" i="19"/>
  <c r="F86" i="19"/>
  <c r="G85" i="19"/>
  <c r="F85" i="19"/>
  <c r="G84" i="19"/>
  <c r="F84" i="19"/>
  <c r="G83" i="19"/>
  <c r="F83" i="19"/>
  <c r="G82" i="19"/>
  <c r="F82" i="19"/>
  <c r="G81" i="19"/>
  <c r="F81" i="19"/>
  <c r="G80" i="19"/>
  <c r="F80" i="19"/>
  <c r="G79" i="19"/>
  <c r="F79" i="19"/>
  <c r="G78" i="19"/>
  <c r="F78" i="19"/>
  <c r="G77" i="19"/>
  <c r="F77" i="19"/>
  <c r="G76" i="19"/>
  <c r="F76" i="19"/>
  <c r="G75" i="19"/>
  <c r="F75" i="19"/>
  <c r="G74" i="19"/>
  <c r="F74" i="19"/>
  <c r="G73" i="19"/>
  <c r="F73" i="19"/>
  <c r="G72" i="19"/>
  <c r="F72" i="19"/>
  <c r="G71" i="19"/>
  <c r="F71" i="19"/>
  <c r="G70" i="19"/>
  <c r="F70" i="19"/>
  <c r="G69" i="19"/>
  <c r="F69" i="19"/>
  <c r="G68" i="19"/>
  <c r="F68" i="19"/>
  <c r="G67" i="19"/>
  <c r="F67" i="19"/>
  <c r="G66" i="19"/>
  <c r="F66" i="19"/>
  <c r="G65" i="19"/>
  <c r="F65" i="19"/>
  <c r="G64" i="19"/>
  <c r="F64" i="19"/>
  <c r="G63" i="19"/>
  <c r="F63" i="19"/>
  <c r="G62" i="19"/>
  <c r="F62" i="19"/>
  <c r="G61" i="19"/>
  <c r="F61" i="19"/>
  <c r="G60" i="19"/>
  <c r="F60" i="19"/>
  <c r="G59" i="19"/>
  <c r="F59" i="19"/>
  <c r="G58" i="19"/>
  <c r="F58" i="19"/>
  <c r="G57" i="19"/>
  <c r="F57" i="19"/>
  <c r="G56" i="19"/>
  <c r="F56" i="19"/>
  <c r="G55" i="19"/>
  <c r="F55" i="19"/>
  <c r="G54" i="19"/>
  <c r="F54" i="19"/>
  <c r="G53" i="19"/>
  <c r="F53" i="19"/>
  <c r="G52" i="19"/>
  <c r="F52" i="19"/>
  <c r="G51" i="19"/>
  <c r="F51" i="19"/>
  <c r="G50" i="19"/>
  <c r="F50" i="19"/>
  <c r="G49" i="19"/>
  <c r="F49" i="19"/>
  <c r="G48" i="19"/>
  <c r="F48" i="19"/>
  <c r="G47" i="19"/>
  <c r="F47" i="19"/>
  <c r="G46" i="19"/>
  <c r="F46" i="19"/>
  <c r="G45" i="19"/>
  <c r="F45" i="19"/>
  <c r="G44" i="19"/>
  <c r="F44" i="19"/>
  <c r="G43" i="19"/>
  <c r="F43" i="19"/>
  <c r="G42" i="19"/>
  <c r="F42" i="19"/>
  <c r="G41" i="19"/>
  <c r="F41" i="19"/>
  <c r="G40" i="19"/>
  <c r="F40" i="19"/>
  <c r="G39" i="19"/>
  <c r="F39" i="19"/>
  <c r="G38" i="19"/>
  <c r="F38" i="19"/>
  <c r="G37" i="19"/>
  <c r="F37" i="19"/>
  <c r="G36" i="19"/>
  <c r="F36" i="19"/>
  <c r="G35" i="19"/>
  <c r="F35" i="19"/>
  <c r="G34" i="19"/>
  <c r="F34" i="19"/>
  <c r="G33" i="19"/>
  <c r="F33" i="19"/>
  <c r="G32" i="19"/>
  <c r="F32" i="19"/>
  <c r="G31" i="19"/>
  <c r="F31" i="19"/>
  <c r="G30" i="19"/>
  <c r="F30" i="19"/>
  <c r="G29" i="19"/>
  <c r="F29" i="19"/>
  <c r="G28" i="19"/>
  <c r="F28" i="19"/>
  <c r="G27" i="19"/>
  <c r="F27" i="19"/>
  <c r="G26" i="19"/>
  <c r="F26" i="19"/>
  <c r="G25" i="19"/>
  <c r="F25" i="19"/>
  <c r="G24" i="19"/>
  <c r="F24" i="19"/>
  <c r="G23" i="19"/>
  <c r="F23" i="19"/>
  <c r="G22" i="19"/>
  <c r="F22" i="19"/>
  <c r="G21" i="19"/>
  <c r="F21" i="19"/>
  <c r="G20" i="19"/>
  <c r="F20" i="19"/>
  <c r="G19" i="19"/>
  <c r="F19" i="19"/>
  <c r="G18" i="19"/>
  <c r="F18" i="19"/>
  <c r="G17" i="19"/>
  <c r="F17" i="19"/>
  <c r="G16" i="19"/>
  <c r="F16" i="19"/>
  <c r="G15" i="19"/>
  <c r="F15" i="19"/>
  <c r="G14" i="19"/>
  <c r="F14" i="19"/>
  <c r="G13" i="19"/>
  <c r="F13" i="19"/>
  <c r="G12" i="19"/>
  <c r="F12" i="19"/>
  <c r="G11" i="19"/>
  <c r="F11" i="19"/>
  <c r="G10" i="19"/>
  <c r="F10" i="19"/>
  <c r="G9" i="19"/>
  <c r="F9" i="19"/>
  <c r="G8" i="19"/>
  <c r="F8" i="19"/>
  <c r="G7" i="19"/>
  <c r="F7" i="19"/>
  <c r="G6" i="19"/>
  <c r="F6" i="19"/>
  <c r="G5" i="19"/>
  <c r="F5" i="19"/>
  <c r="N1" i="19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N151" i="19" l="1"/>
  <c r="M151" i="19"/>
  <c r="N150" i="19"/>
  <c r="M150" i="19"/>
  <c r="N149" i="19"/>
  <c r="M149" i="19"/>
  <c r="N148" i="19"/>
  <c r="M148" i="19"/>
  <c r="N147" i="19"/>
  <c r="M147" i="19"/>
  <c r="N146" i="19"/>
  <c r="M146" i="19"/>
  <c r="N145" i="19"/>
  <c r="M145" i="19"/>
  <c r="N144" i="19"/>
  <c r="M144" i="19"/>
  <c r="N142" i="19"/>
  <c r="M136" i="19"/>
  <c r="M135" i="19"/>
  <c r="M109" i="19"/>
  <c r="N42" i="19"/>
  <c r="N41" i="19"/>
  <c r="M36" i="19"/>
  <c r="N22" i="19"/>
  <c r="N14" i="19"/>
  <c r="N13" i="19"/>
  <c r="N12" i="19"/>
  <c r="N8" i="19"/>
  <c r="M5" i="19"/>
  <c r="N129" i="19"/>
  <c r="M129" i="19"/>
  <c r="N128" i="19"/>
  <c r="M128" i="19"/>
  <c r="N127" i="19"/>
  <c r="M127" i="19"/>
  <c r="N126" i="19"/>
  <c r="M126" i="19"/>
  <c r="N125" i="19"/>
  <c r="M125" i="19"/>
  <c r="N124" i="19"/>
  <c r="M124" i="19"/>
  <c r="N123" i="19"/>
  <c r="M123" i="19"/>
  <c r="N122" i="19"/>
  <c r="M122" i="19"/>
  <c r="N121" i="19"/>
  <c r="M121" i="19"/>
  <c r="N120" i="19"/>
  <c r="M120" i="19"/>
  <c r="N119" i="19"/>
  <c r="M119" i="19"/>
  <c r="N118" i="19"/>
  <c r="M118" i="19"/>
  <c r="N117" i="19"/>
  <c r="M117" i="19"/>
  <c r="N116" i="19"/>
  <c r="M116" i="19"/>
  <c r="N115" i="19"/>
  <c r="M115" i="19"/>
  <c r="N114" i="19"/>
  <c r="M114" i="19"/>
  <c r="M113" i="19"/>
  <c r="M110" i="19"/>
  <c r="M88" i="19"/>
  <c r="M34" i="19"/>
  <c r="N31" i="19"/>
  <c r="M17" i="19"/>
  <c r="M15" i="19"/>
  <c r="M9" i="19"/>
  <c r="N107" i="19"/>
  <c r="M107" i="19"/>
  <c r="N106" i="19"/>
  <c r="M106" i="19"/>
  <c r="N105" i="19"/>
  <c r="M105" i="19"/>
  <c r="N104" i="19"/>
  <c r="M104" i="19"/>
  <c r="N103" i="19"/>
  <c r="M103" i="19"/>
  <c r="N102" i="19"/>
  <c r="M102" i="19"/>
  <c r="N101" i="19"/>
  <c r="M101" i="19"/>
  <c r="N100" i="19"/>
  <c r="M100" i="19"/>
  <c r="N99" i="19"/>
  <c r="M99" i="19"/>
  <c r="N98" i="19"/>
  <c r="M98" i="19"/>
  <c r="N97" i="19"/>
  <c r="M97" i="19"/>
  <c r="N96" i="19"/>
  <c r="M96" i="19"/>
  <c r="N95" i="19"/>
  <c r="M95" i="19"/>
  <c r="N94" i="19"/>
  <c r="M94" i="19"/>
  <c r="N93" i="19"/>
  <c r="M93" i="19"/>
  <c r="N92" i="19"/>
  <c r="M92" i="19"/>
  <c r="N91" i="19"/>
  <c r="M91" i="19"/>
  <c r="N90" i="19"/>
  <c r="M90" i="19"/>
  <c r="N89" i="19"/>
  <c r="M89" i="19"/>
  <c r="N37" i="19"/>
  <c r="M27" i="19"/>
  <c r="M26" i="19"/>
  <c r="M16" i="19"/>
  <c r="M7" i="19"/>
  <c r="N86" i="19"/>
  <c r="M86" i="19"/>
  <c r="N85" i="19"/>
  <c r="M85" i="19"/>
  <c r="N84" i="19"/>
  <c r="M84" i="19"/>
  <c r="N83" i="19"/>
  <c r="M83" i="19"/>
  <c r="N82" i="19"/>
  <c r="M82" i="19"/>
  <c r="N81" i="19"/>
  <c r="M81" i="19"/>
  <c r="N80" i="19"/>
  <c r="M80" i="19"/>
  <c r="N79" i="19"/>
  <c r="M79" i="19"/>
  <c r="N78" i="19"/>
  <c r="M78" i="19"/>
  <c r="N77" i="19"/>
  <c r="M77" i="19"/>
  <c r="N76" i="19"/>
  <c r="M76" i="19"/>
  <c r="N75" i="19"/>
  <c r="M75" i="19"/>
  <c r="N74" i="19"/>
  <c r="M74" i="19"/>
  <c r="N73" i="19"/>
  <c r="M73" i="19"/>
  <c r="N72" i="19"/>
  <c r="M72" i="19"/>
  <c r="N71" i="19"/>
  <c r="M71" i="19"/>
  <c r="N70" i="19"/>
  <c r="M70" i="19"/>
  <c r="N69" i="19"/>
  <c r="M69" i="19"/>
  <c r="N68" i="19"/>
  <c r="M68" i="19"/>
  <c r="N67" i="19"/>
  <c r="M67" i="19"/>
  <c r="N66" i="19"/>
  <c r="M66" i="19"/>
  <c r="M65" i="19"/>
  <c r="N45" i="19"/>
  <c r="N40" i="19"/>
  <c r="M30" i="19"/>
  <c r="N28" i="19"/>
  <c r="N24" i="19"/>
  <c r="M19" i="19"/>
  <c r="N10" i="19"/>
  <c r="N64" i="19"/>
  <c r="M64" i="19"/>
  <c r="N63" i="19"/>
  <c r="M63" i="19"/>
  <c r="N62" i="19"/>
  <c r="M62" i="19"/>
  <c r="N61" i="19"/>
  <c r="M61" i="19"/>
  <c r="N60" i="19"/>
  <c r="M60" i="19"/>
  <c r="N59" i="19"/>
  <c r="M59" i="19"/>
  <c r="N58" i="19"/>
  <c r="M58" i="19"/>
  <c r="N57" i="19"/>
  <c r="M57" i="19"/>
  <c r="N56" i="19"/>
  <c r="M56" i="19"/>
  <c r="N55" i="19"/>
  <c r="M55" i="19"/>
  <c r="N54" i="19"/>
  <c r="M54" i="19"/>
  <c r="N53" i="19"/>
  <c r="M53" i="19"/>
  <c r="N52" i="19"/>
  <c r="M52" i="19"/>
  <c r="N51" i="19"/>
  <c r="M51" i="19"/>
  <c r="N50" i="19"/>
  <c r="M50" i="19"/>
  <c r="N49" i="19"/>
  <c r="M49" i="19"/>
  <c r="N48" i="19"/>
  <c r="M48" i="19"/>
  <c r="N47" i="19"/>
  <c r="M47" i="19"/>
  <c r="N46" i="19"/>
  <c r="M46" i="19"/>
  <c r="N44" i="19"/>
  <c r="M29" i="19"/>
  <c r="N16" i="19"/>
  <c r="N11" i="19"/>
  <c r="N9" i="19"/>
  <c r="N43" i="19"/>
  <c r="M43" i="19"/>
  <c r="N21" i="19"/>
  <c r="M21" i="19"/>
  <c r="N166" i="19"/>
  <c r="N163" i="19"/>
  <c r="M160" i="19"/>
  <c r="M159" i="19"/>
  <c r="M156" i="19"/>
  <c r="N155" i="19"/>
  <c r="N154" i="19"/>
  <c r="N152" i="19"/>
  <c r="N141" i="19"/>
  <c r="N139" i="19"/>
  <c r="N133" i="19"/>
  <c r="M111" i="19"/>
  <c r="N88" i="19"/>
  <c r="N87" i="19"/>
  <c r="M45" i="19"/>
  <c r="M35" i="19"/>
  <c r="N33" i="19"/>
  <c r="N32" i="19"/>
  <c r="N30" i="19"/>
  <c r="M28" i="19"/>
  <c r="N27" i="19"/>
  <c r="M22" i="19"/>
  <c r="M14" i="19"/>
  <c r="M166" i="19"/>
  <c r="N165" i="19"/>
  <c r="M165" i="19"/>
  <c r="M171" i="19"/>
  <c r="N170" i="19"/>
  <c r="N171" i="19"/>
  <c r="N168" i="19"/>
  <c r="M172" i="19"/>
  <c r="N157" i="19"/>
  <c r="N143" i="19"/>
  <c r="N131" i="19"/>
  <c r="M44" i="19"/>
  <c r="M42" i="19"/>
  <c r="M41" i="19"/>
  <c r="N38" i="19"/>
  <c r="M20" i="19"/>
  <c r="M12" i="19"/>
  <c r="M163" i="19"/>
  <c r="M157" i="19"/>
  <c r="M143" i="19"/>
  <c r="N140" i="19"/>
  <c r="N136" i="19"/>
  <c r="M134" i="19"/>
  <c r="M133" i="19"/>
  <c r="M132" i="19"/>
  <c r="M130" i="19"/>
  <c r="N113" i="19"/>
  <c r="N110" i="19"/>
  <c r="M108" i="19"/>
  <c r="M87" i="19"/>
  <c r="M39" i="19"/>
  <c r="M24" i="19"/>
  <c r="M23" i="19"/>
  <c r="M13" i="19"/>
  <c r="M8" i="19"/>
  <c r="N6" i="19"/>
  <c r="M167" i="19"/>
  <c r="M170" i="19"/>
  <c r="N161" i="19"/>
  <c r="M158" i="19"/>
  <c r="M142" i="19"/>
  <c r="M140" i="19"/>
  <c r="N135" i="19"/>
  <c r="N111" i="19"/>
  <c r="N109" i="19"/>
  <c r="M38" i="19"/>
  <c r="M37" i="19"/>
  <c r="M31" i="19"/>
  <c r="M25" i="19"/>
  <c r="M11" i="19"/>
  <c r="M10" i="19"/>
  <c r="U1" i="19"/>
  <c r="N167" i="19"/>
  <c r="N162" i="19"/>
  <c r="N159" i="19"/>
  <c r="M155" i="19"/>
  <c r="M153" i="19"/>
  <c r="M139" i="19"/>
  <c r="M138" i="19"/>
  <c r="N137" i="19"/>
  <c r="M131" i="19"/>
  <c r="N108" i="19"/>
  <c r="N39" i="19"/>
  <c r="N34" i="19"/>
  <c r="M32" i="19"/>
  <c r="N26" i="19"/>
  <c r="N17" i="19"/>
  <c r="N15" i="19"/>
  <c r="N7" i="19"/>
  <c r="M6" i="19"/>
  <c r="N5" i="19"/>
  <c r="N172" i="19"/>
  <c r="M164" i="19"/>
  <c r="N160" i="19"/>
  <c r="N158" i="19"/>
  <c r="N156" i="19"/>
  <c r="M154" i="19"/>
  <c r="N153" i="19"/>
  <c r="N134" i="19"/>
  <c r="M112" i="19"/>
  <c r="M40" i="19"/>
  <c r="N36" i="19"/>
  <c r="N35" i="19"/>
  <c r="N19" i="19"/>
  <c r="N18" i="19"/>
  <c r="N169" i="19"/>
  <c r="N164" i="19"/>
  <c r="M162" i="19"/>
  <c r="M161" i="19"/>
  <c r="M152" i="19"/>
  <c r="M141" i="19"/>
  <c r="N138" i="19"/>
  <c r="M137" i="19"/>
  <c r="N132" i="19"/>
  <c r="N130" i="19"/>
  <c r="N112" i="19"/>
  <c r="N65" i="19"/>
  <c r="M33" i="19"/>
  <c r="N29" i="19"/>
  <c r="N25" i="19"/>
  <c r="N23" i="19"/>
  <c r="N20" i="19"/>
  <c r="M18" i="19"/>
  <c r="M169" i="19"/>
  <c r="M168" i="19"/>
  <c r="U16" i="19" l="1"/>
  <c r="U23" i="19"/>
  <c r="T29" i="19"/>
  <c r="T36" i="19"/>
  <c r="T39" i="19"/>
  <c r="U40" i="19"/>
  <c r="U43" i="19"/>
  <c r="T108" i="19"/>
  <c r="U130" i="19"/>
  <c r="T132" i="19"/>
  <c r="T134" i="19"/>
  <c r="U135" i="19"/>
  <c r="U138" i="19"/>
  <c r="T142" i="19"/>
  <c r="T143" i="19"/>
  <c r="T154" i="19"/>
  <c r="T162" i="19"/>
  <c r="U167" i="19"/>
  <c r="T9" i="19"/>
  <c r="T10" i="19"/>
  <c r="U14" i="19"/>
  <c r="U42" i="19"/>
  <c r="T43" i="19"/>
  <c r="T130" i="19"/>
  <c r="T139" i="19"/>
  <c r="U152" i="19"/>
  <c r="U160" i="19"/>
  <c r="AB1" i="19"/>
  <c r="T16" i="19"/>
  <c r="T18" i="19"/>
  <c r="U22" i="19"/>
  <c r="U33" i="19"/>
  <c r="U45" i="19"/>
  <c r="T88" i="19"/>
  <c r="T109" i="19"/>
  <c r="T110" i="19"/>
  <c r="T111" i="19"/>
  <c r="U136" i="19"/>
  <c r="U143" i="19"/>
  <c r="T152" i="19"/>
  <c r="U153" i="19"/>
  <c r="U156" i="19"/>
  <c r="T159" i="19"/>
  <c r="T164" i="19"/>
  <c r="T171" i="19"/>
  <c r="U168" i="19"/>
  <c r="T169" i="19"/>
  <c r="T172" i="19"/>
  <c r="T165" i="19"/>
  <c r="U165" i="19"/>
  <c r="T166" i="19"/>
  <c r="U172" i="19"/>
  <c r="U10" i="19"/>
  <c r="T13" i="19"/>
  <c r="T28" i="19"/>
  <c r="U31" i="19"/>
  <c r="U36" i="19"/>
  <c r="U38" i="19"/>
  <c r="T65" i="19"/>
  <c r="U111" i="19"/>
  <c r="T113" i="19"/>
  <c r="T137" i="19"/>
  <c r="T140" i="19"/>
  <c r="U140" i="19"/>
  <c r="T153" i="19"/>
  <c r="T155" i="19"/>
  <c r="T156" i="19"/>
  <c r="U157" i="19"/>
  <c r="U158" i="19"/>
  <c r="T161" i="19"/>
  <c r="U166" i="19"/>
  <c r="T167" i="19"/>
  <c r="T21" i="19"/>
  <c r="U21" i="19"/>
  <c r="T7" i="19"/>
  <c r="T22" i="19"/>
  <c r="T25" i="19"/>
  <c r="T37" i="19"/>
  <c r="T41" i="19"/>
  <c r="T42" i="19"/>
  <c r="U44" i="19"/>
  <c r="T45" i="19"/>
  <c r="T46" i="19"/>
  <c r="U46" i="19"/>
  <c r="T47" i="19"/>
  <c r="U47" i="19"/>
  <c r="T48" i="19"/>
  <c r="U48" i="19"/>
  <c r="T49" i="19"/>
  <c r="U49" i="19"/>
  <c r="T50" i="19"/>
  <c r="U50" i="19"/>
  <c r="T51" i="19"/>
  <c r="U51" i="19"/>
  <c r="T52" i="19"/>
  <c r="U52" i="19"/>
  <c r="T53" i="19"/>
  <c r="U53" i="19"/>
  <c r="T54" i="19"/>
  <c r="U54" i="19"/>
  <c r="T55" i="19"/>
  <c r="U55" i="19"/>
  <c r="T56" i="19"/>
  <c r="U56" i="19"/>
  <c r="T57" i="19"/>
  <c r="U57" i="19"/>
  <c r="T58" i="19"/>
  <c r="U58" i="19"/>
  <c r="T59" i="19"/>
  <c r="U59" i="19"/>
  <c r="T60" i="19"/>
  <c r="U60" i="19"/>
  <c r="T61" i="19"/>
  <c r="U61" i="19"/>
  <c r="T62" i="19"/>
  <c r="U62" i="19"/>
  <c r="T63" i="19"/>
  <c r="U63" i="19"/>
  <c r="T64" i="19"/>
  <c r="U64" i="19"/>
  <c r="U9" i="19"/>
  <c r="U13" i="19"/>
  <c r="U15" i="19"/>
  <c r="U17" i="19"/>
  <c r="T19" i="19"/>
  <c r="U27" i="19"/>
  <c r="U29" i="19"/>
  <c r="U30" i="19"/>
  <c r="T34" i="19"/>
  <c r="U37" i="19"/>
  <c r="T66" i="19"/>
  <c r="U66" i="19"/>
  <c r="T67" i="19"/>
  <c r="U67" i="19"/>
  <c r="T68" i="19"/>
  <c r="U68" i="19"/>
  <c r="T69" i="19"/>
  <c r="U69" i="19"/>
  <c r="T70" i="19"/>
  <c r="U70" i="19"/>
  <c r="T71" i="19"/>
  <c r="U71" i="19"/>
  <c r="T72" i="19"/>
  <c r="U72" i="19"/>
  <c r="T73" i="19"/>
  <c r="U73" i="19"/>
  <c r="T74" i="19"/>
  <c r="U74" i="19"/>
  <c r="T75" i="19"/>
  <c r="U75" i="19"/>
  <c r="T76" i="19"/>
  <c r="U76" i="19"/>
  <c r="T77" i="19"/>
  <c r="U77" i="19"/>
  <c r="T78" i="19"/>
  <c r="U78" i="19"/>
  <c r="T79" i="19"/>
  <c r="U79" i="19"/>
  <c r="T80" i="19"/>
  <c r="U80" i="19"/>
  <c r="T81" i="19"/>
  <c r="U81" i="19"/>
  <c r="T82" i="19"/>
  <c r="U82" i="19"/>
  <c r="T83" i="19"/>
  <c r="U83" i="19"/>
  <c r="T84" i="19"/>
  <c r="U84" i="19"/>
  <c r="T85" i="19"/>
  <c r="U85" i="19"/>
  <c r="T86" i="19"/>
  <c r="U86" i="19"/>
  <c r="T5" i="19"/>
  <c r="U11" i="19"/>
  <c r="T20" i="19"/>
  <c r="U24" i="19"/>
  <c r="U34" i="19"/>
  <c r="T35" i="19"/>
  <c r="U35" i="19"/>
  <c r="U88" i="19"/>
  <c r="T89" i="19"/>
  <c r="U89" i="19"/>
  <c r="T90" i="19"/>
  <c r="U90" i="19"/>
  <c r="T91" i="19"/>
  <c r="U91" i="19"/>
  <c r="T92" i="19"/>
  <c r="U92" i="19"/>
  <c r="T93" i="19"/>
  <c r="U93" i="19"/>
  <c r="T94" i="19"/>
  <c r="U94" i="19"/>
  <c r="T95" i="19"/>
  <c r="U95" i="19"/>
  <c r="T96" i="19"/>
  <c r="U96" i="19"/>
  <c r="T97" i="19"/>
  <c r="U97" i="19"/>
  <c r="T98" i="19"/>
  <c r="U98" i="19"/>
  <c r="T99" i="19"/>
  <c r="U99" i="19"/>
  <c r="T100" i="19"/>
  <c r="U100" i="19"/>
  <c r="T101" i="19"/>
  <c r="U101" i="19"/>
  <c r="T102" i="19"/>
  <c r="U102" i="19"/>
  <c r="T103" i="19"/>
  <c r="U103" i="19"/>
  <c r="T104" i="19"/>
  <c r="U104" i="19"/>
  <c r="T105" i="19"/>
  <c r="U105" i="19"/>
  <c r="T106" i="19"/>
  <c r="U106" i="19"/>
  <c r="T107" i="19"/>
  <c r="U107" i="19"/>
  <c r="T6" i="19"/>
  <c r="T11" i="19"/>
  <c r="U12" i="19"/>
  <c r="T23" i="19"/>
  <c r="T24" i="19"/>
  <c r="T26" i="19"/>
  <c r="U28" i="19"/>
  <c r="T32" i="19"/>
  <c r="T38" i="19"/>
  <c r="U39" i="19"/>
  <c r="U41" i="19"/>
  <c r="T114" i="19"/>
  <c r="U114" i="19"/>
  <c r="T115" i="19"/>
  <c r="U115" i="19"/>
  <c r="T116" i="19"/>
  <c r="U116" i="19"/>
  <c r="T117" i="19"/>
  <c r="U117" i="19"/>
  <c r="T118" i="19"/>
  <c r="U118" i="19"/>
  <c r="T119" i="19"/>
  <c r="U119" i="19"/>
  <c r="T120" i="19"/>
  <c r="U120" i="19"/>
  <c r="T121" i="19"/>
  <c r="U121" i="19"/>
  <c r="T122" i="19"/>
  <c r="U122" i="19"/>
  <c r="T123" i="19"/>
  <c r="U123" i="19"/>
  <c r="T124" i="19"/>
  <c r="U124" i="19"/>
  <c r="T125" i="19"/>
  <c r="U125" i="19"/>
  <c r="T126" i="19"/>
  <c r="U126" i="19"/>
  <c r="T127" i="19"/>
  <c r="U127" i="19"/>
  <c r="T128" i="19"/>
  <c r="U128" i="19"/>
  <c r="T129" i="19"/>
  <c r="U129" i="19"/>
  <c r="U7" i="19"/>
  <c r="U8" i="19"/>
  <c r="T15" i="19"/>
  <c r="T17" i="19"/>
  <c r="U26" i="19"/>
  <c r="T40" i="19"/>
  <c r="U109" i="19"/>
  <c r="U110" i="19"/>
  <c r="U133" i="19"/>
  <c r="U134" i="19"/>
  <c r="T138" i="19"/>
  <c r="U139" i="19"/>
  <c r="T144" i="19"/>
  <c r="U144" i="19"/>
  <c r="T145" i="19"/>
  <c r="U145" i="19"/>
  <c r="T146" i="19"/>
  <c r="U146" i="19"/>
  <c r="T147" i="19"/>
  <c r="U147" i="19"/>
  <c r="T148" i="19"/>
  <c r="U148" i="19"/>
  <c r="T149" i="19"/>
  <c r="U149" i="19"/>
  <c r="T150" i="19"/>
  <c r="U150" i="19"/>
  <c r="T151" i="19"/>
  <c r="U151" i="19"/>
  <c r="T168" i="19"/>
  <c r="U6" i="19"/>
  <c r="T8" i="19"/>
  <c r="T14" i="19"/>
  <c r="U18" i="19"/>
  <c r="T27" i="19"/>
  <c r="U32" i="19"/>
  <c r="T135" i="19"/>
  <c r="T141" i="19"/>
  <c r="U159" i="19"/>
  <c r="T160" i="19"/>
  <c r="U161" i="19"/>
  <c r="U169" i="19"/>
  <c r="T170" i="19"/>
  <c r="U5" i="19"/>
  <c r="T12" i="19"/>
  <c r="U20" i="19"/>
  <c r="T87" i="19"/>
  <c r="T112" i="19"/>
  <c r="U113" i="19"/>
  <c r="U131" i="19"/>
  <c r="T133" i="19"/>
  <c r="U137" i="19"/>
  <c r="U142" i="19"/>
  <c r="U154" i="19"/>
  <c r="U163" i="19"/>
  <c r="U164" i="19"/>
  <c r="U170" i="19"/>
  <c r="U171" i="19"/>
  <c r="U19" i="19"/>
  <c r="U25" i="19"/>
  <c r="T30" i="19"/>
  <c r="T31" i="19"/>
  <c r="T33" i="19"/>
  <c r="T44" i="19"/>
  <c r="U65" i="19"/>
  <c r="U87" i="19"/>
  <c r="U108" i="19"/>
  <c r="U112" i="19"/>
  <c r="T131" i="19"/>
  <c r="U132" i="19"/>
  <c r="T136" i="19"/>
  <c r="U141" i="19"/>
  <c r="U155" i="19"/>
  <c r="T157" i="19"/>
  <c r="T158" i="19"/>
  <c r="U162" i="19"/>
  <c r="T163" i="19"/>
  <c r="AA20" i="19" l="1"/>
  <c r="AA32" i="19"/>
  <c r="AB34" i="19"/>
  <c r="AA35" i="19"/>
  <c r="AB42" i="19"/>
  <c r="AA44" i="19"/>
  <c r="AB88" i="19"/>
  <c r="AB108" i="19"/>
  <c r="AA133" i="19"/>
  <c r="AA155" i="19"/>
  <c r="AB162" i="19"/>
  <c r="AB164" i="19"/>
  <c r="AB168" i="19"/>
  <c r="AB169" i="19"/>
  <c r="AB170" i="19"/>
  <c r="AA171" i="19"/>
  <c r="AA165" i="19"/>
  <c r="AB165" i="19"/>
  <c r="AA166" i="19"/>
  <c r="AI1" i="19"/>
  <c r="AB9" i="19"/>
  <c r="AB11" i="19"/>
  <c r="AB13" i="19"/>
  <c r="AB17" i="19"/>
  <c r="AA24" i="19"/>
  <c r="AA34" i="19"/>
  <c r="AA42" i="19"/>
  <c r="AA87" i="19"/>
  <c r="AA88" i="19"/>
  <c r="AA108" i="19"/>
  <c r="AA135" i="19"/>
  <c r="AB137" i="19"/>
  <c r="AA139" i="19"/>
  <c r="AA141" i="19"/>
  <c r="AB142" i="19"/>
  <c r="AA152" i="19"/>
  <c r="AB153" i="19"/>
  <c r="AA154" i="19"/>
  <c r="AB157" i="19"/>
  <c r="AB159" i="19"/>
  <c r="AA162" i="19"/>
  <c r="AB166" i="19"/>
  <c r="AA21" i="19"/>
  <c r="AB21" i="19"/>
  <c r="AA27" i="19"/>
  <c r="AB28" i="19"/>
  <c r="AB39" i="19"/>
  <c r="AB45" i="19"/>
  <c r="AA46" i="19"/>
  <c r="AB46" i="19"/>
  <c r="AA47" i="19"/>
  <c r="AB47" i="19"/>
  <c r="AA48" i="19"/>
  <c r="AB48" i="19"/>
  <c r="AA49" i="19"/>
  <c r="AB49" i="19"/>
  <c r="AA50" i="19"/>
  <c r="AB50" i="19"/>
  <c r="AA51" i="19"/>
  <c r="AB51" i="19"/>
  <c r="AA52" i="19"/>
  <c r="AB52" i="19"/>
  <c r="AA53" i="19"/>
  <c r="AB53" i="19"/>
  <c r="AA54" i="19"/>
  <c r="AB54" i="19"/>
  <c r="AA55" i="19"/>
  <c r="AB55" i="19"/>
  <c r="AA56" i="19"/>
  <c r="AB56" i="19"/>
  <c r="AA57" i="19"/>
  <c r="AB57" i="19"/>
  <c r="AA58" i="19"/>
  <c r="AB58" i="19"/>
  <c r="AA59" i="19"/>
  <c r="AB59" i="19"/>
  <c r="AA60" i="19"/>
  <c r="AB60" i="19"/>
  <c r="AA61" i="19"/>
  <c r="AB61" i="19"/>
  <c r="AA62" i="19"/>
  <c r="AB62" i="19"/>
  <c r="AA63" i="19"/>
  <c r="AB63" i="19"/>
  <c r="AA64" i="19"/>
  <c r="AB64" i="19"/>
  <c r="AB8" i="19"/>
  <c r="AB12" i="19"/>
  <c r="AB31" i="19"/>
  <c r="AA66" i="19"/>
  <c r="AB66" i="19"/>
  <c r="AA67" i="19"/>
  <c r="AB67" i="19"/>
  <c r="AA68" i="19"/>
  <c r="AB68" i="19"/>
  <c r="AA69" i="19"/>
  <c r="AB69" i="19"/>
  <c r="AA70" i="19"/>
  <c r="AB70" i="19"/>
  <c r="AA71" i="19"/>
  <c r="AB71" i="19"/>
  <c r="AA72" i="19"/>
  <c r="AB72" i="19"/>
  <c r="AA73" i="19"/>
  <c r="AB73" i="19"/>
  <c r="AA74" i="19"/>
  <c r="AB74" i="19"/>
  <c r="AA75" i="19"/>
  <c r="AB75" i="19"/>
  <c r="AA76" i="19"/>
  <c r="AB76" i="19"/>
  <c r="AA77" i="19"/>
  <c r="AB77" i="19"/>
  <c r="AA78" i="19"/>
  <c r="AB78" i="19"/>
  <c r="AA79" i="19"/>
  <c r="AB79" i="19"/>
  <c r="AA80" i="19"/>
  <c r="AB80" i="19"/>
  <c r="AA81" i="19"/>
  <c r="AB81" i="19"/>
  <c r="AA82" i="19"/>
  <c r="AB82" i="19"/>
  <c r="AA83" i="19"/>
  <c r="AB83" i="19"/>
  <c r="AA84" i="19"/>
  <c r="AB84" i="19"/>
  <c r="AA85" i="19"/>
  <c r="AB85" i="19"/>
  <c r="AA86" i="19"/>
  <c r="AB86" i="19"/>
  <c r="AA22" i="19"/>
  <c r="AA25" i="19"/>
  <c r="AB27" i="19"/>
  <c r="AA28" i="19"/>
  <c r="AB44" i="19"/>
  <c r="AA45" i="19"/>
  <c r="AA89" i="19"/>
  <c r="AB89" i="19"/>
  <c r="AA90" i="19"/>
  <c r="AB90" i="19"/>
  <c r="AA91" i="19"/>
  <c r="AB91" i="19"/>
  <c r="AA92" i="19"/>
  <c r="AB92" i="19"/>
  <c r="AA93" i="19"/>
  <c r="AB93" i="19"/>
  <c r="AA94" i="19"/>
  <c r="AB94" i="19"/>
  <c r="AA95" i="19"/>
  <c r="AB95" i="19"/>
  <c r="AA96" i="19"/>
  <c r="AB96" i="19"/>
  <c r="AA97" i="19"/>
  <c r="AB97" i="19"/>
  <c r="AA98" i="19"/>
  <c r="AB98" i="19"/>
  <c r="AA99" i="19"/>
  <c r="AB99" i="19"/>
  <c r="AA100" i="19"/>
  <c r="AB100" i="19"/>
  <c r="AA101" i="19"/>
  <c r="AB101" i="19"/>
  <c r="AA102" i="19"/>
  <c r="AB102" i="19"/>
  <c r="AA103" i="19"/>
  <c r="AB103" i="19"/>
  <c r="AA104" i="19"/>
  <c r="AB104" i="19"/>
  <c r="AA105" i="19"/>
  <c r="AB105" i="19"/>
  <c r="AA106" i="19"/>
  <c r="AB106" i="19"/>
  <c r="AA107" i="19"/>
  <c r="AB107" i="19"/>
  <c r="AB5" i="19"/>
  <c r="AB7" i="19"/>
  <c r="AB24" i="19"/>
  <c r="AB26" i="19"/>
  <c r="AB43" i="19"/>
  <c r="AA109" i="19"/>
  <c r="AB113" i="19"/>
  <c r="AA114" i="19"/>
  <c r="AB114" i="19"/>
  <c r="AA115" i="19"/>
  <c r="AB115" i="19"/>
  <c r="AA116" i="19"/>
  <c r="AB116" i="19"/>
  <c r="AA117" i="19"/>
  <c r="AB117" i="19"/>
  <c r="AA118" i="19"/>
  <c r="AB118" i="19"/>
  <c r="AA119" i="19"/>
  <c r="AB119" i="19"/>
  <c r="AA120" i="19"/>
  <c r="AB120" i="19"/>
  <c r="AA121" i="19"/>
  <c r="AB121" i="19"/>
  <c r="AA122" i="19"/>
  <c r="AB122" i="19"/>
  <c r="AA123" i="19"/>
  <c r="AB123" i="19"/>
  <c r="AA124" i="19"/>
  <c r="AB124" i="19"/>
  <c r="AA125" i="19"/>
  <c r="AB125" i="19"/>
  <c r="AA126" i="19"/>
  <c r="AB126" i="19"/>
  <c r="AA127" i="19"/>
  <c r="AB127" i="19"/>
  <c r="AA128" i="19"/>
  <c r="AB128" i="19"/>
  <c r="AA129" i="19"/>
  <c r="AB129" i="19"/>
  <c r="AA6" i="19"/>
  <c r="AA13" i="19"/>
  <c r="AB15" i="19"/>
  <c r="AA19" i="19"/>
  <c r="AB19" i="19"/>
  <c r="AA29" i="19"/>
  <c r="AA30" i="19"/>
  <c r="AA31" i="19"/>
  <c r="AB37" i="19"/>
  <c r="AB40" i="19"/>
  <c r="AB111" i="19"/>
  <c r="AA112" i="19"/>
  <c r="AA132" i="19"/>
  <c r="AA138" i="19"/>
  <c r="AB141" i="19"/>
  <c r="AA144" i="19"/>
  <c r="AB144" i="19"/>
  <c r="AA145" i="19"/>
  <c r="AB145" i="19"/>
  <c r="AA146" i="19"/>
  <c r="AB146" i="19"/>
  <c r="AA147" i="19"/>
  <c r="AB147" i="19"/>
  <c r="AA148" i="19"/>
  <c r="AB148" i="19"/>
  <c r="AA149" i="19"/>
  <c r="AB149" i="19"/>
  <c r="AA150" i="19"/>
  <c r="AB150" i="19"/>
  <c r="AA151" i="19"/>
  <c r="AB151" i="19"/>
  <c r="AA172" i="19"/>
  <c r="AA168" i="19"/>
  <c r="AA169" i="19"/>
  <c r="AB171" i="19"/>
  <c r="AB172" i="19"/>
  <c r="AA5" i="19"/>
  <c r="AA9" i="19"/>
  <c r="AB14" i="19"/>
  <c r="AB29" i="19"/>
  <c r="AB32" i="19"/>
  <c r="AA33" i="19"/>
  <c r="AA36" i="19"/>
  <c r="AA38" i="19"/>
  <c r="AB41" i="19"/>
  <c r="AA110" i="19"/>
  <c r="AA130" i="19"/>
  <c r="AA134" i="19"/>
  <c r="AA136" i="19"/>
  <c r="AA137" i="19"/>
  <c r="AB155" i="19"/>
  <c r="AA157" i="19"/>
  <c r="AA158" i="19"/>
  <c r="AB163" i="19"/>
  <c r="AA164" i="19"/>
  <c r="AB6" i="19"/>
  <c r="AA8" i="19"/>
  <c r="AA10" i="19"/>
  <c r="AA15" i="19"/>
  <c r="AA17" i="19"/>
  <c r="AB22" i="19"/>
  <c r="AA23" i="19"/>
  <c r="AB30" i="19"/>
  <c r="AA37" i="19"/>
  <c r="AA39" i="19"/>
  <c r="AB65" i="19"/>
  <c r="AB110" i="19"/>
  <c r="AA111" i="19"/>
  <c r="AB130" i="19"/>
  <c r="AB133" i="19"/>
  <c r="AB134" i="19"/>
  <c r="AB135" i="19"/>
  <c r="AB143" i="19"/>
  <c r="AA156" i="19"/>
  <c r="AB158" i="19"/>
  <c r="AA159" i="19"/>
  <c r="AB160" i="19"/>
  <c r="AB161" i="19"/>
  <c r="AA7" i="19"/>
  <c r="AB20" i="19"/>
  <c r="AB23" i="19"/>
  <c r="AA26" i="19"/>
  <c r="AA41" i="19"/>
  <c r="AA43" i="19"/>
  <c r="AB131" i="19"/>
  <c r="AB138" i="19"/>
  <c r="AB139" i="19"/>
  <c r="AA143" i="19"/>
  <c r="AB152" i="19"/>
  <c r="AA160" i="19"/>
  <c r="AA163" i="19"/>
  <c r="AA167" i="19"/>
  <c r="AB10" i="19"/>
  <c r="AA11" i="19"/>
  <c r="AA14" i="19"/>
  <c r="AB18" i="19"/>
  <c r="AB33" i="19"/>
  <c r="AB36" i="19"/>
  <c r="AB38" i="19"/>
  <c r="AB87" i="19"/>
  <c r="AB109" i="19"/>
  <c r="AB112" i="19"/>
  <c r="AB140" i="19"/>
  <c r="AA142" i="19"/>
  <c r="AA153" i="19"/>
  <c r="AA161" i="19"/>
  <c r="AA170" i="19"/>
  <c r="AB167" i="19"/>
  <c r="AA12" i="19"/>
  <c r="AA16" i="19"/>
  <c r="AB16" i="19"/>
  <c r="AA18" i="19"/>
  <c r="AB25" i="19"/>
  <c r="AB35" i="19"/>
  <c r="AA40" i="19"/>
  <c r="AA65" i="19"/>
  <c r="AA113" i="19"/>
  <c r="AA131" i="19"/>
  <c r="AB132" i="19"/>
  <c r="AB136" i="19"/>
  <c r="AA140" i="19"/>
  <c r="AB154" i="19"/>
  <c r="AB156" i="19"/>
  <c r="AI5" i="19" l="1"/>
  <c r="AH6" i="19"/>
  <c r="AI13" i="19"/>
  <c r="AI19" i="19"/>
  <c r="AI20" i="19"/>
  <c r="AH25" i="19"/>
  <c r="AI26" i="19"/>
  <c r="AH29" i="19"/>
  <c r="AI65" i="19"/>
  <c r="AI130" i="19"/>
  <c r="AI138" i="19"/>
  <c r="AI158" i="19"/>
  <c r="AH160" i="19"/>
  <c r="AH161" i="19"/>
  <c r="AH163" i="19"/>
  <c r="AH166" i="19"/>
  <c r="AH167" i="19"/>
  <c r="AH21" i="19"/>
  <c r="AI21" i="19"/>
  <c r="AI9" i="19"/>
  <c r="AI17" i="19"/>
  <c r="AI24" i="19"/>
  <c r="AI32" i="19"/>
  <c r="AH37" i="19"/>
  <c r="AI40" i="19"/>
  <c r="AH43" i="19"/>
  <c r="AH44" i="19"/>
  <c r="AH46" i="19"/>
  <c r="AI46" i="19"/>
  <c r="AH47" i="19"/>
  <c r="AI47" i="19"/>
  <c r="AH48" i="19"/>
  <c r="AI48" i="19"/>
  <c r="AH49" i="19"/>
  <c r="AI49" i="19"/>
  <c r="AH50" i="19"/>
  <c r="AI50" i="19"/>
  <c r="AH51" i="19"/>
  <c r="AI51" i="19"/>
  <c r="AH52" i="19"/>
  <c r="AI52" i="19"/>
  <c r="AH53" i="19"/>
  <c r="AI53" i="19"/>
  <c r="AH54" i="19"/>
  <c r="AI54" i="19"/>
  <c r="AH55" i="19"/>
  <c r="AI55" i="19"/>
  <c r="AH56" i="19"/>
  <c r="AI56" i="19"/>
  <c r="AH57" i="19"/>
  <c r="AI57" i="19"/>
  <c r="AH58" i="19"/>
  <c r="AI58" i="19"/>
  <c r="AH59" i="19"/>
  <c r="AI59" i="19"/>
  <c r="AH60" i="19"/>
  <c r="AI60" i="19"/>
  <c r="AH61" i="19"/>
  <c r="AI61" i="19"/>
  <c r="AH62" i="19"/>
  <c r="AI62" i="19"/>
  <c r="AH63" i="19"/>
  <c r="AI63" i="19"/>
  <c r="AH64" i="19"/>
  <c r="AI64" i="19"/>
  <c r="AI11" i="19"/>
  <c r="AI14" i="19"/>
  <c r="AI25" i="19"/>
  <c r="AH26" i="19"/>
  <c r="AI27" i="19"/>
  <c r="AH34" i="19"/>
  <c r="AH66" i="19"/>
  <c r="AI66" i="19"/>
  <c r="AH67" i="19"/>
  <c r="AI67" i="19"/>
  <c r="AH68" i="19"/>
  <c r="AI68" i="19"/>
  <c r="AH69" i="19"/>
  <c r="AI69" i="19"/>
  <c r="AH70" i="19"/>
  <c r="AI70" i="19"/>
  <c r="AH71" i="19"/>
  <c r="AI71" i="19"/>
  <c r="AH72" i="19"/>
  <c r="AI72" i="19"/>
  <c r="AH73" i="19"/>
  <c r="AI73" i="19"/>
  <c r="AH74" i="19"/>
  <c r="AI74" i="19"/>
  <c r="AH75" i="19"/>
  <c r="AI75" i="19"/>
  <c r="AH76" i="19"/>
  <c r="AI76" i="19"/>
  <c r="AH77" i="19"/>
  <c r="AI77" i="19"/>
  <c r="AH78" i="19"/>
  <c r="AI78" i="19"/>
  <c r="AH79" i="19"/>
  <c r="AI79" i="19"/>
  <c r="AH80" i="19"/>
  <c r="AI80" i="19"/>
  <c r="AH81" i="19"/>
  <c r="AI81" i="19"/>
  <c r="AH82" i="19"/>
  <c r="AI82" i="19"/>
  <c r="AH83" i="19"/>
  <c r="AI83" i="19"/>
  <c r="AH84" i="19"/>
  <c r="AI84" i="19"/>
  <c r="AH85" i="19"/>
  <c r="AI85" i="19"/>
  <c r="AH86" i="19"/>
  <c r="AI86" i="19"/>
  <c r="AI7" i="19"/>
  <c r="AH12" i="19"/>
  <c r="AI15" i="19"/>
  <c r="AH23" i="19"/>
  <c r="AH24" i="19"/>
  <c r="AH28" i="19"/>
  <c r="AI87" i="19"/>
  <c r="AH89" i="19"/>
  <c r="AI89" i="19"/>
  <c r="AH90" i="19"/>
  <c r="AI90" i="19"/>
  <c r="AH91" i="19"/>
  <c r="AI91" i="19"/>
  <c r="AH92" i="19"/>
  <c r="AI92" i="19"/>
  <c r="AH93" i="19"/>
  <c r="AI93" i="19"/>
  <c r="AH94" i="19"/>
  <c r="AI94" i="19"/>
  <c r="AH95" i="19"/>
  <c r="AI95" i="19"/>
  <c r="AH96" i="19"/>
  <c r="AI96" i="19"/>
  <c r="AH97" i="19"/>
  <c r="AI97" i="19"/>
  <c r="AH98" i="19"/>
  <c r="AI98" i="19"/>
  <c r="AH99" i="19"/>
  <c r="AI99" i="19"/>
  <c r="AH100" i="19"/>
  <c r="AI100" i="19"/>
  <c r="AH101" i="19"/>
  <c r="AI101" i="19"/>
  <c r="AH102" i="19"/>
  <c r="AI102" i="19"/>
  <c r="AH103" i="19"/>
  <c r="AI103" i="19"/>
  <c r="AH104" i="19"/>
  <c r="AI104" i="19"/>
  <c r="AH105" i="19"/>
  <c r="AI105" i="19"/>
  <c r="AH106" i="19"/>
  <c r="AI106" i="19"/>
  <c r="AH107" i="19"/>
  <c r="AI107" i="19"/>
  <c r="AI18" i="19"/>
  <c r="AI23" i="19"/>
  <c r="AI30" i="19"/>
  <c r="AI37" i="19"/>
  <c r="AI39" i="19"/>
  <c r="AI41" i="19"/>
  <c r="AH87" i="19"/>
  <c r="AI110" i="19"/>
  <c r="AH111" i="19"/>
  <c r="AH114" i="19"/>
  <c r="AI114" i="19"/>
  <c r="AH115" i="19"/>
  <c r="AI115" i="19"/>
  <c r="AH116" i="19"/>
  <c r="AI116" i="19"/>
  <c r="AH117" i="19"/>
  <c r="AI117" i="19"/>
  <c r="AH118" i="19"/>
  <c r="AI118" i="19"/>
  <c r="AH119" i="19"/>
  <c r="AI119" i="19"/>
  <c r="AH120" i="19"/>
  <c r="AI120" i="19"/>
  <c r="AH121" i="19"/>
  <c r="AI121" i="19"/>
  <c r="AH122" i="19"/>
  <c r="AI122" i="19"/>
  <c r="AH123" i="19"/>
  <c r="AI123" i="19"/>
  <c r="AH124" i="19"/>
  <c r="AI124" i="19"/>
  <c r="AH125" i="19"/>
  <c r="AI125" i="19"/>
  <c r="AH126" i="19"/>
  <c r="AI126" i="19"/>
  <c r="AH127" i="19"/>
  <c r="AI127" i="19"/>
  <c r="AH128" i="19"/>
  <c r="AI128" i="19"/>
  <c r="AH129" i="19"/>
  <c r="AI129" i="19"/>
  <c r="AI6" i="19"/>
  <c r="AI10" i="19"/>
  <c r="AH11" i="19"/>
  <c r="AI12" i="19"/>
  <c r="AH17" i="19"/>
  <c r="AH22" i="19"/>
  <c r="AH32" i="19"/>
  <c r="AH35" i="19"/>
  <c r="AH45" i="19"/>
  <c r="AH88" i="19"/>
  <c r="AI113" i="19"/>
  <c r="AI134" i="19"/>
  <c r="AH135" i="19"/>
  <c r="AH140" i="19"/>
  <c r="AH142" i="19"/>
  <c r="AH143" i="19"/>
  <c r="AH144" i="19"/>
  <c r="AI144" i="19"/>
  <c r="AH145" i="19"/>
  <c r="AI145" i="19"/>
  <c r="AH146" i="19"/>
  <c r="AI146" i="19"/>
  <c r="AH147" i="19"/>
  <c r="AI147" i="19"/>
  <c r="AH148" i="19"/>
  <c r="AI148" i="19"/>
  <c r="AH149" i="19"/>
  <c r="AI149" i="19"/>
  <c r="AH150" i="19"/>
  <c r="AI150" i="19"/>
  <c r="AH168" i="19"/>
  <c r="AI169" i="19"/>
  <c r="AP1" i="19"/>
  <c r="AH13" i="19"/>
  <c r="AI33" i="19"/>
  <c r="AI35" i="19"/>
  <c r="AI36" i="19"/>
  <c r="AH40" i="19"/>
  <c r="AI42" i="19"/>
  <c r="AI45" i="19"/>
  <c r="AI133" i="19"/>
  <c r="AI143" i="19"/>
  <c r="AI151" i="19"/>
  <c r="AI153" i="19"/>
  <c r="AH156" i="19"/>
  <c r="AI157" i="19"/>
  <c r="AI164" i="19"/>
  <c r="AH169" i="19"/>
  <c r="AH5" i="19"/>
  <c r="AI8" i="19"/>
  <c r="AI29" i="19"/>
  <c r="AH31" i="19"/>
  <c r="AH33" i="19"/>
  <c r="AH36" i="19"/>
  <c r="AH42" i="19"/>
  <c r="AI43" i="19"/>
  <c r="AI88" i="19"/>
  <c r="AI109" i="19"/>
  <c r="AH112" i="19"/>
  <c r="AI131" i="19"/>
  <c r="AH136" i="19"/>
  <c r="AH139" i="19"/>
  <c r="AI141" i="19"/>
  <c r="AI142" i="19"/>
  <c r="AH153" i="19"/>
  <c r="AI156" i="19"/>
  <c r="AI161" i="19"/>
  <c r="AI163" i="19"/>
  <c r="AH170" i="19"/>
  <c r="AH172" i="19"/>
  <c r="AI22" i="19"/>
  <c r="AI34" i="19"/>
  <c r="AH39" i="19"/>
  <c r="AH109" i="19"/>
  <c r="AH113" i="19"/>
  <c r="AH132" i="19"/>
  <c r="AH134" i="19"/>
  <c r="AH141" i="19"/>
  <c r="AH151" i="19"/>
  <c r="AH154" i="19"/>
  <c r="AI155" i="19"/>
  <c r="AH158" i="19"/>
  <c r="AI162" i="19"/>
  <c r="AH9" i="19"/>
  <c r="AH15" i="19"/>
  <c r="AH16" i="19"/>
  <c r="AH20" i="19"/>
  <c r="AH41" i="19"/>
  <c r="AH65" i="19"/>
  <c r="AH108" i="19"/>
  <c r="AI132" i="19"/>
  <c r="AH137" i="19"/>
  <c r="AH138" i="19"/>
  <c r="AH155" i="19"/>
  <c r="AH157" i="19"/>
  <c r="AI160" i="19"/>
  <c r="AH162" i="19"/>
  <c r="AI172" i="19"/>
  <c r="AI167" i="19"/>
  <c r="AH7" i="19"/>
  <c r="AH14" i="19"/>
  <c r="AH18" i="19"/>
  <c r="AH19" i="19"/>
  <c r="AI38" i="19"/>
  <c r="AI44" i="19"/>
  <c r="AI108" i="19"/>
  <c r="AH110" i="19"/>
  <c r="AH133" i="19"/>
  <c r="AI135" i="19"/>
  <c r="AI137" i="19"/>
  <c r="AI152" i="19"/>
  <c r="AH159" i="19"/>
  <c r="AI159" i="19"/>
  <c r="AH164" i="19"/>
  <c r="AH8" i="19"/>
  <c r="AH10" i="19"/>
  <c r="AI16" i="19"/>
  <c r="AH27" i="19"/>
  <c r="AI28" i="19"/>
  <c r="AH30" i="19"/>
  <c r="AI31" i="19"/>
  <c r="AH38" i="19"/>
  <c r="AI111" i="19"/>
  <c r="AI112" i="19"/>
  <c r="AH130" i="19"/>
  <c r="AH131" i="19"/>
  <c r="AI136" i="19"/>
  <c r="AI139" i="19"/>
  <c r="AI140" i="19"/>
  <c r="AH152" i="19"/>
  <c r="AI154" i="19"/>
  <c r="AI168" i="19"/>
  <c r="AI170" i="19"/>
  <c r="AH171" i="19"/>
  <c r="AI171" i="19"/>
  <c r="AH165" i="19"/>
  <c r="AI165" i="19"/>
  <c r="AI166" i="19"/>
  <c r="AP5" i="19" l="1"/>
  <c r="AP12" i="19"/>
  <c r="AP13" i="19"/>
  <c r="AO28" i="19"/>
  <c r="AP38" i="19"/>
  <c r="AO65" i="19"/>
  <c r="AO110" i="19"/>
  <c r="AO134" i="19"/>
  <c r="AP138" i="19"/>
  <c r="AP142" i="19"/>
  <c r="AO154" i="19"/>
  <c r="AO160" i="19"/>
  <c r="AP163" i="19"/>
  <c r="AO172" i="19"/>
  <c r="AO7" i="19"/>
  <c r="AP18" i="19"/>
  <c r="AP30" i="19"/>
  <c r="AO31" i="19"/>
  <c r="AP32" i="19"/>
  <c r="AO34" i="19"/>
  <c r="AO41" i="19"/>
  <c r="AP112" i="19"/>
  <c r="AO132" i="19"/>
  <c r="AO133" i="19"/>
  <c r="AO139" i="19"/>
  <c r="AP139" i="19"/>
  <c r="AP140" i="19"/>
  <c r="AP152" i="19"/>
  <c r="AP155" i="19"/>
  <c r="AP157" i="19"/>
  <c r="AP158" i="19"/>
  <c r="AP14" i="19"/>
  <c r="AP16" i="19"/>
  <c r="AP24" i="19"/>
  <c r="AP27" i="19"/>
  <c r="AP28" i="19"/>
  <c r="AO30" i="19"/>
  <c r="AO36" i="19"/>
  <c r="AP36" i="19"/>
  <c r="AP43" i="19"/>
  <c r="AO45" i="19"/>
  <c r="AO112" i="19"/>
  <c r="AP133" i="19"/>
  <c r="AO137" i="19"/>
  <c r="AO153" i="19"/>
  <c r="AP156" i="19"/>
  <c r="AO158" i="19"/>
  <c r="AP159" i="19"/>
  <c r="AP160" i="19"/>
  <c r="AO161" i="19"/>
  <c r="AW1" i="19"/>
  <c r="AP29" i="19"/>
  <c r="AO35" i="19"/>
  <c r="AP37" i="19"/>
  <c r="AO108" i="19"/>
  <c r="AO138" i="19"/>
  <c r="AP143" i="19"/>
  <c r="AP154" i="19"/>
  <c r="AO156" i="19"/>
  <c r="AP161" i="19"/>
  <c r="AP164" i="19"/>
  <c r="AP170" i="19"/>
  <c r="AO167" i="19"/>
  <c r="AP167" i="19"/>
  <c r="AO8" i="19"/>
  <c r="AP11" i="19"/>
  <c r="AP19" i="19"/>
  <c r="AP20" i="19"/>
  <c r="AO23" i="19"/>
  <c r="AO33" i="19"/>
  <c r="AO42" i="19"/>
  <c r="AP108" i="19"/>
  <c r="AP130" i="19"/>
  <c r="AP131" i="19"/>
  <c r="AP135" i="19"/>
  <c r="AO140" i="19"/>
  <c r="AP151" i="19"/>
  <c r="AO157" i="19"/>
  <c r="AO162" i="19"/>
  <c r="AO163" i="19"/>
  <c r="AP6" i="19"/>
  <c r="AP7" i="19"/>
  <c r="AP8" i="19"/>
  <c r="AO9" i="19"/>
  <c r="AO24" i="19"/>
  <c r="AO26" i="19"/>
  <c r="AP33" i="19"/>
  <c r="AP42" i="19"/>
  <c r="AO43" i="19"/>
  <c r="AP87" i="19"/>
  <c r="AO135" i="19"/>
  <c r="AO142" i="19"/>
  <c r="AO152" i="19"/>
  <c r="AO155" i="19"/>
  <c r="AO159" i="19"/>
  <c r="AP162" i="19"/>
  <c r="AO164" i="19"/>
  <c r="AP171" i="19"/>
  <c r="AO168" i="19"/>
  <c r="AO169" i="19"/>
  <c r="AP169" i="19"/>
  <c r="AO170" i="19"/>
  <c r="AO165" i="19"/>
  <c r="AP165" i="19"/>
  <c r="AO14" i="19"/>
  <c r="AO15" i="19"/>
  <c r="AO25" i="19"/>
  <c r="AO40" i="19"/>
  <c r="AP41" i="19"/>
  <c r="AP86" i="19"/>
  <c r="AO87" i="19"/>
  <c r="AO88" i="19"/>
  <c r="AP109" i="19"/>
  <c r="AO111" i="19"/>
  <c r="AP134" i="19"/>
  <c r="AO136" i="19"/>
  <c r="AP137" i="19"/>
  <c r="AO141" i="19"/>
  <c r="AO143" i="19"/>
  <c r="AO151" i="19"/>
  <c r="AP153" i="19"/>
  <c r="AO166" i="19"/>
  <c r="AP166" i="19"/>
  <c r="AO21" i="19"/>
  <c r="AP21" i="19"/>
  <c r="AP10" i="19"/>
  <c r="AP15" i="19"/>
  <c r="AP26" i="19"/>
  <c r="AP31" i="19"/>
  <c r="AO37" i="19"/>
  <c r="AO44" i="19"/>
  <c r="AO46" i="19"/>
  <c r="AP46" i="19"/>
  <c r="AO47" i="19"/>
  <c r="AP47" i="19"/>
  <c r="AO48" i="19"/>
  <c r="AP48" i="19"/>
  <c r="AO49" i="19"/>
  <c r="AP49" i="19"/>
  <c r="AO50" i="19"/>
  <c r="AP50" i="19"/>
  <c r="AO51" i="19"/>
  <c r="AP51" i="19"/>
  <c r="AO52" i="19"/>
  <c r="AP52" i="19"/>
  <c r="AO53" i="19"/>
  <c r="AP53" i="19"/>
  <c r="AO54" i="19"/>
  <c r="AP54" i="19"/>
  <c r="AO55" i="19"/>
  <c r="AP55" i="19"/>
  <c r="AO56" i="19"/>
  <c r="AP56" i="19"/>
  <c r="AO57" i="19"/>
  <c r="AP57" i="19"/>
  <c r="AO58" i="19"/>
  <c r="AP58" i="19"/>
  <c r="AO59" i="19"/>
  <c r="AP59" i="19"/>
  <c r="AO60" i="19"/>
  <c r="AP60" i="19"/>
  <c r="AO61" i="19"/>
  <c r="AP61" i="19"/>
  <c r="AO62" i="19"/>
  <c r="AP62" i="19"/>
  <c r="AO63" i="19"/>
  <c r="AP63" i="19"/>
  <c r="AO64" i="19"/>
  <c r="AP64" i="19"/>
  <c r="AO19" i="19"/>
  <c r="AO20" i="19"/>
  <c r="AP35" i="19"/>
  <c r="AO38" i="19"/>
  <c r="AP40" i="19"/>
  <c r="AP65" i="19"/>
  <c r="AO66" i="19"/>
  <c r="AP66" i="19"/>
  <c r="AO67" i="19"/>
  <c r="AP67" i="19"/>
  <c r="AO68" i="19"/>
  <c r="AP68" i="19"/>
  <c r="AO69" i="19"/>
  <c r="AP69" i="19"/>
  <c r="AO70" i="19"/>
  <c r="AP70" i="19"/>
  <c r="AO71" i="19"/>
  <c r="AP71" i="19"/>
  <c r="AO72" i="19"/>
  <c r="AP72" i="19"/>
  <c r="AO73" i="19"/>
  <c r="AP73" i="19"/>
  <c r="AO74" i="19"/>
  <c r="AP74" i="19"/>
  <c r="AO75" i="19"/>
  <c r="AP75" i="19"/>
  <c r="AO76" i="19"/>
  <c r="AP76" i="19"/>
  <c r="AO77" i="19"/>
  <c r="AP77" i="19"/>
  <c r="AO78" i="19"/>
  <c r="AP78" i="19"/>
  <c r="AO79" i="19"/>
  <c r="AP79" i="19"/>
  <c r="AO80" i="19"/>
  <c r="AP80" i="19"/>
  <c r="AO81" i="19"/>
  <c r="AP81" i="19"/>
  <c r="AO82" i="19"/>
  <c r="AP82" i="19"/>
  <c r="AO83" i="19"/>
  <c r="AP83" i="19"/>
  <c r="AO84" i="19"/>
  <c r="AP84" i="19"/>
  <c r="AO85" i="19"/>
  <c r="AP85" i="19"/>
  <c r="AO6" i="19"/>
  <c r="AO10" i="19"/>
  <c r="AO22" i="19"/>
  <c r="AO29" i="19"/>
  <c r="AO39" i="19"/>
  <c r="AP88" i="19"/>
  <c r="AO89" i="19"/>
  <c r="AP89" i="19"/>
  <c r="AO90" i="19"/>
  <c r="AP90" i="19"/>
  <c r="AO91" i="19"/>
  <c r="AP91" i="19"/>
  <c r="AO92" i="19"/>
  <c r="AP92" i="19"/>
  <c r="AO93" i="19"/>
  <c r="AP93" i="19"/>
  <c r="AO94" i="19"/>
  <c r="AP94" i="19"/>
  <c r="AO95" i="19"/>
  <c r="AP95" i="19"/>
  <c r="AO96" i="19"/>
  <c r="AP96" i="19"/>
  <c r="AO97" i="19"/>
  <c r="AP97" i="19"/>
  <c r="AO98" i="19"/>
  <c r="AP98" i="19"/>
  <c r="AO99" i="19"/>
  <c r="AP99" i="19"/>
  <c r="AO100" i="19"/>
  <c r="AP100" i="19"/>
  <c r="AO101" i="19"/>
  <c r="AP101" i="19"/>
  <c r="AO102" i="19"/>
  <c r="AP102" i="19"/>
  <c r="AO103" i="19"/>
  <c r="AP103" i="19"/>
  <c r="AO104" i="19"/>
  <c r="AP104" i="19"/>
  <c r="AO105" i="19"/>
  <c r="AP105" i="19"/>
  <c r="AO106" i="19"/>
  <c r="AP106" i="19"/>
  <c r="AO107" i="19"/>
  <c r="AP107" i="19"/>
  <c r="AO12" i="19"/>
  <c r="AO16" i="19"/>
  <c r="AO17" i="19"/>
  <c r="AP17" i="19"/>
  <c r="AP45" i="19"/>
  <c r="AO86" i="19"/>
  <c r="AP111" i="19"/>
  <c r="AO113" i="19"/>
  <c r="AP113" i="19"/>
  <c r="AO114" i="19"/>
  <c r="AP114" i="19"/>
  <c r="AO115" i="19"/>
  <c r="AP115" i="19"/>
  <c r="AO116" i="19"/>
  <c r="AP116" i="19"/>
  <c r="AO117" i="19"/>
  <c r="AP117" i="19"/>
  <c r="AO118" i="19"/>
  <c r="AP118" i="19"/>
  <c r="AO119" i="19"/>
  <c r="AP119" i="19"/>
  <c r="AO120" i="19"/>
  <c r="AP120" i="19"/>
  <c r="AO121" i="19"/>
  <c r="AP121" i="19"/>
  <c r="AO122" i="19"/>
  <c r="AP122" i="19"/>
  <c r="AO123" i="19"/>
  <c r="AP123" i="19"/>
  <c r="AO124" i="19"/>
  <c r="AP124" i="19"/>
  <c r="AO125" i="19"/>
  <c r="AP125" i="19"/>
  <c r="AO126" i="19"/>
  <c r="AP126" i="19"/>
  <c r="AO127" i="19"/>
  <c r="AP127" i="19"/>
  <c r="AO128" i="19"/>
  <c r="AP128" i="19"/>
  <c r="AO129" i="19"/>
  <c r="AP129" i="19"/>
  <c r="AO5" i="19"/>
  <c r="AP9" i="19"/>
  <c r="AO11" i="19"/>
  <c r="AO13" i="19"/>
  <c r="AO18" i="19"/>
  <c r="AP22" i="19"/>
  <c r="AP23" i="19"/>
  <c r="AP25" i="19"/>
  <c r="AO27" i="19"/>
  <c r="AO32" i="19"/>
  <c r="AP34" i="19"/>
  <c r="AP39" i="19"/>
  <c r="AP44" i="19"/>
  <c r="AO109" i="19"/>
  <c r="AP110" i="19"/>
  <c r="AO130" i="19"/>
  <c r="AO131" i="19"/>
  <c r="AP132" i="19"/>
  <c r="AP136" i="19"/>
  <c r="AP141" i="19"/>
  <c r="AO144" i="19"/>
  <c r="AP144" i="19"/>
  <c r="AO145" i="19"/>
  <c r="AP145" i="19"/>
  <c r="AO146" i="19"/>
  <c r="AP146" i="19"/>
  <c r="AO147" i="19"/>
  <c r="AP147" i="19"/>
  <c r="AO148" i="19"/>
  <c r="AP148" i="19"/>
  <c r="AO149" i="19"/>
  <c r="AP149" i="19"/>
  <c r="AO150" i="19"/>
  <c r="AP150" i="19"/>
  <c r="AP168" i="19"/>
  <c r="AP172" i="19"/>
  <c r="AO171" i="19"/>
  <c r="AV17" i="19" l="1"/>
  <c r="AW19" i="19"/>
  <c r="AW30" i="19"/>
  <c r="AW42" i="19"/>
  <c r="AW45" i="19"/>
  <c r="AW86" i="19"/>
  <c r="AV88" i="19"/>
  <c r="AW109" i="19"/>
  <c r="AW137" i="19"/>
  <c r="AW138" i="19"/>
  <c r="AV142" i="19"/>
  <c r="AV153" i="19"/>
  <c r="AW157" i="19"/>
  <c r="AV158" i="19"/>
  <c r="AV162" i="19"/>
  <c r="AW167" i="19"/>
  <c r="AV9" i="19"/>
  <c r="AW11" i="19"/>
  <c r="AW28" i="19"/>
  <c r="AW33" i="19"/>
  <c r="AW34" i="19"/>
  <c r="AV38" i="19"/>
  <c r="AV45" i="19"/>
  <c r="AV109" i="19"/>
  <c r="AV110" i="19"/>
  <c r="AV111" i="19"/>
  <c r="AW133" i="19"/>
  <c r="AV137" i="19"/>
  <c r="AV139" i="19"/>
  <c r="AW140" i="19"/>
  <c r="AW152" i="19"/>
  <c r="AW159" i="19"/>
  <c r="AV160" i="19"/>
  <c r="AW163" i="19"/>
  <c r="AV164" i="19"/>
  <c r="AV11" i="19"/>
  <c r="AW15" i="19"/>
  <c r="AV16" i="19"/>
  <c r="AW20" i="19"/>
  <c r="AW24" i="19"/>
  <c r="AV41" i="19"/>
  <c r="AV43" i="19"/>
  <c r="AW110" i="19"/>
  <c r="AW131" i="19"/>
  <c r="AW134" i="19"/>
  <c r="AV135" i="19"/>
  <c r="AW151" i="19"/>
  <c r="AV156" i="19"/>
  <c r="AW161" i="19"/>
  <c r="AW162" i="19"/>
  <c r="AV168" i="19"/>
  <c r="AV170" i="19"/>
  <c r="AV171" i="19"/>
  <c r="AV172" i="19"/>
  <c r="AW172" i="19"/>
  <c r="AV165" i="19"/>
  <c r="AW165" i="19"/>
  <c r="AW16" i="19"/>
  <c r="AW18" i="19"/>
  <c r="AW21" i="19"/>
  <c r="AW26" i="19"/>
  <c r="AW27" i="19"/>
  <c r="AW31" i="19"/>
  <c r="AV36" i="19"/>
  <c r="AV40" i="19"/>
  <c r="AV87" i="19"/>
  <c r="AW111" i="19"/>
  <c r="AV136" i="19"/>
  <c r="AW155" i="19"/>
  <c r="AW158" i="19"/>
  <c r="AW160" i="19"/>
  <c r="AV166" i="19"/>
  <c r="AW166" i="19"/>
  <c r="AW6" i="19"/>
  <c r="AW7" i="19"/>
  <c r="AW29" i="19"/>
  <c r="AV33" i="19"/>
  <c r="AV42" i="19"/>
  <c r="AV46" i="19"/>
  <c r="AW46" i="19"/>
  <c r="AV47" i="19"/>
  <c r="AW47" i="19"/>
  <c r="AV48" i="19"/>
  <c r="AW48" i="19"/>
  <c r="AV49" i="19"/>
  <c r="AW49" i="19"/>
  <c r="AV50" i="19"/>
  <c r="AW50" i="19"/>
  <c r="AV51" i="19"/>
  <c r="AW51" i="19"/>
  <c r="AV52" i="19"/>
  <c r="AW52" i="19"/>
  <c r="AV53" i="19"/>
  <c r="AW53" i="19"/>
  <c r="AV54" i="19"/>
  <c r="AW54" i="19"/>
  <c r="AV55" i="19"/>
  <c r="AW55" i="19"/>
  <c r="AV56" i="19"/>
  <c r="AW56" i="19"/>
  <c r="AV57" i="19"/>
  <c r="AW57" i="19"/>
  <c r="AV58" i="19"/>
  <c r="AW58" i="19"/>
  <c r="AV59" i="19"/>
  <c r="AW59" i="19"/>
  <c r="AV60" i="19"/>
  <c r="AW60" i="19"/>
  <c r="AV61" i="19"/>
  <c r="AW61" i="19"/>
  <c r="AV62" i="19"/>
  <c r="AW62" i="19"/>
  <c r="AV63" i="19"/>
  <c r="AW63" i="19"/>
  <c r="AV64" i="19"/>
  <c r="AW64" i="19"/>
  <c r="AV10" i="19"/>
  <c r="AV12" i="19"/>
  <c r="AV14" i="19"/>
  <c r="AW32" i="19"/>
  <c r="AV39" i="19"/>
  <c r="AW43" i="19"/>
  <c r="AV66" i="19"/>
  <c r="AW66" i="19"/>
  <c r="AV67" i="19"/>
  <c r="AW67" i="19"/>
  <c r="AV68" i="19"/>
  <c r="AW68" i="19"/>
  <c r="AV69" i="19"/>
  <c r="AW69" i="19"/>
  <c r="AV70" i="19"/>
  <c r="AW70" i="19"/>
  <c r="AV71" i="19"/>
  <c r="AW71" i="19"/>
  <c r="AV72" i="19"/>
  <c r="AW72" i="19"/>
  <c r="AV73" i="19"/>
  <c r="AW73" i="19"/>
  <c r="AV74" i="19"/>
  <c r="AW74" i="19"/>
  <c r="AV75" i="19"/>
  <c r="AW75" i="19"/>
  <c r="AV76" i="19"/>
  <c r="AW76" i="19"/>
  <c r="AV77" i="19"/>
  <c r="AW77" i="19"/>
  <c r="AV78" i="19"/>
  <c r="AW78" i="19"/>
  <c r="AV79" i="19"/>
  <c r="AW79" i="19"/>
  <c r="AV80" i="19"/>
  <c r="AW80" i="19"/>
  <c r="AV81" i="19"/>
  <c r="AW81" i="19"/>
  <c r="AV82" i="19"/>
  <c r="AW82" i="19"/>
  <c r="AV83" i="19"/>
  <c r="AW83" i="19"/>
  <c r="AV84" i="19"/>
  <c r="AW84" i="19"/>
  <c r="AV85" i="19"/>
  <c r="AW85" i="19"/>
  <c r="AV22" i="19"/>
  <c r="AV24" i="19"/>
  <c r="AV25" i="19"/>
  <c r="AV29" i="19"/>
  <c r="AV37" i="19"/>
  <c r="AV65" i="19"/>
  <c r="AV86" i="19"/>
  <c r="AV89" i="19"/>
  <c r="AW89" i="19"/>
  <c r="AV90" i="19"/>
  <c r="AW90" i="19"/>
  <c r="AV91" i="19"/>
  <c r="AW91" i="19"/>
  <c r="AV92" i="19"/>
  <c r="AW92" i="19"/>
  <c r="AV93" i="19"/>
  <c r="AW93" i="19"/>
  <c r="AV94" i="19"/>
  <c r="AW94" i="19"/>
  <c r="AV95" i="19"/>
  <c r="AW95" i="19"/>
  <c r="AV96" i="19"/>
  <c r="AW96" i="19"/>
  <c r="AV97" i="19"/>
  <c r="AW97" i="19"/>
  <c r="AV98" i="19"/>
  <c r="AW98" i="19"/>
  <c r="AV99" i="19"/>
  <c r="AW99" i="19"/>
  <c r="AV100" i="19"/>
  <c r="AW100" i="19"/>
  <c r="AV101" i="19"/>
  <c r="AW101" i="19"/>
  <c r="AV102" i="19"/>
  <c r="AW102" i="19"/>
  <c r="AV103" i="19"/>
  <c r="AW103" i="19"/>
  <c r="AV104" i="19"/>
  <c r="AW104" i="19"/>
  <c r="AV105" i="19"/>
  <c r="AW105" i="19"/>
  <c r="AV106" i="19"/>
  <c r="AW106" i="19"/>
  <c r="AV107" i="19"/>
  <c r="AW107" i="19"/>
  <c r="AW5" i="19"/>
  <c r="AW13" i="19"/>
  <c r="AW14" i="19"/>
  <c r="AV23" i="19"/>
  <c r="AV26" i="19"/>
  <c r="AV27" i="19"/>
  <c r="AV28" i="19"/>
  <c r="AV31" i="19"/>
  <c r="AW36" i="19"/>
  <c r="AW40" i="19"/>
  <c r="AV112" i="19"/>
  <c r="AV113" i="19"/>
  <c r="AW113" i="19"/>
  <c r="AV114" i="19"/>
  <c r="AW114" i="19"/>
  <c r="AV115" i="19"/>
  <c r="AW115" i="19"/>
  <c r="AV116" i="19"/>
  <c r="AW116" i="19"/>
  <c r="AV117" i="19"/>
  <c r="AW117" i="19"/>
  <c r="AV118" i="19"/>
  <c r="AW118" i="19"/>
  <c r="AV119" i="19"/>
  <c r="AW119" i="19"/>
  <c r="AV120" i="19"/>
  <c r="AW120" i="19"/>
  <c r="AV121" i="19"/>
  <c r="AW121" i="19"/>
  <c r="AV122" i="19"/>
  <c r="AW122" i="19"/>
  <c r="AV123" i="19"/>
  <c r="AW123" i="19"/>
  <c r="AV124" i="19"/>
  <c r="AW124" i="19"/>
  <c r="AV125" i="19"/>
  <c r="AW125" i="19"/>
  <c r="AV126" i="19"/>
  <c r="AW126" i="19"/>
  <c r="AV127" i="19"/>
  <c r="AW127" i="19"/>
  <c r="AV128" i="19"/>
  <c r="AW128" i="19"/>
  <c r="AV129" i="19"/>
  <c r="AW129" i="19"/>
  <c r="AV6" i="19"/>
  <c r="AV8" i="19"/>
  <c r="AV15" i="19"/>
  <c r="AV20" i="19"/>
  <c r="AV108" i="19"/>
  <c r="AW132" i="19"/>
  <c r="AV133" i="19"/>
  <c r="AW136" i="19"/>
  <c r="AV138" i="19"/>
  <c r="AV140" i="19"/>
  <c r="AW142" i="19"/>
  <c r="AV143" i="19"/>
  <c r="AV144" i="19"/>
  <c r="AW144" i="19"/>
  <c r="AV145" i="19"/>
  <c r="AW145" i="19"/>
  <c r="AV146" i="19"/>
  <c r="AW146" i="19"/>
  <c r="AV147" i="19"/>
  <c r="AW147" i="19"/>
  <c r="AV148" i="19"/>
  <c r="AW148" i="19"/>
  <c r="AV149" i="19"/>
  <c r="AW149" i="19"/>
  <c r="AV150" i="19"/>
  <c r="AW150" i="19"/>
  <c r="AW168" i="19"/>
  <c r="AW169" i="19"/>
  <c r="AW9" i="19"/>
  <c r="AW12" i="19"/>
  <c r="AV18" i="19"/>
  <c r="AV19" i="19"/>
  <c r="AW23" i="19"/>
  <c r="AV30" i="19"/>
  <c r="AV32" i="19"/>
  <c r="AV35" i="19"/>
  <c r="AW39" i="19"/>
  <c r="AW41" i="19"/>
  <c r="AW44" i="19"/>
  <c r="AW87" i="19"/>
  <c r="AW108" i="19"/>
  <c r="AW130" i="19"/>
  <c r="AV131" i="19"/>
  <c r="AW139" i="19"/>
  <c r="AW143" i="19"/>
  <c r="AV152" i="19"/>
  <c r="AW153" i="19"/>
  <c r="AV155" i="19"/>
  <c r="AV157" i="19"/>
  <c r="AV161" i="19"/>
  <c r="AW164" i="19"/>
  <c r="AV169" i="19"/>
  <c r="AV5" i="19"/>
  <c r="AW8" i="19"/>
  <c r="AW10" i="19"/>
  <c r="AV13" i="19"/>
  <c r="AW22" i="19"/>
  <c r="AW25" i="19"/>
  <c r="AV34" i="19"/>
  <c r="AW37" i="19"/>
  <c r="AW38" i="19"/>
  <c r="AV44" i="19"/>
  <c r="AW65" i="19"/>
  <c r="AW88" i="19"/>
  <c r="AV132" i="19"/>
  <c r="AW141" i="19"/>
  <c r="AV151" i="19"/>
  <c r="AV154" i="19"/>
  <c r="AW156" i="19"/>
  <c r="AV159" i="19"/>
  <c r="AV163" i="19"/>
  <c r="AW170" i="19"/>
  <c r="AW171" i="19"/>
  <c r="BD1" i="19"/>
  <c r="AV7" i="19"/>
  <c r="AW17" i="19"/>
  <c r="AV21" i="19"/>
  <c r="AW35" i="19"/>
  <c r="AW112" i="19"/>
  <c r="AV130" i="19"/>
  <c r="AV134" i="19"/>
  <c r="AW135" i="19"/>
  <c r="AV141" i="19"/>
  <c r="AW154" i="19"/>
  <c r="AV167" i="19"/>
  <c r="BD14" i="19" l="1"/>
  <c r="BD23" i="19"/>
  <c r="BD29" i="19"/>
  <c r="BD30" i="19"/>
  <c r="BC33" i="19"/>
  <c r="BC35" i="19"/>
  <c r="BD37" i="19"/>
  <c r="BC40" i="19"/>
  <c r="BC45" i="19"/>
  <c r="BC108" i="19"/>
  <c r="BD110" i="19"/>
  <c r="BC111" i="19"/>
  <c r="BC137" i="19"/>
  <c r="BD141" i="19"/>
  <c r="BC143" i="19"/>
  <c r="BC160" i="19"/>
  <c r="BC167" i="19"/>
  <c r="BD167" i="19"/>
  <c r="BC172" i="19"/>
  <c r="BD7" i="19"/>
  <c r="BD13" i="19"/>
  <c r="BC23" i="19"/>
  <c r="BC32" i="19"/>
  <c r="BD34" i="19"/>
  <c r="BD39" i="19"/>
  <c r="BD87" i="19"/>
  <c r="BC110" i="19"/>
  <c r="BD133" i="19"/>
  <c r="BC134" i="19"/>
  <c r="BD135" i="19"/>
  <c r="BD142" i="19"/>
  <c r="BD143" i="19"/>
  <c r="BC153" i="19"/>
  <c r="BC154" i="19"/>
  <c r="BC155" i="19"/>
  <c r="BD157" i="19"/>
  <c r="BC161" i="19"/>
  <c r="BC162" i="19"/>
  <c r="BD172" i="19"/>
  <c r="BD5" i="19"/>
  <c r="BD12" i="19"/>
  <c r="BD16" i="19"/>
  <c r="BD31" i="19"/>
  <c r="BC39" i="19"/>
  <c r="BC41" i="19"/>
  <c r="BC44" i="19"/>
  <c r="BD86" i="19"/>
  <c r="BC132" i="19"/>
  <c r="BC135" i="19"/>
  <c r="BD139" i="19"/>
  <c r="BC151" i="19"/>
  <c r="BD158" i="19"/>
  <c r="BC164" i="19"/>
  <c r="BC5" i="19"/>
  <c r="BD10" i="19"/>
  <c r="BC14" i="19"/>
  <c r="BD22" i="19"/>
  <c r="BD25" i="19"/>
  <c r="BC26" i="19"/>
  <c r="BC28" i="19"/>
  <c r="BC29" i="19"/>
  <c r="BD38" i="19"/>
  <c r="BD88" i="19"/>
  <c r="BC109" i="19"/>
  <c r="BC139" i="19"/>
  <c r="BD156" i="19"/>
  <c r="BC157" i="19"/>
  <c r="BC158" i="19"/>
  <c r="BD159" i="19"/>
  <c r="BC171" i="19"/>
  <c r="BC168" i="19"/>
  <c r="BD169" i="19"/>
  <c r="BD170" i="19"/>
  <c r="BD171" i="19"/>
  <c r="BC170" i="19"/>
  <c r="BC165" i="19"/>
  <c r="BD165" i="19"/>
  <c r="BC13" i="19"/>
  <c r="BC22" i="19"/>
  <c r="BC30" i="19"/>
  <c r="BD32" i="19"/>
  <c r="BD33" i="19"/>
  <c r="BD35" i="19"/>
  <c r="BD108" i="19"/>
  <c r="BD130" i="19"/>
  <c r="BD136" i="19"/>
  <c r="BD151" i="19"/>
  <c r="BD153" i="19"/>
  <c r="BC159" i="19"/>
  <c r="BD161" i="19"/>
  <c r="BD162" i="19"/>
  <c r="BC163" i="19"/>
  <c r="BD164" i="19"/>
  <c r="BC166" i="19"/>
  <c r="BD166" i="19"/>
  <c r="BD15" i="19"/>
  <c r="BC16" i="19"/>
  <c r="BC21" i="19"/>
  <c r="BD28" i="19"/>
  <c r="BC43" i="19"/>
  <c r="BD44" i="19"/>
  <c r="BC46" i="19"/>
  <c r="BD46" i="19"/>
  <c r="BC47" i="19"/>
  <c r="BD47" i="19"/>
  <c r="BC48" i="19"/>
  <c r="BD48" i="19"/>
  <c r="BC49" i="19"/>
  <c r="BD49" i="19"/>
  <c r="BC50" i="19"/>
  <c r="BD50" i="19"/>
  <c r="BC51" i="19"/>
  <c r="BD51" i="19"/>
  <c r="BC52" i="19"/>
  <c r="BD52" i="19"/>
  <c r="BC53" i="19"/>
  <c r="BD53" i="19"/>
  <c r="BC54" i="19"/>
  <c r="BD54" i="19"/>
  <c r="BC55" i="19"/>
  <c r="BD55" i="19"/>
  <c r="BC56" i="19"/>
  <c r="BD56" i="19"/>
  <c r="BC57" i="19"/>
  <c r="BD57" i="19"/>
  <c r="BC58" i="19"/>
  <c r="BD58" i="19"/>
  <c r="BC59" i="19"/>
  <c r="BD59" i="19"/>
  <c r="BC60" i="19"/>
  <c r="BD60" i="19"/>
  <c r="BC61" i="19"/>
  <c r="BD61" i="19"/>
  <c r="BC62" i="19"/>
  <c r="BD62" i="19"/>
  <c r="BC63" i="19"/>
  <c r="BD63" i="19"/>
  <c r="BC64" i="19"/>
  <c r="BD64" i="19"/>
  <c r="BC9" i="19"/>
  <c r="BC15" i="19"/>
  <c r="BC24" i="19"/>
  <c r="BC27" i="19"/>
  <c r="BC31" i="19"/>
  <c r="BC65" i="19"/>
  <c r="BD65" i="19"/>
  <c r="BC66" i="19"/>
  <c r="BD66" i="19"/>
  <c r="BC67" i="19"/>
  <c r="BD67" i="19"/>
  <c r="BC68" i="19"/>
  <c r="BD68" i="19"/>
  <c r="BC69" i="19"/>
  <c r="BD69" i="19"/>
  <c r="BC70" i="19"/>
  <c r="BD70" i="19"/>
  <c r="BC71" i="19"/>
  <c r="BD71" i="19"/>
  <c r="BC72" i="19"/>
  <c r="BD72" i="19"/>
  <c r="BC73" i="19"/>
  <c r="BD73" i="19"/>
  <c r="BC74" i="19"/>
  <c r="BD74" i="19"/>
  <c r="BC75" i="19"/>
  <c r="BD75" i="19"/>
  <c r="BC76" i="19"/>
  <c r="BD76" i="19"/>
  <c r="BC77" i="19"/>
  <c r="BD77" i="19"/>
  <c r="BC78" i="19"/>
  <c r="BD78" i="19"/>
  <c r="BC79" i="19"/>
  <c r="BD79" i="19"/>
  <c r="BC80" i="19"/>
  <c r="BD80" i="19"/>
  <c r="BC81" i="19"/>
  <c r="BD81" i="19"/>
  <c r="BC82" i="19"/>
  <c r="BD82" i="19"/>
  <c r="BC83" i="19"/>
  <c r="BD83" i="19"/>
  <c r="BC84" i="19"/>
  <c r="BD84" i="19"/>
  <c r="BC85" i="19"/>
  <c r="BD85" i="19"/>
  <c r="BC6" i="19"/>
  <c r="BD11" i="19"/>
  <c r="BD17" i="19"/>
  <c r="BC18" i="19"/>
  <c r="BD19" i="19"/>
  <c r="BC36" i="19"/>
  <c r="BD42" i="19"/>
  <c r="BD45" i="19"/>
  <c r="BC86" i="19"/>
  <c r="BC87" i="19"/>
  <c r="BC89" i="19"/>
  <c r="BD89" i="19"/>
  <c r="BC90" i="19"/>
  <c r="BD90" i="19"/>
  <c r="BC91" i="19"/>
  <c r="BD91" i="19"/>
  <c r="BC92" i="19"/>
  <c r="BD92" i="19"/>
  <c r="BC93" i="19"/>
  <c r="BD93" i="19"/>
  <c r="BC94" i="19"/>
  <c r="BD94" i="19"/>
  <c r="BC95" i="19"/>
  <c r="BD95" i="19"/>
  <c r="BC96" i="19"/>
  <c r="BD96" i="19"/>
  <c r="BC97" i="19"/>
  <c r="BD97" i="19"/>
  <c r="BC98" i="19"/>
  <c r="BD98" i="19"/>
  <c r="BC99" i="19"/>
  <c r="BD99" i="19"/>
  <c r="BC100" i="19"/>
  <c r="BD100" i="19"/>
  <c r="BC101" i="19"/>
  <c r="BD101" i="19"/>
  <c r="BC102" i="19"/>
  <c r="BD102" i="19"/>
  <c r="BC103" i="19"/>
  <c r="BD103" i="19"/>
  <c r="BC104" i="19"/>
  <c r="BD104" i="19"/>
  <c r="BC105" i="19"/>
  <c r="BD105" i="19"/>
  <c r="BC106" i="19"/>
  <c r="BD106" i="19"/>
  <c r="BC107" i="19"/>
  <c r="BD107" i="19"/>
  <c r="BK1" i="19"/>
  <c r="BD6" i="19"/>
  <c r="BC7" i="19"/>
  <c r="BD9" i="19"/>
  <c r="BC11" i="19"/>
  <c r="BC17" i="19"/>
  <c r="BC34" i="19"/>
  <c r="BD40" i="19"/>
  <c r="BC42" i="19"/>
  <c r="BD43" i="19"/>
  <c r="BD111" i="19"/>
  <c r="BC113" i="19"/>
  <c r="BD113" i="19"/>
  <c r="BC114" i="19"/>
  <c r="BD114" i="19"/>
  <c r="BC115" i="19"/>
  <c r="BD115" i="19"/>
  <c r="BC116" i="19"/>
  <c r="BD116" i="19"/>
  <c r="BC117" i="19"/>
  <c r="BD117" i="19"/>
  <c r="BC118" i="19"/>
  <c r="BD118" i="19"/>
  <c r="BC119" i="19"/>
  <c r="BD119" i="19"/>
  <c r="BC120" i="19"/>
  <c r="BD120" i="19"/>
  <c r="BC121" i="19"/>
  <c r="BD121" i="19"/>
  <c r="BC122" i="19"/>
  <c r="BD122" i="19"/>
  <c r="BC123" i="19"/>
  <c r="BD123" i="19"/>
  <c r="BC124" i="19"/>
  <c r="BD124" i="19"/>
  <c r="BC125" i="19"/>
  <c r="BD125" i="19"/>
  <c r="BC126" i="19"/>
  <c r="BD126" i="19"/>
  <c r="BC127" i="19"/>
  <c r="BD127" i="19"/>
  <c r="BC128" i="19"/>
  <c r="BD128" i="19"/>
  <c r="BC129" i="19"/>
  <c r="BC8" i="19"/>
  <c r="BC10" i="19"/>
  <c r="BC12" i="19"/>
  <c r="BC19" i="19"/>
  <c r="BD20" i="19"/>
  <c r="BD21" i="19"/>
  <c r="BC25" i="19"/>
  <c r="BD27" i="19"/>
  <c r="BC37" i="19"/>
  <c r="BC38" i="19"/>
  <c r="BC88" i="19"/>
  <c r="BD109" i="19"/>
  <c r="BD129" i="19"/>
  <c r="BC130" i="19"/>
  <c r="BC131" i="19"/>
  <c r="BC133" i="19"/>
  <c r="BD134" i="19"/>
  <c r="BD137" i="19"/>
  <c r="BC141" i="19"/>
  <c r="BC144" i="19"/>
  <c r="BD144" i="19"/>
  <c r="BC145" i="19"/>
  <c r="BD145" i="19"/>
  <c r="BC146" i="19"/>
  <c r="BD146" i="19"/>
  <c r="BC147" i="19"/>
  <c r="BD147" i="19"/>
  <c r="BC148" i="19"/>
  <c r="BD148" i="19"/>
  <c r="BC149" i="19"/>
  <c r="BD149" i="19"/>
  <c r="BC150" i="19"/>
  <c r="BD150" i="19"/>
  <c r="BD168" i="19"/>
  <c r="BD8" i="19"/>
  <c r="BD18" i="19"/>
  <c r="BD112" i="19"/>
  <c r="BD131" i="19"/>
  <c r="BD132" i="19"/>
  <c r="BC136" i="19"/>
  <c r="BC138" i="19"/>
  <c r="BC140" i="19"/>
  <c r="BC142" i="19"/>
  <c r="BC152" i="19"/>
  <c r="BD155" i="19"/>
  <c r="BC156" i="19"/>
  <c r="BD160" i="19"/>
  <c r="BD163" i="19"/>
  <c r="BC169" i="19"/>
  <c r="BC20" i="19"/>
  <c r="BD24" i="19"/>
  <c r="BD26" i="19"/>
  <c r="BD36" i="19"/>
  <c r="BD41" i="19"/>
  <c r="BC112" i="19"/>
  <c r="BD138" i="19"/>
  <c r="BD140" i="19"/>
  <c r="BD152" i="19"/>
  <c r="BD154" i="19"/>
  <c r="BK26" i="19" l="1"/>
  <c r="BJ37" i="19"/>
  <c r="BJ45" i="19"/>
  <c r="BK86" i="19"/>
  <c r="BK88" i="19"/>
  <c r="BJ112" i="19"/>
  <c r="BJ113" i="19"/>
  <c r="BK113" i="19"/>
  <c r="BJ114" i="19"/>
  <c r="BK114" i="19"/>
  <c r="BJ115" i="19"/>
  <c r="BK115" i="19"/>
  <c r="BJ116" i="19"/>
  <c r="BK116" i="19"/>
  <c r="BJ117" i="19"/>
  <c r="BK117" i="19"/>
  <c r="BJ118" i="19"/>
  <c r="BK118" i="19"/>
  <c r="BJ119" i="19"/>
  <c r="BK119" i="19"/>
  <c r="BJ120" i="19"/>
  <c r="BK120" i="19"/>
  <c r="BJ121" i="19"/>
  <c r="BK121" i="19"/>
  <c r="BJ122" i="19"/>
  <c r="BK122" i="19"/>
  <c r="BJ123" i="19"/>
  <c r="BK123" i="19"/>
  <c r="BJ124" i="19"/>
  <c r="BK124" i="19"/>
  <c r="BJ125" i="19"/>
  <c r="BK125" i="19"/>
  <c r="BJ126" i="19"/>
  <c r="BK126" i="19"/>
  <c r="BJ127" i="19"/>
  <c r="BK127" i="19"/>
  <c r="BJ128" i="19"/>
  <c r="BK128" i="19"/>
  <c r="BJ5" i="19"/>
  <c r="BJ24" i="19"/>
  <c r="BK25" i="19"/>
  <c r="BJ34" i="19"/>
  <c r="BJ108" i="19"/>
  <c r="BK109" i="19"/>
  <c r="BK135" i="19"/>
  <c r="BK136" i="19"/>
  <c r="BJ140" i="19"/>
  <c r="BJ144" i="19"/>
  <c r="BK144" i="19"/>
  <c r="BJ145" i="19"/>
  <c r="BK145" i="19"/>
  <c r="BJ146" i="19"/>
  <c r="BK146" i="19"/>
  <c r="BJ147" i="19"/>
  <c r="BK147" i="19"/>
  <c r="BJ148" i="19"/>
  <c r="BK148" i="19"/>
  <c r="BJ149" i="19"/>
  <c r="BK149" i="19"/>
  <c r="BJ150" i="19"/>
  <c r="BK150" i="19"/>
  <c r="BK168" i="19"/>
  <c r="BK6" i="19"/>
  <c r="BJ7" i="19"/>
  <c r="BK10" i="19"/>
  <c r="BJ23" i="19"/>
  <c r="BJ29" i="19"/>
  <c r="BJ31" i="19"/>
  <c r="BJ35" i="19"/>
  <c r="BK36" i="19"/>
  <c r="BK38" i="19"/>
  <c r="BJ39" i="19"/>
  <c r="BJ41" i="19"/>
  <c r="BJ87" i="19"/>
  <c r="BK110" i="19"/>
  <c r="BJ111" i="19"/>
  <c r="BJ129" i="19"/>
  <c r="BK133" i="19"/>
  <c r="BJ151" i="19"/>
  <c r="BK152" i="19"/>
  <c r="BJ154" i="19"/>
  <c r="BJ156" i="19"/>
  <c r="BJ157" i="19"/>
  <c r="BJ161" i="19"/>
  <c r="BK169" i="19"/>
  <c r="BR1" i="19"/>
  <c r="BJ6" i="19"/>
  <c r="BJ10" i="19"/>
  <c r="BK11" i="19"/>
  <c r="BK18" i="19"/>
  <c r="BJ21" i="19"/>
  <c r="BJ27" i="19"/>
  <c r="BJ88" i="19"/>
  <c r="BK108" i="19"/>
  <c r="BK111" i="19"/>
  <c r="BJ139" i="19"/>
  <c r="BJ141" i="19"/>
  <c r="BJ142" i="19"/>
  <c r="BK157" i="19"/>
  <c r="BJ163" i="19"/>
  <c r="BJ164" i="19"/>
  <c r="BK5" i="19"/>
  <c r="BK12" i="19"/>
  <c r="BJ42" i="19"/>
  <c r="BK43" i="19"/>
  <c r="BJ44" i="19"/>
  <c r="BK131" i="19"/>
  <c r="BJ135" i="19"/>
  <c r="BK138" i="19"/>
  <c r="BK139" i="19"/>
  <c r="BK140" i="19"/>
  <c r="BK151" i="19"/>
  <c r="BJ152" i="19"/>
  <c r="BJ153" i="19"/>
  <c r="BK156" i="19"/>
  <c r="BK159" i="19"/>
  <c r="BK161" i="19"/>
  <c r="BJ162" i="19"/>
  <c r="BK167" i="19"/>
  <c r="BK14" i="19"/>
  <c r="BK15" i="19"/>
  <c r="BK17" i="19"/>
  <c r="BJ25" i="19"/>
  <c r="BK30" i="19"/>
  <c r="BJ32" i="19"/>
  <c r="BK44" i="19"/>
  <c r="BK112" i="19"/>
  <c r="BK130" i="19"/>
  <c r="BJ132" i="19"/>
  <c r="BK153" i="19"/>
  <c r="BJ158" i="19"/>
  <c r="BJ160" i="19"/>
  <c r="BK162" i="19"/>
  <c r="BJ170" i="19"/>
  <c r="BJ167" i="19"/>
  <c r="BK19" i="19"/>
  <c r="BK22" i="19"/>
  <c r="BK24" i="19"/>
  <c r="BJ26" i="19"/>
  <c r="BK28" i="19"/>
  <c r="BK29" i="19"/>
  <c r="BK31" i="19"/>
  <c r="BK42" i="19"/>
  <c r="BK87" i="19"/>
  <c r="BK132" i="19"/>
  <c r="BJ133" i="19"/>
  <c r="BJ134" i="19"/>
  <c r="BJ136" i="19"/>
  <c r="BK137" i="19"/>
  <c r="BJ138" i="19"/>
  <c r="BK141" i="19"/>
  <c r="BK142" i="19"/>
  <c r="BK143" i="19"/>
  <c r="BJ159" i="19"/>
  <c r="BK163" i="19"/>
  <c r="BK9" i="19"/>
  <c r="BJ11" i="19"/>
  <c r="BJ13" i="19"/>
  <c r="BJ15" i="19"/>
  <c r="BJ20" i="19"/>
  <c r="BK23" i="19"/>
  <c r="BJ30" i="19"/>
  <c r="BK39" i="19"/>
  <c r="BK41" i="19"/>
  <c r="BK64" i="19"/>
  <c r="BJ109" i="19"/>
  <c r="BK129" i="19"/>
  <c r="BJ130" i="19"/>
  <c r="BJ155" i="19"/>
  <c r="BK158" i="19"/>
  <c r="BK164" i="19"/>
  <c r="BK172" i="19"/>
  <c r="BJ168" i="19"/>
  <c r="BK171" i="19"/>
  <c r="BJ169" i="19"/>
  <c r="BK170" i="19"/>
  <c r="BJ171" i="19"/>
  <c r="BJ165" i="19"/>
  <c r="BK165" i="19"/>
  <c r="BJ172" i="19"/>
  <c r="BK8" i="19"/>
  <c r="BJ9" i="19"/>
  <c r="BJ12" i="19"/>
  <c r="BK13" i="19"/>
  <c r="BK16" i="19"/>
  <c r="BK20" i="19"/>
  <c r="BK21" i="19"/>
  <c r="BK27" i="19"/>
  <c r="BK33" i="19"/>
  <c r="BJ36" i="19"/>
  <c r="BK37" i="19"/>
  <c r="BJ86" i="19"/>
  <c r="BJ110" i="19"/>
  <c r="BJ131" i="19"/>
  <c r="BK134" i="19"/>
  <c r="BJ137" i="19"/>
  <c r="BJ143" i="19"/>
  <c r="BK154" i="19"/>
  <c r="BK155" i="19"/>
  <c r="BK160" i="19"/>
  <c r="BJ166" i="19"/>
  <c r="BK166" i="19"/>
  <c r="BJ14" i="19"/>
  <c r="BJ22" i="19"/>
  <c r="BJ40" i="19"/>
  <c r="BK45" i="19"/>
  <c r="BJ46" i="19"/>
  <c r="BK46" i="19"/>
  <c r="BJ47" i="19"/>
  <c r="BK47" i="19"/>
  <c r="BJ48" i="19"/>
  <c r="BK48" i="19"/>
  <c r="BJ49" i="19"/>
  <c r="BK49" i="19"/>
  <c r="BJ50" i="19"/>
  <c r="BK50" i="19"/>
  <c r="BJ51" i="19"/>
  <c r="BK51" i="19"/>
  <c r="BJ52" i="19"/>
  <c r="BK52" i="19"/>
  <c r="BJ53" i="19"/>
  <c r="BK53" i="19"/>
  <c r="BJ54" i="19"/>
  <c r="BK54" i="19"/>
  <c r="BJ55" i="19"/>
  <c r="BK55" i="19"/>
  <c r="BJ56" i="19"/>
  <c r="BK56" i="19"/>
  <c r="BJ57" i="19"/>
  <c r="BK57" i="19"/>
  <c r="BJ58" i="19"/>
  <c r="BK58" i="19"/>
  <c r="BJ59" i="19"/>
  <c r="BK59" i="19"/>
  <c r="BJ60" i="19"/>
  <c r="BK60" i="19"/>
  <c r="BJ61" i="19"/>
  <c r="BK61" i="19"/>
  <c r="BJ62" i="19"/>
  <c r="BK62" i="19"/>
  <c r="BJ63" i="19"/>
  <c r="BK63" i="19"/>
  <c r="BJ64" i="19"/>
  <c r="BK7" i="19"/>
  <c r="BJ8" i="19"/>
  <c r="BJ17" i="19"/>
  <c r="BJ18" i="19"/>
  <c r="BJ19" i="19"/>
  <c r="BJ33" i="19"/>
  <c r="BK35" i="19"/>
  <c r="BJ43" i="19"/>
  <c r="BJ65" i="19"/>
  <c r="BK65" i="19"/>
  <c r="BJ66" i="19"/>
  <c r="BK66" i="19"/>
  <c r="BJ67" i="19"/>
  <c r="BK67" i="19"/>
  <c r="BJ68" i="19"/>
  <c r="BK68" i="19"/>
  <c r="BJ69" i="19"/>
  <c r="BK69" i="19"/>
  <c r="BJ70" i="19"/>
  <c r="BK70" i="19"/>
  <c r="BJ71" i="19"/>
  <c r="BK71" i="19"/>
  <c r="BJ72" i="19"/>
  <c r="BK72" i="19"/>
  <c r="BJ73" i="19"/>
  <c r="BK73" i="19"/>
  <c r="BJ74" i="19"/>
  <c r="BK74" i="19"/>
  <c r="BJ75" i="19"/>
  <c r="BK75" i="19"/>
  <c r="BJ76" i="19"/>
  <c r="BK76" i="19"/>
  <c r="BJ77" i="19"/>
  <c r="BK77" i="19"/>
  <c r="BJ78" i="19"/>
  <c r="BK78" i="19"/>
  <c r="BJ79" i="19"/>
  <c r="BK79" i="19"/>
  <c r="BJ80" i="19"/>
  <c r="BK80" i="19"/>
  <c r="BJ81" i="19"/>
  <c r="BK81" i="19"/>
  <c r="BJ82" i="19"/>
  <c r="BK82" i="19"/>
  <c r="BJ83" i="19"/>
  <c r="BK83" i="19"/>
  <c r="BJ84" i="19"/>
  <c r="BK84" i="19"/>
  <c r="BJ85" i="19"/>
  <c r="BK85" i="19"/>
  <c r="BJ16" i="19"/>
  <c r="BJ28" i="19"/>
  <c r="BK32" i="19"/>
  <c r="BK34" i="19"/>
  <c r="BJ38" i="19"/>
  <c r="BK40" i="19"/>
  <c r="BJ89" i="19"/>
  <c r="BK89" i="19"/>
  <c r="BJ90" i="19"/>
  <c r="BK90" i="19"/>
  <c r="BJ91" i="19"/>
  <c r="BK91" i="19"/>
  <c r="BJ92" i="19"/>
  <c r="BK92" i="19"/>
  <c r="BJ93" i="19"/>
  <c r="BK93" i="19"/>
  <c r="BJ94" i="19"/>
  <c r="BK94" i="19"/>
  <c r="BJ95" i="19"/>
  <c r="BK95" i="19"/>
  <c r="BJ96" i="19"/>
  <c r="BK96" i="19"/>
  <c r="BJ97" i="19"/>
  <c r="BK97" i="19"/>
  <c r="BJ98" i="19"/>
  <c r="BK98" i="19"/>
  <c r="BJ99" i="19"/>
  <c r="BK99" i="19"/>
  <c r="BJ100" i="19"/>
  <c r="BK100" i="19"/>
  <c r="BJ101" i="19"/>
  <c r="BK101" i="19"/>
  <c r="BJ102" i="19"/>
  <c r="BK102" i="19"/>
  <c r="BJ103" i="19"/>
  <c r="BK103" i="19"/>
  <c r="BJ104" i="19"/>
  <c r="BK104" i="19"/>
  <c r="BJ105" i="19"/>
  <c r="BK105" i="19"/>
  <c r="BJ106" i="19"/>
  <c r="BK106" i="19"/>
  <c r="BJ107" i="19"/>
  <c r="BK107" i="19"/>
  <c r="BR5" i="19" l="1"/>
  <c r="BQ15" i="19"/>
  <c r="BR44" i="19"/>
  <c r="BQ112" i="19"/>
  <c r="BR133" i="19"/>
  <c r="BR135" i="19"/>
  <c r="BQ137" i="19"/>
  <c r="BR138" i="19"/>
  <c r="BR139" i="19"/>
  <c r="BR153" i="19"/>
  <c r="BQ154" i="19"/>
  <c r="BQ155" i="19"/>
  <c r="BR159" i="19"/>
  <c r="BR170" i="19"/>
  <c r="BQ6" i="19"/>
  <c r="BQ16" i="19"/>
  <c r="BR17" i="19"/>
  <c r="BQ20" i="19"/>
  <c r="BR22" i="19"/>
  <c r="BR24" i="19"/>
  <c r="BR34" i="19"/>
  <c r="BR41" i="19"/>
  <c r="BQ64" i="19"/>
  <c r="BQ109" i="19"/>
  <c r="BR112" i="19"/>
  <c r="BR129" i="19"/>
  <c r="BR130" i="19"/>
  <c r="BQ136" i="19"/>
  <c r="BQ158" i="19"/>
  <c r="BR160" i="19"/>
  <c r="BR163" i="19"/>
  <c r="BR6" i="19"/>
  <c r="BQ10" i="19"/>
  <c r="BR12" i="19"/>
  <c r="BR21" i="19"/>
  <c r="BR23" i="19"/>
  <c r="BQ31" i="19"/>
  <c r="BR37" i="19"/>
  <c r="BQ39" i="19"/>
  <c r="BQ42" i="19"/>
  <c r="BR64" i="19"/>
  <c r="BQ87" i="19"/>
  <c r="BR108" i="19"/>
  <c r="BQ134" i="19"/>
  <c r="BQ141" i="19"/>
  <c r="BR155" i="19"/>
  <c r="BR156" i="19"/>
  <c r="BR161" i="19"/>
  <c r="BR164" i="19"/>
  <c r="BQ167" i="19"/>
  <c r="BR167" i="19"/>
  <c r="BR25" i="19"/>
  <c r="BQ26" i="19"/>
  <c r="BR27" i="19"/>
  <c r="BR35" i="19"/>
  <c r="BQ37" i="19"/>
  <c r="BQ41" i="19"/>
  <c r="BR111" i="19"/>
  <c r="BQ130" i="19"/>
  <c r="BQ135" i="19"/>
  <c r="BQ139" i="19"/>
  <c r="BR140" i="19"/>
  <c r="BR152" i="19"/>
  <c r="BQ160" i="19"/>
  <c r="BQ162" i="19"/>
  <c r="BQ172" i="19"/>
  <c r="BR8" i="19"/>
  <c r="BQ9" i="19"/>
  <c r="BR10" i="19"/>
  <c r="BQ13" i="19"/>
  <c r="BQ19" i="19"/>
  <c r="BQ24" i="19"/>
  <c r="BR26" i="19"/>
  <c r="BQ28" i="19"/>
  <c r="BR31" i="19"/>
  <c r="BQ34" i="19"/>
  <c r="BQ40" i="19"/>
  <c r="BR87" i="19"/>
  <c r="BQ110" i="19"/>
  <c r="BR131" i="19"/>
  <c r="BQ132" i="19"/>
  <c r="BQ142" i="19"/>
  <c r="BQ143" i="19"/>
  <c r="BQ152" i="19"/>
  <c r="BQ156" i="19"/>
  <c r="BR157" i="19"/>
  <c r="BQ168" i="19"/>
  <c r="BR169" i="19"/>
  <c r="BQ170" i="19"/>
  <c r="BR171" i="19"/>
  <c r="BQ169" i="19"/>
  <c r="BQ165" i="19"/>
  <c r="BR165" i="19"/>
  <c r="BQ17" i="19"/>
  <c r="BR18" i="19"/>
  <c r="BQ30" i="19"/>
  <c r="BR33" i="19"/>
  <c r="BQ36" i="19"/>
  <c r="BR86" i="19"/>
  <c r="BQ108" i="19"/>
  <c r="BQ129" i="19"/>
  <c r="BR136" i="19"/>
  <c r="BR137" i="19"/>
  <c r="BQ140" i="19"/>
  <c r="BR151" i="19"/>
  <c r="BQ153" i="19"/>
  <c r="BQ157" i="19"/>
  <c r="BR158" i="19"/>
  <c r="BQ159" i="19"/>
  <c r="BQ161" i="19"/>
  <c r="BR162" i="19"/>
  <c r="BQ166" i="19"/>
  <c r="BR166" i="19"/>
  <c r="BR172" i="19"/>
  <c r="BQ7" i="19"/>
  <c r="BR9" i="19"/>
  <c r="BR20" i="19"/>
  <c r="BQ29" i="19"/>
  <c r="BQ35" i="19"/>
  <c r="BQ38" i="19"/>
  <c r="BR39" i="19"/>
  <c r="BQ45" i="19"/>
  <c r="BR45" i="19"/>
  <c r="BQ46" i="19"/>
  <c r="BR46" i="19"/>
  <c r="BQ47" i="19"/>
  <c r="BR47" i="19"/>
  <c r="BQ48" i="19"/>
  <c r="BR48" i="19"/>
  <c r="BQ49" i="19"/>
  <c r="BR49" i="19"/>
  <c r="BQ50" i="19"/>
  <c r="BR50" i="19"/>
  <c r="BQ51" i="19"/>
  <c r="BR51" i="19"/>
  <c r="BQ52" i="19"/>
  <c r="BR52" i="19"/>
  <c r="BQ53" i="19"/>
  <c r="BR53" i="19"/>
  <c r="BQ54" i="19"/>
  <c r="BR54" i="19"/>
  <c r="BQ55" i="19"/>
  <c r="BR55" i="19"/>
  <c r="BQ56" i="19"/>
  <c r="BR56" i="19"/>
  <c r="BQ57" i="19"/>
  <c r="BR57" i="19"/>
  <c r="BQ58" i="19"/>
  <c r="BR58" i="19"/>
  <c r="BQ59" i="19"/>
  <c r="BR59" i="19"/>
  <c r="BQ60" i="19"/>
  <c r="BR60" i="19"/>
  <c r="BQ61" i="19"/>
  <c r="BR61" i="19"/>
  <c r="BQ62" i="19"/>
  <c r="BR62" i="19"/>
  <c r="BQ63" i="19"/>
  <c r="BR63" i="19"/>
  <c r="BQ8" i="19"/>
  <c r="BR16" i="19"/>
  <c r="BQ18" i="19"/>
  <c r="BR19" i="19"/>
  <c r="BQ23" i="19"/>
  <c r="BR30" i="19"/>
  <c r="BR32" i="19"/>
  <c r="BQ33" i="19"/>
  <c r="BQ43" i="19"/>
  <c r="BQ65" i="19"/>
  <c r="BR65" i="19"/>
  <c r="BQ66" i="19"/>
  <c r="BR66" i="19"/>
  <c r="BQ67" i="19"/>
  <c r="BR67" i="19"/>
  <c r="BQ68" i="19"/>
  <c r="BR68" i="19"/>
  <c r="BQ69" i="19"/>
  <c r="BR69" i="19"/>
  <c r="BQ70" i="19"/>
  <c r="BR70" i="19"/>
  <c r="BQ71" i="19"/>
  <c r="BR71" i="19"/>
  <c r="BQ72" i="19"/>
  <c r="BR72" i="19"/>
  <c r="BQ73" i="19"/>
  <c r="BR73" i="19"/>
  <c r="BQ74" i="19"/>
  <c r="BR74" i="19"/>
  <c r="BQ75" i="19"/>
  <c r="BR75" i="19"/>
  <c r="BQ76" i="19"/>
  <c r="BR76" i="19"/>
  <c r="BQ77" i="19"/>
  <c r="BR77" i="19"/>
  <c r="BQ78" i="19"/>
  <c r="BR78" i="19"/>
  <c r="BQ79" i="19"/>
  <c r="BR79" i="19"/>
  <c r="BQ80" i="19"/>
  <c r="BR80" i="19"/>
  <c r="BQ81" i="19"/>
  <c r="BR81" i="19"/>
  <c r="BQ82" i="19"/>
  <c r="BR82" i="19"/>
  <c r="BQ83" i="19"/>
  <c r="BR83" i="19"/>
  <c r="BQ84" i="19"/>
  <c r="BR84" i="19"/>
  <c r="BQ85" i="19"/>
  <c r="BR85" i="19"/>
  <c r="BR7" i="19"/>
  <c r="BR11" i="19"/>
  <c r="BR13" i="19"/>
  <c r="BQ14" i="19"/>
  <c r="BQ25" i="19"/>
  <c r="BR28" i="19"/>
  <c r="BR29" i="19"/>
  <c r="BQ86" i="19"/>
  <c r="BR88" i="19"/>
  <c r="BQ89" i="19"/>
  <c r="BR89" i="19"/>
  <c r="BQ90" i="19"/>
  <c r="BR90" i="19"/>
  <c r="BQ91" i="19"/>
  <c r="BR91" i="19"/>
  <c r="BQ92" i="19"/>
  <c r="BR92" i="19"/>
  <c r="BQ93" i="19"/>
  <c r="BR93" i="19"/>
  <c r="BQ94" i="19"/>
  <c r="BR94" i="19"/>
  <c r="BQ95" i="19"/>
  <c r="BR95" i="19"/>
  <c r="BQ96" i="19"/>
  <c r="BR96" i="19"/>
  <c r="BQ97" i="19"/>
  <c r="BR97" i="19"/>
  <c r="BQ98" i="19"/>
  <c r="BR98" i="19"/>
  <c r="BQ99" i="19"/>
  <c r="BR99" i="19"/>
  <c r="BQ100" i="19"/>
  <c r="BR100" i="19"/>
  <c r="BQ101" i="19"/>
  <c r="BR101" i="19"/>
  <c r="BQ102" i="19"/>
  <c r="BR102" i="19"/>
  <c r="BQ103" i="19"/>
  <c r="BR103" i="19"/>
  <c r="BQ104" i="19"/>
  <c r="BR104" i="19"/>
  <c r="BQ105" i="19"/>
  <c r="BR105" i="19"/>
  <c r="BQ106" i="19"/>
  <c r="BR106" i="19"/>
  <c r="BQ107" i="19"/>
  <c r="BR107" i="19"/>
  <c r="BQ11" i="19"/>
  <c r="BQ21" i="19"/>
  <c r="BQ22" i="19"/>
  <c r="BQ32" i="19"/>
  <c r="BR40" i="19"/>
  <c r="BR43" i="19"/>
  <c r="BR109" i="19"/>
  <c r="BR110" i="19"/>
  <c r="BQ111" i="19"/>
  <c r="BQ113" i="19"/>
  <c r="BR113" i="19"/>
  <c r="BQ114" i="19"/>
  <c r="BR114" i="19"/>
  <c r="BQ115" i="19"/>
  <c r="BR115" i="19"/>
  <c r="BQ116" i="19"/>
  <c r="BR116" i="19"/>
  <c r="BQ117" i="19"/>
  <c r="BR117" i="19"/>
  <c r="BQ118" i="19"/>
  <c r="BR118" i="19"/>
  <c r="BQ119" i="19"/>
  <c r="BR119" i="19"/>
  <c r="BQ120" i="19"/>
  <c r="BR120" i="19"/>
  <c r="BQ121" i="19"/>
  <c r="BR121" i="19"/>
  <c r="BQ122" i="19"/>
  <c r="BR122" i="19"/>
  <c r="BQ123" i="19"/>
  <c r="BR123" i="19"/>
  <c r="BQ124" i="19"/>
  <c r="BR124" i="19"/>
  <c r="BQ125" i="19"/>
  <c r="BR125" i="19"/>
  <c r="BQ126" i="19"/>
  <c r="BR126" i="19"/>
  <c r="BQ127" i="19"/>
  <c r="BR127" i="19"/>
  <c r="BQ128" i="19"/>
  <c r="BR128" i="19"/>
  <c r="BR14" i="19"/>
  <c r="BR15" i="19"/>
  <c r="BQ27" i="19"/>
  <c r="BR36" i="19"/>
  <c r="BR38" i="19"/>
  <c r="BQ44" i="19"/>
  <c r="BQ88" i="19"/>
  <c r="BQ131" i="19"/>
  <c r="BR132" i="19"/>
  <c r="BQ133" i="19"/>
  <c r="BR141" i="19"/>
  <c r="BR142" i="19"/>
  <c r="BQ144" i="19"/>
  <c r="BR144" i="19"/>
  <c r="BQ145" i="19"/>
  <c r="BR145" i="19"/>
  <c r="BQ146" i="19"/>
  <c r="BR146" i="19"/>
  <c r="BQ147" i="19"/>
  <c r="BR147" i="19"/>
  <c r="BQ148" i="19"/>
  <c r="BR148" i="19"/>
  <c r="BQ149" i="19"/>
  <c r="BR149" i="19"/>
  <c r="BQ150" i="19"/>
  <c r="BR150" i="19"/>
  <c r="BR168" i="19"/>
  <c r="BQ171" i="19"/>
  <c r="BQ5" i="19"/>
  <c r="BQ12" i="19"/>
  <c r="BR42" i="19"/>
  <c r="BR134" i="19"/>
  <c r="BQ138" i="19"/>
  <c r="BR143" i="19"/>
  <c r="BQ151" i="19"/>
  <c r="BR154" i="19"/>
  <c r="BQ163" i="19"/>
  <c r="BQ164" i="19"/>
</calcChain>
</file>

<file path=xl/sharedStrings.xml><?xml version="1.0" encoding="utf-8"?>
<sst xmlns="http://schemas.openxmlformats.org/spreadsheetml/2006/main" count="41979" uniqueCount="9580">
  <si>
    <t>~fi_process</t>
  </si>
  <si>
    <t>~fi_t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</si>
  <si>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</si>
  <si>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</si>
  <si>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</si>
  <si>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</si>
  <si>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</si>
  <si>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</si>
  <si>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</si>
  <si>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comm-out</t>
  </si>
  <si>
    <t>cap_bnd</t>
  </si>
  <si>
    <t>GW</t>
  </si>
  <si>
    <t>no</t>
  </si>
  <si>
    <t>PJ</t>
  </si>
  <si>
    <t>invcost~USD21_alt</t>
  </si>
  <si>
    <t>AFG</t>
  </si>
  <si>
    <t>AGO</t>
  </si>
  <si>
    <t>ARG</t>
  </si>
  <si>
    <t>BDI</t>
  </si>
  <si>
    <t>BGD</t>
  </si>
  <si>
    <t>BLR</t>
  </si>
  <si>
    <t>BOL</t>
  </si>
  <si>
    <t>BRA</t>
  </si>
  <si>
    <t>CAF</t>
  </si>
  <si>
    <t>CAN</t>
  </si>
  <si>
    <t>CHL</t>
  </si>
  <si>
    <t>CIV</t>
  </si>
  <si>
    <t>CMR</t>
  </si>
  <si>
    <t>COD</t>
  </si>
  <si>
    <t>COG</t>
  </si>
  <si>
    <t>COL</t>
  </si>
  <si>
    <t>ECU</t>
  </si>
  <si>
    <t>ETH</t>
  </si>
  <si>
    <t>GAB</t>
  </si>
  <si>
    <t>GIN</t>
  </si>
  <si>
    <t>GTM</t>
  </si>
  <si>
    <t>GUY</t>
  </si>
  <si>
    <t>HND</t>
  </si>
  <si>
    <t>HUN</t>
  </si>
  <si>
    <t>IDN</t>
  </si>
  <si>
    <t>IND</t>
  </si>
  <si>
    <t>ISR</t>
  </si>
  <si>
    <t>JOR</t>
  </si>
  <si>
    <t>KEN</t>
  </si>
  <si>
    <t>KGZ</t>
  </si>
  <si>
    <t>KHM</t>
  </si>
  <si>
    <t>LAO</t>
  </si>
  <si>
    <t>LBR</t>
  </si>
  <si>
    <t>MDG</t>
  </si>
  <si>
    <t>MEX</t>
  </si>
  <si>
    <t>MLI</t>
  </si>
  <si>
    <t>MMR</t>
  </si>
  <si>
    <t>MNG</t>
  </si>
  <si>
    <t>MOZ</t>
  </si>
  <si>
    <t>MWI</t>
  </si>
  <si>
    <t>NAM</t>
  </si>
  <si>
    <t>NGA</t>
  </si>
  <si>
    <t>NIC</t>
  </si>
  <si>
    <t>NPL</t>
  </si>
  <si>
    <t>PAK</t>
  </si>
  <si>
    <t>PER</t>
  </si>
  <si>
    <t>PHL</t>
  </si>
  <si>
    <t>PNG</t>
  </si>
  <si>
    <t>RUS</t>
  </si>
  <si>
    <t>RWA</t>
  </si>
  <si>
    <t>SEN</t>
  </si>
  <si>
    <t>SLE</t>
  </si>
  <si>
    <t>SLV</t>
  </si>
  <si>
    <t>SUR</t>
  </si>
  <si>
    <t>TJK</t>
  </si>
  <si>
    <t>TZA</t>
  </si>
  <si>
    <t>UGA</t>
  </si>
  <si>
    <t>VEN</t>
  </si>
  <si>
    <t>ZMB</t>
  </si>
  <si>
    <t>ZWE</t>
  </si>
  <si>
    <t>daynite</t>
  </si>
  <si>
    <t>ELC</t>
  </si>
  <si>
    <t>TechName</t>
  </si>
  <si>
    <t>Afghanistan</t>
  </si>
  <si>
    <t>Angola</t>
  </si>
  <si>
    <t>Argentina</t>
  </si>
  <si>
    <t>Burundi</t>
  </si>
  <si>
    <t>Bangladesh</t>
  </si>
  <si>
    <t>Belarus</t>
  </si>
  <si>
    <t>Bolivia</t>
  </si>
  <si>
    <t>Brazil</t>
  </si>
  <si>
    <t>BTN</t>
  </si>
  <si>
    <t>Bhutan</t>
  </si>
  <si>
    <t>Central African Republic</t>
  </si>
  <si>
    <t>Canada</t>
  </si>
  <si>
    <t>Chile</t>
  </si>
  <si>
    <t>Cameroon</t>
  </si>
  <si>
    <t>Colombia</t>
  </si>
  <si>
    <t>Ecuador</t>
  </si>
  <si>
    <t>Ethiopia</t>
  </si>
  <si>
    <t>Gabon</t>
  </si>
  <si>
    <t>Guinea</t>
  </si>
  <si>
    <t>Guatemala</t>
  </si>
  <si>
    <t>Guyana</t>
  </si>
  <si>
    <t>Honduras</t>
  </si>
  <si>
    <t>Hungary</t>
  </si>
  <si>
    <t>Indonesia</t>
  </si>
  <si>
    <t>India</t>
  </si>
  <si>
    <t>Israel</t>
  </si>
  <si>
    <t>Jordan</t>
  </si>
  <si>
    <t>Kenya</t>
  </si>
  <si>
    <t>Cambodia</t>
  </si>
  <si>
    <t>Laos</t>
  </si>
  <si>
    <t>Liberia</t>
  </si>
  <si>
    <t>Madagascar</t>
  </si>
  <si>
    <t>Mexico</t>
  </si>
  <si>
    <t>Mali</t>
  </si>
  <si>
    <t>Myanmar</t>
  </si>
  <si>
    <t>Mongolia</t>
  </si>
  <si>
    <t>Mozambique</t>
  </si>
  <si>
    <t>Malawi</t>
  </si>
  <si>
    <t>Nigeria</t>
  </si>
  <si>
    <t>Nicaragua</t>
  </si>
  <si>
    <t>Nepal</t>
  </si>
  <si>
    <t>Pakistan</t>
  </si>
  <si>
    <t>Peru</t>
  </si>
  <si>
    <t>Philippines</t>
  </si>
  <si>
    <t>Papua New Guinea</t>
  </si>
  <si>
    <t>Russia</t>
  </si>
  <si>
    <t>Rwanda</t>
  </si>
  <si>
    <t>Senegal</t>
  </si>
  <si>
    <t>Sierra Leone</t>
  </si>
  <si>
    <t>El Salvador</t>
  </si>
  <si>
    <t>Suriname</t>
  </si>
  <si>
    <t>Tajikistan</t>
  </si>
  <si>
    <t>Tanzania</t>
  </si>
  <si>
    <t>Uganda</t>
  </si>
  <si>
    <t>Venezuela</t>
  </si>
  <si>
    <t>Zambia</t>
  </si>
  <si>
    <t>Zimbabwe</t>
  </si>
  <si>
    <t>HYDROPOWER SUPPLY CURVES FOR TIMES MODELING</t>
  </si>
  <si>
    <t>DATA SOURCES</t>
  </si>
  <si>
    <t>Primary - Gross Potential</t>
  </si>
  <si>
    <t>Hoes et al. (2017) PLOS ONE - DOI: 10.1371/journal.pone.0171844</t>
  </si>
  <si>
    <t>Economic Ratios</t>
  </si>
  <si>
    <t>Gernaat et al. (2017) Nature Energy - DOI: 10.1038/s41560-017-0006-y</t>
  </si>
  <si>
    <t>Current Capacity</t>
  </si>
  <si>
    <t>IHA World Hydropower Outlook 2024, IRENA Statistics</t>
  </si>
  <si>
    <t>METHODOLOGY</t>
  </si>
  <si>
    <t>Gross Potential</t>
  </si>
  <si>
    <t>From Hoes et al. 11.8 million site assessment using 7.5 arcsec DEM</t>
  </si>
  <si>
    <t>Economic Potential</t>
  </si>
  <si>
    <t>~18% of gross (Gernaat ratio for sites &lt;$0.50/kWh)</t>
  </si>
  <si>
    <t>GW Conversion</t>
  </si>
  <si>
    <t>Assumes 4000 full load hours (46% capacity factor)</t>
  </si>
  <si>
    <t>Additional_Low</t>
  </si>
  <si>
    <t>Economic potential minus current installed capacity</t>
  </si>
  <si>
    <t>Additional_High</t>
  </si>
  <si>
    <t>25% of gross potential minus current installed capacity</t>
  </si>
  <si>
    <t>INCREMENTAL COST INTERPRETATION</t>
  </si>
  <si>
    <t>T1 Cost = 0</t>
  </si>
  <si>
    <t>T2-T4 Costs</t>
  </si>
  <si>
    <t>TIMES Usage</t>
  </si>
  <si>
    <t>Model as stepped supply curve using NCAP_BND(UP) for each tranche</t>
  </si>
  <si>
    <t>TECHNOLOGY NAMING</t>
  </si>
  <si>
    <t>Convention</t>
  </si>
  <si>
    <t>EN_Hydro_&lt;ISO3&gt;_&lt;Tranche&gt;</t>
  </si>
  <si>
    <t>Example</t>
  </si>
  <si>
    <t>EN_Hydro_BRA_T1, EN_Hydro_BRA_T2, EN_Hydro_BRA_T3, EN_Hydro_BRA_T4</t>
  </si>
  <si>
    <t>NOTES</t>
  </si>
  <si>
    <t>Excludes</t>
  </si>
  <si>
    <t>Pumped storage hydro (PSH) - separate technology</t>
  </si>
  <si>
    <t>Constraints</t>
  </si>
  <si>
    <t>Environmental/social factors may further limit development</t>
  </si>
  <si>
    <t>Climate</t>
  </si>
  <si>
    <t>Potential may shift with changing precipitation patterns</t>
  </si>
  <si>
    <t>REFERENCES</t>
  </si>
  <si>
    <t>[1]</t>
  </si>
  <si>
    <t>Hoes OAC et al. (2017) Systematic high-resolution assessment of global hydropower potential. PLOS ONE 12(2): e0171844</t>
  </si>
  <si>
    <t>[2]</t>
  </si>
  <si>
    <t>Gernaat DEHJ et al. (2017) High-resolution assessment of global technical and economic hydropower potential. Nature Energy 2: 821-828</t>
  </si>
  <si>
    <t>[3]</t>
  </si>
  <si>
    <t>[4]</t>
  </si>
  <si>
    <t>IHA (2024) World Hydropower Outlook</t>
  </si>
  <si>
    <t>ISO3</t>
  </si>
  <si>
    <t>Country</t>
  </si>
  <si>
    <t>Region</t>
  </si>
  <si>
    <t>Tranche</t>
  </si>
  <si>
    <t>Potential_GW</t>
  </si>
  <si>
    <t>Potential_MW</t>
  </si>
  <si>
    <t>INVCOST_Incremental_USD_kW</t>
  </si>
  <si>
    <t>INVCOST_Absolute_USD_kW</t>
  </si>
  <si>
    <t>LCOE_Range</t>
  </si>
  <si>
    <t>EN_Hydro_BRA_T1</t>
  </si>
  <si>
    <t>CSA</t>
  </si>
  <si>
    <t>T1</t>
  </si>
  <si>
    <t>EN_Hydro_BRA_T2</t>
  </si>
  <si>
    <t>T2</t>
  </si>
  <si>
    <t>EN_Hydro_BRA_T3</t>
  </si>
  <si>
    <t>T3</t>
  </si>
  <si>
    <t>EN_Hydro_BRA_T4</t>
  </si>
  <si>
    <t>T4</t>
  </si>
  <si>
    <t>EN_Hydro_RUS_T1</t>
  </si>
  <si>
    <t>FSU</t>
  </si>
  <si>
    <t>EN_Hydro_RUS_T2</t>
  </si>
  <si>
    <t>EN_Hydro_RUS_T3</t>
  </si>
  <si>
    <t>EN_Hydro_RUS_T4</t>
  </si>
  <si>
    <t>EN_Hydro_IND_T1</t>
  </si>
  <si>
    <t>SAS</t>
  </si>
  <si>
    <t>EN_Hydro_IND_T2</t>
  </si>
  <si>
    <t>EN_Hydro_IND_T3</t>
  </si>
  <si>
    <t>EN_Hydro_IND_T4</t>
  </si>
  <si>
    <t>EN_Hydro_COD_T1</t>
  </si>
  <si>
    <t>DR Congo</t>
  </si>
  <si>
    <t>AFR</t>
  </si>
  <si>
    <t>EN_Hydro_COD_T2</t>
  </si>
  <si>
    <t>EN_Hydro_COD_T3</t>
  </si>
  <si>
    <t>EN_Hydro_COD_T4</t>
  </si>
  <si>
    <t>EN_Hydro_IDN_T1</t>
  </si>
  <si>
    <t>PAS</t>
  </si>
  <si>
    <t>EN_Hydro_IDN_T2</t>
  </si>
  <si>
    <t>EN_Hydro_IDN_T3</t>
  </si>
  <si>
    <t>EN_Hydro_IDN_T4</t>
  </si>
  <si>
    <t>EN_Hydro_PER_T1</t>
  </si>
  <si>
    <t>EN_Hydro_PER_T2</t>
  </si>
  <si>
    <t>EN_Hydro_PER_T3</t>
  </si>
  <si>
    <t>EN_Hydro_PER_T4</t>
  </si>
  <si>
    <t>EN_Hydro_COL_T1</t>
  </si>
  <si>
    <t>EN_Hydro_COL_T2</t>
  </si>
  <si>
    <t>EN_Hydro_COL_T3</t>
  </si>
  <si>
    <t>EN_Hydro_COL_T4</t>
  </si>
  <si>
    <t>EN_Hydro_VEN_T1</t>
  </si>
  <si>
    <t>EN_Hydro_VEN_T2</t>
  </si>
  <si>
    <t>EN_Hydro_VEN_T3</t>
  </si>
  <si>
    <t>EN_Hydro_VEN_T4</t>
  </si>
  <si>
    <t>EN_Hydro_MMR_T1</t>
  </si>
  <si>
    <t>CPA</t>
  </si>
  <si>
    <t>EN_Hydro_MMR_T2</t>
  </si>
  <si>
    <t>EN_Hydro_MMR_T3</t>
  </si>
  <si>
    <t>EN_Hydro_MMR_T4</t>
  </si>
  <si>
    <t>EN_Hydro_NPL_T1</t>
  </si>
  <si>
    <t>EN_Hydro_NPL_T2</t>
  </si>
  <si>
    <t>EN_Hydro_NPL_T3</t>
  </si>
  <si>
    <t>EN_Hydro_NPL_T4</t>
  </si>
  <si>
    <t>EN_Hydro_PAK_T1</t>
  </si>
  <si>
    <t>EN_Hydro_PAK_T2</t>
  </si>
  <si>
    <t>EN_Hydro_PAK_T3</t>
  </si>
  <si>
    <t>EN_Hydro_PAK_T4</t>
  </si>
  <si>
    <t>EN_Hydro_ARG_T1</t>
  </si>
  <si>
    <t>EN_Hydro_ARG_T2</t>
  </si>
  <si>
    <t>EN_Hydro_ARG_T3</t>
  </si>
  <si>
    <t>EN_Hydro_ARG_T4</t>
  </si>
  <si>
    <t>EN_Hydro_MEX_T1</t>
  </si>
  <si>
    <t>EN_Hydro_MEX_T2</t>
  </si>
  <si>
    <t>EN_Hydro_MEX_T3</t>
  </si>
  <si>
    <t>EN_Hydro_MEX_T4</t>
  </si>
  <si>
    <t>EN_Hydro_ETH_T1</t>
  </si>
  <si>
    <t>EN_Hydro_ETH_T2</t>
  </si>
  <si>
    <t>EN_Hydro_ETH_T3</t>
  </si>
  <si>
    <t>EN_Hydro_ETH_T4</t>
  </si>
  <si>
    <t>EN_Hydro_BOL_T1</t>
  </si>
  <si>
    <t>EN_Hydro_BOL_T2</t>
  </si>
  <si>
    <t>EN_Hydro_BOL_T3</t>
  </si>
  <si>
    <t>EN_Hydro_BOL_T4</t>
  </si>
  <si>
    <t>EN_Hydro_ECU_T1</t>
  </si>
  <si>
    <t>EN_Hydro_ECU_T2</t>
  </si>
  <si>
    <t>EN_Hydro_ECU_T3</t>
  </si>
  <si>
    <t>EN_Hydro_ECU_T4</t>
  </si>
  <si>
    <t>EN_Hydro_LAO_T1</t>
  </si>
  <si>
    <t>EN_Hydro_LAO_T2</t>
  </si>
  <si>
    <t>EN_Hydro_LAO_T3</t>
  </si>
  <si>
    <t>EN_Hydro_LAO_T4</t>
  </si>
  <si>
    <t>EN_Hydro_NGA_T1</t>
  </si>
  <si>
    <t>EN_Hydro_NGA_T2</t>
  </si>
  <si>
    <t>EN_Hydro_NGA_T3</t>
  </si>
  <si>
    <t>EN_Hydro_NGA_T4</t>
  </si>
  <si>
    <t>EN_Hydro_PHL_T1</t>
  </si>
  <si>
    <t>EN_Hydro_PHL_T2</t>
  </si>
  <si>
    <t>EN_Hydro_PHL_T3</t>
  </si>
  <si>
    <t>EN_Hydro_PHL_T4</t>
  </si>
  <si>
    <t>EN_Hydro_CMR_T1</t>
  </si>
  <si>
    <t>EN_Hydro_CMR_T2</t>
  </si>
  <si>
    <t>EN_Hydro_CMR_T3</t>
  </si>
  <si>
    <t>EN_Hydro_CMR_T4</t>
  </si>
  <si>
    <t>EN_Hydro_AGO_T1</t>
  </si>
  <si>
    <t>EN_Hydro_AGO_T2</t>
  </si>
  <si>
    <t>EN_Hydro_AGO_T3</t>
  </si>
  <si>
    <t>EN_Hydro_AGO_T4</t>
  </si>
  <si>
    <t>EN_Hydro_TZA_T1</t>
  </si>
  <si>
    <t>EN_Hydro_TZA_T2</t>
  </si>
  <si>
    <t>EN_Hydro_TZA_T3</t>
  </si>
  <si>
    <t>EN_Hydro_TZA_T4</t>
  </si>
  <si>
    <t>EN_Hydro_MOZ_T1</t>
  </si>
  <si>
    <t>EN_Hydro_MOZ_T2</t>
  </si>
  <si>
    <t>EN_Hydro_MOZ_T3</t>
  </si>
  <si>
    <t>EN_Hydro_MOZ_T4</t>
  </si>
  <si>
    <t>EN_Hydro_ZMB_T1</t>
  </si>
  <si>
    <t>EN_Hydro_ZMB_T2</t>
  </si>
  <si>
    <t>EN_Hydro_ZMB_T3</t>
  </si>
  <si>
    <t>EN_Hydro_ZMB_T4</t>
  </si>
  <si>
    <t>EN_Hydro_BTN_T1</t>
  </si>
  <si>
    <t>EN_Hydro_BTN_T2</t>
  </si>
  <si>
    <t>EN_Hydro_BTN_T3</t>
  </si>
  <si>
    <t>EN_Hydro_BTN_T4</t>
  </si>
  <si>
    <t>EN_Hydro_UGA_T1</t>
  </si>
  <si>
    <t>EN_Hydro_UGA_T2</t>
  </si>
  <si>
    <t>EN_Hydro_UGA_T3</t>
  </si>
  <si>
    <t>EN_Hydro_UGA_T4</t>
  </si>
  <si>
    <t>EN_Hydro_PNG_T1</t>
  </si>
  <si>
    <t>EN_Hydro_PNG_T2</t>
  </si>
  <si>
    <t>EN_Hydro_PNG_T3</t>
  </si>
  <si>
    <t>EN_Hydro_PNG_T4</t>
  </si>
  <si>
    <t>EN_Hydro_ZWE_T1</t>
  </si>
  <si>
    <t>EN_Hydro_ZWE_T2</t>
  </si>
  <si>
    <t>EN_Hydro_ZWE_T3</t>
  </si>
  <si>
    <t>EN_Hydro_ZWE_T4</t>
  </si>
  <si>
    <t>EN_Hydro_KGZ_T1</t>
  </si>
  <si>
    <t>Kyrgyzstan</t>
  </si>
  <si>
    <t>EN_Hydro_KGZ_T2</t>
  </si>
  <si>
    <t>EN_Hydro_KGZ_T3</t>
  </si>
  <si>
    <t>EN_Hydro_KGZ_T4</t>
  </si>
  <si>
    <t>EN_Hydro_KEN_T1</t>
  </si>
  <si>
    <t>EN_Hydro_KEN_T2</t>
  </si>
  <si>
    <t>EN_Hydro_KEN_T3</t>
  </si>
  <si>
    <t>EN_Hydro_KEN_T4</t>
  </si>
  <si>
    <t>EN_Hydro_GUY_T1</t>
  </si>
  <si>
    <t>EN_Hydro_GUY_T2</t>
  </si>
  <si>
    <t>EN_Hydro_GUY_T3</t>
  </si>
  <si>
    <t>EN_Hydro_GUY_T4</t>
  </si>
  <si>
    <t>EN_Hydro_AFG_T1</t>
  </si>
  <si>
    <t>EN_Hydro_AFG_T2</t>
  </si>
  <si>
    <t>EN_Hydro_AFG_T3</t>
  </si>
  <si>
    <t>EN_Hydro_AFG_T4</t>
  </si>
  <si>
    <t>EN_Hydro_COG_T1</t>
  </si>
  <si>
    <t>Congo</t>
  </si>
  <si>
    <t>EN_Hydro_COG_T2</t>
  </si>
  <si>
    <t>EN_Hydro_COG_T3</t>
  </si>
  <si>
    <t>EN_Hydro_COG_T4</t>
  </si>
  <si>
    <t>EN_Hydro_GIN_T1</t>
  </si>
  <si>
    <t>EN_Hydro_GIN_T2</t>
  </si>
  <si>
    <t>EN_Hydro_GIN_T3</t>
  </si>
  <si>
    <t>EN_Hydro_GIN_T4</t>
  </si>
  <si>
    <t>EN_Hydro_GAB_T1</t>
  </si>
  <si>
    <t>EN_Hydro_GAB_T2</t>
  </si>
  <si>
    <t>EN_Hydro_GAB_T3</t>
  </si>
  <si>
    <t>EN_Hydro_GAB_T4</t>
  </si>
  <si>
    <t>EN_Hydro_GTM_T1</t>
  </si>
  <si>
    <t>EN_Hydro_GTM_T2</t>
  </si>
  <si>
    <t>EN_Hydro_GTM_T3</t>
  </si>
  <si>
    <t>EN_Hydro_GTM_T4</t>
  </si>
  <si>
    <t>EN_Hydro_SUR_T1</t>
  </si>
  <si>
    <t>EN_Hydro_SUR_T2</t>
  </si>
  <si>
    <t>EN_Hydro_SUR_T3</t>
  </si>
  <si>
    <t>EN_Hydro_SUR_T4</t>
  </si>
  <si>
    <t>EN_Hydro_MDG_T1</t>
  </si>
  <si>
    <t>EN_Hydro_MDG_T2</t>
  </si>
  <si>
    <t>EN_Hydro_MDG_T3</t>
  </si>
  <si>
    <t>EN_Hydro_MDG_T4</t>
  </si>
  <si>
    <t>EN_Hydro_HND_T1</t>
  </si>
  <si>
    <t>EN_Hydro_HND_T2</t>
  </si>
  <si>
    <t>EN_Hydro_HND_T3</t>
  </si>
  <si>
    <t>EN_Hydro_HND_T4</t>
  </si>
  <si>
    <t>EN_Hydro_CAF_T1</t>
  </si>
  <si>
    <t>EN_Hydro_CAF_T2</t>
  </si>
  <si>
    <t>EN_Hydro_CAF_T3</t>
  </si>
  <si>
    <t>EN_Hydro_CAF_T4</t>
  </si>
  <si>
    <t>EN_Hydro_NIC_T1</t>
  </si>
  <si>
    <t>EN_Hydro_NIC_T2</t>
  </si>
  <si>
    <t>EN_Hydro_NIC_T3</t>
  </si>
  <si>
    <t>EN_Hydro_NIC_T4</t>
  </si>
  <si>
    <t>EN_Hydro_SLE_T1</t>
  </si>
  <si>
    <t>EN_Hydro_SLE_T2</t>
  </si>
  <si>
    <t>EN_Hydro_SLE_T3</t>
  </si>
  <si>
    <t>EN_Hydro_SLE_T4</t>
  </si>
  <si>
    <t>EN_Hydro_MWI_T1</t>
  </si>
  <si>
    <t>EN_Hydro_MWI_T2</t>
  </si>
  <si>
    <t>EN_Hydro_MWI_T3</t>
  </si>
  <si>
    <t>EN_Hydro_MWI_T4</t>
  </si>
  <si>
    <t>EN_Hydro_MNG_T1</t>
  </si>
  <si>
    <t>EN_Hydro_MNG_T2</t>
  </si>
  <si>
    <t>EN_Hydro_MNG_T3</t>
  </si>
  <si>
    <t>EN_Hydro_MNG_T4</t>
  </si>
  <si>
    <t>EN_Hydro_MLI_T1</t>
  </si>
  <si>
    <t>EN_Hydro_MLI_T2</t>
  </si>
  <si>
    <t>EN_Hydro_MLI_T3</t>
  </si>
  <si>
    <t>EN_Hydro_MLI_T4</t>
  </si>
  <si>
    <t>EN_Hydro_SEN_T1</t>
  </si>
  <si>
    <t>EN_Hydro_SEN_T2</t>
  </si>
  <si>
    <t>EN_Hydro_SEN_T3</t>
  </si>
  <si>
    <t>EN_Hydro_SEN_T4</t>
  </si>
  <si>
    <t>EN_Hydro_RWA_T1</t>
  </si>
  <si>
    <t>EN_Hydro_RWA_T2</t>
  </si>
  <si>
    <t>EN_Hydro_RWA_T3</t>
  </si>
  <si>
    <t>EN_Hydro_RWA_T4</t>
  </si>
  <si>
    <t>EN_Hydro_LBR_T1</t>
  </si>
  <si>
    <t>EN_Hydro_LBR_T2</t>
  </si>
  <si>
    <t>EN_Hydro_LBR_T3</t>
  </si>
  <si>
    <t>EN_Hydro_LBR_T4</t>
  </si>
  <si>
    <t>EN_Hydro_BDI_T1</t>
  </si>
  <si>
    <t>EN_Hydro_BDI_T2</t>
  </si>
  <si>
    <t>EN_Hydro_BDI_T3</t>
  </si>
  <si>
    <t>EN_Hydro_BDI_T4</t>
  </si>
  <si>
    <t>EN_Hydro_HUN_T1</t>
  </si>
  <si>
    <t>EUR</t>
  </si>
  <si>
    <t>EN_Hydro_HUN_T2</t>
  </si>
  <si>
    <t>EN_Hydro_HUN_T3</t>
  </si>
  <si>
    <t>EN_Hydro_HUN_T4</t>
  </si>
  <si>
    <t>EN_Hydro_BLR_T1</t>
  </si>
  <si>
    <t>EN_Hydro_BLR_T2</t>
  </si>
  <si>
    <t>EN_Hydro_BLR_T3</t>
  </si>
  <si>
    <t>EN_Hydro_BLR_T4</t>
  </si>
  <si>
    <t>EN_Hydro_CAN_T1</t>
  </si>
  <si>
    <t>EN_Hydro_CAN_T2</t>
  </si>
  <si>
    <t>EN_Hydro_CAN_T3</t>
  </si>
  <si>
    <t>EN_Hydro_CAN_T4</t>
  </si>
  <si>
    <t>EN_Hydro_CHL_T1</t>
  </si>
  <si>
    <t>EN_Hydro_CHL_T2</t>
  </si>
  <si>
    <t>EN_Hydro_CHL_T3</t>
  </si>
  <si>
    <t>EN_Hydro_CHL_T4</t>
  </si>
  <si>
    <t>EN_Hydro_TJK_T1</t>
  </si>
  <si>
    <t>EN_Hydro_TJK_T2</t>
  </si>
  <si>
    <t>EN_Hydro_TJK_T3</t>
  </si>
  <si>
    <t>EN_Hydro_TJK_T4</t>
  </si>
  <si>
    <t>EN_Hydro_KHM_T1</t>
  </si>
  <si>
    <t>EN_Hydro_KHM_T2</t>
  </si>
  <si>
    <t>EN_Hydro_KHM_T3</t>
  </si>
  <si>
    <t>EN_Hydro_KHM_T4</t>
  </si>
  <si>
    <t>EN_Hydro_SDN_T1</t>
  </si>
  <si>
    <t>SDN</t>
  </si>
  <si>
    <t>Sudan</t>
  </si>
  <si>
    <t>EN_Hydro_SDN_T2</t>
  </si>
  <si>
    <t>EN_Hydro_SDN_T3</t>
  </si>
  <si>
    <t>EN_Hydro_SDN_T4</t>
  </si>
  <si>
    <t>EN_Hydro_CIV_T1</t>
  </si>
  <si>
    <t>Cote d'Ivoire</t>
  </si>
  <si>
    <t>EN_Hydro_CIV_T2</t>
  </si>
  <si>
    <t>EN_Hydro_CIV_T3</t>
  </si>
  <si>
    <t>EN_Hydro_CIV_T4</t>
  </si>
  <si>
    <t>EN_Hydro_SLV_T1</t>
  </si>
  <si>
    <t>EN_Hydro_SLV_T2</t>
  </si>
  <si>
    <t>EN_Hydro_SLV_T3</t>
  </si>
  <si>
    <t>EN_Hydro_SLV_T4</t>
  </si>
  <si>
    <t>EN_Hydro_BGD_T1</t>
  </si>
  <si>
    <t>EN_Hydro_BGD_T2</t>
  </si>
  <si>
    <t>EN_Hydro_BGD_T3</t>
  </si>
  <si>
    <t>EN_Hydro_BGD_T4</t>
  </si>
  <si>
    <t>EN_Hydro_ISR_T1</t>
  </si>
  <si>
    <t>MEA</t>
  </si>
  <si>
    <t>EN_Hydro_ISR_T2</t>
  </si>
  <si>
    <t>EN_Hydro_ISR_T3</t>
  </si>
  <si>
    <t>EN_Hydro_ISR_T4</t>
  </si>
  <si>
    <t>EN_Hydro_JOR_T1</t>
  </si>
  <si>
    <t>EN_Hydro_JOR_T2</t>
  </si>
  <si>
    <t>EN_Hydro_JOR_T3</t>
  </si>
  <si>
    <t>EN_Hydro_JOR_T4</t>
  </si>
  <si>
    <t>comm-in</t>
  </si>
  <si>
    <t>ELCHYD</t>
  </si>
  <si>
    <t>ELE</t>
  </si>
  <si>
    <t>NatGrExt</t>
  </si>
  <si>
    <t>Countries in NREL data</t>
  </si>
  <si>
    <t>~FI_Process</t>
  </si>
  <si>
    <t>RegionCode</t>
  </si>
  <si>
    <t>RegionName</t>
  </si>
  <si>
    <t>Sets</t>
  </si>
  <si>
    <t>TechDesc</t>
  </si>
  <si>
    <t>TACT</t>
  </si>
  <si>
    <t>TCAP</t>
  </si>
  <si>
    <t>PrimaryCG</t>
  </si>
  <si>
    <t>PRE</t>
  </si>
  <si>
    <t>DumGrid</t>
  </si>
  <si>
    <t>ALB</t>
  </si>
  <si>
    <t>Albania</t>
  </si>
  <si>
    <t>ARE</t>
  </si>
  <si>
    <t>United Arab Emirates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</si>
  <si>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</si>
  <si>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</si>
  <si>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</si>
  <si>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</si>
  <si>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</si>
  <si>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</si>
  <si>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</si>
  <si>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</si>
  <si>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</si>
  <si>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</si>
  <si>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</si>
  <si>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</si>
  <si>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BEN</t>
  </si>
  <si>
    <t>Benin</t>
  </si>
  <si>
    <t>BFA</t>
  </si>
  <si>
    <t>Burkina Faso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</si>
  <si>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</si>
  <si>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</si>
  <si>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</si>
  <si>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</si>
  <si>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</si>
  <si>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</si>
  <si>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</si>
  <si>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</si>
  <si>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BLZ</t>
  </si>
  <si>
    <t>Belize</t>
  </si>
  <si>
    <t>BRN</t>
  </si>
  <si>
    <t>Brunei</t>
  </si>
  <si>
    <t>BWA</t>
  </si>
  <si>
    <t>Botswana</t>
  </si>
  <si>
    <t>CHE</t>
  </si>
  <si>
    <t>Switzerland</t>
  </si>
  <si>
    <t>CHN</t>
  </si>
  <si>
    <t>China</t>
  </si>
  <si>
    <t>Ivory Coast</t>
  </si>
  <si>
    <t>Democratic Republic of Congo</t>
  </si>
  <si>
    <t>Republic of Congo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</si>
  <si>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</si>
  <si>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</si>
  <si>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</si>
  <si>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</si>
  <si>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</si>
  <si>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</si>
  <si>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</si>
  <si>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</si>
  <si>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</si>
  <si>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</si>
  <si>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</si>
  <si>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</si>
  <si>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</si>
  <si>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</si>
  <si>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</si>
  <si>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</si>
  <si>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</si>
  <si>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</si>
  <si>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</si>
  <si>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</si>
  <si>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</si>
  <si>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</si>
  <si>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</si>
  <si>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</si>
  <si>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</si>
  <si>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</si>
  <si>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</si>
  <si>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</si>
  <si>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</si>
  <si>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</si>
  <si>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</si>
  <si>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</si>
  <si>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</si>
  <si>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</t>
  </si>
  <si>
    <t>GEO</t>
  </si>
  <si>
    <t>Georgia</t>
  </si>
  <si>
    <t>GHA</t>
  </si>
  <si>
    <t>Ghana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</si>
  <si>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</si>
  <si>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</si>
  <si>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</si>
  <si>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</si>
  <si>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</si>
  <si>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</si>
  <si>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</si>
  <si>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</si>
  <si>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GUF</t>
  </si>
  <si>
    <t>French Guiana</t>
  </si>
  <si>
    <t>HRV</t>
  </si>
  <si>
    <t>Croatia</t>
  </si>
  <si>
    <t>HTI</t>
  </si>
  <si>
    <t>Haiti</t>
  </si>
  <si>
    <t>IRL</t>
  </si>
  <si>
    <t>Ireland</t>
  </si>
  <si>
    <t>IRN</t>
  </si>
  <si>
    <t>Iran</t>
  </si>
  <si>
    <t>IRQ</t>
  </si>
  <si>
    <t>Iraq</t>
  </si>
  <si>
    <t>ISL</t>
  </si>
  <si>
    <t>Iceland</t>
  </si>
  <si>
    <t>ITA</t>
  </si>
  <si>
    <t>Italy</t>
  </si>
  <si>
    <t>JAM</t>
  </si>
  <si>
    <t>Jamaica</t>
  </si>
  <si>
    <t>JPN</t>
  </si>
  <si>
    <t>Japan</t>
  </si>
  <si>
    <t>KAZ</t>
  </si>
  <si>
    <t>Kazakhstan</t>
  </si>
  <si>
    <t>Kyrgyz Republic</t>
  </si>
  <si>
    <t>KOR</t>
  </si>
  <si>
    <t>South Korea</t>
  </si>
  <si>
    <t>KWT</t>
  </si>
  <si>
    <t>Kuwait</t>
  </si>
  <si>
    <t>LBN</t>
  </si>
  <si>
    <t>Lebanon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</si>
  <si>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</si>
  <si>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</si>
  <si>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</si>
  <si>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</si>
  <si>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</si>
  <si>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</si>
  <si>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</si>
  <si>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</si>
  <si>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</si>
  <si>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</si>
  <si>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</si>
  <si>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</si>
  <si>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</si>
  <si>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</si>
  <si>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</si>
  <si>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</si>
  <si>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MKD</t>
  </si>
  <si>
    <t>Macedonia</t>
  </si>
  <si>
    <t>MNE</t>
  </si>
  <si>
    <t>Montenegro</t>
  </si>
  <si>
    <t>MRT</t>
  </si>
  <si>
    <t>Mauritania</t>
  </si>
  <si>
    <t>MYS</t>
  </si>
  <si>
    <t>Malaysia</t>
  </si>
  <si>
    <t>Namibia</t>
  </si>
  <si>
    <t>NER</t>
  </si>
  <si>
    <t>Niger</t>
  </si>
  <si>
    <t>NLD</t>
  </si>
  <si>
    <t>Netherlands</t>
  </si>
  <si>
    <t>NOR</t>
  </si>
  <si>
    <t>Norway</t>
  </si>
  <si>
    <t>OMN</t>
  </si>
  <si>
    <t>Oman</t>
  </si>
  <si>
    <t>PAN</t>
  </si>
  <si>
    <t>Panama</t>
  </si>
  <si>
    <t>POL</t>
  </si>
  <si>
    <t>Poland</t>
  </si>
  <si>
    <t>PRK</t>
  </si>
  <si>
    <t>Dem. People^s Rep.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</si>
  <si>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</si>
  <si>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</si>
  <si>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</si>
  <si>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</si>
  <si>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</si>
  <si>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</si>
  <si>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</si>
  <si>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</si>
  <si>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ROU</t>
  </si>
  <si>
    <t>Romania</t>
  </si>
  <si>
    <t>SAU</t>
  </si>
  <si>
    <t>Saudi Arabia</t>
  </si>
  <si>
    <t>SOM</t>
  </si>
  <si>
    <t>Somalia</t>
  </si>
  <si>
    <t>SRB</t>
  </si>
  <si>
    <t>Serbia</t>
  </si>
  <si>
    <t>SSD</t>
  </si>
  <si>
    <t>South Sudan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</si>
  <si>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</si>
  <si>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</si>
  <si>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</si>
  <si>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</si>
  <si>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</si>
  <si>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</si>
  <si>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</si>
  <si>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</si>
  <si>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</si>
  <si>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</si>
  <si>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</si>
  <si>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</si>
  <si>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</si>
  <si>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</si>
  <si>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</si>
  <si>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</si>
  <si>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</si>
  <si>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</si>
  <si>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</si>
  <si>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</si>
  <si>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</si>
  <si>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</si>
  <si>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</si>
  <si>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</si>
  <si>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</si>
  <si>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</si>
  <si>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</si>
  <si>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</si>
  <si>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</si>
  <si>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</si>
  <si>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</si>
  <si>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</si>
  <si>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</si>
  <si>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</si>
  <si>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</si>
  <si>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</si>
  <si>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</si>
  <si>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</si>
  <si>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VNM</t>
  </si>
  <si>
    <t>Vietnam</t>
  </si>
  <si>
    <t>VUT</t>
  </si>
  <si>
    <t>Vanuatu</t>
  </si>
  <si>
    <t>YEM</t>
  </si>
  <si>
    <t>Yemen</t>
  </si>
  <si>
    <t>ZAF</t>
  </si>
  <si>
    <t>South Africa</t>
  </si>
  <si>
    <t>AR6_Base_Cost_USD_kW</t>
  </si>
  <si>
    <t>$0.04-0.06/kWh</t>
  </si>
  <si>
    <t>$0.06-0.08/kWh</t>
  </si>
  <si>
    <t>$0.08-0.10/kWh</t>
  </si>
  <si>
    <t>$0.10-0.14/kWh</t>
  </si>
  <si>
    <t>Capital Costs</t>
  </si>
  <si>
    <t>AR6 Scenario Database - Regional median costs for hydro (2020 USD/kW)</t>
  </si>
  <si>
    <t>COST METHODOLOGY (AR6-BASED)</t>
  </si>
  <si>
    <t>Base Cost Source</t>
  </si>
  <si>
    <t>AR6 scenario database median capital costs by R10 region</t>
  </si>
  <si>
    <t>T1 (Best Sites)</t>
  </si>
  <si>
    <t>25%/20% of potential | 0.90x base cost | Best available sites</t>
  </si>
  <si>
    <t>T2 (Good Sites)</t>
  </si>
  <si>
    <t>40%/35% of potential | 1.00x base cost | Median cost sites</t>
  </si>
  <si>
    <t>T3 (Average Sites)</t>
  </si>
  <si>
    <t>25%/30% of potential | 1.15x base cost | Above-average cost</t>
  </si>
  <si>
    <t>T4 (Marginal Sites)</t>
  </si>
  <si>
    <t>10%/15% of potential | 1.35x base cost | Highest cost sites</t>
  </si>
  <si>
    <t>AR6 REGIONAL BASE COSTS (2020 USD/kW)</t>
  </si>
  <si>
    <t>AFR (Africa)</t>
  </si>
  <si>
    <t>$2,689/kW</t>
  </si>
  <si>
    <t>CSA (Latin America)</t>
  </si>
  <si>
    <t>$3,074/kW</t>
  </si>
  <si>
    <t>CPA (China+)</t>
  </si>
  <si>
    <t>$2,273/kW</t>
  </si>
  <si>
    <t>SAS (India+)</t>
  </si>
  <si>
    <t>$2,585/kW</t>
  </si>
  <si>
    <t>PAS (Rest of Asia)</t>
  </si>
  <si>
    <t>$2,864/kW</t>
  </si>
  <si>
    <t>FSU (Former Soviet Union)</t>
  </si>
  <si>
    <t>$2,860/kW</t>
  </si>
  <si>
    <t>MEA (Middle East)</t>
  </si>
  <si>
    <t>$2,790/kW</t>
  </si>
  <si>
    <t>EUR (Europe)</t>
  </si>
  <si>
    <t>$2,752/kW</t>
  </si>
  <si>
    <t>NAM (North America)</t>
  </si>
  <si>
    <t>$2,852/kW</t>
  </si>
  <si>
    <t>PAO (Pacific OECD)</t>
  </si>
  <si>
    <t>$2,808/kW</t>
  </si>
  <si>
    <t>First tranche baseline; absolute cost embedded in base technology</t>
  </si>
  <si>
    <t>ADDITIONAL cost above T1 to access that tranche of potential</t>
  </si>
  <si>
    <t>AR6 Scenario Database - IPCC Working Group III contribution to AR6</t>
  </si>
  <si>
    <t>ele</t>
  </si>
  <si>
    <t>en_spv_AFG_001</t>
  </si>
  <si>
    <t>solar resource in Kunduz region (near Kunduz) -- Afghanistan</t>
  </si>
  <si>
    <t>annual</t>
  </si>
  <si>
    <t>en_spv_AFG_002</t>
  </si>
  <si>
    <t>solar resource in Faryab region (near Aqchah) -- Afghanistan</t>
  </si>
  <si>
    <t>en_spv_AFG_003</t>
  </si>
  <si>
    <t>solar resource in Herat region (near Herat) -- Afghanistan</t>
  </si>
  <si>
    <t>en_spv_AFG_004</t>
  </si>
  <si>
    <t>en_spv_AFG_005</t>
  </si>
  <si>
    <t>solar resource in Zabul region (near Kandahar) -- Afghanistan</t>
  </si>
  <si>
    <t>en_spv_AFG_006</t>
  </si>
  <si>
    <t>solar resource in Paktika region (near Kabul) -- Afghanistan</t>
  </si>
  <si>
    <t>en_spv_AFG_007</t>
  </si>
  <si>
    <t>solar resource in Federally Administered Tribal Areas region (near Jalalabad) -- Afghanistan</t>
  </si>
  <si>
    <t>en_spv_AFG_008</t>
  </si>
  <si>
    <t>solar resource in Kandahar region (near Kandahar) -- Afghanistan</t>
  </si>
  <si>
    <t>en_spv_AFG_009</t>
  </si>
  <si>
    <t>solar resource in Nimruz region (near Farah) -- Afghanistan</t>
  </si>
  <si>
    <t>en_spv_AGO_001</t>
  </si>
  <si>
    <t>solar resource in Huila region (near Chibia) -- Angola</t>
  </si>
  <si>
    <t>en_spv_AGO_002</t>
  </si>
  <si>
    <t>solar resource in Huila region (near Caluquembe) -- Angola</t>
  </si>
  <si>
    <t>en_spv_AGO_003</t>
  </si>
  <si>
    <t>solar resource in Bie region (near Menongue) -- Angola</t>
  </si>
  <si>
    <t>en_spv_AGO_004</t>
  </si>
  <si>
    <t>solar resource in Cuando Cubango region (near Menongue) -- Angola</t>
  </si>
  <si>
    <t>en_spv_AGO_005</t>
  </si>
  <si>
    <t>en_spv_AGO_006</t>
  </si>
  <si>
    <t>solar resource in Bengo region (near Belas) -- Angola</t>
  </si>
  <si>
    <t>en_spv_AGO_007</t>
  </si>
  <si>
    <t>solar resource in Zaire region (near Mbanza Kongo) -- Angola</t>
  </si>
  <si>
    <t>en_spv_AGO_008</t>
  </si>
  <si>
    <t>solar resource in Malanje region (near Malanje) -- Angola</t>
  </si>
  <si>
    <t>en_spv_AGO_009</t>
  </si>
  <si>
    <t>solar resource in Bie region (near Andulo) -- Angola</t>
  </si>
  <si>
    <t>en_spv_AGO_010</t>
  </si>
  <si>
    <t>solar resource in Bie region (near Luena) -- Angola</t>
  </si>
  <si>
    <t>en_spv_AGO_011</t>
  </si>
  <si>
    <t>solar resource in Moxico region (near Luena) -- Angola</t>
  </si>
  <si>
    <t>en_spv_AGO_012</t>
  </si>
  <si>
    <t>solar resource in Lunda Norte region (near Saurimo) -- Angola</t>
  </si>
  <si>
    <t>en_spv_ALB_001</t>
  </si>
  <si>
    <t>solar resource in Shkoder region (near Shkoder) -- Albania</t>
  </si>
  <si>
    <t>en_spv_ALB_002</t>
  </si>
  <si>
    <t>solar resource in Fier region (near Vlore) -- Albania</t>
  </si>
  <si>
    <t>en_spv_ALB_003</t>
  </si>
  <si>
    <t>solar resource in Korce region (near Korce) -- Albania</t>
  </si>
  <si>
    <t>en_spv_ALB_004</t>
  </si>
  <si>
    <t>solar resource in Elbasan region (near Tirana) -- Albania</t>
  </si>
  <si>
    <t>en_spv_ARE_001</t>
  </si>
  <si>
    <t>solar resource in Emirate of Abu Dhabi region (near Abu Dhabi) -- United Arab Emirates</t>
  </si>
  <si>
    <t>en_spv_ARE_002</t>
  </si>
  <si>
    <t>en_spv_ARE_003</t>
  </si>
  <si>
    <t>solar resource in Emirate of Dubai region (near Dubai) -- United Arab Emirates</t>
  </si>
  <si>
    <t>en_spv_ARE_004</t>
  </si>
  <si>
    <t>en_spv_ARG_001</t>
  </si>
  <si>
    <t>solar resource in La Pampa region (near Cipolletti) -- Argentina</t>
  </si>
  <si>
    <t>en_spv_ARG_002</t>
  </si>
  <si>
    <t>solar resource in Chubut region (near Comodoro Rivadavia) -- Argentina</t>
  </si>
  <si>
    <t>en_spv_ARG_003</t>
  </si>
  <si>
    <t>solar resource in Chubut region (near Trelew) -- Argentina</t>
  </si>
  <si>
    <t>en_spv_ARG_004</t>
  </si>
  <si>
    <t>solar resource in San Luis region (near San Luis) -- Argentina</t>
  </si>
  <si>
    <t>en_spv_ARG_005</t>
  </si>
  <si>
    <t>solar resource in Santiago del Estero region (near Santiago del Estero) -- Argentina</t>
  </si>
  <si>
    <t>en_spv_ARG_006</t>
  </si>
  <si>
    <t>solar resource in La Rioja region (near La Rioja) -- Argentina</t>
  </si>
  <si>
    <t>en_spv_ARG_007</t>
  </si>
  <si>
    <t>solar resource in Corrientes region (near Posadas) -- Argentina</t>
  </si>
  <si>
    <t>en_spv_ARG_008</t>
  </si>
  <si>
    <t>solar resource in Formosa region (near Formosa) -- Argentina</t>
  </si>
  <si>
    <t>en_spv_ARG_009</t>
  </si>
  <si>
    <t>solar resource in Santiago del Estero region (near La Banda) -- Argentina</t>
  </si>
  <si>
    <t>en_spv_ARG_010</t>
  </si>
  <si>
    <t>solar resource in Corrientes region (near Concordia) -- Argentina</t>
  </si>
  <si>
    <t>en_spv_ARG_011</t>
  </si>
  <si>
    <t>solar resource in Entre Rios region (near San Lorenzo) -- Argentina</t>
  </si>
  <si>
    <t>en_spv_ARG_012</t>
  </si>
  <si>
    <t>solar resource in Buenos Aires region (near Olavarria) -- Argentina</t>
  </si>
  <si>
    <t>en_spv_ARG_013</t>
  </si>
  <si>
    <t>solar resource in Buenos Aires region (near Bahia Blanca) -- Argentina</t>
  </si>
  <si>
    <t>en_spv_ARM_001</t>
  </si>
  <si>
    <t>solar resource in Gegharkunik region (near Abovyan) -- Armenia</t>
  </si>
  <si>
    <t>en_spv_ARM_002</t>
  </si>
  <si>
    <t>solar resource in Armavir region (near Ejmiatsin) -- Armenia</t>
  </si>
  <si>
    <t>en_spv_ARM_003</t>
  </si>
  <si>
    <t>solar resource in Lori region (near Vanadzor) -- Armenia</t>
  </si>
  <si>
    <t>en_spv_AUS_001</t>
  </si>
  <si>
    <t>solar resource in Western Australia region (near Adelaide) -- Australia</t>
  </si>
  <si>
    <t>en_spv_AUS_002</t>
  </si>
  <si>
    <t>solar resource in Western Australia region (near Perth) -- Australia</t>
  </si>
  <si>
    <t>en_spv_AUS_003</t>
  </si>
  <si>
    <t>solar resource in Queensland region (near Adelaide) -- Australia</t>
  </si>
  <si>
    <t>en_spv_AUS_004</t>
  </si>
  <si>
    <t>solar resource in Northern Territory region (near Adelaide) -- Australia</t>
  </si>
  <si>
    <t>en_spv_AUS_005</t>
  </si>
  <si>
    <t>solar resource in Queensland region (near Brisbane) -- Australia</t>
  </si>
  <si>
    <t>en_spv_AUS_006</t>
  </si>
  <si>
    <t>en_spv_AUS_007</t>
  </si>
  <si>
    <t>en_spv_AUS_008</t>
  </si>
  <si>
    <t>solar resource in New South Wales region (near Adelaide) -- Australia</t>
  </si>
  <si>
    <t>en_spv_AUS_009</t>
  </si>
  <si>
    <t>solar resource in South Australia region (near Adelaide) -- Australia</t>
  </si>
  <si>
    <t>en_spv_AUS_010</t>
  </si>
  <si>
    <t>solar resource in Victoria region (near Melbourne) -- Australia</t>
  </si>
  <si>
    <t>en_spv_AUS_011</t>
  </si>
  <si>
    <t>en_spv_AUS_012</t>
  </si>
  <si>
    <t>en_spv_AUS_013</t>
  </si>
  <si>
    <t>solar resource in New South Wales region (near Sydney) -- Australia</t>
  </si>
  <si>
    <t>en_spv_AUS_014</t>
  </si>
  <si>
    <t>solar resource in Tasmania region (near Melbourne) -- Australia</t>
  </si>
  <si>
    <t>en_spv_AUS_015</t>
  </si>
  <si>
    <t>en_spv_AUS_016</t>
  </si>
  <si>
    <t>en_spv_AUS_017</t>
  </si>
  <si>
    <t>en_spv_AUS_018</t>
  </si>
  <si>
    <t>en_spv_AUS_019</t>
  </si>
  <si>
    <t>en_spv_AUS_020</t>
  </si>
  <si>
    <t>en_spv_AUS_021</t>
  </si>
  <si>
    <t>en_spv_AUT_001</t>
  </si>
  <si>
    <t>solar resource in Burgenland region (near Graz) -- Austria</t>
  </si>
  <si>
    <t>en_spv_AUT_002</t>
  </si>
  <si>
    <t>solar resource in Upper Austria region (near Linz) -- Austria</t>
  </si>
  <si>
    <t>en_spv_AUT_003</t>
  </si>
  <si>
    <t>solar resource in Bavaria region (near Lochau) -- Austria</t>
  </si>
  <si>
    <t>en_spv_AUT_004</t>
  </si>
  <si>
    <t>solar resource in Bavaria region (near Innsbruck) -- Austria</t>
  </si>
  <si>
    <t>en_spv_AZE_001</t>
  </si>
  <si>
    <t>solar resource in Babek region (near Naxcivan) -- Azerbaijan</t>
  </si>
  <si>
    <t>en_spv_AZE_002</t>
  </si>
  <si>
    <t>solar resource in Samukh region (near Ganca) -- Azerbaijan</t>
  </si>
  <si>
    <t>en_spv_AZE_003</t>
  </si>
  <si>
    <t>solar resource in Siyazan region (near Xacmaz) -- Azerbaijan</t>
  </si>
  <si>
    <t>en_spv_AZE_004</t>
  </si>
  <si>
    <t>solar resource in Ardabil region (near Agcabadi) -- Azerbaijan</t>
  </si>
  <si>
    <t>en_spv_BDI_001</t>
  </si>
  <si>
    <t>solar resource in Rutana region (near Ruyigi) -- Burundi</t>
  </si>
  <si>
    <t>en_spv_BDI_002</t>
  </si>
  <si>
    <t>solar resource in Bujumbura Rural region (near Bujumbura) -- Burundi</t>
  </si>
  <si>
    <t>en_spv_BEL_001</t>
  </si>
  <si>
    <t>solar resource in Hainaut region (near Ath) -- Belgium</t>
  </si>
  <si>
    <t>en_spv_BEL_002</t>
  </si>
  <si>
    <t>solar resource in Luxembourg region (near Arlon) -- Belgium</t>
  </si>
  <si>
    <t>en_spv_BEL_003</t>
  </si>
  <si>
    <t>solar resource in Limburg region (near Genk) -- Belgium</t>
  </si>
  <si>
    <t>en_spv_BEN_001</t>
  </si>
  <si>
    <t>solar resource in Donga region (near Pehonko) -- Benin</t>
  </si>
  <si>
    <t>en_spv_BEN_002</t>
  </si>
  <si>
    <t>solar resource in Alibori region (near Banikoara) -- Benin</t>
  </si>
  <si>
    <t>en_spv_BEN_003</t>
  </si>
  <si>
    <t>solar resource in Collines region (near Glazoue) -- Benin</t>
  </si>
  <si>
    <t>en_spv_BEN_004</t>
  </si>
  <si>
    <t>solar resource in Plateau region (near Sakete) -- Benin</t>
  </si>
  <si>
    <t>en_spv_BEN_005</t>
  </si>
  <si>
    <t>solar resource in Kouffo region (near Lalo) -- Benin</t>
  </si>
  <si>
    <t>en_spv_BFA_001</t>
  </si>
  <si>
    <t>solar resource in Banwa region (near Bobo-Dioulasso) -- Burkina Faso</t>
  </si>
  <si>
    <t>en_spv_BFA_002</t>
  </si>
  <si>
    <t>solar resource in Comoe region (near Banfora) -- Burkina Faso</t>
  </si>
  <si>
    <t>en_spv_BFA_003</t>
  </si>
  <si>
    <t>solar resource in Gourma region (near Fada Ngourma) -- Burkina Faso</t>
  </si>
  <si>
    <t>en_spv_BFA_004</t>
  </si>
  <si>
    <t>solar resource in Ioba region (near Hounde) -- Burkina Faso</t>
  </si>
  <si>
    <t>en_spv_BFA_005</t>
  </si>
  <si>
    <t>solar resource in Bazega region (near Ouagadougou) -- Burkina Faso</t>
  </si>
  <si>
    <t>en_spv_BFA_006</t>
  </si>
  <si>
    <t>solar resource in Sourou region (near Ouahigouya) -- Burkina Faso</t>
  </si>
  <si>
    <t>en_spv_BFA_007</t>
  </si>
  <si>
    <t>solar resource in Seno region (near Kaya) -- Burkina Faso</t>
  </si>
  <si>
    <t>en_spv_BGD_001</t>
  </si>
  <si>
    <t>solar resource in Khulna region (near Khulna) -- Bangladesh</t>
  </si>
  <si>
    <t>en_spv_BGD_002</t>
  </si>
  <si>
    <t>solar resource in Chattogram region (near Chattogram) -- Bangladesh</t>
  </si>
  <si>
    <t>en_spv_BGD_003</t>
  </si>
  <si>
    <t>solar resource in Rangpur region (near Rangapukur) -- Bangladesh</t>
  </si>
  <si>
    <t>en_spv_BGD_004</t>
  </si>
  <si>
    <t>solar resource in Khulna region (near Rajshahi) -- Bangladesh</t>
  </si>
  <si>
    <t>en_spv_BGD_005</t>
  </si>
  <si>
    <t>solar resource in Dhaka region (near Gazipura) -- Bangladesh</t>
  </si>
  <si>
    <t>en_spv_BGR_001</t>
  </si>
  <si>
    <t>solar resource in Varna region (near Shumen) -- Bulgaria</t>
  </si>
  <si>
    <t>en_spv_BGR_002</t>
  </si>
  <si>
    <t>solar resource in Teleorman region (near Pleven) -- Bulgaria</t>
  </si>
  <si>
    <t>en_spv_BGR_003</t>
  </si>
  <si>
    <t>solar resource in Stara Zagora region (near Dimitrovgrad) -- Bulgaria</t>
  </si>
  <si>
    <t>en_spv_BGR_004</t>
  </si>
  <si>
    <t>solar resource in Sofia region (near Sofia) -- Bulgaria</t>
  </si>
  <si>
    <t>en_spv_BIH_001</t>
  </si>
  <si>
    <t>solar resource in Livno region (near Bugojno) -- Bosnia and Herzegovina</t>
  </si>
  <si>
    <t>en_spv_BIH_002</t>
  </si>
  <si>
    <t>solar resource in Herzegovina-Neretva Canton region (near Mostar) -- Bosnia and Herzegovina</t>
  </si>
  <si>
    <t>en_spv_BIH_003</t>
  </si>
  <si>
    <t>solar resource in Banja Luka region (near Prijedor) -- Bosnia and Herzegovina</t>
  </si>
  <si>
    <t>en_spv_BIH_004</t>
  </si>
  <si>
    <t>solar resource in Sarajevo-Romanija region (near Sarajevo) -- Bosnia and Herzegovina</t>
  </si>
  <si>
    <t>en_spv_BIH_005</t>
  </si>
  <si>
    <t>solar resource in Tuzla Canton region (near Gracanica) -- Bosnia and Herzegovina</t>
  </si>
  <si>
    <t>en_spv_BLR_001</t>
  </si>
  <si>
    <t>solar resource in Brest region (near Pinsk) -- Belarus</t>
  </si>
  <si>
    <t>en_spv_BLR_002</t>
  </si>
  <si>
    <t>solar resource in Grodno region (near Lida) -- Belarus</t>
  </si>
  <si>
    <t>en_spv_BLR_003</t>
  </si>
  <si>
    <t>solar resource in Vitebsk region (near Minsk) -- Belarus</t>
  </si>
  <si>
    <t>en_spv_BLR_004</t>
  </si>
  <si>
    <t>solar resource in Vitebsk region (near Vitsyebsk) -- Belarus</t>
  </si>
  <si>
    <t>en_spv_BLR_005</t>
  </si>
  <si>
    <t>solar resource in Mahilioŭ region (near Mahilyow) -- Belarus</t>
  </si>
  <si>
    <t>en_spv_BLR_006</t>
  </si>
  <si>
    <t>solar resource in Minsk region (near Salihorsk) -- Belarus</t>
  </si>
  <si>
    <t>en_spv_BOL_001</t>
  </si>
  <si>
    <t>solar resource in Beni region (near Cochabamba) -- Bolivia</t>
  </si>
  <si>
    <t>en_spv_BOL_002</t>
  </si>
  <si>
    <t>solar resource in Pando region (near La Paz) -- Bolivia</t>
  </si>
  <si>
    <t>en_spv_BOL_003</t>
  </si>
  <si>
    <t>en_spv_BOL_004</t>
  </si>
  <si>
    <t>solar resource in Beni region (near La Paz) -- Bolivia</t>
  </si>
  <si>
    <t>en_spv_BOL_005</t>
  </si>
  <si>
    <t>solar resource in Beni region (near Santa Cruz de la Sierra) -- Bolivia</t>
  </si>
  <si>
    <t>en_spv_BOL_006</t>
  </si>
  <si>
    <t>solar resource in Santa Cruz region (near Santa Cruz de la Sierra) -- Bolivia</t>
  </si>
  <si>
    <t>en_spv_BOL_007</t>
  </si>
  <si>
    <t>en_spv_BOL_008</t>
  </si>
  <si>
    <t>solar resource in Alto Paraguay region (near Santa Cruz de la Sierra) -- Bolivia</t>
  </si>
  <si>
    <t>en_spv_BOL_009</t>
  </si>
  <si>
    <t>solar resource in Santa Cruz region (near Tarija) -- Bolivia</t>
  </si>
  <si>
    <t>en_spv_BOL_010</t>
  </si>
  <si>
    <t>solar resource in Chuquisaca region (near Sucre) -- Bolivia</t>
  </si>
  <si>
    <t>en_spv_BRA_001</t>
  </si>
  <si>
    <t>solar resource in Rio Grande do Sul region (near Passo Fundo) -- Brazil</t>
  </si>
  <si>
    <t>en_spv_BRA_002</t>
  </si>
  <si>
    <t>solar resource in Rio Grande do Sul region (near Sao Gabriel) -- Brazil</t>
  </si>
  <si>
    <t>en_spv_BRA_003</t>
  </si>
  <si>
    <t>solar resource in Parana region (near Guarapuava) -- Brazil</t>
  </si>
  <si>
    <t>en_spv_BRA_004</t>
  </si>
  <si>
    <t>solar resource in Sao Paulo region (near Mogi Guacu) -- Brazil</t>
  </si>
  <si>
    <t>en_spv_BRA_005</t>
  </si>
  <si>
    <t>solar resource in Mato Grosso region (near Caceres) -- Brazil</t>
  </si>
  <si>
    <t>en_spv_BRA_006</t>
  </si>
  <si>
    <t>solar resource in Mato Grosso do Sul region (near Corumba) -- Brazil</t>
  </si>
  <si>
    <t>en_spv_BRA_007</t>
  </si>
  <si>
    <t>solar resource in Minas Gerais region (near Pirapora) -- Brazil</t>
  </si>
  <si>
    <t>en_spv_BRA_008</t>
  </si>
  <si>
    <t>solar resource in Minas Gerais region (near Teofilo Otoni) -- Brazil</t>
  </si>
  <si>
    <t>en_spv_BRA_009</t>
  </si>
  <si>
    <t>solar resource in Minas Gerais region (near Leopoldina) -- Brazil</t>
  </si>
  <si>
    <t>en_spv_BRA_010</t>
  </si>
  <si>
    <t>solar resource in Bahia region (near Jequie) -- Brazil</t>
  </si>
  <si>
    <t>en_spv_BRA_011</t>
  </si>
  <si>
    <t>solar resource in Pernambuco region (near Delmiro Gouveia) -- Brazil</t>
  </si>
  <si>
    <t>en_spv_BRA_012</t>
  </si>
  <si>
    <t>solar resource in Bahia region (near Barreiras) -- Brazil</t>
  </si>
  <si>
    <t>en_spv_BRA_013</t>
  </si>
  <si>
    <t>solar resource in Maranhao region (near Grajau) -- Brazil</t>
  </si>
  <si>
    <t>en_spv_BRA_014</t>
  </si>
  <si>
    <t>solar resource in Mato Grosso region (near Barra do Garcas) -- Brazil</t>
  </si>
  <si>
    <t>en_spv_BRA_015</t>
  </si>
  <si>
    <t>solar resource in Para region (near Breves) -- Brazil</t>
  </si>
  <si>
    <t>en_spv_BRA_016</t>
  </si>
  <si>
    <t>solar resource in Mato Grosso region (near Paraiso do Tocantins) -- Brazil</t>
  </si>
  <si>
    <t>en_spv_BRA_017</t>
  </si>
  <si>
    <t>solar resource in Para region (near Alta Floresta) -- Brazil</t>
  </si>
  <si>
    <t>en_spv_BRA_018</t>
  </si>
  <si>
    <t>solar resource in Amazonas region (near Maues) -- Brazil</t>
  </si>
  <si>
    <t>en_spv_BRA_019</t>
  </si>
  <si>
    <t>solar resource in Amazonas region (near Tefe) -- Brazil</t>
  </si>
  <si>
    <t>en_spv_BRA_020</t>
  </si>
  <si>
    <t>solar resource in Roraima region (near Boa Vista) -- Brazil</t>
  </si>
  <si>
    <t>en_spv_BRA_021</t>
  </si>
  <si>
    <t>solar resource in Rondonia region (near Cacoal) -- Brazil</t>
  </si>
  <si>
    <t>en_spv_BRA_022</t>
  </si>
  <si>
    <t>solar resource in Amazonas region (near Cruzeiro do Sul) -- Brazil</t>
  </si>
  <si>
    <t>en_spv_BRA_023</t>
  </si>
  <si>
    <t>solar resource in Pando region (near Rio Branco) -- Brazil</t>
  </si>
  <si>
    <t>en_spv_BWA_001</t>
  </si>
  <si>
    <t>solar resource in Central region (near Francistown) -- Botswana</t>
  </si>
  <si>
    <t>en_spv_BWA_002</t>
  </si>
  <si>
    <t>solar resource in Central region (near Selibe Phikwe) -- Botswana</t>
  </si>
  <si>
    <t>en_spv_BWA_003</t>
  </si>
  <si>
    <t>solar resource in Central region (near Mahalapye) -- Botswana</t>
  </si>
  <si>
    <t>en_spv_BWA_004</t>
  </si>
  <si>
    <t>solar resource in North-West region (near Maun) -- Botswana</t>
  </si>
  <si>
    <t>en_spv_BWA_005</t>
  </si>
  <si>
    <t>solar resource in Central region (near Maun) -- Botswana</t>
  </si>
  <si>
    <t>en_spv_BWA_006</t>
  </si>
  <si>
    <t>solar resource in Kgalagadi region (near Kanye) -- Botswana</t>
  </si>
  <si>
    <t>en_spv_BWA_007</t>
  </si>
  <si>
    <t>solar resource in Ghanzi region (near Molepolole) -- Botswana</t>
  </si>
  <si>
    <t>en_spv_BWA_008</t>
  </si>
  <si>
    <t>solar resource in Ghanzi region (near Maun) -- Botswana</t>
  </si>
  <si>
    <t>en_spv_BWA_009</t>
  </si>
  <si>
    <t>solar resource in Southern region (near Kanye) -- Botswana</t>
  </si>
  <si>
    <t>en_spv_CAF_001</t>
  </si>
  <si>
    <t>solar resource in Ouham-Pende Prefecture region (near Bocaranga) -- Central African Republic</t>
  </si>
  <si>
    <t>en_spv_CAF_002</t>
  </si>
  <si>
    <t>solar resource in Mambere-Kadei region (near Carnot) -- Central African Republic</t>
  </si>
  <si>
    <t>en_spv_CAF_003</t>
  </si>
  <si>
    <t>solar resource in Kemo Prefecture region (near Bangui) -- Central African Republic</t>
  </si>
  <si>
    <t>en_spv_CAF_004</t>
  </si>
  <si>
    <t>solar resource in Mbomou Prefecture region (near Bambari) -- Central African Republic</t>
  </si>
  <si>
    <t>en_spv_CAF_005</t>
  </si>
  <si>
    <t>solar resource in Ouaka Prefecture region (near Bambari) -- Central African Republic</t>
  </si>
  <si>
    <t>en_spv_CAF_006</t>
  </si>
  <si>
    <t>en_spv_CAF_007</t>
  </si>
  <si>
    <t>solar resource in Bamingui-Bangoran Prefecture region (near Bambari) -- Central African Republic</t>
  </si>
  <si>
    <t>en_spv_CAF_008</t>
  </si>
  <si>
    <t>solar resource in Haute-Kotto Prefecture region (near Bambari) -- Central African Republic</t>
  </si>
  <si>
    <t>en_spv_CAF_009</t>
  </si>
  <si>
    <t>solar resource in Vakaga Prefecture region (near Bambari) -- Central African Republic</t>
  </si>
  <si>
    <t>en_spv_CAN_001</t>
  </si>
  <si>
    <t>solar resource in Quebec region (near Chicoutimi) -- Canada</t>
  </si>
  <si>
    <t>en_spv_CAN_002</t>
  </si>
  <si>
    <t>solar resource in Newfoundland and Labrador region (near Chicoutimi) -- Canada</t>
  </si>
  <si>
    <t>en_spv_CAN_003</t>
  </si>
  <si>
    <t>en_spv_CAN_004</t>
  </si>
  <si>
    <t>en_spv_CAN_005</t>
  </si>
  <si>
    <t>en_spv_CAN_006</t>
  </si>
  <si>
    <t>en_spv_CAN_007</t>
  </si>
  <si>
    <t>solar resource in Saskatchewan region (near Saskatoon) -- Canada</t>
  </si>
  <si>
    <t>en_spv_CAN_008</t>
  </si>
  <si>
    <t>solar resource in Manitoba region (near Winnipeg) -- Canada</t>
  </si>
  <si>
    <t>en_spv_CAN_009</t>
  </si>
  <si>
    <t>en_spv_CAN_010</t>
  </si>
  <si>
    <t>solar resource in Alberta region (near Lethbridge) -- Canada</t>
  </si>
  <si>
    <t>en_spv_CAN_011</t>
  </si>
  <si>
    <t>solar resource in Saskatchewan region (near Regina) -- Canada</t>
  </si>
  <si>
    <t>en_spv_CAN_012</t>
  </si>
  <si>
    <t>solar resource in Alberta region (near Edmonton) -- Canada</t>
  </si>
  <si>
    <t>en_spv_CAN_013</t>
  </si>
  <si>
    <t>solar resource in Alaska region (near Nanaimo) -- Canada</t>
  </si>
  <si>
    <t>en_spv_CAN_014</t>
  </si>
  <si>
    <t>solar resource in British Columbia region (near Kamloops) -- Canada</t>
  </si>
  <si>
    <t>en_spv_CAN_015</t>
  </si>
  <si>
    <t>en_spv_CAN_016</t>
  </si>
  <si>
    <t>solar resource in Ontario region (near Thunder Bay) -- Canada</t>
  </si>
  <si>
    <t>en_spv_CAN_017</t>
  </si>
  <si>
    <t>solar resource in Ontario region (near Sudbury) -- Canada</t>
  </si>
  <si>
    <t>en_spv_CAN_018</t>
  </si>
  <si>
    <t>en_spv_CAN_019</t>
  </si>
  <si>
    <t>solar resource in Ontario region (near Waterloo) -- Canada</t>
  </si>
  <si>
    <t>en_spv_CAN_020</t>
  </si>
  <si>
    <t>solar resource in Quebec region (near Terrebonne) -- Canada</t>
  </si>
  <si>
    <t>en_spv_CAN_021</t>
  </si>
  <si>
    <t>solar resource in Newfoundland and Labrador region (near St. John's) -- Canada</t>
  </si>
  <si>
    <t>en_spv_CAN_022</t>
  </si>
  <si>
    <t>solar resource in New Brunswick region (near Moncton) -- Canada</t>
  </si>
  <si>
    <t>en_spv_CAN_023</t>
  </si>
  <si>
    <t>en_spv_CHE_001</t>
  </si>
  <si>
    <t>solar resource in Ticino region (near Bellinzona) -- Switzerland</t>
  </si>
  <si>
    <t>en_spv_CHE_002</t>
  </si>
  <si>
    <t>solar resource in Zurich region (near Uster) -- Switzerland</t>
  </si>
  <si>
    <t>en_spv_CHE_003</t>
  </si>
  <si>
    <t>solar resource in Neuchatel region (near Neuchatel) -- Switzerland</t>
  </si>
  <si>
    <t>en_spv_CHL_001</t>
  </si>
  <si>
    <t>solar resource in Los Rios region (near Osorno) -- Chile</t>
  </si>
  <si>
    <t>en_spv_CHL_002</t>
  </si>
  <si>
    <t>solar resource in near Puerto Montt -- Chile</t>
  </si>
  <si>
    <t>en_spv_CHL_003</t>
  </si>
  <si>
    <t>solar resource in Chubut region (near Puerto Montt) -- Chile</t>
  </si>
  <si>
    <t>en_spv_CHL_004</t>
  </si>
  <si>
    <t>solar resource in Maule region (near Chillan) -- Chile</t>
  </si>
  <si>
    <t>en_spv_CHL_005</t>
  </si>
  <si>
    <t>solar resource in Araucania region (near Temuco) -- Chile</t>
  </si>
  <si>
    <t>en_spv_CHL_006</t>
  </si>
  <si>
    <t>solar resource in Antofagasta region (near Calama) -- Chile</t>
  </si>
  <si>
    <t>en_spv_CHL_007</t>
  </si>
  <si>
    <t>solar resource in Coquimbo region (near Ovalle) -- Chile</t>
  </si>
  <si>
    <t>en_spv_CHN_001</t>
  </si>
  <si>
    <t>solar resource in Henan region (near Jiangguanchi) -- China</t>
  </si>
  <si>
    <t>en_spv_CHN_002</t>
  </si>
  <si>
    <t>solar resource in Hubei region (near Xiaoganzhan) -- China</t>
  </si>
  <si>
    <t>en_spv_CHN_003</t>
  </si>
  <si>
    <t>solar resource in Sichuan region (near Yanjiang) -- China</t>
  </si>
  <si>
    <t>en_spv_CHN_004</t>
  </si>
  <si>
    <t>solar resource in Chongqing region (near Chongqing) -- China</t>
  </si>
  <si>
    <t>en_spv_CHN_005</t>
  </si>
  <si>
    <t>solar resource in Anhui region (near Wuhu) -- China</t>
  </si>
  <si>
    <t>en_spv_CHN_006</t>
  </si>
  <si>
    <t>solar resource in Hunan region (near Yongzhou) -- China</t>
  </si>
  <si>
    <t>en_spv_CHN_007</t>
  </si>
  <si>
    <t>solar resource in Guizhou region (near Anshun) -- China</t>
  </si>
  <si>
    <t>en_spv_CHN_008</t>
  </si>
  <si>
    <t>solar resource in Fujian region (near Sanming) -- China</t>
  </si>
  <si>
    <t>en_spv_CHN_009</t>
  </si>
  <si>
    <t>solar resource in Guangdong region (near Shaoguan) -- China</t>
  </si>
  <si>
    <t>en_spv_CHN_010</t>
  </si>
  <si>
    <t>solar resource in Guangxi region (near Qinzhou) -- China</t>
  </si>
  <si>
    <t>en_spv_CHN_011</t>
  </si>
  <si>
    <t>solar resource in Jilin region (near Changchun) -- China</t>
  </si>
  <si>
    <t>en_spv_CHN_012</t>
  </si>
  <si>
    <t>solar resource in Heilongjiang region (near Jiamusi) -- China</t>
  </si>
  <si>
    <t>en_spv_CHN_013</t>
  </si>
  <si>
    <t>solar resource in Heilongjiang region (near Suihua) -- China</t>
  </si>
  <si>
    <t>en_spv_CHN_014</t>
  </si>
  <si>
    <t>solar resource in Inner Mongolia region (near Qiqihar) -- China</t>
  </si>
  <si>
    <t>en_spv_CHN_015</t>
  </si>
  <si>
    <t>en_spv_CHN_016</t>
  </si>
  <si>
    <t>solar resource in Inner Mongolia region (near Zhangjiakou) -- China</t>
  </si>
  <si>
    <t>en_spv_CHN_017</t>
  </si>
  <si>
    <t>solar resource in Gansu region (near Xining) -- China</t>
  </si>
  <si>
    <t>en_spv_CHN_018</t>
  </si>
  <si>
    <t>solar resource in Xinjiang region (near Urumqi) -- China</t>
  </si>
  <si>
    <t>en_spv_CHN_019</t>
  </si>
  <si>
    <t>en_spv_CHN_020</t>
  </si>
  <si>
    <t>en_spv_CHN_021</t>
  </si>
  <si>
    <t>solar resource in Yunnan region (near Lincang) -- China</t>
  </si>
  <si>
    <t>en_spv_CHN_022</t>
  </si>
  <si>
    <t>solar resource in Yunnan region (near Qujing) -- China</t>
  </si>
  <si>
    <t>en_spv_CHN_023</t>
  </si>
  <si>
    <t>solar resource in Shandong region (near Zibo) -- China</t>
  </si>
  <si>
    <t>en_spv_CHN_024</t>
  </si>
  <si>
    <t>solar resource in Inner Mongolia region (near Chifeng) -- China</t>
  </si>
  <si>
    <t>en_spv_CHN_025</t>
  </si>
  <si>
    <t>solar resource in Inner Mongolia region (near Yinchuan) -- China</t>
  </si>
  <si>
    <t>en_spv_CHN_026</t>
  </si>
  <si>
    <t>solar resource in Shanxi region (near Taiyuan) -- China</t>
  </si>
  <si>
    <t>en_spv_CIV_001</t>
  </si>
  <si>
    <t>solar resource in Comoe region (near Cocody) -- Ivory Coast</t>
  </si>
  <si>
    <t>en_spv_CIV_002</t>
  </si>
  <si>
    <t>solar resource in Zanzan region (near Bouake) -- Ivory Coast</t>
  </si>
  <si>
    <t>en_spv_CIV_003</t>
  </si>
  <si>
    <t>solar resource in Dix-Huit Montagnes region (near Man) -- Ivory Coast</t>
  </si>
  <si>
    <t>en_spv_CIV_004</t>
  </si>
  <si>
    <t>solar resource in Savanes region (near Korhogo) -- Ivory Coast</t>
  </si>
  <si>
    <t>en_spv_CIV_005</t>
  </si>
  <si>
    <t>solar resource in Sud-Bandama region (near Divo) -- Ivory Coast</t>
  </si>
  <si>
    <t>en_spv_CIV_006</t>
  </si>
  <si>
    <t>solar resource in N'zi-Comoe region (near Bouake) -- Ivory Coast</t>
  </si>
  <si>
    <t>en_spv_CIV_007</t>
  </si>
  <si>
    <t>solar resource in Haut-Sassandra region (near Daloa) -- Ivory Coast</t>
  </si>
  <si>
    <t>en_spv_CMR_001</t>
  </si>
  <si>
    <t>solar resource in Northwest region (near Bamenda) -- Cameroon</t>
  </si>
  <si>
    <t>en_spv_CMR_002</t>
  </si>
  <si>
    <t>solar resource in South region (near Yaounde) -- Cameroon</t>
  </si>
  <si>
    <t>en_spv_CMR_003</t>
  </si>
  <si>
    <t>solar resource in Littoral region (near Douala) -- Cameroon</t>
  </si>
  <si>
    <t>en_spv_CMR_004</t>
  </si>
  <si>
    <t>solar resource in Far North region (near Maroua) -- Cameroon</t>
  </si>
  <si>
    <t>en_spv_CMR_005</t>
  </si>
  <si>
    <t>solar resource in Adamawa region (near Ngaoundere) -- Cameroon</t>
  </si>
  <si>
    <t>en_spv_CMR_006</t>
  </si>
  <si>
    <t>solar resource in Centre region (near Yaounde) -- Cameroon</t>
  </si>
  <si>
    <t>en_spv_CMR_007</t>
  </si>
  <si>
    <t>solar resource in East region (near Ngaoundere) -- Cameroon</t>
  </si>
  <si>
    <t>en_spv_CMR_008</t>
  </si>
  <si>
    <t>solar resource in East region (near Yaounde) -- Cameroon</t>
  </si>
  <si>
    <t>en_spv_COD_001</t>
  </si>
  <si>
    <t>solar resource in Kasai-Oriental region (near Mbuji-Mayi) -- Democratic Republic of Congo</t>
  </si>
  <si>
    <t>en_spv_COD_002</t>
  </si>
  <si>
    <t>solar resource in Katanga region (near Mbuji-Mayi) -- Democratic Republic of Congo</t>
  </si>
  <si>
    <t>en_spv_COD_003</t>
  </si>
  <si>
    <t>solar resource in Katanga region (near Lubumbashi) -- Democratic Republic of Congo</t>
  </si>
  <si>
    <t>en_spv_COD_004</t>
  </si>
  <si>
    <t>solar resource in Katanga region (near Uvira) -- Democratic Republic of Congo</t>
  </si>
  <si>
    <t>en_spv_COD_005</t>
  </si>
  <si>
    <t>en_spv_COD_006</t>
  </si>
  <si>
    <t>solar resource in Orientale region (near Kisangani) -- Democratic Republic of Congo</t>
  </si>
  <si>
    <t>en_spv_COD_007</t>
  </si>
  <si>
    <t>solar resource in Equateur region (near Mbandaka) -- Democratic Republic of Congo</t>
  </si>
  <si>
    <t>en_spv_COD_008</t>
  </si>
  <si>
    <t>solar resource in Equateur region (near Kisangani) -- Democratic Republic of Congo</t>
  </si>
  <si>
    <t>en_spv_COD_009</t>
  </si>
  <si>
    <t>solar resource in Bandundu region (near Mbandaka) -- Democratic Republic of Congo</t>
  </si>
  <si>
    <t>en_spv_COD_010</t>
  </si>
  <si>
    <t>solar resource in Kasai-Occidental region (near Tshikapa) -- Democratic Republic of Congo</t>
  </si>
  <si>
    <t>en_spv_COD_011</t>
  </si>
  <si>
    <t>solar resource in Bandundu region (near Kibanseke Premiere) -- Democratic Republic of Congo</t>
  </si>
  <si>
    <t>en_spv_COD_012</t>
  </si>
  <si>
    <t>solar resource in Kongo Central region (near Kinshasa) -- Democratic Republic of Congo</t>
  </si>
  <si>
    <t>en_spv_COD_013</t>
  </si>
  <si>
    <t>solar resource in South Kivu region (near Bukavu) -- Democratic Republic of Congo</t>
  </si>
  <si>
    <t>en_spv_COD_014</t>
  </si>
  <si>
    <t>en_spv_COD_015</t>
  </si>
  <si>
    <t>solar resource in Orientale region (near Bunia) -- Democratic Republic of Congo</t>
  </si>
  <si>
    <t>en_spv_COG_001</t>
  </si>
  <si>
    <t>solar resource in Likouala region (near Brazzaville) -- Republic of Congo</t>
  </si>
  <si>
    <t>en_spv_COG_002</t>
  </si>
  <si>
    <t>solar resource in Cuvette region (near Brazzaville) -- Republic of Congo</t>
  </si>
  <si>
    <t>en_spv_COG_003</t>
  </si>
  <si>
    <t>solar resource in Cuvette-Ouest region (near Brazzaville) -- Republic of Congo</t>
  </si>
  <si>
    <t>en_spv_COG_004</t>
  </si>
  <si>
    <t>en_spv_COG_005</t>
  </si>
  <si>
    <t>solar resource in Niari region (near Tchibota) -- Republic of Congo</t>
  </si>
  <si>
    <t>en_spv_COG_006</t>
  </si>
  <si>
    <t>solar resource in Pool region (near Brazzaville) -- Republic of Congo</t>
  </si>
  <si>
    <t>en_spv_COG_007</t>
  </si>
  <si>
    <t>solar resource in Plateaux region (near Brazzaville) -- Republic of Congo</t>
  </si>
  <si>
    <t>en_spv_COL_001</t>
  </si>
  <si>
    <t>solar resource in Cordoba region (near Planeta Rica) -- Colombia</t>
  </si>
  <si>
    <t>en_spv_COL_002</t>
  </si>
  <si>
    <t>solar resource in Cesar region (near El Banco) -- Colombia</t>
  </si>
  <si>
    <t>en_spv_COL_003</t>
  </si>
  <si>
    <t>solar resource in Meta region (near Villavicencio) -- Colombia</t>
  </si>
  <si>
    <t>en_spv_COL_004</t>
  </si>
  <si>
    <t>solar resource in Risaralda region (near Santa Rosa de Cabal) -- Colombia</t>
  </si>
  <si>
    <t>en_spv_COL_005</t>
  </si>
  <si>
    <t>solar resource in Guainia region (near Arauca) -- Colombia</t>
  </si>
  <si>
    <t>en_spv_COL_006</t>
  </si>
  <si>
    <t>solar resource in Vichada region (near Arauca) -- Colombia</t>
  </si>
  <si>
    <t>en_spv_COL_007</t>
  </si>
  <si>
    <t>solar resource in Meta region (near Yopal) -- Colombia</t>
  </si>
  <si>
    <t>en_spv_COL_008</t>
  </si>
  <si>
    <t>solar resource in Amazonas region (near San Jose del Guaviare) -- Colombia</t>
  </si>
  <si>
    <t>en_spv_COL_009</t>
  </si>
  <si>
    <t>solar resource in Guaviare region (near San Jose del Guaviare) -- Colombia</t>
  </si>
  <si>
    <t>en_spv_COL_010</t>
  </si>
  <si>
    <t>solar resource in Caqueta region (near San Vicente del Caguan) -- Colombia</t>
  </si>
  <si>
    <t>en_spv_CRI_001</t>
  </si>
  <si>
    <t>solar resource in Limon region (near Cariari) -- Costa Rica</t>
  </si>
  <si>
    <t>en_spv_CRI_002</t>
  </si>
  <si>
    <t>solar resource in Alajuela region (near San Marcos) -- Costa Rica</t>
  </si>
  <si>
    <t>en_spv_CRI_003</t>
  </si>
  <si>
    <t>solar resource in Guanacaste region (near Canas) -- Costa Rica</t>
  </si>
  <si>
    <t>en_spv_CRI_004</t>
  </si>
  <si>
    <t>solar resource in Puntarenas region (near Coto Brus) -- Costa Rica</t>
  </si>
  <si>
    <t>en_spv_CUB_001</t>
  </si>
  <si>
    <t>solar resource in Santiago de Cuba region (near Palma Soriano) -- Cuba</t>
  </si>
  <si>
    <t>en_spv_CUB_002</t>
  </si>
  <si>
    <t>solar resource in Las Tunas region (near Jobabo) -- Cuba</t>
  </si>
  <si>
    <t>en_spv_CUB_003</t>
  </si>
  <si>
    <t>solar resource in Villa Clara region (near Placetas) -- Cuba</t>
  </si>
  <si>
    <t>en_spv_CUB_004</t>
  </si>
  <si>
    <t>solar resource in Pinar del Rio region (near Consolacion del Sur) -- Cuba</t>
  </si>
  <si>
    <t>en_spv_CUB_005</t>
  </si>
  <si>
    <t>solar resource in Matanzas region (near Jovellanos) -- Cuba</t>
  </si>
  <si>
    <t>en_spv_CZE_001</t>
  </si>
  <si>
    <t>solar resource in Olomouc region (near Olomouc) -- Czech Republic</t>
  </si>
  <si>
    <t>en_spv_CZE_002</t>
  </si>
  <si>
    <t>solar resource in South Bohemian region (near Ceske Budejovice) -- Czech Republic</t>
  </si>
  <si>
    <t>en_spv_CZE_003</t>
  </si>
  <si>
    <t>solar resource in Karlovy Vary region (near Karlovy Vary) -- Czech Republic</t>
  </si>
  <si>
    <t>en_spv_CZE_004</t>
  </si>
  <si>
    <t>solar resource in Central Bohemian region (near Mlada Boleslav) -- Czech Republic</t>
  </si>
  <si>
    <t>en_spv_DEU_001</t>
  </si>
  <si>
    <t>solar resource in Bavaria region (near Straubing) -- Germany</t>
  </si>
  <si>
    <t>en_spv_DEU_002</t>
  </si>
  <si>
    <t>solar resource in Baden-Wurttemberg region (near Schwabisch Gmund) -- Germany</t>
  </si>
  <si>
    <t>en_spv_DEU_003</t>
  </si>
  <si>
    <t>solar resource in Mecklenburg-Western Pomerania region (near Neubrandenburg) -- Germany</t>
  </si>
  <si>
    <t>en_spv_DEU_004</t>
  </si>
  <si>
    <t>solar resource in Saxony-Anhalt region (near Ludwigsfelde) -- Germany</t>
  </si>
  <si>
    <t>en_spv_DEU_005</t>
  </si>
  <si>
    <t>solar resource in Lower Saxony region (near Buxtehude) -- Germany</t>
  </si>
  <si>
    <t>en_spv_DEU_006</t>
  </si>
  <si>
    <t>solar resource in Rhineland-Palatinate region (near Bingen am Rhein) -- Germany</t>
  </si>
  <si>
    <t>en_spv_DEU_007</t>
  </si>
  <si>
    <t>solar resource in Lower Saxony region (near Northeim) -- Germany</t>
  </si>
  <si>
    <t>en_spv_DEU_008</t>
  </si>
  <si>
    <t>solar resource in North Rhine-Westphalia region (near Munster) -- Germany</t>
  </si>
  <si>
    <t>en_spv_DJI_001</t>
  </si>
  <si>
    <t>solar resource in Tadjourah region (near Dikhil) -- Djibouti</t>
  </si>
  <si>
    <t>en_spv_DJI_002</t>
  </si>
  <si>
    <t>solar resource in near Djibouti -- Djibouti</t>
  </si>
  <si>
    <t>en_spv_DNK_001</t>
  </si>
  <si>
    <t>solar resource in Zealand region (near Koge) -- Denmark</t>
  </si>
  <si>
    <t>en_spv_DNK_002</t>
  </si>
  <si>
    <t>solar resource in North Denmark region (near Aalborg) -- Denmark</t>
  </si>
  <si>
    <t>en_spv_DNK_003</t>
  </si>
  <si>
    <t>solar resource in Southern Denmark region (near Odense) -- Denmark</t>
  </si>
  <si>
    <t>en_spv_DNK_004</t>
  </si>
  <si>
    <t>solar resource in Southern Denmark region (near Kolding) -- Denmark</t>
  </si>
  <si>
    <t>en_spv_DOM_001</t>
  </si>
  <si>
    <t>solar resource in San Juan region (near San Juan) -- Dominican Republic</t>
  </si>
  <si>
    <t>en_spv_DOM_002</t>
  </si>
  <si>
    <t>solar resource in Hato Mayor region (near Consuelito) -- Dominican Republic</t>
  </si>
  <si>
    <t>en_spv_DOM_003</t>
  </si>
  <si>
    <t>solar resource in Duarte region (near San Francisco de Macoris) -- Dominican Republic</t>
  </si>
  <si>
    <t>en_spv_DZA_001</t>
  </si>
  <si>
    <t>solar resource in Oum El Bouaghi region (near Ain Beida) -- Algeria</t>
  </si>
  <si>
    <t>en_spv_DZA_002</t>
  </si>
  <si>
    <t>solar resource in Naama region (near Mecheria) -- Algeria</t>
  </si>
  <si>
    <t>en_spv_DZA_003</t>
  </si>
  <si>
    <t>solar resource in M'Sila region (near `Ain el Hadjel) -- Algeria</t>
  </si>
  <si>
    <t>en_spv_DZA_004</t>
  </si>
  <si>
    <t>solar resource in Relizane region (near Oued Rhiou) -- Algeria</t>
  </si>
  <si>
    <t>en_spv_DZA_005</t>
  </si>
  <si>
    <t>solar resource in Adrar region (near Adrar) -- Algeria</t>
  </si>
  <si>
    <t>en_spv_DZA_006</t>
  </si>
  <si>
    <t>solar resource in Bechar region (near Ain Sefra) -- Algeria</t>
  </si>
  <si>
    <t>en_spv_DZA_007</t>
  </si>
  <si>
    <t>solar resource in Adrar region (near Timimoun) -- Algeria</t>
  </si>
  <si>
    <t>en_spv_DZA_008</t>
  </si>
  <si>
    <t>solar resource in Tamanghasset region (near Tamanrasset) -- Algeria</t>
  </si>
  <si>
    <t>en_spv_DZA_009</t>
  </si>
  <si>
    <t>solar resource in Illizi region (near Tamanrasset) -- Algeria</t>
  </si>
  <si>
    <t>en_spv_DZA_010</t>
  </si>
  <si>
    <t>solar resource in Tamanghasset region (near I-n-Salah) -- Algeria</t>
  </si>
  <si>
    <t>en_spv_DZA_011</t>
  </si>
  <si>
    <t>en_spv_DZA_012</t>
  </si>
  <si>
    <t>solar resource in Tindouf region (near Tindouf) -- Algeria</t>
  </si>
  <si>
    <t>en_spv_DZA_013</t>
  </si>
  <si>
    <t>solar resource in Ouargla region (near Hassi Messaoud) -- Algeria</t>
  </si>
  <si>
    <t>en_spv_DZA_014</t>
  </si>
  <si>
    <t>en_spv_DZA_015</t>
  </si>
  <si>
    <t>solar resource in El Oued region (near El Meghaier) -- Algeria</t>
  </si>
  <si>
    <t>en_spv_DZA_016</t>
  </si>
  <si>
    <t>solar resource in Ghardaia region (near Bou Noura) -- Algeria</t>
  </si>
  <si>
    <t>en_spv_ECU_001</t>
  </si>
  <si>
    <t>solar resource in Pichincha region (near Quito) -- Ecuador</t>
  </si>
  <si>
    <t>en_spv_ECU_002</t>
  </si>
  <si>
    <t>solar resource in Orellana region (near Quito) -- Ecuador</t>
  </si>
  <si>
    <t>en_spv_ECU_003</t>
  </si>
  <si>
    <t>solar resource in Guayas region (near Eloy Alfaro) -- Ecuador</t>
  </si>
  <si>
    <t>en_spv_ECU_004</t>
  </si>
  <si>
    <t>solar resource in Esmeraldas region (near Santo Domingo de los Colorados) -- Ecuador</t>
  </si>
  <si>
    <t>en_spv_ECU_005</t>
  </si>
  <si>
    <t>solar resource in Guayas region (near Daule) -- Ecuador</t>
  </si>
  <si>
    <t>en_spv_EGY_001</t>
  </si>
  <si>
    <t>solar resource in Matrouh region (near Alexandria) -- Egypt</t>
  </si>
  <si>
    <t>en_spv_EGY_002</t>
  </si>
  <si>
    <t>solar resource in New Valley region (near Dayrut) -- Egypt</t>
  </si>
  <si>
    <t>en_spv_EGY_003</t>
  </si>
  <si>
    <t>solar resource in Red Sea region (near Abu Tisht) -- Egypt</t>
  </si>
  <si>
    <t>en_spv_EGY_004</t>
  </si>
  <si>
    <t>solar resource in New Valley region (near Abu Tisht) -- Egypt</t>
  </si>
  <si>
    <t>en_spv_EGY_005</t>
  </si>
  <si>
    <t>solar resource in Red Sea region (near Al Maraghah) -- Egypt</t>
  </si>
  <si>
    <t>en_spv_EGY_006</t>
  </si>
  <si>
    <t>solar resource in North Sinai region (near Suez) -- Egypt</t>
  </si>
  <si>
    <t>en_spv_EGY_007</t>
  </si>
  <si>
    <t>solar resource in Gharbia region (near Tala) -- Egypt</t>
  </si>
  <si>
    <t>en_spv_EGY_008</t>
  </si>
  <si>
    <t>en_spv_EGY_009</t>
  </si>
  <si>
    <t>solar resource in New Valley region (near Al Maraghah) -- Egypt</t>
  </si>
  <si>
    <t>en_spv_EGY_010</t>
  </si>
  <si>
    <t>en_spv_EGY_011</t>
  </si>
  <si>
    <t>en_spv_ERI_001</t>
  </si>
  <si>
    <t>solar resource in Southern Red Sea region (near Asmara) -- Eritrea</t>
  </si>
  <si>
    <t>en_spv_ERI_002</t>
  </si>
  <si>
    <t>solar resource in Northern Red Sea region (near Keren) -- Eritrea</t>
  </si>
  <si>
    <t>en_spv_ERI_003</t>
  </si>
  <si>
    <t>solar resource in Gash-Barka region (near Gwelej) -- Eritrea</t>
  </si>
  <si>
    <t>en_spv_ERI_004</t>
  </si>
  <si>
    <t>solar resource in Debub region (near Keren) -- Eritrea</t>
  </si>
  <si>
    <t>en_spv_ERI_005</t>
  </si>
  <si>
    <t>solar resource in Debub region (near Asmara) -- Eritrea</t>
  </si>
  <si>
    <t>en_spv_ESP_001</t>
  </si>
  <si>
    <t>solar resource in Burgos region (near Vitoria-Gasteiz) -- Spain</t>
  </si>
  <si>
    <t>en_spv_ESP_002</t>
  </si>
  <si>
    <t>solar resource in Soria region (near Guadalajara) -- Spain</t>
  </si>
  <si>
    <t>en_spv_ESP_003</t>
  </si>
  <si>
    <t>solar resource in Huesca region (near Lleida) -- Spain</t>
  </si>
  <si>
    <t>en_spv_ESP_004</t>
  </si>
  <si>
    <t>solar resource in Ciudad Real region (near Albacete) -- Spain</t>
  </si>
  <si>
    <t>en_spv_ESP_005</t>
  </si>
  <si>
    <t>solar resource in Albacete region (near Molina de Segura) -- Spain</t>
  </si>
  <si>
    <t>en_spv_ESP_006</t>
  </si>
  <si>
    <t>solar resource in Badajoz region (near Merida) -- Spain</t>
  </si>
  <si>
    <t>en_spv_ESP_007</t>
  </si>
  <si>
    <t>solar resource in Lugo region (near Lugo) -- Spain</t>
  </si>
  <si>
    <t>en_spv_ESP_008</t>
  </si>
  <si>
    <t>solar resource in Zamora region (near Zamora) -- Spain</t>
  </si>
  <si>
    <t>en_spv_EST_001</t>
  </si>
  <si>
    <t>solar resource in Jogeva region (near Tartu) -- Estonia</t>
  </si>
  <si>
    <t>en_spv_EST_002</t>
  </si>
  <si>
    <t>solar resource in Parnu region (near Tallinn) -- Estonia</t>
  </si>
  <si>
    <t>en_spv_EST_003</t>
  </si>
  <si>
    <t>solar resource in Viljandi region (near Tartu) -- Estonia</t>
  </si>
  <si>
    <t>en_spv_EST_004</t>
  </si>
  <si>
    <t>solar resource in Rapla region (near Tallinn) -- Estonia</t>
  </si>
  <si>
    <t>en_spv_ETH_001</t>
  </si>
  <si>
    <t>solar resource in Somali region (near Dire Dawa) -- Ethiopia</t>
  </si>
  <si>
    <t>en_spv_ETH_002</t>
  </si>
  <si>
    <t>solar resource in Somali region (near Warder) -- Ethiopia</t>
  </si>
  <si>
    <t>en_spv_ETH_003</t>
  </si>
  <si>
    <t>solar resource in Somali region (near Gode) -- Ethiopia</t>
  </si>
  <si>
    <t>en_spv_ETH_004</t>
  </si>
  <si>
    <t>en_spv_ETH_005</t>
  </si>
  <si>
    <t>solar resource in Somali region (near Awasa) -- Ethiopia</t>
  </si>
  <si>
    <t>en_spv_ETH_006</t>
  </si>
  <si>
    <t>solar resource in Oromia region (near Awasa) -- Ethiopia</t>
  </si>
  <si>
    <t>en_spv_ETH_007</t>
  </si>
  <si>
    <t>solar resource in Amhara region (near Bahir Dar) -- Ethiopia</t>
  </si>
  <si>
    <t>en_spv_ETH_008</t>
  </si>
  <si>
    <t>solar resource in Gambela region (near Jima) -- Ethiopia</t>
  </si>
  <si>
    <t>en_spv_ETH_009</t>
  </si>
  <si>
    <t>solar resource in Afar region (near Mersa) -- Ethiopia</t>
  </si>
  <si>
    <t>en_spv_ETH_010</t>
  </si>
  <si>
    <t>solar resource in Amhara region (near Mersa) -- Ethiopia</t>
  </si>
  <si>
    <t>en_spv_ETH_011</t>
  </si>
  <si>
    <t>solar resource in Southern Nations region (near Sodo) -- Ethiopia</t>
  </si>
  <si>
    <t>en_spv_ETH_012</t>
  </si>
  <si>
    <t>solar resource in Oromia region (near Gelemso) -- Ethiopia</t>
  </si>
  <si>
    <t>en_spv_FRA_001</t>
  </si>
  <si>
    <t>solar resource in Val-d'Oise region (near Pontoise) -- France</t>
  </si>
  <si>
    <t>en_spv_FRA_002</t>
  </si>
  <si>
    <t>solar resource in Maine-et-Loire region (near Saumur) -- France</t>
  </si>
  <si>
    <t>en_spv_FRA_003</t>
  </si>
  <si>
    <t>solar resource in Ille-et-Vilaine region (near Saint-Malo) -- France</t>
  </si>
  <si>
    <t>en_spv_FRA_004</t>
  </si>
  <si>
    <t>solar resource in Vosges region (near Epinal) -- France</t>
  </si>
  <si>
    <t>en_spv_FRA_005</t>
  </si>
  <si>
    <t>solar resource in Marne region (near Chalons-en-Champagne) -- France</t>
  </si>
  <si>
    <t>en_spv_FRA_006</t>
  </si>
  <si>
    <t>solar resource in Bouches-du-Rhone region (near Cavaillon) -- France</t>
  </si>
  <si>
    <t>en_spv_FRA_007</t>
  </si>
  <si>
    <t>solar resource in Loire region (near Roanne) -- France</t>
  </si>
  <si>
    <t>en_spv_FRA_008</t>
  </si>
  <si>
    <t>solar resource in Gers region (near Tarbes) -- France</t>
  </si>
  <si>
    <t>en_spv_FRA_009</t>
  </si>
  <si>
    <t>solar resource in Dordogne region (near Perigueux) -- France</t>
  </si>
  <si>
    <t>en_spv_GAB_001</t>
  </si>
  <si>
    <t>solar resource in Nyanga region (near Franceville) -- Gabon</t>
  </si>
  <si>
    <t>en_spv_GAB_002</t>
  </si>
  <si>
    <t>solar resource in Moyen-Ogooue region (near Port-Gentil) -- Gabon</t>
  </si>
  <si>
    <t>en_spv_GAB_003</t>
  </si>
  <si>
    <t>en_spv_GAB_004</t>
  </si>
  <si>
    <t>solar resource in Woleu-Ntem region (near Libreville) -- Gabon</t>
  </si>
  <si>
    <t>en_spv_GAB_005</t>
  </si>
  <si>
    <t>solar resource in Haut-Ogooue region (near Franceville) -- Gabon</t>
  </si>
  <si>
    <t>en_spv_GBR_001</t>
  </si>
  <si>
    <t>solar resource in Milton Keynes region (near Milton Keynes) -- United Kingdom</t>
  </si>
  <si>
    <t>en_spv_GBR_002</t>
  </si>
  <si>
    <t>solar resource in near Abertawe -- United Kingdom</t>
  </si>
  <si>
    <t>en_spv_GBR_003</t>
  </si>
  <si>
    <t>solar resource in Herefordshire region (near Hereford) -- United Kingdom</t>
  </si>
  <si>
    <t>en_spv_GBR_004</t>
  </si>
  <si>
    <t>solar resource in Cumbria region (near Carlisle) -- United Kingdom</t>
  </si>
  <si>
    <t>en_spv_GBR_005</t>
  </si>
  <si>
    <t>solar resource in near Inverness -- United Kingdom</t>
  </si>
  <si>
    <t>en_spv_GBR_006</t>
  </si>
  <si>
    <t>solar resource in Highland region (near Inverness) -- United Kingdom</t>
  </si>
  <si>
    <t>en_spv_GBR_007</t>
  </si>
  <si>
    <t>solar resource in Craigavon region (near Lisburn) -- United Kingdom</t>
  </si>
  <si>
    <t>en_spv_GEO_001</t>
  </si>
  <si>
    <t>solar resource in Shida Kartli region (near Tbilisi) -- Georgia</t>
  </si>
  <si>
    <t>en_spv_GEO_002</t>
  </si>
  <si>
    <t>solar resource in Kakheti region (near Tbilisi) -- Georgia</t>
  </si>
  <si>
    <t>en_spv_GEO_003</t>
  </si>
  <si>
    <t>solar resource in near Batumi -- Georgia</t>
  </si>
  <si>
    <t>en_spv_GEO_004</t>
  </si>
  <si>
    <t>solar resource in Samegrelo-Zemo Svaneti region (near Kutaisi) -- Georgia</t>
  </si>
  <si>
    <t>en_spv_GHA_001</t>
  </si>
  <si>
    <t>solar resource in Upper West region (near Tamale) -- Ghana</t>
  </si>
  <si>
    <t>en_spv_GHA_002</t>
  </si>
  <si>
    <t>solar resource in Northern region (near Tamale) -- Ghana</t>
  </si>
  <si>
    <t>en_spv_GHA_003</t>
  </si>
  <si>
    <t>solar resource in Volta region (near Ashaiman) -- Ghana</t>
  </si>
  <si>
    <t>en_spv_GHA_004</t>
  </si>
  <si>
    <t>solar resource in Brong-Ahafo region (near Sunyani) -- Ghana</t>
  </si>
  <si>
    <t>en_spv_GHA_005</t>
  </si>
  <si>
    <t>solar resource in Ashanti region (near Obuase) -- Ghana</t>
  </si>
  <si>
    <t>en_spv_GHA_006</t>
  </si>
  <si>
    <t>solar resource in Central region (near Obuase) -- Ghana</t>
  </si>
  <si>
    <t>en_spv_GIN_001</t>
  </si>
  <si>
    <t>solar resource in Forecariah Prefecture region (near Conakry) -- Guinea</t>
  </si>
  <si>
    <t>en_spv_GIN_002</t>
  </si>
  <si>
    <t>solar resource in Gabu region (near Mamou) -- Guinea</t>
  </si>
  <si>
    <t>en_spv_GIN_003</t>
  </si>
  <si>
    <t>solar resource in Kayes region (near Siguiri) -- Guinea</t>
  </si>
  <si>
    <t>en_spv_GIN_004</t>
  </si>
  <si>
    <t>solar resource in Siguiri Prefecture region (near Siguiri) -- Guinea</t>
  </si>
  <si>
    <t>en_spv_GIN_005</t>
  </si>
  <si>
    <t>solar resource in Nzerekore Prefecture region (near N'Zerekore) -- Guinea</t>
  </si>
  <si>
    <t>en_spv_GIN_006</t>
  </si>
  <si>
    <t>solar resource in Gueckedou Prefecture region (near Gueckedou) -- Guinea</t>
  </si>
  <si>
    <t>en_spv_GNB_001</t>
  </si>
  <si>
    <t>solar resource in Bafata region (near Gabu) -- Guinea-Bissau</t>
  </si>
  <si>
    <t>en_spv_GNB_002</t>
  </si>
  <si>
    <t>solar resource in Cacheu region (near Bissau) -- Guinea-Bissau</t>
  </si>
  <si>
    <t>en_spv_GNB_003</t>
  </si>
  <si>
    <t>solar resource in Tombali region (near Bissau) -- Guinea-Bissau</t>
  </si>
  <si>
    <t>en_spv_GNQ_001</t>
  </si>
  <si>
    <t>solar resource in Kie-Ntem region (near Sevilla de Niefang) -- Equatorial Guinea</t>
  </si>
  <si>
    <t>en_spv_GNQ_002</t>
  </si>
  <si>
    <t>solar resource in South region (near Bata) -- Equatorial Guinea</t>
  </si>
  <si>
    <t>en_spv_GRC_001</t>
  </si>
  <si>
    <t>solar resource in Edirne region (near Xanthi) -- Greece</t>
  </si>
  <si>
    <t>en_spv_GRC_002</t>
  </si>
  <si>
    <t>solar resource in near Xanthi -- Greece</t>
  </si>
  <si>
    <t>en_spv_GRC_003</t>
  </si>
  <si>
    <t>solar resource in near Glyfada -- Greece</t>
  </si>
  <si>
    <t>en_spv_GRC_004</t>
  </si>
  <si>
    <t>solar resource in Central Greece region (near Lamia) -- Greece</t>
  </si>
  <si>
    <t>en_spv_GRC_005</t>
  </si>
  <si>
    <t>solar resource in Epirus region (near Ioannina) -- Greece</t>
  </si>
  <si>
    <t>en_spv_GRC_006</t>
  </si>
  <si>
    <t>solar resource in near Katerini -- Greece</t>
  </si>
  <si>
    <t>en_spv_GTM_001</t>
  </si>
  <si>
    <t>solar resource in Escuintla region (near Santa Lucia Cotzumalguapa) -- Guatemala</t>
  </si>
  <si>
    <t>en_spv_GTM_002</t>
  </si>
  <si>
    <t>solar resource in Quiche region (near Chajul) -- Guatemala</t>
  </si>
  <si>
    <t>en_spv_GTM_003</t>
  </si>
  <si>
    <t>solar resource in Izabal region (near Morales) -- Guatemala</t>
  </si>
  <si>
    <t>en_spv_GTM_004</t>
  </si>
  <si>
    <t>solar resource in Peten region (near Flores) -- Guatemala</t>
  </si>
  <si>
    <t>en_spv_GTM_005</t>
  </si>
  <si>
    <t>solar resource in Peten region (near La Libertad) -- Guatemala</t>
  </si>
  <si>
    <t>en_spv_GUY_001</t>
  </si>
  <si>
    <t>solar resource in Upper Demerara-Berbice region (near Linden) -- Guyana</t>
  </si>
  <si>
    <t>en_spv_GUY_002</t>
  </si>
  <si>
    <t>solar resource in Bolivar region (near Linden) -- Guyana</t>
  </si>
  <si>
    <t>en_spv_GUY_003</t>
  </si>
  <si>
    <t>solar resource in Upper Takutu-Upper Essequibo region (near Linden) -- Guyana</t>
  </si>
  <si>
    <t>en_spv_GUY_004</t>
  </si>
  <si>
    <t>solar resource in Mahaica-Berbice region (near New Amsterdam) -- Guyana</t>
  </si>
  <si>
    <t>en_spv_HKG_001</t>
  </si>
  <si>
    <t>solar resource in Yuen Long region (near Sha Tin) -- Hong Kong SAR, China</t>
  </si>
  <si>
    <t>en_spv_HKG_002</t>
  </si>
  <si>
    <t>solar resource in Tai Po region (near Sha Tin) -- Hong Kong SAR, China</t>
  </si>
  <si>
    <t>en_spv_HKG_003</t>
  </si>
  <si>
    <t>solar resource in Lantau Island region (near Kowloon) -- Hong Kong SAR, China</t>
  </si>
  <si>
    <t>en_spv_HKG_004</t>
  </si>
  <si>
    <t>solar resource in Kwun Tong region (near Hong Kong) -- Hong Kong SAR, China</t>
  </si>
  <si>
    <t>en_spv_HND_001</t>
  </si>
  <si>
    <t>solar resource in Gracias a Dios region (near Catacamas) -- Honduras</t>
  </si>
  <si>
    <t>en_spv_HND_002</t>
  </si>
  <si>
    <t>solar resource in Olancho region (near Catacamas) -- Honduras</t>
  </si>
  <si>
    <t>en_spv_HND_003</t>
  </si>
  <si>
    <t>solar resource in Valle region (near Comayaguela) -- Honduras</t>
  </si>
  <si>
    <t>en_spv_HND_004</t>
  </si>
  <si>
    <t>solar resource in Cortes region (near San Pedro Sula) -- Honduras</t>
  </si>
  <si>
    <t>en_spv_HND_005</t>
  </si>
  <si>
    <t>solar resource in Yoro region (near Olanchito) -- Honduras</t>
  </si>
  <si>
    <t>en_spv_HRV_001</t>
  </si>
  <si>
    <t>solar resource in Šibenik-Knin region (near Sibenik) -- Croatia</t>
  </si>
  <si>
    <t>en_spv_HRV_002</t>
  </si>
  <si>
    <t>solar resource in Istria region (near Rijeka) -- Croatia</t>
  </si>
  <si>
    <t>en_spv_HRV_003</t>
  </si>
  <si>
    <t>solar resource in Lika-Senj region (near Karlovac) -- Croatia</t>
  </si>
  <si>
    <t>en_spv_HRV_004</t>
  </si>
  <si>
    <t>solar resource in Zagreb region (near Velika Gorica) -- Croatia</t>
  </si>
  <si>
    <t>en_spv_HRV_005</t>
  </si>
  <si>
    <t>solar resource in Vukovar-Syrmia region (near Vinkovci) -- Croatia</t>
  </si>
  <si>
    <t>en_spv_HRV_006</t>
  </si>
  <si>
    <t>solar resource in Bjelovar-Bilogora region (near Bjelovar) -- Croatia</t>
  </si>
  <si>
    <t>en_spv_HTI_001</t>
  </si>
  <si>
    <t>solar resource in near Saint-Marc -- Haiti</t>
  </si>
  <si>
    <t>en_spv_HTI_002</t>
  </si>
  <si>
    <t>solar resource in Centre region (near Belladere) -- Haiti</t>
  </si>
  <si>
    <t>en_spv_HTI_003</t>
  </si>
  <si>
    <t>solar resource in Nord region (near Hinche) -- Haiti</t>
  </si>
  <si>
    <t>en_spv_HUN_001</t>
  </si>
  <si>
    <t>solar resource in Vas region (near Szombathely) -- Hungary</t>
  </si>
  <si>
    <t>en_spv_HUN_002</t>
  </si>
  <si>
    <t>solar resource in Hajdu-Bihar region (near Hajduszoboszlo) -- Hungary</t>
  </si>
  <si>
    <t>en_spv_HUN_003</t>
  </si>
  <si>
    <t>solar resource in Csongrad-Csanad region (near Szeged) -- Hungary</t>
  </si>
  <si>
    <t>en_spv_HUN_004</t>
  </si>
  <si>
    <t>solar resource in Pest region (near Cegled) -- Hungary</t>
  </si>
  <si>
    <t>en_spv_IDN_001</t>
  </si>
  <si>
    <t>solar resource in West Kalimantan region (near Pontianak) -- Indonesia</t>
  </si>
  <si>
    <t>en_spv_IDN_002</t>
  </si>
  <si>
    <t>solar resource in Central Kalimantan region (near Banjarmasin) -- Indonesia</t>
  </si>
  <si>
    <t>en_spv_IDN_003</t>
  </si>
  <si>
    <t>solar resource in Central Kalimantan region (near Balikpapan) -- Indonesia</t>
  </si>
  <si>
    <t>en_spv_IDN_004</t>
  </si>
  <si>
    <t>solar resource in North Sumatra region (near Medan) -- Indonesia</t>
  </si>
  <si>
    <t>en_spv_IDN_005</t>
  </si>
  <si>
    <t>solar resource in North Sumatra region (near Pekanbaru) -- Indonesia</t>
  </si>
  <si>
    <t>en_spv_IDN_006</t>
  </si>
  <si>
    <t>solar resource in Riau region (near Pekanbaru) -- Indonesia</t>
  </si>
  <si>
    <t>en_spv_IDN_007</t>
  </si>
  <si>
    <t>solar resource in South Sumatra region (near Palembang) -- Indonesia</t>
  </si>
  <si>
    <t>en_spv_IDN_008</t>
  </si>
  <si>
    <t>solar resource in near Ambon -- Indonesia</t>
  </si>
  <si>
    <t>en_spv_IDN_009</t>
  </si>
  <si>
    <t>solar resource in Papua region (near Jayapura) -- Indonesia</t>
  </si>
  <si>
    <t>en_spv_IDN_010</t>
  </si>
  <si>
    <t>solar resource in West Papua region (near Ambon) -- Indonesia</t>
  </si>
  <si>
    <t>en_spv_IDN_011</t>
  </si>
  <si>
    <t>en_spv_IDN_012</t>
  </si>
  <si>
    <t>solar resource in East Kalimantan region (near Samarinda) -- Indonesia</t>
  </si>
  <si>
    <t>en_spv_IDN_013</t>
  </si>
  <si>
    <t>solar resource in Central Sulawesi region (near Makassar) -- Indonesia</t>
  </si>
  <si>
    <t>en_spv_IDN_014</t>
  </si>
  <si>
    <t>solar resource in East Java region (near Malang) -- Indonesia</t>
  </si>
  <si>
    <t>en_spv_IDN_015</t>
  </si>
  <si>
    <t>solar resource in West Java region (near Cimahi) -- Indonesia</t>
  </si>
  <si>
    <t>en_spv_IDN_016</t>
  </si>
  <si>
    <t>solar resource in near Makassar -- Indonesia</t>
  </si>
  <si>
    <t>en_spv_IDN_017</t>
  </si>
  <si>
    <t>solar resource in near Jayapura -- Indonesia</t>
  </si>
  <si>
    <t>en_spv_IND_001</t>
  </si>
  <si>
    <t>solar resource in West Bengal region (near Raneswar) -- India</t>
  </si>
  <si>
    <t>en_spv_IND_002</t>
  </si>
  <si>
    <t>solar resource in Assam region (near Sibsagar) -- India</t>
  </si>
  <si>
    <t>en_spv_IND_003</t>
  </si>
  <si>
    <t>solar resource in Assam region (near Guwahati) -- India</t>
  </si>
  <si>
    <t>en_spv_IND_004</t>
  </si>
  <si>
    <t>solar resource in Assam region (near Karaikandi) -- India</t>
  </si>
  <si>
    <t>en_spv_IND_005</t>
  </si>
  <si>
    <t>solar resource in Andhra Pradesh region (near Ongole) -- India</t>
  </si>
  <si>
    <t>en_spv_IND_006</t>
  </si>
  <si>
    <t>solar resource in near Port Blair -- India</t>
  </si>
  <si>
    <t>en_spv_IND_007</t>
  </si>
  <si>
    <t>solar resource in Karnataka region (near Hassan) -- India</t>
  </si>
  <si>
    <t>en_spv_IND_008</t>
  </si>
  <si>
    <t>solar resource in Tamil Nadu region (near Dindigul) -- India</t>
  </si>
  <si>
    <t>en_spv_IND_009</t>
  </si>
  <si>
    <t>solar resource in Gujarat region (near Godhra) -- India</t>
  </si>
  <si>
    <t>en_spv_IND_010</t>
  </si>
  <si>
    <t>solar resource in Maharashtra region (near Wardha) -- India</t>
  </si>
  <si>
    <t>en_spv_IND_011</t>
  </si>
  <si>
    <t>solar resource in Karnataka region (near Gulbarga) -- India</t>
  </si>
  <si>
    <t>en_spv_IND_012</t>
  </si>
  <si>
    <t>solar resource in Punjab region (near Mansa) -- India</t>
  </si>
  <si>
    <t>en_spv_IND_013</t>
  </si>
  <si>
    <t>solar resource in Rajasthan region (near Beawar) -- India</t>
  </si>
  <si>
    <t>en_spv_IND_014</t>
  </si>
  <si>
    <t>solar resource in Chhattisgarh region (near Raigarh) -- India</t>
  </si>
  <si>
    <t>en_spv_IND_015</t>
  </si>
  <si>
    <t>solar resource in Odisha region (near Jeypore) -- India</t>
  </si>
  <si>
    <t>en_spv_IND_016</t>
  </si>
  <si>
    <t>solar resource in Uttar Pradesh region (near Jhansi) -- India</t>
  </si>
  <si>
    <t>en_spv_IND_017</t>
  </si>
  <si>
    <t>solar resource in Sindh region (near Rapar) -- India</t>
  </si>
  <si>
    <t>en_spv_IND_018</t>
  </si>
  <si>
    <t>solar resource in Uttar Pradesh region (near Buxar) -- India</t>
  </si>
  <si>
    <t>en_spv_IRL_001</t>
  </si>
  <si>
    <t>solar resource in Cork region (near Cork) -- Ireland</t>
  </si>
  <si>
    <t>en_spv_IRL_002</t>
  </si>
  <si>
    <t>solar resource in Westmeath region (near Mullingar) -- Ireland</t>
  </si>
  <si>
    <t>en_spv_IRL_003</t>
  </si>
  <si>
    <t>solar resource in Donegal region (near Dun Dealgan) -- Ireland</t>
  </si>
  <si>
    <t>en_spv_IRL_004</t>
  </si>
  <si>
    <t>solar resource in Galway region (near Galway) -- Ireland</t>
  </si>
  <si>
    <t>en_spv_IRN_001</t>
  </si>
  <si>
    <t>solar resource in Razavi Khorasan region (near Mashhad) -- Iran</t>
  </si>
  <si>
    <t>en_spv_IRN_002</t>
  </si>
  <si>
    <t>solar resource in Razavi Khorasan region (near Sabzevar) -- Iran</t>
  </si>
  <si>
    <t>en_spv_IRN_003</t>
  </si>
  <si>
    <t>solar resource in South Khorasan region (near Birjand) -- Iran</t>
  </si>
  <si>
    <t>en_spv_IRN_004</t>
  </si>
  <si>
    <t>solar resource in Sistan and Baluchestan region (near Zahedan) -- Iran</t>
  </si>
  <si>
    <t>en_spv_IRN_005</t>
  </si>
  <si>
    <t>solar resource in Kerman region (near Kerman) -- Iran</t>
  </si>
  <si>
    <t>en_spv_IRN_006</t>
  </si>
  <si>
    <t>solar resource in East Azerbaijan region (near Maragheh) -- Iran</t>
  </si>
  <si>
    <t>en_spv_IRN_007</t>
  </si>
  <si>
    <t>solar resource in Khuzestan region (near Ahvaz) -- Iran</t>
  </si>
  <si>
    <t>en_spv_IRN_008</t>
  </si>
  <si>
    <t>solar resource in Ilam region (near Kermanshah) -- Iran</t>
  </si>
  <si>
    <t>en_spv_IRN_009</t>
  </si>
  <si>
    <t>solar resource in Qom region (near Qom) -- Iran</t>
  </si>
  <si>
    <t>en_spv_IRN_010</t>
  </si>
  <si>
    <t>solar resource in Yazd region (near Yazd) -- Iran</t>
  </si>
  <si>
    <t>en_spv_IRN_011</t>
  </si>
  <si>
    <t>solar resource in Fars region (near Bandar `Abbas) -- Iran</t>
  </si>
  <si>
    <t>en_spv_IRN_012</t>
  </si>
  <si>
    <t>solar resource in Fars region (near Shiraz) -- Iran</t>
  </si>
  <si>
    <t>en_spv_IRN_013</t>
  </si>
  <si>
    <t>solar resource in Ardabil region (near Ardabil) -- Iran</t>
  </si>
  <si>
    <t>en_spv_IRN_014</t>
  </si>
  <si>
    <t>solar resource in Semnan region (near Shahrud) -- Iran</t>
  </si>
  <si>
    <t>en_spv_IRQ_001</t>
  </si>
  <si>
    <t>solar resource in Al Anbar region (near Ar Ramadi) -- Iraq</t>
  </si>
  <si>
    <t>en_spv_IRQ_002</t>
  </si>
  <si>
    <t>solar resource in Sulaymaniyah region (near Kirkuk) -- Iraq</t>
  </si>
  <si>
    <t>en_spv_IRQ_003</t>
  </si>
  <si>
    <t>solar resource in Nineveh region (near Mosul) -- Iraq</t>
  </si>
  <si>
    <t>en_spv_IRQ_004</t>
  </si>
  <si>
    <t>solar resource in Maysan region (near Al `Amarah) -- Iraq</t>
  </si>
  <si>
    <t>en_spv_IRQ_005</t>
  </si>
  <si>
    <t>solar resource in Al Muthanna region (near An Nasiriyah) -- Iraq</t>
  </si>
  <si>
    <t>en_spv_IRQ_006</t>
  </si>
  <si>
    <t>solar resource in Al Anbar region (near An Najaf) -- Iraq</t>
  </si>
  <si>
    <t>en_spv_IRQ_007</t>
  </si>
  <si>
    <t>solar resource in Diyala region (near Ba`qubah) -- Iraq</t>
  </si>
  <si>
    <t>en_spv_IRQ_008</t>
  </si>
  <si>
    <t>en_spv_ISR_001</t>
  </si>
  <si>
    <t>solar resource in Southern region (near Beersheba) -- Israel</t>
  </si>
  <si>
    <t>en_spv_ISR_002</t>
  </si>
  <si>
    <t>solar resource in West Bank region (near Afula) -- Israel</t>
  </si>
  <si>
    <t>en_spv_ISR_003</t>
  </si>
  <si>
    <t>solar resource in Southern region (near Rahat) -- Israel</t>
  </si>
  <si>
    <t>en_spv_ITA_001</t>
  </si>
  <si>
    <t>solar resource in Alessandria region (near Casale Monferrato) -- Italy</t>
  </si>
  <si>
    <t>en_spv_ITA_002</t>
  </si>
  <si>
    <t>solar resource in Lecco region (near Lecco) -- Italy</t>
  </si>
  <si>
    <t>en_spv_ITA_003</t>
  </si>
  <si>
    <t>solar resource in Parma region (near Fidenza) -- Italy</t>
  </si>
  <si>
    <t>en_spv_ITA_004</t>
  </si>
  <si>
    <t>solar resource in Cagliari region (near Sestu) -- Italy</t>
  </si>
  <si>
    <t>en_spv_ITA_005</t>
  </si>
  <si>
    <t>solar resource in Cosenza region (near Castrovillari) -- Italy</t>
  </si>
  <si>
    <t>en_spv_ITA_006</t>
  </si>
  <si>
    <t>solar resource in Pordenone region (near Pordenone) -- Italy</t>
  </si>
  <si>
    <t>en_spv_ITA_007</t>
  </si>
  <si>
    <t>solar resource in Frosinone region (near Alatri) -- Italy</t>
  </si>
  <si>
    <t>en_spv_ITA_008</t>
  </si>
  <si>
    <t>solar resource in Ravenna region (near Lugo) -- Italy</t>
  </si>
  <si>
    <t>en_spv_JAM_001</t>
  </si>
  <si>
    <t>solar resource in Saint Thomas region (near Kingston) -- Jamaica</t>
  </si>
  <si>
    <t>en_spv_JAM_002</t>
  </si>
  <si>
    <t>solar resource in Manchester region (near Spanish Town) -- Jamaica</t>
  </si>
  <si>
    <t>en_spv_JOR_001</t>
  </si>
  <si>
    <t>solar resource in Ma'an region (near Amman) -- Jordan</t>
  </si>
  <si>
    <t>en_spv_JOR_002</t>
  </si>
  <si>
    <t>en_spv_JOR_003</t>
  </si>
  <si>
    <t>solar resource in Amman region (near Amman) -- Jordan</t>
  </si>
  <si>
    <t>en_spv_JOR_004</t>
  </si>
  <si>
    <t>solar resource in Mafraq region (near Al Mafraq) -- Jordan</t>
  </si>
  <si>
    <t>en_spv_JPN_001</t>
  </si>
  <si>
    <t>solar resource in near Hakodate -- Japan</t>
  </si>
  <si>
    <t>en_spv_JPN_002</t>
  </si>
  <si>
    <t>solar resource in Hokkaidō region (near Obihiro) -- Japan</t>
  </si>
  <si>
    <t>en_spv_JPN_003</t>
  </si>
  <si>
    <t>solar resource in near Kumamoto -- Japan</t>
  </si>
  <si>
    <t>en_spv_JPN_004</t>
  </si>
  <si>
    <t>solar resource in Shiga Prefecture region (near Suzuka) -- Japan</t>
  </si>
  <si>
    <t>en_spv_JPN_005</t>
  </si>
  <si>
    <t>solar resource in near Matsuyama -- Japan</t>
  </si>
  <si>
    <t>en_spv_JPN_006</t>
  </si>
  <si>
    <t>solar resource in near Naha -- Japan</t>
  </si>
  <si>
    <t>en_spv_JPN_007</t>
  </si>
  <si>
    <t>solar resource in Ibaraki Prefecture region (near Koga) -- Japan</t>
  </si>
  <si>
    <t>en_spv_JPN_008</t>
  </si>
  <si>
    <t>solar resource in Iwate Prefecture region (near Ishizaki) -- Japan</t>
  </si>
  <si>
    <t>en_spv_JPN_009</t>
  </si>
  <si>
    <t>solar resource in near Joetsu -- Japan</t>
  </si>
  <si>
    <t>en_spv_KAZ_001</t>
  </si>
  <si>
    <t>solar resource in Pavlodar region (near Ekibastuz) -- Kazakhstan</t>
  </si>
  <si>
    <t>en_spv_KAZ_002</t>
  </si>
  <si>
    <t>en_spv_KAZ_003</t>
  </si>
  <si>
    <t>solar resource in Akmola region (near Kokshetau) -- Kazakhstan</t>
  </si>
  <si>
    <t>en_spv_KAZ_004</t>
  </si>
  <si>
    <t>solar resource in North Kazakhstan region (near Kokshetau) -- Kazakhstan</t>
  </si>
  <si>
    <t>en_spv_KAZ_005</t>
  </si>
  <si>
    <t>solar resource in Kostanay region (near Qostanay) -- Kazakhstan</t>
  </si>
  <si>
    <t>en_spv_KAZ_006</t>
  </si>
  <si>
    <t>solar resource in Aktobe region (near Aqtobe) -- Kazakhstan</t>
  </si>
  <si>
    <t>en_spv_KAZ_007</t>
  </si>
  <si>
    <t>solar resource in Aktobe region (near Qostanay) -- Kazakhstan</t>
  </si>
  <si>
    <t>en_spv_KAZ_008</t>
  </si>
  <si>
    <t>solar resource in East Kazakhstan region (near Semey) -- Kazakhstan</t>
  </si>
  <si>
    <t>en_spv_KAZ_009</t>
  </si>
  <si>
    <t>solar resource in East Kazakhstan region (near Oskemen) -- Kazakhstan</t>
  </si>
  <si>
    <t>en_spv_KAZ_010</t>
  </si>
  <si>
    <t>solar resource in Karaganda region (near Qaraghandy) -- Kazakhstan</t>
  </si>
  <si>
    <t>en_spv_KAZ_011</t>
  </si>
  <si>
    <t>solar resource in Almaty region (near Almaty) -- Kazakhstan</t>
  </si>
  <si>
    <t>en_spv_KAZ_012</t>
  </si>
  <si>
    <t>en_spv_KAZ_013</t>
  </si>
  <si>
    <t>solar resource in West Kazakhstan region (near Oral) -- Kazakhstan</t>
  </si>
  <si>
    <t>en_spv_KAZ_014</t>
  </si>
  <si>
    <t>solar resource in Turkistan region (near Turkistan) -- Kazakhstan</t>
  </si>
  <si>
    <t>en_spv_KAZ_015</t>
  </si>
  <si>
    <t>solar resource in Karaganda region (near Qyzylorda) -- Kazakhstan</t>
  </si>
  <si>
    <t>en_spv_KAZ_016</t>
  </si>
  <si>
    <t>solar resource in Mangystau region (near Zhangaozen) -- Kazakhstan</t>
  </si>
  <si>
    <t>en_spv_KAZ_017</t>
  </si>
  <si>
    <t>solar resource in Kyzylorda region (near Qyzylorda) -- Kazakhstan</t>
  </si>
  <si>
    <t>en_spv_KEN_001</t>
  </si>
  <si>
    <t>solar resource in Gedo region (near Habaswein) -- Kenya</t>
  </si>
  <si>
    <t>en_spv_KEN_002</t>
  </si>
  <si>
    <t>solar resource in Rift Valley region (near Kakuma) -- Kenya</t>
  </si>
  <si>
    <t>en_spv_KEN_003</t>
  </si>
  <si>
    <t>solar resource in Rift Valley region (near Ongata Rongai) -- Kenya</t>
  </si>
  <si>
    <t>en_spv_KEN_004</t>
  </si>
  <si>
    <t>solar resource in Rift Valley region (near Eldoret) -- Kenya</t>
  </si>
  <si>
    <t>en_spv_KEN_005</t>
  </si>
  <si>
    <t>solar resource in North Eastern region (near Habaswein) -- Kenya</t>
  </si>
  <si>
    <t>en_spv_KEN_006</t>
  </si>
  <si>
    <t>solar resource in Coast region (near Lunga-Lunga) -- Kenya</t>
  </si>
  <si>
    <t>en_spv_KEN_007</t>
  </si>
  <si>
    <t>solar resource in Eastern region (near Kitenkela) -- Kenya</t>
  </si>
  <si>
    <t>en_spv_KEN_008</t>
  </si>
  <si>
    <t>solar resource in Eastern region (near Habaswein) -- Kenya</t>
  </si>
  <si>
    <t>en_spv_KEN_009</t>
  </si>
  <si>
    <t>en_spv_KGZ_001</t>
  </si>
  <si>
    <t>solar resource in Namangan region (near Batken) -- Kyrgyz Republic</t>
  </si>
  <si>
    <t>en_spv_KGZ_002</t>
  </si>
  <si>
    <t>solar resource in Andijan region (near Aravan) -- Kyrgyz Republic</t>
  </si>
  <si>
    <t>en_spv_KGZ_003</t>
  </si>
  <si>
    <t>solar resource in Jambyl region (near Talas) -- Kyrgyz Republic</t>
  </si>
  <si>
    <t>en_spv_KGZ_004</t>
  </si>
  <si>
    <t>solar resource in Issyk-Kul region (near Karakol) -- Kyrgyz Republic</t>
  </si>
  <si>
    <t>en_spv_KGZ_005</t>
  </si>
  <si>
    <t>solar resource in Naryn region (near Tokmok) -- Kyrgyz Republic</t>
  </si>
  <si>
    <t>en_spv_KHM_001</t>
  </si>
  <si>
    <t>solar resource in Preah Vihear region (near Siem Reap) -- Cambodia</t>
  </si>
  <si>
    <t>en_spv_KHM_002</t>
  </si>
  <si>
    <t>solar resource in Banteay Meanchey region (near Sisophon) -- Cambodia</t>
  </si>
  <si>
    <t>en_spv_KHM_003</t>
  </si>
  <si>
    <t>solar resource in Stung Treng region (near Kampong Cham) -- Cambodia</t>
  </si>
  <si>
    <t>en_spv_KHM_004</t>
  </si>
  <si>
    <t>solar resource in Koh Kong region (near Phnom Penh) -- Cambodia</t>
  </si>
  <si>
    <t>en_spv_KHM_005</t>
  </si>
  <si>
    <t>solar resource in Kampong Cham region (near Kampong Cham) -- Cambodia</t>
  </si>
  <si>
    <t>en_spv_KHM_006</t>
  </si>
  <si>
    <t>solar resource in Kandal region (near Phnom Penh) -- Cambodia</t>
  </si>
  <si>
    <t>en_spv_KOR_001</t>
  </si>
  <si>
    <t>solar resource in South Chungcheong region (near Ch'onan) -- South Korea</t>
  </si>
  <si>
    <t>en_spv_KOR_002</t>
  </si>
  <si>
    <t>solar resource in Gyeonggi region (near Goyang) -- South Korea</t>
  </si>
  <si>
    <t>en_spv_KOR_003</t>
  </si>
  <si>
    <t>solar resource in South Jeolla region (near Gwangju) -- South Korea</t>
  </si>
  <si>
    <t>en_spv_KOR_004</t>
  </si>
  <si>
    <t>solar resource in South Gyeongsang region (near Changwon) -- South Korea</t>
  </si>
  <si>
    <t>en_spv_KOR_005</t>
  </si>
  <si>
    <t>solar resource in North Gyeongsang region (near Daejeon) -- South Korea</t>
  </si>
  <si>
    <t>en_spv_KWT_001</t>
  </si>
  <si>
    <t>solar resource in Al Farwaniyah region (near Kuwait City) -- Kuwait</t>
  </si>
  <si>
    <t>en_spv_KWT_002</t>
  </si>
  <si>
    <t>solar resource in Al Jahra region (near Al Jahra') -- Kuwait</t>
  </si>
  <si>
    <t>en_spv_LAO_001</t>
  </si>
  <si>
    <t>solar resource in Quảng Trị region (near Salavan) -- Laos</t>
  </si>
  <si>
    <t>en_spv_LAO_002</t>
  </si>
  <si>
    <t>solar resource in Savannakhet region (near Savannakhet) -- Laos</t>
  </si>
  <si>
    <t>en_spv_LAO_003</t>
  </si>
  <si>
    <t>solar resource in Champasak region (near Pakxe) -- Laos</t>
  </si>
  <si>
    <t>en_spv_LAO_004</t>
  </si>
  <si>
    <t>solar resource in Houaphanh region (near Xiangkhoang) -- Laos</t>
  </si>
  <si>
    <t>en_spv_LAO_005</t>
  </si>
  <si>
    <t>solar resource in Nong Khai region (near Vientiane) -- Laos</t>
  </si>
  <si>
    <t>en_spv_LAO_006</t>
  </si>
  <si>
    <t>solar resource in Nan region (near Vientiane) -- Laos</t>
  </si>
  <si>
    <t>en_spv_LAO_007</t>
  </si>
  <si>
    <t>solar resource in Oudomxay region (near Xai) -- Laos</t>
  </si>
  <si>
    <t>en_spv_LBN_001</t>
  </si>
  <si>
    <t>solar resource in South region (near Sidon) -- Lebanon</t>
  </si>
  <si>
    <t>en_spv_LBN_002</t>
  </si>
  <si>
    <t>solar resource in Rif Dimashq region (near Zahle) -- Lebanon</t>
  </si>
  <si>
    <t>en_spv_LBR_001</t>
  </si>
  <si>
    <t>solar resource in Moyen-Cavally region (near Yeebo Town) -- Liberia</t>
  </si>
  <si>
    <t>en_spv_LBR_002</t>
  </si>
  <si>
    <t>solar resource in Nimba region (near New Kru Town) -- Liberia</t>
  </si>
  <si>
    <t>en_spv_LBR_003</t>
  </si>
  <si>
    <t>solar resource in Maryland region (near Yeebo Town) -- Liberia</t>
  </si>
  <si>
    <t>en_spv_LBR_004</t>
  </si>
  <si>
    <t>solar resource in Grand Bassa region (near New Kru Town) -- Liberia</t>
  </si>
  <si>
    <t>en_spv_LBY_001</t>
  </si>
  <si>
    <t>solar resource in Murzuq region (near Sabha) -- Libya</t>
  </si>
  <si>
    <t>en_spv_LBY_002</t>
  </si>
  <si>
    <t>solar resource in Sirte region (near Misratah) -- Libya</t>
  </si>
  <si>
    <t>en_spv_LBY_003</t>
  </si>
  <si>
    <t>solar resource in Jufra region (near Ajdabiya) -- Libya</t>
  </si>
  <si>
    <t>en_spv_LBY_004</t>
  </si>
  <si>
    <t>solar resource in Mizdah region (near Sabha) -- Libya</t>
  </si>
  <si>
    <t>en_spv_LBY_005</t>
  </si>
  <si>
    <t>solar resource in Mizdah region (near Gharyan) -- Libya</t>
  </si>
  <si>
    <t>en_spv_LBY_006</t>
  </si>
  <si>
    <t>solar resource in Kufra region (near Ajdabiya) -- Libya</t>
  </si>
  <si>
    <t>en_spv_LBY_007</t>
  </si>
  <si>
    <t>en_spv_LBY_008</t>
  </si>
  <si>
    <t>solar resource in Ghadames region (near Gharyan) -- Libya</t>
  </si>
  <si>
    <t>en_spv_LBY_009</t>
  </si>
  <si>
    <t>solar resource in Ghat region (near Sabha) -- Libya</t>
  </si>
  <si>
    <t>en_spv_LBY_010</t>
  </si>
  <si>
    <t>solar resource in Butnan region (near Tobruk) -- Libya</t>
  </si>
  <si>
    <t>en_spv_LBY_011</t>
  </si>
  <si>
    <t>solar resource in Benghazi region (near Ajdabiya) -- Libya</t>
  </si>
  <si>
    <t>en_spv_LBY_012</t>
  </si>
  <si>
    <t>solar resource in Ajdabiya region (near Ajdabiya) -- Libya</t>
  </si>
  <si>
    <t>en_spv_LBY_013</t>
  </si>
  <si>
    <t>en_spv_LBY_014</t>
  </si>
  <si>
    <t>en_spv_LKA_001</t>
  </si>
  <si>
    <t>solar resource in Trincomalee region (near Trincomalee) -- Sri Lanka</t>
  </si>
  <si>
    <t>en_spv_LKA_002</t>
  </si>
  <si>
    <t>solar resource in Vavuniya region (near Kilinochchi) -- Sri Lanka</t>
  </si>
  <si>
    <t>en_spv_LKA_003</t>
  </si>
  <si>
    <t>solar resource in Kegalle region (near Mawanella) -- Sri Lanka</t>
  </si>
  <si>
    <t>en_spv_LKA_004</t>
  </si>
  <si>
    <t>solar resource in Monaragala region (near Kalmunai) -- Sri Lanka</t>
  </si>
  <si>
    <t>en_spv_LSO_001</t>
  </si>
  <si>
    <t>solar resource in Maseru region (near Qiloane) -- Lesotho</t>
  </si>
  <si>
    <t>en_spv_LSO_002</t>
  </si>
  <si>
    <t>solar resource in Eastern Cape region (near Mohale's Hoek) -- Lesotho</t>
  </si>
  <si>
    <t>en_spv_LSO_003</t>
  </si>
  <si>
    <t>solar resource in Leribe region (near Mapoteng) -- Lesotho</t>
  </si>
  <si>
    <t>en_spv_LTU_001</t>
  </si>
  <si>
    <t>solar resource in Panevėžys region (near Utena) -- Lithuania</t>
  </si>
  <si>
    <t>en_spv_LTU_002</t>
  </si>
  <si>
    <t>solar resource in Vilnius region (near Vilnius) -- Lithuania</t>
  </si>
  <si>
    <t>en_spv_LTU_003</t>
  </si>
  <si>
    <t>solar resource in Kaliningrad region (near Marijampole) -- Lithuania</t>
  </si>
  <si>
    <t>en_spv_LTU_004</t>
  </si>
  <si>
    <t>solar resource in Tauragė region (near Siauliai) -- Lithuania</t>
  </si>
  <si>
    <t>en_spv_LUX_001</t>
  </si>
  <si>
    <t>solar resource in Diekirch region (near Luxembourg) -- Luxembourg</t>
  </si>
  <si>
    <t>en_spv_LUX_002</t>
  </si>
  <si>
    <t>solar resource in Grevenmacher region (near Luxembourg) -- Luxembourg</t>
  </si>
  <si>
    <t>en_spv_LUX_003</t>
  </si>
  <si>
    <t>en_spv_LUX_004</t>
  </si>
  <si>
    <t>en_spv_LUX_005</t>
  </si>
  <si>
    <t>en_spv_LUX_006</t>
  </si>
  <si>
    <t>solar resource in Luxembourg region (near Luxembourg) -- Luxembourg</t>
  </si>
  <si>
    <t>en_spv_LVA_001</t>
  </si>
  <si>
    <t>solar resource in Saldus region (near Jelgava) -- Latvia</t>
  </si>
  <si>
    <t>en_spv_LVA_002</t>
  </si>
  <si>
    <t>solar resource in Kārsava region (near Daugavpils) -- Latvia</t>
  </si>
  <si>
    <t>en_spv_LVA_003</t>
  </si>
  <si>
    <t>solar resource in Jēkabpils region (near Daugavpils) -- Latvia</t>
  </si>
  <si>
    <t>en_spv_LVA_004</t>
  </si>
  <si>
    <t>solar resource in Valmiera region (near Riga) -- Latvia</t>
  </si>
  <si>
    <t>en_spv_MAR_001</t>
  </si>
  <si>
    <t>solar resource in Bechar region (near Errachidia) -- Morocco</t>
  </si>
  <si>
    <t>en_spv_MAR_002</t>
  </si>
  <si>
    <t>solar resource in Oriental region (near Jerada) -- Morocco</t>
  </si>
  <si>
    <t>en_spv_MAR_003</t>
  </si>
  <si>
    <t>solar resource in Tadla-Azilal region (near Khenifra) -- Morocco</t>
  </si>
  <si>
    <t>en_spv_MAR_004</t>
  </si>
  <si>
    <t>solar resource in Chaouia-Ouardigha region (near Barrechid) -- Morocco</t>
  </si>
  <si>
    <t>en_spv_MAR_005</t>
  </si>
  <si>
    <t>solar resource in Gharb-Chrarda-Beni Hssen region (near Dar Bel Hamri) -- Morocco</t>
  </si>
  <si>
    <t>en_spv_MAR_006</t>
  </si>
  <si>
    <t>solar resource in Suss-Massa-Draa region (near Tineghir) -- Morocco</t>
  </si>
  <si>
    <t>en_spv_MAR_007</t>
  </si>
  <si>
    <t>solar resource in Guelmim-Es Semara region (near Tan-Tan) -- Morocco</t>
  </si>
  <si>
    <t>en_spv_MAR_008</t>
  </si>
  <si>
    <t>solar resource in Guelmim-Es Semara region (near Tiznit) -- Morocco</t>
  </si>
  <si>
    <t>en_spv_MDA_001</t>
  </si>
  <si>
    <t>solar resource in Odessa region (near Comrat) -- Moldova</t>
  </si>
  <si>
    <t>en_spv_MDA_002</t>
  </si>
  <si>
    <t>solar resource in Odessa region (near Dubasari) -- Moldova</t>
  </si>
  <si>
    <t>en_spv_MDA_003</t>
  </si>
  <si>
    <t>solar resource in Glodeni region (near Balti) -- Moldova</t>
  </si>
  <si>
    <t>en_spv_MDG_001</t>
  </si>
  <si>
    <t>solar resource in Atsimo-Atsinanana region (near Ambalavato) -- Madagascar</t>
  </si>
  <si>
    <t>en_spv_MDG_002</t>
  </si>
  <si>
    <t>solar resource in Antananarivo region (near Andilanatoby) -- Madagascar</t>
  </si>
  <si>
    <t>en_spv_MDG_003</t>
  </si>
  <si>
    <t>solar resource in Antananarivo region (near Manandona) -- Madagascar</t>
  </si>
  <si>
    <t>en_spv_MDG_004</t>
  </si>
  <si>
    <t>solar resource in Vatovavy-Fitovinany region (near Vohitrandriana) -- Madagascar</t>
  </si>
  <si>
    <t>en_spv_MDG_005</t>
  </si>
  <si>
    <t>solar resource in Atsimo-Andrefana region (near Fotadrevo) -- Madagascar</t>
  </si>
  <si>
    <t>en_spv_MDG_006</t>
  </si>
  <si>
    <t>solar resource in Menabe region (near Mandabe) -- Madagascar</t>
  </si>
  <si>
    <t>en_spv_MDG_007</t>
  </si>
  <si>
    <t>solar resource in Toamasina region (near Andapafito) -- Madagascar</t>
  </si>
  <si>
    <t>en_spv_MDG_008</t>
  </si>
  <si>
    <t>solar resource in Melaky region (near Kiranomena) -- Madagascar</t>
  </si>
  <si>
    <t>en_spv_MDG_009</t>
  </si>
  <si>
    <t>solar resource in Sofia region (near Leanja) -- Madagascar</t>
  </si>
  <si>
    <t>en_spv_MEX_001</t>
  </si>
  <si>
    <t>solar resource in Quintana Roo region (near Merida) -- Mexico</t>
  </si>
  <si>
    <t>en_spv_MEX_002</t>
  </si>
  <si>
    <t>solar resource in Chiapas region (near San Cristobal) -- Mexico</t>
  </si>
  <si>
    <t>en_spv_MEX_003</t>
  </si>
  <si>
    <t>solar resource in Veracruz region (near Tuxtepec) -- Mexico</t>
  </si>
  <si>
    <t>en_spv_MEX_004</t>
  </si>
  <si>
    <t>solar resource in San Luis Potosi region (near Soledad de Graciano Sanchez) -- Mexico</t>
  </si>
  <si>
    <t>en_spv_MEX_005</t>
  </si>
  <si>
    <t>solar resource in Veracruz region (near Poza Rica de Hidalgo) -- Mexico</t>
  </si>
  <si>
    <t>en_spv_MEX_006</t>
  </si>
  <si>
    <t>solar resource in Oaxaca region (near Oaxaca) -- Mexico</t>
  </si>
  <si>
    <t>en_spv_MEX_007</t>
  </si>
  <si>
    <t>solar resource in Durango region (near Gomez Palacio) -- Mexico</t>
  </si>
  <si>
    <t>en_spv_MEX_008</t>
  </si>
  <si>
    <t>solar resource in Jalisco region (near Aguascalientes) -- Mexico</t>
  </si>
  <si>
    <t>en_spv_MEX_009</t>
  </si>
  <si>
    <t>solar resource in near Guaymas -- Mexico</t>
  </si>
  <si>
    <t>en_spv_MEX_010</t>
  </si>
  <si>
    <t>solar resource in near Heroica Nogales -- Mexico</t>
  </si>
  <si>
    <t>en_spv_MEX_011</t>
  </si>
  <si>
    <t>solar resource in Sinaloa region (near Culiacan) -- Mexico</t>
  </si>
  <si>
    <t>en_spv_MEX_012</t>
  </si>
  <si>
    <t>solar resource in Chihuahua region (near Chihuahua) -- Mexico</t>
  </si>
  <si>
    <t>en_spv_MEX_013</t>
  </si>
  <si>
    <t>solar resource in Nuevo Leon region (near Ciudad Benito Juarez) -- Mexico</t>
  </si>
  <si>
    <t>en_spv_MEX_014</t>
  </si>
  <si>
    <t>solar resource in Coahuila region (near Delicias) -- Mexico</t>
  </si>
  <si>
    <t>en_spv_MEX_015</t>
  </si>
  <si>
    <t>solar resource in Coahuila region (near Monclova) -- Mexico</t>
  </si>
  <si>
    <t>en_spv_MKD_001</t>
  </si>
  <si>
    <t>solar resource in Debarca region (near Ohrid) -- North Macedonia</t>
  </si>
  <si>
    <t>en_spv_MKD_002</t>
  </si>
  <si>
    <t>solar resource in Vasilevo region (near Strumica) -- North Macedonia</t>
  </si>
  <si>
    <t>en_spv_MKD_003</t>
  </si>
  <si>
    <t>solar resource in Kumanovo region (near Kumanovo) -- North Macedonia</t>
  </si>
  <si>
    <t>en_spv_MKD_004</t>
  </si>
  <si>
    <t>solar resource in Prilep region (near Prilep) -- North Macedonia</t>
  </si>
  <si>
    <t>en_spv_MLI_001</t>
  </si>
  <si>
    <t>solar resource in Gao region (near Bourem) -- Mali</t>
  </si>
  <si>
    <t>en_spv_MLI_002</t>
  </si>
  <si>
    <t>solar resource in Mopti region (near Douentza) -- Mali</t>
  </si>
  <si>
    <t>en_spv_MLI_003</t>
  </si>
  <si>
    <t>solar resource in Tombouctou region (near Bamba) -- Mali</t>
  </si>
  <si>
    <t>en_spv_MLI_004</t>
  </si>
  <si>
    <t>solar resource in Kidal region (near Bamba) -- Mali</t>
  </si>
  <si>
    <t>en_spv_MLI_005</t>
  </si>
  <si>
    <t>solar resource in Tombouctou region (near Timbuktu) -- Mali</t>
  </si>
  <si>
    <t>en_spv_MLI_006</t>
  </si>
  <si>
    <t>en_spv_MLI_007</t>
  </si>
  <si>
    <t>solar resource in Kayes region (near Diakon) -- Mali</t>
  </si>
  <si>
    <t>en_spv_MLI_008</t>
  </si>
  <si>
    <t>solar resource in Kayes region (near Kita) -- Mali</t>
  </si>
  <si>
    <t>en_spv_MLI_009</t>
  </si>
  <si>
    <t>solar resource in Wassoulou region (near Koumantou) -- Mali</t>
  </si>
  <si>
    <t>en_spv_MLI_010</t>
  </si>
  <si>
    <t>solar resource in Tombouctou region (near Ngorkou) -- Mali</t>
  </si>
  <si>
    <t>en_spv_MLI_011</t>
  </si>
  <si>
    <t>solar resource in Wassoulou region (near Somasso) -- Mali</t>
  </si>
  <si>
    <t>en_spv_MLI_012</t>
  </si>
  <si>
    <t>solar resource in Koulikoro region (near Boro) -- Mali</t>
  </si>
  <si>
    <t>en_spv_MMR_001</t>
  </si>
  <si>
    <t>solar resource in Kachin State region (near Myitkyina) -- Myanmar</t>
  </si>
  <si>
    <t>en_spv_MMR_002</t>
  </si>
  <si>
    <t>solar resource in Shan State region (near Taunggyi) -- Myanmar</t>
  </si>
  <si>
    <t>en_spv_MMR_003</t>
  </si>
  <si>
    <t>solar resource in Sagaing region (near Katha) -- Myanmar</t>
  </si>
  <si>
    <t>en_spv_MMR_004</t>
  </si>
  <si>
    <t>solar resource in Sagaing region (near Monywa) -- Myanmar</t>
  </si>
  <si>
    <t>en_spv_MMR_005</t>
  </si>
  <si>
    <t>solar resource in Shan State region (near Katha) -- Myanmar</t>
  </si>
  <si>
    <t>en_spv_MMR_006</t>
  </si>
  <si>
    <t>solar resource in Tanintharyi region (near Myeik) -- Myanmar</t>
  </si>
  <si>
    <t>en_spv_MMR_007</t>
  </si>
  <si>
    <t>solar resource in Rakhine State region (near Kyaukpyu) -- Myanmar</t>
  </si>
  <si>
    <t>en_spv_MMR_008</t>
  </si>
  <si>
    <t>solar resource in Bago region (near Nay Pyi Taw) -- Myanmar</t>
  </si>
  <si>
    <t>en_spv_MMR_009</t>
  </si>
  <si>
    <t>solar resource in Ayeyarwady region (near Pathein) -- Myanmar</t>
  </si>
  <si>
    <t>en_spv_MMR_010</t>
  </si>
  <si>
    <t>solar resource in Mon State region (near Mudon) -- Myanmar</t>
  </si>
  <si>
    <t>en_spv_MNE_001</t>
  </si>
  <si>
    <t>solar resource in Cetinje region (near Podgorica) -- Montenegro</t>
  </si>
  <si>
    <t>en_spv_MNE_002</t>
  </si>
  <si>
    <t>solar resource in Bijelo Polje region (near Plav) -- Montenegro</t>
  </si>
  <si>
    <t>en_spv_MNE_003</t>
  </si>
  <si>
    <t>solar resource in Šavnik region (near Niksic) -- Montenegro</t>
  </si>
  <si>
    <t>en_spv_MNG_001</t>
  </si>
  <si>
    <t>solar resource in Khovd region (near Moron) -- Mongolia</t>
  </si>
  <si>
    <t>en_spv_MNG_002</t>
  </si>
  <si>
    <t>solar resource in Uvs region (near Moron) -- Mongolia</t>
  </si>
  <si>
    <t>en_spv_MNG_003</t>
  </si>
  <si>
    <t>solar resource in Bayankhongor region (near Moron) -- Mongolia</t>
  </si>
  <si>
    <t>en_spv_MNG_004</t>
  </si>
  <si>
    <t>solar resource in Govi-Altai region (near Moron) -- Mongolia</t>
  </si>
  <si>
    <t>en_spv_MNG_005</t>
  </si>
  <si>
    <t>solar resource in Zavkhan region (near Moron) -- Mongolia</t>
  </si>
  <si>
    <t>en_spv_MNG_006</t>
  </si>
  <si>
    <t>solar resource in Khovsgol region (near Moron) -- Mongolia</t>
  </si>
  <si>
    <t>en_spv_MNG_007</t>
  </si>
  <si>
    <t>solar resource in Dornod region (near Ulaanbaatar) -- Mongolia</t>
  </si>
  <si>
    <t>en_spv_MNG_008</t>
  </si>
  <si>
    <t>en_spv_MNG_009</t>
  </si>
  <si>
    <t>solar resource in Sukhbaatar region (near Ulaanbaatar) -- Mongolia</t>
  </si>
  <si>
    <t>en_spv_MNG_010</t>
  </si>
  <si>
    <t>solar resource in Tov region (near Ulaanbaatar) -- Mongolia</t>
  </si>
  <si>
    <t>en_spv_MNG_011</t>
  </si>
  <si>
    <t>solar resource in Arkhangai region (near Erdenet) -- Mongolia</t>
  </si>
  <si>
    <t>en_spv_MNG_012</t>
  </si>
  <si>
    <t>solar resource in Omnogovi region (near Ulaanbaatar) -- Mongolia</t>
  </si>
  <si>
    <t>en_spv_MNG_013</t>
  </si>
  <si>
    <t>solar resource in Dornogovi region (near Ulaanbaatar) -- Mongolia</t>
  </si>
  <si>
    <t>en_spv_MNG_014</t>
  </si>
  <si>
    <t>solar resource in Dundgovi region (near Ulaanbaatar) -- Mongolia</t>
  </si>
  <si>
    <t>en_spv_MOZ_001</t>
  </si>
  <si>
    <t>solar resource in Inhambane region (near Maputo) -- Mozambique</t>
  </si>
  <si>
    <t>en_spv_MOZ_002</t>
  </si>
  <si>
    <t>solar resource in Maputo region (near Maputo) -- Mozambique</t>
  </si>
  <si>
    <t>en_spv_MOZ_003</t>
  </si>
  <si>
    <t>solar resource in Gaza region (near Maputo) -- Mozambique</t>
  </si>
  <si>
    <t>en_spv_MOZ_004</t>
  </si>
  <si>
    <t>solar resource in Niassa region (near Malema) -- Mozambique</t>
  </si>
  <si>
    <t>en_spv_MOZ_005</t>
  </si>
  <si>
    <t>solar resource in Nampula region (near Antonio Enes) -- Mozambique</t>
  </si>
  <si>
    <t>en_spv_MOZ_006</t>
  </si>
  <si>
    <t>solar resource in Cabo Delgado region (near Nampula) -- Mozambique</t>
  </si>
  <si>
    <t>en_spv_MOZ_007</t>
  </si>
  <si>
    <t>solar resource in Sofala region (near Tete) -- Mozambique</t>
  </si>
  <si>
    <t>en_spv_MOZ_008</t>
  </si>
  <si>
    <t>solar resource in Sofala region (near Beira) -- Mozambique</t>
  </si>
  <si>
    <t>en_spv_MOZ_009</t>
  </si>
  <si>
    <t>solar resource in Zambezia region (near Quelimane) -- Mozambique</t>
  </si>
  <si>
    <t>en_spv_MOZ_010</t>
  </si>
  <si>
    <t>solar resource in Tete region (near Tete) -- Mozambique</t>
  </si>
  <si>
    <t>en_spv_MRT_001</t>
  </si>
  <si>
    <t>solar resource in Inchiri region (near Nouadhibou) -- Mauritania</t>
  </si>
  <si>
    <t>en_spv_MRT_002</t>
  </si>
  <si>
    <t>solar resource in Trarza region (near Dar Naim) -- Mauritania</t>
  </si>
  <si>
    <t>en_spv_MRT_003</t>
  </si>
  <si>
    <t>solar resource in Adrar region (near Dar Naim) -- Mauritania</t>
  </si>
  <si>
    <t>en_spv_MRT_004</t>
  </si>
  <si>
    <t>solar resource in Assaba region (near Dar Naim) -- Mauritania</t>
  </si>
  <si>
    <t>en_spv_MRT_005</t>
  </si>
  <si>
    <t>solar resource in Hodh El Gharbi region (near Dar Naim) -- Mauritania</t>
  </si>
  <si>
    <t>en_spv_MRT_006</t>
  </si>
  <si>
    <t>solar resource in Hodh Ech Chargui region (near Dar Naim) -- Mauritania</t>
  </si>
  <si>
    <t>en_spv_MRT_007</t>
  </si>
  <si>
    <t>en_spv_MRT_008</t>
  </si>
  <si>
    <t>solar resource in Tiris Zemmour region (near Nouadhibou) -- Mauritania</t>
  </si>
  <si>
    <t>en_spv_MRT_009</t>
  </si>
  <si>
    <t>en_spv_MRT_010</t>
  </si>
  <si>
    <t>en_spv_MRT_011</t>
  </si>
  <si>
    <t>en_spv_MWI_001</t>
  </si>
  <si>
    <t>solar resource in Chitipa region (near Mzuzu) -- Malawi</t>
  </si>
  <si>
    <t>en_spv_MWI_002</t>
  </si>
  <si>
    <t>solar resource in Eastern region (near Mzuzu) -- Malawi</t>
  </si>
  <si>
    <t>en_spv_MWI_003</t>
  </si>
  <si>
    <t>solar resource in Chikwawa region (near Blantyre) -- Malawi</t>
  </si>
  <si>
    <t>en_spv_MWI_004</t>
  </si>
  <si>
    <t>solar resource in Machinga region (near Blantyre) -- Malawi</t>
  </si>
  <si>
    <t>en_spv_MWI_005</t>
  </si>
  <si>
    <t>solar resource in Lilongwe region (near Lilongwe) -- Malawi</t>
  </si>
  <si>
    <t>en_spv_MYS_001</t>
  </si>
  <si>
    <t>solar resource in Perak region (near Seberang Jaya) -- Malaysia</t>
  </si>
  <si>
    <t>en_spv_MYS_002</t>
  </si>
  <si>
    <t>solar resource in Sarawak region (near Kuching) -- Malaysia</t>
  </si>
  <si>
    <t>en_spv_MYS_003</t>
  </si>
  <si>
    <t>solar resource in Sarawak region (near Kota Kinabalu) -- Malaysia</t>
  </si>
  <si>
    <t>en_spv_MYS_004</t>
  </si>
  <si>
    <t>en_spv_MYS_005</t>
  </si>
  <si>
    <t>en_spv_MYS_006</t>
  </si>
  <si>
    <t>solar resource in Sabah region (near Sandakan) -- Malaysia</t>
  </si>
  <si>
    <t>en_spv_MYS_007</t>
  </si>
  <si>
    <t>solar resource in Johor region (near Melaka) -- Malaysia</t>
  </si>
  <si>
    <t>en_spv_MYS_008</t>
  </si>
  <si>
    <t>solar resource in Kelantan region (near Ipoh) -- Malaysia</t>
  </si>
  <si>
    <t>en_spv_NAM_001</t>
  </si>
  <si>
    <t>solar resource in North-West region (near Rundu) -- Namibia</t>
  </si>
  <si>
    <t>en_spv_NAM_002</t>
  </si>
  <si>
    <t>solar resource in Kavango region (near Tsumeb) -- Namibia</t>
  </si>
  <si>
    <t>en_spv_NAM_003</t>
  </si>
  <si>
    <t>solar resource in Otjozondjupa region (near Rundu) -- Namibia</t>
  </si>
  <si>
    <t>en_spv_NAM_004</t>
  </si>
  <si>
    <t>solar resource in Hardap region (near Rehoboth) -- Namibia</t>
  </si>
  <si>
    <t>en_spv_NAM_005</t>
  </si>
  <si>
    <t>solar resource in Karas region (near Rehoboth) -- Namibia</t>
  </si>
  <si>
    <t>en_spv_NAM_006</t>
  </si>
  <si>
    <t>solar resource in Karas region (near Walvisbaai) -- Namibia</t>
  </si>
  <si>
    <t>en_spv_NAM_007</t>
  </si>
  <si>
    <t>en_spv_NAM_008</t>
  </si>
  <si>
    <t>solar resource in Kunene region (near Swakopmund) -- Namibia</t>
  </si>
  <si>
    <t>en_spv_NAM_009</t>
  </si>
  <si>
    <t>solar resource in Otjozondjupa region (near Windhoek) -- Namibia</t>
  </si>
  <si>
    <t>en_spv_NAM_010</t>
  </si>
  <si>
    <t>solar resource in Omusati region (near Oshakati) -- Namibia</t>
  </si>
  <si>
    <t>en_spv_NCL_001</t>
  </si>
  <si>
    <t>solar resource in North region (near Dumbea) -- New Caledonia</t>
  </si>
  <si>
    <t>en_spv_NCL_002</t>
  </si>
  <si>
    <t>solar resource in Loyalty Islands region (near Mont-Dore) -- New Caledonia</t>
  </si>
  <si>
    <t>en_spv_NCL_003</t>
  </si>
  <si>
    <t>solar resource in South region (near Dumbea) -- New Caledonia</t>
  </si>
  <si>
    <t>en_spv_NER_001</t>
  </si>
  <si>
    <t>solar resource in Agadez region (near Agadez) -- Niger</t>
  </si>
  <si>
    <t>en_spv_NER_002</t>
  </si>
  <si>
    <t>en_spv_NER_003</t>
  </si>
  <si>
    <t>solar resource in Diffa region (near Zinder) -- Niger</t>
  </si>
  <si>
    <t>en_spv_NER_004</t>
  </si>
  <si>
    <t>solar resource in Diffa region (near Agadez) -- Niger</t>
  </si>
  <si>
    <t>en_spv_NER_005</t>
  </si>
  <si>
    <t>solar resource in Dosso region (near Niamey) -- Niger</t>
  </si>
  <si>
    <t>en_spv_NER_006</t>
  </si>
  <si>
    <t>solar resource in Tillaberi region (near Niamey) -- Niger</t>
  </si>
  <si>
    <t>en_spv_NER_007</t>
  </si>
  <si>
    <t>en_spv_NER_008</t>
  </si>
  <si>
    <t>solar resource in Tahoua region (near Tahoua) -- Niger</t>
  </si>
  <si>
    <t>en_spv_NER_009</t>
  </si>
  <si>
    <t>en_spv_NER_010</t>
  </si>
  <si>
    <t>solar resource in Zinder region (near Zinder) -- Niger</t>
  </si>
  <si>
    <t>en_spv_NER_011</t>
  </si>
  <si>
    <t>en_spv_NER_012</t>
  </si>
  <si>
    <t>solar resource in Zinder region (near Agadez) -- Niger</t>
  </si>
  <si>
    <t>en_spv_NGA_001</t>
  </si>
  <si>
    <t>solar resource in Osun State region (near Ibadan) -- Nigeria</t>
  </si>
  <si>
    <t>en_spv_NGA_002</t>
  </si>
  <si>
    <t>solar resource in Delta State region (near Owerri) -- Nigeria</t>
  </si>
  <si>
    <t>en_spv_NGA_003</t>
  </si>
  <si>
    <t>solar resource in Enugu State region (near Awka) -- Nigeria</t>
  </si>
  <si>
    <t>en_spv_NGA_004</t>
  </si>
  <si>
    <t>solar resource in Adamawa State region (near Jalingo) -- Nigeria</t>
  </si>
  <si>
    <t>en_spv_NGA_005</t>
  </si>
  <si>
    <t>solar resource in Borno State region (near Maiduguri) -- Nigeria</t>
  </si>
  <si>
    <t>en_spv_NGA_006</t>
  </si>
  <si>
    <t>solar resource in Taraba State region (near Jalingo) -- Nigeria</t>
  </si>
  <si>
    <t>en_spv_NGA_007</t>
  </si>
  <si>
    <t>solar resource in Benue State region (near Abuja) -- Nigeria</t>
  </si>
  <si>
    <t>en_spv_NGA_008</t>
  </si>
  <si>
    <t>solar resource in Plateau State region (near Jos) -- Nigeria</t>
  </si>
  <si>
    <t>en_spv_NGA_009</t>
  </si>
  <si>
    <t>solar resource in Jigawa State region (near Bauchi) -- Nigeria</t>
  </si>
  <si>
    <t>en_spv_NGA_010</t>
  </si>
  <si>
    <t>solar resource in Sokoto State region (near Kaduna) -- Nigeria</t>
  </si>
  <si>
    <t>en_spv_NGA_011</t>
  </si>
  <si>
    <t>solar resource in Niger State region (near Kaduna) -- Nigeria</t>
  </si>
  <si>
    <t>en_spv_NIC_001</t>
  </si>
  <si>
    <t>solar resource in Boaco region (near Boaco) -- Nicaragua</t>
  </si>
  <si>
    <t>en_spv_NIC_002</t>
  </si>
  <si>
    <t>solar resource in South Caribbean Coast region (near Nueva Guinea) -- Nicaragua</t>
  </si>
  <si>
    <t>en_spv_NIC_003</t>
  </si>
  <si>
    <t>solar resource in Jinotega region (near Wiwili de Jinotega) -- Nicaragua</t>
  </si>
  <si>
    <t>en_spv_NIC_004</t>
  </si>
  <si>
    <t>solar resource in North Caribbean Coast region (near Waspan) -- Nicaragua</t>
  </si>
  <si>
    <t>en_spv_NIC_005</t>
  </si>
  <si>
    <t>solar resource in South Caribbean Coast region (near Mulukuku) -- Nicaragua</t>
  </si>
  <si>
    <t>en_spv_NLD_001</t>
  </si>
  <si>
    <t>solar resource in Drenthe region (near Meppel) -- Netherlands</t>
  </si>
  <si>
    <t>en_spv_NLD_002</t>
  </si>
  <si>
    <t>solar resource in North Brabant region (near Etten-Leur) -- Netherlands</t>
  </si>
  <si>
    <t>en_spv_NLD_003</t>
  </si>
  <si>
    <t>solar resource in Limburg region (near Venray) -- Netherlands</t>
  </si>
  <si>
    <t>en_spv_NOR_001</t>
  </si>
  <si>
    <t>solar resource in near Stavanger -- Norway</t>
  </si>
  <si>
    <t>en_spv_NOR_002</t>
  </si>
  <si>
    <t>solar resource in Ostfold region (near Halden) -- Norway</t>
  </si>
  <si>
    <t>en_spv_NOR_003</t>
  </si>
  <si>
    <t>solar resource in Vestfold region (near Skien) -- Norway</t>
  </si>
  <si>
    <t>en_spv_NOR_004</t>
  </si>
  <si>
    <t>solar resource in Aust-Agder region (near Kristiansand) -- Norway</t>
  </si>
  <si>
    <t>en_spv_NPL_001</t>
  </si>
  <si>
    <t>solar resource in Bhojpur region (near Itahari) -- Nepal</t>
  </si>
  <si>
    <t>en_spv_NPL_002</t>
  </si>
  <si>
    <t>solar resource in Uttar Pradesh region (near Nepalganj) -- Nepal</t>
  </si>
  <si>
    <t>en_spv_NPL_003</t>
  </si>
  <si>
    <t>solar resource in Janakpur Zone region (near Birganj) -- Nepal</t>
  </si>
  <si>
    <t>en_spv_NPL_004</t>
  </si>
  <si>
    <t>solar resource in Lumbini Zone region (near Bhairahawa) -- Nepal</t>
  </si>
  <si>
    <t>en_spv_NZL_001</t>
  </si>
  <si>
    <t>solar resource in Hawke's Bay region (near Palmerston North) -- New Zealand</t>
  </si>
  <si>
    <t>en_spv_NZL_002</t>
  </si>
  <si>
    <t>solar resource in Auckland region (near Auckland) -- New Zealand</t>
  </si>
  <si>
    <t>en_spv_NZL_003</t>
  </si>
  <si>
    <t>solar resource in Manawatū-Whanganui region (near Palmerston North) -- New Zealand</t>
  </si>
  <si>
    <t>en_spv_NZL_004</t>
  </si>
  <si>
    <t>solar resource in Otago region (near Christchurch) -- New Zealand</t>
  </si>
  <si>
    <t>en_spv_NZL_005</t>
  </si>
  <si>
    <t>solar resource in Canterbury region (near Christchurch) -- New Zealand</t>
  </si>
  <si>
    <t>en_spv_NZL_006</t>
  </si>
  <si>
    <t>solar resource in West Coast region (near Christchurch) -- New Zealand</t>
  </si>
  <si>
    <t>en_spv_OMN_001</t>
  </si>
  <si>
    <t>solar resource in Ad Dakhiliyah region (near Bawshar) -- Oman</t>
  </si>
  <si>
    <t>en_spv_OMN_002</t>
  </si>
  <si>
    <t>solar resource in Al Wusta region (near Salalah) -- Oman</t>
  </si>
  <si>
    <t>en_spv_OMN_003</t>
  </si>
  <si>
    <t>en_spv_OMN_004</t>
  </si>
  <si>
    <t>solar resource in Ad Dhahirah region (near Bawshar) -- Oman</t>
  </si>
  <si>
    <t>en_spv_OMN_005</t>
  </si>
  <si>
    <t>solar resource in Dhofar region (near Salalah) -- Oman</t>
  </si>
  <si>
    <t>en_spv_OMN_006</t>
  </si>
  <si>
    <t>en_spv_OMN_007</t>
  </si>
  <si>
    <t>en_spv_PAK_001</t>
  </si>
  <si>
    <t>solar resource in Punjab region (near Sargodha) -- Pakistan</t>
  </si>
  <si>
    <t>en_spv_PAK_002</t>
  </si>
  <si>
    <t>solar resource in Punjab region (near Bahawalpur) -- Pakistan</t>
  </si>
  <si>
    <t>en_spv_PAK_003</t>
  </si>
  <si>
    <t>solar resource in Punjab region (near Shekhupura) -- Pakistan</t>
  </si>
  <si>
    <t>en_spv_PAK_004</t>
  </si>
  <si>
    <t>solar resource in Balochistan region (near Karachi) -- Pakistan</t>
  </si>
  <si>
    <t>en_spv_PAK_005</t>
  </si>
  <si>
    <t>solar resource in Balochistan region (near Quetta) -- Pakistan</t>
  </si>
  <si>
    <t>en_spv_PAK_006</t>
  </si>
  <si>
    <t>solar resource in Punjab region (near Jhang City) -- Pakistan</t>
  </si>
  <si>
    <t>en_spv_PAK_007</t>
  </si>
  <si>
    <t>solar resource in Sindh region (near Khipro) -- Pakistan</t>
  </si>
  <si>
    <t>en_spv_PAK_008</t>
  </si>
  <si>
    <t>en_spv_PAK_009</t>
  </si>
  <si>
    <t>en_spv_PAK_010</t>
  </si>
  <si>
    <t>solar resource in Sindh region (near Sukkur) -- Pakistan</t>
  </si>
  <si>
    <t>en_spv_PAN_001</t>
  </si>
  <si>
    <t>solar resource in Darien region (near Tocumen) -- Panama</t>
  </si>
  <si>
    <t>en_spv_PAN_002</t>
  </si>
  <si>
    <t>solar resource in Veraguas region (near David) -- Panama</t>
  </si>
  <si>
    <t>en_spv_PAN_003</t>
  </si>
  <si>
    <t>solar resource in Panama region (near La Chorrera) -- Panama</t>
  </si>
  <si>
    <t>en_spv_PAN_004</t>
  </si>
  <si>
    <t>solar resource in Ngobe-Bugle Comarca region (near David) -- Panama</t>
  </si>
  <si>
    <t>en_spv_PER_001</t>
  </si>
  <si>
    <t>solar resource in Loreto region (near Pucallpa) -- Peru</t>
  </si>
  <si>
    <t>en_spv_PER_002</t>
  </si>
  <si>
    <t>solar resource in Loreto region (near Iquitos) -- Peru</t>
  </si>
  <si>
    <t>en_spv_PER_003</t>
  </si>
  <si>
    <t>en_spv_PER_004</t>
  </si>
  <si>
    <t>en_spv_PER_005</t>
  </si>
  <si>
    <t>en_spv_PER_006</t>
  </si>
  <si>
    <t>en_spv_PER_007</t>
  </si>
  <si>
    <t>solar resource in Piura region (near Piura) -- Peru</t>
  </si>
  <si>
    <t>en_spv_PER_008</t>
  </si>
  <si>
    <t>solar resource in Arequipa region (near Arequipa) -- Peru</t>
  </si>
  <si>
    <t>en_spv_PER_009</t>
  </si>
  <si>
    <t>solar resource in Ucayali region (near Pucallpa) -- Peru</t>
  </si>
  <si>
    <t>en_spv_PER_010</t>
  </si>
  <si>
    <t>solar resource in Madre de Dios region (near Cusco) -- Peru</t>
  </si>
  <si>
    <t>en_spv_PER_011</t>
  </si>
  <si>
    <t>solar resource in Ucayali region (near Cusco) -- Peru</t>
  </si>
  <si>
    <t>en_spv_PHL_001</t>
  </si>
  <si>
    <t>solar resource in near Bogo -- Philippines</t>
  </si>
  <si>
    <t>en_spv_PHL_002</t>
  </si>
  <si>
    <t>solar resource in near Bongao -- Philippines</t>
  </si>
  <si>
    <t>en_spv_PHL_003</t>
  </si>
  <si>
    <t>solar resource in Zamboanga Sibugay region (near Pagadian) -- Philippines</t>
  </si>
  <si>
    <t>en_spv_PHL_004</t>
  </si>
  <si>
    <t>solar resource in Bukidnon region (near Quezon) -- Philippines</t>
  </si>
  <si>
    <t>en_spv_PHL_005</t>
  </si>
  <si>
    <t>solar resource in Isabela region (near Roxas) -- Philippines</t>
  </si>
  <si>
    <t>en_spv_PHL_006</t>
  </si>
  <si>
    <t>solar resource in Palawan region (near Quezon) -- Philippines</t>
  </si>
  <si>
    <t>en_spv_PHL_007</t>
  </si>
  <si>
    <t>solar resource in near Coron -- Philippines</t>
  </si>
  <si>
    <t>en_spv_PHL_008</t>
  </si>
  <si>
    <t>solar resource in Tarlac region (near Magalang) -- Philippines</t>
  </si>
  <si>
    <t>en_spv_PHL_009</t>
  </si>
  <si>
    <t>solar resource in near Aurora -- Philippines</t>
  </si>
  <si>
    <t>en_spv_PNG_001</t>
  </si>
  <si>
    <t>solar resource in Chimbu region (near Mount Hagen) -- Papua New Guinea</t>
  </si>
  <si>
    <t>en_spv_PNG_002</t>
  </si>
  <si>
    <t>solar resource in East Sepik region (near Mount Hagen) -- Papua New Guinea</t>
  </si>
  <si>
    <t>en_spv_PNG_003</t>
  </si>
  <si>
    <t>en_spv_PNG_004</t>
  </si>
  <si>
    <t>solar resource in Western region (near Mendi) -- Papua New Guinea</t>
  </si>
  <si>
    <t>en_spv_PNG_005</t>
  </si>
  <si>
    <t>solar resource in East New Britain region (near Kimbe) -- Papua New Guinea</t>
  </si>
  <si>
    <t>en_spv_PNG_006</t>
  </si>
  <si>
    <t>solar resource in Morobe region (near Lae) -- Papua New Guinea</t>
  </si>
  <si>
    <t>en_spv_PNG_007</t>
  </si>
  <si>
    <t>solar resource in Central region (near Port Moresby) -- Papua New Guinea</t>
  </si>
  <si>
    <t>en_spv_POL_001</t>
  </si>
  <si>
    <t>solar resource in Lower Silesian Voivodeship region (near Walbrzych) -- Poland</t>
  </si>
  <si>
    <t>en_spv_POL_002</t>
  </si>
  <si>
    <t>solar resource in Lubusz Voivodeship region (near Gorzow Wielkopolski) -- Poland</t>
  </si>
  <si>
    <t>en_spv_POL_003</t>
  </si>
  <si>
    <t>solar resource in Warmian-Masurian Voivodeship region (near Olsztyn) -- Poland</t>
  </si>
  <si>
    <t>en_spv_POL_004</t>
  </si>
  <si>
    <t>solar resource in Podlaskie Voivodeship region (near Elk) -- Poland</t>
  </si>
  <si>
    <t>en_spv_POL_005</t>
  </si>
  <si>
    <t>solar resource in Podkarpackie Voivodeship region (near Jaroslaw) -- Poland</t>
  </si>
  <si>
    <t>en_spv_POL_006</t>
  </si>
  <si>
    <t>solar resource in Lesser Poland Voivodeship region (near Chrzanow) -- Poland</t>
  </si>
  <si>
    <t>en_spv_POL_007</t>
  </si>
  <si>
    <t>solar resource in Masovian Voivodeship region (near Sochaczew) -- Poland</t>
  </si>
  <si>
    <t>en_spv_PRI_001</t>
  </si>
  <si>
    <t>solar resource in Puerto Rico region (near San Juan) -- Puerto Rico</t>
  </si>
  <si>
    <t>en_spv_PRI_002</t>
  </si>
  <si>
    <t>solar resource in Puerto Rico region (near Arecibo) -- Puerto Rico</t>
  </si>
  <si>
    <t>en_spv_PRI_003</t>
  </si>
  <si>
    <t>solar resource in Puerto Rico region (near Bayamon) -- Puerto Rico</t>
  </si>
  <si>
    <t>en_spv_PRK_001</t>
  </si>
  <si>
    <t>solar resource in South Hwanghae region (near Nampo) -- Dem. People^s Rep. Korea</t>
  </si>
  <si>
    <t>en_spv_PRK_002</t>
  </si>
  <si>
    <t>solar resource in North Hwanghae region (near Sariwon) -- Dem. People^s Rep. Korea</t>
  </si>
  <si>
    <t>en_spv_PRK_003</t>
  </si>
  <si>
    <t>solar resource in North Pyongan region (near Kaech'on) -- Dem. People^s Rep. Korea</t>
  </si>
  <si>
    <t>en_spv_PRK_004</t>
  </si>
  <si>
    <t>solar resource in South Hamgyong region (near Hamhung) -- Dem. People^s Rep. Korea</t>
  </si>
  <si>
    <t>en_spv_PRK_005</t>
  </si>
  <si>
    <t>solar resource in North Hamgyong region (near Ch'ongjin) -- Dem. People^s Rep. Korea</t>
  </si>
  <si>
    <t>en_spv_PRT_001</t>
  </si>
  <si>
    <t>solar resource in Viseu region (near Viseu) -- Portugal</t>
  </si>
  <si>
    <t>en_spv_PRT_002</t>
  </si>
  <si>
    <t>solar resource in near Ponta Delgada -- Portugal</t>
  </si>
  <si>
    <t>en_spv_PRT_003</t>
  </si>
  <si>
    <t>solar resource in Beja region (near Beja) -- Portugal</t>
  </si>
  <si>
    <t>en_spv_PRT_004</t>
  </si>
  <si>
    <t>solar resource in Caceres region (near Castelo Branco) -- Portugal</t>
  </si>
  <si>
    <t>en_spv_PRT_005</t>
  </si>
  <si>
    <t>solar resource in Santarem region (near Benavente) -- Portugal</t>
  </si>
  <si>
    <t>en_spv_PRY_001</t>
  </si>
  <si>
    <t>solar resource in Boqueron region (near Horqueta) -- Paraguay</t>
  </si>
  <si>
    <t>en_spv_PRY_002</t>
  </si>
  <si>
    <t>en_spv_PRY_003</t>
  </si>
  <si>
    <t>solar resource in Paraguari region (near Ita) -- Paraguay</t>
  </si>
  <si>
    <t>en_spv_PRY_004</t>
  </si>
  <si>
    <t>solar resource in Presidente Hayes region (near Villa Hayes) -- Paraguay</t>
  </si>
  <si>
    <t>en_spv_PRY_005</t>
  </si>
  <si>
    <t>solar resource in Alto Paraguay region (near Horqueta) -- Paraguay</t>
  </si>
  <si>
    <t>en_spv_PRY_006</t>
  </si>
  <si>
    <t>en_spv_PRY_007</t>
  </si>
  <si>
    <t>solar resource in Itapua region (near Presidente Franco) -- Paraguay</t>
  </si>
  <si>
    <t>en_spv_PRY_008</t>
  </si>
  <si>
    <t>solar resource in Concepcion region (near Pedro Juan Caballero) -- Paraguay</t>
  </si>
  <si>
    <t>en_spv_QAT_001</t>
  </si>
  <si>
    <t>solar resource in Al Rayyan region (near Ar Rayyan) -- Qatar</t>
  </si>
  <si>
    <t>en_spv_QAT_002</t>
  </si>
  <si>
    <t>en_spv_QAT_003</t>
  </si>
  <si>
    <t>solar resource in Al Khor region (near Laqtah) -- Qatar</t>
  </si>
  <si>
    <t>en_spv_ROU_001</t>
  </si>
  <si>
    <t>solar resource in Ialomița region (near Slobozia) -- Romania</t>
  </si>
  <si>
    <t>en_spv_ROU_002</t>
  </si>
  <si>
    <t>solar resource in Vaslui region (near Vaslui) -- Romania</t>
  </si>
  <si>
    <t>en_spv_ROU_003</t>
  </si>
  <si>
    <t>solar resource in Teleorman region (near Alexandria) -- Romania</t>
  </si>
  <si>
    <t>en_spv_ROU_004</t>
  </si>
  <si>
    <t>solar resource in Harghita region (near Miercurea-Ciuc) -- Romania</t>
  </si>
  <si>
    <t>en_spv_ROU_005</t>
  </si>
  <si>
    <t>solar resource in Timiș region (near Timisoara) -- Romania</t>
  </si>
  <si>
    <t>en_spv_ROU_006</t>
  </si>
  <si>
    <t>solar resource in Cluj region (near Cluj-Napoca) -- Romania</t>
  </si>
  <si>
    <t>en_spv_RUS_001</t>
  </si>
  <si>
    <t>solar resource in Heilongjiang region (near Khabarovsk) -- Russia</t>
  </si>
  <si>
    <t>en_spv_RUS_002</t>
  </si>
  <si>
    <t>solar resource in Khabarovsk Krai region (near Komsomol'sk-na-Amure) -- Russia</t>
  </si>
  <si>
    <t>en_spv_RUS_003</t>
  </si>
  <si>
    <t>solar resource in Khabarovsk Krai region (near Yakutsk) -- Russia</t>
  </si>
  <si>
    <t>en_spv_RUS_004</t>
  </si>
  <si>
    <t>en_spv_RUS_005</t>
  </si>
  <si>
    <t>solar resource in Republic of Buryatia region (near Chita) -- Russia</t>
  </si>
  <si>
    <t>en_spv_RUS_006</t>
  </si>
  <si>
    <t>solar resource in Amur region (near Blagoveshchensk) -- Russia</t>
  </si>
  <si>
    <t>en_spv_RUS_007</t>
  </si>
  <si>
    <t>solar resource in Sakha Republic region (near Yakutsk) -- Russia</t>
  </si>
  <si>
    <t>en_spv_RUS_008</t>
  </si>
  <si>
    <t>solar resource in Kirov region (near Yoshkar-Ola) -- Russia</t>
  </si>
  <si>
    <t>en_spv_RUS_009</t>
  </si>
  <si>
    <t>solar resource in Novgorod region (near Velikiy Novgorod) -- Russia</t>
  </si>
  <si>
    <t>en_spv_RUS_010</t>
  </si>
  <si>
    <t>solar resource in Tambov region (near Lipetsk) -- Russia</t>
  </si>
  <si>
    <t>en_spv_RUS_011</t>
  </si>
  <si>
    <t>solar resource in Moscow region (near Obninsk) -- Russia</t>
  </si>
  <si>
    <t>en_spv_RUS_012</t>
  </si>
  <si>
    <t>solar resource in Krasnoyarsk Krai region (near Krasnoyarsk) -- Russia</t>
  </si>
  <si>
    <t>en_spv_RUS_013</t>
  </si>
  <si>
    <t>solar resource in Krasnoyarsk Krai region (near Kemerovo) -- Russia</t>
  </si>
  <si>
    <t>en_spv_RUS_014</t>
  </si>
  <si>
    <t>solar resource in Krasnoyarsk Krai region (near Abakan) -- Russia</t>
  </si>
  <si>
    <t>en_spv_RUS_015</t>
  </si>
  <si>
    <t>solar resource in Novosibirsk region (near Novosibirsk) -- Russia</t>
  </si>
  <si>
    <t>en_spv_RUS_016</t>
  </si>
  <si>
    <t>solar resource in Irkutsk region (near Bratsk) -- Russia</t>
  </si>
  <si>
    <t>en_spv_RUS_017</t>
  </si>
  <si>
    <t>en_spv_RUS_018</t>
  </si>
  <si>
    <t>solar resource in Kamchatka Krai region (near Petropavlovsk-Kamchatskiy) -- Russia</t>
  </si>
  <si>
    <t>en_spv_RUS_019</t>
  </si>
  <si>
    <t>solar resource in Stavropol Krai region (near Stavropol) -- Russia</t>
  </si>
  <si>
    <t>en_spv_RUS_020</t>
  </si>
  <si>
    <t>solar resource in Tomsk region (near Tomsk) -- Russia</t>
  </si>
  <si>
    <t>en_spv_RUS_021</t>
  </si>
  <si>
    <t>solar resource in Omsk region (near Omsk) -- Russia</t>
  </si>
  <si>
    <t>en_spv_RUS_022</t>
  </si>
  <si>
    <t>solar resource in Bashkortostan region (near Sterlitamak) -- Russia</t>
  </si>
  <si>
    <t>en_spv_RUS_023</t>
  </si>
  <si>
    <t>solar resource in Sverdlovsk region (near Nizhniy Tagil) -- Russia</t>
  </si>
  <si>
    <t>en_spv_RUS_024</t>
  </si>
  <si>
    <t>solar resource in Tyumen region (near Tyumen) -- Russia</t>
  </si>
  <si>
    <t>en_spv_RWA_001</t>
  </si>
  <si>
    <t>solar resource in Eastern region (near Kabarore) -- Rwanda</t>
  </si>
  <si>
    <t>en_spv_RWA_002</t>
  </si>
  <si>
    <t>solar resource in Western region (near Muhanga) -- Rwanda</t>
  </si>
  <si>
    <t>en_spv_SAU_001</t>
  </si>
  <si>
    <t>solar resource in Makkah region (near Mecca) -- Saudi Arabia</t>
  </si>
  <si>
    <t>en_spv_SAU_002</t>
  </si>
  <si>
    <t>solar resource in Al Madinah region (near Medina) -- Saudi Arabia</t>
  </si>
  <si>
    <t>en_spv_SAU_003</t>
  </si>
  <si>
    <t>solar resource in Tabuk region (near Tabuk) -- Saudi Arabia</t>
  </si>
  <si>
    <t>en_spv_SAU_004</t>
  </si>
  <si>
    <t>solar resource in Al-Jowf region (near Tabuk) -- Saudi Arabia</t>
  </si>
  <si>
    <t>en_spv_SAU_005</t>
  </si>
  <si>
    <t>solar resource in Northern Borders region (near Tabuk) -- Saudi Arabia</t>
  </si>
  <si>
    <t>en_spv_SAU_006</t>
  </si>
  <si>
    <t>en_spv_SAU_007</t>
  </si>
  <si>
    <t>solar resource in Al-Qassim region (near Riyadh) -- Saudi Arabia</t>
  </si>
  <si>
    <t>en_spv_SAU_008</t>
  </si>
  <si>
    <t>solar resource in Eastern region (near Riyadh) -- Saudi Arabia</t>
  </si>
  <si>
    <t>en_spv_SAU_009</t>
  </si>
  <si>
    <t>solar resource in Riyadh region (near Riyadh) -- Saudi Arabia</t>
  </si>
  <si>
    <t>en_spv_SAU_010</t>
  </si>
  <si>
    <t>solar resource in Riyadh region (near At Ta'if) -- Saudi Arabia</t>
  </si>
  <si>
    <t>en_spv_SAU_011</t>
  </si>
  <si>
    <t>solar resource in 'Asir region (near At Ta'if) -- Saudi Arabia</t>
  </si>
  <si>
    <t>en_spv_SAU_012</t>
  </si>
  <si>
    <t>en_spv_SAU_013</t>
  </si>
  <si>
    <t>solar resource in Eastern region (near Al Hufuf) -- Saudi Arabia</t>
  </si>
  <si>
    <t>en_spv_SAU_014</t>
  </si>
  <si>
    <t>en_spv_SAU_015</t>
  </si>
  <si>
    <t>en_spv_SDN_001</t>
  </si>
  <si>
    <t>solar resource in South Darfur region (near El Geneina) -- Sudan</t>
  </si>
  <si>
    <t>en_spv_SDN_002</t>
  </si>
  <si>
    <t>solar resource in Central Darfur region (near El Geneina) -- Sudan</t>
  </si>
  <si>
    <t>en_spv_SDN_003</t>
  </si>
  <si>
    <t>solar resource in North Darfur region (near El Geneina) -- Sudan</t>
  </si>
  <si>
    <t>en_spv_SDN_004</t>
  </si>
  <si>
    <t>en_spv_SDN_005</t>
  </si>
  <si>
    <t>solar resource in South Kordofan region (near Khartoum) -- Sudan</t>
  </si>
  <si>
    <t>en_spv_SDN_006</t>
  </si>
  <si>
    <t>solar resource in Al Qadarif region (near Kassala) -- Sudan</t>
  </si>
  <si>
    <t>en_spv_SDN_007</t>
  </si>
  <si>
    <t>solar resource in South Kordofan region (near El Geneina) -- Sudan</t>
  </si>
  <si>
    <t>en_spv_SDN_008</t>
  </si>
  <si>
    <t>solar resource in North Kordofan region (near Omdurman) -- Sudan</t>
  </si>
  <si>
    <t>en_spv_SDN_009</t>
  </si>
  <si>
    <t>en_spv_SDN_010</t>
  </si>
  <si>
    <t>solar resource in Northern region (near Omdurman) -- Sudan</t>
  </si>
  <si>
    <t>en_spv_SDN_011</t>
  </si>
  <si>
    <t>en_spv_SDN_012</t>
  </si>
  <si>
    <t>solar resource in River Nile region (near Khartoum North) -- Sudan</t>
  </si>
  <si>
    <t>en_spv_SDN_013</t>
  </si>
  <si>
    <t>solar resource in Red Sea region (near Port Sudan) -- Sudan</t>
  </si>
  <si>
    <t>en_spv_SDN_014</t>
  </si>
  <si>
    <t>en_spv_SEN_001</t>
  </si>
  <si>
    <t>solar resource in Louga region (near Saint-Louis) -- Senegal</t>
  </si>
  <si>
    <t>en_spv_SEN_002</t>
  </si>
  <si>
    <t>solar resource in Matam region (near Touba) -- Senegal</t>
  </si>
  <si>
    <t>en_spv_SEN_003</t>
  </si>
  <si>
    <t>en_spv_SEN_004</t>
  </si>
  <si>
    <t>solar resource in Tambacounda region (near Touba) -- Senegal</t>
  </si>
  <si>
    <t>en_spv_SEN_005</t>
  </si>
  <si>
    <t>solar resource in Kaolack region (near Kaolack) -- Senegal</t>
  </si>
  <si>
    <t>en_spv_SEN_006</t>
  </si>
  <si>
    <t>solar resource in Tambacounda region (near Kaolack) -- Senegal</t>
  </si>
  <si>
    <t>en_spv_SGP_001</t>
  </si>
  <si>
    <t>solar resource in South East Community Development Council region (near Singapore) -- Singapore</t>
  </si>
  <si>
    <t>en_spv_SGP_002</t>
  </si>
  <si>
    <t>en_spv_SGP_003</t>
  </si>
  <si>
    <t>solar resource in North West region (near Singapore) -- Singapore</t>
  </si>
  <si>
    <t>en_spv_SGP_004</t>
  </si>
  <si>
    <t>solar resource in South West Community Development Council region (near Singapore) -- Singapore</t>
  </si>
  <si>
    <t>en_spv_SLE_001</t>
  </si>
  <si>
    <t>solar resource in Northern region (near Freetown) -- Sierra Leone</t>
  </si>
  <si>
    <t>en_spv_SLE_002</t>
  </si>
  <si>
    <t>solar resource in Northern region (near Koidu) -- Sierra Leone</t>
  </si>
  <si>
    <t>en_spv_SLE_003</t>
  </si>
  <si>
    <t>solar resource in Southern region (near Bo) -- Sierra Leone</t>
  </si>
  <si>
    <t>en_spv_SLE_004</t>
  </si>
  <si>
    <t>solar resource in Eastern region (near Kenema) -- Sierra Leone</t>
  </si>
  <si>
    <t>en_spv_SLV_001</t>
  </si>
  <si>
    <t>solar resource in San Miguel region (near San Miguel) -- El Salvador</t>
  </si>
  <si>
    <t>en_spv_SLV_002</t>
  </si>
  <si>
    <t>solar resource in La Libertad region (near Colon) -- El Salvador</t>
  </si>
  <si>
    <t>en_spv_SOM_001</t>
  </si>
  <si>
    <t>solar resource in Nugal region (near Garoowe) -- Somalia</t>
  </si>
  <si>
    <t>en_spv_SOM_002</t>
  </si>
  <si>
    <t>solar resource in Galguduud region (near Cadaado) -- Somalia</t>
  </si>
  <si>
    <t>en_spv_SOM_003</t>
  </si>
  <si>
    <t>solar resource in Somaliland region (near Hargeysa) -- Somalia</t>
  </si>
  <si>
    <t>en_spv_SOM_004</t>
  </si>
  <si>
    <t>solar resource in Somaliland region (near Burco) -- Somalia</t>
  </si>
  <si>
    <t>en_spv_SOM_005</t>
  </si>
  <si>
    <t>solar resource in Somaliland region (near Qardho) -- Somalia</t>
  </si>
  <si>
    <t>en_spv_SOM_006</t>
  </si>
  <si>
    <t>solar resource in Gedo region (near Baardheere) -- Somalia</t>
  </si>
  <si>
    <t>en_spv_SOM_007</t>
  </si>
  <si>
    <t>solar resource in Middle Juba region (near Baardheere) -- Somalia</t>
  </si>
  <si>
    <t>en_spv_SOM_008</t>
  </si>
  <si>
    <t>en_spv_SOM_009</t>
  </si>
  <si>
    <t>solar resource in Bay region (near Baidoa) -- Somalia</t>
  </si>
  <si>
    <t>en_spv_SRB_001</t>
  </si>
  <si>
    <t>solar resource in South Bačka region (near Zrenjanin) -- Serbia</t>
  </si>
  <si>
    <t>en_spv_SRB_002</t>
  </si>
  <si>
    <t>solar resource in Mačva region (near Sabac) -- Serbia</t>
  </si>
  <si>
    <t>en_spv_SRB_003</t>
  </si>
  <si>
    <t>solar resource in Braničevo region (near Pozarevac) -- Serbia</t>
  </si>
  <si>
    <t>en_spv_SRB_004</t>
  </si>
  <si>
    <t>solar resource in Raška region (near Kraljevo) -- Serbia</t>
  </si>
  <si>
    <t>en_spv_SRB_005</t>
  </si>
  <si>
    <t>solar resource in Jablanica region (near Prokuplje) -- Serbia</t>
  </si>
  <si>
    <t>en_spv_SRB_006</t>
  </si>
  <si>
    <t>solar resource in Bor region (near Bor) -- Serbia</t>
  </si>
  <si>
    <t>en_spv_SSD_001</t>
  </si>
  <si>
    <t>solar resource in Western Bahr el Ghazal region (near Wau) -- South Sudan</t>
  </si>
  <si>
    <t>en_spv_SSD_002</t>
  </si>
  <si>
    <t>solar resource in Jonglei region (near Bor) -- South Sudan</t>
  </si>
  <si>
    <t>en_spv_SSD_003</t>
  </si>
  <si>
    <t>solar resource in Eastern Equatoria region (near Magwe) -- South Sudan</t>
  </si>
  <si>
    <t>en_spv_SSD_004</t>
  </si>
  <si>
    <t>solar resource in Eastern Equatoria region (near Juba) -- South Sudan</t>
  </si>
  <si>
    <t>en_spv_SSD_005</t>
  </si>
  <si>
    <t>solar resource in Jonglei region (near Malakal) -- South Sudan</t>
  </si>
  <si>
    <t>en_spv_SSD_006</t>
  </si>
  <si>
    <t>solar resource in Upper Nile region (near Malakal) -- South Sudan</t>
  </si>
  <si>
    <t>en_spv_SSD_007</t>
  </si>
  <si>
    <t>solar resource in Northern Bahr el Ghazal region (near Wau) -- South Sudan</t>
  </si>
  <si>
    <t>en_spv_SSD_008</t>
  </si>
  <si>
    <t>solar resource in Western Equatoria region (near Maridi) -- South Sudan</t>
  </si>
  <si>
    <t>en_spv_SSD_009</t>
  </si>
  <si>
    <t>solar resource in Unity region (near Bor) -- South Sudan</t>
  </si>
  <si>
    <t>en_spv_SUR_001</t>
  </si>
  <si>
    <t>solar resource in Sipaliwini region (near Cottica) -- Suriname</t>
  </si>
  <si>
    <t>en_spv_SUR_002</t>
  </si>
  <si>
    <t>solar resource in Mahaica-Berbice region (near Koewarasan) -- Suriname</t>
  </si>
  <si>
    <t>en_spv_SUR_003</t>
  </si>
  <si>
    <t>solar resource in Coronie region (near Koewarasan) -- Suriname</t>
  </si>
  <si>
    <t>en_spv_SVK_001</t>
  </si>
  <si>
    <t>solar resource in Košice region (near Kosice) -- Slovak Republic</t>
  </si>
  <si>
    <t>en_spv_SVK_002</t>
  </si>
  <si>
    <t>solar resource in Trnava region (near Trnava) -- Slovak Republic</t>
  </si>
  <si>
    <t>en_spv_SVK_003</t>
  </si>
  <si>
    <t>solar resource in Banska Bystrica region (near Lucenec) -- Slovak Republic</t>
  </si>
  <si>
    <t>en_spv_SVN_001</t>
  </si>
  <si>
    <t>solar resource in Krapina-Zagorje region (near Rogaska Slatina) -- Slovenia</t>
  </si>
  <si>
    <t>en_spv_SVN_002</t>
  </si>
  <si>
    <t>solar resource in Dobrova–Polhov Gradec region (near Ljubljana) -- Slovenia</t>
  </si>
  <si>
    <t>en_spv_SWE_001</t>
  </si>
  <si>
    <t>solar resource in Sodermanland region (near Eskilstuna) -- Sweden</t>
  </si>
  <si>
    <t>en_spv_SWE_002</t>
  </si>
  <si>
    <t>solar resource in Kalmar region (near Kalmar) -- Sweden</t>
  </si>
  <si>
    <t>en_spv_SWE_003</t>
  </si>
  <si>
    <t>solar resource in Vastra Gotaland region (near Lidkoping) -- Sweden</t>
  </si>
  <si>
    <t>en_spv_SWE_004</t>
  </si>
  <si>
    <t>solar resource in Skane region (near Angelholm) -- Sweden</t>
  </si>
  <si>
    <t>en_spv_SWE_005</t>
  </si>
  <si>
    <t>solar resource in Vastra Gotaland region (near Jonkoping) -- Sweden</t>
  </si>
  <si>
    <t>en_spv_SYR_001</t>
  </si>
  <si>
    <t>solar resource in Nineveh region (near Al Hasakah) -- Syrian Arab Republic</t>
  </si>
  <si>
    <t>en_spv_SYR_002</t>
  </si>
  <si>
    <t>solar resource in Idlib region (near Idlib) -- Syrian Arab Republic</t>
  </si>
  <si>
    <t>en_spv_SYR_003</t>
  </si>
  <si>
    <t>solar resource in Rif Dimashq region (near Duma) -- Syrian Arab Republic</t>
  </si>
  <si>
    <t>en_spv_SYR_004</t>
  </si>
  <si>
    <t>solar resource in Al-Hasakah region (near Al Hasakah) -- Syrian Arab Republic</t>
  </si>
  <si>
    <t>en_spv_SYR_005</t>
  </si>
  <si>
    <t>solar resource in Deir ez-Zor region (near Al Qurayya) -- Syrian Arab Republic</t>
  </si>
  <si>
    <t>en_spv_SYR_006</t>
  </si>
  <si>
    <t>solar resource in Homs region (near As Salamiyah) -- Syrian Arab Republic</t>
  </si>
  <si>
    <t>en_spv_TCD_001</t>
  </si>
  <si>
    <t>solar resource in Borkou region (near Faya) -- Chad</t>
  </si>
  <si>
    <t>en_spv_TCD_002</t>
  </si>
  <si>
    <t>solar resource in Ennedi region (near Faya) -- Chad</t>
  </si>
  <si>
    <t>en_spv_TCD_003</t>
  </si>
  <si>
    <t>solar resource in Tibesti region (near Faya) -- Chad</t>
  </si>
  <si>
    <t>en_spv_TCD_004</t>
  </si>
  <si>
    <t>solar resource in Kanem region (near Mao) -- Chad</t>
  </si>
  <si>
    <t>en_spv_TCD_005</t>
  </si>
  <si>
    <t>en_spv_TCD_006</t>
  </si>
  <si>
    <t>solar resource in Mandoul region (near Koumra) -- Chad</t>
  </si>
  <si>
    <t>en_spv_TCD_007</t>
  </si>
  <si>
    <t>solar resource in Mayo-Kebbi Est region (near Lere) -- Chad</t>
  </si>
  <si>
    <t>en_spv_TCD_008</t>
  </si>
  <si>
    <t>solar resource in Chari-Baguirmi region (near Deressia) -- Chad</t>
  </si>
  <si>
    <t>en_spv_TCD_009</t>
  </si>
  <si>
    <t>solar resource in Batha region (near Yao) -- Chad</t>
  </si>
  <si>
    <t>en_spv_TCD_010</t>
  </si>
  <si>
    <t>solar resource in Salamat region (near Sarh) -- Chad</t>
  </si>
  <si>
    <t>en_spv_TCD_011</t>
  </si>
  <si>
    <t>solar resource in Salamat region (near Goz-Beida) -- Chad</t>
  </si>
  <si>
    <t>en_spv_TCD_012</t>
  </si>
  <si>
    <t>solar resource in Ouaddai region (near Abeche) -- Chad</t>
  </si>
  <si>
    <t>en_spv_TGO_001</t>
  </si>
  <si>
    <t>solar resource in Kara region (near Sokode) -- Togo</t>
  </si>
  <si>
    <t>en_spv_TGO_002</t>
  </si>
  <si>
    <t>solar resource in Maritime region (near Lome) -- Togo</t>
  </si>
  <si>
    <t>en_spv_TGO_003</t>
  </si>
  <si>
    <t>solar resource in Centre region (near Sokode) -- Togo</t>
  </si>
  <si>
    <t>en_spv_TGO_004</t>
  </si>
  <si>
    <t>solar resource in Plateaux region (near Atakpame) -- Togo</t>
  </si>
  <si>
    <t>en_spv_THA_001</t>
  </si>
  <si>
    <t>solar resource in Khon Kaen region (near Khon Kaen) -- Thailand</t>
  </si>
  <si>
    <t>en_spv_THA_002</t>
  </si>
  <si>
    <t>solar resource in Si Sa Ket region (near Mukdahan) -- Thailand</t>
  </si>
  <si>
    <t>en_spv_THA_003</t>
  </si>
  <si>
    <t>solar resource in Sa Kaeo region (near Nakhon Ratchasima) -- Thailand</t>
  </si>
  <si>
    <t>en_spv_THA_004</t>
  </si>
  <si>
    <t>solar resource in Narathiwat region (near Hat Yai) -- Thailand</t>
  </si>
  <si>
    <t>en_spv_THA_005</t>
  </si>
  <si>
    <t>solar resource in Trang region (near Nakhon Si Thammarat) -- Thailand</t>
  </si>
  <si>
    <t>en_spv_THA_006</t>
  </si>
  <si>
    <t>solar resource in Lampang region (near Chiang Mai) -- Thailand</t>
  </si>
  <si>
    <t>en_spv_THA_007</t>
  </si>
  <si>
    <t>solar resource in Prachuap Khiri Khan region (near Phatthaya) -- Thailand</t>
  </si>
  <si>
    <t>en_spv_THA_008</t>
  </si>
  <si>
    <t>solar resource in Kayin State region (near Phitsanulok) -- Thailand</t>
  </si>
  <si>
    <t>en_spv_THA_009</t>
  </si>
  <si>
    <t>solar resource in Nakhon Sawan region (near Nakhon Sawan) -- Thailand</t>
  </si>
  <si>
    <t>en_spv_TJK_001</t>
  </si>
  <si>
    <t>solar resource in Batken region (near Isfara) -- Tajikistan</t>
  </si>
  <si>
    <t>en_spv_TJK_002</t>
  </si>
  <si>
    <t>solar resource in Khatlon region (near Zargar) -- Tajikistan</t>
  </si>
  <si>
    <t>en_spv_TJK_003</t>
  </si>
  <si>
    <t>en_spv_TJK_004</t>
  </si>
  <si>
    <t>solar resource in Khujand region (near Khujand) -- Tajikistan</t>
  </si>
  <si>
    <t>en_spv_TKM_001</t>
  </si>
  <si>
    <t>solar resource in Balkan region (near Balkanabat) -- Turkmenistan</t>
  </si>
  <si>
    <t>en_spv_TKM_002</t>
  </si>
  <si>
    <t>solar resource in near Balkanabat -- Turkmenistan</t>
  </si>
  <si>
    <t>en_spv_TKM_003</t>
  </si>
  <si>
    <t>solar resource in Lebap region (near Atamyrat) -- Turkmenistan</t>
  </si>
  <si>
    <t>en_spv_TKM_004</t>
  </si>
  <si>
    <t>solar resource in Lebap region (near Turkmenabat) -- Turkmenistan</t>
  </si>
  <si>
    <t>en_spv_TKM_005</t>
  </si>
  <si>
    <t>solar resource in Ahal region (near Mary) -- Turkmenistan</t>
  </si>
  <si>
    <t>en_spv_TKM_006</t>
  </si>
  <si>
    <t>solar resource in Daşoguz region (near Dasoguz) -- Turkmenistan</t>
  </si>
  <si>
    <t>en_spv_TKM_007</t>
  </si>
  <si>
    <t>solar resource in Ahal region (near Ashgabat) -- Turkmenistan</t>
  </si>
  <si>
    <t>en_spv_TKM_008</t>
  </si>
  <si>
    <t>en_spv_TKM_009</t>
  </si>
  <si>
    <t>solar resource in Lebap region (near Dasoguz) -- Turkmenistan</t>
  </si>
  <si>
    <t>en_spv_TUN_001</t>
  </si>
  <si>
    <t>solar resource in Tataouine region (near Tataouine) -- Tunisia</t>
  </si>
  <si>
    <t>en_spv_TUN_002</t>
  </si>
  <si>
    <t>solar resource in Gafsa region (near Gafsa) -- Tunisia</t>
  </si>
  <si>
    <t>en_spv_TUN_003</t>
  </si>
  <si>
    <t>solar resource in Mahdia region (near Kairouan) -- Tunisia</t>
  </si>
  <si>
    <t>en_spv_TUN_004</t>
  </si>
  <si>
    <t>solar resource in Tunis region (near Le Kram) -- Tunisia</t>
  </si>
  <si>
    <t>en_spv_TUN_005</t>
  </si>
  <si>
    <t>solar resource in Kasserine region (near Kasserine) -- Tunisia</t>
  </si>
  <si>
    <t>en_spv_TUR_001</t>
  </si>
  <si>
    <t>solar resource in Manisa region (near Pamukkale) -- Turkey</t>
  </si>
  <si>
    <t>en_spv_TUR_002</t>
  </si>
  <si>
    <t>solar resource in Sakarya region (near Sakarya) -- Turkey</t>
  </si>
  <si>
    <t>en_spv_TUR_003</t>
  </si>
  <si>
    <t>solar resource in East Macedonia and Thrace region (near Edirne) -- Turkey</t>
  </si>
  <si>
    <t>en_spv_TUR_004</t>
  </si>
  <si>
    <t>solar resource in Tekirdağ region (near Tekirdag) -- Turkey</t>
  </si>
  <si>
    <t>en_spv_TUR_005</t>
  </si>
  <si>
    <t>solar resource in Van region (near Van) -- Turkey</t>
  </si>
  <si>
    <t>en_spv_TUR_006</t>
  </si>
  <si>
    <t>solar resource in Kars region (near Erzurum) -- Turkey</t>
  </si>
  <si>
    <t>en_spv_TUR_007</t>
  </si>
  <si>
    <t>solar resource in Erzincan region (near Erzurum) -- Turkey</t>
  </si>
  <si>
    <t>en_spv_TUR_008</t>
  </si>
  <si>
    <t>solar resource in Tokat region (near Bayat) -- Turkey</t>
  </si>
  <si>
    <t>en_spv_TUR_009</t>
  </si>
  <si>
    <t>solar resource in Konya region (near Aksaray) -- Turkey</t>
  </si>
  <si>
    <t>en_spv_TUR_010</t>
  </si>
  <si>
    <t>solar resource in Şanlıurfa region (near Karakopru) -- Turkey</t>
  </si>
  <si>
    <t>en_spv_TWN_001</t>
  </si>
  <si>
    <t>solar resource in Tainan region (near Chiayi) -- Taiwan</t>
  </si>
  <si>
    <t>en_spv_TWN_002</t>
  </si>
  <si>
    <t>solar resource in Yilan region (near Taipei) -- Taiwan</t>
  </si>
  <si>
    <t>en_spv_TWN_003</t>
  </si>
  <si>
    <t>solar resource in Fujian region (near Changhua) -- Taiwan</t>
  </si>
  <si>
    <t>en_spv_TZA_001</t>
  </si>
  <si>
    <t>solar resource in Katavi region (near Uvinza) -- Tanzania</t>
  </si>
  <si>
    <t>en_spv_TZA_002</t>
  </si>
  <si>
    <t>solar resource in Tabora region (near Tabora) -- Tanzania</t>
  </si>
  <si>
    <t>en_spv_TZA_003</t>
  </si>
  <si>
    <t>solar resource in Simiyu region (near Mwanza) -- Tanzania</t>
  </si>
  <si>
    <t>en_spv_TZA_004</t>
  </si>
  <si>
    <t>solar resource in Geita region (near Geita) -- Tanzania</t>
  </si>
  <si>
    <t>en_spv_TZA_005</t>
  </si>
  <si>
    <t>solar resource in Manyara region (near Arusha) -- Tanzania</t>
  </si>
  <si>
    <t>en_spv_TZA_006</t>
  </si>
  <si>
    <t>solar resource in Dodoma region (near Morogoro) -- Tanzania</t>
  </si>
  <si>
    <t>en_spv_TZA_007</t>
  </si>
  <si>
    <t>solar resource in Morogoro region (near Ubungo) -- Tanzania</t>
  </si>
  <si>
    <t>en_spv_TZA_008</t>
  </si>
  <si>
    <t>solar resource in Njombe region (near Mbeya) -- Tanzania</t>
  </si>
  <si>
    <t>en_spv_TZA_009</t>
  </si>
  <si>
    <t>solar resource in Singida region (near Dodoma) -- Tanzania</t>
  </si>
  <si>
    <t>en_spv_TZA_010</t>
  </si>
  <si>
    <t>solar resource in Ruvuma region (near Mbeya) -- Tanzania</t>
  </si>
  <si>
    <t>en_spv_TZA_011</t>
  </si>
  <si>
    <t>solar resource in Lindi region (near Dar es Salaam) -- Tanzania</t>
  </si>
  <si>
    <t>en_spv_UGA_001</t>
  </si>
  <si>
    <t>solar resource in Rakai region (near Masaka) -- Uganda</t>
  </si>
  <si>
    <t>en_spv_UGA_002</t>
  </si>
  <si>
    <t>solar resource in Mbarara region (near Mbarara) -- Uganda</t>
  </si>
  <si>
    <t>en_spv_UGA_003</t>
  </si>
  <si>
    <t>solar resource in Bukedea region (near Mbale) -- Uganda</t>
  </si>
  <si>
    <t>en_spv_UGA_004</t>
  </si>
  <si>
    <t>solar resource in Agago region (near Kitgum) -- Uganda</t>
  </si>
  <si>
    <t>en_spv_UGA_005</t>
  </si>
  <si>
    <t>solar resource in Arua region (near Arua) -- Uganda</t>
  </si>
  <si>
    <t>en_spv_UGA_006</t>
  </si>
  <si>
    <t>solar resource in Nakaseke region (near Luwero) -- Uganda</t>
  </si>
  <si>
    <t>en_spv_UKR_001</t>
  </si>
  <si>
    <t>solar resource in Kharkiv region (near Rubizhne) -- Ukraine</t>
  </si>
  <si>
    <t>en_spv_UKR_002</t>
  </si>
  <si>
    <t>solar resource in Autonomous Republic of Crimea region (near Simferopol) -- Ukraine</t>
  </si>
  <si>
    <t>en_spv_UKR_003</t>
  </si>
  <si>
    <t>solar resource in Zaporizhzhia region (near Zaporizhzhia) -- Ukraine</t>
  </si>
  <si>
    <t>en_spv_UKR_004</t>
  </si>
  <si>
    <t>solar resource in Volyn region (near Lutsk) -- Ukraine</t>
  </si>
  <si>
    <t>en_spv_UKR_005</t>
  </si>
  <si>
    <t>solar resource in Ivano-Frankivsk region (near Ivano-Frankivsk) -- Ukraine</t>
  </si>
  <si>
    <t>en_spv_UKR_006</t>
  </si>
  <si>
    <t>solar resource in Sumy region (near Sumy) -- Ukraine</t>
  </si>
  <si>
    <t>en_spv_UKR_007</t>
  </si>
  <si>
    <t>solar resource in Cherkasy region (near Cherkasy) -- Ukraine</t>
  </si>
  <si>
    <t>en_spv_UKR_008</t>
  </si>
  <si>
    <t>solar resource in Odessa region (near Odesa) -- Ukraine</t>
  </si>
  <si>
    <t>en_spv_UKR_009</t>
  </si>
  <si>
    <t>solar resource in Khmelnytskyi region (near Khmelnytskyi) -- Ukraine</t>
  </si>
  <si>
    <t>en_spv_URY_001</t>
  </si>
  <si>
    <t>solar resource in Tacuarembo region (near Tacuarembo) -- Uruguay</t>
  </si>
  <si>
    <t>en_spv_URY_002</t>
  </si>
  <si>
    <t>solar resource in Flores region (near Las Piedras) -- Uruguay</t>
  </si>
  <si>
    <t>en_spv_URY_003</t>
  </si>
  <si>
    <t>solar resource in Salto region (near Tacuarembo) -- Uruguay</t>
  </si>
  <si>
    <t>en_spv_URY_004</t>
  </si>
  <si>
    <t>solar resource in Rocha region (near Maldonado) -- Uruguay</t>
  </si>
  <si>
    <t>en_spv_URY_005</t>
  </si>
  <si>
    <t>solar resource in Cerro Largo region (near Melo) -- Uruguay</t>
  </si>
  <si>
    <t>en_spv_USA_001</t>
  </si>
  <si>
    <t>solar resource in British Columbia region (near Anchorage) -- United States</t>
  </si>
  <si>
    <t>en_spv_USA_002</t>
  </si>
  <si>
    <t>solar resource in Alaska region (near Anchorage) -- United States</t>
  </si>
  <si>
    <t>en_spv_USA_003</t>
  </si>
  <si>
    <t>en_spv_USA_004</t>
  </si>
  <si>
    <t>solar resource in Vermont region (near Glens Falls) -- United States</t>
  </si>
  <si>
    <t>en_spv_USA_005</t>
  </si>
  <si>
    <t>solar resource in Virginia region (near Richmond) -- United States</t>
  </si>
  <si>
    <t>en_spv_USA_006</t>
  </si>
  <si>
    <t>solar resource in Pennsylvania region (near Altoona) -- United States</t>
  </si>
  <si>
    <t>en_spv_USA_007</t>
  </si>
  <si>
    <t>solar resource in Virginia region (near Kingsport) -- United States</t>
  </si>
  <si>
    <t>en_spv_USA_008</t>
  </si>
  <si>
    <t>solar resource in Mississippi region (near Gulfport) -- United States</t>
  </si>
  <si>
    <t>en_spv_USA_009</t>
  </si>
  <si>
    <t>solar resource in Florida region (near St. Augustine) -- United States</t>
  </si>
  <si>
    <t>en_spv_USA_010</t>
  </si>
  <si>
    <t>solar resource in Arkansas region (near Jonesboro) -- United States</t>
  </si>
  <si>
    <t>en_spv_USA_011</t>
  </si>
  <si>
    <t>solar resource in Indiana region (near Anderson) -- United States</t>
  </si>
  <si>
    <t>en_spv_USA_012</t>
  </si>
  <si>
    <t>solar resource in Oklahoma region (near Wichita) -- United States</t>
  </si>
  <si>
    <t>en_spv_USA_013</t>
  </si>
  <si>
    <t>solar resource in Texas region (near McKinney) -- United States</t>
  </si>
  <si>
    <t>en_spv_USA_014</t>
  </si>
  <si>
    <t>solar resource in Texas region (near San Angelo) -- United States</t>
  </si>
  <si>
    <t>en_spv_USA_015</t>
  </si>
  <si>
    <t>solar resource in Arizona region (near Henderson) -- United States</t>
  </si>
  <si>
    <t>en_spv_USA_016</t>
  </si>
  <si>
    <t>solar resource in New Mexico region (near Albuquerque) -- United States</t>
  </si>
  <si>
    <t>en_spv_USA_017</t>
  </si>
  <si>
    <t>solar resource in Wyoming region (near Cheyenne) -- United States</t>
  </si>
  <si>
    <t>en_spv_USA_018</t>
  </si>
  <si>
    <t>solar resource in Idaho region (near Pocatello) -- United States</t>
  </si>
  <si>
    <t>en_spv_USA_019</t>
  </si>
  <si>
    <t>solar resource in Oregon region (near Medford) -- United States</t>
  </si>
  <si>
    <t>en_spv_USA_020</t>
  </si>
  <si>
    <t>solar resource in Washington region (near Pasco) -- United States</t>
  </si>
  <si>
    <t>en_spv_USA_021</t>
  </si>
  <si>
    <t>solar resource in Michigan region (near Green Bay) -- United States</t>
  </si>
  <si>
    <t>en_spv_USA_022</t>
  </si>
  <si>
    <t>solar resource in Missouri region (near Columbia) -- United States</t>
  </si>
  <si>
    <t>en_spv_USA_023</t>
  </si>
  <si>
    <t>solar resource in Wisconsin region (near Duluth) -- United States</t>
  </si>
  <si>
    <t>en_spv_USA_024</t>
  </si>
  <si>
    <t>solar resource in Nebraska region (near Lincoln) -- United States</t>
  </si>
  <si>
    <t>en_spv_USA_025</t>
  </si>
  <si>
    <t>solar resource in Montana region (near Billings) -- United States</t>
  </si>
  <si>
    <t>en_spv_USA_026</t>
  </si>
  <si>
    <t>solar resource in Minnesota region (near Grand Forks) -- United States</t>
  </si>
  <si>
    <t>en_spv_USA_027</t>
  </si>
  <si>
    <t>solar resource in South Dakota region (near Bismarck) -- United States</t>
  </si>
  <si>
    <t>en_spv_UZB_001</t>
  </si>
  <si>
    <t>solar resource in Andijan region (near Shahrixon) -- Uzbekistan</t>
  </si>
  <si>
    <t>en_spv_UZB_002</t>
  </si>
  <si>
    <t>solar resource in Tashkent region (near Olmaliq) -- Uzbekistan</t>
  </si>
  <si>
    <t>en_spv_UZB_003</t>
  </si>
  <si>
    <t>solar resource in Samarqand region (near Samarkand) -- Uzbekistan</t>
  </si>
  <si>
    <t>en_spv_UZB_004</t>
  </si>
  <si>
    <t>solar resource in Karakalpakstan region (near Nukus) -- Uzbekistan</t>
  </si>
  <si>
    <t>en_spv_UZB_005</t>
  </si>
  <si>
    <t>solar resource in Karakalpakstan region (near Xo`jayli Shahri) -- Uzbekistan</t>
  </si>
  <si>
    <t>en_spv_UZB_006</t>
  </si>
  <si>
    <t>en_spv_UZB_007</t>
  </si>
  <si>
    <t>solar resource in Navoiy region (near Zarafshon Shahri) -- Uzbekistan</t>
  </si>
  <si>
    <t>en_spv_UZB_008</t>
  </si>
  <si>
    <t>en_spv_VEN_001</t>
  </si>
  <si>
    <t>solar resource in Bolivar region (near Ciudad Guayana) -- Venezuela</t>
  </si>
  <si>
    <t>en_spv_VEN_002</t>
  </si>
  <si>
    <t>en_spv_VEN_003</t>
  </si>
  <si>
    <t>solar resource in Monagas region (near Maturin) -- Venezuela</t>
  </si>
  <si>
    <t>en_spv_VEN_004</t>
  </si>
  <si>
    <t>solar resource in Zulia region (near Cabimas) -- Venezuela</t>
  </si>
  <si>
    <t>en_spv_VEN_005</t>
  </si>
  <si>
    <t>solar resource in Barinas region (near Merida) -- Venezuela</t>
  </si>
  <si>
    <t>en_spv_VEN_006</t>
  </si>
  <si>
    <t>solar resource in Apure region (near Barinas) -- Venezuela</t>
  </si>
  <si>
    <t>en_spv_VEN_007</t>
  </si>
  <si>
    <t>solar resource in Guarico State region (near El Tigre) -- Venezuela</t>
  </si>
  <si>
    <t>en_spv_VEN_008</t>
  </si>
  <si>
    <t>solar resource in Guarico State region (near Santa Teresa del Tuy) -- Venezuela</t>
  </si>
  <si>
    <t>en_spv_VEN_009</t>
  </si>
  <si>
    <t>solar resource in Guainia region (near Barinas) -- Venezuela</t>
  </si>
  <si>
    <t>en_spv_VEN_010</t>
  </si>
  <si>
    <t>solar resource in Amazonas region (near Barinas) -- Venezuela</t>
  </si>
  <si>
    <t>en_spv_VNM_001</t>
  </si>
  <si>
    <t>solar resource in Thừa Thien Huế region (near Hue) -- Vietnam</t>
  </si>
  <si>
    <t>en_spv_VNM_002</t>
  </si>
  <si>
    <t>solar resource in Gia Lai region (near Buon Ma Thuot) -- Vietnam</t>
  </si>
  <si>
    <t>en_spv_VNM_003</t>
  </si>
  <si>
    <t>solar resource in Long An region (near Thu Dau Mot) -- Vietnam</t>
  </si>
  <si>
    <t>en_spv_VNM_004</t>
  </si>
  <si>
    <t>solar resource in Quảng Ninh region (near Haiphong) -- Vietnam</t>
  </si>
  <si>
    <t>en_spv_VNM_005</t>
  </si>
  <si>
    <t>solar resource in Northeast Vietnam region (near Thai Nguyen) -- Vietnam</t>
  </si>
  <si>
    <t>en_spv_VNM_006</t>
  </si>
  <si>
    <t>solar resource in Yen Bai region (near Viet Tri) -- Vietnam</t>
  </si>
  <si>
    <t>en_spv_VNM_007</t>
  </si>
  <si>
    <t>solar resource in Thanh Hoa region (near Thanh Hoa) -- Vietnam</t>
  </si>
  <si>
    <t>en_spv_VNM_008</t>
  </si>
  <si>
    <t>solar resource in Quảng Binh region (near Ha Tinh) -- Vietnam</t>
  </si>
  <si>
    <t>en_spv_YEM_001</t>
  </si>
  <si>
    <t>solar resource in Hadhramaut region (near Al Mukalla) -- Yemen</t>
  </si>
  <si>
    <t>en_spv_YEM_002</t>
  </si>
  <si>
    <t>en_spv_YEM_003</t>
  </si>
  <si>
    <t>solar resource in Al Mahrah region (near Al Mukalla) -- Yemen</t>
  </si>
  <si>
    <t>en_spv_YEM_004</t>
  </si>
  <si>
    <t>en_spv_YEM_005</t>
  </si>
  <si>
    <t>solar resource in Hajjah region (near Al Hudaydah) -- Yemen</t>
  </si>
  <si>
    <t>en_spv_YEM_006</t>
  </si>
  <si>
    <t>solar resource in Lahij region (near Ta`izz) -- Yemen</t>
  </si>
  <si>
    <t>en_spv_YEM_007</t>
  </si>
  <si>
    <t>solar resource in Al Jawf region (near Sanaa) -- Yemen</t>
  </si>
  <si>
    <t>en_spv_YEM_008</t>
  </si>
  <si>
    <t>en_spv_ZAF_001</t>
  </si>
  <si>
    <t>solar resource in Northern Cape region (near Bloemfontein) -- South Africa</t>
  </si>
  <si>
    <t>en_spv_ZAF_002</t>
  </si>
  <si>
    <t>en_spv_ZAF_003</t>
  </si>
  <si>
    <t>solar resource in Western Cape region (near Paarl) -- South Africa</t>
  </si>
  <si>
    <t>en_spv_ZAF_004</t>
  </si>
  <si>
    <t>solar resource in Eastern Cape region (near Bethelsdorp) -- South Africa</t>
  </si>
  <si>
    <t>en_spv_ZAF_005</t>
  </si>
  <si>
    <t>en_spv_ZAF_006</t>
  </si>
  <si>
    <t>solar resource in Limpopo region (near Zebediela) -- South Africa</t>
  </si>
  <si>
    <t>en_spv_ZAF_007</t>
  </si>
  <si>
    <t>solar resource in Mpumalanga region (near Newcastle) -- South Africa</t>
  </si>
  <si>
    <t>en_spv_ZAF_008</t>
  </si>
  <si>
    <t>solar resource in KwaZulu-Natal region (near Nqutu) -- South Africa</t>
  </si>
  <si>
    <t>en_spv_ZAF_009</t>
  </si>
  <si>
    <t>solar resource in KwaZulu-Natal region (near Pietermaritzburg) -- South Africa</t>
  </si>
  <si>
    <t>en_spv_ZAF_010</t>
  </si>
  <si>
    <t>solar resource in Eastern Cape region (near East London) -- South Africa</t>
  </si>
  <si>
    <t>en_spv_ZAF_011</t>
  </si>
  <si>
    <t>en_spv_ZAF_012</t>
  </si>
  <si>
    <t>solar resource in Free State region (near Klerksdorp) -- South Africa</t>
  </si>
  <si>
    <t>en_spv_ZMB_001</t>
  </si>
  <si>
    <t>solar resource in Western region (near Mongu) -- Zambia</t>
  </si>
  <si>
    <t>en_spv_ZMB_002</t>
  </si>
  <si>
    <t>en_spv_ZMB_003</t>
  </si>
  <si>
    <t>solar resource in Northwestern region (near Chingola) -- Zambia</t>
  </si>
  <si>
    <t>en_spv_ZMB_004</t>
  </si>
  <si>
    <t>solar resource in Muchinga region (near Chipata) -- Zambia</t>
  </si>
  <si>
    <t>en_spv_ZMB_005</t>
  </si>
  <si>
    <t>solar resource in Northern region (near Mufulira) -- Zambia</t>
  </si>
  <si>
    <t>en_spv_ZMB_006</t>
  </si>
  <si>
    <t>solar resource in Luapula region (near Ndola) -- Zambia</t>
  </si>
  <si>
    <t>en_spv_ZMB_007</t>
  </si>
  <si>
    <t>solar resource in Eastern region (near Chipata) -- Zambia</t>
  </si>
  <si>
    <t>en_spv_ZMB_008</t>
  </si>
  <si>
    <t>solar resource in Lusaka region (near Lusaka) -- Zambia</t>
  </si>
  <si>
    <t>en_spv_ZMB_009</t>
  </si>
  <si>
    <t>solar resource in Copperbelt region (near Chingola) -- Zambia</t>
  </si>
  <si>
    <t>en_spv_ZMB_010</t>
  </si>
  <si>
    <t>solar resource in Southern region (near Kafue) -- Zambia</t>
  </si>
  <si>
    <t>en_spv_ZWE_001</t>
  </si>
  <si>
    <t>solar resource in Masvingo region (near Mutare) -- Zimbabwe</t>
  </si>
  <si>
    <t>en_spv_ZWE_002</t>
  </si>
  <si>
    <t>solar resource in Matabeleland South region (near Bulawayo) -- Zimbabwe</t>
  </si>
  <si>
    <t>en_spv_ZWE_003</t>
  </si>
  <si>
    <t>solar resource in Mashonaland East region (near Chitungwiza) -- Zimbabwe</t>
  </si>
  <si>
    <t>en_spv_ZWE_004</t>
  </si>
  <si>
    <t>solar resource in Mashonaland Central region (near Harare) -- Zimbabwe</t>
  </si>
  <si>
    <t>en_spv_ZWE_005</t>
  </si>
  <si>
    <t>solar resource in Matabeleland North region (near Nkayi) -- Zimbabwe</t>
  </si>
  <si>
    <t>en_spv_ZWE_006</t>
  </si>
  <si>
    <t>solar resource in Midlands region (near Gweru) -- Zimbabwe</t>
  </si>
  <si>
    <t>en_spv_ZWE_007</t>
  </si>
  <si>
    <t>af~fx</t>
  </si>
  <si>
    <t>avg_grid_dist_km</t>
  </si>
  <si>
    <t>elc_spv_AFG_001</t>
  </si>
  <si>
    <t>elc_spv_AFG_002</t>
  </si>
  <si>
    <t>elc_spv_AFG_003</t>
  </si>
  <si>
    <t>elc_spv_AFG_004</t>
  </si>
  <si>
    <t>elc_spv_AFG_005</t>
  </si>
  <si>
    <t>elc_spv_AFG_006</t>
  </si>
  <si>
    <t>elc_spv_AFG_007</t>
  </si>
  <si>
    <t>elc_spv_AFG_008</t>
  </si>
  <si>
    <t>elc_spv_AFG_009</t>
  </si>
  <si>
    <t>elc_spv_AGO_001</t>
  </si>
  <si>
    <t>elc_spv_AGO_002</t>
  </si>
  <si>
    <t>elc_spv_AGO_003</t>
  </si>
  <si>
    <t>elc_spv_AGO_004</t>
  </si>
  <si>
    <t>elc_spv_AGO_005</t>
  </si>
  <si>
    <t>elc_spv_AGO_006</t>
  </si>
  <si>
    <t>elc_spv_AGO_007</t>
  </si>
  <si>
    <t>elc_spv_AGO_008</t>
  </si>
  <si>
    <t>elc_spv_AGO_009</t>
  </si>
  <si>
    <t>elc_spv_AGO_010</t>
  </si>
  <si>
    <t>elc_spv_AGO_011</t>
  </si>
  <si>
    <t>elc_spv_AGO_012</t>
  </si>
  <si>
    <t>elc_spv_ALB_001</t>
  </si>
  <si>
    <t>elc_spv_ALB_002</t>
  </si>
  <si>
    <t>elc_spv_ALB_003</t>
  </si>
  <si>
    <t>elc_spv_ALB_004</t>
  </si>
  <si>
    <t>elc_spv_ARE_001</t>
  </si>
  <si>
    <t>elc_spv_ARE_002</t>
  </si>
  <si>
    <t>elc_spv_ARE_003</t>
  </si>
  <si>
    <t>elc_spv_ARE_004</t>
  </si>
  <si>
    <t>elc_spv_ARG_001</t>
  </si>
  <si>
    <t>elc_spv_ARG_002</t>
  </si>
  <si>
    <t>elc_spv_ARG_003</t>
  </si>
  <si>
    <t>elc_spv_ARG_004</t>
  </si>
  <si>
    <t>elc_spv_ARG_005</t>
  </si>
  <si>
    <t>elc_spv_ARG_006</t>
  </si>
  <si>
    <t>elc_spv_ARG_007</t>
  </si>
  <si>
    <t>elc_spv_ARG_008</t>
  </si>
  <si>
    <t>elc_spv_ARG_009</t>
  </si>
  <si>
    <t>elc_spv_ARG_010</t>
  </si>
  <si>
    <t>elc_spv_ARG_011</t>
  </si>
  <si>
    <t>elc_spv_ARG_012</t>
  </si>
  <si>
    <t>elc_spv_ARG_013</t>
  </si>
  <si>
    <t>elc_spv_ARM_001</t>
  </si>
  <si>
    <t>elc_spv_ARM_002</t>
  </si>
  <si>
    <t>elc_spv_ARM_003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</si>
  <si>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</si>
  <si>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</si>
  <si>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</si>
  <si>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</si>
  <si>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</si>
  <si>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</si>
  <si>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</si>
  <si>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</si>
  <si>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</si>
  <si>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</si>
  <si>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</si>
  <si>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</si>
  <si>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</si>
  <si>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</si>
  <si>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</si>
  <si>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</si>
  <si>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</si>
  <si>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</si>
  <si>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</si>
  <si>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</si>
  <si>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</si>
  <si>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elc_spv_AUT_001</t>
  </si>
  <si>
    <t>elc_spv_AUT_002</t>
  </si>
  <si>
    <t>elc_spv_AUT_003</t>
  </si>
  <si>
    <t>elc_spv_AUT_004</t>
  </si>
  <si>
    <t>elc_spv_AZE_001</t>
  </si>
  <si>
    <t>elc_spv_AZE_002</t>
  </si>
  <si>
    <t>elc_spv_AZE_003</t>
  </si>
  <si>
    <t>elc_spv_AZE_004</t>
  </si>
  <si>
    <t>elc_spv_BDI_001</t>
  </si>
  <si>
    <t>elc_spv_BDI_002</t>
  </si>
  <si>
    <t>elc_spv_BEL_001</t>
  </si>
  <si>
    <t>elc_spv_BEL_002</t>
  </si>
  <si>
    <t>elc_spv_BEL_003</t>
  </si>
  <si>
    <t>elc_spv_BEN_001</t>
  </si>
  <si>
    <t>elc_spv_BEN_002</t>
  </si>
  <si>
    <t>elc_spv_BEN_003</t>
  </si>
  <si>
    <t>elc_spv_BEN_004</t>
  </si>
  <si>
    <t>elc_spv_BEN_005</t>
  </si>
  <si>
    <t>elc_spv_BFA_001</t>
  </si>
  <si>
    <t>elc_spv_BFA_002</t>
  </si>
  <si>
    <t>elc_spv_BFA_003</t>
  </si>
  <si>
    <t>elc_spv_BFA_004</t>
  </si>
  <si>
    <t>elc_spv_BFA_005</t>
  </si>
  <si>
    <t>elc_spv_BFA_006</t>
  </si>
  <si>
    <t>elc_spv_BFA_007</t>
  </si>
  <si>
    <t>elc_spv_BGD_001</t>
  </si>
  <si>
    <t>elc_spv_BGD_002</t>
  </si>
  <si>
    <t>elc_spv_BGD_003</t>
  </si>
  <si>
    <t>elc_spv_BGD_004</t>
  </si>
  <si>
    <t>elc_spv_BGD_005</t>
  </si>
  <si>
    <t>elc_spv_BGR_001</t>
  </si>
  <si>
    <t>elc_spv_BGR_002</t>
  </si>
  <si>
    <t>elc_spv_BGR_003</t>
  </si>
  <si>
    <t>elc_spv_BGR_004</t>
  </si>
  <si>
    <t>elc_spv_BIH_001</t>
  </si>
  <si>
    <t>elc_spv_BIH_002</t>
  </si>
  <si>
    <t>elc_spv_BIH_003</t>
  </si>
  <si>
    <t>elc_spv_BIH_004</t>
  </si>
  <si>
    <t>elc_spv_BIH_005</t>
  </si>
  <si>
    <t>elc_spv_BLR_001</t>
  </si>
  <si>
    <t>elc_spv_BLR_002</t>
  </si>
  <si>
    <t>elc_spv_BLR_003</t>
  </si>
  <si>
    <t>elc_spv_BLR_004</t>
  </si>
  <si>
    <t>elc_spv_BLR_005</t>
  </si>
  <si>
    <t>elc_spv_BLR_006</t>
  </si>
  <si>
    <t>elc_spv_BOL_001</t>
  </si>
  <si>
    <t>elc_spv_BOL_002</t>
  </si>
  <si>
    <t>elc_spv_BOL_003</t>
  </si>
  <si>
    <t>elc_spv_BOL_004</t>
  </si>
  <si>
    <t>elc_spv_BOL_005</t>
  </si>
  <si>
    <t>elc_spv_BOL_006</t>
  </si>
  <si>
    <t>elc_spv_BOL_007</t>
  </si>
  <si>
    <t>elc_spv_BOL_008</t>
  </si>
  <si>
    <t>elc_spv_BOL_009</t>
  </si>
  <si>
    <t>elc_spv_BOL_010</t>
  </si>
  <si>
    <t>elc_spv_BRA_001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</si>
  <si>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</si>
  <si>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</si>
  <si>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</si>
  <si>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</si>
  <si>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</si>
  <si>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</si>
  <si>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</si>
  <si>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</si>
  <si>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</si>
  <si>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</si>
  <si>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</si>
  <si>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</si>
  <si>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</si>
  <si>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</si>
  <si>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</si>
  <si>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</si>
  <si>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</si>
  <si>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</si>
  <si>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</si>
  <si>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</si>
  <si>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</si>
  <si>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</si>
  <si>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elc_spv_BWA_001</t>
  </si>
  <si>
    <t>elc_spv_BWA_002</t>
  </si>
  <si>
    <t>elc_spv_BWA_003</t>
  </si>
  <si>
    <t>elc_spv_BWA_004</t>
  </si>
  <si>
    <t>elc_spv_BWA_005</t>
  </si>
  <si>
    <t>elc_spv_BWA_006</t>
  </si>
  <si>
    <t>elc_spv_BWA_007</t>
  </si>
  <si>
    <t>elc_spv_BWA_008</t>
  </si>
  <si>
    <t>elc_spv_BWA_009</t>
  </si>
  <si>
    <t>elc_spv_CAF_001</t>
  </si>
  <si>
    <t>elc_spv_CAF_002</t>
  </si>
  <si>
    <t>elc_spv_CAF_003</t>
  </si>
  <si>
    <t>elc_spv_CAF_004</t>
  </si>
  <si>
    <t>elc_spv_CAF_005</t>
  </si>
  <si>
    <t>elc_spv_CAF_006</t>
  </si>
  <si>
    <t>elc_spv_CAF_007</t>
  </si>
  <si>
    <t>elc_spv_CAF_008</t>
  </si>
  <si>
    <t>elc_spv_CAF_009</t>
  </si>
  <si>
    <t>elc_spv_CAN_001</t>
  </si>
  <si>
    <t>elc_spv_CAN_002</t>
  </si>
  <si>
    <t>elc_spv_CAN_003</t>
  </si>
  <si>
    <t>elc_spv_CAN_004</t>
  </si>
  <si>
    <t>elc_spv_CAN_005</t>
  </si>
  <si>
    <t>elc_spv_CAN_006</t>
  </si>
  <si>
    <t>elc_spv_CAN_007</t>
  </si>
  <si>
    <t>elc_spv_CAN_008</t>
  </si>
  <si>
    <t>elc_spv_CAN_009</t>
  </si>
  <si>
    <t>elc_spv_CAN_010</t>
  </si>
  <si>
    <t>elc_spv_CAN_011</t>
  </si>
  <si>
    <t>elc_spv_CAN_012</t>
  </si>
  <si>
    <t>elc_spv_CAN_013</t>
  </si>
  <si>
    <t>elc_spv_CAN_014</t>
  </si>
  <si>
    <t>elc_spv_CAN_015</t>
  </si>
  <si>
    <t>elc_spv_CAN_016</t>
  </si>
  <si>
    <t>elc_spv_CAN_017</t>
  </si>
  <si>
    <t>elc_spv_CAN_018</t>
  </si>
  <si>
    <t>elc_spv_CAN_019</t>
  </si>
  <si>
    <t>elc_spv_CAN_020</t>
  </si>
  <si>
    <t>elc_spv_CAN_021</t>
  </si>
  <si>
    <t>elc_spv_CAN_022</t>
  </si>
  <si>
    <t>elc_spv_CAN_023</t>
  </si>
  <si>
    <t>elc_spv_CHE_001</t>
  </si>
  <si>
    <t>elc_spv_CHE_002</t>
  </si>
  <si>
    <t>elc_spv_CHE_003</t>
  </si>
  <si>
    <t>elc_spv_CHL_001</t>
  </si>
  <si>
    <t>elc_spv_CHL_002</t>
  </si>
  <si>
    <t>elc_spv_CHL_003</t>
  </si>
  <si>
    <t>elc_spv_CHL_004</t>
  </si>
  <si>
    <t>elc_spv_CHL_005</t>
  </si>
  <si>
    <t>elc_spv_CHL_006</t>
  </si>
  <si>
    <t>elc_spv_CHL_007</t>
  </si>
  <si>
    <t>elc_spv_CHN_001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</si>
  <si>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</si>
  <si>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</si>
  <si>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</si>
  <si>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</si>
  <si>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</si>
  <si>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</si>
  <si>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</si>
  <si>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</si>
  <si>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</si>
  <si>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</si>
  <si>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</si>
  <si>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</si>
  <si>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</si>
  <si>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</si>
  <si>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</si>
  <si>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</si>
  <si>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</si>
  <si>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</si>
  <si>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</si>
  <si>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</si>
  <si>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</si>
  <si>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</si>
  <si>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</si>
  <si>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</si>
  <si>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</si>
  <si>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elc_spv_CIV_001</t>
  </si>
  <si>
    <t>elc_spv_CIV_002</t>
  </si>
  <si>
    <t>elc_spv_CIV_003</t>
  </si>
  <si>
    <t>elc_spv_CIV_004</t>
  </si>
  <si>
    <t>elc_spv_CIV_005</t>
  </si>
  <si>
    <t>elc_spv_CIV_006</t>
  </si>
  <si>
    <t>elc_spv_CIV_007</t>
  </si>
  <si>
    <t>elc_spv_CMR_001</t>
  </si>
  <si>
    <t>elc_spv_CMR_002</t>
  </si>
  <si>
    <t>elc_spv_CMR_003</t>
  </si>
  <si>
    <t>elc_spv_CMR_004</t>
  </si>
  <si>
    <t>elc_spv_CMR_005</t>
  </si>
  <si>
    <t>elc_spv_CMR_006</t>
  </si>
  <si>
    <t>elc_spv_CMR_007</t>
  </si>
  <si>
    <t>elc_spv_CMR_008</t>
  </si>
  <si>
    <t>elc_spv_COD_001</t>
  </si>
  <si>
    <t>elc_spv_COD_002</t>
  </si>
  <si>
    <t>elc_spv_COD_003</t>
  </si>
  <si>
    <t>elc_spv_COD_004</t>
  </si>
  <si>
    <t>elc_spv_COD_005</t>
  </si>
  <si>
    <t>elc_spv_COD_006</t>
  </si>
  <si>
    <t>elc_spv_COD_007</t>
  </si>
  <si>
    <t>elc_spv_COD_008</t>
  </si>
  <si>
    <t>elc_spv_COD_009</t>
  </si>
  <si>
    <t>elc_spv_COD_010</t>
  </si>
  <si>
    <t>elc_spv_COD_011</t>
  </si>
  <si>
    <t>elc_spv_COD_012</t>
  </si>
  <si>
    <t>elc_spv_COD_013</t>
  </si>
  <si>
    <t>elc_spv_COD_014</t>
  </si>
  <si>
    <t>elc_spv_COD_015</t>
  </si>
  <si>
    <t>elc_spv_COG_001</t>
  </si>
  <si>
    <t>elc_spv_COG_002</t>
  </si>
  <si>
    <t>elc_spv_COG_003</t>
  </si>
  <si>
    <t>elc_spv_COG_004</t>
  </si>
  <si>
    <t>elc_spv_COG_005</t>
  </si>
  <si>
    <t>elc_spv_COG_006</t>
  </si>
  <si>
    <t>elc_spv_COG_007</t>
  </si>
  <si>
    <t>elc_spv_COL_001</t>
  </si>
  <si>
    <t>elc_spv_COL_002</t>
  </si>
  <si>
    <t>elc_spv_COL_003</t>
  </si>
  <si>
    <t>elc_spv_COL_004</t>
  </si>
  <si>
    <t>elc_spv_COL_005</t>
  </si>
  <si>
    <t>elc_spv_COL_006</t>
  </si>
  <si>
    <t>elc_spv_COL_007</t>
  </si>
  <si>
    <t>elc_spv_COL_008</t>
  </si>
  <si>
    <t>elc_spv_COL_009</t>
  </si>
  <si>
    <t>elc_spv_COL_010</t>
  </si>
  <si>
    <t>elc_spv_CRI_001</t>
  </si>
  <si>
    <t>elc_spv_CRI_002</t>
  </si>
  <si>
    <t>elc_spv_CRI_003</t>
  </si>
  <si>
    <t>elc_spv_CRI_004</t>
  </si>
  <si>
    <t>elc_spv_CUB_001</t>
  </si>
  <si>
    <t>elc_spv_CUB_002</t>
  </si>
  <si>
    <t>elc_spv_CUB_003</t>
  </si>
  <si>
    <t>elc_spv_CUB_004</t>
  </si>
  <si>
    <t>elc_spv_CUB_005</t>
  </si>
  <si>
    <t>elc_spv_CZE_001</t>
  </si>
  <si>
    <t>elc_spv_CZE_002</t>
  </si>
  <si>
    <t>elc_spv_CZE_003</t>
  </si>
  <si>
    <t>elc_spv_CZE_004</t>
  </si>
  <si>
    <t>elc_spv_DEU_001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</si>
  <si>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</si>
  <si>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</si>
  <si>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</si>
  <si>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</si>
  <si>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</si>
  <si>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</si>
  <si>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</si>
  <si>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elc_spv_DJI_001</t>
  </si>
  <si>
    <t>elc_spv_DJI_002</t>
  </si>
  <si>
    <t>elc_spv_DNK_001</t>
  </si>
  <si>
    <t>elc_spv_DNK_002</t>
  </si>
  <si>
    <t>elc_spv_DNK_003</t>
  </si>
  <si>
    <t>elc_spv_DNK_004</t>
  </si>
  <si>
    <t>elc_spv_DOM_001</t>
  </si>
  <si>
    <t>elc_spv_DOM_002</t>
  </si>
  <si>
    <t>elc_spv_DOM_003</t>
  </si>
  <si>
    <t>elc_spv_DZA_001</t>
  </si>
  <si>
    <t>elc_spv_DZA_002</t>
  </si>
  <si>
    <t>elc_spv_DZA_003</t>
  </si>
  <si>
    <t>elc_spv_DZA_004</t>
  </si>
  <si>
    <t>elc_spv_DZA_005</t>
  </si>
  <si>
    <t>elc_spv_DZA_006</t>
  </si>
  <si>
    <t>elc_spv_DZA_007</t>
  </si>
  <si>
    <t>elc_spv_DZA_008</t>
  </si>
  <si>
    <t>elc_spv_DZA_009</t>
  </si>
  <si>
    <t>elc_spv_DZA_010</t>
  </si>
  <si>
    <t>elc_spv_DZA_011</t>
  </si>
  <si>
    <t>elc_spv_DZA_012</t>
  </si>
  <si>
    <t>elc_spv_DZA_013</t>
  </si>
  <si>
    <t>elc_spv_DZA_014</t>
  </si>
  <si>
    <t>elc_spv_DZA_015</t>
  </si>
  <si>
    <t>elc_spv_DZA_016</t>
  </si>
  <si>
    <t>elc_spv_ECU_001</t>
  </si>
  <si>
    <t>elc_spv_ECU_002</t>
  </si>
  <si>
    <t>elc_spv_ECU_003</t>
  </si>
  <si>
    <t>elc_spv_ECU_004</t>
  </si>
  <si>
    <t>elc_spv_ECU_005</t>
  </si>
  <si>
    <t>elc_spv_EGY_001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</si>
  <si>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</si>
  <si>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</si>
  <si>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</si>
  <si>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</si>
  <si>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</si>
  <si>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</si>
  <si>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</si>
  <si>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</si>
  <si>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</si>
  <si>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</si>
  <si>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elc_spv_ERI_001</t>
  </si>
  <si>
    <t>elc_spv_ERI_002</t>
  </si>
  <si>
    <t>elc_spv_ERI_003</t>
  </si>
  <si>
    <t>elc_spv_ERI_004</t>
  </si>
  <si>
    <t>elc_spv_ERI_005</t>
  </si>
  <si>
    <t>elc_spv_ESP_001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</si>
  <si>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</si>
  <si>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</si>
  <si>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</si>
  <si>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</si>
  <si>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</si>
  <si>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</si>
  <si>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</si>
  <si>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elc_spv_EST_001</t>
  </si>
  <si>
    <t>elc_spv_EST_002</t>
  </si>
  <si>
    <t>elc_spv_EST_003</t>
  </si>
  <si>
    <t>elc_spv_EST_004</t>
  </si>
  <si>
    <t>elc_spv_ETH_001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</si>
  <si>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</si>
  <si>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</si>
  <si>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</si>
  <si>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</si>
  <si>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</si>
  <si>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</si>
  <si>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</si>
  <si>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</si>
  <si>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</si>
  <si>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</si>
  <si>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</si>
  <si>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</si>
  <si>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</si>
  <si>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</si>
  <si>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</si>
  <si>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</si>
  <si>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</si>
  <si>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</si>
  <si>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</si>
  <si>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</si>
  <si>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elc_spv_GAB_001</t>
  </si>
  <si>
    <t>elc_spv_GAB_002</t>
  </si>
  <si>
    <t>elc_spv_GAB_003</t>
  </si>
  <si>
    <t>elc_spv_GAB_004</t>
  </si>
  <si>
    <t>elc_spv_GAB_005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</si>
  <si>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</si>
  <si>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</si>
  <si>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</si>
  <si>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</si>
  <si>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</si>
  <si>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</si>
  <si>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</si>
  <si>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elc_spv_GEO_001</t>
  </si>
  <si>
    <t>elc_spv_GEO_002</t>
  </si>
  <si>
    <t>elc_spv_GEO_003</t>
  </si>
  <si>
    <t>elc_spv_GEO_004</t>
  </si>
  <si>
    <t>elc_spv_GHA_001</t>
  </si>
  <si>
    <t>elc_spv_GHA_002</t>
  </si>
  <si>
    <t>elc_spv_GHA_003</t>
  </si>
  <si>
    <t>elc_spv_GHA_004</t>
  </si>
  <si>
    <t>elc_spv_GHA_005</t>
  </si>
  <si>
    <t>elc_spv_GHA_006</t>
  </si>
  <si>
    <t>elc_spv_GIN_001</t>
  </si>
  <si>
    <t>elc_spv_GIN_002</t>
  </si>
  <si>
    <t>elc_spv_GIN_003</t>
  </si>
  <si>
    <t>elc_spv_GIN_004</t>
  </si>
  <si>
    <t>elc_spv_GIN_005</t>
  </si>
  <si>
    <t>elc_spv_GIN_006</t>
  </si>
  <si>
    <t>elc_spv_GNB_001</t>
  </si>
  <si>
    <t>elc_spv_GNB_002</t>
  </si>
  <si>
    <t>elc_spv_GNB_003</t>
  </si>
  <si>
    <t>elc_spv_GNQ_001</t>
  </si>
  <si>
    <t>elc_spv_GNQ_002</t>
  </si>
  <si>
    <t>elc_spv_GRC_001</t>
  </si>
  <si>
    <t>elc_spv_GRC_002</t>
  </si>
  <si>
    <t>elc_spv_GRC_003</t>
  </si>
  <si>
    <t>elc_spv_GRC_004</t>
  </si>
  <si>
    <t>elc_spv_GRC_005</t>
  </si>
  <si>
    <t>elc_spv_GRC_006</t>
  </si>
  <si>
    <t>elc_spv_GTM_001</t>
  </si>
  <si>
    <t>elc_spv_GTM_002</t>
  </si>
  <si>
    <t>elc_spv_GTM_003</t>
  </si>
  <si>
    <t>elc_spv_GTM_004</t>
  </si>
  <si>
    <t>elc_spv_GTM_005</t>
  </si>
  <si>
    <t>elc_spv_GUY_001</t>
  </si>
  <si>
    <t>elc_spv_GUY_002</t>
  </si>
  <si>
    <t>elc_spv_GUY_003</t>
  </si>
  <si>
    <t>elc_spv_GUY_004</t>
  </si>
  <si>
    <t>elc_spv_HKG_001</t>
  </si>
  <si>
    <t>elc_spv_HKG_002</t>
  </si>
  <si>
    <t>elc_spv_HKG_003</t>
  </si>
  <si>
    <t>elc_spv_HKG_004</t>
  </si>
  <si>
    <t>elc_spv_HND_001</t>
  </si>
  <si>
    <t>elc_spv_HND_002</t>
  </si>
  <si>
    <t>elc_spv_HND_003</t>
  </si>
  <si>
    <t>elc_spv_HND_004</t>
  </si>
  <si>
    <t>elc_spv_HND_005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</si>
  <si>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</si>
  <si>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</si>
  <si>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</si>
  <si>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</si>
  <si>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</si>
  <si>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</si>
  <si>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elc_spv_HTI_001</t>
  </si>
  <si>
    <t>elc_spv_HTI_002</t>
  </si>
  <si>
    <t>elc_spv_HTI_003</t>
  </si>
  <si>
    <t>elc_spv_HUN_001</t>
  </si>
  <si>
    <t>elc_spv_HUN_002</t>
  </si>
  <si>
    <t>elc_spv_HUN_003</t>
  </si>
  <si>
    <t>elc_spv_HUN_004</t>
  </si>
  <si>
    <t>elc_spv_IDN_001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</si>
  <si>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</si>
  <si>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</si>
  <si>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</si>
  <si>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</si>
  <si>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</si>
  <si>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</si>
  <si>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</si>
  <si>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</si>
  <si>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</si>
  <si>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</si>
  <si>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</si>
  <si>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</si>
  <si>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</si>
  <si>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</si>
  <si>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</si>
  <si>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</si>
  <si>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</si>
  <si>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</si>
  <si>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</si>
  <si>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</si>
  <si>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</si>
  <si>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</si>
  <si>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</si>
  <si>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</si>
  <si>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</si>
  <si>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</si>
  <si>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</si>
  <si>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</si>
  <si>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</si>
  <si>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</si>
  <si>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</si>
  <si>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</si>
  <si>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</si>
  <si>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</si>
  <si>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elc_spv_IRL_001</t>
  </si>
  <si>
    <t>elc_spv_IRL_002</t>
  </si>
  <si>
    <t>elc_spv_IRL_003</t>
  </si>
  <si>
    <t>elc_spv_IRL_004</t>
  </si>
  <si>
    <t>elc_spv_IRN_001</t>
  </si>
  <si>
    <t>elc_spv_IRN_002</t>
  </si>
  <si>
    <t>elc_spv_IRN_003</t>
  </si>
  <si>
    <t>elc_spv_IRN_004</t>
  </si>
  <si>
    <t>elc_spv_IRN_005</t>
  </si>
  <si>
    <t>elc_spv_IRN_006</t>
  </si>
  <si>
    <t>elc_spv_IRN_007</t>
  </si>
  <si>
    <t>elc_spv_IRN_008</t>
  </si>
  <si>
    <t>elc_spv_IRN_009</t>
  </si>
  <si>
    <t>elc_spv_IRN_010</t>
  </si>
  <si>
    <t>elc_spv_IRN_011</t>
  </si>
  <si>
    <t>elc_spv_IRN_012</t>
  </si>
  <si>
    <t>elc_spv_IRN_013</t>
  </si>
  <si>
    <t>elc_spv_IRN_014</t>
  </si>
  <si>
    <t>elc_spv_IRQ_001</t>
  </si>
  <si>
    <t>elc_spv_IRQ_002</t>
  </si>
  <si>
    <t>elc_spv_IRQ_003</t>
  </si>
  <si>
    <t>elc_spv_IRQ_004</t>
  </si>
  <si>
    <t>elc_spv_IRQ_005</t>
  </si>
  <si>
    <t>elc_spv_IRQ_006</t>
  </si>
  <si>
    <t>elc_spv_IRQ_007</t>
  </si>
  <si>
    <t>elc_spv_IRQ_008</t>
  </si>
  <si>
    <t>elc_spv_ISR_001</t>
  </si>
  <si>
    <t>elc_spv_ISR_002</t>
  </si>
  <si>
    <t>elc_spv_ISR_003</t>
  </si>
  <si>
    <t>elc_spv_ITA_001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</si>
  <si>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</si>
  <si>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</si>
  <si>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</si>
  <si>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</si>
  <si>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</si>
  <si>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</si>
  <si>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</si>
  <si>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elc_spv_JAM_001</t>
  </si>
  <si>
    <t>elc_spv_JAM_002</t>
  </si>
  <si>
    <t>elc_spv_JOR_001</t>
  </si>
  <si>
    <t>elc_spv_JOR_002</t>
  </si>
  <si>
    <t>elc_spv_JOR_003</t>
  </si>
  <si>
    <t>elc_spv_JOR_004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</si>
  <si>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</si>
  <si>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</si>
  <si>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</si>
  <si>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</si>
  <si>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</si>
  <si>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</si>
  <si>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</si>
  <si>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</si>
  <si>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</si>
  <si>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elc_spv_KAZ_001</t>
  </si>
  <si>
    <t>elc_spv_KAZ_002</t>
  </si>
  <si>
    <t>elc_spv_KAZ_003</t>
  </si>
  <si>
    <t>elc_spv_KAZ_004</t>
  </si>
  <si>
    <t>elc_spv_KAZ_005</t>
  </si>
  <si>
    <t>elc_spv_KAZ_006</t>
  </si>
  <si>
    <t>elc_spv_KAZ_007</t>
  </si>
  <si>
    <t>elc_spv_KAZ_008</t>
  </si>
  <si>
    <t>elc_spv_KAZ_009</t>
  </si>
  <si>
    <t>elc_spv_KAZ_010</t>
  </si>
  <si>
    <t>elc_spv_KAZ_011</t>
  </si>
  <si>
    <t>elc_spv_KAZ_012</t>
  </si>
  <si>
    <t>elc_spv_KAZ_013</t>
  </si>
  <si>
    <t>elc_spv_KAZ_014</t>
  </si>
  <si>
    <t>elc_spv_KAZ_015</t>
  </si>
  <si>
    <t>elc_spv_KAZ_016</t>
  </si>
  <si>
    <t>elc_spv_KAZ_017</t>
  </si>
  <si>
    <t>elc_spv_KEN_001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</si>
  <si>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</si>
  <si>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</si>
  <si>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</si>
  <si>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</si>
  <si>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</si>
  <si>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</si>
  <si>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</si>
  <si>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</si>
  <si>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elc_spv_KGZ_001</t>
  </si>
  <si>
    <t>elc_spv_KGZ_002</t>
  </si>
  <si>
    <t>elc_spv_KGZ_003</t>
  </si>
  <si>
    <t>elc_spv_KGZ_004</t>
  </si>
  <si>
    <t>elc_spv_KGZ_005</t>
  </si>
  <si>
    <t>elc_spv_KHM_001</t>
  </si>
  <si>
    <t>elc_spv_KHM_002</t>
  </si>
  <si>
    <t>elc_spv_KHM_003</t>
  </si>
  <si>
    <t>elc_spv_KHM_004</t>
  </si>
  <si>
    <t>elc_spv_KHM_005</t>
  </si>
  <si>
    <t>elc_spv_KHM_006</t>
  </si>
  <si>
    <t>elc_spv_KOR_001</t>
  </si>
  <si>
    <t>elc_spv_KOR_002</t>
  </si>
  <si>
    <t>elc_spv_KOR_003</t>
  </si>
  <si>
    <t>elc_spv_KOR_004</t>
  </si>
  <si>
    <t>elc_spv_KOR_005</t>
  </si>
  <si>
    <t>elc_spv_KWT_001</t>
  </si>
  <si>
    <t>elc_spv_KWT_002</t>
  </si>
  <si>
    <t>elc_spv_LAO_001</t>
  </si>
  <si>
    <t>elc_spv_LAO_002</t>
  </si>
  <si>
    <t>elc_spv_LAO_003</t>
  </si>
  <si>
    <t>elc_spv_LAO_004</t>
  </si>
  <si>
    <t>elc_spv_LAO_005</t>
  </si>
  <si>
    <t>elc_spv_LAO_006</t>
  </si>
  <si>
    <t>elc_spv_LAO_007</t>
  </si>
  <si>
    <t>elc_spv_LBN_001</t>
  </si>
  <si>
    <t>elc_spv_LBN_002</t>
  </si>
  <si>
    <t>elc_spv_LBR_001</t>
  </si>
  <si>
    <t>elc_spv_LBR_002</t>
  </si>
  <si>
    <t>elc_spv_LBR_003</t>
  </si>
  <si>
    <t>elc_spv_LBR_004</t>
  </si>
  <si>
    <t>elc_spv_LBY_001</t>
  </si>
  <si>
    <t>elc_spv_LBY_002</t>
  </si>
  <si>
    <t>elc_spv_LBY_003</t>
  </si>
  <si>
    <t>elc_spv_LBY_004</t>
  </si>
  <si>
    <t>elc_spv_LBY_005</t>
  </si>
  <si>
    <t>elc_spv_LBY_006</t>
  </si>
  <si>
    <t>elc_spv_LBY_007</t>
  </si>
  <si>
    <t>elc_spv_LBY_008</t>
  </si>
  <si>
    <t>elc_spv_LBY_009</t>
  </si>
  <si>
    <t>elc_spv_LBY_010</t>
  </si>
  <si>
    <t>elc_spv_LBY_011</t>
  </si>
  <si>
    <t>elc_spv_LBY_012</t>
  </si>
  <si>
    <t>elc_spv_LBY_013</t>
  </si>
  <si>
    <t>elc_spv_LBY_014</t>
  </si>
  <si>
    <t>elc_spv_LKA_001</t>
  </si>
  <si>
    <t>elc_spv_LKA_002</t>
  </si>
  <si>
    <t>elc_spv_LKA_003</t>
  </si>
  <si>
    <t>elc_spv_LKA_004</t>
  </si>
  <si>
    <t>elc_spv_LSO_001</t>
  </si>
  <si>
    <t>elc_spv_LSO_002</t>
  </si>
  <si>
    <t>elc_spv_LSO_003</t>
  </si>
  <si>
    <t>elc_spv_LTU_001</t>
  </si>
  <si>
    <t>elc_spv_LTU_002</t>
  </si>
  <si>
    <t>elc_spv_LTU_003</t>
  </si>
  <si>
    <t>elc_spv_LTU_004</t>
  </si>
  <si>
    <t>elc_spv_LUX_001</t>
  </si>
  <si>
    <t>elc_spv_LUX_002</t>
  </si>
  <si>
    <t>elc_spv_LUX_003</t>
  </si>
  <si>
    <t>elc_spv_LUX_004</t>
  </si>
  <si>
    <t>elc_spv_LUX_005</t>
  </si>
  <si>
    <t>elc_spv_LUX_006</t>
  </si>
  <si>
    <t>elc_spv_LVA_001</t>
  </si>
  <si>
    <t>elc_spv_LVA_002</t>
  </si>
  <si>
    <t>elc_spv_LVA_003</t>
  </si>
  <si>
    <t>elc_spv_LVA_004</t>
  </si>
  <si>
    <t>elc_spv_MAR_001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</si>
  <si>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</si>
  <si>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</si>
  <si>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</si>
  <si>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</si>
  <si>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</si>
  <si>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</si>
  <si>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</si>
  <si>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elc_spv_MDA_001</t>
  </si>
  <si>
    <t>elc_spv_MDA_002</t>
  </si>
  <si>
    <t>elc_spv_MDA_003</t>
  </si>
  <si>
    <t>elc_spv_MDG_001</t>
  </si>
  <si>
    <t>elc_spv_MDG_002</t>
  </si>
  <si>
    <t>elc_spv_MDG_003</t>
  </si>
  <si>
    <t>elc_spv_MDG_004</t>
  </si>
  <si>
    <t>elc_spv_MDG_005</t>
  </si>
  <si>
    <t>elc_spv_MDG_006</t>
  </si>
  <si>
    <t>elc_spv_MDG_007</t>
  </si>
  <si>
    <t>elc_spv_MDG_008</t>
  </si>
  <si>
    <t>elc_spv_MDG_009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</si>
  <si>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</si>
  <si>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</si>
  <si>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</si>
  <si>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</si>
  <si>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</si>
  <si>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</si>
  <si>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</si>
  <si>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</si>
  <si>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</si>
  <si>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</si>
  <si>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</si>
  <si>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</si>
  <si>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</si>
  <si>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</si>
  <si>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</si>
  <si>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elc_spv_MKD_001</t>
  </si>
  <si>
    <t>elc_spv_MKD_002</t>
  </si>
  <si>
    <t>elc_spv_MKD_003</t>
  </si>
  <si>
    <t>elc_spv_MKD_004</t>
  </si>
  <si>
    <t>elc_spv_MLI_001</t>
  </si>
  <si>
    <t>elc_spv_MLI_002</t>
  </si>
  <si>
    <t>elc_spv_MLI_003</t>
  </si>
  <si>
    <t>elc_spv_MLI_004</t>
  </si>
  <si>
    <t>elc_spv_MLI_005</t>
  </si>
  <si>
    <t>elc_spv_MLI_006</t>
  </si>
  <si>
    <t>elc_spv_MLI_007</t>
  </si>
  <si>
    <t>elc_spv_MLI_008</t>
  </si>
  <si>
    <t>elc_spv_MLI_009</t>
  </si>
  <si>
    <t>elc_spv_MLI_010</t>
  </si>
  <si>
    <t>elc_spv_MLI_011</t>
  </si>
  <si>
    <t>elc_spv_MLI_012</t>
  </si>
  <si>
    <t>elc_spv_MMR_001</t>
  </si>
  <si>
    <t>elc_spv_MMR_002</t>
  </si>
  <si>
    <t>elc_spv_MMR_003</t>
  </si>
  <si>
    <t>elc_spv_MMR_004</t>
  </si>
  <si>
    <t>elc_spv_MMR_005</t>
  </si>
  <si>
    <t>elc_spv_MMR_006</t>
  </si>
  <si>
    <t>elc_spv_MMR_007</t>
  </si>
  <si>
    <t>elc_spv_MMR_008</t>
  </si>
  <si>
    <t>elc_spv_MMR_009</t>
  </si>
  <si>
    <t>elc_spv_MMR_010</t>
  </si>
  <si>
    <t>elc_spv_MNE_001</t>
  </si>
  <si>
    <t>elc_spv_MNE_002</t>
  </si>
  <si>
    <t>elc_spv_MNE_003</t>
  </si>
  <si>
    <t>elc_spv_MNG_001</t>
  </si>
  <si>
    <t>elc_spv_MNG_002</t>
  </si>
  <si>
    <t>elc_spv_MNG_003</t>
  </si>
  <si>
    <t>elc_spv_MNG_004</t>
  </si>
  <si>
    <t>elc_spv_MNG_005</t>
  </si>
  <si>
    <t>elc_spv_MNG_006</t>
  </si>
  <si>
    <t>elc_spv_MNG_007</t>
  </si>
  <si>
    <t>elc_spv_MNG_008</t>
  </si>
  <si>
    <t>elc_spv_MNG_009</t>
  </si>
  <si>
    <t>elc_spv_MNG_010</t>
  </si>
  <si>
    <t>elc_spv_MNG_011</t>
  </si>
  <si>
    <t>elc_spv_MNG_012</t>
  </si>
  <si>
    <t>elc_spv_MNG_013</t>
  </si>
  <si>
    <t>elc_spv_MNG_014</t>
  </si>
  <si>
    <t>elc_spv_MOZ_001</t>
  </si>
  <si>
    <t>elc_spv_MOZ_002</t>
  </si>
  <si>
    <t>elc_spv_MOZ_003</t>
  </si>
  <si>
    <t>elc_spv_MOZ_004</t>
  </si>
  <si>
    <t>elc_spv_MOZ_005</t>
  </si>
  <si>
    <t>elc_spv_MOZ_006</t>
  </si>
  <si>
    <t>elc_spv_MOZ_007</t>
  </si>
  <si>
    <t>elc_spv_MOZ_008</t>
  </si>
  <si>
    <t>elc_spv_MOZ_009</t>
  </si>
  <si>
    <t>elc_spv_MOZ_010</t>
  </si>
  <si>
    <t>elc_spv_MRT_001</t>
  </si>
  <si>
    <t>elc_spv_MRT_002</t>
  </si>
  <si>
    <t>elc_spv_MRT_003</t>
  </si>
  <si>
    <t>elc_spv_MRT_004</t>
  </si>
  <si>
    <t>elc_spv_MRT_005</t>
  </si>
  <si>
    <t>elc_spv_MRT_006</t>
  </si>
  <si>
    <t>elc_spv_MRT_007</t>
  </si>
  <si>
    <t>elc_spv_MRT_008</t>
  </si>
  <si>
    <t>elc_spv_MRT_009</t>
  </si>
  <si>
    <t>elc_spv_MRT_010</t>
  </si>
  <si>
    <t>elc_spv_MRT_011</t>
  </si>
  <si>
    <t>elc_spv_MWI_001</t>
  </si>
  <si>
    <t>elc_spv_MWI_002</t>
  </si>
  <si>
    <t>elc_spv_MWI_003</t>
  </si>
  <si>
    <t>elc_spv_MWI_004</t>
  </si>
  <si>
    <t>elc_spv_MWI_005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</si>
  <si>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</si>
  <si>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</si>
  <si>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</si>
  <si>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</si>
  <si>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</si>
  <si>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</si>
  <si>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</si>
  <si>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</si>
  <si>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elc_spv_NAM_001</t>
  </si>
  <si>
    <t>elc_spv_NAM_002</t>
  </si>
  <si>
    <t>elc_spv_NAM_003</t>
  </si>
  <si>
    <t>elc_spv_NAM_004</t>
  </si>
  <si>
    <t>elc_spv_NAM_005</t>
  </si>
  <si>
    <t>elc_spv_NAM_006</t>
  </si>
  <si>
    <t>elc_spv_NAM_007</t>
  </si>
  <si>
    <t>elc_spv_NAM_008</t>
  </si>
  <si>
    <t>elc_spv_NAM_009</t>
  </si>
  <si>
    <t>elc_spv_NAM_010</t>
  </si>
  <si>
    <t>elc_spv_NCL_001</t>
  </si>
  <si>
    <t>elc_spv_NCL_002</t>
  </si>
  <si>
    <t>elc_spv_NCL_003</t>
  </si>
  <si>
    <t>elc_spv_NER_001</t>
  </si>
  <si>
    <t>elc_spv_NER_002</t>
  </si>
  <si>
    <t>elc_spv_NER_003</t>
  </si>
  <si>
    <t>elc_spv_NER_004</t>
  </si>
  <si>
    <t>elc_spv_NER_005</t>
  </si>
  <si>
    <t>elc_spv_NER_006</t>
  </si>
  <si>
    <t>elc_spv_NER_007</t>
  </si>
  <si>
    <t>elc_spv_NER_008</t>
  </si>
  <si>
    <t>elc_spv_NER_009</t>
  </si>
  <si>
    <t>elc_spv_NER_010</t>
  </si>
  <si>
    <t>elc_spv_NER_011</t>
  </si>
  <si>
    <t>elc_spv_NER_012</t>
  </si>
  <si>
    <t>elc_spv_NGA_001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</si>
  <si>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</si>
  <si>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</si>
  <si>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</si>
  <si>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</si>
  <si>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</si>
  <si>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</si>
  <si>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</si>
  <si>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</si>
  <si>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</si>
  <si>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</si>
  <si>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elc_spv_NIC_001</t>
  </si>
  <si>
    <t>elc_spv_NIC_002</t>
  </si>
  <si>
    <t>elc_spv_NIC_003</t>
  </si>
  <si>
    <t>elc_spv_NIC_004</t>
  </si>
  <si>
    <t>elc_spv_NIC_005</t>
  </si>
  <si>
    <t>elc_spv_NLD_001</t>
  </si>
  <si>
    <t>elc_spv_NLD_002</t>
  </si>
  <si>
    <t>elc_spv_NLD_003</t>
  </si>
  <si>
    <t>elc_spv_NOR_001</t>
  </si>
  <si>
    <t>elc_spv_NOR_002</t>
  </si>
  <si>
    <t>elc_spv_NOR_003</t>
  </si>
  <si>
    <t>elc_spv_NOR_004</t>
  </si>
  <si>
    <t>elc_spv_NPL_001</t>
  </si>
  <si>
    <t>elc_spv_NPL_002</t>
  </si>
  <si>
    <t>elc_spv_NPL_003</t>
  </si>
  <si>
    <t>elc_spv_NPL_004</t>
  </si>
  <si>
    <t>elc_spv_NZL_001</t>
  </si>
  <si>
    <t>elc_spv_NZL_002</t>
  </si>
  <si>
    <t>elc_spv_NZL_003</t>
  </si>
  <si>
    <t>elc_spv_NZL_004</t>
  </si>
  <si>
    <t>elc_spv_NZL_005</t>
  </si>
  <si>
    <t>elc_spv_NZL_006</t>
  </si>
  <si>
    <t>elc_spv_OMN_001</t>
  </si>
  <si>
    <t>elc_spv_OMN_002</t>
  </si>
  <si>
    <t>elc_spv_OMN_003</t>
  </si>
  <si>
    <t>elc_spv_OMN_004</t>
  </si>
  <si>
    <t>elc_spv_OMN_005</t>
  </si>
  <si>
    <t>elc_spv_OMN_006</t>
  </si>
  <si>
    <t>elc_spv_OMN_007</t>
  </si>
  <si>
    <t>elc_spv_PAK_001</t>
  </si>
  <si>
    <t>elc_spv_PAK_002</t>
  </si>
  <si>
    <t>elc_spv_PAK_003</t>
  </si>
  <si>
    <t>elc_spv_PAK_004</t>
  </si>
  <si>
    <t>elc_spv_PAK_005</t>
  </si>
  <si>
    <t>elc_spv_PAK_006</t>
  </si>
  <si>
    <t>elc_spv_PAK_007</t>
  </si>
  <si>
    <t>elc_spv_PAK_008</t>
  </si>
  <si>
    <t>elc_spv_PAK_009</t>
  </si>
  <si>
    <t>elc_spv_PAK_010</t>
  </si>
  <si>
    <t>elc_spv_PAN_001</t>
  </si>
  <si>
    <t>elc_spv_PAN_002</t>
  </si>
  <si>
    <t>elc_spv_PAN_003</t>
  </si>
  <si>
    <t>elc_spv_PAN_004</t>
  </si>
  <si>
    <t>elc_spv_PER_001</t>
  </si>
  <si>
    <t>elc_spv_PER_002</t>
  </si>
  <si>
    <t>elc_spv_PER_003</t>
  </si>
  <si>
    <t>elc_spv_PER_004</t>
  </si>
  <si>
    <t>elc_spv_PER_005</t>
  </si>
  <si>
    <t>elc_spv_PER_006</t>
  </si>
  <si>
    <t>elc_spv_PER_007</t>
  </si>
  <si>
    <t>elc_spv_PER_008</t>
  </si>
  <si>
    <t>elc_spv_PER_009</t>
  </si>
  <si>
    <t>elc_spv_PER_010</t>
  </si>
  <si>
    <t>elc_spv_PER_011</t>
  </si>
  <si>
    <t>elc_spv_PHL_001</t>
  </si>
  <si>
    <t>elc_spv_PHL_002</t>
  </si>
  <si>
    <t>elc_spv_PHL_003</t>
  </si>
  <si>
    <t>elc_spv_PHL_004</t>
  </si>
  <si>
    <t>elc_spv_PHL_005</t>
  </si>
  <si>
    <t>elc_spv_PHL_006</t>
  </si>
  <si>
    <t>elc_spv_PHL_007</t>
  </si>
  <si>
    <t>elc_spv_PHL_008</t>
  </si>
  <si>
    <t>elc_spv_PHL_009</t>
  </si>
  <si>
    <t>elc_spv_PNG_001</t>
  </si>
  <si>
    <t>elc_spv_PNG_002</t>
  </si>
  <si>
    <t>elc_spv_PNG_003</t>
  </si>
  <si>
    <t>elc_spv_PNG_004</t>
  </si>
  <si>
    <t>elc_spv_PNG_005</t>
  </si>
  <si>
    <t>elc_spv_PNG_006</t>
  </si>
  <si>
    <t>elc_spv_PNG_007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</si>
  <si>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</si>
  <si>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</si>
  <si>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</si>
  <si>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</si>
  <si>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</si>
  <si>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</si>
  <si>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</si>
  <si>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elc_spv_PRI_001</t>
  </si>
  <si>
    <t>elc_spv_PRI_002</t>
  </si>
  <si>
    <t>elc_spv_PRI_003</t>
  </si>
  <si>
    <t>elc_spv_PRK_001</t>
  </si>
  <si>
    <t>elc_spv_PRK_002</t>
  </si>
  <si>
    <t>elc_spv_PRK_003</t>
  </si>
  <si>
    <t>elc_spv_PRK_004</t>
  </si>
  <si>
    <t>elc_spv_PRK_005</t>
  </si>
  <si>
    <t>elc_spv_PRT_001</t>
  </si>
  <si>
    <t>elc_spv_PRT_002</t>
  </si>
  <si>
    <t>elc_spv_PRT_003</t>
  </si>
  <si>
    <t>elc_spv_PRT_004</t>
  </si>
  <si>
    <t>elc_spv_PRT_005</t>
  </si>
  <si>
    <t>elc_spv_PRY_001</t>
  </si>
  <si>
    <t>elc_spv_PRY_002</t>
  </si>
  <si>
    <t>elc_spv_PRY_003</t>
  </si>
  <si>
    <t>elc_spv_PRY_004</t>
  </si>
  <si>
    <t>elc_spv_PRY_005</t>
  </si>
  <si>
    <t>elc_spv_PRY_006</t>
  </si>
  <si>
    <t>elc_spv_PRY_007</t>
  </si>
  <si>
    <t>elc_spv_PRY_008</t>
  </si>
  <si>
    <t>elc_spv_QAT_001</t>
  </si>
  <si>
    <t>elc_spv_QAT_002</t>
  </si>
  <si>
    <t>elc_spv_QAT_003</t>
  </si>
  <si>
    <t>elc_spv_ROU_001</t>
  </si>
  <si>
    <t>elc_spv_ROU_002</t>
  </si>
  <si>
    <t>elc_spv_ROU_003</t>
  </si>
  <si>
    <t>elc_spv_ROU_004</t>
  </si>
  <si>
    <t>elc_spv_ROU_005</t>
  </si>
  <si>
    <t>elc_spv_ROU_006</t>
  </si>
  <si>
    <t>elc_spv_RUS_001</t>
  </si>
  <si>
    <t>elc_spv_RUS_002</t>
  </si>
  <si>
    <t>elc_spv_RUS_003</t>
  </si>
  <si>
    <t>elc_spv_RUS_004</t>
  </si>
  <si>
    <t>elc_spv_RUS_005</t>
  </si>
  <si>
    <t>elc_spv_RUS_006</t>
  </si>
  <si>
    <t>elc_spv_RUS_007</t>
  </si>
  <si>
    <t>elc_spv_RUS_008</t>
  </si>
  <si>
    <t>elc_spv_RUS_009</t>
  </si>
  <si>
    <t>elc_spv_RUS_010</t>
  </si>
  <si>
    <t>elc_spv_RUS_011</t>
  </si>
  <si>
    <t>elc_spv_RUS_012</t>
  </si>
  <si>
    <t>elc_spv_RUS_013</t>
  </si>
  <si>
    <t>elc_spv_RUS_014</t>
  </si>
  <si>
    <t>elc_spv_RUS_015</t>
  </si>
  <si>
    <t>elc_spv_RUS_016</t>
  </si>
  <si>
    <t>elc_spv_RUS_017</t>
  </si>
  <si>
    <t>elc_spv_RUS_018</t>
  </si>
  <si>
    <t>elc_spv_RUS_019</t>
  </si>
  <si>
    <t>elc_spv_RUS_020</t>
  </si>
  <si>
    <t>elc_spv_RUS_021</t>
  </si>
  <si>
    <t>elc_spv_RUS_022</t>
  </si>
  <si>
    <t>elc_spv_RUS_023</t>
  </si>
  <si>
    <t>elc_spv_RUS_024</t>
  </si>
  <si>
    <t>elc_spv_RWA_001</t>
  </si>
  <si>
    <t>elc_spv_RWA_002</t>
  </si>
  <si>
    <t>elc_spv_SAU_001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</si>
  <si>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</si>
  <si>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</si>
  <si>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</si>
  <si>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</si>
  <si>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</si>
  <si>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</si>
  <si>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</si>
  <si>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</si>
  <si>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</si>
  <si>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</si>
  <si>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</si>
  <si>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</si>
  <si>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</si>
  <si>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</si>
  <si>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elc_spv_SDN_001</t>
  </si>
  <si>
    <t>elc_spv_SDN_002</t>
  </si>
  <si>
    <t>elc_spv_SDN_003</t>
  </si>
  <si>
    <t>elc_spv_SDN_004</t>
  </si>
  <si>
    <t>elc_spv_SDN_005</t>
  </si>
  <si>
    <t>elc_spv_SDN_006</t>
  </si>
  <si>
    <t>elc_spv_SDN_007</t>
  </si>
  <si>
    <t>elc_spv_SDN_008</t>
  </si>
  <si>
    <t>elc_spv_SDN_009</t>
  </si>
  <si>
    <t>elc_spv_SDN_010</t>
  </si>
  <si>
    <t>elc_spv_SDN_011</t>
  </si>
  <si>
    <t>elc_spv_SDN_012</t>
  </si>
  <si>
    <t>elc_spv_SDN_013</t>
  </si>
  <si>
    <t>elc_spv_SDN_014</t>
  </si>
  <si>
    <t>elc_spv_SEN_001</t>
  </si>
  <si>
    <t>elc_spv_SEN_002</t>
  </si>
  <si>
    <t>elc_spv_SEN_003</t>
  </si>
  <si>
    <t>elc_spv_SEN_004</t>
  </si>
  <si>
    <t>elc_spv_SEN_005</t>
  </si>
  <si>
    <t>elc_spv_SEN_006</t>
  </si>
  <si>
    <t>elc_spv_SGP_001</t>
  </si>
  <si>
    <t>elc_spv_SGP_002</t>
  </si>
  <si>
    <t>elc_spv_SGP_003</t>
  </si>
  <si>
    <t>elc_spv_SGP_004</t>
  </si>
  <si>
    <t>elc_spv_SLE_001</t>
  </si>
  <si>
    <t>elc_spv_SLE_002</t>
  </si>
  <si>
    <t>elc_spv_SLE_003</t>
  </si>
  <si>
    <t>elc_spv_SLE_004</t>
  </si>
  <si>
    <t>elc_spv_SLV_001</t>
  </si>
  <si>
    <t>elc_spv_SLV_002</t>
  </si>
  <si>
    <t>elc_spv_SOM_001</t>
  </si>
  <si>
    <t>elc_spv_SOM_002</t>
  </si>
  <si>
    <t>elc_spv_SOM_003</t>
  </si>
  <si>
    <t>elc_spv_SOM_004</t>
  </si>
  <si>
    <t>elc_spv_SOM_005</t>
  </si>
  <si>
    <t>elc_spv_SOM_006</t>
  </si>
  <si>
    <t>elc_spv_SOM_007</t>
  </si>
  <si>
    <t>elc_spv_SOM_008</t>
  </si>
  <si>
    <t>elc_spv_SOM_009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</si>
  <si>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</si>
  <si>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</si>
  <si>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</si>
  <si>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</si>
  <si>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</si>
  <si>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</si>
  <si>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elc_spv_SSD_001</t>
  </si>
  <si>
    <t>elc_spv_SSD_002</t>
  </si>
  <si>
    <t>elc_spv_SSD_003</t>
  </si>
  <si>
    <t>elc_spv_SSD_004</t>
  </si>
  <si>
    <t>elc_spv_SSD_005</t>
  </si>
  <si>
    <t>elc_spv_SSD_006</t>
  </si>
  <si>
    <t>elc_spv_SSD_007</t>
  </si>
  <si>
    <t>elc_spv_SSD_008</t>
  </si>
  <si>
    <t>elc_spv_SSD_009</t>
  </si>
  <si>
    <t>elc_spv_SUR_001</t>
  </si>
  <si>
    <t>elc_spv_SUR_002</t>
  </si>
  <si>
    <t>elc_spv_SUR_003</t>
  </si>
  <si>
    <t>elc_spv_SVK_001</t>
  </si>
  <si>
    <t>elc_spv_SVK_002</t>
  </si>
  <si>
    <t>elc_spv_SVK_003</t>
  </si>
  <si>
    <t>elc_spv_SVN_001</t>
  </si>
  <si>
    <t>elc_spv_SVN_002</t>
  </si>
  <si>
    <t>elc_spv_SWE_001</t>
  </si>
  <si>
    <t>elc_spv_SWE_002</t>
  </si>
  <si>
    <t>elc_spv_SWE_003</t>
  </si>
  <si>
    <t>elc_spv_SWE_004</t>
  </si>
  <si>
    <t>elc_spv_SWE_005</t>
  </si>
  <si>
    <t>elc_spv_SYR_001</t>
  </si>
  <si>
    <t>elc_spv_SYR_002</t>
  </si>
  <si>
    <t>elc_spv_SYR_003</t>
  </si>
  <si>
    <t>elc_spv_SYR_004</t>
  </si>
  <si>
    <t>elc_spv_SYR_005</t>
  </si>
  <si>
    <t>elc_spv_SYR_006</t>
  </si>
  <si>
    <t>elc_spv_TCD_001</t>
  </si>
  <si>
    <t>elc_spv_TCD_002</t>
  </si>
  <si>
    <t>elc_spv_TCD_003</t>
  </si>
  <si>
    <t>elc_spv_TCD_004</t>
  </si>
  <si>
    <t>elc_spv_TCD_005</t>
  </si>
  <si>
    <t>elc_spv_TCD_006</t>
  </si>
  <si>
    <t>elc_spv_TCD_007</t>
  </si>
  <si>
    <t>elc_spv_TCD_008</t>
  </si>
  <si>
    <t>elc_spv_TCD_009</t>
  </si>
  <si>
    <t>elc_spv_TCD_010</t>
  </si>
  <si>
    <t>elc_spv_TCD_011</t>
  </si>
  <si>
    <t>elc_spv_TCD_012</t>
  </si>
  <si>
    <t>elc_spv_TGO_001</t>
  </si>
  <si>
    <t>elc_spv_TGO_002</t>
  </si>
  <si>
    <t>elc_spv_TGO_003</t>
  </si>
  <si>
    <t>elc_spv_TGO_004</t>
  </si>
  <si>
    <t>elc_spv_THA_001</t>
  </si>
  <si>
    <t>elc_spv_THA_002</t>
  </si>
  <si>
    <t>elc_spv_THA_003</t>
  </si>
  <si>
    <t>elc_spv_THA_004</t>
  </si>
  <si>
    <t>elc_spv_THA_005</t>
  </si>
  <si>
    <t>elc_spv_THA_006</t>
  </si>
  <si>
    <t>elc_spv_THA_007</t>
  </si>
  <si>
    <t>elc_spv_THA_008</t>
  </si>
  <si>
    <t>elc_spv_THA_009</t>
  </si>
  <si>
    <t>elc_spv_TJK_001</t>
  </si>
  <si>
    <t>elc_spv_TJK_002</t>
  </si>
  <si>
    <t>elc_spv_TJK_003</t>
  </si>
  <si>
    <t>elc_spv_TJK_004</t>
  </si>
  <si>
    <t>elc_spv_TKM_001</t>
  </si>
  <si>
    <t>elc_spv_TKM_002</t>
  </si>
  <si>
    <t>elc_spv_TKM_003</t>
  </si>
  <si>
    <t>elc_spv_TKM_004</t>
  </si>
  <si>
    <t>elc_spv_TKM_005</t>
  </si>
  <si>
    <t>elc_spv_TKM_006</t>
  </si>
  <si>
    <t>elc_spv_TKM_007</t>
  </si>
  <si>
    <t>elc_spv_TKM_008</t>
  </si>
  <si>
    <t>elc_spv_TKM_009</t>
  </si>
  <si>
    <t>elc_spv_TUN_001</t>
  </si>
  <si>
    <t>elc_spv_TUN_002</t>
  </si>
  <si>
    <t>elc_spv_TUN_003</t>
  </si>
  <si>
    <t>elc_spv_TUN_004</t>
  </si>
  <si>
    <t>elc_spv_TUN_005</t>
  </si>
  <si>
    <t>elc_spv_TUR_001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</si>
  <si>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</si>
  <si>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</si>
  <si>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</si>
  <si>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</si>
  <si>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</si>
  <si>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</si>
  <si>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</si>
  <si>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</si>
  <si>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</si>
  <si>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elc_spv_TWN_001</t>
  </si>
  <si>
    <t>elc_spv_TWN_002</t>
  </si>
  <si>
    <t>elc_spv_TWN_003</t>
  </si>
  <si>
    <t>elc_spv_TZA_001</t>
  </si>
  <si>
    <t>elc_spv_TZA_002</t>
  </si>
  <si>
    <t>elc_spv_TZA_003</t>
  </si>
  <si>
    <t>elc_spv_TZA_004</t>
  </si>
  <si>
    <t>elc_spv_TZA_005</t>
  </si>
  <si>
    <t>elc_spv_TZA_006</t>
  </si>
  <si>
    <t>elc_spv_TZA_007</t>
  </si>
  <si>
    <t>elc_spv_TZA_008</t>
  </si>
  <si>
    <t>elc_spv_TZA_009</t>
  </si>
  <si>
    <t>elc_spv_TZA_010</t>
  </si>
  <si>
    <t>elc_spv_TZA_011</t>
  </si>
  <si>
    <t>elc_spv_UGA_001</t>
  </si>
  <si>
    <t>elc_spv_UGA_002</t>
  </si>
  <si>
    <t>elc_spv_UGA_003</t>
  </si>
  <si>
    <t>elc_spv_UGA_004</t>
  </si>
  <si>
    <t>elc_spv_UGA_005</t>
  </si>
  <si>
    <t>elc_spv_UGA_006</t>
  </si>
  <si>
    <t>elc_spv_UKR_001</t>
  </si>
  <si>
    <t>elc_spv_UKR_002</t>
  </si>
  <si>
    <t>elc_spv_UKR_003</t>
  </si>
  <si>
    <t>elc_spv_UKR_004</t>
  </si>
  <si>
    <t>elc_spv_UKR_005</t>
  </si>
  <si>
    <t>elc_spv_UKR_006</t>
  </si>
  <si>
    <t>elc_spv_UKR_007</t>
  </si>
  <si>
    <t>elc_spv_UKR_008</t>
  </si>
  <si>
    <t>elc_spv_UKR_009</t>
  </si>
  <si>
    <t>elc_spv_URY_001</t>
  </si>
  <si>
    <t>elc_spv_URY_002</t>
  </si>
  <si>
    <t>elc_spv_URY_003</t>
  </si>
  <si>
    <t>elc_spv_URY_004</t>
  </si>
  <si>
    <t>elc_spv_URY_005</t>
  </si>
  <si>
    <t>elc_spv_USA_001</t>
  </si>
  <si>
    <t>elc_spv_USA_002</t>
  </si>
  <si>
    <t>elc_spv_USA_003</t>
  </si>
  <si>
    <t>elc_spv_USA_004</t>
  </si>
  <si>
    <t>elc_spv_USA_005</t>
  </si>
  <si>
    <t>elc_spv_USA_006</t>
  </si>
  <si>
    <t>elc_spv_USA_007</t>
  </si>
  <si>
    <t>elc_spv_USA_008</t>
  </si>
  <si>
    <t>elc_spv_USA_009</t>
  </si>
  <si>
    <t>elc_spv_USA_010</t>
  </si>
  <si>
    <t>elc_spv_USA_011</t>
  </si>
  <si>
    <t>elc_spv_USA_012</t>
  </si>
  <si>
    <t>elc_spv_USA_013</t>
  </si>
  <si>
    <t>elc_spv_USA_014</t>
  </si>
  <si>
    <t>elc_spv_USA_015</t>
  </si>
  <si>
    <t>elc_spv_USA_016</t>
  </si>
  <si>
    <t>elc_spv_USA_017</t>
  </si>
  <si>
    <t>elc_spv_USA_018</t>
  </si>
  <si>
    <t>elc_spv_USA_019</t>
  </si>
  <si>
    <t>elc_spv_USA_020</t>
  </si>
  <si>
    <t>elc_spv_USA_021</t>
  </si>
  <si>
    <t>elc_spv_USA_022</t>
  </si>
  <si>
    <t>elc_spv_USA_023</t>
  </si>
  <si>
    <t>elc_spv_USA_024</t>
  </si>
  <si>
    <t>elc_spv_USA_025</t>
  </si>
  <si>
    <t>elc_spv_USA_026</t>
  </si>
  <si>
    <t>elc_spv_USA_027</t>
  </si>
  <si>
    <t>elc_spv_UZB_001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</si>
  <si>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</si>
  <si>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</si>
  <si>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</si>
  <si>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</si>
  <si>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</si>
  <si>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</si>
  <si>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</si>
  <si>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elc_spv_VEN_001</t>
  </si>
  <si>
    <t>elc_spv_VEN_002</t>
  </si>
  <si>
    <t>elc_spv_VEN_003</t>
  </si>
  <si>
    <t>elc_spv_VEN_004</t>
  </si>
  <si>
    <t>elc_spv_VEN_005</t>
  </si>
  <si>
    <t>elc_spv_VEN_006</t>
  </si>
  <si>
    <t>elc_spv_VEN_007</t>
  </si>
  <si>
    <t>elc_spv_VEN_008</t>
  </si>
  <si>
    <t>elc_spv_VEN_009</t>
  </si>
  <si>
    <t>elc_spv_VEN_010</t>
  </si>
  <si>
    <t>elc_spv_VNM_001</t>
  </si>
  <si>
    <t>elc_spv_VNM_002</t>
  </si>
  <si>
    <t>elc_spv_VNM_003</t>
  </si>
  <si>
    <t>elc_spv_VNM_004</t>
  </si>
  <si>
    <t>elc_spv_VNM_005</t>
  </si>
  <si>
    <t>elc_spv_VNM_006</t>
  </si>
  <si>
    <t>elc_spv_VNM_007</t>
  </si>
  <si>
    <t>elc_spv_VNM_008</t>
  </si>
  <si>
    <t>elc_spv_YEM_001</t>
  </si>
  <si>
    <t>elc_spv_YEM_002</t>
  </si>
  <si>
    <t>elc_spv_YEM_003</t>
  </si>
  <si>
    <t>elc_spv_YEM_004</t>
  </si>
  <si>
    <t>elc_spv_YEM_005</t>
  </si>
  <si>
    <t>elc_spv_YEM_006</t>
  </si>
  <si>
    <t>elc_spv_YEM_007</t>
  </si>
  <si>
    <t>elc_spv_YEM_008</t>
  </si>
  <si>
    <t>elc_spv_ZAF_001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</si>
  <si>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</si>
  <si>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</si>
  <si>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</si>
  <si>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</si>
  <si>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</si>
  <si>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</si>
  <si>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</si>
  <si>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</si>
  <si>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</si>
  <si>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</si>
  <si>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</si>
  <si>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elc_spv_ZMB_001</t>
  </si>
  <si>
    <t>elc_spv_ZMB_002</t>
  </si>
  <si>
    <t>elc_spv_ZMB_003</t>
  </si>
  <si>
    <t>elc_spv_ZMB_004</t>
  </si>
  <si>
    <t>elc_spv_ZMB_005</t>
  </si>
  <si>
    <t>elc_spv_ZMB_006</t>
  </si>
  <si>
    <t>elc_spv_ZMB_007</t>
  </si>
  <si>
    <t>elc_spv_ZMB_008</t>
  </si>
  <si>
    <t>elc_spv_ZMB_009</t>
  </si>
  <si>
    <t>elc_spv_ZMB_010</t>
  </si>
  <si>
    <t>elc_spv_ZWE_001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</si>
  <si>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</si>
  <si>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</si>
  <si>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</si>
  <si>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</si>
  <si>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</si>
  <si>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</si>
  <si>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elcagg_spv_AFG</t>
  </si>
  <si>
    <t>solar aggregator to grid -- Afghanistan</t>
  </si>
  <si>
    <t>elcagg_spv_AGO</t>
  </si>
  <si>
    <t>solar aggregator to grid -- Angola</t>
  </si>
  <si>
    <t>elcagg_spv_ALB</t>
  </si>
  <si>
    <t>solar aggregator to grid -- Albania</t>
  </si>
  <si>
    <t>elcagg_spv_ARE</t>
  </si>
  <si>
    <t>solar aggregator to grid -- United Arab Emirates</t>
  </si>
  <si>
    <t>elcagg_spv_ARG</t>
  </si>
  <si>
    <t>solar aggregator to grid -- Argentina</t>
  </si>
  <si>
    <t>elcagg_spv_ARM</t>
  </si>
  <si>
    <t>solar aggregator to grid -- Armenia</t>
  </si>
  <si>
    <t>elcagg_spv_AUS</t>
  </si>
  <si>
    <t>solar aggregator to grid -- Australia</t>
  </si>
  <si>
    <t>elcagg_spv_AUT</t>
  </si>
  <si>
    <t>solar aggregator to grid -- Austria</t>
  </si>
  <si>
    <t>elcagg_spv_AZE</t>
  </si>
  <si>
    <t>solar aggregator to grid -- Azerbaijan</t>
  </si>
  <si>
    <t>elcagg_spv_BDI</t>
  </si>
  <si>
    <t>solar aggregator to grid -- Burundi</t>
  </si>
  <si>
    <t>elcagg_spv_BEL</t>
  </si>
  <si>
    <t>solar aggregator to grid -- Belgium</t>
  </si>
  <si>
    <t>elcagg_spv_BEN</t>
  </si>
  <si>
    <t>solar aggregator to grid -- Benin</t>
  </si>
  <si>
    <t>elcagg_spv_BFA</t>
  </si>
  <si>
    <t>solar aggregator to grid -- Burkina Faso</t>
  </si>
  <si>
    <t>elcagg_spv_BGD</t>
  </si>
  <si>
    <t>solar aggregator to grid -- Bangladesh</t>
  </si>
  <si>
    <t>elcagg_spv_BGR</t>
  </si>
  <si>
    <t>solar aggregator to grid -- Bulgaria</t>
  </si>
  <si>
    <t>elcagg_spv_BIH</t>
  </si>
  <si>
    <t>solar aggregator to grid -- Bosnia and Herzegovina</t>
  </si>
  <si>
    <t>elcagg_spv_BLR</t>
  </si>
  <si>
    <t>solar aggregator to grid -- Belarus</t>
  </si>
  <si>
    <t>elcagg_spv_BOL</t>
  </si>
  <si>
    <t>solar aggregator to grid -- Bolivia</t>
  </si>
  <si>
    <t>elcagg_spv_BRA</t>
  </si>
  <si>
    <t>solar aggregator to grid -- Brazil</t>
  </si>
  <si>
    <t>elcagg_spv_BWA</t>
  </si>
  <si>
    <t>solar aggregator to grid -- Botswana</t>
  </si>
  <si>
    <t>elcagg_spv_CAF</t>
  </si>
  <si>
    <t>solar aggregator to grid -- Central African Republic</t>
  </si>
  <si>
    <t>elcagg_spv_CAN</t>
  </si>
  <si>
    <t>solar aggregator to grid -- Canada</t>
  </si>
  <si>
    <t>elcagg_spv_CHE</t>
  </si>
  <si>
    <t>solar aggregator to grid -- Switzerland</t>
  </si>
  <si>
    <t>elcagg_spv_CHL</t>
  </si>
  <si>
    <t>solar aggregator to grid -- Chile</t>
  </si>
  <si>
    <t>elcagg_spv_CHN</t>
  </si>
  <si>
    <t>solar aggregator to grid -- China</t>
  </si>
  <si>
    <t>elcagg_spv_CIV</t>
  </si>
  <si>
    <t>solar aggregator to grid -- Ivory Coast</t>
  </si>
  <si>
    <t>elcagg_spv_CMR</t>
  </si>
  <si>
    <t>solar aggregator to grid -- Cameroon</t>
  </si>
  <si>
    <t>elcagg_spv_COD</t>
  </si>
  <si>
    <t>solar aggregator to grid -- Democratic Republic of Congo</t>
  </si>
  <si>
    <t>elcagg_spv_COG</t>
  </si>
  <si>
    <t>solar aggregator to grid -- Republic of Congo</t>
  </si>
  <si>
    <t>elcagg_spv_COL</t>
  </si>
  <si>
    <t>solar aggregator to grid -- Colombia</t>
  </si>
  <si>
    <t>elcagg_spv_CRI</t>
  </si>
  <si>
    <t>solar aggregator to grid -- Costa Rica</t>
  </si>
  <si>
    <t>elcagg_spv_CUB</t>
  </si>
  <si>
    <t>solar aggregator to grid -- Cuba</t>
  </si>
  <si>
    <t>elcagg_spv_CZE</t>
  </si>
  <si>
    <t>solar aggregator to grid -- Czech Republic</t>
  </si>
  <si>
    <t>elcagg_spv_DEU</t>
  </si>
  <si>
    <t>solar aggregator to grid -- Germany</t>
  </si>
  <si>
    <t>elcagg_spv_DJI</t>
  </si>
  <si>
    <t>solar aggregator to grid -- Djibouti</t>
  </si>
  <si>
    <t>elcagg_spv_DNK</t>
  </si>
  <si>
    <t>solar aggregator to grid -- Denmark</t>
  </si>
  <si>
    <t>elcagg_spv_DOM</t>
  </si>
  <si>
    <t>solar aggregator to grid -- Dominican Republic</t>
  </si>
  <si>
    <t>elcagg_spv_DZA</t>
  </si>
  <si>
    <t>solar aggregator to grid -- Algeria</t>
  </si>
  <si>
    <t>elcagg_spv_ECU</t>
  </si>
  <si>
    <t>solar aggregator to grid -- Ecuador</t>
  </si>
  <si>
    <t>elcagg_spv_EGY</t>
  </si>
  <si>
    <t>solar aggregator to grid -- Egypt</t>
  </si>
  <si>
    <t>elcagg_spv_ERI</t>
  </si>
  <si>
    <t>solar aggregator to grid -- Eritrea</t>
  </si>
  <si>
    <t>elcagg_spv_ESP</t>
  </si>
  <si>
    <t>solar aggregator to grid -- Spain</t>
  </si>
  <si>
    <t>elcagg_spv_EST</t>
  </si>
  <si>
    <t>solar aggregator to grid -- Estonia</t>
  </si>
  <si>
    <t>elcagg_spv_ETH</t>
  </si>
  <si>
    <t>solar aggregator to grid -- Ethiopia</t>
  </si>
  <si>
    <t>elcagg_spv_FRA</t>
  </si>
  <si>
    <t>solar aggregator to grid -- France</t>
  </si>
  <si>
    <t>elcagg_spv_GAB</t>
  </si>
  <si>
    <t>solar aggregator to grid -- Gabon</t>
  </si>
  <si>
    <t>elcagg_spv_GBR</t>
  </si>
  <si>
    <t>solar aggregator to grid -- United Kingdom</t>
  </si>
  <si>
    <t>elcagg_spv_GEO</t>
  </si>
  <si>
    <t>solar aggregator to grid -- Georgia</t>
  </si>
  <si>
    <t>elcagg_spv_GHA</t>
  </si>
  <si>
    <t>solar aggregator to grid -- Ghana</t>
  </si>
  <si>
    <t>elcagg_spv_GIN</t>
  </si>
  <si>
    <t>solar aggregator to grid -- Guinea</t>
  </si>
  <si>
    <t>elcagg_spv_GNB</t>
  </si>
  <si>
    <t>solar aggregator to grid -- Guinea-Bissau</t>
  </si>
  <si>
    <t>elcagg_spv_GNQ</t>
  </si>
  <si>
    <t>solar aggregator to grid -- Equatorial Guinea</t>
  </si>
  <si>
    <t>elcagg_spv_GRC</t>
  </si>
  <si>
    <t>solar aggregator to grid -- Greece</t>
  </si>
  <si>
    <t>elcagg_spv_GTM</t>
  </si>
  <si>
    <t>solar aggregator to grid -- Guatemala</t>
  </si>
  <si>
    <t>elcagg_spv_GUY</t>
  </si>
  <si>
    <t>solar aggregator to grid -- Guyana</t>
  </si>
  <si>
    <t>elcagg_spv_HKG</t>
  </si>
  <si>
    <t>solar aggregator to grid -- Hong Kong SAR, China</t>
  </si>
  <si>
    <t>elcagg_spv_HND</t>
  </si>
  <si>
    <t>solar aggregator to grid -- Honduras</t>
  </si>
  <si>
    <t>elcagg_spv_HRV</t>
  </si>
  <si>
    <t>solar aggregator to grid -- Croatia</t>
  </si>
  <si>
    <t>elcagg_spv_HTI</t>
  </si>
  <si>
    <t>solar aggregator to grid -- Haiti</t>
  </si>
  <si>
    <t>elcagg_spv_HUN</t>
  </si>
  <si>
    <t>solar aggregator to grid -- Hungary</t>
  </si>
  <si>
    <t>elcagg_spv_IDN</t>
  </si>
  <si>
    <t>solar aggregator to grid -- Indonesia</t>
  </si>
  <si>
    <t>elcagg_spv_IND</t>
  </si>
  <si>
    <t>solar aggregator to grid -- India</t>
  </si>
  <si>
    <t>elcagg_spv_IRL</t>
  </si>
  <si>
    <t>solar aggregator to grid -- Ireland</t>
  </si>
  <si>
    <t>elcagg_spv_IRN</t>
  </si>
  <si>
    <t>solar aggregator to grid -- Iran</t>
  </si>
  <si>
    <t>elcagg_spv_IRQ</t>
  </si>
  <si>
    <t>solar aggregator to grid -- Iraq</t>
  </si>
  <si>
    <t>elcagg_spv_ISR</t>
  </si>
  <si>
    <t>solar aggregator to grid -- Israel</t>
  </si>
  <si>
    <t>elcagg_spv_ITA</t>
  </si>
  <si>
    <t>solar aggregator to grid -- Italy</t>
  </si>
  <si>
    <t>elcagg_spv_JAM</t>
  </si>
  <si>
    <t>solar aggregator to grid -- Jamaica</t>
  </si>
  <si>
    <t>elcagg_spv_JOR</t>
  </si>
  <si>
    <t>solar aggregator to grid -- Jordan</t>
  </si>
  <si>
    <t>elcagg_spv_JPN</t>
  </si>
  <si>
    <t>solar aggregator to grid -- Japan</t>
  </si>
  <si>
    <t>elcagg_spv_KAZ</t>
  </si>
  <si>
    <t>solar aggregator to grid -- Kazakhstan</t>
  </si>
  <si>
    <t>elcagg_spv_KEN</t>
  </si>
  <si>
    <t>solar aggregator to grid -- Kenya</t>
  </si>
  <si>
    <t>elcagg_spv_KGZ</t>
  </si>
  <si>
    <t>solar aggregator to grid -- Kyrgyz Republic</t>
  </si>
  <si>
    <t>elcagg_spv_KHM</t>
  </si>
  <si>
    <t>solar aggregator to grid -- Cambodia</t>
  </si>
  <si>
    <t>elcagg_spv_KOR</t>
  </si>
  <si>
    <t>solar aggregator to grid -- South Korea</t>
  </si>
  <si>
    <t>elcagg_spv_KWT</t>
  </si>
  <si>
    <t>solar aggregator to grid -- Kuwait</t>
  </si>
  <si>
    <t>elcagg_spv_LAO</t>
  </si>
  <si>
    <t>solar aggregator to grid -- Laos</t>
  </si>
  <si>
    <t>elcagg_spv_LBN</t>
  </si>
  <si>
    <t>solar aggregator to grid -- Lebanon</t>
  </si>
  <si>
    <t>elcagg_spv_LBR</t>
  </si>
  <si>
    <t>solar aggregator to grid -- Liberia</t>
  </si>
  <si>
    <t>elcagg_spv_LBY</t>
  </si>
  <si>
    <t>solar aggregator to grid -- Libya</t>
  </si>
  <si>
    <t>elcagg_spv_LKA</t>
  </si>
  <si>
    <t>solar aggregator to grid -- Sri Lanka</t>
  </si>
  <si>
    <t>elcagg_spv_LSO</t>
  </si>
  <si>
    <t>solar aggregator to grid -- Lesotho</t>
  </si>
  <si>
    <t>elcagg_spv_LTU</t>
  </si>
  <si>
    <t>solar aggregator to grid -- Lithuania</t>
  </si>
  <si>
    <t>elcagg_spv_LUX</t>
  </si>
  <si>
    <t>solar aggregator to grid -- Luxembourg</t>
  </si>
  <si>
    <t>elcagg_spv_LVA</t>
  </si>
  <si>
    <t>solar aggregator to grid -- Latvia</t>
  </si>
  <si>
    <t>elcagg_spv_MAR</t>
  </si>
  <si>
    <t>solar aggregator to grid -- Morocco</t>
  </si>
  <si>
    <t>elcagg_spv_MDA</t>
  </si>
  <si>
    <t>solar aggregator to grid -- Moldova</t>
  </si>
  <si>
    <t>elcagg_spv_MDG</t>
  </si>
  <si>
    <t>solar aggregator to grid -- Madagascar</t>
  </si>
  <si>
    <t>elcagg_spv_MEX</t>
  </si>
  <si>
    <t>solar aggregator to grid -- Mexico</t>
  </si>
  <si>
    <t>elcagg_spv_MKD</t>
  </si>
  <si>
    <t>solar aggregator to grid -- North Macedonia</t>
  </si>
  <si>
    <t>elcagg_spv_MLI</t>
  </si>
  <si>
    <t>solar aggregator to grid -- Mali</t>
  </si>
  <si>
    <t>elcagg_spv_MMR</t>
  </si>
  <si>
    <t>solar aggregator to grid -- Myanmar</t>
  </si>
  <si>
    <t>elcagg_spv_MNE</t>
  </si>
  <si>
    <t>solar aggregator to grid -- Montenegro</t>
  </si>
  <si>
    <t>elcagg_spv_MNG</t>
  </si>
  <si>
    <t>solar aggregator to grid -- Mongolia</t>
  </si>
  <si>
    <t>elcagg_spv_MOZ</t>
  </si>
  <si>
    <t>solar aggregator to grid -- Mozambique</t>
  </si>
  <si>
    <t>elcagg_spv_MRT</t>
  </si>
  <si>
    <t>solar aggregator to grid -- Mauritania</t>
  </si>
  <si>
    <t>elcagg_spv_MWI</t>
  </si>
  <si>
    <t>solar aggregator to grid -- Malawi</t>
  </si>
  <si>
    <t>elcagg_spv_MYS</t>
  </si>
  <si>
    <t>solar aggregator to grid -- Malaysia</t>
  </si>
  <si>
    <t>elcagg_spv_NAM</t>
  </si>
  <si>
    <t>solar aggregator to grid -- Namibia</t>
  </si>
  <si>
    <t>elcagg_spv_NCL</t>
  </si>
  <si>
    <t>solar aggregator to grid -- New Caledonia</t>
  </si>
  <si>
    <t>elcagg_spv_NER</t>
  </si>
  <si>
    <t>solar aggregator to grid -- Niger</t>
  </si>
  <si>
    <t>elcagg_spv_NGA</t>
  </si>
  <si>
    <t>solar aggregator to grid -- Nigeria</t>
  </si>
  <si>
    <t>elcagg_spv_NIC</t>
  </si>
  <si>
    <t>solar aggregator to grid -- Nicaragua</t>
  </si>
  <si>
    <t>elcagg_spv_NLD</t>
  </si>
  <si>
    <t>solar aggregator to grid -- Netherlands</t>
  </si>
  <si>
    <t>elcagg_spv_NOR</t>
  </si>
  <si>
    <t>solar aggregator to grid -- Norway</t>
  </si>
  <si>
    <t>elcagg_spv_NPL</t>
  </si>
  <si>
    <t>solar aggregator to grid -- Nepal</t>
  </si>
  <si>
    <t>elcagg_spv_NZL</t>
  </si>
  <si>
    <t>solar aggregator to grid -- New Zealand</t>
  </si>
  <si>
    <t>elcagg_spv_OMN</t>
  </si>
  <si>
    <t>solar aggregator to grid -- Oman</t>
  </si>
  <si>
    <t>elcagg_spv_PAK</t>
  </si>
  <si>
    <t>solar aggregator to grid -- Pakistan</t>
  </si>
  <si>
    <t>elcagg_spv_PAN</t>
  </si>
  <si>
    <t>solar aggregator to grid -- Panama</t>
  </si>
  <si>
    <t>elcagg_spv_PER</t>
  </si>
  <si>
    <t>solar aggregator to grid -- Peru</t>
  </si>
  <si>
    <t>elcagg_spv_PHL</t>
  </si>
  <si>
    <t>solar aggregator to grid -- Philippines</t>
  </si>
  <si>
    <t>elcagg_spv_PNG</t>
  </si>
  <si>
    <t>solar aggregator to grid -- Papua New Guinea</t>
  </si>
  <si>
    <t>elcagg_spv_POL</t>
  </si>
  <si>
    <t>solar aggregator to grid -- Poland</t>
  </si>
  <si>
    <t>elcagg_spv_PRI</t>
  </si>
  <si>
    <t>solar aggregator to grid -- Puerto Rico</t>
  </si>
  <si>
    <t>elcagg_spv_PRK</t>
  </si>
  <si>
    <t>solar aggregator to grid -- Dem. People^s Rep. Korea</t>
  </si>
  <si>
    <t>elcagg_spv_PRT</t>
  </si>
  <si>
    <t>solar aggregator to grid -- Portugal</t>
  </si>
  <si>
    <t>elcagg_spv_PRY</t>
  </si>
  <si>
    <t>solar aggregator to grid -- Paraguay</t>
  </si>
  <si>
    <t>elcagg_spv_QAT</t>
  </si>
  <si>
    <t>solar aggregator to grid -- Qatar</t>
  </si>
  <si>
    <t>elcagg_spv_ROU</t>
  </si>
  <si>
    <t>solar aggregator to grid -- Romania</t>
  </si>
  <si>
    <t>elcagg_spv_RUS</t>
  </si>
  <si>
    <t>solar aggregator to grid -- Russia</t>
  </si>
  <si>
    <t>elcagg_spv_RWA</t>
  </si>
  <si>
    <t>solar aggregator to grid -- Rwanda</t>
  </si>
  <si>
    <t>elcagg_spv_SAU</t>
  </si>
  <si>
    <t>solar aggregator to grid -- Saudi Arabia</t>
  </si>
  <si>
    <t>elcagg_spv_SDN</t>
  </si>
  <si>
    <t>solar aggregator to grid -- Sudan</t>
  </si>
  <si>
    <t>elcagg_spv_SEN</t>
  </si>
  <si>
    <t>solar aggregator to grid -- Senegal</t>
  </si>
  <si>
    <t>elcagg_spv_SGP</t>
  </si>
  <si>
    <t>solar aggregator to grid -- Singapore</t>
  </si>
  <si>
    <t>elcagg_spv_SLE</t>
  </si>
  <si>
    <t>solar aggregator to grid -- Sierra Leone</t>
  </si>
  <si>
    <t>elcagg_spv_SLV</t>
  </si>
  <si>
    <t>solar aggregator to grid -- El Salvador</t>
  </si>
  <si>
    <t>elcagg_spv_SOM</t>
  </si>
  <si>
    <t>solar aggregator to grid -- Somalia</t>
  </si>
  <si>
    <t>elcagg_spv_SRB</t>
  </si>
  <si>
    <t>solar aggregator to grid -- Serbia</t>
  </si>
  <si>
    <t>elcagg_spv_SSD</t>
  </si>
  <si>
    <t>solar aggregator to grid -- South Sudan</t>
  </si>
  <si>
    <t>elcagg_spv_SUR</t>
  </si>
  <si>
    <t>solar aggregator to grid -- Suriname</t>
  </si>
  <si>
    <t>elcagg_spv_SVK</t>
  </si>
  <si>
    <t>solar aggregator to grid -- Slovak Republic</t>
  </si>
  <si>
    <t>elcagg_spv_SVN</t>
  </si>
  <si>
    <t>solar aggregator to grid -- Slovenia</t>
  </si>
  <si>
    <t>elcagg_spv_SWE</t>
  </si>
  <si>
    <t>solar aggregator to grid -- Sweden</t>
  </si>
  <si>
    <t>elcagg_spv_SYR</t>
  </si>
  <si>
    <t>solar aggregator to grid -- Syrian Arab Republic</t>
  </si>
  <si>
    <t>elcagg_spv_TCD</t>
  </si>
  <si>
    <t>solar aggregator to grid -- Chad</t>
  </si>
  <si>
    <t>elcagg_spv_TGO</t>
  </si>
  <si>
    <t>solar aggregator to grid -- Togo</t>
  </si>
  <si>
    <t>elcagg_spv_THA</t>
  </si>
  <si>
    <t>solar aggregator to grid -- Thailand</t>
  </si>
  <si>
    <t>elcagg_spv_TJK</t>
  </si>
  <si>
    <t>solar aggregator to grid -- Tajikistan</t>
  </si>
  <si>
    <t>elcagg_spv_TKM</t>
  </si>
  <si>
    <t>solar aggregator to grid -- Turkmenistan</t>
  </si>
  <si>
    <t>elcagg_spv_TUN</t>
  </si>
  <si>
    <t>solar aggregator to grid -- Tunisia</t>
  </si>
  <si>
    <t>elcagg_spv_TUR</t>
  </si>
  <si>
    <t>solar aggregator to grid -- Turkey</t>
  </si>
  <si>
    <t>elcagg_spv_TWN</t>
  </si>
  <si>
    <t>solar aggregator to grid -- Taiwan</t>
  </si>
  <si>
    <t>elcagg_spv_TZA</t>
  </si>
  <si>
    <t>solar aggregator to grid -- Tanzania</t>
  </si>
  <si>
    <t>elcagg_spv_UGA</t>
  </si>
  <si>
    <t>solar aggregator to grid -- Uganda</t>
  </si>
  <si>
    <t>elcagg_spv_UKR</t>
  </si>
  <si>
    <t>solar aggregator to grid -- Ukraine</t>
  </si>
  <si>
    <t>elcagg_spv_URY</t>
  </si>
  <si>
    <t>solar aggregator to grid -- Uruguay</t>
  </si>
  <si>
    <t>elcagg_spv_USA</t>
  </si>
  <si>
    <t>solar aggregator to grid -- United States</t>
  </si>
  <si>
    <t>elcagg_spv_UZB</t>
  </si>
  <si>
    <t>solar aggregator to grid -- Uzbekistan</t>
  </si>
  <si>
    <t>elcagg_spv_VEN</t>
  </si>
  <si>
    <t>solar aggregator to grid -- Venezuela</t>
  </si>
  <si>
    <t>elcagg_spv_VNM</t>
  </si>
  <si>
    <t>solar aggregator to grid -- Vietnam</t>
  </si>
  <si>
    <t>elcagg_spv_YEM</t>
  </si>
  <si>
    <t>solar aggregator to grid -- Yemen</t>
  </si>
  <si>
    <t>elcagg_spv_ZAF</t>
  </si>
  <si>
    <t>solar aggregator to grid -- South Africa</t>
  </si>
  <si>
    <t>elcagg_spv_ZMB</t>
  </si>
  <si>
    <t>solar aggregator to grid -- Zambia</t>
  </si>
  <si>
    <t>elcagg_spv_ZWE</t>
  </si>
  <si>
    <t>solar aggregator to grid -- Zimbabwe</t>
  </si>
  <si>
    <t>EFF</t>
  </si>
  <si>
    <t>en_won_AFG_001</t>
  </si>
  <si>
    <t>wind onshore resource in Zabul region (near Kandahar) -- Afghanistan</t>
  </si>
  <si>
    <t>en_won_AFG_002</t>
  </si>
  <si>
    <t>wind onshore resource in Kandahar region (near Kandahar) -- Afghanistan</t>
  </si>
  <si>
    <t>en_won_AFG_003</t>
  </si>
  <si>
    <t>wind onshore resource in Helmand region (near Lashkar Gah) -- Afghanistan</t>
  </si>
  <si>
    <t>en_won_AFG_004</t>
  </si>
  <si>
    <t>en_won_AFG_005</t>
  </si>
  <si>
    <t>wind onshore resource in Jowzjan region (near Aqchah) -- Afghanistan</t>
  </si>
  <si>
    <t>en_won_AFG_006</t>
  </si>
  <si>
    <t>wind onshore resource in Mary region (near Herat) -- Afghanistan</t>
  </si>
  <si>
    <t>en_won_AFG_007</t>
  </si>
  <si>
    <t>wind onshore resource in Farah region (near Farah) -- Afghanistan</t>
  </si>
  <si>
    <t>en_won_AGO_001</t>
  </si>
  <si>
    <t>wind onshore resource in Namibe region (near Mocamedes) -- Angola</t>
  </si>
  <si>
    <t>en_won_AGO_002</t>
  </si>
  <si>
    <t>wind onshore resource in Cunene region (near Chibia) -- Angola</t>
  </si>
  <si>
    <t>en_won_AGO_003</t>
  </si>
  <si>
    <t>en_won_AGO_004</t>
  </si>
  <si>
    <t>wind onshore resource in Moxico region (near Luena) -- Angola</t>
  </si>
  <si>
    <t>en_won_AGO_005</t>
  </si>
  <si>
    <t>wind onshore resource in Lunda Sul region (near Saurimo) -- Angola</t>
  </si>
  <si>
    <t>en_won_AGO_006</t>
  </si>
  <si>
    <t>wind onshore resource in Malanje region (near Uige) -- Angola</t>
  </si>
  <si>
    <t>en_won_AGO_007</t>
  </si>
  <si>
    <t>wind onshore resource in Cunene region (near Matala) -- Angola</t>
  </si>
  <si>
    <t>en_won_AGO_008</t>
  </si>
  <si>
    <t>wind onshore resource in Moxico region (near Menongue) -- Angola</t>
  </si>
  <si>
    <t>en_won_AGO_009</t>
  </si>
  <si>
    <t>wind onshore resource in Cuando Cubango region (near Menongue) -- Angola</t>
  </si>
  <si>
    <t>en_won_ALB_001</t>
  </si>
  <si>
    <t>wind onshore resource in Tirana region (near Tirana) -- Albania</t>
  </si>
  <si>
    <t>en_won_ALB_002</t>
  </si>
  <si>
    <t>wind onshore resource in Vlore region (near Vlore) -- Albania</t>
  </si>
  <si>
    <t>en_won_ARE_001</t>
  </si>
  <si>
    <t>wind onshore resource in Emirate of Abu Dhabi region (near Abu Dhabi) -- United Arab Emirates</t>
  </si>
  <si>
    <t>en_won_ARE_002</t>
  </si>
  <si>
    <t>en_won_ARE_003</t>
  </si>
  <si>
    <t>wind onshore resource in Emirate of Sharjah region (near Sharjah) -- United Arab Emirates</t>
  </si>
  <si>
    <t>en_won_ARE_004</t>
  </si>
  <si>
    <t>wind onshore resource in Al Buraimi region (near Abu Dhabi) -- United Arab Emirates</t>
  </si>
  <si>
    <t>en_won_ARG_001</t>
  </si>
  <si>
    <t>wind onshore resource in Neuquen region (near Neuquen) -- Argentina</t>
  </si>
  <si>
    <t>en_won_ARG_002</t>
  </si>
  <si>
    <t>en_won_ARG_003</t>
  </si>
  <si>
    <t>wind onshore resource in Rio Negro region (near Puerto Madryn) -- Argentina</t>
  </si>
  <si>
    <t>en_won_ARG_004</t>
  </si>
  <si>
    <t>wind onshore resource in Santa Cruz region (near Rio Gallegos) -- Argentina</t>
  </si>
  <si>
    <t>en_won_ARG_005</t>
  </si>
  <si>
    <t>wind onshore resource in Santa Cruz region (near Comodoro Rivadavia) -- Argentina</t>
  </si>
  <si>
    <t>en_won_ARG_006</t>
  </si>
  <si>
    <t>wind onshore resource in Buenos Aires region (near Olavarria) -- Argentina</t>
  </si>
  <si>
    <t>en_won_ARG_007</t>
  </si>
  <si>
    <t>wind onshore resource in La Rioja region (near Cordoba) -- Argentina</t>
  </si>
  <si>
    <t>en_won_ARG_008</t>
  </si>
  <si>
    <t>wind onshore resource in La Pampa region (near Santa Rosa) -- Argentina</t>
  </si>
  <si>
    <t>en_won_ARG_009</t>
  </si>
  <si>
    <t>wind onshore resource in Mendoza region (near San Rafael) -- Argentina</t>
  </si>
  <si>
    <t>en_won_ARG_010</t>
  </si>
  <si>
    <t>wind onshore resource in Entre Rios region (near Concepcion del Uruguay) -- Argentina</t>
  </si>
  <si>
    <t>en_won_ARG_011</t>
  </si>
  <si>
    <t>wind onshore resource in Santiago del Estero region (near Santiago del Estero) -- Argentina</t>
  </si>
  <si>
    <t>en_won_ARG_012</t>
  </si>
  <si>
    <t>wind onshore resource in Catamarca region (near Catamarca) -- Argentina</t>
  </si>
  <si>
    <t>en_won_ARG_013</t>
  </si>
  <si>
    <t>wind onshore resource in Salta region (near San Salvador de Jujuy) -- Argentina</t>
  </si>
  <si>
    <t>en_won_ARG_014</t>
  </si>
  <si>
    <t>wind onshore resource in Corrientes region (near Corrientes) -- Argentina</t>
  </si>
  <si>
    <t>en_won_ARM_001</t>
  </si>
  <si>
    <t>wind onshore resource in Gegharkunik region (near Abovyan) -- Armenia</t>
  </si>
  <si>
    <t>en_won_ARM_002</t>
  </si>
  <si>
    <t>wind onshore resource in Gegharkunik region (near Hrazdan) -- Armenia</t>
  </si>
  <si>
    <t>en_won_ARM_003</t>
  </si>
  <si>
    <t>wind onshore resource in Tovuz region (near Hrazdan) -- Armenia</t>
  </si>
  <si>
    <t>en_won_AUS_001</t>
  </si>
  <si>
    <t>wind onshore resource in Northern Territory region (near Adelaide) -- Australia</t>
  </si>
  <si>
    <t>en_won_AUS_002</t>
  </si>
  <si>
    <t>wind onshore resource in Western Australia region (near Perth) -- Australia</t>
  </si>
  <si>
    <t>en_won_AUS_003</t>
  </si>
  <si>
    <t>en_won_AUS_004</t>
  </si>
  <si>
    <t>wind onshore resource in New South Wales region (near Sydney) -- Australia</t>
  </si>
  <si>
    <t>en_won_AUS_005</t>
  </si>
  <si>
    <t>en_won_AUS_006</t>
  </si>
  <si>
    <t>wind onshore resource in New South Wales region (near Adelaide) -- Australia</t>
  </si>
  <si>
    <t>en_won_AUS_007</t>
  </si>
  <si>
    <t>wind onshore resource in Victoria region (near Adelaide) -- Australia</t>
  </si>
  <si>
    <t>en_won_AUS_008</t>
  </si>
  <si>
    <t>wind onshore resource in New South Wales region (near Melbourne) -- Australia</t>
  </si>
  <si>
    <t>en_won_AUS_009</t>
  </si>
  <si>
    <t>wind onshore resource in Victoria region (near Melbourne) -- Australia</t>
  </si>
  <si>
    <t>en_won_AUS_010</t>
  </si>
  <si>
    <t>wind onshore resource in Queensland region (near Brisbane) -- Australia</t>
  </si>
  <si>
    <t>en_won_AUS_011</t>
  </si>
  <si>
    <t>en_won_AUS_012</t>
  </si>
  <si>
    <t>en_won_AUS_013</t>
  </si>
  <si>
    <t>en_won_AUS_014</t>
  </si>
  <si>
    <t>en_won_AUS_015</t>
  </si>
  <si>
    <t>en_won_AUS_016</t>
  </si>
  <si>
    <t>en_won_AUS_017</t>
  </si>
  <si>
    <t>en_won_AUS_018</t>
  </si>
  <si>
    <t>en_won_AUS_019</t>
  </si>
  <si>
    <t>en_won_AUS_020</t>
  </si>
  <si>
    <t>en_won_AUS_021</t>
  </si>
  <si>
    <t>wind onshore resource in South Australia region (near Adelaide) -- Australia</t>
  </si>
  <si>
    <t>en_won_AUT_001</t>
  </si>
  <si>
    <t>wind onshore resource in Lower Austria region (near Wiener Neustadt) -- Austria</t>
  </si>
  <si>
    <t>en_won_AUT_002</t>
  </si>
  <si>
    <t>wind onshore resource in Bavaria region (near Lochau) -- Austria</t>
  </si>
  <si>
    <t>en_won_AUT_003</t>
  </si>
  <si>
    <t>wind onshore resource in Upper Austria region (near Linz) -- Austria</t>
  </si>
  <si>
    <t>en_won_AZE_001</t>
  </si>
  <si>
    <t>wind onshore resource in Absheron region (near Sumqayit) -- Azerbaijan</t>
  </si>
  <si>
    <t>en_won_AZE_002</t>
  </si>
  <si>
    <t>wind onshore resource in Samukh region (near Ganca) -- Azerbaijan</t>
  </si>
  <si>
    <t>en_won_BDI_001</t>
  </si>
  <si>
    <t>wind onshore resource in Makamba region (near Gitega) -- Burundi</t>
  </si>
  <si>
    <t>en_won_BDI_002</t>
  </si>
  <si>
    <t>wind onshore resource in Ruyigi region (near Ruyigi) -- Burundi</t>
  </si>
  <si>
    <t>en_won_BEL_001</t>
  </si>
  <si>
    <t>wind onshore resource in Luxembourg region (near Arlon) -- Belgium</t>
  </si>
  <si>
    <t>en_won_BEL_002</t>
  </si>
  <si>
    <t>wind onshore resource in Limburg region (near Hasselt) -- Belgium</t>
  </si>
  <si>
    <t>en_won_BEL_003</t>
  </si>
  <si>
    <t>wind onshore resource in Hainaut region (near Ath) -- Belgium</t>
  </si>
  <si>
    <t>en_won_BEN_001</t>
  </si>
  <si>
    <t>wind onshore resource in Atlantique region (near Allada) -- Benin</t>
  </si>
  <si>
    <t>en_won_BEN_002</t>
  </si>
  <si>
    <t>wind onshore resource in Borgou region (near Sinende) -- Benin</t>
  </si>
  <si>
    <t>en_won_BEN_003</t>
  </si>
  <si>
    <t>wind onshore resource in Atakora region (near Banikoara) -- Benin</t>
  </si>
  <si>
    <t>en_won_BEN_004</t>
  </si>
  <si>
    <t>wind onshore resource in Alibori region (near Malanville) -- Benin</t>
  </si>
  <si>
    <t>en_won_BFA_001</t>
  </si>
  <si>
    <t>wind onshore resource in Oudalan region (near Djibo) -- Burkina Faso</t>
  </si>
  <si>
    <t>en_won_BFA_002</t>
  </si>
  <si>
    <t>wind onshore resource in Gnagna region (near Kaya) -- Burkina Faso</t>
  </si>
  <si>
    <t>en_won_BFA_003</t>
  </si>
  <si>
    <t>wind onshore resource in Banwa region (near Dedougou) -- Burkina Faso</t>
  </si>
  <si>
    <t>en_won_BFA_004</t>
  </si>
  <si>
    <t>wind onshore resource in Sourou region (near Ouahigouya) -- Burkina Faso</t>
  </si>
  <si>
    <t>en_won_BFA_005</t>
  </si>
  <si>
    <t>wind onshore resource in Comoe region (near Banfora) -- Burkina Faso</t>
  </si>
  <si>
    <t>en_won_BFA_006</t>
  </si>
  <si>
    <t>wind onshore resource in Ziro region (near Ouagadougou) -- Burkina Faso</t>
  </si>
  <si>
    <t>en_won_BFA_007</t>
  </si>
  <si>
    <t>wind onshore resource in Tapoa region (near Fada Ngourma) -- Burkina Faso</t>
  </si>
  <si>
    <t>en_won_BGD_001</t>
  </si>
  <si>
    <t>wind onshore resource in Rangpur region (near Rangapukur) -- Bangladesh</t>
  </si>
  <si>
    <t>en_won_BGD_002</t>
  </si>
  <si>
    <t>wind onshore resource in Rajshahi region (near Rajshahi) -- Bangladesh</t>
  </si>
  <si>
    <t>en_won_BGD_003</t>
  </si>
  <si>
    <t>wind onshore resource in Khulna region (near Khulna) -- Bangladesh</t>
  </si>
  <si>
    <t>en_won_BGD_004</t>
  </si>
  <si>
    <t>wind onshore resource in Chattogram region (near Chattogram) -- Bangladesh</t>
  </si>
  <si>
    <t>en_won_BGD_005</t>
  </si>
  <si>
    <t>wind onshore resource in Chattogram region (near Narayanganj) -- Bangladesh</t>
  </si>
  <si>
    <t>en_won_BGR_001</t>
  </si>
  <si>
    <t>wind onshore resource in Olt region (near Pleven) -- Bulgaria</t>
  </si>
  <si>
    <t>en_won_BGR_002</t>
  </si>
  <si>
    <t>wind onshore resource in Ruse region (near Ruse) -- Bulgaria</t>
  </si>
  <si>
    <t>en_won_BGR_003</t>
  </si>
  <si>
    <t>wind onshore resource in Dobrich region (near Dobrich) -- Bulgaria</t>
  </si>
  <si>
    <t>en_won_BGR_004</t>
  </si>
  <si>
    <t>wind onshore resource in Edirne region (near Yambol) -- Bulgaria</t>
  </si>
  <si>
    <t>en_won_BIH_001</t>
  </si>
  <si>
    <t>wind onshore resource in Trebinje region (near Trebinje) -- Bosnia and Herzegovina</t>
  </si>
  <si>
    <t>en_won_BIH_002</t>
  </si>
  <si>
    <t>wind onshore resource in Livno region (near Bugojno) -- Bosnia and Herzegovina</t>
  </si>
  <si>
    <t>en_won_BLR_001</t>
  </si>
  <si>
    <t>wind onshore resource in Minsk region (near Salihorsk) -- Belarus</t>
  </si>
  <si>
    <t>en_won_BLR_002</t>
  </si>
  <si>
    <t>wind onshore resource in Grodno region (near Lida) -- Belarus</t>
  </si>
  <si>
    <t>en_won_BLR_003</t>
  </si>
  <si>
    <t>wind onshore resource in Brest region (near Pinsk) -- Belarus</t>
  </si>
  <si>
    <t>en_won_BLR_004</t>
  </si>
  <si>
    <t>wind onshore resource in Vitebsk region (near Navapolatsk) -- Belarus</t>
  </si>
  <si>
    <t>en_won_BLR_005</t>
  </si>
  <si>
    <t>wind onshore resource in Mahilioŭ region (near Mahilyow) -- Belarus</t>
  </si>
  <si>
    <t>en_won_BLR_006</t>
  </si>
  <si>
    <t>wind onshore resource in Gomel region (near Homyel') -- Belarus</t>
  </si>
  <si>
    <t>en_won_BOL_001</t>
  </si>
  <si>
    <t>wind onshore resource in Beni region (near La Paz) -- Bolivia</t>
  </si>
  <si>
    <t>en_won_BOL_002</t>
  </si>
  <si>
    <t>wind onshore resource in Mato Grosso region (near Santa Cruz de la Sierra) -- Bolivia</t>
  </si>
  <si>
    <t>en_won_BOL_003</t>
  </si>
  <si>
    <t>wind onshore resource in Beni region (near Santa Cruz de la Sierra) -- Bolivia</t>
  </si>
  <si>
    <t>en_won_BOL_004</t>
  </si>
  <si>
    <t>wind onshore resource in Tarija region (near Tarija) -- Bolivia</t>
  </si>
  <si>
    <t>en_won_BOL_005</t>
  </si>
  <si>
    <t>wind onshore resource in Potosi region (near Potosi) -- Bolivia</t>
  </si>
  <si>
    <t>en_won_BOL_006</t>
  </si>
  <si>
    <t>wind onshore resource in Santa Cruz region (near Santa Cruz de la Sierra) -- Bolivia</t>
  </si>
  <si>
    <t>en_won_BOL_007</t>
  </si>
  <si>
    <t>en_won_BRA_001</t>
  </si>
  <si>
    <t>wind onshore resource in Mato Grosso do Sul region (near Corumba) -- Brazil</t>
  </si>
  <si>
    <t>en_won_BRA_002</t>
  </si>
  <si>
    <t>wind onshore resource in Santa Catarina region (near Lajes) -- Brazil</t>
  </si>
  <si>
    <t>en_won_BRA_003</t>
  </si>
  <si>
    <t>wind onshore resource in Rio Grande do Sul region (near Sao Gabriel) -- Brazil</t>
  </si>
  <si>
    <t>en_won_BRA_004</t>
  </si>
  <si>
    <t>wind onshore resource in Sao Paulo region (near Botucatu) -- Brazil</t>
  </si>
  <si>
    <t>en_won_BRA_005</t>
  </si>
  <si>
    <t>wind onshore resource in Minas Gerais region (near Lavras) -- Brazil</t>
  </si>
  <si>
    <t>en_won_BRA_006</t>
  </si>
  <si>
    <t>wind onshore resource in Mato Grosso do Sul region (near Campo Grande) -- Brazil</t>
  </si>
  <si>
    <t>en_won_BRA_007</t>
  </si>
  <si>
    <t>wind onshore resource in Parana region (near Cascavel) -- Brazil</t>
  </si>
  <si>
    <t>en_won_BRA_008</t>
  </si>
  <si>
    <t>wind onshore resource in Bahia region (near Senhor do Bonfim) -- Brazil</t>
  </si>
  <si>
    <t>en_won_BRA_009</t>
  </si>
  <si>
    <t>wind onshore resource in Para region (near Capitao Poco) -- Brazil</t>
  </si>
  <si>
    <t>en_won_BRA_010</t>
  </si>
  <si>
    <t>wind onshore resource in Paraiba region (near Patos) -- Brazil</t>
  </si>
  <si>
    <t>en_won_BRA_011</t>
  </si>
  <si>
    <t>wind onshore resource in Roraima region (near Boa Vista) -- Brazil</t>
  </si>
  <si>
    <t>en_won_BRA_012</t>
  </si>
  <si>
    <t>wind onshore resource in Minas Gerais region (near Colatina) -- Brazil</t>
  </si>
  <si>
    <t>en_won_BRA_013</t>
  </si>
  <si>
    <t>wind onshore resource in Tocantins region (near Barreiras) -- Brazil</t>
  </si>
  <si>
    <t>en_won_BRA_014</t>
  </si>
  <si>
    <t>wind onshore resource in Piaui region (near Floriano) -- Brazil</t>
  </si>
  <si>
    <t>en_won_BRA_015</t>
  </si>
  <si>
    <t>wind onshore resource in Minas Gerais region (near Januaria) -- Brazil</t>
  </si>
  <si>
    <t>en_won_BRA_016</t>
  </si>
  <si>
    <t>wind onshore resource in Goias region (near Paracatu) -- Brazil</t>
  </si>
  <si>
    <t>en_won_BWA_001</t>
  </si>
  <si>
    <t>wind onshore resource in Kgalagadi region (near Kanye) -- Botswana</t>
  </si>
  <si>
    <t>en_won_BWA_002</t>
  </si>
  <si>
    <t>wind onshore resource in Southern region (near Kanye) -- Botswana</t>
  </si>
  <si>
    <t>en_won_BWA_003</t>
  </si>
  <si>
    <t>wind onshore resource in Kweneng region (near Molepolole) -- Botswana</t>
  </si>
  <si>
    <t>en_won_BWA_004</t>
  </si>
  <si>
    <t>wind onshore resource in Central region (near Selibe Phikwe) -- Botswana</t>
  </si>
  <si>
    <t>en_won_BWA_005</t>
  </si>
  <si>
    <t>wind onshore resource in Central region (near Serowe) -- Botswana</t>
  </si>
  <si>
    <t>en_won_BWA_006</t>
  </si>
  <si>
    <t>wind onshore resource in North-West region (near Maun) -- Botswana</t>
  </si>
  <si>
    <t>en_won_BWA_007</t>
  </si>
  <si>
    <t>wind onshore resource in Ghanzi region (near Maun) -- Botswana</t>
  </si>
  <si>
    <t>en_won_BWA_008</t>
  </si>
  <si>
    <t>en_won_BWA_009</t>
  </si>
  <si>
    <t>en_won_CAF_001</t>
  </si>
  <si>
    <t>wind onshore resource in Vakaga Prefecture region (near Bambari) -- Central African Republic</t>
  </si>
  <si>
    <t>en_won_CAF_002</t>
  </si>
  <si>
    <t>wind onshore resource in Moyen-Chari region (near Bambari) -- Central African Republic</t>
  </si>
  <si>
    <t>en_won_CAF_003</t>
  </si>
  <si>
    <t>wind onshore resource in Salamat region (near Bambari) -- Central African Republic</t>
  </si>
  <si>
    <t>en_won_CAN_001</t>
  </si>
  <si>
    <t>wind onshore resource in Alberta region (near Lethbridge) -- Canada</t>
  </si>
  <si>
    <t>en_won_CAN_002</t>
  </si>
  <si>
    <t>wind onshore resource in British Columbia region (near Kamloops) -- Canada</t>
  </si>
  <si>
    <t>en_won_CAN_003</t>
  </si>
  <si>
    <t>wind onshore resource in British Columbia region (near Nanaimo) -- Canada</t>
  </si>
  <si>
    <t>en_won_CAN_004</t>
  </si>
  <si>
    <t>wind onshore resource in Alberta region (near Edmonton) -- Canada</t>
  </si>
  <si>
    <t>en_won_CAN_005</t>
  </si>
  <si>
    <t>en_won_CAN_006</t>
  </si>
  <si>
    <t>en_won_CAN_007</t>
  </si>
  <si>
    <t>en_won_CAN_008</t>
  </si>
  <si>
    <t>wind onshore resource in Quebec region (near Chicoutimi) -- Canada</t>
  </si>
  <si>
    <t>en_won_CAN_009</t>
  </si>
  <si>
    <t>wind onshore resource in Quebec region (near Laval) -- Canada</t>
  </si>
  <si>
    <t>en_won_CAN_010</t>
  </si>
  <si>
    <t>en_won_CAN_011</t>
  </si>
  <si>
    <t>wind onshore resource in Newfoundland and Labrador region (near St. John's) -- Canada</t>
  </si>
  <si>
    <t>en_won_CAN_012</t>
  </si>
  <si>
    <t>en_won_CAN_013</t>
  </si>
  <si>
    <t>en_won_CAN_014</t>
  </si>
  <si>
    <t>wind onshore resource in Manitoba region (near Winnipeg) -- Canada</t>
  </si>
  <si>
    <t>en_won_CAN_015</t>
  </si>
  <si>
    <t>wind onshore resource in Saskatchewan region (near Edmonton) -- Canada</t>
  </si>
  <si>
    <t>en_won_CAN_016</t>
  </si>
  <si>
    <t>wind onshore resource in Saskatchewan region (near Regina) -- Canada</t>
  </si>
  <si>
    <t>en_won_CAN_017</t>
  </si>
  <si>
    <t>wind onshore resource in Saskatchewan region (near Saskatoon) -- Canada</t>
  </si>
  <si>
    <t>en_won_CAN_018</t>
  </si>
  <si>
    <t>wind onshore resource in Ontario region (near Thunder Bay) -- Canada</t>
  </si>
  <si>
    <t>en_won_CAN_019</t>
  </si>
  <si>
    <t>en_won_CAN_020</t>
  </si>
  <si>
    <t>wind onshore resource in Ontario region (near Sudbury) -- Canada</t>
  </si>
  <si>
    <t>en_won_CAN_021</t>
  </si>
  <si>
    <t>en_won_CAN_022</t>
  </si>
  <si>
    <t>en_won_CAN_023</t>
  </si>
  <si>
    <t>en_won_CHE_001</t>
  </si>
  <si>
    <t>wind onshore resource in Aargau region (near Aarau) -- Switzerland</t>
  </si>
  <si>
    <t>en_won_CHE_002</t>
  </si>
  <si>
    <t>wind onshore resource in Doubs region (near La Chaux-de-Fonds) -- Switzerland</t>
  </si>
  <si>
    <t>en_won_CHL_001</t>
  </si>
  <si>
    <t>wind onshore resource in Magellan and the Chilean Antarctic region (near Punta Arenas) -- Chile</t>
  </si>
  <si>
    <t>en_won_CHL_002</t>
  </si>
  <si>
    <t>wind onshore resource in Santa Cruz region (near Puerto Montt) -- Chile</t>
  </si>
  <si>
    <t>en_won_CHL_003</t>
  </si>
  <si>
    <t>wind onshore resource in Aysen region (near Punta Arenas) -- Chile</t>
  </si>
  <si>
    <t>en_won_CHL_004</t>
  </si>
  <si>
    <t>wind onshore resource in Antofagasta region (near Calama) -- Chile</t>
  </si>
  <si>
    <t>en_won_CHL_005</t>
  </si>
  <si>
    <t>wind onshore resource in Nuble region (near Chillan) -- Chile</t>
  </si>
  <si>
    <t>en_won_CHL_006</t>
  </si>
  <si>
    <t>wind onshore resource in near Ovalle -- Chile</t>
  </si>
  <si>
    <t>en_won_CHL_007</t>
  </si>
  <si>
    <t>wind onshore resource in Araucania region (near Temuco) -- Chile</t>
  </si>
  <si>
    <t>en_won_CHL_008</t>
  </si>
  <si>
    <t>wind onshore resource in Los Lagos region (near Puerto Montt) -- Chile</t>
  </si>
  <si>
    <t>en_won_CHN_001</t>
  </si>
  <si>
    <t>wind onshore resource in Xinjiang region (near Urumqi) -- China</t>
  </si>
  <si>
    <t>en_won_CHN_002</t>
  </si>
  <si>
    <t>en_won_CHN_003</t>
  </si>
  <si>
    <t>wind onshore resource in Inner Mongolia region (near Yinchuan) -- China</t>
  </si>
  <si>
    <t>en_won_CHN_004</t>
  </si>
  <si>
    <t>en_won_CHN_005</t>
  </si>
  <si>
    <t>wind onshore resource in Qinghai region (near Xining) -- China</t>
  </si>
  <si>
    <t>en_won_CHN_006</t>
  </si>
  <si>
    <t>en_won_CHN_007</t>
  </si>
  <si>
    <t>wind onshore resource in Jiangxi region (near Zhuzhou) -- China</t>
  </si>
  <si>
    <t>en_won_CHN_008</t>
  </si>
  <si>
    <t>wind onshore resource in Jiangsu region (near Zhenjiang) -- China</t>
  </si>
  <si>
    <t>en_won_CHN_009</t>
  </si>
  <si>
    <t>wind onshore resource in Sichuan region (near Guangyuan) -- China</t>
  </si>
  <si>
    <t>en_won_CHN_010</t>
  </si>
  <si>
    <t>wind onshore resource in Hubei region (near Xiaoganzhan) -- China</t>
  </si>
  <si>
    <t>en_won_CHN_011</t>
  </si>
  <si>
    <t>wind onshore resource in near Guangzhou -- China</t>
  </si>
  <si>
    <t>en_won_CHN_012</t>
  </si>
  <si>
    <t>wind onshore resource in Guangxi region (near Hechi) -- China</t>
  </si>
  <si>
    <t>en_won_CHN_013</t>
  </si>
  <si>
    <t>wind onshore resource in Guizhou region (near Guiyang) -- China</t>
  </si>
  <si>
    <t>en_won_CHN_014</t>
  </si>
  <si>
    <t>wind onshore resource in Yunnan region (near Kunming) -- China</t>
  </si>
  <si>
    <t>en_won_CHN_015</t>
  </si>
  <si>
    <t>wind onshore resource in Heilongjiang region (near Jiamusi) -- China</t>
  </si>
  <si>
    <t>en_won_CHN_016</t>
  </si>
  <si>
    <t>wind onshore resource in Inner Mongolia region (near Qiqihar) -- China</t>
  </si>
  <si>
    <t>en_won_CHN_017</t>
  </si>
  <si>
    <t>wind onshore resource in Hebei region (near Baoding) -- China</t>
  </si>
  <si>
    <t>en_won_CHN_018</t>
  </si>
  <si>
    <t>wind onshore resource in Ningxia region (near Qinbaling) -- China</t>
  </si>
  <si>
    <t>en_won_CHN_019</t>
  </si>
  <si>
    <t>wind onshore resource in Shaanxi region (near Yulinshi) -- China</t>
  </si>
  <si>
    <t>en_won_CHN_020</t>
  </si>
  <si>
    <t>wind onshore resource in Shandong region (near Shengli) -- China</t>
  </si>
  <si>
    <t>en_won_CHN_021</t>
  </si>
  <si>
    <t>wind onshore resource in Inner Mongolia region (near Zhangjiakou) -- China</t>
  </si>
  <si>
    <t>en_won_CHN_022</t>
  </si>
  <si>
    <t>wind onshore resource in Inner Mongolia region (near Tongliao) -- China</t>
  </si>
  <si>
    <t>en_won_CHN_023</t>
  </si>
  <si>
    <t>wind onshore resource in Liaoning region (near Tieling) -- China</t>
  </si>
  <si>
    <t>en_won_CIV_001</t>
  </si>
  <si>
    <t>wind onshore resource in near San-Pedro -- Ivory Coast</t>
  </si>
  <si>
    <t>en_won_CIV_002</t>
  </si>
  <si>
    <t>wind onshore resource in Zanzan region (near Korhogo) -- Ivory Coast</t>
  </si>
  <si>
    <t>en_won_CIV_003</t>
  </si>
  <si>
    <t>wind onshore resource in Wassoulou region (near Korhogo) -- Ivory Coast</t>
  </si>
  <si>
    <t>en_won_CIV_004</t>
  </si>
  <si>
    <t>wind onshore resource in Savanes region (near Korhogo) -- Ivory Coast</t>
  </si>
  <si>
    <t>en_won_CMR_001</t>
  </si>
  <si>
    <t>wind onshore resource in North region (near Garoua) -- Cameroon</t>
  </si>
  <si>
    <t>en_won_CMR_002</t>
  </si>
  <si>
    <t>wind onshore resource in Far North region (near Maroua) -- Cameroon</t>
  </si>
  <si>
    <t>en_won_CMR_003</t>
  </si>
  <si>
    <t>en_won_CMR_004</t>
  </si>
  <si>
    <t>wind onshore resource in near Douala -- Cameroon</t>
  </si>
  <si>
    <t>en_won_COD_001</t>
  </si>
  <si>
    <t>wind onshore resource in Katanga region (near Lubumbashi) -- Democratic Republic of Congo</t>
  </si>
  <si>
    <t>en_won_COD_002</t>
  </si>
  <si>
    <t>en_won_COD_003</t>
  </si>
  <si>
    <t>en_won_COD_004</t>
  </si>
  <si>
    <t>en_won_COD_005</t>
  </si>
  <si>
    <t>wind onshore resource in Lunda Sul region (near Tshikapa) -- Democratic Republic of Congo</t>
  </si>
  <si>
    <t>en_won_COG_001</t>
  </si>
  <si>
    <t>wind onshore resource in Niari region (near Pointe-Noire) -- Republic of Congo</t>
  </si>
  <si>
    <t>en_won_COG_002</t>
  </si>
  <si>
    <t>wind onshore resource in Haut-Ogooue region (near Brazzaville) -- Republic of Congo</t>
  </si>
  <si>
    <t>en_won_COG_003</t>
  </si>
  <si>
    <t>wind onshore resource in Brazzaville region (near Brazzaville) -- Republic of Congo</t>
  </si>
  <si>
    <t>en_won_COL_001</t>
  </si>
  <si>
    <t>wind onshore resource in Atlantico region (near Sabanalarga) -- Colombia</t>
  </si>
  <si>
    <t>en_won_COL_002</t>
  </si>
  <si>
    <t>wind onshore resource in La Guajira region (near Uripa) -- Colombia</t>
  </si>
  <si>
    <t>en_won_COL_003</t>
  </si>
  <si>
    <t>wind onshore resource in Apure region (near Arauca) -- Colombia</t>
  </si>
  <si>
    <t>en_won_COL_004</t>
  </si>
  <si>
    <t>wind onshore resource in Casanare region (near Yopal) -- Colombia</t>
  </si>
  <si>
    <t>en_won_CRI_001</t>
  </si>
  <si>
    <t>wind onshore resource in Guanacaste region (near Canas) -- Costa Rica</t>
  </si>
  <si>
    <t>en_won_CRI_002</t>
  </si>
  <si>
    <t>wind onshore resource in near Santa Cruz -- Costa Rica</t>
  </si>
  <si>
    <t>en_won_CUB_001</t>
  </si>
  <si>
    <t>wind onshore resource in near Consolacion del Sur -- Cuba</t>
  </si>
  <si>
    <t>en_won_CUB_002</t>
  </si>
  <si>
    <t>wind onshore resource in Mayabeque region (near Guines) -- Cuba</t>
  </si>
  <si>
    <t>en_won_CUB_003</t>
  </si>
  <si>
    <t>wind onshore resource in Villa Clara region (near Placetas) -- Cuba</t>
  </si>
  <si>
    <t>en_won_CUB_004</t>
  </si>
  <si>
    <t>wind onshore resource in Santiago de Cuba region (near Salvador) -- Cuba</t>
  </si>
  <si>
    <t>en_won_CUB_005</t>
  </si>
  <si>
    <t>wind onshore resource in Las Tunas region (near Las Tunas) -- Cuba</t>
  </si>
  <si>
    <t>en_won_CZE_001</t>
  </si>
  <si>
    <t>wind onshore resource in Plzeň- region (near Plzen) -- Czech Republic</t>
  </si>
  <si>
    <t>en_won_CZE_002</t>
  </si>
  <si>
    <t>wind onshore resource in Olomouc region (near Valasske Mezirici) -- Czech Republic</t>
  </si>
  <si>
    <t>en_won_CZE_003</t>
  </si>
  <si>
    <t>wind onshore resource in Hradec Kralove region (near Trutnov) -- Czech Republic</t>
  </si>
  <si>
    <t>en_won_CZE_004</t>
  </si>
  <si>
    <t>wind onshore resource in Vysočina region (near Trebic) -- Czech Republic</t>
  </si>
  <si>
    <t>en_won_DEU_001</t>
  </si>
  <si>
    <t>wind onshore resource in Brandenburg region (near Neuruppin) -- Germany</t>
  </si>
  <si>
    <t>en_won_DEU_002</t>
  </si>
  <si>
    <t>wind onshore resource in Saxony region (near Grimma) -- Germany</t>
  </si>
  <si>
    <t>en_won_DEU_003</t>
  </si>
  <si>
    <t>wind onshore resource in Schleswig-Holstein region (near Henstedt-Ulzburg) -- Germany</t>
  </si>
  <si>
    <t>en_won_DEU_004</t>
  </si>
  <si>
    <t>wind onshore resource in North Rhine-Westphalia region (near Witten) -- Germany</t>
  </si>
  <si>
    <t>en_won_DEU_005</t>
  </si>
  <si>
    <t>wind onshore resource in Lower Saxony region (near Burgdorf) -- Germany</t>
  </si>
  <si>
    <t>en_won_DEU_006</t>
  </si>
  <si>
    <t>wind onshore resource in Bavaria region (near Straubing) -- Germany</t>
  </si>
  <si>
    <t>en_won_DEU_007</t>
  </si>
  <si>
    <t>wind onshore resource in Hesse region (near Aschaffenburg) -- Germany</t>
  </si>
  <si>
    <t>en_won_DEU_008</t>
  </si>
  <si>
    <t>wind onshore resource in Baden-Wurttemberg region (near Reutlingen) -- Germany</t>
  </si>
  <si>
    <t>en_won_DJI_001</t>
  </si>
  <si>
    <t>wind onshore resource in Ali Sabieh region (near Djibouti) -- Djibouti</t>
  </si>
  <si>
    <t>en_won_DJI_002</t>
  </si>
  <si>
    <t>wind onshore resource in Tadjourah region (near Djibouti) -- Djibouti</t>
  </si>
  <si>
    <t>en_won_DNK_001</t>
  </si>
  <si>
    <t>wind onshore resource in North Denmark region (near Aalborg) -- Denmark</t>
  </si>
  <si>
    <t>en_won_DNK_002</t>
  </si>
  <si>
    <t>wind onshore resource in Zealand region (near Koge) -- Denmark</t>
  </si>
  <si>
    <t>en_won_DNK_003</t>
  </si>
  <si>
    <t>wind onshore resource in near Odense -- Denmark</t>
  </si>
  <si>
    <t>en_won_DNK_004</t>
  </si>
  <si>
    <t>wind onshore resource in Southern Denmark region (near Vejle) -- Denmark</t>
  </si>
  <si>
    <t>en_won_DOM_001</t>
  </si>
  <si>
    <t>wind onshore resource in El Seibo region (near Consuelito) -- Dominican Republic</t>
  </si>
  <si>
    <t>en_won_DOM_002</t>
  </si>
  <si>
    <t>wind onshore resource in Santiago region (near Mao) -- Dominican Republic</t>
  </si>
  <si>
    <t>en_won_DOM_003</t>
  </si>
  <si>
    <t>wind onshore resource in Dajabon region (near Mao) -- Dominican Republic</t>
  </si>
  <si>
    <t>en_won_DZA_001</t>
  </si>
  <si>
    <t>wind onshore resource in Batna region (near Batna) -- Algeria</t>
  </si>
  <si>
    <t>en_won_DZA_002</t>
  </si>
  <si>
    <t>wind onshore resource in Naama region (near Mecheria) -- Algeria</t>
  </si>
  <si>
    <t>en_won_DZA_003</t>
  </si>
  <si>
    <t>wind onshore resource in Tiaret region (near Sougueur) -- Algeria</t>
  </si>
  <si>
    <t>en_won_DZA_004</t>
  </si>
  <si>
    <t>wind onshore resource in Illizi region (near Hassi Messaoud) -- Algeria</t>
  </si>
  <si>
    <t>en_won_DZA_005</t>
  </si>
  <si>
    <t>wind onshore resource in Ouargla region (near El Golea) -- Algeria</t>
  </si>
  <si>
    <t>en_won_DZA_006</t>
  </si>
  <si>
    <t>wind onshore resource in Illizi region (near Tamanrasset) -- Algeria</t>
  </si>
  <si>
    <t>en_won_DZA_007</t>
  </si>
  <si>
    <t>wind onshore resource in Tamanghasset region (near Tamanrasset) -- Algeria</t>
  </si>
  <si>
    <t>en_won_DZA_008</t>
  </si>
  <si>
    <t>en_won_DZA_009</t>
  </si>
  <si>
    <t>wind onshore resource in Adrar region (near Adrar) -- Algeria</t>
  </si>
  <si>
    <t>en_won_DZA_010</t>
  </si>
  <si>
    <t>en_won_DZA_011</t>
  </si>
  <si>
    <t>en_won_DZA_012</t>
  </si>
  <si>
    <t>wind onshore resource in Tindouf region (near Tindouf) -- Algeria</t>
  </si>
  <si>
    <t>en_won_DZA_013</t>
  </si>
  <si>
    <t>en_won_DZA_014</t>
  </si>
  <si>
    <t>wind onshore resource in El Bayadh region (near Ain Sefra) -- Algeria</t>
  </si>
  <si>
    <t>en_won_DZA_015</t>
  </si>
  <si>
    <t>wind onshore resource in Laghouat region (near Laghouat) -- Algeria</t>
  </si>
  <si>
    <t>en_won_DZA_016</t>
  </si>
  <si>
    <t>wind onshore resource in Ouargla region (near Hassi Messaoud) -- Algeria</t>
  </si>
  <si>
    <t>en_won_ECU_001</t>
  </si>
  <si>
    <t>wind onshore resource in near Manta -- Ecuador</t>
  </si>
  <si>
    <t>en_won_ECU_002</t>
  </si>
  <si>
    <t>en_won_ECU_003</t>
  </si>
  <si>
    <t>wind onshore resource in Santa Elena region (near Portoviejo) -- Ecuador</t>
  </si>
  <si>
    <t>en_won_ECU_004</t>
  </si>
  <si>
    <t>en_won_EGY_001</t>
  </si>
  <si>
    <t>wind onshore resource in Red Sea region (near Abu Tisht) -- Egypt</t>
  </si>
  <si>
    <t>en_won_EGY_002</t>
  </si>
  <si>
    <t>wind onshore resource in New Valley region (near Abu Tisht) -- Egypt</t>
  </si>
  <si>
    <t>en_won_EGY_003</t>
  </si>
  <si>
    <t>en_won_EGY_004</t>
  </si>
  <si>
    <t>wind onshore resource in New Valley region (near Al Maraghah) -- Egypt</t>
  </si>
  <si>
    <t>en_won_EGY_005</t>
  </si>
  <si>
    <t>wind onshore resource in Red Sea region (near Akhmim) -- Egypt</t>
  </si>
  <si>
    <t>en_won_EGY_006</t>
  </si>
  <si>
    <t>wind onshore resource in Beheira region (near Ashmun) -- Egypt</t>
  </si>
  <si>
    <t>en_won_EGY_007</t>
  </si>
  <si>
    <t>wind onshore resource in South Sinai region (near Suez) -- Egypt</t>
  </si>
  <si>
    <t>en_won_EGY_008</t>
  </si>
  <si>
    <t>wind onshore resource in New Valley region (near Dayrut) -- Egypt</t>
  </si>
  <si>
    <t>en_won_EGY_009</t>
  </si>
  <si>
    <t>wind onshore resource in Matrouh region (near Alexandria) -- Egypt</t>
  </si>
  <si>
    <t>en_won_EGY_010</t>
  </si>
  <si>
    <t>en_won_EGY_011</t>
  </si>
  <si>
    <t>en_won_ERI_001</t>
  </si>
  <si>
    <t>wind onshore resource in Northern Red Sea region (near Keren) -- Eritrea</t>
  </si>
  <si>
    <t>en_won_ERI_002</t>
  </si>
  <si>
    <t>wind onshore resource in Gash-Barka region (near Gwelej) -- Eritrea</t>
  </si>
  <si>
    <t>en_won_ERI_003</t>
  </si>
  <si>
    <t>wind onshore resource in Southern Red Sea region (near Asmara) -- Eritrea</t>
  </si>
  <si>
    <t>en_won_ERI_004</t>
  </si>
  <si>
    <t>wind onshore resource in Debub region (near Keren) -- Eritrea</t>
  </si>
  <si>
    <t>en_won_ERI_005</t>
  </si>
  <si>
    <t>en_won_ESP_001</t>
  </si>
  <si>
    <t>wind onshore resource in Seville region (near Utrera) -- Spain</t>
  </si>
  <si>
    <t>en_won_ESP_002</t>
  </si>
  <si>
    <t>wind onshore resource in Cordoba region (near Cordoba) -- Spain</t>
  </si>
  <si>
    <t>en_won_ESP_003</t>
  </si>
  <si>
    <t>wind onshore resource in Araba / Alava region (near Bilbao) -- Spain</t>
  </si>
  <si>
    <t>en_won_ESP_004</t>
  </si>
  <si>
    <t>wind onshore resource in Lugo region (near Ourense) -- Spain</t>
  </si>
  <si>
    <t>en_won_ESP_005</t>
  </si>
  <si>
    <t>wind onshore resource in Tarragona region (near Tarragona) -- Spain</t>
  </si>
  <si>
    <t>en_won_ESP_006</t>
  </si>
  <si>
    <t>wind onshore resource in Jaen region (near Linares) -- Spain</t>
  </si>
  <si>
    <t>en_won_ESP_007</t>
  </si>
  <si>
    <t>wind onshore resource in Alicante region (near Elda) -- Spain</t>
  </si>
  <si>
    <t>en_won_ESP_008</t>
  </si>
  <si>
    <t>wind onshore resource in Community of Madrid region (near Madrid) -- Spain</t>
  </si>
  <si>
    <t>en_won_EST_001</t>
  </si>
  <si>
    <t>wind onshore resource in near Tallinn -- Estonia</t>
  </si>
  <si>
    <t>en_won_EST_002</t>
  </si>
  <si>
    <t>wind onshore resource in Jogeva region (near Tartu) -- Estonia</t>
  </si>
  <si>
    <t>en_won_EST_003</t>
  </si>
  <si>
    <t>wind onshore resource in Viljandi region (near Tartu) -- Estonia</t>
  </si>
  <si>
    <t>en_won_EST_004</t>
  </si>
  <si>
    <t>wind onshore resource in Rapla region (near Tallinn) -- Estonia</t>
  </si>
  <si>
    <t>en_won_ETH_001</t>
  </si>
  <si>
    <t>wind onshore resource in Oromia region (near Sodo) -- Ethiopia</t>
  </si>
  <si>
    <t>en_won_ETH_002</t>
  </si>
  <si>
    <t>wind onshore resource in Somali region (near Jijiga) -- Ethiopia</t>
  </si>
  <si>
    <t>en_won_ETH_003</t>
  </si>
  <si>
    <t>wind onshore resource in Oromia region (near Gode) -- Ethiopia</t>
  </si>
  <si>
    <t>en_won_ETH_004</t>
  </si>
  <si>
    <t>wind onshore resource in Somali region (near Awasa) -- Ethiopia</t>
  </si>
  <si>
    <t>en_won_ETH_005</t>
  </si>
  <si>
    <t>wind onshore resource in Somali region (near K'ebri Dehar) -- Ethiopia</t>
  </si>
  <si>
    <t>en_won_ETH_006</t>
  </si>
  <si>
    <t>wind onshore resource in Afar region (near Mekele) -- Ethiopia</t>
  </si>
  <si>
    <t>en_won_ETH_007</t>
  </si>
  <si>
    <t>wind onshore resource in Afar region (near Mersa) -- Ethiopia</t>
  </si>
  <si>
    <t>en_won_ETH_008</t>
  </si>
  <si>
    <t>wind onshore resource in Al Qadarif region (near Bahir Dar) -- Ethiopia</t>
  </si>
  <si>
    <t>en_won_ETH_009</t>
  </si>
  <si>
    <t>wind onshore resource in Somali region (near Dire Dawa) -- Ethiopia</t>
  </si>
  <si>
    <t>en_won_FIN_001</t>
  </si>
  <si>
    <t>wind onshore resource in Northern Savonia region (near Kajaani) -- Finland</t>
  </si>
  <si>
    <t>en_won_FIN_002</t>
  </si>
  <si>
    <t>wind onshore resource in Kymenlaakso region (near Kouvola) -- Finland</t>
  </si>
  <si>
    <t>en_won_FIN_003</t>
  </si>
  <si>
    <t>wind onshore resource in Tavastia Proper region (near Salo) -- Finland</t>
  </si>
  <si>
    <t>en_won_FIN_004</t>
  </si>
  <si>
    <t>wind onshore resource in Southern Ostrobothnia region (near Seinajoki) -- Finland</t>
  </si>
  <si>
    <t>en_won_FIN_005</t>
  </si>
  <si>
    <t>wind onshore resource in Lapland region (near Rovaniemi) -- Finland</t>
  </si>
  <si>
    <t>en_won_FIN_006</t>
  </si>
  <si>
    <t>wind onshore resource in Finnmark region (near Rovaniemi) -- Finland</t>
  </si>
  <si>
    <t>en_won_FIN_007</t>
  </si>
  <si>
    <t>wind onshore resource in Northern Ostrobothnia region (near Oulu) -- Finland</t>
  </si>
  <si>
    <t>en_won_FIN_008</t>
  </si>
  <si>
    <t>en_won_FRA_001</t>
  </si>
  <si>
    <t>wind onshore resource in near Saint-Raphael -- France</t>
  </si>
  <si>
    <t>en_won_FRA_002</t>
  </si>
  <si>
    <t>wind onshore resource in Gard region (near Ales) -- France</t>
  </si>
  <si>
    <t>en_won_FRA_003</t>
  </si>
  <si>
    <t>wind onshore resource in Puy-de-Dome region (near Saint-Etienne) -- France</t>
  </si>
  <si>
    <t>en_won_FRA_004</t>
  </si>
  <si>
    <t>wind onshore resource in Gers region (near Agen) -- France</t>
  </si>
  <si>
    <t>en_won_FRA_005</t>
  </si>
  <si>
    <t>wind onshore resource in Somme region (near Compiegne) -- France</t>
  </si>
  <si>
    <t>en_won_FRA_006</t>
  </si>
  <si>
    <t>wind onshore resource in Ille-et-Vilaine region (near Rennes) -- France</t>
  </si>
  <si>
    <t>en_won_FRA_007</t>
  </si>
  <si>
    <t>wind onshore resource in Vosges region (near Epinal) -- France</t>
  </si>
  <si>
    <t>en_won_FRA_008</t>
  </si>
  <si>
    <t>wind onshore resource in Nievre region (near Auxerre) -- France</t>
  </si>
  <si>
    <t>en_won_FRA_009</t>
  </si>
  <si>
    <t>wind onshore resource in Charente region (near Angouleme) -- France</t>
  </si>
  <si>
    <t>en_won_GAB_001</t>
  </si>
  <si>
    <t>wind onshore resource in Ogooue-Maritime region (near Port-Gentil) -- Gabon</t>
  </si>
  <si>
    <t>en_won_GAB_002</t>
  </si>
  <si>
    <t>wind onshore resource in near Port-Gentil -- Gabon</t>
  </si>
  <si>
    <t>en_won_GBR_001</t>
  </si>
  <si>
    <t>wind onshore resource in Lancashire region (near Skelmersdale) -- United Kingdom</t>
  </si>
  <si>
    <t>en_won_GBR_002</t>
  </si>
  <si>
    <t>wind onshore resource in Surrey region (near Horsham) -- United Kingdom</t>
  </si>
  <si>
    <t>en_won_GBR_003</t>
  </si>
  <si>
    <t>wind onshore resource in near Port Talbot -- United Kingdom</t>
  </si>
  <si>
    <t>en_won_GBR_004</t>
  </si>
  <si>
    <t>wind onshore resource in Highland region (near Inverness) -- United Kingdom</t>
  </si>
  <si>
    <t>en_won_GBR_005</t>
  </si>
  <si>
    <t>wind onshore resource in Dungannon and South Tyrone region (near Lisburn) -- United Kingdom</t>
  </si>
  <si>
    <t>en_won_GBR_006</t>
  </si>
  <si>
    <t>en_won_GBR_007</t>
  </si>
  <si>
    <t>wind onshore resource in West Lothian region (near Livingston) -- United Kingdom</t>
  </si>
  <si>
    <t>en_won_GEO_001</t>
  </si>
  <si>
    <t>wind onshore resource in Shida Kartli region (near Tbilisi) -- Georgia</t>
  </si>
  <si>
    <t>en_won_GEO_002</t>
  </si>
  <si>
    <t>wind onshore resource in Samegrelo-Zemo Svaneti region (near Kutaisi) -- Georgia</t>
  </si>
  <si>
    <t>en_won_GHA_001</t>
  </si>
  <si>
    <t>wind onshore resource in Greater Accra region (near Accra) -- Ghana</t>
  </si>
  <si>
    <t>en_won_GHA_002</t>
  </si>
  <si>
    <t>wind onshore resource in Upper East region (near Tamale) -- Ghana</t>
  </si>
  <si>
    <t>en_won_GHA_003</t>
  </si>
  <si>
    <t>wind onshore resource in Brong-Ahafo region (near Sunyani) -- Ghana</t>
  </si>
  <si>
    <t>en_won_GHA_004</t>
  </si>
  <si>
    <t>wind onshore resource in Northern region (near Tamale) -- Ghana</t>
  </si>
  <si>
    <t>en_won_GIN_001</t>
  </si>
  <si>
    <t>wind onshore resource in Koundara Prefecture region (near Mamou) -- Guinea</t>
  </si>
  <si>
    <t>en_won_GIN_002</t>
  </si>
  <si>
    <t>wind onshore resource in Mandiana Prefecture region (near Siguiri) -- Guinea</t>
  </si>
  <si>
    <t>en_won_GIN_003</t>
  </si>
  <si>
    <t>wind onshore resource in Koulikoro region (near Siguiri) -- Guinea</t>
  </si>
  <si>
    <t>en_won_GNB_001</t>
  </si>
  <si>
    <t>wind onshore resource in Gabu region (near Gabu) -- Guinea-Bissau</t>
  </si>
  <si>
    <t>en_won_GNB_002</t>
  </si>
  <si>
    <t>wind onshore resource in Cacheu region (near Bissau) -- Guinea-Bissau</t>
  </si>
  <si>
    <t>en_won_GNB_003</t>
  </si>
  <si>
    <t>wind onshore resource in Tombali region (near Bissau) -- Guinea-Bissau</t>
  </si>
  <si>
    <t>en_won_GNQ_001</t>
  </si>
  <si>
    <t>wind onshore resource in Bioko Sur region (near Malabo) -- Equatorial Guinea</t>
  </si>
  <si>
    <t>en_won_GNQ_002</t>
  </si>
  <si>
    <t>wind onshore resource in Kie-Ntem region (near Sevilla de Niefang) -- Equatorial Guinea</t>
  </si>
  <si>
    <t>en_won_GRC_001</t>
  </si>
  <si>
    <t>wind onshore resource in near Agrinio -- Greece</t>
  </si>
  <si>
    <t>en_won_GRC_002</t>
  </si>
  <si>
    <t>wind onshore resource in near Piraeus -- Greece</t>
  </si>
  <si>
    <t>en_won_GRC_003</t>
  </si>
  <si>
    <t>wind onshore resource in near Thermi -- Greece</t>
  </si>
  <si>
    <t>en_won_GRC_004</t>
  </si>
  <si>
    <t>wind onshore resource in East Macedonia and Thrace region (near Xanthi) -- Greece</t>
  </si>
  <si>
    <t>en_won_GRC_005</t>
  </si>
  <si>
    <t>wind onshore resource in near Chania -- Greece</t>
  </si>
  <si>
    <t>en_won_GRC_006</t>
  </si>
  <si>
    <t>wind onshore resource in near Pallini -- Greece</t>
  </si>
  <si>
    <t>en_won_GTM_001</t>
  </si>
  <si>
    <t>wind onshore resource in Peten region (near Flores) -- Guatemala</t>
  </si>
  <si>
    <t>en_won_GTM_002</t>
  </si>
  <si>
    <t>wind onshore resource in Jutiapa region (near Asuncion Mita) -- Guatemala</t>
  </si>
  <si>
    <t>en_won_GUY_001</t>
  </si>
  <si>
    <t>wind onshore resource in East Berbice-Corentyne region (near Georgetown) -- Guyana</t>
  </si>
  <si>
    <t>en_won_GUY_002</t>
  </si>
  <si>
    <t>wind onshore resource in Upper Demerara-Berbice region (near Linden) -- Guyana</t>
  </si>
  <si>
    <t>en_won_GUY_003</t>
  </si>
  <si>
    <t>wind onshore resource in Roraima region (near Linden) -- Guyana</t>
  </si>
  <si>
    <t>en_won_HKG_001</t>
  </si>
  <si>
    <t>wind onshore resource in near Hong Kong -- Hong Kong SAR, China</t>
  </si>
  <si>
    <t>en_won_HKG_002</t>
  </si>
  <si>
    <t>wind onshore resource in Yuen Long region (near Sha Tin) -- Hong Kong SAR, China</t>
  </si>
  <si>
    <t>en_won_HKG_003</t>
  </si>
  <si>
    <t>wind onshore resource in Sai Kung region (near Sha Tin) -- Hong Kong SAR, China</t>
  </si>
  <si>
    <t>en_won_HKG_004</t>
  </si>
  <si>
    <t>wind onshore resource in near Kowloon -- Hong Kong SAR, China</t>
  </si>
  <si>
    <t>en_won_HND_001</t>
  </si>
  <si>
    <t>wind onshore resource in El Paraiso region (near Ciudad Choluteca) -- Honduras</t>
  </si>
  <si>
    <t>en_won_HND_002</t>
  </si>
  <si>
    <t>wind onshore resource in near La Ceiba -- Honduras</t>
  </si>
  <si>
    <t>en_won_HND_003</t>
  </si>
  <si>
    <t>wind onshore resource in near Catacamas -- Honduras</t>
  </si>
  <si>
    <t>en_won_HRV_001</t>
  </si>
  <si>
    <t>wind onshore resource in near Solin -- Croatia</t>
  </si>
  <si>
    <t>en_won_HRV_002</t>
  </si>
  <si>
    <t>wind onshore resource in Istria region (near Pula) -- Croatia</t>
  </si>
  <si>
    <t>en_won_HRV_003</t>
  </si>
  <si>
    <t>wind onshore resource in Zadar region (near Sibenik) -- Croatia</t>
  </si>
  <si>
    <t>en_won_HRV_004</t>
  </si>
  <si>
    <t>wind onshore resource in Osijek-Baranja region (near Osijek) -- Croatia</t>
  </si>
  <si>
    <t>en_won_HRV_005</t>
  </si>
  <si>
    <t>wind onshore resource in Koprivnica-Križevci region (near Koprivnica) -- Croatia</t>
  </si>
  <si>
    <t>en_won_HTI_001</t>
  </si>
  <si>
    <t>wind onshore resource in Nord-Ouest region (near Jean-Rabel) -- Haiti</t>
  </si>
  <si>
    <t>en_won_HTI_002</t>
  </si>
  <si>
    <t>wind onshore resource in near Saint-Marc -- Haiti</t>
  </si>
  <si>
    <t>en_won_HUN_001</t>
  </si>
  <si>
    <t>wind onshore resource in Fejer region (near Szekesfehervar) -- Hungary</t>
  </si>
  <si>
    <t>en_won_HUN_002</t>
  </si>
  <si>
    <t>wind onshore resource in Bekes region (near Oroshaza) -- Hungary</t>
  </si>
  <si>
    <t>en_won_HUN_003</t>
  </si>
  <si>
    <t>wind onshore resource in Heves region (near Jaszbereny) -- Hungary</t>
  </si>
  <si>
    <t>en_won_HUN_004</t>
  </si>
  <si>
    <t>wind onshore resource in Debrecen region (near Hajduboszormeny) -- Hungary</t>
  </si>
  <si>
    <t>en_won_IDN_001</t>
  </si>
  <si>
    <t>wind onshore resource in near Ambon -- Indonesia</t>
  </si>
  <si>
    <t>en_won_IDN_002</t>
  </si>
  <si>
    <t>wind onshore resource in Viqueque region (near Kupang) -- Indonesia</t>
  </si>
  <si>
    <t>en_won_IDN_003</t>
  </si>
  <si>
    <t>wind onshore resource in Papua region (near Jayapura) -- Indonesia</t>
  </si>
  <si>
    <t>en_won_IDN_004</t>
  </si>
  <si>
    <t>wind onshore resource in near Batam Centre -- Indonesia</t>
  </si>
  <si>
    <t>en_won_IDN_005</t>
  </si>
  <si>
    <t>wind onshore resource in near Palembang -- Indonesia</t>
  </si>
  <si>
    <t>en_won_IDN_006</t>
  </si>
  <si>
    <t>wind onshore resource in North Sulawesi region (near Manado Light) -- Indonesia</t>
  </si>
  <si>
    <t>en_won_IDN_007</t>
  </si>
  <si>
    <t>wind onshore resource in near Bandar Lampung -- Indonesia</t>
  </si>
  <si>
    <t>en_won_IDN_008</t>
  </si>
  <si>
    <t>wind onshore resource in near Mataram -- Indonesia</t>
  </si>
  <si>
    <t>en_won_IDN_009</t>
  </si>
  <si>
    <t>wind onshore resource in East Nusa Tenggara region (near Lembok) -- Indonesia</t>
  </si>
  <si>
    <t>en_won_IDN_010</t>
  </si>
  <si>
    <t>wind onshore resource in near Semarang -- Indonesia</t>
  </si>
  <si>
    <t>en_won_IND_001</t>
  </si>
  <si>
    <t>wind onshore resource in Uttar Pradesh region (near Sambhal) -- India</t>
  </si>
  <si>
    <t>en_won_IND_002</t>
  </si>
  <si>
    <t>wind onshore resource in Haryana region (near Hisar) -- India</t>
  </si>
  <si>
    <t>en_won_IND_003</t>
  </si>
  <si>
    <t>wind onshore resource in West Bengal region (near Contai) -- India</t>
  </si>
  <si>
    <t>en_won_IND_004</t>
  </si>
  <si>
    <t>wind onshore resource in Jharkhand region (near Sahibganj) -- India</t>
  </si>
  <si>
    <t>en_won_IND_005</t>
  </si>
  <si>
    <t>wind onshore resource in Madhya Pradesh region (near Katri) -- India</t>
  </si>
  <si>
    <t>en_won_IND_006</t>
  </si>
  <si>
    <t>wind onshore resource in Uttar Pradesh region (near Bara Banki) -- India</t>
  </si>
  <si>
    <t>en_won_IND_007</t>
  </si>
  <si>
    <t>wind onshore resource in Bihar region (near Arrah) -- India</t>
  </si>
  <si>
    <t>en_won_IND_008</t>
  </si>
  <si>
    <t>wind onshore resource in Telangana region (near Paloncha) -- India</t>
  </si>
  <si>
    <t>en_won_IND_009</t>
  </si>
  <si>
    <t>wind onshore resource in Maharashtra region (near Solapur) -- India</t>
  </si>
  <si>
    <t>en_won_IND_010</t>
  </si>
  <si>
    <t>wind onshore resource in Karnataka region (near Hindupur) -- India</t>
  </si>
  <si>
    <t>en_won_IND_011</t>
  </si>
  <si>
    <t>wind onshore resource in near Puducherry -- India</t>
  </si>
  <si>
    <t>en_won_IND_012</t>
  </si>
  <si>
    <t>wind onshore resource in Rajasthan region (near Jodhpur) -- India</t>
  </si>
  <si>
    <t>en_won_IND_013</t>
  </si>
  <si>
    <t>wind onshore resource in Rajasthan region (near Kota) -- India</t>
  </si>
  <si>
    <t>en_won_IND_014</t>
  </si>
  <si>
    <t>wind onshore resource in Gujarat region (near Botad) -- India</t>
  </si>
  <si>
    <t>en_won_IND_015</t>
  </si>
  <si>
    <t>wind onshore resource in Chhattisgarh region (near Dhamtari) -- India</t>
  </si>
  <si>
    <t>en_won_IND_016</t>
  </si>
  <si>
    <t>wind onshore resource in Madhya Pradesh region (near Harda Khas) -- India</t>
  </si>
  <si>
    <t>en_won_IRL_001</t>
  </si>
  <si>
    <t>wind onshore resource in Cork region (near Limerick) -- Ireland</t>
  </si>
  <si>
    <t>en_won_IRL_002</t>
  </si>
  <si>
    <t>wind onshore resource in Carlow region (near Carlow) -- Ireland</t>
  </si>
  <si>
    <t>en_won_IRL_003</t>
  </si>
  <si>
    <t>wind onshore resource in Leitrim region (near Mullingar) -- Ireland</t>
  </si>
  <si>
    <t>en_won_IRL_004</t>
  </si>
  <si>
    <t>wind onshore resource in Mayo region (near Galway) -- Ireland</t>
  </si>
  <si>
    <t>en_won_IRN_001</t>
  </si>
  <si>
    <t>wind onshore resource in Zanjan region (near Khodabandeh) -- Iran</t>
  </si>
  <si>
    <t>en_won_IRN_002</t>
  </si>
  <si>
    <t>wind onshore resource in Isfahan region (near Esfahan) -- Iran</t>
  </si>
  <si>
    <t>en_won_IRN_003</t>
  </si>
  <si>
    <t>wind onshore resource in Kerman region (near Yazd) -- Iran</t>
  </si>
  <si>
    <t>en_won_IRN_004</t>
  </si>
  <si>
    <t>wind onshore resource in Sistan and Baluchestan region (near Zahedan) -- Iran</t>
  </si>
  <si>
    <t>en_won_IRN_005</t>
  </si>
  <si>
    <t>wind onshore resource in Sistan and Baluchestan region (near Bandar `Abbas) -- Iran</t>
  </si>
  <si>
    <t>en_won_IRN_006</t>
  </si>
  <si>
    <t>en_won_IRN_007</t>
  </si>
  <si>
    <t>wind onshore resource in South Khorasan region (near Birjand) -- Iran</t>
  </si>
  <si>
    <t>en_won_IRN_008</t>
  </si>
  <si>
    <t>wind onshore resource in Khuzestan region (near Borvayeh-ye Al Bu `Aziz) -- Iran</t>
  </si>
  <si>
    <t>en_won_IRN_009</t>
  </si>
  <si>
    <t>wind onshore resource in Razavi Khorasan region (near Sabzevar) -- Iran</t>
  </si>
  <si>
    <t>en_won_IRN_010</t>
  </si>
  <si>
    <t>wind onshore resource in Razavi Khorasan region (near Mashhad) -- Iran</t>
  </si>
  <si>
    <t>en_won_IRN_011</t>
  </si>
  <si>
    <t>wind onshore resource in Yazd region (near Birjand) -- Iran</t>
  </si>
  <si>
    <t>en_won_IRN_012</t>
  </si>
  <si>
    <t>wind onshore resource in Isfahan region (near Kashan) -- Iran</t>
  </si>
  <si>
    <t>en_won_IRQ_001</t>
  </si>
  <si>
    <t>wind onshore resource in Al Anbar region (near Ar Ramadi) -- Iraq</t>
  </si>
  <si>
    <t>en_won_IRQ_002</t>
  </si>
  <si>
    <t>wind onshore resource in Al Anbar region (near An Najaf) -- Iraq</t>
  </si>
  <si>
    <t>en_won_IRQ_003</t>
  </si>
  <si>
    <t>wind onshore resource in Basra region (near Al Qurnah) -- Iraq</t>
  </si>
  <si>
    <t>en_won_IRQ_004</t>
  </si>
  <si>
    <t>wind onshore resource in Al Muthanna region (near An Nasiriyah) -- Iraq</t>
  </si>
  <si>
    <t>en_won_IRQ_005</t>
  </si>
  <si>
    <t>wind onshore resource in Saladin region (near Ar Ramadi) -- Iraq</t>
  </si>
  <si>
    <t>en_won_IRQ_006</t>
  </si>
  <si>
    <t>en_won_IRQ_007</t>
  </si>
  <si>
    <t>wind onshore resource in Nineveh region (near Mosul) -- Iraq</t>
  </si>
  <si>
    <t>en_won_IRQ_008</t>
  </si>
  <si>
    <t>wind onshore resource in Diyala region (near Ba`qubah) -- Iraq</t>
  </si>
  <si>
    <t>en_won_ISR_001</t>
  </si>
  <si>
    <t>wind onshore resource in Southern region (near Beersheba) -- Israel</t>
  </si>
  <si>
    <t>en_won_ISR_002</t>
  </si>
  <si>
    <t>wind onshore resource in Jerusalem region (near Bet Shemesh) -- Israel</t>
  </si>
  <si>
    <t>en_won_ITA_001</t>
  </si>
  <si>
    <t>wind onshore resource in near Lido di Iesolo -- Italy</t>
  </si>
  <si>
    <t>en_won_ITA_002</t>
  </si>
  <si>
    <t>wind onshore resource in Grosseto region (near Grosseto) -- Italy</t>
  </si>
  <si>
    <t>en_won_ITA_003</t>
  </si>
  <si>
    <t>wind onshore resource in Pesaro and Urbino region (near Citta di Castello) -- Italy</t>
  </si>
  <si>
    <t>en_won_ITA_004</t>
  </si>
  <si>
    <t>wind onshore resource in Barletta-Andria-Trani region (near Gravina in Puglia) -- Italy</t>
  </si>
  <si>
    <t>en_won_ITA_005</t>
  </si>
  <si>
    <t>wind onshore resource in Avellino region (near Ariano Irpino) -- Italy</t>
  </si>
  <si>
    <t>en_won_ITA_006</t>
  </si>
  <si>
    <t>wind onshore resource in Nuoro region (near Nuoro) -- Italy</t>
  </si>
  <si>
    <t>en_won_ITA_007</t>
  </si>
  <si>
    <t>wind onshore resource in Enna region (near Enna) -- Italy</t>
  </si>
  <si>
    <t>en_won_JAM_001</t>
  </si>
  <si>
    <t>wind onshore resource in Manchester region (near Montego Bay) -- Jamaica</t>
  </si>
  <si>
    <t>en_won_JAM_002</t>
  </si>
  <si>
    <t>wind onshore resource in near Spanish Town -- Jamaica</t>
  </si>
  <si>
    <t>en_won_JOR_001</t>
  </si>
  <si>
    <t>wind onshore resource in Aqaba region (near Amman) -- Jordan</t>
  </si>
  <si>
    <t>en_won_JOR_002</t>
  </si>
  <si>
    <t>wind onshore resource in Amman region (near Amman) -- Jordan</t>
  </si>
  <si>
    <t>en_won_JOR_003</t>
  </si>
  <si>
    <t>wind onshore resource in Mafraq region (near Al Mafraq) -- Jordan</t>
  </si>
  <si>
    <t>en_won_JOR_004</t>
  </si>
  <si>
    <t>wind onshore resource in Ma'an region (near Amman) -- Jordan</t>
  </si>
  <si>
    <t>en_won_JPN_001</t>
  </si>
  <si>
    <t>wind onshore resource in near Okinawa -- Japan</t>
  </si>
  <si>
    <t>en_won_JPN_002</t>
  </si>
  <si>
    <t>wind onshore resource in near Shunan -- Japan</t>
  </si>
  <si>
    <t>en_won_JPN_003</t>
  </si>
  <si>
    <t>wind onshore resource in Ōsaka Prefecture region (near Daiwanishi) -- Japan</t>
  </si>
  <si>
    <t>en_won_JPN_004</t>
  </si>
  <si>
    <t>wind onshore resource in Tokyo region (near Shibuya-ku) -- Japan</t>
  </si>
  <si>
    <t>en_won_JPN_005</t>
  </si>
  <si>
    <t>en_won_JPN_006</t>
  </si>
  <si>
    <t>wind onshore resource in Fukushima Prefecture region (near Fukushima) -- Japan</t>
  </si>
  <si>
    <t>en_won_JPN_007</t>
  </si>
  <si>
    <t>wind onshore resource in Tochigi Prefecture region (near Utsunomiya) -- Japan</t>
  </si>
  <si>
    <t>en_won_JPN_008</t>
  </si>
  <si>
    <t>wind onshore resource in Yamagata Prefecture region (near Yamagata) -- Japan</t>
  </si>
  <si>
    <t>en_won_JPN_009</t>
  </si>
  <si>
    <t>wind onshore resource in near Hakodate -- Japan</t>
  </si>
  <si>
    <t>en_won_JPN_010</t>
  </si>
  <si>
    <t>wind onshore resource in Hokkaidō region (near Asahikawa) -- Japan</t>
  </si>
  <si>
    <t>en_won_KAZ_001</t>
  </si>
  <si>
    <t>wind onshore resource in East Kazakhstan region (near Oskemen) -- Kazakhstan</t>
  </si>
  <si>
    <t>en_won_KAZ_002</t>
  </si>
  <si>
    <t>wind onshore resource in Karaganda region (near Qaraghandy) -- Kazakhstan</t>
  </si>
  <si>
    <t>en_won_KAZ_003</t>
  </si>
  <si>
    <t>wind onshore resource in Kostanay region (near Aqtobe) -- Kazakhstan</t>
  </si>
  <si>
    <t>en_won_KAZ_004</t>
  </si>
  <si>
    <t>wind onshore resource in Kostanay region (near Qostanay) -- Kazakhstan</t>
  </si>
  <si>
    <t>en_won_KAZ_005</t>
  </si>
  <si>
    <t>wind onshore resource in Akmola region (near Astana) -- Kazakhstan</t>
  </si>
  <si>
    <t>en_won_KAZ_006</t>
  </si>
  <si>
    <t>wind onshore resource in North Kazakhstan region (near Ekibastuz) -- Kazakhstan</t>
  </si>
  <si>
    <t>en_won_KAZ_007</t>
  </si>
  <si>
    <t>wind onshore resource in Mangystau region (near Zhangaozen) -- Kazakhstan</t>
  </si>
  <si>
    <t>en_won_KAZ_008</t>
  </si>
  <si>
    <t>wind onshore resource in West Kazakhstan region (near Oral) -- Kazakhstan</t>
  </si>
  <si>
    <t>en_won_KAZ_009</t>
  </si>
  <si>
    <t>wind onshore resource in Aktobe region (near Aqtobe) -- Kazakhstan</t>
  </si>
  <si>
    <t>en_won_KAZ_010</t>
  </si>
  <si>
    <t>wind onshore resource in Kyzylorda region (near Qyzylorda) -- Kazakhstan</t>
  </si>
  <si>
    <t>en_won_KAZ_011</t>
  </si>
  <si>
    <t>wind onshore resource in Turkistan region (near Turkistan) -- Kazakhstan</t>
  </si>
  <si>
    <t>en_won_KAZ_012</t>
  </si>
  <si>
    <t>wind onshore resource in Jambyl region (near Taraz) -- Kazakhstan</t>
  </si>
  <si>
    <t>en_won_KAZ_013</t>
  </si>
  <si>
    <t>wind onshore resource in Karaganda region (near Qyzylorda) -- Kazakhstan</t>
  </si>
  <si>
    <t>en_won_KAZ_014</t>
  </si>
  <si>
    <t>wind onshore resource in Xinjiang region (near Oskemen) -- Kazakhstan</t>
  </si>
  <si>
    <t>en_won_KAZ_015</t>
  </si>
  <si>
    <t>en_won_KAZ_016</t>
  </si>
  <si>
    <t>en_won_KAZ_017</t>
  </si>
  <si>
    <t>wind onshore resource in Almaty region (near Almaty) -- Kazakhstan</t>
  </si>
  <si>
    <t>en_won_KEN_001</t>
  </si>
  <si>
    <t>wind onshore resource in Eastern region (near Kitenkela) -- Kenya</t>
  </si>
  <si>
    <t>en_won_KEN_002</t>
  </si>
  <si>
    <t>wind onshore resource in Coast region (near Mombasa) -- Kenya</t>
  </si>
  <si>
    <t>en_won_KEN_003</t>
  </si>
  <si>
    <t>wind onshore resource in Eastern region (near Habaswein) -- Kenya</t>
  </si>
  <si>
    <t>en_won_KEN_004</t>
  </si>
  <si>
    <t>wind onshore resource in North Eastern region (near Habaswein) -- Kenya</t>
  </si>
  <si>
    <t>en_won_KEN_005</t>
  </si>
  <si>
    <t>wind onshore resource in Eastern region (near Kakuma) -- Kenya</t>
  </si>
  <si>
    <t>en_won_KEN_006</t>
  </si>
  <si>
    <t>wind onshore resource in Rift Valley region (near Kakuma) -- Kenya</t>
  </si>
  <si>
    <t>en_won_KEN_007</t>
  </si>
  <si>
    <t>en_won_KEN_008</t>
  </si>
  <si>
    <t>wind onshore resource in Rift Valley region (near Nakuru) -- Kenya</t>
  </si>
  <si>
    <t>en_won_KGZ_001</t>
  </si>
  <si>
    <t>wind onshore resource in Naryn region (near Naryn) -- Kyrgyz Republic</t>
  </si>
  <si>
    <t>en_won_KGZ_002</t>
  </si>
  <si>
    <t>wind onshore resource in Khujand region (near Batken) -- Kyrgyz Republic</t>
  </si>
  <si>
    <t>en_won_KGZ_003</t>
  </si>
  <si>
    <t>wind onshore resource in Xinjiang region (near Karakol) -- Kyrgyz Republic</t>
  </si>
  <si>
    <t>en_won_KGZ_004</t>
  </si>
  <si>
    <t>en_won_KGZ_005</t>
  </si>
  <si>
    <t>wind onshore resource in Almaty region (near Karakol) -- Kyrgyz Republic</t>
  </si>
  <si>
    <t>en_won_KHM_001</t>
  </si>
  <si>
    <t>wind onshore resource in Mondulkiri region (near Kampong Cham) -- Cambodia</t>
  </si>
  <si>
    <t>en_won_KHM_002</t>
  </si>
  <si>
    <t>wind onshore resource in Banteay Meanchey region (near Sisophon) -- Cambodia</t>
  </si>
  <si>
    <t>en_won_KHM_003</t>
  </si>
  <si>
    <t>wind onshore resource in Prey Veng region (near Kampong Cham) -- Cambodia</t>
  </si>
  <si>
    <t>en_won_KHM_004</t>
  </si>
  <si>
    <t>wind onshore resource in An Giang region (near Phnom Penh) -- Cambodia</t>
  </si>
  <si>
    <t>en_won_KOR_001</t>
  </si>
  <si>
    <t>wind onshore resource in Gangwon region (near Yanggok) -- South Korea</t>
  </si>
  <si>
    <t>en_won_KOR_002</t>
  </si>
  <si>
    <t>wind onshore resource in North Gyeongsang region (near Daejeon) -- South Korea</t>
  </si>
  <si>
    <t>en_won_KOR_003</t>
  </si>
  <si>
    <t>wind onshore resource in South Chungcheong region (near Hwasu-dong) -- South Korea</t>
  </si>
  <si>
    <t>en_won_KOR_004</t>
  </si>
  <si>
    <t>wind onshore resource in South Jeolla region (near Gwangju) -- South Korea</t>
  </si>
  <si>
    <t>en_won_KOR_005</t>
  </si>
  <si>
    <t>wind onshore resource in North Gyeongsang region (near Daegu) -- South Korea</t>
  </si>
  <si>
    <t>en_won_KWT_001</t>
  </si>
  <si>
    <t>wind onshore resource in Al Jahra region (near Al Jahra') -- Kuwait</t>
  </si>
  <si>
    <t>en_won_KWT_002</t>
  </si>
  <si>
    <t>wind onshore resource in Al Farwaniyah region (near Kuwait City) -- Kuwait</t>
  </si>
  <si>
    <t>en_won_LAO_001</t>
  </si>
  <si>
    <t>wind onshore resource in Khammouane region (near Salavan) -- Laos</t>
  </si>
  <si>
    <t>en_won_LAO_002</t>
  </si>
  <si>
    <t>wind onshore resource in Ubon Ratchathani region (near Pakxe) -- Laos</t>
  </si>
  <si>
    <t>en_won_LAO_003</t>
  </si>
  <si>
    <t>wind onshore resource in Savannakhet region (near Savannakhet) -- Laos</t>
  </si>
  <si>
    <t>en_won_LBN_001</t>
  </si>
  <si>
    <t>wind onshore resource in near Jounie -- Lebanon</t>
  </si>
  <si>
    <t>en_won_LBN_002</t>
  </si>
  <si>
    <t>wind onshore resource in Beqaa region (near Zahle) -- Lebanon</t>
  </si>
  <si>
    <t>en_won_LBR_001</t>
  </si>
  <si>
    <t>wind onshore resource in Margibi region (near New Kru Town) -- Liberia</t>
  </si>
  <si>
    <t>en_won_LBR_002</t>
  </si>
  <si>
    <t>wind onshore resource in Sinoe region (near Yeebo Town) -- Liberia</t>
  </si>
  <si>
    <t>en_won_LBR_003</t>
  </si>
  <si>
    <t>wind onshore resource in Nzerekore Prefecture region (near New Kru Town) -- Liberia</t>
  </si>
  <si>
    <t>en_won_LBR_004</t>
  </si>
  <si>
    <t>wind onshore resource in Nimba region (near Yeebo Town) -- Liberia</t>
  </si>
  <si>
    <t>en_won_LBY_001</t>
  </si>
  <si>
    <t>wind onshore resource in Jufra region (near Ajdabiya) -- Libya</t>
  </si>
  <si>
    <t>en_won_LBY_002</t>
  </si>
  <si>
    <t>wind onshore resource in Mizdah region (near Gharyan) -- Libya</t>
  </si>
  <si>
    <t>en_won_LBY_003</t>
  </si>
  <si>
    <t>wind onshore resource in Misrata region (near Misratah) -- Libya</t>
  </si>
  <si>
    <t>en_won_LBY_004</t>
  </si>
  <si>
    <t>wind onshore resource in Butnan region (near Tobruk) -- Libya</t>
  </si>
  <si>
    <t>en_won_LBY_005</t>
  </si>
  <si>
    <t>wind onshore resource in Ajdabiya region (near Tobruk) -- Libya</t>
  </si>
  <si>
    <t>en_won_LBY_006</t>
  </si>
  <si>
    <t>wind onshore resource in Ajdabiya region (near Ajdabiya) -- Libya</t>
  </si>
  <si>
    <t>en_won_LBY_007</t>
  </si>
  <si>
    <t>en_won_LBY_008</t>
  </si>
  <si>
    <t>wind onshore resource in Ash Shati region (near Sabha) -- Libya</t>
  </si>
  <si>
    <t>en_won_LBY_009</t>
  </si>
  <si>
    <t>wind onshore resource in Wadi al Hayaa region (near Sabha) -- Libya</t>
  </si>
  <si>
    <t>en_won_LBY_010</t>
  </si>
  <si>
    <t>wind onshore resource in Kufra region (near Ajdabiya) -- Libya</t>
  </si>
  <si>
    <t>en_won_LBY_011</t>
  </si>
  <si>
    <t>wind onshore resource in Murzuq region (near Sabha) -- Libya</t>
  </si>
  <si>
    <t>en_won_LBY_012</t>
  </si>
  <si>
    <t>en_won_LBY_013</t>
  </si>
  <si>
    <t>en_won_LBY_014</t>
  </si>
  <si>
    <t>en_won_LKA_001</t>
  </si>
  <si>
    <t>wind onshore resource in Anuradhapura region (near Kilinochchi) -- Sri Lanka</t>
  </si>
  <si>
    <t>en_won_LKA_002</t>
  </si>
  <si>
    <t>wind onshore resource in Badulla region (near Kotmale) -- Sri Lanka</t>
  </si>
  <si>
    <t>en_won_LKA_003</t>
  </si>
  <si>
    <t>wind onshore resource in Anuradhapura region (near Dambulla) -- Sri Lanka</t>
  </si>
  <si>
    <t>en_won_LSO_001</t>
  </si>
  <si>
    <t>wind onshore resource in Thaba-Tseka region (near Ratau) -- Lesotho</t>
  </si>
  <si>
    <t>en_won_LSO_002</t>
  </si>
  <si>
    <t>wind onshore resource in Mafeteng region (near Mohale's Hoek) -- Lesotho</t>
  </si>
  <si>
    <t>en_won_LTU_001</t>
  </si>
  <si>
    <t>wind onshore resource in Panevėžys region (near Utena) -- Lithuania</t>
  </si>
  <si>
    <t>en_won_LTU_002</t>
  </si>
  <si>
    <t>wind onshore resource in Vilnius region (near Vilnius) -- Lithuania</t>
  </si>
  <si>
    <t>en_won_LTU_003</t>
  </si>
  <si>
    <t>wind onshore resource in Marijampolė region (near Marijampole) -- Lithuania</t>
  </si>
  <si>
    <t>en_won_LTU_004</t>
  </si>
  <si>
    <t>wind onshore resource in Tauragė region (near Siauliai) -- Lithuania</t>
  </si>
  <si>
    <t>en_won_LUX_001</t>
  </si>
  <si>
    <t>wind onshore resource in Diekirch region (near Luxembourg) -- Luxembourg</t>
  </si>
  <si>
    <t>en_won_LUX_002</t>
  </si>
  <si>
    <t>wind onshore resource in Grevenmacher region (near Luxembourg) -- Luxembourg</t>
  </si>
  <si>
    <t>en_won_LUX_003</t>
  </si>
  <si>
    <t>en_won_LUX_004</t>
  </si>
  <si>
    <t>en_won_LUX_005</t>
  </si>
  <si>
    <t>en_won_LUX_006</t>
  </si>
  <si>
    <t>wind onshore resource in Luxembourg region (near Esch-sur-Alzette) -- Luxembourg</t>
  </si>
  <si>
    <t>en_won_LVA_001</t>
  </si>
  <si>
    <t>wind onshore resource in Saldus region (near Jelgava) -- Latvia</t>
  </si>
  <si>
    <t>en_won_LVA_002</t>
  </si>
  <si>
    <t>wind onshore resource in Kārsava region (near Daugavpils) -- Latvia</t>
  </si>
  <si>
    <t>en_won_LVA_003</t>
  </si>
  <si>
    <t>wind onshore resource in Jēkabpils region (near Daugavpils) -- Latvia</t>
  </si>
  <si>
    <t>en_won_LVA_004</t>
  </si>
  <si>
    <t>wind onshore resource in Valmiera region (near Riga) -- Latvia</t>
  </si>
  <si>
    <t>en_won_MAR_001</t>
  </si>
  <si>
    <t>wind onshore resource in Tangier-Tetouan region (near Chefchaouene) -- Morocco</t>
  </si>
  <si>
    <t>en_won_MAR_002</t>
  </si>
  <si>
    <t>wind onshore resource in Fes-meknas-boulmane region (near Midalt) -- Morocco</t>
  </si>
  <si>
    <t>en_won_MAR_003</t>
  </si>
  <si>
    <t>wind onshore resource in Oriental region (near Bou Arfa) -- Morocco</t>
  </si>
  <si>
    <t>en_won_MAR_004</t>
  </si>
  <si>
    <t>wind onshore resource in Bechar region (near Errachidia) -- Morocco</t>
  </si>
  <si>
    <t>en_won_MAR_005</t>
  </si>
  <si>
    <t>wind onshore resource in Guelmim-Es Semara region (near Tabount) -- Morocco</t>
  </si>
  <si>
    <t>en_won_MAR_006</t>
  </si>
  <si>
    <t>wind onshore resource in Marrakesh-Tensift-El Haouz region (near Sidi Bennour) -- Morocco</t>
  </si>
  <si>
    <t>en_won_MAR_007</t>
  </si>
  <si>
    <t>wind onshore resource in Guelmim-Es Semara region (near Guelmim) -- Morocco</t>
  </si>
  <si>
    <t>en_won_MDA_001</t>
  </si>
  <si>
    <t>wind onshore resource in Fălești region (near Balti) -- Moldova</t>
  </si>
  <si>
    <t>en_won_MDA_002</t>
  </si>
  <si>
    <t>wind onshore resource in Odessa region (near Ceadir-Lunga) -- Moldova</t>
  </si>
  <si>
    <t>en_won_MDA_003</t>
  </si>
  <si>
    <t>wind onshore resource in Transnistria region (near Dubasari) -- Moldova</t>
  </si>
  <si>
    <t>en_won_MDG_001</t>
  </si>
  <si>
    <t>wind onshore resource in Toamasina region (near Miarinarivo) -- Madagascar</t>
  </si>
  <si>
    <t>en_won_MDG_002</t>
  </si>
  <si>
    <t>wind onshore resource in Betsiboka region (near Maevatanana) -- Madagascar</t>
  </si>
  <si>
    <t>en_won_MDG_003</t>
  </si>
  <si>
    <t>wind onshore resource in Betsiboka region (near Tsaratanana) -- Madagascar</t>
  </si>
  <si>
    <t>en_won_MDG_004</t>
  </si>
  <si>
    <t>wind onshore resource in Atsimo-Andrefana region (near Behisatse) -- Madagascar</t>
  </si>
  <si>
    <t>en_won_MDG_005</t>
  </si>
  <si>
    <t>wind onshore resource in Melaky region (near Andranomavo) -- Madagascar</t>
  </si>
  <si>
    <t>en_won_MDG_006</t>
  </si>
  <si>
    <t>wind onshore resource in Anosy region (near Analamary) -- Madagascar</t>
  </si>
  <si>
    <t>en_won_MDG_007</t>
  </si>
  <si>
    <t>wind onshore resource in Atsimo-Andrefana region (near Fotadrevo) -- Madagascar</t>
  </si>
  <si>
    <t>en_won_MDG_008</t>
  </si>
  <si>
    <t>wind onshore resource in Ihorombe region (near Ihosy) -- Madagascar</t>
  </si>
  <si>
    <t>en_won_MEX_001</t>
  </si>
  <si>
    <t>wind onshore resource in Durango region (near Durango) -- Mexico</t>
  </si>
  <si>
    <t>en_won_MEX_002</t>
  </si>
  <si>
    <t>wind onshore resource in Chihuahua region (near Cuauhtemoc) -- Mexico</t>
  </si>
  <si>
    <t>en_won_MEX_003</t>
  </si>
  <si>
    <t>wind onshore resource in Chihuahua region (near Chihuahua) -- Mexico</t>
  </si>
  <si>
    <t>en_won_MEX_004</t>
  </si>
  <si>
    <t>wind onshore resource in Coahuila region (near Monclova) -- Mexico</t>
  </si>
  <si>
    <t>en_won_MEX_005</t>
  </si>
  <si>
    <t>wind onshore resource in Zacatecas region (near Fresnillo) -- Mexico</t>
  </si>
  <si>
    <t>en_won_MEX_006</t>
  </si>
  <si>
    <t>wind onshore resource in near Guaymas -- Mexico</t>
  </si>
  <si>
    <t>en_won_MEX_007</t>
  </si>
  <si>
    <t>wind onshore resource in Sonora region (near Nogales) -- Mexico</t>
  </si>
  <si>
    <t>en_won_MEX_008</t>
  </si>
  <si>
    <t>wind onshore resource in near San Luis Rio Colorado -- Mexico</t>
  </si>
  <si>
    <t>en_won_MEX_009</t>
  </si>
  <si>
    <t>wind onshore resource in Baja California Sur region (near Guaymas) -- Mexico</t>
  </si>
  <si>
    <t>en_won_MEX_010</t>
  </si>
  <si>
    <t>wind onshore resource in Nuevo Leon region (near Nuevo Laredo) -- Mexico</t>
  </si>
  <si>
    <t>en_won_MEX_011</t>
  </si>
  <si>
    <t>wind onshore resource in Campeche region (near Carmen) -- Mexico</t>
  </si>
  <si>
    <t>en_won_MEX_012</t>
  </si>
  <si>
    <t>wind onshore resource in Oaxaca region (near Tuxtepec) -- Mexico</t>
  </si>
  <si>
    <t>en_won_MKD_001</t>
  </si>
  <si>
    <t>wind onshore resource in Drugovo region (near Ohrid) -- North Macedonia</t>
  </si>
  <si>
    <t>en_won_MKD_002</t>
  </si>
  <si>
    <t>wind onshore resource in Štip region (near Stip) -- North Macedonia</t>
  </si>
  <si>
    <t>en_won_MKD_003</t>
  </si>
  <si>
    <t>wind onshore resource in Brvenica region (near Tetovo) -- North Macedonia</t>
  </si>
  <si>
    <t>en_won_MKD_004</t>
  </si>
  <si>
    <t>wind onshore resource in Gradsko region (near Veles) -- North Macedonia</t>
  </si>
  <si>
    <t>en_won_MLI_001</t>
  </si>
  <si>
    <t>wind onshore resource in Segou region (near Somasso) -- Mali</t>
  </si>
  <si>
    <t>en_won_MLI_002</t>
  </si>
  <si>
    <t>wind onshore resource in Wassoulou region (near Massigui) -- Mali</t>
  </si>
  <si>
    <t>en_won_MLI_003</t>
  </si>
  <si>
    <t>wind onshore resource in Mopti region (near Ngorkou) -- Mali</t>
  </si>
  <si>
    <t>en_won_MLI_004</t>
  </si>
  <si>
    <t>wind onshore resource in Kayes region (near Diema) -- Mali</t>
  </si>
  <si>
    <t>en_won_MLI_005</t>
  </si>
  <si>
    <t>wind onshore resource in Kayes region (near Sebekoro) -- Mali</t>
  </si>
  <si>
    <t>en_won_MLI_006</t>
  </si>
  <si>
    <t>wind onshore resource in Tombouctou region (near Timbuktu) -- Mali</t>
  </si>
  <si>
    <t>en_won_MLI_007</t>
  </si>
  <si>
    <t>en_won_MLI_008</t>
  </si>
  <si>
    <t>wind onshore resource in Gao region (near Ansongo) -- Mali</t>
  </si>
  <si>
    <t>en_won_MLI_009</t>
  </si>
  <si>
    <t>wind onshore resource in Kidal region (near Bourem) -- Mali</t>
  </si>
  <si>
    <t>en_won_MLI_010</t>
  </si>
  <si>
    <t>wind onshore resource in Tombouctou region (near Bamba) -- Mali</t>
  </si>
  <si>
    <t>en_won_MLI_011</t>
  </si>
  <si>
    <t>en_won_MLI_012</t>
  </si>
  <si>
    <t>en_won_MMR_001</t>
  </si>
  <si>
    <t>wind onshore resource in Chumphon region (near Myeik) -- Myanmar</t>
  </si>
  <si>
    <t>en_won_MMR_002</t>
  </si>
  <si>
    <t>wind onshore resource in Magway region (near Magway) -- Myanmar</t>
  </si>
  <si>
    <t>en_won_MMR_003</t>
  </si>
  <si>
    <t>wind onshore resource in Mandalay region (near Natogyi) -- Myanmar</t>
  </si>
  <si>
    <t>en_won_MMR_004</t>
  </si>
  <si>
    <t>wind onshore resource in Rakhine State region (near Maungdaw) -- Myanmar</t>
  </si>
  <si>
    <t>en_won_MMR_005</t>
  </si>
  <si>
    <t>wind onshore resource in Ayeyarwady region (near Pathein) -- Myanmar</t>
  </si>
  <si>
    <t>en_won_MMR_006</t>
  </si>
  <si>
    <t>wind onshore resource in Yangon region (near Thingangyun) -- Myanmar</t>
  </si>
  <si>
    <t>en_won_MNE_001</t>
  </si>
  <si>
    <t>wind onshore resource in Šavnik region (near Niksic) -- Montenegro</t>
  </si>
  <si>
    <t>en_won_MNE_002</t>
  </si>
  <si>
    <t>wind onshore resource in Danilovgrad region (near Podgorica) -- Montenegro</t>
  </si>
  <si>
    <t>en_won_MNE_003</t>
  </si>
  <si>
    <t>wind onshore resource in Kotor region (near Herceg Novi) -- Montenegro</t>
  </si>
  <si>
    <t>en_won_MNG_001</t>
  </si>
  <si>
    <t>wind onshore resource in Omnogovi region (near Ulaanbaatar) -- Mongolia</t>
  </si>
  <si>
    <t>en_won_MNG_002</t>
  </si>
  <si>
    <t>wind onshore resource in Khentii region (near Ulaanbaatar) -- Mongolia</t>
  </si>
  <si>
    <t>en_won_MNG_003</t>
  </si>
  <si>
    <t>wind onshore resource in Sukhbaatar region (near Ulaanbaatar) -- Mongolia</t>
  </si>
  <si>
    <t>en_won_MNG_004</t>
  </si>
  <si>
    <t>wind onshore resource in Inner Mongolia region (near Ulaanbaatar) -- Mongolia</t>
  </si>
  <si>
    <t>en_won_MNG_005</t>
  </si>
  <si>
    <t>wind onshore resource in Bayan-Olgii region (near Moron) -- Mongolia</t>
  </si>
  <si>
    <t>en_won_MNG_006</t>
  </si>
  <si>
    <t>wind onshore resource in Govi-Altai region (near Moron) -- Mongolia</t>
  </si>
  <si>
    <t>en_won_MNG_007</t>
  </si>
  <si>
    <t>wind onshore resource in Uvs region (near Moron) -- Mongolia</t>
  </si>
  <si>
    <t>en_won_MNG_008</t>
  </si>
  <si>
    <t>wind onshore resource in Omnogovi region (near Erdenet) -- Mongolia</t>
  </si>
  <si>
    <t>en_won_MNG_009</t>
  </si>
  <si>
    <t>en_won_MNG_010</t>
  </si>
  <si>
    <t>wind onshore resource in Selenge region (near Erdenet) -- Mongolia</t>
  </si>
  <si>
    <t>en_won_MNG_011</t>
  </si>
  <si>
    <t>wind onshore resource in Bulgan region (near Erdenet) -- Mongolia</t>
  </si>
  <si>
    <t>en_won_MNG_012</t>
  </si>
  <si>
    <t>wind onshore resource in Bayankhongor region (near Moron) -- Mongolia</t>
  </si>
  <si>
    <t>en_won_MNG_013</t>
  </si>
  <si>
    <t>wind onshore resource in Khovsgol region (near Moron) -- Mongolia</t>
  </si>
  <si>
    <t>en_won_MOZ_001</t>
  </si>
  <si>
    <t>wind onshore resource in Maputo region (near Matola) -- Mozambique</t>
  </si>
  <si>
    <t>en_won_MOZ_002</t>
  </si>
  <si>
    <t>wind onshore resource in Gaza region (near Maputo) -- Mozambique</t>
  </si>
  <si>
    <t>en_won_MOZ_003</t>
  </si>
  <si>
    <t>wind onshore resource in Nampula region (near Cidade de Nacala) -- Mozambique</t>
  </si>
  <si>
    <t>en_won_MOZ_004</t>
  </si>
  <si>
    <t>wind onshore resource in Cabo Delgado region (near Nampula) -- Mozambique</t>
  </si>
  <si>
    <t>en_won_MOZ_005</t>
  </si>
  <si>
    <t>wind onshore resource in near Quelimane -- Mozambique</t>
  </si>
  <si>
    <t>en_won_MOZ_006</t>
  </si>
  <si>
    <t>wind onshore resource in Niassa region (near Vila Junqueiro) -- Mozambique</t>
  </si>
  <si>
    <t>en_won_MOZ_007</t>
  </si>
  <si>
    <t>wind onshore resource in Tete region (near Tete) -- Mozambique</t>
  </si>
  <si>
    <t>en_won_MOZ_008</t>
  </si>
  <si>
    <t>wind onshore resource in Inhambane region (near Beira) -- Mozambique</t>
  </si>
  <si>
    <t>en_won_MOZ_009</t>
  </si>
  <si>
    <t>wind onshore resource in Sofala region (near Quelimane) -- Mozambique</t>
  </si>
  <si>
    <t>en_won_MRT_001</t>
  </si>
  <si>
    <t>wind onshore resource in Tiris Zemmour region (near Nouadhibou) -- Mauritania</t>
  </si>
  <si>
    <t>en_won_MRT_002</t>
  </si>
  <si>
    <t>en_won_MRT_003</t>
  </si>
  <si>
    <t>en_won_MRT_004</t>
  </si>
  <si>
    <t>wind onshore resource in Adrar region (near Nouadhibou) -- Mauritania</t>
  </si>
  <si>
    <t>en_won_MRT_005</t>
  </si>
  <si>
    <t>wind onshore resource in Hodh Ech Chargui region (near Dar Naim) -- Mauritania</t>
  </si>
  <si>
    <t>en_won_MRT_006</t>
  </si>
  <si>
    <t>en_won_MRT_007</t>
  </si>
  <si>
    <t>wind onshore resource in Tagant region (near Dar Naim) -- Mauritania</t>
  </si>
  <si>
    <t>en_won_MRT_008</t>
  </si>
  <si>
    <t>wind onshore resource in Adrar region (near Dar Naim) -- Mauritania</t>
  </si>
  <si>
    <t>en_won_MRT_009</t>
  </si>
  <si>
    <t>wind onshore resource in Inchiri region (near Nouadhibou) -- Mauritania</t>
  </si>
  <si>
    <t>en_won_MRT_010</t>
  </si>
  <si>
    <t>wind onshore resource in Trarza region (near Dar Naim) -- Mauritania</t>
  </si>
  <si>
    <t>en_won_MRT_011</t>
  </si>
  <si>
    <t>wind onshore resource in Assaba region (near Dar Naim) -- Mauritania</t>
  </si>
  <si>
    <t>en_won_MWI_001</t>
  </si>
  <si>
    <t>wind onshore resource in Niassa region (near Lilongwe) -- Malawi</t>
  </si>
  <si>
    <t>en_won_MWI_002</t>
  </si>
  <si>
    <t>wind onshore resource in Kasungu region (near Lilongwe) -- Malawi</t>
  </si>
  <si>
    <t>en_won_MWI_003</t>
  </si>
  <si>
    <t>wind onshore resource in Tete region (near Blantyre) -- Malawi</t>
  </si>
  <si>
    <t>en_won_MWI_004</t>
  </si>
  <si>
    <t>en_won_MYS_001</t>
  </si>
  <si>
    <t>wind onshore resource in Sabah region (near Kota Kinabalu) -- Malaysia</t>
  </si>
  <si>
    <t>en_won_MYS_002</t>
  </si>
  <si>
    <t>wind onshore resource in near Johor Bahru -- Malaysia</t>
  </si>
  <si>
    <t>en_won_MYS_003</t>
  </si>
  <si>
    <t>wind onshore resource in Perak region (near Sungai Petani) -- Malaysia</t>
  </si>
  <si>
    <t>en_won_NAM_001</t>
  </si>
  <si>
    <t>wind onshore resource in Kunene region (near Oshakati) -- Namibia</t>
  </si>
  <si>
    <t>en_won_NAM_002</t>
  </si>
  <si>
    <t>wind onshore resource in Erongo region (near Swakopmund) -- Namibia</t>
  </si>
  <si>
    <t>en_won_NAM_003</t>
  </si>
  <si>
    <t>wind onshore resource in Hardap region (near Rehoboth) -- Namibia</t>
  </si>
  <si>
    <t>en_won_NAM_004</t>
  </si>
  <si>
    <t>wind onshore resource in Hardap region (near Walvisbaai) -- Namibia</t>
  </si>
  <si>
    <t>en_won_NAM_005</t>
  </si>
  <si>
    <t>wind onshore resource in Karas region (near Rehoboth) -- Namibia</t>
  </si>
  <si>
    <t>en_won_NAM_006</t>
  </si>
  <si>
    <t>en_won_NAM_007</t>
  </si>
  <si>
    <t>wind onshore resource in Kunene region (near Tsumeb) -- Namibia</t>
  </si>
  <si>
    <t>en_won_NAM_008</t>
  </si>
  <si>
    <t>wind onshore resource in Omaheke region (near Windhoek) -- Namibia</t>
  </si>
  <si>
    <t>en_won_NAM_009</t>
  </si>
  <si>
    <t>wind onshore resource in North-West region (near Rundu) -- Namibia</t>
  </si>
  <si>
    <t>en_won_NAM_010</t>
  </si>
  <si>
    <t>wind onshore resource in Kavango region (near Rundu) -- Namibia</t>
  </si>
  <si>
    <t>en_won_NCL_001</t>
  </si>
  <si>
    <t>wind onshore resource in North region (near Dumbea) -- New Caledonia</t>
  </si>
  <si>
    <t>en_won_NCL_002</t>
  </si>
  <si>
    <t>wind onshore resource in South region (near Dumbea) -- New Caledonia</t>
  </si>
  <si>
    <t>en_won_NCL_003</t>
  </si>
  <si>
    <t>en_won_NER_001</t>
  </si>
  <si>
    <t>wind onshore resource in Agadez region (near Agadez) -- Niger</t>
  </si>
  <si>
    <t>en_won_NER_002</t>
  </si>
  <si>
    <t>en_won_NER_003</t>
  </si>
  <si>
    <t>en_won_NER_004</t>
  </si>
  <si>
    <t>en_won_NER_005</t>
  </si>
  <si>
    <t>en_won_NER_006</t>
  </si>
  <si>
    <t>wind onshore resource in Diffa region (near Zinder) -- Niger</t>
  </si>
  <si>
    <t>en_won_NER_007</t>
  </si>
  <si>
    <t>wind onshore resource in Tahoua region (near Tahoua) -- Niger</t>
  </si>
  <si>
    <t>en_won_NER_008</t>
  </si>
  <si>
    <t>wind onshore resource in Zinder region (near Zinder) -- Niger</t>
  </si>
  <si>
    <t>en_won_NER_009</t>
  </si>
  <si>
    <t>en_won_NER_010</t>
  </si>
  <si>
    <t>wind onshore resource in Tillaberi region (near Niamey) -- Niger</t>
  </si>
  <si>
    <t>en_won_NER_011</t>
  </si>
  <si>
    <t>en_won_NER_012</t>
  </si>
  <si>
    <t>en_won_NGA_001</t>
  </si>
  <si>
    <t>wind onshore resource in Taraba State region (near Jalingo) -- Nigeria</t>
  </si>
  <si>
    <t>en_won_NGA_002</t>
  </si>
  <si>
    <t>wind onshore resource in Kogi State region (near Ikare) -- Nigeria</t>
  </si>
  <si>
    <t>en_won_NGA_003</t>
  </si>
  <si>
    <t>wind onshore resource in Kaduna State region (near Kaduna) -- Nigeria</t>
  </si>
  <si>
    <t>en_won_NGA_004</t>
  </si>
  <si>
    <t>wind onshore resource in Niger State region (near Kaduna) -- Nigeria</t>
  </si>
  <si>
    <t>en_won_NGA_005</t>
  </si>
  <si>
    <t>wind onshore resource in Sokoto State region (near Kaduna) -- Nigeria</t>
  </si>
  <si>
    <t>en_won_NGA_006</t>
  </si>
  <si>
    <t>wind onshore resource in Borno State region (near Maiduguri) -- Nigeria</t>
  </si>
  <si>
    <t>en_won_NGA_007</t>
  </si>
  <si>
    <t>wind onshore resource in Katsina State region (near Kano) -- Nigeria</t>
  </si>
  <si>
    <t>en_won_NGA_008</t>
  </si>
  <si>
    <t>wind onshore resource in Kano State region (near Kano) -- Nigeria</t>
  </si>
  <si>
    <t>en_won_NGA_009</t>
  </si>
  <si>
    <t>wind onshore resource in Gombe State region (near Jalingo) -- Nigeria</t>
  </si>
  <si>
    <t>en_won_NIC_001</t>
  </si>
  <si>
    <t>wind onshore resource in South Caribbean Coast region (near El Rama) -- Nicaragua</t>
  </si>
  <si>
    <t>en_won_NIC_002</t>
  </si>
  <si>
    <t>wind onshore resource in Chontales region (near Juigalpa) -- Nicaragua</t>
  </si>
  <si>
    <t>en_won_NIC_003</t>
  </si>
  <si>
    <t>wind onshore resource in Jinotega region (near Jinotega) -- Nicaragua</t>
  </si>
  <si>
    <t>en_won_NIC_004</t>
  </si>
  <si>
    <t>wind onshore resource in Leon region (near Leon) -- Nicaragua</t>
  </si>
  <si>
    <t>en_won_NLD_001</t>
  </si>
  <si>
    <t>wind onshore resource in Friesland region (near Sneek) -- Netherlands</t>
  </si>
  <si>
    <t>en_won_NLD_002</t>
  </si>
  <si>
    <t>wind onshore resource in North Brabant region (near Eindhoven) -- Netherlands</t>
  </si>
  <si>
    <t>en_won_NLD_003</t>
  </si>
  <si>
    <t>wind onshore resource in Gelderland region (near Apeldoorn) -- Netherlands</t>
  </si>
  <si>
    <t>en_won_NOR_001</t>
  </si>
  <si>
    <t>wind onshore resource in Telemark region (near Kongsberg) -- Norway</t>
  </si>
  <si>
    <t>en_won_NOR_002</t>
  </si>
  <si>
    <t>wind onshore resource in Aust-Agder region (near Arendal) -- Norway</t>
  </si>
  <si>
    <t>en_won_NOR_003</t>
  </si>
  <si>
    <t>wind onshore resource in near Haugesund -- Norway</t>
  </si>
  <si>
    <t>en_won_NOR_004</t>
  </si>
  <si>
    <t>wind onshore resource in near Porsgrunn -- Norway</t>
  </si>
  <si>
    <t>en_won_NPL_001</t>
  </si>
  <si>
    <t>wind onshore resource in Uttar Pradesh region (near Ghorahi) -- Nepal</t>
  </si>
  <si>
    <t>en_won_NPL_002</t>
  </si>
  <si>
    <t>wind onshore resource in Sagarmatha Zone region (near Lahan) -- Nepal</t>
  </si>
  <si>
    <t>en_won_NZL_001</t>
  </si>
  <si>
    <t>wind onshore resource in Manawatū-Whanganui region (near Palmerston North) -- New Zealand</t>
  </si>
  <si>
    <t>en_won_NZL_002</t>
  </si>
  <si>
    <t>wind onshore resource in Auckland region (near Northcote) -- New Zealand</t>
  </si>
  <si>
    <t>en_won_NZL_003</t>
  </si>
  <si>
    <t>wind onshore resource in Waikato region (near Tauranga) -- New Zealand</t>
  </si>
  <si>
    <t>en_won_NZL_004</t>
  </si>
  <si>
    <t>wind onshore resource in Otago region (near Christchurch) -- New Zealand</t>
  </si>
  <si>
    <t>en_won_NZL_005</t>
  </si>
  <si>
    <t>wind onshore resource in Canterbury region (near Christchurch) -- New Zealand</t>
  </si>
  <si>
    <t>en_won_NZL_006</t>
  </si>
  <si>
    <t>en_won_OMN_001</t>
  </si>
  <si>
    <t>wind onshore resource in Ad Dakhiliyah region (near Bawshar) -- Oman</t>
  </si>
  <si>
    <t>en_won_OMN_002</t>
  </si>
  <si>
    <t>wind onshore resource in Al Buraimi region (near Bawshar) -- Oman</t>
  </si>
  <si>
    <t>en_won_OMN_003</t>
  </si>
  <si>
    <t>wind onshore resource in Ad Dhahirah region (near Bawshar) -- Oman</t>
  </si>
  <si>
    <t>en_won_OMN_004</t>
  </si>
  <si>
    <t>wind onshore resource in Al Wusta region (near Bawshar) -- Oman</t>
  </si>
  <si>
    <t>en_won_OMN_005</t>
  </si>
  <si>
    <t>wind onshore resource in Dhofar region (near Salalah) -- Oman</t>
  </si>
  <si>
    <t>en_won_OMN_006</t>
  </si>
  <si>
    <t>en_won_OMN_007</t>
  </si>
  <si>
    <t>wind onshore resource in Al Wusta region (near Salalah) -- Oman</t>
  </si>
  <si>
    <t>en_won_PAK_001</t>
  </si>
  <si>
    <t>wind onshore resource in Punjab region (near Rahimyar Khan) -- Pakistan</t>
  </si>
  <si>
    <t>en_won_PAK_002</t>
  </si>
  <si>
    <t>wind onshore resource in Sindh region (near Khipro) -- Pakistan</t>
  </si>
  <si>
    <t>en_won_PAK_003</t>
  </si>
  <si>
    <t>wind onshore resource in Sindh region (near Hyderabad City) -- Pakistan</t>
  </si>
  <si>
    <t>en_won_PAK_004</t>
  </si>
  <si>
    <t>wind onshore resource in Balochistan region (near Quetta) -- Pakistan</t>
  </si>
  <si>
    <t>en_won_PAK_005</t>
  </si>
  <si>
    <t>en_won_PAK_006</t>
  </si>
  <si>
    <t>wind onshore resource in Balochistan region (near Karachi) -- Pakistan</t>
  </si>
  <si>
    <t>en_won_PAK_007</t>
  </si>
  <si>
    <t>en_won_PAK_008</t>
  </si>
  <si>
    <t>en_won_PAN_001</t>
  </si>
  <si>
    <t>wind onshore resource in Panama region (near La Chorrera) -- Panama</t>
  </si>
  <si>
    <t>en_won_PAN_002</t>
  </si>
  <si>
    <t>wind onshore resource in Veraguas region (near La Chorrera) -- Panama</t>
  </si>
  <si>
    <t>en_won_PAN_003</t>
  </si>
  <si>
    <t>wind onshore resource in near Tocumen -- Panama</t>
  </si>
  <si>
    <t>en_won_PER_001</t>
  </si>
  <si>
    <t>wind onshore resource in Ica region (near Ica) -- Peru</t>
  </si>
  <si>
    <t>en_won_PER_002</t>
  </si>
  <si>
    <t>wind onshore resource in Piura region (near Piura) -- Peru</t>
  </si>
  <si>
    <t>en_won_PER_003</t>
  </si>
  <si>
    <t>wind onshore resource in near Chimbote -- Peru</t>
  </si>
  <si>
    <t>en_won_PER_004</t>
  </si>
  <si>
    <t>wind onshore resource in Lambayeque region (near Chiclayo) -- Peru</t>
  </si>
  <si>
    <t>en_won_PHL_001</t>
  </si>
  <si>
    <t>wind onshore resource in Cagayan region (near Aparri) -- Philippines</t>
  </si>
  <si>
    <t>en_won_PHL_002</t>
  </si>
  <si>
    <t>wind onshore resource in Mountain region (near Roxas) -- Philippines</t>
  </si>
  <si>
    <t>en_won_PHL_003</t>
  </si>
  <si>
    <t>wind onshore resource in Palawan region (near Roxas) -- Philippines</t>
  </si>
  <si>
    <t>en_won_PHL_004</t>
  </si>
  <si>
    <t>wind onshore resource in near Sablayan -- Philippines</t>
  </si>
  <si>
    <t>en_won_PHL_005</t>
  </si>
  <si>
    <t>wind onshore resource in Bohol region (near Ubay) -- Philippines</t>
  </si>
  <si>
    <t>en_won_PHL_006</t>
  </si>
  <si>
    <t>wind onshore resource in near Mauban -- Philippines</t>
  </si>
  <si>
    <t>en_won_PHL_007</t>
  </si>
  <si>
    <t>wind onshore resource in Masbate region (near Masbate) -- Philippines</t>
  </si>
  <si>
    <t>en_won_PHL_008</t>
  </si>
  <si>
    <t>wind onshore resource in Negros Occidental region (near La Carlota) -- Philippines</t>
  </si>
  <si>
    <t>en_won_PNG_001</t>
  </si>
  <si>
    <t>wind onshore resource in Western region (near Mendi) -- Papua New Guinea</t>
  </si>
  <si>
    <t>en_won_PNG_002</t>
  </si>
  <si>
    <t>wind onshore resource in West New Britain region (near Kimbe) -- Papua New Guinea</t>
  </si>
  <si>
    <t>en_won_PNG_003</t>
  </si>
  <si>
    <t>wind onshore resource in near Popondetta -- Papua New Guinea</t>
  </si>
  <si>
    <t>en_won_PNG_004</t>
  </si>
  <si>
    <t>wind onshore resource in near Port Moresby -- Papua New Guinea</t>
  </si>
  <si>
    <t>en_won_POL_001</t>
  </si>
  <si>
    <t>wind onshore resource in Lublin Voivodeship region (near Swidnik) -- Poland</t>
  </si>
  <si>
    <t>en_won_POL_002</t>
  </si>
  <si>
    <t>wind onshore resource in Podlaskie Voivodeship region (near Elk) -- Poland</t>
  </si>
  <si>
    <t>en_won_POL_003</t>
  </si>
  <si>
    <t>wind onshore resource in Warmian-Masurian Voivodeship region (near Olsztyn) -- Poland</t>
  </si>
  <si>
    <t>en_won_POL_004</t>
  </si>
  <si>
    <t>wind onshore resource in West Pomeranian Voivodeship region (near Koszalin) -- Poland</t>
  </si>
  <si>
    <t>en_won_POL_005</t>
  </si>
  <si>
    <t>wind onshore resource in Lubusz Voivodeship region (near Zielona Gora) -- Poland</t>
  </si>
  <si>
    <t>en_won_POL_006</t>
  </si>
  <si>
    <t>wind onshore resource in Podkarpackie Voivodeship region (near Krosno) -- Poland</t>
  </si>
  <si>
    <t>en_won_POL_007</t>
  </si>
  <si>
    <t>wind onshore resource in Opole Voivodeship region (near Kedzierzyn-Kozle) -- Poland</t>
  </si>
  <si>
    <t>en_won_PRI_001</t>
  </si>
  <si>
    <t>wind onshore resource in Puerto Rico region (near Aguadilla) -- Puerto Rico</t>
  </si>
  <si>
    <t>en_won_PRI_002</t>
  </si>
  <si>
    <t>en_won_PRI_003</t>
  </si>
  <si>
    <t>wind onshore resource in Puerto Rico region (near Bayamon) -- Puerto Rico</t>
  </si>
  <si>
    <t>en_won_PRK_001</t>
  </si>
  <si>
    <t>wind onshore resource in North Hwanghae region (near Sariwon) -- Dem. People^s Rep. Korea</t>
  </si>
  <si>
    <t>en_won_PRK_002</t>
  </si>
  <si>
    <t>wind onshore resource in North Pyongan region (near Sinuiju) -- Dem. People^s Rep. Korea</t>
  </si>
  <si>
    <t>en_won_PRK_003</t>
  </si>
  <si>
    <t>wind onshore resource in North Hamgyong region (near Ch'ongjin) -- Dem. People^s Rep. Korea</t>
  </si>
  <si>
    <t>en_won_PRK_004</t>
  </si>
  <si>
    <t>wind onshore resource in Kangwon region (near Wonsan) -- Dem. People^s Rep. Korea</t>
  </si>
  <si>
    <t>en_won_PRK_005</t>
  </si>
  <si>
    <t>wind onshore resource in Jilin region (near Kanggye) -- Dem. People^s Rep. Korea</t>
  </si>
  <si>
    <t>en_won_PRT_001</t>
  </si>
  <si>
    <t>wind onshore resource in Guarda region (near Guarda) -- Portugal</t>
  </si>
  <si>
    <t>en_won_PRT_002</t>
  </si>
  <si>
    <t>wind onshore resource in Vila Real region (near Chaves) -- Portugal</t>
  </si>
  <si>
    <t>en_won_PRT_003</t>
  </si>
  <si>
    <t>wind onshore resource in Azores region (near Angra do Heroismo) -- Portugal</t>
  </si>
  <si>
    <t>en_won_PRT_004</t>
  </si>
  <si>
    <t>wind onshore resource in Santarem region (near Ourem) -- Portugal</t>
  </si>
  <si>
    <t>en_won_PRT_005</t>
  </si>
  <si>
    <t>wind onshore resource in Beja region (near Beja) -- Portugal</t>
  </si>
  <si>
    <t>en_won_PRY_001</t>
  </si>
  <si>
    <t>wind onshore resource in Presidente Hayes region (near Villa Hayes) -- Paraguay</t>
  </si>
  <si>
    <t>en_won_PRY_002</t>
  </si>
  <si>
    <t>wind onshore resource in Paraguari region (near Ita) -- Paraguay</t>
  </si>
  <si>
    <t>en_won_PRY_003</t>
  </si>
  <si>
    <t>wind onshore resource in Caazapa region (near Villarrica) -- Paraguay</t>
  </si>
  <si>
    <t>en_won_PRY_004</t>
  </si>
  <si>
    <t>wind onshore resource in Concepcion region (near Horqueta) -- Paraguay</t>
  </si>
  <si>
    <t>en_won_PRY_005</t>
  </si>
  <si>
    <t>wind onshore resource in Boqueron region (near Horqueta) -- Paraguay</t>
  </si>
  <si>
    <t>en_won_PRY_006</t>
  </si>
  <si>
    <t>en_won_PRY_007</t>
  </si>
  <si>
    <t>wind onshore resource in Alto Paraguay region (near Horqueta) -- Paraguay</t>
  </si>
  <si>
    <t>en_won_PRY_008</t>
  </si>
  <si>
    <t>en_won_QAT_001</t>
  </si>
  <si>
    <t>wind onshore resource in Al Rayyan region (near Ar Rayyan) -- Qatar</t>
  </si>
  <si>
    <t>en_won_QAT_002</t>
  </si>
  <si>
    <t>en_won_ROU_001</t>
  </si>
  <si>
    <t>wind onshore resource in Suceava region (near Suceava) -- Romania</t>
  </si>
  <si>
    <t>en_won_ROU_002</t>
  </si>
  <si>
    <t>wind onshore resource in Galați region (near Barlad) -- Romania</t>
  </si>
  <si>
    <t>en_won_ROU_003</t>
  </si>
  <si>
    <t>wind onshore resource in Arad region (near Arad) -- Romania</t>
  </si>
  <si>
    <t>en_won_ROU_004</t>
  </si>
  <si>
    <t>wind onshore resource in Sălaj region (near Zalau) -- Romania</t>
  </si>
  <si>
    <t>en_won_ROU_005</t>
  </si>
  <si>
    <t>wind onshore resource in Dolj region (near Craiova) -- Romania</t>
  </si>
  <si>
    <t>en_won_ROU_006</t>
  </si>
  <si>
    <t>wind onshore resource in Giurgiu region (near Giurgiu) -- Romania</t>
  </si>
  <si>
    <t>en_won_RUS_001</t>
  </si>
  <si>
    <t>wind onshore resource in Sakha Republic region (near Yakutsk) -- Russia</t>
  </si>
  <si>
    <t>en_won_RUS_002</t>
  </si>
  <si>
    <t>wind onshore resource in Zabaykalsky Krai region (near Chita) -- Russia</t>
  </si>
  <si>
    <t>en_won_RUS_003</t>
  </si>
  <si>
    <t>en_won_RUS_004</t>
  </si>
  <si>
    <t>wind onshore resource in Kamchatka Krai region (near Petropavlovsk-Kamchatskiy) -- Russia</t>
  </si>
  <si>
    <t>en_won_RUS_005</t>
  </si>
  <si>
    <t>wind onshore resource in Khabarovsk Krai region (near Yakutsk) -- Russia</t>
  </si>
  <si>
    <t>en_won_RUS_006</t>
  </si>
  <si>
    <t>wind onshore resource in Amur region (near Blagoveshchensk) -- Russia</t>
  </si>
  <si>
    <t>en_won_RUS_007</t>
  </si>
  <si>
    <t>wind onshore resource in Khabarovsk Krai region (near Komsomol'sk-na-Amure) -- Russia</t>
  </si>
  <si>
    <t>en_won_RUS_008</t>
  </si>
  <si>
    <t>wind onshore resource in near Yakutsk -- Russia</t>
  </si>
  <si>
    <t>en_won_RUS_009</t>
  </si>
  <si>
    <t>en_won_RUS_010</t>
  </si>
  <si>
    <t>wind onshore resource in Jewish region (near Khabarovsk) -- Russia</t>
  </si>
  <si>
    <t>en_won_RUS_011</t>
  </si>
  <si>
    <t>wind onshore resource in Yaroslavl region (near Shchelkovo) -- Russia</t>
  </si>
  <si>
    <t>en_won_RUS_012</t>
  </si>
  <si>
    <t>wind onshore resource in Bryansk region (near Bryansk) -- Russia</t>
  </si>
  <si>
    <t>en_won_RUS_013</t>
  </si>
  <si>
    <t>wind onshore resource in Stavropol Krai region (near Stavropol) -- Russia</t>
  </si>
  <si>
    <t>en_won_RUS_014</t>
  </si>
  <si>
    <t>wind onshore resource in Volgograd region (near Voronezh) -- Russia</t>
  </si>
  <si>
    <t>en_won_RUS_015</t>
  </si>
  <si>
    <t>wind onshore resource in Bashkortostan region (near Magnitogorsk) -- Russia</t>
  </si>
  <si>
    <t>en_won_RUS_016</t>
  </si>
  <si>
    <t>wind onshore resource in Samara region (near Tolyatti) -- Russia</t>
  </si>
  <si>
    <t>en_won_RUS_017</t>
  </si>
  <si>
    <t>wind onshore resource in Republic of Buryatia region (near Ulan-Ude) -- Russia</t>
  </si>
  <si>
    <t>en_won_RUS_018</t>
  </si>
  <si>
    <t>wind onshore resource in Irkutsk region (near Bratsk) -- Russia</t>
  </si>
  <si>
    <t>en_won_RUS_019</t>
  </si>
  <si>
    <t>wind onshore resource in Altai Republic region (near Barnaul) -- Russia</t>
  </si>
  <si>
    <t>en_won_RUS_020</t>
  </si>
  <si>
    <t>wind onshore resource in Tomsk region (near Tomsk) -- Russia</t>
  </si>
  <si>
    <t>en_won_RUS_021</t>
  </si>
  <si>
    <t>wind onshore resource in Republic of Khakassia region (near Abakan) -- Russia</t>
  </si>
  <si>
    <t>en_won_RUS_022</t>
  </si>
  <si>
    <t>wind onshore resource in Tyumen region (near Tyumen) -- Russia</t>
  </si>
  <si>
    <t>en_won_RUS_023</t>
  </si>
  <si>
    <t>wind onshore resource in Omsk region (near Omsk) -- Russia</t>
  </si>
  <si>
    <t>en_won_RWA_001</t>
  </si>
  <si>
    <t>wind onshore resource in Western region (near Ruhengeri) -- Rwanda</t>
  </si>
  <si>
    <t>en_won_RWA_002</t>
  </si>
  <si>
    <t>wind onshore resource in North Kivu region (near Gisenyi) -- Rwanda</t>
  </si>
  <si>
    <t>en_won_SAU_001</t>
  </si>
  <si>
    <t>wind onshore resource in Eastern region (near Al Hufuf) -- Saudi Arabia</t>
  </si>
  <si>
    <t>en_won_SAU_002</t>
  </si>
  <si>
    <t>wind onshore resource in Eastern region (near Riyadh) -- Saudi Arabia</t>
  </si>
  <si>
    <t>en_won_SAU_003</t>
  </si>
  <si>
    <t>en_won_SAU_004</t>
  </si>
  <si>
    <t>en_won_SAU_005</t>
  </si>
  <si>
    <t>en_won_SAU_006</t>
  </si>
  <si>
    <t>wind onshore resource in Makkah region (near At Ta'if) -- Saudi Arabia</t>
  </si>
  <si>
    <t>en_won_SAU_007</t>
  </si>
  <si>
    <t>wind onshore resource in Al Madinah region (near Medina) -- Saudi Arabia</t>
  </si>
  <si>
    <t>en_won_SAU_008</t>
  </si>
  <si>
    <t>wind onshore resource in near Medina -- Saudi Arabia</t>
  </si>
  <si>
    <t>en_won_SAU_009</t>
  </si>
  <si>
    <t>wind onshore resource in Riyadh region (near Riyadh) -- Saudi Arabia</t>
  </si>
  <si>
    <t>en_won_SAU_010</t>
  </si>
  <si>
    <t>wind onshore resource in Najran region (near At Ta'if) -- Saudi Arabia</t>
  </si>
  <si>
    <t>en_won_SAU_011</t>
  </si>
  <si>
    <t>en_won_SAU_012</t>
  </si>
  <si>
    <t>wind onshore resource in Al-Jowf region (near Tabuk) -- Saudi Arabia</t>
  </si>
  <si>
    <t>en_won_SAU_013</t>
  </si>
  <si>
    <t>wind onshore resource in Northern Borders region (near Tabuk) -- Saudi Arabia</t>
  </si>
  <si>
    <t>en_won_SAU_014</t>
  </si>
  <si>
    <t>wind onshore resource in Al-Qassim region (near Medina) -- Saudi Arabia</t>
  </si>
  <si>
    <t>en_won_SDN_001</t>
  </si>
  <si>
    <t>wind onshore resource in South Kordofan region (near Khartoum) -- Sudan</t>
  </si>
  <si>
    <t>en_won_SDN_002</t>
  </si>
  <si>
    <t>wind onshore resource in East Darfur region (near El Geneina) -- Sudan</t>
  </si>
  <si>
    <t>en_won_SDN_003</t>
  </si>
  <si>
    <t>wind onshore resource in Northern region (near Omdurman) -- Sudan</t>
  </si>
  <si>
    <t>en_won_SDN_004</t>
  </si>
  <si>
    <t>wind onshore resource in North Darfur region (near El Geneina) -- Sudan</t>
  </si>
  <si>
    <t>en_won_SDN_005</t>
  </si>
  <si>
    <t>en_won_SDN_006</t>
  </si>
  <si>
    <t>wind onshore resource in Red Sea region (near Port Sudan) -- Sudan</t>
  </si>
  <si>
    <t>en_won_SDN_007</t>
  </si>
  <si>
    <t>en_won_SDN_008</t>
  </si>
  <si>
    <t>en_won_SDN_009</t>
  </si>
  <si>
    <t>en_won_SDN_010</t>
  </si>
  <si>
    <t>wind onshore resource in North Kordofan region (near Omdurman) -- Sudan</t>
  </si>
  <si>
    <t>en_won_SDN_011</t>
  </si>
  <si>
    <t>en_won_SDN_012</t>
  </si>
  <si>
    <t>en_won_SDN_013</t>
  </si>
  <si>
    <t>wind onshore resource in Blue Nile region (near Khartoum North) -- Sudan</t>
  </si>
  <si>
    <t>en_won_SDN_014</t>
  </si>
  <si>
    <t>wind onshore resource in Kassala region (near Kassala) -- Sudan</t>
  </si>
  <si>
    <t>en_won_SEN_001</t>
  </si>
  <si>
    <t>wind onshore resource in Matam region (near Touba) -- Senegal</t>
  </si>
  <si>
    <t>en_won_SEN_002</t>
  </si>
  <si>
    <t>wind onshore resource in Louga region (near Touba) -- Senegal</t>
  </si>
  <si>
    <t>en_won_SEN_003</t>
  </si>
  <si>
    <t>wind onshore resource in Tambacounda region (near Kaolack) -- Senegal</t>
  </si>
  <si>
    <t>en_won_SEN_004</t>
  </si>
  <si>
    <t>wind onshore resource in Kaolack region (near Kaolack) -- Senegal</t>
  </si>
  <si>
    <t>en_won_SEN_005</t>
  </si>
  <si>
    <t>wind onshore resource in Kolda region (near Kaolack) -- Senegal</t>
  </si>
  <si>
    <t>en_won_SEN_006</t>
  </si>
  <si>
    <t>wind onshore resource in Tambacounda region (near Touba) -- Senegal</t>
  </si>
  <si>
    <t>en_won_SGP_001</t>
  </si>
  <si>
    <t>wind onshore resource in Central Singapore Community Development Council region (near Singapore) -- Singapore</t>
  </si>
  <si>
    <t>en_won_SGP_002</t>
  </si>
  <si>
    <t>wind onshore resource in South East Community Development Council region (near Singapore) -- Singapore</t>
  </si>
  <si>
    <t>en_won_SLE_001</t>
  </si>
  <si>
    <t>wind onshore resource in Northern region (near Koidu) -- Sierra Leone</t>
  </si>
  <si>
    <t>en_won_SLE_002</t>
  </si>
  <si>
    <t>wind onshore resource in Forecariah Prefecture region (near Freetown) -- Sierra Leone</t>
  </si>
  <si>
    <t>en_won_SLV_001</t>
  </si>
  <si>
    <t>wind onshore resource in La Libertad region (near San Marcos) -- El Salvador</t>
  </si>
  <si>
    <t>en_won_SLV_002</t>
  </si>
  <si>
    <t>wind onshore resource in Chalatenango region (near Ilobasco) -- El Salvador</t>
  </si>
  <si>
    <t>en_won_SOM_001</t>
  </si>
  <si>
    <t>wind onshore resource in Somaliland region (near Burco) -- Somalia</t>
  </si>
  <si>
    <t>en_won_SOM_002</t>
  </si>
  <si>
    <t>wind onshore resource in Somaliland region (near Berbera) -- Somalia</t>
  </si>
  <si>
    <t>en_won_SOM_003</t>
  </si>
  <si>
    <t>wind onshore resource in Bari region (near Boosaaso) -- Somalia</t>
  </si>
  <si>
    <t>en_won_SOM_004</t>
  </si>
  <si>
    <t>wind onshore resource in Lower Juba region (near Baardheere) -- Somalia</t>
  </si>
  <si>
    <t>en_won_SOM_005</t>
  </si>
  <si>
    <t>wind onshore resource in Bay region (near Baidoa) -- Somalia</t>
  </si>
  <si>
    <t>en_won_SOM_006</t>
  </si>
  <si>
    <t>wind onshore resource in Somaliland region (near Hargeysa) -- Somalia</t>
  </si>
  <si>
    <t>en_won_SOM_007</t>
  </si>
  <si>
    <t>wind onshore resource in Bakool region (near Baidoa) -- Somalia</t>
  </si>
  <si>
    <t>en_won_SOM_008</t>
  </si>
  <si>
    <t>wind onshore resource in Mudug region (near Gaalkacyo) -- Somalia</t>
  </si>
  <si>
    <t>en_won_SOM_009</t>
  </si>
  <si>
    <t>wind onshore resource in Somali region (near Garoowe) -- Somalia</t>
  </si>
  <si>
    <t>en_won_SRB_001</t>
  </si>
  <si>
    <t>wind onshore resource in South Banat region (near Kovin) -- Serbia</t>
  </si>
  <si>
    <t>en_won_SRB_002</t>
  </si>
  <si>
    <t>wind onshore resource in Srem region (near Sabac) -- Serbia</t>
  </si>
  <si>
    <t>en_won_SRB_003</t>
  </si>
  <si>
    <t>wind onshore resource in South Bačka region (near Kula) -- Serbia</t>
  </si>
  <si>
    <t>en_won_SRB_004</t>
  </si>
  <si>
    <t>wind onshore resource in Bor region (near Negotin) -- Serbia</t>
  </si>
  <si>
    <t>en_won_SRB_005</t>
  </si>
  <si>
    <t>wind onshore resource in Podujevo/Podujeva region (near Prokuplje) -- Serbia</t>
  </si>
  <si>
    <t>en_won_SRB_006</t>
  </si>
  <si>
    <t>wind onshore resource in Pomoravski region (near Jagodina) -- Serbia</t>
  </si>
  <si>
    <t>en_won_SSD_001</t>
  </si>
  <si>
    <t>wind onshore resource in Eastern Equatoria region (near Magwe) -- South Sudan</t>
  </si>
  <si>
    <t>en_won_SSD_002</t>
  </si>
  <si>
    <t>en_won_SSD_003</t>
  </si>
  <si>
    <t>wind onshore resource in East Darfur region (near Wau) -- South Sudan</t>
  </si>
  <si>
    <t>en_won_SSD_004</t>
  </si>
  <si>
    <t>wind onshore resource in Upper Nile region (near Malakal) -- South Sudan</t>
  </si>
  <si>
    <t>en_won_SSD_005</t>
  </si>
  <si>
    <t>en_won_SSD_006</t>
  </si>
  <si>
    <t>wind onshore resource in Unity region (near Malakal) -- South Sudan</t>
  </si>
  <si>
    <t>en_won_SUR_001</t>
  </si>
  <si>
    <t>wind onshore resource in Nickerie region (near Koewarasan) -- Suriname</t>
  </si>
  <si>
    <t>en_won_SUR_002</t>
  </si>
  <si>
    <t>wind onshore resource in Saramacca region (near Koewarasan) -- Suriname</t>
  </si>
  <si>
    <t>en_won_SVK_001</t>
  </si>
  <si>
    <t>wind onshore resource in Košice region (near Kosice) -- Slovak Republic</t>
  </si>
  <si>
    <t>en_won_SVK_002</t>
  </si>
  <si>
    <t>wind onshore resource in Banska Bystrica region (near Lucenec) -- Slovak Republic</t>
  </si>
  <si>
    <t>en_won_SVK_003</t>
  </si>
  <si>
    <t>wind onshore resource in Žilina region (near Ruzomberok) -- Slovak Republic</t>
  </si>
  <si>
    <t>en_won_SVN_001</t>
  </si>
  <si>
    <t>wind onshore resource in Carinthia region (near Ravne na Koroskem) -- Slovenia</t>
  </si>
  <si>
    <t>en_won_SVN_002</t>
  </si>
  <si>
    <t>wind onshore resource in Litija region (near Zagorje) -- Slovenia</t>
  </si>
  <si>
    <t>en_won_SWE_001</t>
  </si>
  <si>
    <t>wind onshore resource in near Vastervik -- Sweden</t>
  </si>
  <si>
    <t>en_won_SWE_002</t>
  </si>
  <si>
    <t>wind onshore resource in Kronoberg region (near Vaxjo) -- Sweden</t>
  </si>
  <si>
    <t>en_won_SWE_003</t>
  </si>
  <si>
    <t>wind onshore resource in Vastmanland region (near Vasteras) -- Sweden</t>
  </si>
  <si>
    <t>en_won_SWE_004</t>
  </si>
  <si>
    <t>wind onshore resource in Varmland region (near Karlstad) -- Sweden</t>
  </si>
  <si>
    <t>en_won_SWE_005</t>
  </si>
  <si>
    <t>wind onshore resource in Vastra Gotaland region (near Skovde) -- Sweden</t>
  </si>
  <si>
    <t>en_won_SYR_001</t>
  </si>
  <si>
    <t>wind onshore resource in Rif Dimashq region (near Duma) -- Syrian Arab Republic</t>
  </si>
  <si>
    <t>en_won_SYR_002</t>
  </si>
  <si>
    <t>wind onshore resource in Latakia region (near Jablah) -- Syrian Arab Republic</t>
  </si>
  <si>
    <t>en_won_SYR_003</t>
  </si>
  <si>
    <t>wind onshore resource in Hama region (near As Salamiyah) -- Syrian Arab Republic</t>
  </si>
  <si>
    <t>en_won_SYR_004</t>
  </si>
  <si>
    <t>wind onshore resource in Al-Hasakah region (near Al Qamishli) -- Syrian Arab Republic</t>
  </si>
  <si>
    <t>en_won_SYR_005</t>
  </si>
  <si>
    <t>wind onshore resource in Al-Hasakah region (near Dayr az Zawr) -- Syrian Arab Republic</t>
  </si>
  <si>
    <t>en_won_SYR_006</t>
  </si>
  <si>
    <t>wind onshore resource in Homs region (near Dayr az Zawr) -- Syrian Arab Republic</t>
  </si>
  <si>
    <t>en_won_TCD_001</t>
  </si>
  <si>
    <t>wind onshore resource in Tibesti region (near Faya) -- Chad</t>
  </si>
  <si>
    <t>en_won_TCD_002</t>
  </si>
  <si>
    <t>en_won_TCD_003</t>
  </si>
  <si>
    <t>en_won_TCD_004</t>
  </si>
  <si>
    <t>wind onshore resource in Mayo-Kebbi Est region (near Deressia) -- Chad</t>
  </si>
  <si>
    <t>en_won_TCD_005</t>
  </si>
  <si>
    <t>wind onshore resource in Chari-Baguirmi region (near Yao) -- Chad</t>
  </si>
  <si>
    <t>en_won_TCD_006</t>
  </si>
  <si>
    <t>wind onshore resource in Salamat region (near Goz-Beida) -- Chad</t>
  </si>
  <si>
    <t>en_won_TCD_007</t>
  </si>
  <si>
    <t>wind onshore resource in Guera region (near Sarh) -- Chad</t>
  </si>
  <si>
    <t>en_won_TCD_008</t>
  </si>
  <si>
    <t>wind onshore resource in Borkou region (near Mao) -- Chad</t>
  </si>
  <si>
    <t>en_won_TCD_009</t>
  </si>
  <si>
    <t>wind onshore resource in Ennedi region (near Faya) -- Chad</t>
  </si>
  <si>
    <t>en_won_TCD_010</t>
  </si>
  <si>
    <t>wind onshore resource in Sila region (near Goz-Beida) -- Chad</t>
  </si>
  <si>
    <t>en_won_TCD_011</t>
  </si>
  <si>
    <t>wind onshore resource in Batha region (near Yao) -- Chad</t>
  </si>
  <si>
    <t>en_won_TCD_012</t>
  </si>
  <si>
    <t>en_won_TGO_001</t>
  </si>
  <si>
    <t>wind onshore resource in Savanes region (near Sokode) -- Togo</t>
  </si>
  <si>
    <t>en_won_TGO_002</t>
  </si>
  <si>
    <t>wind onshore resource in Maritime region (near Lome) -- Togo</t>
  </si>
  <si>
    <t>en_won_THA_001</t>
  </si>
  <si>
    <t>wind onshore resource in Yasothon region (near Mukdahan) -- Thailand</t>
  </si>
  <si>
    <t>en_won_THA_002</t>
  </si>
  <si>
    <t>wind onshore resource in Si Sa Ket region (near Mukdahan) -- Thailand</t>
  </si>
  <si>
    <t>en_won_THA_003</t>
  </si>
  <si>
    <t>wind onshore resource in Nakhon Ratchasima region (near Nakhon Ratchasima) -- Thailand</t>
  </si>
  <si>
    <t>en_won_THA_004</t>
  </si>
  <si>
    <t>wind onshore resource in Phra Nakhon Si Ayutthaya region (near Pak Kret) -- Thailand</t>
  </si>
  <si>
    <t>en_won_THA_005</t>
  </si>
  <si>
    <t>wind onshore resource in near Phatthaya -- Thailand</t>
  </si>
  <si>
    <t>en_won_THA_006</t>
  </si>
  <si>
    <t>wind onshore resource in near Surat Thani -- Thailand</t>
  </si>
  <si>
    <t>en_won_TJK_001</t>
  </si>
  <si>
    <t>wind onshore resource in Osh region (near Isfara) -- Tajikistan</t>
  </si>
  <si>
    <t>en_won_TJK_002</t>
  </si>
  <si>
    <t>wind onshore resource in Gorno-Badakhshan region (near Kulob) -- Tajikistan</t>
  </si>
  <si>
    <t>en_won_TJK_003</t>
  </si>
  <si>
    <t>wind onshore resource in districts of Republican Subordination region (near Roghun) -- Tajikistan</t>
  </si>
  <si>
    <t>en_won_TJK_004</t>
  </si>
  <si>
    <t>wind onshore resource in Khujand region (near Istaravshan) -- Tajikistan</t>
  </si>
  <si>
    <t>en_won_TKM_001</t>
  </si>
  <si>
    <t>wind onshore resource in Ahal region (near Mary) -- Turkmenistan</t>
  </si>
  <si>
    <t>en_won_TKM_002</t>
  </si>
  <si>
    <t>wind onshore resource in Lebap region (near Atamyrat) -- Turkmenistan</t>
  </si>
  <si>
    <t>en_won_TKM_003</t>
  </si>
  <si>
    <t>wind onshore resource in Balkan region (near Balkanabat) -- Turkmenistan</t>
  </si>
  <si>
    <t>en_won_TKM_004</t>
  </si>
  <si>
    <t>en_won_TKM_005</t>
  </si>
  <si>
    <t>en_won_TKM_006</t>
  </si>
  <si>
    <t>wind onshore resource in Mary region (near Mary) -- Turkmenistan</t>
  </si>
  <si>
    <t>en_won_TKM_007</t>
  </si>
  <si>
    <t>wind onshore resource in Lebap region (near Dasoguz) -- Turkmenistan</t>
  </si>
  <si>
    <t>en_won_TKM_008</t>
  </si>
  <si>
    <t>wind onshore resource in Daşoguz region (near Dasoguz) -- Turkmenistan</t>
  </si>
  <si>
    <t>en_won_TTO_001</t>
  </si>
  <si>
    <t>wind onshore resource in Sangre Grande Regional Corporation region (near Arima) -- Trinidad and Tobago</t>
  </si>
  <si>
    <t>en_won_TTO_002</t>
  </si>
  <si>
    <t>wind onshore resource in near Couva -- Trinidad and Tobago</t>
  </si>
  <si>
    <t>en_won_TUN_001</t>
  </si>
  <si>
    <t>wind onshore resource in Kef region (near El Kef) -- Tunisia</t>
  </si>
  <si>
    <t>en_won_TUN_002</t>
  </si>
  <si>
    <t>wind onshore resource in Kairouan region (near Kairouan) -- Tunisia</t>
  </si>
  <si>
    <t>en_won_TUN_003</t>
  </si>
  <si>
    <t>wind onshore resource in Tataouine region (near Tataouine) -- Tunisia</t>
  </si>
  <si>
    <t>en_won_TUN_004</t>
  </si>
  <si>
    <t>en_won_TUN_005</t>
  </si>
  <si>
    <t>wind onshore resource in Sidi Bouzid region (near Sidi Bouzid) -- Tunisia</t>
  </si>
  <si>
    <t>en_won_TUR_001</t>
  </si>
  <si>
    <t>wind onshore resource in Konya region (near Selcuklu) -- Turkey</t>
  </si>
  <si>
    <t>en_won_TUR_002</t>
  </si>
  <si>
    <t>wind onshore resource in Adana region (near Melikgazi) -- Turkey</t>
  </si>
  <si>
    <t>en_won_TUR_003</t>
  </si>
  <si>
    <t>wind onshore resource in Sivas region (near Sivas) -- Turkey</t>
  </si>
  <si>
    <t>en_won_TUR_004</t>
  </si>
  <si>
    <t>wind onshore resource in Şanlıurfa region (near Viransehir) -- Turkey</t>
  </si>
  <si>
    <t>en_won_TUR_005</t>
  </si>
  <si>
    <t>wind onshore resource in Canakkale region (near Balikesir) -- Turkey</t>
  </si>
  <si>
    <t>en_won_TUR_006</t>
  </si>
  <si>
    <t>wind onshore resource in near Mezitli -- Turkey</t>
  </si>
  <si>
    <t>en_won_TUR_007</t>
  </si>
  <si>
    <t>wind onshore resource in Uşak region (near Usak) -- Turkey</t>
  </si>
  <si>
    <t>en_won_TWN_001</t>
  </si>
  <si>
    <t>wind onshore resource in Yunlin region (near Douliu) -- Taiwan</t>
  </si>
  <si>
    <t>en_won_TWN_002</t>
  </si>
  <si>
    <t>wind onshore resource in Taitung region (near Taitung) -- Taiwan</t>
  </si>
  <si>
    <t>en_won_TWN_003</t>
  </si>
  <si>
    <t>wind onshore resource in near Changhua -- Taiwan</t>
  </si>
  <si>
    <t>en_won_TZA_001</t>
  </si>
  <si>
    <t>wind onshore resource in Tabora region (near Kahama) -- Tanzania</t>
  </si>
  <si>
    <t>en_won_TZA_002</t>
  </si>
  <si>
    <t>wind onshore resource in Mara region (near Arusha) -- Tanzania</t>
  </si>
  <si>
    <t>en_won_TZA_003</t>
  </si>
  <si>
    <t>wind onshore resource in Singida region (near Tabora) -- Tanzania</t>
  </si>
  <si>
    <t>en_won_TZA_004</t>
  </si>
  <si>
    <t>wind onshore resource in Tanga region (near Tanga) -- Tanzania</t>
  </si>
  <si>
    <t>en_won_TZA_005</t>
  </si>
  <si>
    <t>wind onshore resource in Manyara region (near Dodoma) -- Tanzania</t>
  </si>
  <si>
    <t>en_won_TZA_006</t>
  </si>
  <si>
    <t>wind onshore resource in Singida region (near Dodoma) -- Tanzania</t>
  </si>
  <si>
    <t>en_won_TZA_007</t>
  </si>
  <si>
    <t>wind onshore resource in Mbeya region (near Mbeya) -- Tanzania</t>
  </si>
  <si>
    <t>en_won_UGA_001</t>
  </si>
  <si>
    <t>wind onshore resource in Kotido region (near Kitgum) -- Uganda</t>
  </si>
  <si>
    <t>en_won_UGA_002</t>
  </si>
  <si>
    <t>wind onshore resource in Moroto region (near Soroti) -- Uganda</t>
  </si>
  <si>
    <t>en_won_UKR_001</t>
  </si>
  <si>
    <t>wind onshore resource in Khmelnytskyi region (near Khmelnytskyi) -- Ukraine</t>
  </si>
  <si>
    <t>en_won_UKR_002</t>
  </si>
  <si>
    <t>wind onshore resource in Zakarpattia region (near Mukacheve) -- Ukraine</t>
  </si>
  <si>
    <t>en_won_UKR_003</t>
  </si>
  <si>
    <t>wind onshore resource in Lviv region (near Chervonohrad) -- Ukraine</t>
  </si>
  <si>
    <t>en_won_UKR_004</t>
  </si>
  <si>
    <t>wind onshore resource in Odessa region (near Odesa) -- Ukraine</t>
  </si>
  <si>
    <t>en_won_UKR_005</t>
  </si>
  <si>
    <t>wind onshore resource in near Melitopol -- Ukraine</t>
  </si>
  <si>
    <t>en_won_UKR_006</t>
  </si>
  <si>
    <t>wind onshore resource in Kherson region (near Kryvyi Rih) -- Ukraine</t>
  </si>
  <si>
    <t>en_won_UKR_007</t>
  </si>
  <si>
    <t>wind onshore resource in Donetsk region (near Druzhkivka) -- Ukraine</t>
  </si>
  <si>
    <t>en_won_UKR_008</t>
  </si>
  <si>
    <t>wind onshore resource in Chernihiv region (near Nizhyn) -- Ukraine</t>
  </si>
  <si>
    <t>en_won_UKR_009</t>
  </si>
  <si>
    <t>wind onshore resource in Poltava region (near Kremenchuk) -- Ukraine</t>
  </si>
  <si>
    <t>en_won_URY_001</t>
  </si>
  <si>
    <t>wind onshore resource in Lavalleja region (near Melo) -- Uruguay</t>
  </si>
  <si>
    <t>en_won_URY_002</t>
  </si>
  <si>
    <t>wind onshore resource in Tacuarembo region (near Melo) -- Uruguay</t>
  </si>
  <si>
    <t>en_won_URY_003</t>
  </si>
  <si>
    <t>wind onshore resource in Florida region (near Las Piedras) -- Uruguay</t>
  </si>
  <si>
    <t>en_won_URY_004</t>
  </si>
  <si>
    <t>wind onshore resource in Artigas region (near Salto) -- Uruguay</t>
  </si>
  <si>
    <t>en_won_URY_005</t>
  </si>
  <si>
    <t>wind onshore resource in Rio Negro region (near Tacuarembo) -- Uruguay</t>
  </si>
  <si>
    <t>en_won_USA_001</t>
  </si>
  <si>
    <t>wind onshore resource in Washington region (near Pasco) -- United States</t>
  </si>
  <si>
    <t>en_won_USA_002</t>
  </si>
  <si>
    <t>wind onshore resource in Oregon region (near Bend) -- United States</t>
  </si>
  <si>
    <t>en_won_USA_003</t>
  </si>
  <si>
    <t>wind onshore resource in Idaho region (near Boise) -- United States</t>
  </si>
  <si>
    <t>en_won_USA_004</t>
  </si>
  <si>
    <t>wind onshore resource in Nevada region (near Sparks) -- United States</t>
  </si>
  <si>
    <t>en_won_USA_005</t>
  </si>
  <si>
    <t>wind onshore resource in New Mexico region (near Albuquerque) -- United States</t>
  </si>
  <si>
    <t>en_won_USA_006</t>
  </si>
  <si>
    <t>wind onshore resource in Nevada region (near Las Vegas) -- United States</t>
  </si>
  <si>
    <t>en_won_USA_007</t>
  </si>
  <si>
    <t>wind onshore resource in Arizona region (near Buckeye) -- United States</t>
  </si>
  <si>
    <t>en_won_USA_008</t>
  </si>
  <si>
    <t>wind onshore resource in Utah region (near Grand Junction) -- United States</t>
  </si>
  <si>
    <t>en_won_USA_009</t>
  </si>
  <si>
    <t>wind onshore resource in Texas region (near Mansfield) -- United States</t>
  </si>
  <si>
    <t>en_won_USA_010</t>
  </si>
  <si>
    <t>wind onshore resource in Texas region (near Lubbock) -- United States</t>
  </si>
  <si>
    <t>en_won_USA_011</t>
  </si>
  <si>
    <t>wind onshore resource in Montana region (near Great Falls) -- United States</t>
  </si>
  <si>
    <t>en_won_USA_012</t>
  </si>
  <si>
    <t>wind onshore resource in Wyoming region (near Casper) -- United States</t>
  </si>
  <si>
    <t>en_won_USA_013</t>
  </si>
  <si>
    <t>wind onshore resource in Alaska region (near Anchorage) -- United States</t>
  </si>
  <si>
    <t>en_won_USA_014</t>
  </si>
  <si>
    <t>wind onshore resource in near Anchorage -- United States</t>
  </si>
  <si>
    <t>en_won_USA_015</t>
  </si>
  <si>
    <t>wind onshore resource in South Dakota region (near Sioux Falls) -- United States</t>
  </si>
  <si>
    <t>en_won_USA_016</t>
  </si>
  <si>
    <t>wind onshore resource in Montana region (near Billings) -- United States</t>
  </si>
  <si>
    <t>en_won_USA_017</t>
  </si>
  <si>
    <t>wind onshore resource in Nebraska region (near Rapid City) -- United States</t>
  </si>
  <si>
    <t>en_won_USA_018</t>
  </si>
  <si>
    <t>wind onshore resource in Florida region (near Sebring) -- United States</t>
  </si>
  <si>
    <t>en_won_USA_019</t>
  </si>
  <si>
    <t>wind onshore resource in North Carolina region (near Gastonia) -- United States</t>
  </si>
  <si>
    <t>en_won_USA_020</t>
  </si>
  <si>
    <t>wind onshore resource in Massachusetts region (near Springfield) -- United States</t>
  </si>
  <si>
    <t>en_won_USA_021</t>
  </si>
  <si>
    <t>wind onshore resource in Pennsylvania region (near Harrisburg) -- United States</t>
  </si>
  <si>
    <t>en_won_USA_022</t>
  </si>
  <si>
    <t>wind onshore resource in Missouri region (near Jonesboro) -- United States</t>
  </si>
  <si>
    <t>en_won_USA_023</t>
  </si>
  <si>
    <t>wind onshore resource in Alabama region (near Tuscaloosa) -- United States</t>
  </si>
  <si>
    <t>en_won_USA_024</t>
  </si>
  <si>
    <t>wind onshore resource in Ohio region (near Dayton) -- United States</t>
  </si>
  <si>
    <t>en_won_USA_025</t>
  </si>
  <si>
    <t>wind onshore resource in Wisconsin region (near Green Bay) -- United States</t>
  </si>
  <si>
    <t>en_won_USA_026</t>
  </si>
  <si>
    <t>wind onshore resource in Missouri region (near Columbia) -- United States</t>
  </si>
  <si>
    <t>en_won_UZB_001</t>
  </si>
  <si>
    <t>wind onshore resource in Karakalpakstan region (near Xo`jayli Shahri) -- Uzbekistan</t>
  </si>
  <si>
    <t>en_won_UZB_002</t>
  </si>
  <si>
    <t>wind onshore resource in Navoiy region (near Zarafshon Shahri) -- Uzbekistan</t>
  </si>
  <si>
    <t>en_won_UZB_003</t>
  </si>
  <si>
    <t>wind onshore resource in Karakalpakstan region (near Nukus) -- Uzbekistan</t>
  </si>
  <si>
    <t>en_won_UZB_004</t>
  </si>
  <si>
    <t>wind onshore resource in Surxondaryo region (near Termiz) -- Uzbekistan</t>
  </si>
  <si>
    <t>en_won_UZB_005</t>
  </si>
  <si>
    <t>wind onshore resource in Samarqand region (near Samarkand) -- Uzbekistan</t>
  </si>
  <si>
    <t>en_won_UZB_006</t>
  </si>
  <si>
    <t>en_won_UZB_007</t>
  </si>
  <si>
    <t>wind onshore resource in Bukhara region (near Kattagan) -- Uzbekistan</t>
  </si>
  <si>
    <t>en_won_UZB_008</t>
  </si>
  <si>
    <t>wind onshore resource in Samarqand region (near Kattaqo'rg'on Shahri) -- Uzbekistan</t>
  </si>
  <si>
    <t>en_won_VEN_001</t>
  </si>
  <si>
    <t>wind onshore resource in Apure region (near Barinas) -- Venezuela</t>
  </si>
  <si>
    <t>en_won_VEN_002</t>
  </si>
  <si>
    <t>wind onshore resource in Zulia region (near Maracaibo) -- Venezuela</t>
  </si>
  <si>
    <t>en_won_VEN_003</t>
  </si>
  <si>
    <t>wind onshore resource in Guarico State region (near Santa Teresa del Tuy) -- Venezuela</t>
  </si>
  <si>
    <t>en_won_VEN_004</t>
  </si>
  <si>
    <t>wind onshore resource in Monagas region (near Ciudad Guayana) -- Venezuela</t>
  </si>
  <si>
    <t>en_won_VEN_005</t>
  </si>
  <si>
    <t>wind onshore resource in Falcon region (near Coro) -- Venezuela</t>
  </si>
  <si>
    <t>en_won_VEN_006</t>
  </si>
  <si>
    <t>en_won_VEN_007</t>
  </si>
  <si>
    <t>wind onshore resource in Anzoategui region (near Ciudad Bolivar) -- Venezuela</t>
  </si>
  <si>
    <t>en_won_VNM_001</t>
  </si>
  <si>
    <t>wind onshore resource in Lạng Sơn region (near Bac Giang) -- Vietnam</t>
  </si>
  <si>
    <t>en_won_VNM_002</t>
  </si>
  <si>
    <t>wind onshore resource in Bến Tre region (near My Tho) -- Vietnam</t>
  </si>
  <si>
    <t>en_won_VNM_003</t>
  </si>
  <si>
    <t>wind onshore resource in Cần Thơ region (near Long Xuyen) -- Vietnam</t>
  </si>
  <si>
    <t>en_won_VNM_004</t>
  </si>
  <si>
    <t>wind onshore resource in Đắk Lắk region (near Buon Ma Thuot) -- Vietnam</t>
  </si>
  <si>
    <t>en_won_VNM_005</t>
  </si>
  <si>
    <t>wind onshore resource in Quảng Binh region (near Ha Tinh) -- Vietnam</t>
  </si>
  <si>
    <t>en_won_VNM_006</t>
  </si>
  <si>
    <t>wind onshore resource in Quảng Ngai region (near Quang Ngai) -- Vietnam</t>
  </si>
  <si>
    <t>en_won_YEM_001</t>
  </si>
  <si>
    <t>wind onshore resource in Ta'izz region (near Ta`izz) -- Yemen</t>
  </si>
  <si>
    <t>en_won_YEM_002</t>
  </si>
  <si>
    <t>wind onshore resource in Hadhramaut region (near Al Mukalla) -- Yemen</t>
  </si>
  <si>
    <t>en_won_YEM_003</t>
  </si>
  <si>
    <t>en_won_YEM_004</t>
  </si>
  <si>
    <t>en_won_YEM_005</t>
  </si>
  <si>
    <t>wind onshore resource in Al Mahrah region (near Al Mukalla) -- Yemen</t>
  </si>
  <si>
    <t>en_won_YEM_006</t>
  </si>
  <si>
    <t>wind onshore resource in Shabwah region (near Al Mukalla) -- Yemen</t>
  </si>
  <si>
    <t>en_won_YEM_007</t>
  </si>
  <si>
    <t>wind onshore resource in Al Jawf region (near Sanaa) -- Yemen</t>
  </si>
  <si>
    <t>en_won_YEM_008</t>
  </si>
  <si>
    <t>en_won_ZAF_001</t>
  </si>
  <si>
    <t>wind onshore resource in Western Cape region (near Bethelsdorp) -- South Africa</t>
  </si>
  <si>
    <t>en_won_ZAF_002</t>
  </si>
  <si>
    <t>wind onshore resource in Eastern Cape region (near Pietermaritzburg) -- South Africa</t>
  </si>
  <si>
    <t>en_won_ZAF_003</t>
  </si>
  <si>
    <t>wind onshore resource in Mpumalanga region (near Newcastle) -- South Africa</t>
  </si>
  <si>
    <t>en_won_ZAF_004</t>
  </si>
  <si>
    <t>wind onshore resource in Eastern Cape region (near Bethelsdorp) -- South Africa</t>
  </si>
  <si>
    <t>en_won_ZAF_005</t>
  </si>
  <si>
    <t>wind onshore resource in KwaZulu-Natal region (near Nqutu) -- South Africa</t>
  </si>
  <si>
    <t>en_won_ZAF_006</t>
  </si>
  <si>
    <t>wind onshore resource in Mpumalanga region (near Zebediela) -- South Africa</t>
  </si>
  <si>
    <t>en_won_ZAF_007</t>
  </si>
  <si>
    <t>wind onshore resource in Limpopo region (near Zebediela) -- South Africa</t>
  </si>
  <si>
    <t>en_won_ZAF_008</t>
  </si>
  <si>
    <t>wind onshore resource in Free State region (near Klerksdorp) -- South Africa</t>
  </si>
  <si>
    <t>en_won_ZAF_009</t>
  </si>
  <si>
    <t>wind onshore resource in Northern Cape region (near Mahikeng) -- South Africa</t>
  </si>
  <si>
    <t>en_won_ZAF_010</t>
  </si>
  <si>
    <t>wind onshore resource in Northern Cape region (near Paarl) -- South Africa</t>
  </si>
  <si>
    <t>en_won_ZAF_011</t>
  </si>
  <si>
    <t>wind onshore resource in Northern Cape region (near Bloemfontein) -- South Africa</t>
  </si>
  <si>
    <t>en_won_ZAF_012</t>
  </si>
  <si>
    <t>en_won_ZMB_001</t>
  </si>
  <si>
    <t>wind onshore resource in Western region (near Mongu) -- Zambia</t>
  </si>
  <si>
    <t>en_won_ZMB_002</t>
  </si>
  <si>
    <t>wind onshore resource in Northern region (near Mufulira) -- Zambia</t>
  </si>
  <si>
    <t>en_won_ZMB_003</t>
  </si>
  <si>
    <t>wind onshore resource in Southern region (near Kafue) -- Zambia</t>
  </si>
  <si>
    <t>en_won_ZMB_004</t>
  </si>
  <si>
    <t>wind onshore resource in Mashonaland West region (near Kafue) -- Zambia</t>
  </si>
  <si>
    <t>en_won_ZMB_005</t>
  </si>
  <si>
    <t>wind onshore resource in Central region (near Kabwe) -- Zambia</t>
  </si>
  <si>
    <t>en_won_ZMB_006</t>
  </si>
  <si>
    <t>wind onshore resource in Muchinga region (near Chipata) -- Zambia</t>
  </si>
  <si>
    <t>en_won_ZMB_007</t>
  </si>
  <si>
    <t>wind onshore resource in Luapula region (near Ndola) -- Zambia</t>
  </si>
  <si>
    <t>en_won_ZMB_008</t>
  </si>
  <si>
    <t>en_won_ZMB_009</t>
  </si>
  <si>
    <t>wind onshore resource in Central region (near Lusaka) -- Zambia</t>
  </si>
  <si>
    <t>en_won_ZWE_001</t>
  </si>
  <si>
    <t>wind onshore resource in Matabeleland South region (near Bulawayo) -- Zimbabwe</t>
  </si>
  <si>
    <t>en_won_ZWE_002</t>
  </si>
  <si>
    <t>wind onshore resource in Masvingo region (near Gweru) -- Zimbabwe</t>
  </si>
  <si>
    <t>en_won_ZWE_003</t>
  </si>
  <si>
    <t>en_won_ZWE_004</t>
  </si>
  <si>
    <t>wind onshore resource in Mashonaland West region (near Harare) -- Zimbabwe</t>
  </si>
  <si>
    <t>en_won_ZWE_005</t>
  </si>
  <si>
    <t>wind onshore resource in Mashonaland Central region (near Harare) -- Zimbabwe</t>
  </si>
  <si>
    <t>en_won_ZWE_006</t>
  </si>
  <si>
    <t>wind onshore resource in Matabeleland North region (near Bulawayo) -- Zimbabwe</t>
  </si>
  <si>
    <t>en_won_ZWE_007</t>
  </si>
  <si>
    <t>wind onshore resource in Matabeleland North region (near Nkayi) -- Zimbabwe</t>
  </si>
  <si>
    <t>elc_won_AFG_001</t>
  </si>
  <si>
    <t>elc_won_AFG_002</t>
  </si>
  <si>
    <t>elc_won_AFG_003</t>
  </si>
  <si>
    <t>elc_won_AFG_004</t>
  </si>
  <si>
    <t>elc_won_AFG_005</t>
  </si>
  <si>
    <t>elc_won_AFG_006</t>
  </si>
  <si>
    <t>elc_won_AFG_007</t>
  </si>
  <si>
    <t>elc_won_AGO_001</t>
  </si>
  <si>
    <t>elc_won_AGO_002</t>
  </si>
  <si>
    <t>elc_won_AGO_003</t>
  </si>
  <si>
    <t>elc_won_AGO_004</t>
  </si>
  <si>
    <t>elc_won_AGO_005</t>
  </si>
  <si>
    <t>elc_won_AGO_006</t>
  </si>
  <si>
    <t>elc_won_AGO_007</t>
  </si>
  <si>
    <t>elc_won_AGO_008</t>
  </si>
  <si>
    <t>elc_won_AGO_009</t>
  </si>
  <si>
    <t>elc_won_ALB_001</t>
  </si>
  <si>
    <t>elc_won_ALB_002</t>
  </si>
  <si>
    <t>elc_won_ARE_001</t>
  </si>
  <si>
    <t>elc_won_ARE_002</t>
  </si>
  <si>
    <t>elc_won_ARE_003</t>
  </si>
  <si>
    <t>elc_won_ARE_004</t>
  </si>
  <si>
    <t>elc_won_ARG_001</t>
  </si>
  <si>
    <t>elc_won_ARG_002</t>
  </si>
  <si>
    <t>elc_won_ARG_003</t>
  </si>
  <si>
    <t>elc_won_ARG_004</t>
  </si>
  <si>
    <t>elc_won_ARG_005</t>
  </si>
  <si>
    <t>elc_won_ARG_006</t>
  </si>
  <si>
    <t>elc_won_ARG_007</t>
  </si>
  <si>
    <t>elc_won_ARG_008</t>
  </si>
  <si>
    <t>elc_won_ARG_009</t>
  </si>
  <si>
    <t>elc_won_ARG_010</t>
  </si>
  <si>
    <t>elc_won_ARG_011</t>
  </si>
  <si>
    <t>elc_won_ARG_012</t>
  </si>
  <si>
    <t>elc_won_ARG_013</t>
  </si>
  <si>
    <t>elc_won_ARG_014</t>
  </si>
  <si>
    <t>elc_won_ARM_001</t>
  </si>
  <si>
    <t>elc_won_ARM_002</t>
  </si>
  <si>
    <t>elc_won_ARM_003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</si>
  <si>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</si>
  <si>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</si>
  <si>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</si>
  <si>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</si>
  <si>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</si>
  <si>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</si>
  <si>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</si>
  <si>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</si>
  <si>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</si>
  <si>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</si>
  <si>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</si>
  <si>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</si>
  <si>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</si>
  <si>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</si>
  <si>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</si>
  <si>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</si>
  <si>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</si>
  <si>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</si>
  <si>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</si>
  <si>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</si>
  <si>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</si>
  <si>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elc_won_AUT_001</t>
  </si>
  <si>
    <t>elc_won_AUT_002</t>
  </si>
  <si>
    <t>elc_won_AUT_003</t>
  </si>
  <si>
    <t>elc_won_AZE_001</t>
  </si>
  <si>
    <t>elc_won_AZE_002</t>
  </si>
  <si>
    <t>elc_won_BDI_001</t>
  </si>
  <si>
    <t>elc_won_BDI_002</t>
  </si>
  <si>
    <t>elc_won_BEL_001</t>
  </si>
  <si>
    <t>elc_won_BEL_002</t>
  </si>
  <si>
    <t>elc_won_BEL_003</t>
  </si>
  <si>
    <t>elc_won_BEN_001</t>
  </si>
  <si>
    <t>elc_won_BEN_002</t>
  </si>
  <si>
    <t>elc_won_BEN_003</t>
  </si>
  <si>
    <t>elc_won_BEN_004</t>
  </si>
  <si>
    <t>elc_won_BFA_001</t>
  </si>
  <si>
    <t>elc_won_BFA_002</t>
  </si>
  <si>
    <t>elc_won_BFA_003</t>
  </si>
  <si>
    <t>elc_won_BFA_004</t>
  </si>
  <si>
    <t>elc_won_BFA_005</t>
  </si>
  <si>
    <t>elc_won_BFA_006</t>
  </si>
  <si>
    <t>elc_won_BFA_007</t>
  </si>
  <si>
    <t>elc_won_BGD_001</t>
  </si>
  <si>
    <t>elc_won_BGD_002</t>
  </si>
  <si>
    <t>elc_won_BGD_003</t>
  </si>
  <si>
    <t>elc_won_BGD_004</t>
  </si>
  <si>
    <t>elc_won_BGD_005</t>
  </si>
  <si>
    <t>elc_won_BGR_001</t>
  </si>
  <si>
    <t>elc_won_BGR_002</t>
  </si>
  <si>
    <t>elc_won_BGR_003</t>
  </si>
  <si>
    <t>elc_won_BGR_004</t>
  </si>
  <si>
    <t>elc_won_BIH_001</t>
  </si>
  <si>
    <t>elc_won_BIH_002</t>
  </si>
  <si>
    <t>elc_won_BLR_001</t>
  </si>
  <si>
    <t>elc_won_BLR_002</t>
  </si>
  <si>
    <t>elc_won_BLR_003</t>
  </si>
  <si>
    <t>elc_won_BLR_004</t>
  </si>
  <si>
    <t>elc_won_BLR_005</t>
  </si>
  <si>
    <t>elc_won_BLR_006</t>
  </si>
  <si>
    <t>elc_won_BOL_001</t>
  </si>
  <si>
    <t>elc_won_BOL_002</t>
  </si>
  <si>
    <t>elc_won_BOL_003</t>
  </si>
  <si>
    <t>elc_won_BOL_004</t>
  </si>
  <si>
    <t>elc_won_BOL_005</t>
  </si>
  <si>
    <t>elc_won_BOL_006</t>
  </si>
  <si>
    <t>elc_won_BOL_007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</si>
  <si>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</si>
  <si>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</si>
  <si>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</si>
  <si>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</si>
  <si>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</si>
  <si>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</si>
  <si>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</si>
  <si>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</si>
  <si>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</si>
  <si>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</si>
  <si>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</si>
  <si>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</si>
  <si>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</si>
  <si>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</si>
  <si>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</si>
  <si>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</si>
  <si>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elc_won_BWA_001</t>
  </si>
  <si>
    <t>elc_won_BWA_002</t>
  </si>
  <si>
    <t>elc_won_BWA_003</t>
  </si>
  <si>
    <t>elc_won_BWA_004</t>
  </si>
  <si>
    <t>elc_won_BWA_005</t>
  </si>
  <si>
    <t>elc_won_BWA_006</t>
  </si>
  <si>
    <t>elc_won_BWA_007</t>
  </si>
  <si>
    <t>elc_won_BWA_008</t>
  </si>
  <si>
    <t>elc_won_BWA_009</t>
  </si>
  <si>
    <t>elc_won_CAF_001</t>
  </si>
  <si>
    <t>elc_won_CAF_002</t>
  </si>
  <si>
    <t>elc_won_CAF_003</t>
  </si>
  <si>
    <t>elc_won_CAN_001</t>
  </si>
  <si>
    <t>elc_won_CAN_002</t>
  </si>
  <si>
    <t>elc_won_CAN_003</t>
  </si>
  <si>
    <t>elc_won_CAN_004</t>
  </si>
  <si>
    <t>elc_won_CAN_005</t>
  </si>
  <si>
    <t>elc_won_CAN_006</t>
  </si>
  <si>
    <t>elc_won_CAN_007</t>
  </si>
  <si>
    <t>elc_won_CAN_008</t>
  </si>
  <si>
    <t>elc_won_CAN_009</t>
  </si>
  <si>
    <t>elc_won_CAN_010</t>
  </si>
  <si>
    <t>elc_won_CAN_011</t>
  </si>
  <si>
    <t>elc_won_CAN_012</t>
  </si>
  <si>
    <t>elc_won_CAN_013</t>
  </si>
  <si>
    <t>elc_won_CAN_014</t>
  </si>
  <si>
    <t>elc_won_CAN_015</t>
  </si>
  <si>
    <t>elc_won_CAN_016</t>
  </si>
  <si>
    <t>elc_won_CAN_017</t>
  </si>
  <si>
    <t>elc_won_CAN_018</t>
  </si>
  <si>
    <t>elc_won_CAN_019</t>
  </si>
  <si>
    <t>elc_won_CAN_020</t>
  </si>
  <si>
    <t>elc_won_CAN_021</t>
  </si>
  <si>
    <t>elc_won_CAN_022</t>
  </si>
  <si>
    <t>elc_won_CAN_023</t>
  </si>
  <si>
    <t>elc_won_CHE_001</t>
  </si>
  <si>
    <t>elc_won_CHE_002</t>
  </si>
  <si>
    <t>elc_won_CHL_001</t>
  </si>
  <si>
    <t>elc_won_CHL_002</t>
  </si>
  <si>
    <t>elc_won_CHL_003</t>
  </si>
  <si>
    <t>elc_won_CHL_004</t>
  </si>
  <si>
    <t>elc_won_CHL_005</t>
  </si>
  <si>
    <t>elc_won_CHL_006</t>
  </si>
  <si>
    <t>elc_won_CHL_007</t>
  </si>
  <si>
    <t>elc_won_CHL_008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</si>
  <si>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</si>
  <si>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</si>
  <si>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</si>
  <si>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</si>
  <si>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</si>
  <si>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</si>
  <si>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</si>
  <si>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</si>
  <si>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</si>
  <si>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</si>
  <si>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</si>
  <si>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</si>
  <si>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</si>
  <si>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</si>
  <si>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</si>
  <si>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</si>
  <si>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</si>
  <si>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</si>
  <si>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</si>
  <si>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</si>
  <si>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</si>
  <si>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</si>
  <si>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</si>
  <si>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elc_won_CIV_001</t>
  </si>
  <si>
    <t>elc_won_CIV_002</t>
  </si>
  <si>
    <t>elc_won_CIV_003</t>
  </si>
  <si>
    <t>elc_won_CIV_004</t>
  </si>
  <si>
    <t>elc_won_CMR_001</t>
  </si>
  <si>
    <t>elc_won_CMR_002</t>
  </si>
  <si>
    <t>elc_won_CMR_003</t>
  </si>
  <si>
    <t>elc_won_CMR_004</t>
  </si>
  <si>
    <t>elc_won_COD_001</t>
  </si>
  <si>
    <t>elc_won_COD_002</t>
  </si>
  <si>
    <t>elc_won_COD_003</t>
  </si>
  <si>
    <t>elc_won_COD_004</t>
  </si>
  <si>
    <t>elc_won_COD_005</t>
  </si>
  <si>
    <t>elc_won_COG_001</t>
  </si>
  <si>
    <t>elc_won_COG_002</t>
  </si>
  <si>
    <t>elc_won_COG_003</t>
  </si>
  <si>
    <t>elc_won_COL_001</t>
  </si>
  <si>
    <t>elc_won_COL_002</t>
  </si>
  <si>
    <t>elc_won_COL_003</t>
  </si>
  <si>
    <t>elc_won_COL_004</t>
  </si>
  <si>
    <t>elc_won_CRI_001</t>
  </si>
  <si>
    <t>elc_won_CRI_002</t>
  </si>
  <si>
    <t>elc_won_CUB_001</t>
  </si>
  <si>
    <t>elc_won_CUB_002</t>
  </si>
  <si>
    <t>elc_won_CUB_003</t>
  </si>
  <si>
    <t>elc_won_CUB_004</t>
  </si>
  <si>
    <t>elc_won_CUB_005</t>
  </si>
  <si>
    <t>elc_won_CZE_001</t>
  </si>
  <si>
    <t>elc_won_CZE_002</t>
  </si>
  <si>
    <t>elc_won_CZE_003</t>
  </si>
  <si>
    <t>elc_won_CZE_004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</si>
  <si>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</si>
  <si>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</si>
  <si>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</si>
  <si>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</si>
  <si>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</si>
  <si>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</si>
  <si>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</si>
  <si>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</si>
  <si>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elc_won_DJI_001</t>
  </si>
  <si>
    <t>elc_won_DJI_002</t>
  </si>
  <si>
    <t>elc_won_DNK_001</t>
  </si>
  <si>
    <t>elc_won_DNK_002</t>
  </si>
  <si>
    <t>elc_won_DNK_003</t>
  </si>
  <si>
    <t>elc_won_DNK_004</t>
  </si>
  <si>
    <t>elc_won_DOM_001</t>
  </si>
  <si>
    <t>elc_won_DOM_002</t>
  </si>
  <si>
    <t>elc_won_DOM_003</t>
  </si>
  <si>
    <t>elc_won_DZA_001</t>
  </si>
  <si>
    <t>elc_won_DZA_002</t>
  </si>
  <si>
    <t>elc_won_DZA_003</t>
  </si>
  <si>
    <t>elc_won_DZA_004</t>
  </si>
  <si>
    <t>elc_won_DZA_005</t>
  </si>
  <si>
    <t>elc_won_DZA_006</t>
  </si>
  <si>
    <t>elc_won_DZA_007</t>
  </si>
  <si>
    <t>elc_won_DZA_008</t>
  </si>
  <si>
    <t>elc_won_DZA_009</t>
  </si>
  <si>
    <t>elc_won_DZA_010</t>
  </si>
  <si>
    <t>elc_won_DZA_011</t>
  </si>
  <si>
    <t>elc_won_DZA_012</t>
  </si>
  <si>
    <t>elc_won_DZA_013</t>
  </si>
  <si>
    <t>elc_won_DZA_014</t>
  </si>
  <si>
    <t>elc_won_DZA_015</t>
  </si>
  <si>
    <t>elc_won_DZA_016</t>
  </si>
  <si>
    <t>elc_won_ECU_001</t>
  </si>
  <si>
    <t>elc_won_ECU_002</t>
  </si>
  <si>
    <t>elc_won_ECU_003</t>
  </si>
  <si>
    <t>elc_won_ECU_004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</si>
  <si>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</si>
  <si>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</si>
  <si>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</si>
  <si>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</si>
  <si>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</si>
  <si>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</si>
  <si>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</si>
  <si>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</si>
  <si>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</si>
  <si>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</si>
  <si>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</si>
  <si>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elc_won_ERI_001</t>
  </si>
  <si>
    <t>elc_won_ERI_002</t>
  </si>
  <si>
    <t>elc_won_ERI_003</t>
  </si>
  <si>
    <t>elc_won_ERI_004</t>
  </si>
  <si>
    <t>elc_won_ERI_005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</si>
  <si>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</si>
  <si>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</si>
  <si>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</si>
  <si>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</si>
  <si>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</si>
  <si>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</si>
  <si>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</si>
  <si>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</si>
  <si>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elc_won_EST_001</t>
  </si>
  <si>
    <t>elc_won_EST_002</t>
  </si>
  <si>
    <t>elc_won_EST_003</t>
  </si>
  <si>
    <t>elc_won_EST_004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</si>
  <si>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</si>
  <si>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</si>
  <si>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</si>
  <si>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</si>
  <si>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</si>
  <si>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</si>
  <si>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</si>
  <si>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</si>
  <si>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</si>
  <si>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elc_won_FIN_001</t>
  </si>
  <si>
    <t>elc_won_FIN_002</t>
  </si>
  <si>
    <t>elc_won_FIN_003</t>
  </si>
  <si>
    <t>elc_won_FIN_004</t>
  </si>
  <si>
    <t>elc_won_FIN_005</t>
  </si>
  <si>
    <t>elc_won_FIN_006</t>
  </si>
  <si>
    <t>elc_won_FIN_007</t>
  </si>
  <si>
    <t>elc_won_FIN_008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</si>
  <si>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</si>
  <si>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</si>
  <si>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</si>
  <si>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</si>
  <si>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</si>
  <si>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</si>
  <si>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</si>
  <si>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</si>
  <si>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</si>
  <si>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elc_won_GAB_001</t>
  </si>
  <si>
    <t>elc_won_GAB_002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</si>
  <si>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</si>
  <si>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</si>
  <si>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</si>
  <si>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</si>
  <si>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</si>
  <si>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</si>
  <si>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</si>
  <si>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elc_won_GEO_001</t>
  </si>
  <si>
    <t>elc_won_GEO_002</t>
  </si>
  <si>
    <t>elc_won_GHA_001</t>
  </si>
  <si>
    <t>elc_won_GHA_002</t>
  </si>
  <si>
    <t>elc_won_GHA_003</t>
  </si>
  <si>
    <t>elc_won_GHA_004</t>
  </si>
  <si>
    <t>elc_won_GIN_001</t>
  </si>
  <si>
    <t>elc_won_GIN_002</t>
  </si>
  <si>
    <t>elc_won_GIN_003</t>
  </si>
  <si>
    <t>elc_won_GNB_001</t>
  </si>
  <si>
    <t>elc_won_GNB_002</t>
  </si>
  <si>
    <t>elc_won_GNB_003</t>
  </si>
  <si>
    <t>elc_won_GNQ_001</t>
  </si>
  <si>
    <t>elc_won_GNQ_002</t>
  </si>
  <si>
    <t>elc_won_GRC_001</t>
  </si>
  <si>
    <t>elc_won_GRC_002</t>
  </si>
  <si>
    <t>elc_won_GRC_003</t>
  </si>
  <si>
    <t>elc_won_GRC_004</t>
  </si>
  <si>
    <t>elc_won_GRC_005</t>
  </si>
  <si>
    <t>elc_won_GRC_006</t>
  </si>
  <si>
    <t>elc_won_GTM_001</t>
  </si>
  <si>
    <t>elc_won_GTM_002</t>
  </si>
  <si>
    <t>elc_won_GUY_001</t>
  </si>
  <si>
    <t>elc_won_GUY_002</t>
  </si>
  <si>
    <t>elc_won_GUY_003</t>
  </si>
  <si>
    <t>elc_won_HKG_001</t>
  </si>
  <si>
    <t>elc_won_HKG_002</t>
  </si>
  <si>
    <t>elc_won_HKG_003</t>
  </si>
  <si>
    <t>elc_won_HKG_004</t>
  </si>
  <si>
    <t>elc_won_HND_001</t>
  </si>
  <si>
    <t>elc_won_HND_002</t>
  </si>
  <si>
    <t>elc_won_HND_003</t>
  </si>
  <si>
    <t>elc_won_HRV_001</t>
  </si>
  <si>
    <t>elc_won_HRV_002</t>
  </si>
  <si>
    <t>elc_won_HRV_003</t>
  </si>
  <si>
    <t>elc_won_HRV_004</t>
  </si>
  <si>
    <t>elc_won_HRV_005</t>
  </si>
  <si>
    <t>elc_won_HTI_001</t>
  </si>
  <si>
    <t>elc_won_HTI_002</t>
  </si>
  <si>
    <t>elc_won_HUN_001</t>
  </si>
  <si>
    <t>elc_won_HUN_002</t>
  </si>
  <si>
    <t>elc_won_HUN_003</t>
  </si>
  <si>
    <t>elc_won_HUN_004</t>
  </si>
  <si>
    <t>elc_won_IDN_001</t>
  </si>
  <si>
    <t>elc_won_IDN_002</t>
  </si>
  <si>
    <t>elc_won_IDN_003</t>
  </si>
  <si>
    <t>elc_won_IDN_004</t>
  </si>
  <si>
    <t>elc_won_IDN_005</t>
  </si>
  <si>
    <t>elc_won_IDN_006</t>
  </si>
  <si>
    <t>elc_won_IDN_007</t>
  </si>
  <si>
    <t>elc_won_IDN_008</t>
  </si>
  <si>
    <t>elc_won_IDN_009</t>
  </si>
  <si>
    <t>elc_won_IDN_010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</si>
  <si>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</si>
  <si>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</si>
  <si>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</si>
  <si>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</si>
  <si>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</si>
  <si>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</si>
  <si>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</si>
  <si>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</si>
  <si>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</si>
  <si>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</si>
  <si>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</si>
  <si>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</si>
  <si>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</si>
  <si>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</si>
  <si>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</si>
  <si>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</si>
  <si>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elc_won_IRL_001</t>
  </si>
  <si>
    <t>elc_won_IRL_002</t>
  </si>
  <si>
    <t>elc_won_IRL_003</t>
  </si>
  <si>
    <t>elc_won_IRL_004</t>
  </si>
  <si>
    <t>elc_won_IRN_001</t>
  </si>
  <si>
    <t>elc_won_IRN_002</t>
  </si>
  <si>
    <t>elc_won_IRN_003</t>
  </si>
  <si>
    <t>elc_won_IRN_004</t>
  </si>
  <si>
    <t>elc_won_IRN_005</t>
  </si>
  <si>
    <t>elc_won_IRN_006</t>
  </si>
  <si>
    <t>elc_won_IRN_007</t>
  </si>
  <si>
    <t>elc_won_IRN_008</t>
  </si>
  <si>
    <t>elc_won_IRN_009</t>
  </si>
  <si>
    <t>elc_won_IRN_010</t>
  </si>
  <si>
    <t>elc_won_IRN_011</t>
  </si>
  <si>
    <t>elc_won_IRN_012</t>
  </si>
  <si>
    <t>elc_won_IRQ_001</t>
  </si>
  <si>
    <t>elc_won_IRQ_002</t>
  </si>
  <si>
    <t>elc_won_IRQ_003</t>
  </si>
  <si>
    <t>elc_won_IRQ_004</t>
  </si>
  <si>
    <t>elc_won_IRQ_005</t>
  </si>
  <si>
    <t>elc_won_IRQ_006</t>
  </si>
  <si>
    <t>elc_won_IRQ_007</t>
  </si>
  <si>
    <t>elc_won_IRQ_008</t>
  </si>
  <si>
    <t>elc_won_ISR_001</t>
  </si>
  <si>
    <t>elc_won_ISR_002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</si>
  <si>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</si>
  <si>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</si>
  <si>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</si>
  <si>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</si>
  <si>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</si>
  <si>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</si>
  <si>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</si>
  <si>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elc_won_JAM_001</t>
  </si>
  <si>
    <t>elc_won_JAM_002</t>
  </si>
  <si>
    <t>elc_won_JOR_001</t>
  </si>
  <si>
    <t>elc_won_JOR_002</t>
  </si>
  <si>
    <t>elc_won_JOR_003</t>
  </si>
  <si>
    <t>elc_won_JOR_004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</si>
  <si>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</si>
  <si>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</si>
  <si>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</si>
  <si>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</si>
  <si>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</si>
  <si>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</si>
  <si>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</si>
  <si>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</si>
  <si>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</si>
  <si>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</si>
  <si>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elc_won_KAZ_001</t>
  </si>
  <si>
    <t>elc_won_KAZ_002</t>
  </si>
  <si>
    <t>elc_won_KAZ_003</t>
  </si>
  <si>
    <t>elc_won_KAZ_004</t>
  </si>
  <si>
    <t>elc_won_KAZ_005</t>
  </si>
  <si>
    <t>elc_won_KAZ_006</t>
  </si>
  <si>
    <t>elc_won_KAZ_007</t>
  </si>
  <si>
    <t>elc_won_KAZ_008</t>
  </si>
  <si>
    <t>elc_won_KAZ_009</t>
  </si>
  <si>
    <t>elc_won_KAZ_010</t>
  </si>
  <si>
    <t>elc_won_KAZ_011</t>
  </si>
  <si>
    <t>elc_won_KAZ_012</t>
  </si>
  <si>
    <t>elc_won_KAZ_013</t>
  </si>
  <si>
    <t>elc_won_KAZ_014</t>
  </si>
  <si>
    <t>elc_won_KAZ_015</t>
  </si>
  <si>
    <t>elc_won_KAZ_016</t>
  </si>
  <si>
    <t>elc_won_KAZ_017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</si>
  <si>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</si>
  <si>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</si>
  <si>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</si>
  <si>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</si>
  <si>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</si>
  <si>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</si>
  <si>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</si>
  <si>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</si>
  <si>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elc_won_KGZ_001</t>
  </si>
  <si>
    <t>elc_won_KGZ_002</t>
  </si>
  <si>
    <t>elc_won_KGZ_003</t>
  </si>
  <si>
    <t>elc_won_KGZ_004</t>
  </si>
  <si>
    <t>elc_won_KGZ_005</t>
  </si>
  <si>
    <t>elc_won_KHM_001</t>
  </si>
  <si>
    <t>elc_won_KHM_002</t>
  </si>
  <si>
    <t>elc_won_KHM_003</t>
  </si>
  <si>
    <t>elc_won_KHM_004</t>
  </si>
  <si>
    <t>elc_won_KOR_001</t>
  </si>
  <si>
    <t>elc_won_KOR_002</t>
  </si>
  <si>
    <t>elc_won_KOR_003</t>
  </si>
  <si>
    <t>elc_won_KOR_004</t>
  </si>
  <si>
    <t>elc_won_KOR_005</t>
  </si>
  <si>
    <t>elc_won_KWT_001</t>
  </si>
  <si>
    <t>elc_won_KWT_002</t>
  </si>
  <si>
    <t>elc_won_LAO_001</t>
  </si>
  <si>
    <t>elc_won_LAO_002</t>
  </si>
  <si>
    <t>elc_won_LAO_003</t>
  </si>
  <si>
    <t>elc_won_LBN_001</t>
  </si>
  <si>
    <t>elc_won_LBN_002</t>
  </si>
  <si>
    <t>elc_won_LBR_001</t>
  </si>
  <si>
    <t>elc_won_LBR_002</t>
  </si>
  <si>
    <t>elc_won_LBR_003</t>
  </si>
  <si>
    <t>elc_won_LBR_004</t>
  </si>
  <si>
    <t>elc_won_LBY_001</t>
  </si>
  <si>
    <t>elc_won_LBY_002</t>
  </si>
  <si>
    <t>elc_won_LBY_003</t>
  </si>
  <si>
    <t>elc_won_LBY_004</t>
  </si>
  <si>
    <t>elc_won_LBY_005</t>
  </si>
  <si>
    <t>elc_won_LBY_006</t>
  </si>
  <si>
    <t>elc_won_LBY_007</t>
  </si>
  <si>
    <t>elc_won_LBY_008</t>
  </si>
  <si>
    <t>elc_won_LBY_009</t>
  </si>
  <si>
    <t>elc_won_LBY_010</t>
  </si>
  <si>
    <t>elc_won_LBY_011</t>
  </si>
  <si>
    <t>elc_won_LBY_012</t>
  </si>
  <si>
    <t>elc_won_LBY_013</t>
  </si>
  <si>
    <t>elc_won_LBY_014</t>
  </si>
  <si>
    <t>elc_won_LKA_001</t>
  </si>
  <si>
    <t>elc_won_LKA_002</t>
  </si>
  <si>
    <t>elc_won_LKA_003</t>
  </si>
  <si>
    <t>elc_won_LSO_001</t>
  </si>
  <si>
    <t>elc_won_LSO_002</t>
  </si>
  <si>
    <t>elc_won_LTU_001</t>
  </si>
  <si>
    <t>elc_won_LTU_002</t>
  </si>
  <si>
    <t>elc_won_LTU_003</t>
  </si>
  <si>
    <t>elc_won_LTU_004</t>
  </si>
  <si>
    <t>elc_won_LUX_001</t>
  </si>
  <si>
    <t>elc_won_LUX_002</t>
  </si>
  <si>
    <t>elc_won_LUX_003</t>
  </si>
  <si>
    <t>elc_won_LUX_004</t>
  </si>
  <si>
    <t>elc_won_LUX_005</t>
  </si>
  <si>
    <t>elc_won_LUX_006</t>
  </si>
  <si>
    <t>elc_won_LVA_001</t>
  </si>
  <si>
    <t>elc_won_LVA_002</t>
  </si>
  <si>
    <t>elc_won_LVA_003</t>
  </si>
  <si>
    <t>elc_won_LVA_004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</si>
  <si>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</si>
  <si>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</si>
  <si>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</si>
  <si>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</si>
  <si>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</si>
  <si>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</si>
  <si>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</si>
  <si>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elc_won_MDA_001</t>
  </si>
  <si>
    <t>elc_won_MDA_002</t>
  </si>
  <si>
    <t>elc_won_MDA_003</t>
  </si>
  <si>
    <t>elc_won_MDG_001</t>
  </si>
  <si>
    <t>elc_won_MDG_002</t>
  </si>
  <si>
    <t>elc_won_MDG_003</t>
  </si>
  <si>
    <t>elc_won_MDG_004</t>
  </si>
  <si>
    <t>elc_won_MDG_005</t>
  </si>
  <si>
    <t>elc_won_MDG_006</t>
  </si>
  <si>
    <t>elc_won_MDG_007</t>
  </si>
  <si>
    <t>elc_won_MDG_008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</si>
  <si>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</si>
  <si>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</si>
  <si>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</si>
  <si>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</si>
  <si>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</si>
  <si>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</si>
  <si>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</si>
  <si>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</si>
  <si>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</si>
  <si>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</si>
  <si>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</si>
  <si>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</si>
  <si>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elc_won_MKD_001</t>
  </si>
  <si>
    <t>elc_won_MKD_002</t>
  </si>
  <si>
    <t>elc_won_MKD_003</t>
  </si>
  <si>
    <t>elc_won_MKD_004</t>
  </si>
  <si>
    <t>elc_won_MLI_001</t>
  </si>
  <si>
    <t>elc_won_MLI_002</t>
  </si>
  <si>
    <t>elc_won_MLI_003</t>
  </si>
  <si>
    <t>elc_won_MLI_004</t>
  </si>
  <si>
    <t>elc_won_MLI_005</t>
  </si>
  <si>
    <t>elc_won_MLI_006</t>
  </si>
  <si>
    <t>elc_won_MLI_007</t>
  </si>
  <si>
    <t>elc_won_MLI_008</t>
  </si>
  <si>
    <t>elc_won_MLI_009</t>
  </si>
  <si>
    <t>elc_won_MLI_010</t>
  </si>
  <si>
    <t>elc_won_MLI_011</t>
  </si>
  <si>
    <t>elc_won_MLI_012</t>
  </si>
  <si>
    <t>elc_won_MMR_001</t>
  </si>
  <si>
    <t>elc_won_MMR_002</t>
  </si>
  <si>
    <t>elc_won_MMR_003</t>
  </si>
  <si>
    <t>elc_won_MMR_004</t>
  </si>
  <si>
    <t>elc_won_MMR_005</t>
  </si>
  <si>
    <t>elc_won_MMR_006</t>
  </si>
  <si>
    <t>elc_won_MNE_001</t>
  </si>
  <si>
    <t>elc_won_MNE_002</t>
  </si>
  <si>
    <t>elc_won_MNE_003</t>
  </si>
  <si>
    <t>elc_won_MNG_001</t>
  </si>
  <si>
    <t>elc_won_MNG_002</t>
  </si>
  <si>
    <t>elc_won_MNG_003</t>
  </si>
  <si>
    <t>elc_won_MNG_004</t>
  </si>
  <si>
    <t>elc_won_MNG_005</t>
  </si>
  <si>
    <t>elc_won_MNG_006</t>
  </si>
  <si>
    <t>elc_won_MNG_007</t>
  </si>
  <si>
    <t>elc_won_MNG_008</t>
  </si>
  <si>
    <t>elc_won_MNG_009</t>
  </si>
  <si>
    <t>elc_won_MNG_010</t>
  </si>
  <si>
    <t>elc_won_MNG_011</t>
  </si>
  <si>
    <t>elc_won_MNG_012</t>
  </si>
  <si>
    <t>elc_won_MNG_013</t>
  </si>
  <si>
    <t>elc_won_MOZ_001</t>
  </si>
  <si>
    <t>elc_won_MOZ_002</t>
  </si>
  <si>
    <t>elc_won_MOZ_003</t>
  </si>
  <si>
    <t>elc_won_MOZ_004</t>
  </si>
  <si>
    <t>elc_won_MOZ_005</t>
  </si>
  <si>
    <t>elc_won_MOZ_006</t>
  </si>
  <si>
    <t>elc_won_MOZ_007</t>
  </si>
  <si>
    <t>elc_won_MOZ_008</t>
  </si>
  <si>
    <t>elc_won_MOZ_009</t>
  </si>
  <si>
    <t>elc_won_MRT_001</t>
  </si>
  <si>
    <t>elc_won_MRT_002</t>
  </si>
  <si>
    <t>elc_won_MRT_003</t>
  </si>
  <si>
    <t>elc_won_MRT_004</t>
  </si>
  <si>
    <t>elc_won_MRT_005</t>
  </si>
  <si>
    <t>elc_won_MRT_006</t>
  </si>
  <si>
    <t>elc_won_MRT_007</t>
  </si>
  <si>
    <t>elc_won_MRT_008</t>
  </si>
  <si>
    <t>elc_won_MRT_009</t>
  </si>
  <si>
    <t>elc_won_MRT_010</t>
  </si>
  <si>
    <t>elc_won_MRT_011</t>
  </si>
  <si>
    <t>elc_won_MWI_001</t>
  </si>
  <si>
    <t>elc_won_MWI_002</t>
  </si>
  <si>
    <t>elc_won_MWI_003</t>
  </si>
  <si>
    <t>elc_won_MWI_004</t>
  </si>
  <si>
    <t>elc_won_MYS_001</t>
  </si>
  <si>
    <t>elc_won_MYS_002</t>
  </si>
  <si>
    <t>elc_won_MYS_003</t>
  </si>
  <si>
    <t>elc_won_NAM_001</t>
  </si>
  <si>
    <t>elc_won_NAM_002</t>
  </si>
  <si>
    <t>elc_won_NAM_003</t>
  </si>
  <si>
    <t>elc_won_NAM_004</t>
  </si>
  <si>
    <t>elc_won_NAM_005</t>
  </si>
  <si>
    <t>elc_won_NAM_006</t>
  </si>
  <si>
    <t>elc_won_NAM_007</t>
  </si>
  <si>
    <t>elc_won_NAM_008</t>
  </si>
  <si>
    <t>elc_won_NAM_009</t>
  </si>
  <si>
    <t>elc_won_NAM_010</t>
  </si>
  <si>
    <t>elc_won_NCL_001</t>
  </si>
  <si>
    <t>elc_won_NCL_002</t>
  </si>
  <si>
    <t>elc_won_NCL_003</t>
  </si>
  <si>
    <t>elc_won_NER_001</t>
  </si>
  <si>
    <t>elc_won_NER_002</t>
  </si>
  <si>
    <t>elc_won_NER_003</t>
  </si>
  <si>
    <t>elc_won_NER_004</t>
  </si>
  <si>
    <t>elc_won_NER_005</t>
  </si>
  <si>
    <t>elc_won_NER_006</t>
  </si>
  <si>
    <t>elc_won_NER_007</t>
  </si>
  <si>
    <t>elc_won_NER_008</t>
  </si>
  <si>
    <t>elc_won_NER_009</t>
  </si>
  <si>
    <t>elc_won_NER_010</t>
  </si>
  <si>
    <t>elc_won_NER_011</t>
  </si>
  <si>
    <t>elc_won_NER_012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</si>
  <si>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</si>
  <si>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</si>
  <si>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</si>
  <si>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</si>
  <si>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</si>
  <si>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</si>
  <si>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</si>
  <si>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</si>
  <si>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</si>
  <si>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elc_won_NIC_001</t>
  </si>
  <si>
    <t>elc_won_NIC_002</t>
  </si>
  <si>
    <t>elc_won_NIC_003</t>
  </si>
  <si>
    <t>elc_won_NIC_004</t>
  </si>
  <si>
    <t>elc_won_NLD_001</t>
  </si>
  <si>
    <t>elc_won_NLD_002</t>
  </si>
  <si>
    <t>elc_won_NLD_003</t>
  </si>
  <si>
    <t>elc_won_NOR_001</t>
  </si>
  <si>
    <t>elc_won_NOR_002</t>
  </si>
  <si>
    <t>elc_won_NOR_003</t>
  </si>
  <si>
    <t>elc_won_NOR_004</t>
  </si>
  <si>
    <t>elc_won_NPL_001</t>
  </si>
  <si>
    <t>elc_won_NPL_002</t>
  </si>
  <si>
    <t>elc_won_NZL_001</t>
  </si>
  <si>
    <t>elc_won_NZL_002</t>
  </si>
  <si>
    <t>elc_won_NZL_003</t>
  </si>
  <si>
    <t>elc_won_NZL_004</t>
  </si>
  <si>
    <t>elc_won_NZL_005</t>
  </si>
  <si>
    <t>elc_won_NZL_006</t>
  </si>
  <si>
    <t>elc_won_OMN_001</t>
  </si>
  <si>
    <t>elc_won_OMN_002</t>
  </si>
  <si>
    <t>elc_won_OMN_003</t>
  </si>
  <si>
    <t>elc_won_OMN_004</t>
  </si>
  <si>
    <t>elc_won_OMN_005</t>
  </si>
  <si>
    <t>elc_won_OMN_006</t>
  </si>
  <si>
    <t>elc_won_OMN_007</t>
  </si>
  <si>
    <t>elc_won_PAK_001</t>
  </si>
  <si>
    <t>elc_won_PAK_002</t>
  </si>
  <si>
    <t>elc_won_PAK_003</t>
  </si>
  <si>
    <t>elc_won_PAK_004</t>
  </si>
  <si>
    <t>elc_won_PAK_005</t>
  </si>
  <si>
    <t>elc_won_PAK_006</t>
  </si>
  <si>
    <t>elc_won_PAK_007</t>
  </si>
  <si>
    <t>elc_won_PAK_008</t>
  </si>
  <si>
    <t>elc_won_PAN_001</t>
  </si>
  <si>
    <t>elc_won_PAN_002</t>
  </si>
  <si>
    <t>elc_won_PAN_003</t>
  </si>
  <si>
    <t>elc_won_PER_001</t>
  </si>
  <si>
    <t>elc_won_PER_002</t>
  </si>
  <si>
    <t>elc_won_PER_003</t>
  </si>
  <si>
    <t>elc_won_PER_004</t>
  </si>
  <si>
    <t>elc_won_PHL_001</t>
  </si>
  <si>
    <t>elc_won_PHL_002</t>
  </si>
  <si>
    <t>elc_won_PHL_003</t>
  </si>
  <si>
    <t>elc_won_PHL_004</t>
  </si>
  <si>
    <t>elc_won_PHL_005</t>
  </si>
  <si>
    <t>elc_won_PHL_006</t>
  </si>
  <si>
    <t>elc_won_PHL_007</t>
  </si>
  <si>
    <t>elc_won_PHL_008</t>
  </si>
  <si>
    <t>elc_won_PNG_001</t>
  </si>
  <si>
    <t>elc_won_PNG_002</t>
  </si>
  <si>
    <t>elc_won_PNG_003</t>
  </si>
  <si>
    <t>elc_won_PNG_004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</si>
  <si>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</si>
  <si>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</si>
  <si>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</si>
  <si>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</si>
  <si>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</si>
  <si>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</si>
  <si>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</si>
  <si>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elc_won_PRI_001</t>
  </si>
  <si>
    <t>elc_won_PRI_002</t>
  </si>
  <si>
    <t>elc_won_PRI_003</t>
  </si>
  <si>
    <t>elc_won_PRK_001</t>
  </si>
  <si>
    <t>elc_won_PRK_002</t>
  </si>
  <si>
    <t>elc_won_PRK_003</t>
  </si>
  <si>
    <t>elc_won_PRK_004</t>
  </si>
  <si>
    <t>elc_won_PRK_005</t>
  </si>
  <si>
    <t>elc_won_PRT_001</t>
  </si>
  <si>
    <t>elc_won_PRT_002</t>
  </si>
  <si>
    <t>elc_won_PRT_003</t>
  </si>
  <si>
    <t>elc_won_PRT_004</t>
  </si>
  <si>
    <t>elc_won_PRT_005</t>
  </si>
  <si>
    <t>elc_won_PRY_001</t>
  </si>
  <si>
    <t>elc_won_PRY_002</t>
  </si>
  <si>
    <t>elc_won_PRY_003</t>
  </si>
  <si>
    <t>elc_won_PRY_004</t>
  </si>
  <si>
    <t>elc_won_PRY_005</t>
  </si>
  <si>
    <t>elc_won_PRY_006</t>
  </si>
  <si>
    <t>elc_won_PRY_007</t>
  </si>
  <si>
    <t>elc_won_PRY_008</t>
  </si>
  <si>
    <t>elc_won_QAT_001</t>
  </si>
  <si>
    <t>elc_won_QAT_002</t>
  </si>
  <si>
    <t>elc_won_ROU_001</t>
  </si>
  <si>
    <t>elc_won_ROU_002</t>
  </si>
  <si>
    <t>elc_won_ROU_003</t>
  </si>
  <si>
    <t>elc_won_ROU_004</t>
  </si>
  <si>
    <t>elc_won_ROU_005</t>
  </si>
  <si>
    <t>elc_won_ROU_006</t>
  </si>
  <si>
    <t>elc_won_RUS_001</t>
  </si>
  <si>
    <t>elc_won_RUS_002</t>
  </si>
  <si>
    <t>elc_won_RUS_003</t>
  </si>
  <si>
    <t>elc_won_RUS_004</t>
  </si>
  <si>
    <t>elc_won_RUS_005</t>
  </si>
  <si>
    <t>elc_won_RUS_006</t>
  </si>
  <si>
    <t>elc_won_RUS_007</t>
  </si>
  <si>
    <t>elc_won_RUS_008</t>
  </si>
  <si>
    <t>elc_won_RUS_009</t>
  </si>
  <si>
    <t>elc_won_RUS_010</t>
  </si>
  <si>
    <t>elc_won_RUS_011</t>
  </si>
  <si>
    <t>elc_won_RUS_012</t>
  </si>
  <si>
    <t>elc_won_RUS_013</t>
  </si>
  <si>
    <t>elc_won_RUS_014</t>
  </si>
  <si>
    <t>elc_won_RUS_015</t>
  </si>
  <si>
    <t>elc_won_RUS_016</t>
  </si>
  <si>
    <t>elc_won_RUS_017</t>
  </si>
  <si>
    <t>elc_won_RUS_018</t>
  </si>
  <si>
    <t>elc_won_RUS_019</t>
  </si>
  <si>
    <t>elc_won_RUS_020</t>
  </si>
  <si>
    <t>elc_won_RUS_021</t>
  </si>
  <si>
    <t>elc_won_RUS_022</t>
  </si>
  <si>
    <t>elc_won_RUS_023</t>
  </si>
  <si>
    <t>elc_won_RWA_001</t>
  </si>
  <si>
    <t>elc_won_RWA_002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</si>
  <si>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</si>
  <si>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</si>
  <si>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</si>
  <si>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</si>
  <si>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</si>
  <si>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</si>
  <si>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</si>
  <si>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</si>
  <si>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</si>
  <si>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</si>
  <si>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</si>
  <si>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</si>
  <si>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</si>
  <si>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</si>
  <si>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elc_won_SDN_001</t>
  </si>
  <si>
    <t>elc_won_SDN_002</t>
  </si>
  <si>
    <t>elc_won_SDN_003</t>
  </si>
  <si>
    <t>elc_won_SDN_004</t>
  </si>
  <si>
    <t>elc_won_SDN_005</t>
  </si>
  <si>
    <t>elc_won_SDN_006</t>
  </si>
  <si>
    <t>elc_won_SDN_007</t>
  </si>
  <si>
    <t>elc_won_SDN_008</t>
  </si>
  <si>
    <t>elc_won_SDN_009</t>
  </si>
  <si>
    <t>elc_won_SDN_010</t>
  </si>
  <si>
    <t>elc_won_SDN_011</t>
  </si>
  <si>
    <t>elc_won_SDN_012</t>
  </si>
  <si>
    <t>elc_won_SDN_013</t>
  </si>
  <si>
    <t>elc_won_SDN_014</t>
  </si>
  <si>
    <t>elc_won_SEN_001</t>
  </si>
  <si>
    <t>elc_won_SEN_002</t>
  </si>
  <si>
    <t>elc_won_SEN_003</t>
  </si>
  <si>
    <t>elc_won_SEN_004</t>
  </si>
  <si>
    <t>elc_won_SEN_005</t>
  </si>
  <si>
    <t>elc_won_SEN_006</t>
  </si>
  <si>
    <t>elc_won_SGP_001</t>
  </si>
  <si>
    <t>elc_won_SGP_002</t>
  </si>
  <si>
    <t>elc_won_SLE_001</t>
  </si>
  <si>
    <t>elc_won_SLE_002</t>
  </si>
  <si>
    <t>elc_won_SLV_001</t>
  </si>
  <si>
    <t>elc_won_SLV_002</t>
  </si>
  <si>
    <t>elc_won_SOM_001</t>
  </si>
  <si>
    <t>elc_won_SOM_002</t>
  </si>
  <si>
    <t>elc_won_SOM_003</t>
  </si>
  <si>
    <t>elc_won_SOM_004</t>
  </si>
  <si>
    <t>elc_won_SOM_005</t>
  </si>
  <si>
    <t>elc_won_SOM_006</t>
  </si>
  <si>
    <t>elc_won_SOM_007</t>
  </si>
  <si>
    <t>elc_won_SOM_008</t>
  </si>
  <si>
    <t>elc_won_SOM_009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</si>
  <si>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</si>
  <si>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</si>
  <si>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</si>
  <si>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</si>
  <si>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</si>
  <si>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</si>
  <si>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elc_won_SSD_001</t>
  </si>
  <si>
    <t>elc_won_SSD_002</t>
  </si>
  <si>
    <t>elc_won_SSD_003</t>
  </si>
  <si>
    <t>elc_won_SSD_004</t>
  </si>
  <si>
    <t>elc_won_SSD_005</t>
  </si>
  <si>
    <t>elc_won_SSD_006</t>
  </si>
  <si>
    <t>elc_won_SUR_001</t>
  </si>
  <si>
    <t>elc_won_SUR_002</t>
  </si>
  <si>
    <t>elc_won_SVK_001</t>
  </si>
  <si>
    <t>elc_won_SVK_002</t>
  </si>
  <si>
    <t>elc_won_SVK_003</t>
  </si>
  <si>
    <t>elc_won_SVN_001</t>
  </si>
  <si>
    <t>elc_won_SVN_002</t>
  </si>
  <si>
    <t>elc_won_SWE_001</t>
  </si>
  <si>
    <t>elc_won_SWE_002</t>
  </si>
  <si>
    <t>elc_won_SWE_003</t>
  </si>
  <si>
    <t>elc_won_SWE_004</t>
  </si>
  <si>
    <t>elc_won_SWE_005</t>
  </si>
  <si>
    <t>elc_won_SYR_001</t>
  </si>
  <si>
    <t>elc_won_SYR_002</t>
  </si>
  <si>
    <t>elc_won_SYR_003</t>
  </si>
  <si>
    <t>elc_won_SYR_004</t>
  </si>
  <si>
    <t>elc_won_SYR_005</t>
  </si>
  <si>
    <t>elc_won_SYR_006</t>
  </si>
  <si>
    <t>elc_won_TCD_001</t>
  </si>
  <si>
    <t>elc_won_TCD_002</t>
  </si>
  <si>
    <t>elc_won_TCD_003</t>
  </si>
  <si>
    <t>elc_won_TCD_004</t>
  </si>
  <si>
    <t>elc_won_TCD_005</t>
  </si>
  <si>
    <t>elc_won_TCD_006</t>
  </si>
  <si>
    <t>elc_won_TCD_007</t>
  </si>
  <si>
    <t>elc_won_TCD_008</t>
  </si>
  <si>
    <t>elc_won_TCD_009</t>
  </si>
  <si>
    <t>elc_won_TCD_010</t>
  </si>
  <si>
    <t>elc_won_TCD_011</t>
  </si>
  <si>
    <t>elc_won_TCD_012</t>
  </si>
  <si>
    <t>elc_won_TGO_001</t>
  </si>
  <si>
    <t>elc_won_TGO_002</t>
  </si>
  <si>
    <t>elc_won_THA_001</t>
  </si>
  <si>
    <t>elc_won_THA_002</t>
  </si>
  <si>
    <t>elc_won_THA_003</t>
  </si>
  <si>
    <t>elc_won_THA_004</t>
  </si>
  <si>
    <t>elc_won_THA_005</t>
  </si>
  <si>
    <t>elc_won_THA_006</t>
  </si>
  <si>
    <t>elc_won_TJK_001</t>
  </si>
  <si>
    <t>elc_won_TJK_002</t>
  </si>
  <si>
    <t>elc_won_TJK_003</t>
  </si>
  <si>
    <t>elc_won_TJK_004</t>
  </si>
  <si>
    <t>elc_won_TKM_001</t>
  </si>
  <si>
    <t>elc_won_TKM_002</t>
  </si>
  <si>
    <t>elc_won_TKM_003</t>
  </si>
  <si>
    <t>elc_won_TKM_004</t>
  </si>
  <si>
    <t>elc_won_TKM_005</t>
  </si>
  <si>
    <t>elc_won_TKM_006</t>
  </si>
  <si>
    <t>elc_won_TKM_007</t>
  </si>
  <si>
    <t>elc_won_TKM_008</t>
  </si>
  <si>
    <t>elc_won_TTO_001</t>
  </si>
  <si>
    <t>elc_won_TTO_002</t>
  </si>
  <si>
    <t>elc_won_TUN_001</t>
  </si>
  <si>
    <t>elc_won_TUN_002</t>
  </si>
  <si>
    <t>elc_won_TUN_003</t>
  </si>
  <si>
    <t>elc_won_TUN_004</t>
  </si>
  <si>
    <t>elc_won_TUN_005</t>
  </si>
  <si>
    <t>elc_won_TUR_001</t>
  </si>
  <si>
    <t>elc_won_TUR_002</t>
  </si>
  <si>
    <t>elc_won_TUR_003</t>
  </si>
  <si>
    <t>elc_won_TUR_004</t>
  </si>
  <si>
    <t>elc_won_TUR_005</t>
  </si>
  <si>
    <t>elc_won_TUR_006</t>
  </si>
  <si>
    <t>elc_won_TUR_007</t>
  </si>
  <si>
    <t>elc_won_TWN_001</t>
  </si>
  <si>
    <t>elc_won_TWN_002</t>
  </si>
  <si>
    <t>elc_won_TWN_003</t>
  </si>
  <si>
    <t>elc_won_TZA_001</t>
  </si>
  <si>
    <t>elc_won_TZA_002</t>
  </si>
  <si>
    <t>elc_won_TZA_003</t>
  </si>
  <si>
    <t>elc_won_TZA_004</t>
  </si>
  <si>
    <t>elc_won_TZA_005</t>
  </si>
  <si>
    <t>elc_won_TZA_006</t>
  </si>
  <si>
    <t>elc_won_TZA_007</t>
  </si>
  <si>
    <t>elc_won_UGA_001</t>
  </si>
  <si>
    <t>elc_won_UGA_002</t>
  </si>
  <si>
    <t>elc_won_UKR_001</t>
  </si>
  <si>
    <t>elc_won_UKR_002</t>
  </si>
  <si>
    <t>elc_won_UKR_003</t>
  </si>
  <si>
    <t>elc_won_UKR_004</t>
  </si>
  <si>
    <t>elc_won_UKR_005</t>
  </si>
  <si>
    <t>elc_won_UKR_006</t>
  </si>
  <si>
    <t>elc_won_UKR_007</t>
  </si>
  <si>
    <t>elc_won_UKR_008</t>
  </si>
  <si>
    <t>elc_won_UKR_009</t>
  </si>
  <si>
    <t>elc_won_URY_001</t>
  </si>
  <si>
    <t>elc_won_URY_002</t>
  </si>
  <si>
    <t>elc_won_URY_003</t>
  </si>
  <si>
    <t>elc_won_URY_004</t>
  </si>
  <si>
    <t>elc_won_URY_005</t>
  </si>
  <si>
    <t>elc_won_USA_001</t>
  </si>
  <si>
    <t>elc_won_USA_002</t>
  </si>
  <si>
    <t>elc_won_USA_003</t>
  </si>
  <si>
    <t>elc_won_USA_004</t>
  </si>
  <si>
    <t>elc_won_USA_005</t>
  </si>
  <si>
    <t>elc_won_USA_006</t>
  </si>
  <si>
    <t>elc_won_USA_007</t>
  </si>
  <si>
    <t>elc_won_USA_008</t>
  </si>
  <si>
    <t>elc_won_USA_009</t>
  </si>
  <si>
    <t>elc_won_USA_010</t>
  </si>
  <si>
    <t>elc_won_USA_011</t>
  </si>
  <si>
    <t>elc_won_USA_012</t>
  </si>
  <si>
    <t>elc_won_USA_013</t>
  </si>
  <si>
    <t>elc_won_USA_014</t>
  </si>
  <si>
    <t>elc_won_USA_015</t>
  </si>
  <si>
    <t>elc_won_USA_016</t>
  </si>
  <si>
    <t>elc_won_USA_017</t>
  </si>
  <si>
    <t>elc_won_USA_018</t>
  </si>
  <si>
    <t>elc_won_USA_019</t>
  </si>
  <si>
    <t>elc_won_USA_020</t>
  </si>
  <si>
    <t>elc_won_USA_021</t>
  </si>
  <si>
    <t>elc_won_USA_022</t>
  </si>
  <si>
    <t>elc_won_USA_023</t>
  </si>
  <si>
    <t>elc_won_USA_024</t>
  </si>
  <si>
    <t>elc_won_USA_025</t>
  </si>
  <si>
    <t>elc_won_USA_026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</si>
  <si>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</si>
  <si>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</si>
  <si>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</si>
  <si>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</si>
  <si>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</si>
  <si>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</si>
  <si>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</si>
  <si>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</si>
  <si>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elc_won_VEN_001</t>
  </si>
  <si>
    <t>elc_won_VEN_002</t>
  </si>
  <si>
    <t>elc_won_VEN_003</t>
  </si>
  <si>
    <t>elc_won_VEN_004</t>
  </si>
  <si>
    <t>elc_won_VEN_005</t>
  </si>
  <si>
    <t>elc_won_VEN_006</t>
  </si>
  <si>
    <t>elc_won_VEN_007</t>
  </si>
  <si>
    <t>elc_won_VNM_001</t>
  </si>
  <si>
    <t>elc_won_VNM_002</t>
  </si>
  <si>
    <t>elc_won_VNM_003</t>
  </si>
  <si>
    <t>elc_won_VNM_004</t>
  </si>
  <si>
    <t>elc_won_VNM_005</t>
  </si>
  <si>
    <t>elc_won_VNM_006</t>
  </si>
  <si>
    <t>elc_won_YEM_001</t>
  </si>
  <si>
    <t>elc_won_YEM_002</t>
  </si>
  <si>
    <t>elc_won_YEM_003</t>
  </si>
  <si>
    <t>elc_won_YEM_004</t>
  </si>
  <si>
    <t>elc_won_YEM_005</t>
  </si>
  <si>
    <t>elc_won_YEM_006</t>
  </si>
  <si>
    <t>elc_won_YEM_007</t>
  </si>
  <si>
    <t>elc_won_YEM_008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</si>
  <si>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</si>
  <si>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</si>
  <si>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</si>
  <si>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</si>
  <si>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</si>
  <si>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</si>
  <si>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</si>
  <si>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</si>
  <si>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</si>
  <si>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</si>
  <si>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</si>
  <si>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</si>
  <si>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elc_won_ZMB_001</t>
  </si>
  <si>
    <t>elc_won_ZMB_002</t>
  </si>
  <si>
    <t>elc_won_ZMB_003</t>
  </si>
  <si>
    <t>elc_won_ZMB_004</t>
  </si>
  <si>
    <t>elc_won_ZMB_005</t>
  </si>
  <si>
    <t>elc_won_ZMB_006</t>
  </si>
  <si>
    <t>elc_won_ZMB_007</t>
  </si>
  <si>
    <t>elc_won_ZMB_008</t>
  </si>
  <si>
    <t>elc_won_ZMB_009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</si>
  <si>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</si>
  <si>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</si>
  <si>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</si>
  <si>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</si>
  <si>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</si>
  <si>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</si>
  <si>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</si>
  <si>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elcagg_won_AFG</t>
  </si>
  <si>
    <t>wind onshore aggregator to grid -- Afghanistan</t>
  </si>
  <si>
    <t>elcagg_won_AGO</t>
  </si>
  <si>
    <t>wind onshore aggregator to grid -- Angola</t>
  </si>
  <si>
    <t>elcagg_won_ALB</t>
  </si>
  <si>
    <t>wind onshore aggregator to grid -- Albania</t>
  </si>
  <si>
    <t>elcagg_won_ARE</t>
  </si>
  <si>
    <t>wind onshore aggregator to grid -- United Arab Emirates</t>
  </si>
  <si>
    <t>elcagg_won_ARG</t>
  </si>
  <si>
    <t>wind onshore aggregator to grid -- Argentina</t>
  </si>
  <si>
    <t>elcagg_won_ARM</t>
  </si>
  <si>
    <t>wind onshore aggregator to grid -- Armenia</t>
  </si>
  <si>
    <t>elcagg_won_AUS</t>
  </si>
  <si>
    <t>wind onshore aggregator to grid -- Australia</t>
  </si>
  <si>
    <t>elcagg_won_AUT</t>
  </si>
  <si>
    <t>wind onshore aggregator to grid -- Austria</t>
  </si>
  <si>
    <t>elcagg_won_AZE</t>
  </si>
  <si>
    <t>wind onshore aggregator to grid -- Azerbaijan</t>
  </si>
  <si>
    <t>elcagg_won_BDI</t>
  </si>
  <si>
    <t>wind onshore aggregator to grid -- Burundi</t>
  </si>
  <si>
    <t>elcagg_won_BEL</t>
  </si>
  <si>
    <t>wind onshore aggregator to grid -- Belgium</t>
  </si>
  <si>
    <t>elcagg_won_BEN</t>
  </si>
  <si>
    <t>wind onshore aggregator to grid -- Benin</t>
  </si>
  <si>
    <t>elcagg_won_BFA</t>
  </si>
  <si>
    <t>wind onshore aggregator to grid -- Burkina Faso</t>
  </si>
  <si>
    <t>elcagg_won_BGD</t>
  </si>
  <si>
    <t>wind onshore aggregator to grid -- Bangladesh</t>
  </si>
  <si>
    <t>elcagg_won_BGR</t>
  </si>
  <si>
    <t>wind onshore aggregator to grid -- Bulgaria</t>
  </si>
  <si>
    <t>elcagg_won_BIH</t>
  </si>
  <si>
    <t>wind onshore aggregator to grid -- Bosnia and Herzegovina</t>
  </si>
  <si>
    <t>elcagg_won_BLR</t>
  </si>
  <si>
    <t>wind onshore aggregator to grid -- Belarus</t>
  </si>
  <si>
    <t>elcagg_won_BOL</t>
  </si>
  <si>
    <t>wind onshore aggregator to grid -- Bolivia</t>
  </si>
  <si>
    <t>elcagg_won_BRA</t>
  </si>
  <si>
    <t>wind onshore aggregator to grid -- Brazil</t>
  </si>
  <si>
    <t>elcagg_won_BWA</t>
  </si>
  <si>
    <t>wind onshore aggregator to grid -- Botswana</t>
  </si>
  <si>
    <t>elcagg_won_CAF</t>
  </si>
  <si>
    <t>wind onshore aggregator to grid -- Central African Republic</t>
  </si>
  <si>
    <t>elcagg_won_CAN</t>
  </si>
  <si>
    <t>wind onshore aggregator to grid -- Canada</t>
  </si>
  <si>
    <t>elcagg_won_CHE</t>
  </si>
  <si>
    <t>wind onshore aggregator to grid -- Switzerland</t>
  </si>
  <si>
    <t>elcagg_won_CHL</t>
  </si>
  <si>
    <t>wind onshore aggregator to grid -- Chile</t>
  </si>
  <si>
    <t>elcagg_won_CHN</t>
  </si>
  <si>
    <t>wind onshore aggregator to grid -- China</t>
  </si>
  <si>
    <t>elcagg_won_CIV</t>
  </si>
  <si>
    <t>wind onshore aggregator to grid -- Ivory Coast</t>
  </si>
  <si>
    <t>elcagg_won_CMR</t>
  </si>
  <si>
    <t>wind onshore aggregator to grid -- Cameroon</t>
  </si>
  <si>
    <t>elcagg_won_COD</t>
  </si>
  <si>
    <t>wind onshore aggregator to grid -- Democratic Republic of Congo</t>
  </si>
  <si>
    <t>elcagg_won_COG</t>
  </si>
  <si>
    <t>wind onshore aggregator to grid -- Republic of Congo</t>
  </si>
  <si>
    <t>elcagg_won_COL</t>
  </si>
  <si>
    <t>wind onshore aggregator to grid -- Colombia</t>
  </si>
  <si>
    <t>elcagg_won_CRI</t>
  </si>
  <si>
    <t>wind onshore aggregator to grid -- Costa Rica</t>
  </si>
  <si>
    <t>elcagg_won_CUB</t>
  </si>
  <si>
    <t>wind onshore aggregator to grid -- Cuba</t>
  </si>
  <si>
    <t>elcagg_won_CZE</t>
  </si>
  <si>
    <t>wind onshore aggregator to grid -- Czech Republic</t>
  </si>
  <si>
    <t>elcagg_won_DEU</t>
  </si>
  <si>
    <t>wind onshore aggregator to grid -- Germany</t>
  </si>
  <si>
    <t>elcagg_won_DJI</t>
  </si>
  <si>
    <t>wind onshore aggregator to grid -- Djibouti</t>
  </si>
  <si>
    <t>elcagg_won_DNK</t>
  </si>
  <si>
    <t>wind onshore aggregator to grid -- Denmark</t>
  </si>
  <si>
    <t>elcagg_won_DOM</t>
  </si>
  <si>
    <t>wind onshore aggregator to grid -- Dominican Republic</t>
  </si>
  <si>
    <t>elcagg_won_DZA</t>
  </si>
  <si>
    <t>wind onshore aggregator to grid -- Algeria</t>
  </si>
  <si>
    <t>elcagg_won_ECU</t>
  </si>
  <si>
    <t>wind onshore aggregator to grid -- Ecuador</t>
  </si>
  <si>
    <t>elcagg_won_EGY</t>
  </si>
  <si>
    <t>wind onshore aggregator to grid -- Egypt</t>
  </si>
  <si>
    <t>elcagg_won_ERI</t>
  </si>
  <si>
    <t>wind onshore aggregator to grid -- Eritrea</t>
  </si>
  <si>
    <t>elcagg_won_ESP</t>
  </si>
  <si>
    <t>wind onshore aggregator to grid -- Spain</t>
  </si>
  <si>
    <t>elcagg_won_EST</t>
  </si>
  <si>
    <t>wind onshore aggregator to grid -- Estonia</t>
  </si>
  <si>
    <t>elcagg_won_ETH</t>
  </si>
  <si>
    <t>wind onshore aggregator to grid -- Ethiopia</t>
  </si>
  <si>
    <t>elcagg_won_FIN</t>
  </si>
  <si>
    <t>wind onshore aggregator to grid -- Finland</t>
  </si>
  <si>
    <t>elcagg_won_FRA</t>
  </si>
  <si>
    <t>wind onshore aggregator to grid -- France</t>
  </si>
  <si>
    <t>elcagg_won_GAB</t>
  </si>
  <si>
    <t>wind onshore aggregator to grid -- Gabon</t>
  </si>
  <si>
    <t>elcagg_won_GBR</t>
  </si>
  <si>
    <t>wind onshore aggregator to grid -- United Kingdom</t>
  </si>
  <si>
    <t>elcagg_won_GEO</t>
  </si>
  <si>
    <t>wind onshore aggregator to grid -- Georgia</t>
  </si>
  <si>
    <t>elcagg_won_GHA</t>
  </si>
  <si>
    <t>wind onshore aggregator to grid -- Ghana</t>
  </si>
  <si>
    <t>elcagg_won_GIN</t>
  </si>
  <si>
    <t>wind onshore aggregator to grid -- Guinea</t>
  </si>
  <si>
    <t>elcagg_won_GNB</t>
  </si>
  <si>
    <t>wind onshore aggregator to grid -- Guinea-Bissau</t>
  </si>
  <si>
    <t>elcagg_won_GNQ</t>
  </si>
  <si>
    <t>wind onshore aggregator to grid -- Equatorial Guinea</t>
  </si>
  <si>
    <t>elcagg_won_GRC</t>
  </si>
  <si>
    <t>wind onshore aggregator to grid -- Greece</t>
  </si>
  <si>
    <t>elcagg_won_GTM</t>
  </si>
  <si>
    <t>wind onshore aggregator to grid -- Guatemala</t>
  </si>
  <si>
    <t>elcagg_won_GUY</t>
  </si>
  <si>
    <t>wind onshore aggregator to grid -- Guyana</t>
  </si>
  <si>
    <t>elcagg_won_HKG</t>
  </si>
  <si>
    <t>wind onshore aggregator to grid -- Hong Kong SAR, China</t>
  </si>
  <si>
    <t>elcagg_won_HND</t>
  </si>
  <si>
    <t>wind onshore aggregator to grid -- Honduras</t>
  </si>
  <si>
    <t>elcagg_won_HRV</t>
  </si>
  <si>
    <t>wind onshore aggregator to grid -- Croatia</t>
  </si>
  <si>
    <t>elcagg_won_HTI</t>
  </si>
  <si>
    <t>wind onshore aggregator to grid -- Haiti</t>
  </si>
  <si>
    <t>elcagg_won_HUN</t>
  </si>
  <si>
    <t>wind onshore aggregator to grid -- Hungary</t>
  </si>
  <si>
    <t>elcagg_won_IDN</t>
  </si>
  <si>
    <t>wind onshore aggregator to grid -- Indonesia</t>
  </si>
  <si>
    <t>elcagg_won_IND</t>
  </si>
  <si>
    <t>wind onshore aggregator to grid -- India</t>
  </si>
  <si>
    <t>elcagg_won_IRL</t>
  </si>
  <si>
    <t>wind onshore aggregator to grid -- Ireland</t>
  </si>
  <si>
    <t>elcagg_won_IRN</t>
  </si>
  <si>
    <t>wind onshore aggregator to grid -- Iran</t>
  </si>
  <si>
    <t>elcagg_won_IRQ</t>
  </si>
  <si>
    <t>wind onshore aggregator to grid -- Iraq</t>
  </si>
  <si>
    <t>elcagg_won_ISR</t>
  </si>
  <si>
    <t>wind onshore aggregator to grid -- Israel</t>
  </si>
  <si>
    <t>elcagg_won_ITA</t>
  </si>
  <si>
    <t>wind onshore aggregator to grid -- Italy</t>
  </si>
  <si>
    <t>elcagg_won_JAM</t>
  </si>
  <si>
    <t>wind onshore aggregator to grid -- Jamaica</t>
  </si>
  <si>
    <t>elcagg_won_JOR</t>
  </si>
  <si>
    <t>wind onshore aggregator to grid -- Jordan</t>
  </si>
  <si>
    <t>elcagg_won_JPN</t>
  </si>
  <si>
    <t>wind onshore aggregator to grid -- Japan</t>
  </si>
  <si>
    <t>elcagg_won_KAZ</t>
  </si>
  <si>
    <t>wind onshore aggregator to grid -- Kazakhstan</t>
  </si>
  <si>
    <t>elcagg_won_KEN</t>
  </si>
  <si>
    <t>wind onshore aggregator to grid -- Kenya</t>
  </si>
  <si>
    <t>elcagg_won_KGZ</t>
  </si>
  <si>
    <t>wind onshore aggregator to grid -- Kyrgyz Republic</t>
  </si>
  <si>
    <t>elcagg_won_KHM</t>
  </si>
  <si>
    <t>wind onshore aggregator to grid -- Cambodia</t>
  </si>
  <si>
    <t>elcagg_won_KOR</t>
  </si>
  <si>
    <t>wind onshore aggregator to grid -- South Korea</t>
  </si>
  <si>
    <t>elcagg_won_KWT</t>
  </si>
  <si>
    <t>wind onshore aggregator to grid -- Kuwait</t>
  </si>
  <si>
    <t>elcagg_won_LAO</t>
  </si>
  <si>
    <t>wind onshore aggregator to grid -- Laos</t>
  </si>
  <si>
    <t>elcagg_won_LBN</t>
  </si>
  <si>
    <t>wind onshore aggregator to grid -- Lebanon</t>
  </si>
  <si>
    <t>elcagg_won_LBR</t>
  </si>
  <si>
    <t>wind onshore aggregator to grid -- Liberia</t>
  </si>
  <si>
    <t>elcagg_won_LBY</t>
  </si>
  <si>
    <t>wind onshore aggregator to grid -- Libya</t>
  </si>
  <si>
    <t>elcagg_won_LKA</t>
  </si>
  <si>
    <t>wind onshore aggregator to grid -- Sri Lanka</t>
  </si>
  <si>
    <t>elcagg_won_LSO</t>
  </si>
  <si>
    <t>wind onshore aggregator to grid -- Lesotho</t>
  </si>
  <si>
    <t>elcagg_won_LTU</t>
  </si>
  <si>
    <t>wind onshore aggregator to grid -- Lithuania</t>
  </si>
  <si>
    <t>elcagg_won_LUX</t>
  </si>
  <si>
    <t>wind onshore aggregator to grid -- Luxembourg</t>
  </si>
  <si>
    <t>elcagg_won_LVA</t>
  </si>
  <si>
    <t>wind onshore aggregator to grid -- Latvia</t>
  </si>
  <si>
    <t>elcagg_won_MAR</t>
  </si>
  <si>
    <t>wind onshore aggregator to grid -- Morocco</t>
  </si>
  <si>
    <t>elcagg_won_MDA</t>
  </si>
  <si>
    <t>wind onshore aggregator to grid -- Moldova</t>
  </si>
  <si>
    <t>elcagg_won_MDG</t>
  </si>
  <si>
    <t>wind onshore aggregator to grid -- Madagascar</t>
  </si>
  <si>
    <t>elcagg_won_MEX</t>
  </si>
  <si>
    <t>wind onshore aggregator to grid -- Mexico</t>
  </si>
  <si>
    <t>elcagg_won_MKD</t>
  </si>
  <si>
    <t>wind onshore aggregator to grid -- North Macedonia</t>
  </si>
  <si>
    <t>elcagg_won_MLI</t>
  </si>
  <si>
    <t>wind onshore aggregator to grid -- Mali</t>
  </si>
  <si>
    <t>elcagg_won_MMR</t>
  </si>
  <si>
    <t>wind onshore aggregator to grid -- Myanmar</t>
  </si>
  <si>
    <t>elcagg_won_MNE</t>
  </si>
  <si>
    <t>wind onshore aggregator to grid -- Montenegro</t>
  </si>
  <si>
    <t>elcagg_won_MNG</t>
  </si>
  <si>
    <t>wind onshore aggregator to grid -- Mongolia</t>
  </si>
  <si>
    <t>elcagg_won_MOZ</t>
  </si>
  <si>
    <t>wind onshore aggregator to grid -- Mozambique</t>
  </si>
  <si>
    <t>elcagg_won_MRT</t>
  </si>
  <si>
    <t>wind onshore aggregator to grid -- Mauritania</t>
  </si>
  <si>
    <t>elcagg_won_MWI</t>
  </si>
  <si>
    <t>wind onshore aggregator to grid -- Malawi</t>
  </si>
  <si>
    <t>elcagg_won_MYS</t>
  </si>
  <si>
    <t>wind onshore aggregator to grid -- Malaysia</t>
  </si>
  <si>
    <t>elcagg_won_NAM</t>
  </si>
  <si>
    <t>wind onshore aggregator to grid -- Namibia</t>
  </si>
  <si>
    <t>elcagg_won_NCL</t>
  </si>
  <si>
    <t>wind onshore aggregator to grid -- New Caledonia</t>
  </si>
  <si>
    <t>elcagg_won_NER</t>
  </si>
  <si>
    <t>wind onshore aggregator to grid -- Niger</t>
  </si>
  <si>
    <t>elcagg_won_NGA</t>
  </si>
  <si>
    <t>wind onshore aggregator to grid -- Nigeria</t>
  </si>
  <si>
    <t>elcagg_won_NIC</t>
  </si>
  <si>
    <t>wind onshore aggregator to grid -- Nicaragua</t>
  </si>
  <si>
    <t>elcagg_won_NLD</t>
  </si>
  <si>
    <t>wind onshore aggregator to grid -- Netherlands</t>
  </si>
  <si>
    <t>elcagg_won_NOR</t>
  </si>
  <si>
    <t>wind onshore aggregator to grid -- Norway</t>
  </si>
  <si>
    <t>elcagg_won_NPL</t>
  </si>
  <si>
    <t>wind onshore aggregator to grid -- Nepal</t>
  </si>
  <si>
    <t>elcagg_won_NZL</t>
  </si>
  <si>
    <t>wind onshore aggregator to grid -- New Zealand</t>
  </si>
  <si>
    <t>elcagg_won_OMN</t>
  </si>
  <si>
    <t>wind onshore aggregator to grid -- Oman</t>
  </si>
  <si>
    <t>elcagg_won_PAK</t>
  </si>
  <si>
    <t>wind onshore aggregator to grid -- Pakistan</t>
  </si>
  <si>
    <t>elcagg_won_PAN</t>
  </si>
  <si>
    <t>wind onshore aggregator to grid -- Panama</t>
  </si>
  <si>
    <t>elcagg_won_PER</t>
  </si>
  <si>
    <t>wind onshore aggregator to grid -- Peru</t>
  </si>
  <si>
    <t>elcagg_won_PHL</t>
  </si>
  <si>
    <t>wind onshore aggregator to grid -- Philippines</t>
  </si>
  <si>
    <t>elcagg_won_PNG</t>
  </si>
  <si>
    <t>wind onshore aggregator to grid -- Papua New Guinea</t>
  </si>
  <si>
    <t>elcagg_won_POL</t>
  </si>
  <si>
    <t>wind onshore aggregator to grid -- Poland</t>
  </si>
  <si>
    <t>elcagg_won_PRI</t>
  </si>
  <si>
    <t>wind onshore aggregator to grid -- Puerto Rico</t>
  </si>
  <si>
    <t>elcagg_won_PRK</t>
  </si>
  <si>
    <t>wind onshore aggregator to grid -- Dem. People^s Rep. Korea</t>
  </si>
  <si>
    <t>elcagg_won_PRT</t>
  </si>
  <si>
    <t>wind onshore aggregator to grid -- Portugal</t>
  </si>
  <si>
    <t>elcagg_won_PRY</t>
  </si>
  <si>
    <t>wind onshore aggregator to grid -- Paraguay</t>
  </si>
  <si>
    <t>elcagg_won_QAT</t>
  </si>
  <si>
    <t>wind onshore aggregator to grid -- Qatar</t>
  </si>
  <si>
    <t>elcagg_won_ROU</t>
  </si>
  <si>
    <t>wind onshore aggregator to grid -- Romania</t>
  </si>
  <si>
    <t>elcagg_won_RUS</t>
  </si>
  <si>
    <t>wind onshore aggregator to grid -- Russia</t>
  </si>
  <si>
    <t>elcagg_won_RWA</t>
  </si>
  <si>
    <t>wind onshore aggregator to grid -- Rwanda</t>
  </si>
  <si>
    <t>elcagg_won_SAU</t>
  </si>
  <si>
    <t>wind onshore aggregator to grid -- Saudi Arabia</t>
  </si>
  <si>
    <t>elcagg_won_SDN</t>
  </si>
  <si>
    <t>wind onshore aggregator to grid -- Sudan</t>
  </si>
  <si>
    <t>elcagg_won_SEN</t>
  </si>
  <si>
    <t>wind onshore aggregator to grid -- Senegal</t>
  </si>
  <si>
    <t>elcagg_won_SGP</t>
  </si>
  <si>
    <t>wind onshore aggregator to grid -- Singapore</t>
  </si>
  <si>
    <t>elcagg_won_SLE</t>
  </si>
  <si>
    <t>wind onshore aggregator to grid -- Sierra Leone</t>
  </si>
  <si>
    <t>elcagg_won_SLV</t>
  </si>
  <si>
    <t>wind onshore aggregator to grid -- El Salvador</t>
  </si>
  <si>
    <t>elcagg_won_SOM</t>
  </si>
  <si>
    <t>wind onshore aggregator to grid -- Somalia</t>
  </si>
  <si>
    <t>elcagg_won_SRB</t>
  </si>
  <si>
    <t>wind onshore aggregator to grid -- Serbia</t>
  </si>
  <si>
    <t>elcagg_won_SSD</t>
  </si>
  <si>
    <t>wind onshore aggregator to grid -- South Sudan</t>
  </si>
  <si>
    <t>elcagg_won_SUR</t>
  </si>
  <si>
    <t>wind onshore aggregator to grid -- Suriname</t>
  </si>
  <si>
    <t>elcagg_won_SVK</t>
  </si>
  <si>
    <t>wind onshore aggregator to grid -- Slovak Republic</t>
  </si>
  <si>
    <t>elcagg_won_SVN</t>
  </si>
  <si>
    <t>wind onshore aggregator to grid -- Slovenia</t>
  </si>
  <si>
    <t>elcagg_won_SWE</t>
  </si>
  <si>
    <t>wind onshore aggregator to grid -- Sweden</t>
  </si>
  <si>
    <t>elcagg_won_SYR</t>
  </si>
  <si>
    <t>wind onshore aggregator to grid -- Syrian Arab Republic</t>
  </si>
  <si>
    <t>elcagg_won_TCD</t>
  </si>
  <si>
    <t>wind onshore aggregator to grid -- Chad</t>
  </si>
  <si>
    <t>elcagg_won_TGO</t>
  </si>
  <si>
    <t>wind onshore aggregator to grid -- Togo</t>
  </si>
  <si>
    <t>elcagg_won_THA</t>
  </si>
  <si>
    <t>wind onshore aggregator to grid -- Thailand</t>
  </si>
  <si>
    <t>elcagg_won_TJK</t>
  </si>
  <si>
    <t>wind onshore aggregator to grid -- Tajikistan</t>
  </si>
  <si>
    <t>elcagg_won_TKM</t>
  </si>
  <si>
    <t>wind onshore aggregator to grid -- Turkmenistan</t>
  </si>
  <si>
    <t>elcagg_won_TTO</t>
  </si>
  <si>
    <t>wind onshore aggregator to grid -- Trinidad and Tobago</t>
  </si>
  <si>
    <t>elcagg_won_TUN</t>
  </si>
  <si>
    <t>wind onshore aggregator to grid -- Tunisia</t>
  </si>
  <si>
    <t>elcagg_won_TUR</t>
  </si>
  <si>
    <t>wind onshore aggregator to grid -- Turkey</t>
  </si>
  <si>
    <t>elcagg_won_TWN</t>
  </si>
  <si>
    <t>wind onshore aggregator to grid -- Taiwan</t>
  </si>
  <si>
    <t>elcagg_won_TZA</t>
  </si>
  <si>
    <t>wind onshore aggregator to grid -- Tanzania</t>
  </si>
  <si>
    <t>elcagg_won_UGA</t>
  </si>
  <si>
    <t>wind onshore aggregator to grid -- Uganda</t>
  </si>
  <si>
    <t>elcagg_won_UKR</t>
  </si>
  <si>
    <t>wind onshore aggregator to grid -- Ukraine</t>
  </si>
  <si>
    <t>elcagg_won_URY</t>
  </si>
  <si>
    <t>wind onshore aggregator to grid -- Uruguay</t>
  </si>
  <si>
    <t>elcagg_won_USA</t>
  </si>
  <si>
    <t>wind onshore aggregator to grid -- United States</t>
  </si>
  <si>
    <t>elcagg_won_UZB</t>
  </si>
  <si>
    <t>wind onshore aggregator to grid -- Uzbekistan</t>
  </si>
  <si>
    <t>elcagg_won_VEN</t>
  </si>
  <si>
    <t>wind onshore aggregator to grid -- Venezuela</t>
  </si>
  <si>
    <t>elcagg_won_VNM</t>
  </si>
  <si>
    <t>wind onshore aggregator to grid -- Vietnam</t>
  </si>
  <si>
    <t>elcagg_won_YEM</t>
  </si>
  <si>
    <t>wind onshore aggregator to grid -- Yemen</t>
  </si>
  <si>
    <t>elcagg_won_ZAF</t>
  </si>
  <si>
    <t>wind onshore aggregator to grid -- South Africa</t>
  </si>
  <si>
    <t>elcagg_won_ZMB</t>
  </si>
  <si>
    <t>wind onshore aggregator to grid -- Zambia</t>
  </si>
  <si>
    <t>elcagg_won_ZWE</t>
  </si>
  <si>
    <t>wind onshore aggregator to grid -- Zimbabwe</t>
  </si>
  <si>
    <t>en_wof_AGO_001</t>
  </si>
  <si>
    <t>wind offshore resource in near Mocamedes -- Angola</t>
  </si>
  <si>
    <t>en_wof_AGO_002</t>
  </si>
  <si>
    <t>en_wof_ALB_001</t>
  </si>
  <si>
    <t>wind offshore resource in near Vlore -- Albania</t>
  </si>
  <si>
    <t>en_wof_ALB_002</t>
  </si>
  <si>
    <t>wind offshore resource in near Durres -- Albania</t>
  </si>
  <si>
    <t>en_wof_ARE_001</t>
  </si>
  <si>
    <t>wind offshore resource in near Abu Dhabi -- United Arab Emirates</t>
  </si>
  <si>
    <t>en_wof_ARE_002</t>
  </si>
  <si>
    <t>en_wof_ARG_001</t>
  </si>
  <si>
    <t>wind offshore resource in near Rio Gallegos -- Argentina</t>
  </si>
  <si>
    <t>en_wof_ARG_002</t>
  </si>
  <si>
    <t>wind offshore resource in near Rio Grande -- Argentina</t>
  </si>
  <si>
    <t>en_wof_ARG_003</t>
  </si>
  <si>
    <t>en_wof_ARG_004</t>
  </si>
  <si>
    <t>wind offshore resource in near Necochea -- Argentina</t>
  </si>
  <si>
    <t>en_wof_ARG_005</t>
  </si>
  <si>
    <t>wind offshore resource in near Mar del Plata -- Argentina</t>
  </si>
  <si>
    <t>en_wof_ARG_006</t>
  </si>
  <si>
    <t>wind offshore resource in near Comodoro Rivadavia -- Argentina</t>
  </si>
  <si>
    <t>en_wof_ARG_007</t>
  </si>
  <si>
    <t>en_wof_ARG_008</t>
  </si>
  <si>
    <t>wind offshore resource in near Puerto Madryn -- Argentina</t>
  </si>
  <si>
    <t>en_wof_ARG_009</t>
  </si>
  <si>
    <t>en_wof_AUS_001</t>
  </si>
  <si>
    <t>wind offshore resource in near Perth -- Australia</t>
  </si>
  <si>
    <t>en_wof_AUS_002</t>
  </si>
  <si>
    <t>wind offshore resource in near Adelaide -- Australia</t>
  </si>
  <si>
    <t>en_wof_AUS_003</t>
  </si>
  <si>
    <t>wind offshore resource in Western Australia region (near Perth) -- Australia</t>
  </si>
  <si>
    <t>en_wof_AUS_004</t>
  </si>
  <si>
    <t>wind offshore resource in near Melbourne -- Australia</t>
  </si>
  <si>
    <t>en_wof_AUS_005</t>
  </si>
  <si>
    <t>en_wof_AUS_006</t>
  </si>
  <si>
    <t>en_wof_AUS_007</t>
  </si>
  <si>
    <t>wind offshore resource in near Brisbane -- Australia</t>
  </si>
  <si>
    <t>en_wof_AUS_008</t>
  </si>
  <si>
    <t>wind offshore resource in near Sydney -- Australia</t>
  </si>
  <si>
    <t>en_wof_AUS_009</t>
  </si>
  <si>
    <t>en_wof_AUS_010</t>
  </si>
  <si>
    <t>en_wof_AUS_011</t>
  </si>
  <si>
    <t>en_wof_AUS_012</t>
  </si>
  <si>
    <t>en_wof_AUS_013</t>
  </si>
  <si>
    <t>en_wof_AZE_001</t>
  </si>
  <si>
    <t>wind offshore resource in near Hovsan -- Azerbaijan</t>
  </si>
  <si>
    <t>en_wof_AZE_002</t>
  </si>
  <si>
    <t>wind offshore resource in near Xacmaz -- Azerbaijan</t>
  </si>
  <si>
    <t>en_wof_AZE_003</t>
  </si>
  <si>
    <t>en_wof_AZE_004</t>
  </si>
  <si>
    <t>wind offshore resource in near Mastaga -- Azerbaijan</t>
  </si>
  <si>
    <t>en_wof_BEN_001</t>
  </si>
  <si>
    <t>wind offshore resource in near Ekpe -- Benin</t>
  </si>
  <si>
    <t>en_wof_BEN_002</t>
  </si>
  <si>
    <t>wind offshore resource in near Ouidah -- Benin</t>
  </si>
  <si>
    <t>en_wof_BGD_001</t>
  </si>
  <si>
    <t>wind offshore resource in near Khulna -- Bangladesh</t>
  </si>
  <si>
    <t>en_wof_BGD_002</t>
  </si>
  <si>
    <t>wind offshore resource in near Chattogram -- Bangladesh</t>
  </si>
  <si>
    <t>en_wof_BGD_003</t>
  </si>
  <si>
    <t>en_wof_BGR_001</t>
  </si>
  <si>
    <t>wind offshore resource in near Dobrich -- Bulgaria</t>
  </si>
  <si>
    <t>en_wof_BGR_002</t>
  </si>
  <si>
    <t>wind offshore resource in near Burgas -- Bulgaria</t>
  </si>
  <si>
    <t>en_wof_BGR_003</t>
  </si>
  <si>
    <t>en_wof_BRA_001</t>
  </si>
  <si>
    <t>wind offshore resource in near Rio Grande -- Brazil</t>
  </si>
  <si>
    <t>en_wof_BRA_002</t>
  </si>
  <si>
    <t>wind offshore resource in near Ubatuba -- Brazil</t>
  </si>
  <si>
    <t>en_wof_BRA_003</t>
  </si>
  <si>
    <t>wind offshore resource in near Tubarao -- Brazil</t>
  </si>
  <si>
    <t>en_wof_BRA_004</t>
  </si>
  <si>
    <t>wind offshore resource in near Sao Francisco do Sul -- Brazil</t>
  </si>
  <si>
    <t>en_wof_BRA_005</t>
  </si>
  <si>
    <t>wind offshore resource in near Macapa -- Brazil</t>
  </si>
  <si>
    <t>en_wof_BRA_006</t>
  </si>
  <si>
    <t>wind offshore resource in near Sao Mateus -- Brazil</t>
  </si>
  <si>
    <t>en_wof_BRA_007</t>
  </si>
  <si>
    <t>wind offshore resource in near Macae -- Brazil</t>
  </si>
  <si>
    <t>en_wof_BRA_008</t>
  </si>
  <si>
    <t>wind offshore resource in near Viseu -- Brazil</t>
  </si>
  <si>
    <t>en_wof_BRA_009</t>
  </si>
  <si>
    <t>wind offshore resource in near Marituba -- Brazil</t>
  </si>
  <si>
    <t>en_wof_BRA_010</t>
  </si>
  <si>
    <t>wind offshore resource in near Aracati -- Brazil</t>
  </si>
  <si>
    <t>en_wof_CAN_001</t>
  </si>
  <si>
    <t>wind offshore resource in near Chicoutimi -- Canada</t>
  </si>
  <si>
    <t>en_wof_CAN_002</t>
  </si>
  <si>
    <t>wind offshore resource in near Winnipeg -- Canada</t>
  </si>
  <si>
    <t>en_wof_CAN_003</t>
  </si>
  <si>
    <t>wind offshore resource in near Thunder Bay -- Canada</t>
  </si>
  <si>
    <t>en_wof_CAN_004</t>
  </si>
  <si>
    <t>en_wof_CAN_005</t>
  </si>
  <si>
    <t>wind offshore resource in near Edmonton -- Canada</t>
  </si>
  <si>
    <t>en_wof_CAN_006</t>
  </si>
  <si>
    <t>en_wof_CAN_007</t>
  </si>
  <si>
    <t>en_wof_CAN_008</t>
  </si>
  <si>
    <t>wind offshore resource in near Saskatoon -- Canada</t>
  </si>
  <si>
    <t>en_wof_CAN_009</t>
  </si>
  <si>
    <t>en_wof_CAN_010</t>
  </si>
  <si>
    <t>en_wof_CAN_011</t>
  </si>
  <si>
    <t>en_wof_CAN_012</t>
  </si>
  <si>
    <t>en_wof_CAN_013</t>
  </si>
  <si>
    <t>en_wof_CAN_014</t>
  </si>
  <si>
    <t>en_wof_CAN_015</t>
  </si>
  <si>
    <t>en_wof_CAN_016</t>
  </si>
  <si>
    <t>wind offshore resource in near St. John's -- Canada</t>
  </si>
  <si>
    <t>en_wof_CAN_017</t>
  </si>
  <si>
    <t>en_wof_CAN_018</t>
  </si>
  <si>
    <t>en_wof_CAN_019</t>
  </si>
  <si>
    <t>wind offshore resource in near Nanaimo -- Canada</t>
  </si>
  <si>
    <t>en_wof_CAN_020</t>
  </si>
  <si>
    <t>wind offshore resource in near Moncton -- Canada</t>
  </si>
  <si>
    <t>en_wof_CAN_021</t>
  </si>
  <si>
    <t>en_wof_CAN_022</t>
  </si>
  <si>
    <t>en_wof_CHL_001</t>
  </si>
  <si>
    <t>wind offshore resource in near Puerto Montt -- Chile</t>
  </si>
  <si>
    <t>en_wof_CHL_002</t>
  </si>
  <si>
    <t>wind offshore resource in near Punta Arenas -- Chile</t>
  </si>
  <si>
    <t>en_wof_CHL_003</t>
  </si>
  <si>
    <t>en_wof_CHL_004</t>
  </si>
  <si>
    <t>en_wof_CHL_005</t>
  </si>
  <si>
    <t>wind offshore resource in near Copiapo -- Chile</t>
  </si>
  <si>
    <t>en_wof_CHL_006</t>
  </si>
  <si>
    <t>wind offshore resource in near Valparaiso -- Chile</t>
  </si>
  <si>
    <t>en_wof_CHL_007</t>
  </si>
  <si>
    <t>wind offshore resource in near Talcahuano -- Chile</t>
  </si>
  <si>
    <t>en_wof_CHL_008</t>
  </si>
  <si>
    <t>wind offshore resource in near Valdivia -- Chile</t>
  </si>
  <si>
    <t>en_wof_CHN_001</t>
  </si>
  <si>
    <t>wind offshore resource in near Haikou -- China</t>
  </si>
  <si>
    <t>en_wof_CHN_002</t>
  </si>
  <si>
    <t>wind offshore resource in near Putian -- China</t>
  </si>
  <si>
    <t>en_wof_CHN_003</t>
  </si>
  <si>
    <t>wind offshore resource in near Shanwei -- China</t>
  </si>
  <si>
    <t>en_wof_CHN_004</t>
  </si>
  <si>
    <t>en_wof_CHN_005</t>
  </si>
  <si>
    <t>en_wof_CHN_006</t>
  </si>
  <si>
    <t>en_wof_CHN_007</t>
  </si>
  <si>
    <t>wind offshore resource in near Wenzhou -- China</t>
  </si>
  <si>
    <t>en_wof_CHN_008</t>
  </si>
  <si>
    <t>wind offshore resource in near Ningbo -- China</t>
  </si>
  <si>
    <t>en_wof_CHN_009</t>
  </si>
  <si>
    <t>wind offshore resource in near Weihai -- China</t>
  </si>
  <si>
    <t>en_wof_CHN_010</t>
  </si>
  <si>
    <t>en_wof_CIV_001</t>
  </si>
  <si>
    <t>wind offshore resource in near San-Pedro -- Ivory Coast</t>
  </si>
  <si>
    <t>en_wof_CIV_002</t>
  </si>
  <si>
    <t>wind offshore resource in near Port-Bouet -- Ivory Coast</t>
  </si>
  <si>
    <t>en_wof_CIV_003</t>
  </si>
  <si>
    <t>wind offshore resource in near Divo -- Ivory Coast</t>
  </si>
  <si>
    <t>en_wof_COD_001</t>
  </si>
  <si>
    <t>wind offshore resource in Kongo Central region (near Kinshasa) -- Democratic Republic of Congo</t>
  </si>
  <si>
    <t>en_wof_COD_002</t>
  </si>
  <si>
    <t>wind offshore resource in near Kinshasa -- Democratic Republic of Congo</t>
  </si>
  <si>
    <t>en_wof_COG_001</t>
  </si>
  <si>
    <t>wind offshore resource in near Pointe-Noire -- Republic of Congo</t>
  </si>
  <si>
    <t>en_wof_COG_002</t>
  </si>
  <si>
    <t>wind offshore resource in near Tchibota -- Republic of Congo</t>
  </si>
  <si>
    <t>en_wof_COL_001</t>
  </si>
  <si>
    <t>wind offshore resource in near Cartagena -- Colombia</t>
  </si>
  <si>
    <t>en_wof_COL_002</t>
  </si>
  <si>
    <t>wind offshore resource in near Santa Marta -- Colombia</t>
  </si>
  <si>
    <t>en_wof_COL_003</t>
  </si>
  <si>
    <t>wind offshore resource in near San Andres -- Colombia</t>
  </si>
  <si>
    <t>en_wof_COL_004</t>
  </si>
  <si>
    <t>wind offshore resource in near Manaure -- Colombia</t>
  </si>
  <si>
    <t>en_wof_CRI_001</t>
  </si>
  <si>
    <t>wind offshore resource in near Liberia -- Costa Rica</t>
  </si>
  <si>
    <t>en_wof_CRI_002</t>
  </si>
  <si>
    <t>wind offshore resource in near Santa Cruz -- Costa Rica</t>
  </si>
  <si>
    <t>en_wof_CUB_001</t>
  </si>
  <si>
    <t>wind offshore resource in near Pinar del Rio -- Cuba</t>
  </si>
  <si>
    <t>en_wof_CUB_002</t>
  </si>
  <si>
    <t>wind offshore resource in near Consolacion del Sur -- Cuba</t>
  </si>
  <si>
    <t>en_wof_CUB_003</t>
  </si>
  <si>
    <t>wind offshore resource in near Havana -- Cuba</t>
  </si>
  <si>
    <t>en_wof_CUB_004</t>
  </si>
  <si>
    <t>wind offshore resource in near Vertientes -- Cuba</t>
  </si>
  <si>
    <t>en_wof_CUB_005</t>
  </si>
  <si>
    <t>wind offshore resource in near Remedios -- Cuba</t>
  </si>
  <si>
    <t>en_wof_CUB_006</t>
  </si>
  <si>
    <t>wind offshore resource in near Moa -- Cuba</t>
  </si>
  <si>
    <t>en_wof_CYP_001</t>
  </si>
  <si>
    <t>wind offshore resource in near Nicosia -- Cyprus</t>
  </si>
  <si>
    <t>en_wof_CYP_002</t>
  </si>
  <si>
    <t>wind offshore resource in near Larnaca -- Cyprus</t>
  </si>
  <si>
    <t>en_wof_CYP_003</t>
  </si>
  <si>
    <t>wind offshore resource in near Limassol -- Cyprus</t>
  </si>
  <si>
    <t>en_wof_DEU_001</t>
  </si>
  <si>
    <t>wind offshore resource in near Norden -- Germany</t>
  </si>
  <si>
    <t>en_wof_DEU_002</t>
  </si>
  <si>
    <t>wind offshore resource in near Stralsund -- Germany</t>
  </si>
  <si>
    <t>en_wof_DEU_003</t>
  </si>
  <si>
    <t>wind offshore resource in Lower Saxony region (near Itzehoe) -- Germany</t>
  </si>
  <si>
    <t>en_wof_DEU_004</t>
  </si>
  <si>
    <t>wind offshore resource in near Wismar -- Germany</t>
  </si>
  <si>
    <t>en_wof_DJI_001</t>
  </si>
  <si>
    <t>wind offshore resource in near Djibouti -- Djibouti</t>
  </si>
  <si>
    <t>en_wof_DJI_002</t>
  </si>
  <si>
    <t>wind offshore resource in Tadjourah region (near Djibouti) -- Djibouti</t>
  </si>
  <si>
    <t>en_wof_DNK_001</t>
  </si>
  <si>
    <t>wind offshore resource in near Odense -- Denmark</t>
  </si>
  <si>
    <t>en_wof_DNK_002</t>
  </si>
  <si>
    <t>wind offshore resource in near Copenhagen -- Denmark</t>
  </si>
  <si>
    <t>en_wof_DNK_003</t>
  </si>
  <si>
    <t>wind offshore resource in near Aalborg -- Denmark</t>
  </si>
  <si>
    <t>en_wof_DNK_004</t>
  </si>
  <si>
    <t>wind offshore resource in near Holstebro -- Denmark</t>
  </si>
  <si>
    <t>en_wof_DOM_001</t>
  </si>
  <si>
    <t>wind offshore resource in near Pantanal -- Dominican Republic</t>
  </si>
  <si>
    <t>en_wof_DOM_002</t>
  </si>
  <si>
    <t>wind offshore resource in near Nagua -- Dominican Republic</t>
  </si>
  <si>
    <t>en_wof_DOM_003</t>
  </si>
  <si>
    <t>wind offshore resource in near Barahona -- Dominican Republic</t>
  </si>
  <si>
    <t>en_wof_DOM_004</t>
  </si>
  <si>
    <t>wind offshore resource in near Puerto Plata -- Dominican Republic</t>
  </si>
  <si>
    <t>en_wof_DZA_001</t>
  </si>
  <si>
    <t>wind offshore resource in near Annaba -- Algeria</t>
  </si>
  <si>
    <t>en_wof_DZA_002</t>
  </si>
  <si>
    <t>wind offshore resource in near Fouka -- Algeria</t>
  </si>
  <si>
    <t>en_wof_DZA_003</t>
  </si>
  <si>
    <t>wind offshore resource in near Beni Saf -- Algeria</t>
  </si>
  <si>
    <t>en_wof_ECU_001</t>
  </si>
  <si>
    <t>wind offshore resource in near Machala -- Ecuador</t>
  </si>
  <si>
    <t>en_wof_ECU_002</t>
  </si>
  <si>
    <t>en_wof_EGY_001</t>
  </si>
  <si>
    <t>wind offshore resource in near Abu Tisht -- Egypt</t>
  </si>
  <si>
    <t>en_wof_EGY_002</t>
  </si>
  <si>
    <t>en_wof_EGY_003</t>
  </si>
  <si>
    <t>wind offshore resource in near Port Said -- Egypt</t>
  </si>
  <si>
    <t>en_wof_EGY_004</t>
  </si>
  <si>
    <t>wind offshore resource in near Alexandria -- Egypt</t>
  </si>
  <si>
    <t>en_wof_EGY_005</t>
  </si>
  <si>
    <t>en_wof_ERI_001</t>
  </si>
  <si>
    <t>wind offshore resource in near Keren -- Eritrea</t>
  </si>
  <si>
    <t>en_wof_ERI_002</t>
  </si>
  <si>
    <t>wind offshore resource in near Asmara -- Eritrea</t>
  </si>
  <si>
    <t>en_wof_ERI_003</t>
  </si>
  <si>
    <t>en_wof_ESP_001</t>
  </si>
  <si>
    <t>wind offshore resource in near Ibiza -- Spain</t>
  </si>
  <si>
    <t>en_wof_ESP_002</t>
  </si>
  <si>
    <t>wind offshore resource in near Palma -- Spain</t>
  </si>
  <si>
    <t>en_wof_ESP_003</t>
  </si>
  <si>
    <t>wind offshore resource in near Motril -- Spain</t>
  </si>
  <si>
    <t>en_wof_ESP_004</t>
  </si>
  <si>
    <t>wind offshore resource in near Cadiz -- Spain</t>
  </si>
  <si>
    <t>en_wof_ESP_005</t>
  </si>
  <si>
    <t>wind offshore resource in near Santander -- Spain</t>
  </si>
  <si>
    <t>en_wof_ESP_006</t>
  </si>
  <si>
    <t>wind offshore resource in near Figueras -- Spain</t>
  </si>
  <si>
    <t>en_wof_ESP_007</t>
  </si>
  <si>
    <t>wind offshore resource in A Coruna region (near A Coruna) -- Spain</t>
  </si>
  <si>
    <t>en_wof_EST_001</t>
  </si>
  <si>
    <t>wind offshore resource in near Tallinn -- Estonia</t>
  </si>
  <si>
    <t>en_wof_EST_002</t>
  </si>
  <si>
    <t>en_wof_EST_003</t>
  </si>
  <si>
    <t>en_wof_FIN_001</t>
  </si>
  <si>
    <t>wind offshore resource in near Vaasa -- Finland</t>
  </si>
  <si>
    <t>en_wof_FIN_002</t>
  </si>
  <si>
    <t>wind offshore resource in near Helsinki -- Finland</t>
  </si>
  <si>
    <t>en_wof_FIN_003</t>
  </si>
  <si>
    <t>wind offshore resource in near Rauma -- Finland</t>
  </si>
  <si>
    <t>en_wof_FIN_004</t>
  </si>
  <si>
    <t>wind offshore resource in near Kaarina -- Finland</t>
  </si>
  <si>
    <t>en_wof_FRA_001</t>
  </si>
  <si>
    <t>wind offshore resource in near Sete -- France</t>
  </si>
  <si>
    <t>en_wof_FRA_002</t>
  </si>
  <si>
    <t>wind offshore resource in near Bastia -- France</t>
  </si>
  <si>
    <t>en_wof_FRA_003</t>
  </si>
  <si>
    <t>wind offshore resource in near La Teste-de-Buch -- France</t>
  </si>
  <si>
    <t>en_wof_FRA_004</t>
  </si>
  <si>
    <t>wind offshore resource in near Saint-Nazaire -- France</t>
  </si>
  <si>
    <t>en_wof_FRA_005</t>
  </si>
  <si>
    <t>wind offshore resource in near Cherbourg -- France</t>
  </si>
  <si>
    <t>en_wof_FRA_006</t>
  </si>
  <si>
    <t>wind offshore resource in near Brest -- France</t>
  </si>
  <si>
    <t>en_wof_GAB_001</t>
  </si>
  <si>
    <t>wind offshore resource in near Port-Gentil -- Gabon</t>
  </si>
  <si>
    <t>en_wof_GAB_002</t>
  </si>
  <si>
    <t>en_wof_GAB_003</t>
  </si>
  <si>
    <t>wind offshore resource in Nyanga region (near Port-Gentil) -- Gabon</t>
  </si>
  <si>
    <t>en_wof_GAB_004</t>
  </si>
  <si>
    <t>en_wof_GBR_001</t>
  </si>
  <si>
    <t>wind offshore resource in near Weymouth -- United Kingdom</t>
  </si>
  <si>
    <t>en_wof_GBR_002</t>
  </si>
  <si>
    <t>wind offshore resource in near Lisburn -- United Kingdom</t>
  </si>
  <si>
    <t>en_wof_GBR_003</t>
  </si>
  <si>
    <t>wind offshore resource in near Plymouth -- United Kingdom</t>
  </si>
  <si>
    <t>en_wof_GBR_004</t>
  </si>
  <si>
    <t>wind offshore resource in near Greenock -- United Kingdom</t>
  </si>
  <si>
    <t>en_wof_GBR_005</t>
  </si>
  <si>
    <t>wind offshore resource in near Derry -- United Kingdom</t>
  </si>
  <si>
    <t>en_wof_GBR_006</t>
  </si>
  <si>
    <t>wind offshore resource in near Inverness -- United Kingdom</t>
  </si>
  <si>
    <t>en_wof_GBR_007</t>
  </si>
  <si>
    <t>en_wof_GBR_008</t>
  </si>
  <si>
    <t>wind offshore resource in near Aberdeen -- United Kingdom</t>
  </si>
  <si>
    <t>en_wof_GBR_009</t>
  </si>
  <si>
    <t>wind offshore resource in near Blyth -- United Kingdom</t>
  </si>
  <si>
    <t>en_wof_GBR_010</t>
  </si>
  <si>
    <t>en_wof_GEO_001</t>
  </si>
  <si>
    <t>wind offshore resource in near Batumi -- Georgia</t>
  </si>
  <si>
    <t>en_wof_GEO_002</t>
  </si>
  <si>
    <t>en_wof_GHA_001</t>
  </si>
  <si>
    <t>wind offshore resource in near Accra -- Ghana</t>
  </si>
  <si>
    <t>en_wof_GHA_002</t>
  </si>
  <si>
    <t>wind offshore resource in near Ashaiman -- Ghana</t>
  </si>
  <si>
    <t>en_wof_GHA_003</t>
  </si>
  <si>
    <t>en_wof_GIN_001</t>
  </si>
  <si>
    <t>wind offshore resource in near Conakry -- Guinea</t>
  </si>
  <si>
    <t>en_wof_GIN_002</t>
  </si>
  <si>
    <t>en_wof_GIN_003</t>
  </si>
  <si>
    <t>en_wof_GNB_001</t>
  </si>
  <si>
    <t>wind offshore resource in near Bissau -- Guinea-Bissau</t>
  </si>
  <si>
    <t>en_wof_GNB_002</t>
  </si>
  <si>
    <t>en_wof_GNB_003</t>
  </si>
  <si>
    <t>en_wof_GNQ_001</t>
  </si>
  <si>
    <t>wind offshore resource in near Bata -- Equatorial Guinea</t>
  </si>
  <si>
    <t>en_wof_GNQ_002</t>
  </si>
  <si>
    <t>en_wof_GNQ_003</t>
  </si>
  <si>
    <t>wind offshore resource in near Malabo -- Equatorial Guinea</t>
  </si>
  <si>
    <t>en_wof_GRC_001</t>
  </si>
  <si>
    <t>wind offshore resource in near Ioannina -- Greece</t>
  </si>
  <si>
    <t>en_wof_GRC_002</t>
  </si>
  <si>
    <t>wind offshore resource in near Kavala -- Greece</t>
  </si>
  <si>
    <t>en_wof_GRC_003</t>
  </si>
  <si>
    <t>wind offshore resource in near Pallini -- Greece</t>
  </si>
  <si>
    <t>en_wof_GRC_004</t>
  </si>
  <si>
    <t>wind offshore resource in near Chania -- Greece</t>
  </si>
  <si>
    <t>en_wof_GRC_005</t>
  </si>
  <si>
    <t>wind offshore resource in near Irakleio -- Greece</t>
  </si>
  <si>
    <t>en_wof_GRC_006</t>
  </si>
  <si>
    <t>wind offshore resource in near Rodos -- Greece</t>
  </si>
  <si>
    <t>en_wof_GTM_001</t>
  </si>
  <si>
    <t>wind offshore resource in near Chiquimulilla -- Guatemala</t>
  </si>
  <si>
    <t>en_wof_GTM_002</t>
  </si>
  <si>
    <t>wind offshore resource in Santa Rosa region (near Chiquimulilla) -- Guatemala</t>
  </si>
  <si>
    <t>en_wof_GTM_003</t>
  </si>
  <si>
    <t>wind offshore resource in Izabal region (near Livingston) -- Guatemala</t>
  </si>
  <si>
    <t>en_wof_GTM_004</t>
  </si>
  <si>
    <t>wind offshore resource in near Livingston -- Guatemala</t>
  </si>
  <si>
    <t>en_wof_GUY_001</t>
  </si>
  <si>
    <t>wind offshore resource in near Georgetown -- Guyana</t>
  </si>
  <si>
    <t>en_wof_GUY_002</t>
  </si>
  <si>
    <t>wind offshore resource in near New Amsterdam -- Guyana</t>
  </si>
  <si>
    <t>en_wof_GUY_003</t>
  </si>
  <si>
    <t>en_wof_HND_001</t>
  </si>
  <si>
    <t>wind offshore resource in near Catacamas -- Honduras</t>
  </si>
  <si>
    <t>en_wof_HND_002</t>
  </si>
  <si>
    <t>wind offshore resource in near La Ceiba -- Honduras</t>
  </si>
  <si>
    <t>en_wof_HND_003</t>
  </si>
  <si>
    <t>en_wof_HND_004</t>
  </si>
  <si>
    <t>en_wof_HRV_001</t>
  </si>
  <si>
    <t>wind offshore resource in near Pula -- Croatia</t>
  </si>
  <si>
    <t>en_wof_HRV_002</t>
  </si>
  <si>
    <t>wind offshore resource in near Dubrovnik -- Croatia</t>
  </si>
  <si>
    <t>en_wof_HRV_003</t>
  </si>
  <si>
    <t>wind offshore resource in near Zadar -- Croatia</t>
  </si>
  <si>
    <t>en_wof_HRV_004</t>
  </si>
  <si>
    <t>wind offshore resource in Split-Dalmatia region (near Split) -- Croatia</t>
  </si>
  <si>
    <t>en_wof_HRV_005</t>
  </si>
  <si>
    <t>wind offshore resource in near Kastel Stari -- Croatia</t>
  </si>
  <si>
    <t>en_wof_HTI_001</t>
  </si>
  <si>
    <t>wind offshore resource in Nord-Ouest region (near Saint-Louis du Nord) -- Haiti</t>
  </si>
  <si>
    <t>en_wof_HTI_002</t>
  </si>
  <si>
    <t>wind offshore resource in near Torbeck -- Haiti</t>
  </si>
  <si>
    <t>en_wof_IDN_001</t>
  </si>
  <si>
    <t>wind offshore resource in near Kupang -- Indonesia</t>
  </si>
  <si>
    <t>en_wof_IDN_002</t>
  </si>
  <si>
    <t>wind offshore resource in near Ambon -- Indonesia</t>
  </si>
  <si>
    <t>en_wof_IDN_003</t>
  </si>
  <si>
    <t>en_wof_IDN_004</t>
  </si>
  <si>
    <t>en_wof_IDN_005</t>
  </si>
  <si>
    <t>wind offshore resource in near Pontianak -- Indonesia</t>
  </si>
  <si>
    <t>en_wof_IDN_006</t>
  </si>
  <si>
    <t>wind offshore resource in near Banjarmasin -- Indonesia</t>
  </si>
  <si>
    <t>en_wof_IDN_007</t>
  </si>
  <si>
    <t>wind offshore resource in near Medan -- Indonesia</t>
  </si>
  <si>
    <t>en_wof_IDN_008</t>
  </si>
  <si>
    <t>wind offshore resource in near Yogyakarta -- Indonesia</t>
  </si>
  <si>
    <t>en_wof_IDN_009</t>
  </si>
  <si>
    <t>wind offshore resource in near Manado -- Indonesia</t>
  </si>
  <si>
    <t>en_wof_IDN_010</t>
  </si>
  <si>
    <t>wind offshore resource in near Bandar Lampung -- Indonesia</t>
  </si>
  <si>
    <t>en_wof_IND_001</t>
  </si>
  <si>
    <t>wind offshore resource in near Udipi -- India</t>
  </si>
  <si>
    <t>en_wof_IND_002</t>
  </si>
  <si>
    <t>wind offshore resource in near Marmagao -- India</t>
  </si>
  <si>
    <t>en_wof_IND_003</t>
  </si>
  <si>
    <t>wind offshore resource in near Mandvi -- India</t>
  </si>
  <si>
    <t>en_wof_IND_004</t>
  </si>
  <si>
    <t>wind offshore resource in near Veraval -- India</t>
  </si>
  <si>
    <t>en_wof_IND_005</t>
  </si>
  <si>
    <t>wind offshore resource in near Chidambaram -- India</t>
  </si>
  <si>
    <t>en_wof_IND_006</t>
  </si>
  <si>
    <t>wind offshore resource in near Nagercoil -- India</t>
  </si>
  <si>
    <t>en_wof_IND_007</t>
  </si>
  <si>
    <t>wind offshore resource in near Kakinada -- India</t>
  </si>
  <si>
    <t>en_wof_IND_008</t>
  </si>
  <si>
    <t>wind offshore resource in near Aul -- India</t>
  </si>
  <si>
    <t>en_wof_IRL_001</t>
  </si>
  <si>
    <t>wind offshore resource in near Douglas -- Ireland</t>
  </si>
  <si>
    <t>en_wof_IRL_002</t>
  </si>
  <si>
    <t>wind offshore resource in Kerry region (near Tralee) -- Ireland</t>
  </si>
  <si>
    <t>en_wof_IRL_003</t>
  </si>
  <si>
    <t>wind offshore resource in near Waterford -- Ireland</t>
  </si>
  <si>
    <t>en_wof_IRL_004</t>
  </si>
  <si>
    <t>wind offshore resource in near Dun Dealgan -- Ireland</t>
  </si>
  <si>
    <t>en_wof_IRL_005</t>
  </si>
  <si>
    <t>wind offshore resource in near Galway -- Ireland</t>
  </si>
  <si>
    <t>en_wof_IRL_006</t>
  </si>
  <si>
    <t>wind offshore resource in near Tralee -- Ireland</t>
  </si>
  <si>
    <t>en_wof_IRN_001</t>
  </si>
  <si>
    <t>wind offshore resource in near Bandar-e Bushehr -- Iran</t>
  </si>
  <si>
    <t>en_wof_IRN_002</t>
  </si>
  <si>
    <t>en_wof_IRN_003</t>
  </si>
  <si>
    <t>wind offshore resource in near Bandar `Abbas -- Iran</t>
  </si>
  <si>
    <t>en_wof_IRN_004</t>
  </si>
  <si>
    <t>en_wof_ITA_001</t>
  </si>
  <si>
    <t>wind offshore resource in near Ortona -- Italy</t>
  </si>
  <si>
    <t>en_wof_ITA_002</t>
  </si>
  <si>
    <t>wind offshore resource in near Ostuni -- Italy</t>
  </si>
  <si>
    <t>en_wof_ITA_003</t>
  </si>
  <si>
    <t>wind offshore resource in Olbia-Tempio region (near Olbia) -- Italy</t>
  </si>
  <si>
    <t>en_wof_ITA_004</t>
  </si>
  <si>
    <t>wind offshore resource in near Piombino -- Italy</t>
  </si>
  <si>
    <t>en_wof_ITA_005</t>
  </si>
  <si>
    <t>wind offshore resource in near Ischia -- Italy</t>
  </si>
  <si>
    <t>en_wof_ITA_006</t>
  </si>
  <si>
    <t>wind offshore resource in near Quartu Sant'Elena -- Italy</t>
  </si>
  <si>
    <t>en_wof_ITA_007</t>
  </si>
  <si>
    <t>wind offshore resource in near Licata -- Italy</t>
  </si>
  <si>
    <t>en_wof_JAM_001</t>
  </si>
  <si>
    <t>wind offshore resource in near Montego Bay -- Jamaica</t>
  </si>
  <si>
    <t>en_wof_JAM_002</t>
  </si>
  <si>
    <t>wind offshore resource in near Spanish Town -- Jamaica</t>
  </si>
  <si>
    <t>en_wof_JAM_003</t>
  </si>
  <si>
    <t>wind offshore resource in near Kingston -- Jamaica</t>
  </si>
  <si>
    <t>en_wof_JAM_004</t>
  </si>
  <si>
    <t>en_wof_JPN_001</t>
  </si>
  <si>
    <t>wind offshore resource in near Naha -- Japan</t>
  </si>
  <si>
    <t>en_wof_JPN_002</t>
  </si>
  <si>
    <t>wind offshore resource in near Okinawa -- Japan</t>
  </si>
  <si>
    <t>en_wof_JPN_003</t>
  </si>
  <si>
    <t>wind offshore resource in near Kochi -- Japan</t>
  </si>
  <si>
    <t>en_wof_JPN_004</t>
  </si>
  <si>
    <t>wind offshore resource in near Kagoshima -- Japan</t>
  </si>
  <si>
    <t>en_wof_JPN_005</t>
  </si>
  <si>
    <t>wind offshore resource in near Hakodate -- Japan</t>
  </si>
  <si>
    <t>en_wof_JPN_006</t>
  </si>
  <si>
    <t>wind offshore resource in Hokkaidō region (near Asahikawa) -- Japan</t>
  </si>
  <si>
    <t>en_wof_JPN_007</t>
  </si>
  <si>
    <t>wind offshore resource in near Niigata -- Japan</t>
  </si>
  <si>
    <t>en_wof_JPN_008</t>
  </si>
  <si>
    <t>wind offshore resource in near Izumo -- Japan</t>
  </si>
  <si>
    <t>en_wof_JPN_009</t>
  </si>
  <si>
    <t>wind offshore resource in near Yokosuka -- Japan</t>
  </si>
  <si>
    <t>en_wof_JPN_010</t>
  </si>
  <si>
    <t>wind offshore resource in near Iwata -- Japan</t>
  </si>
  <si>
    <t>en_wof_JPN_011</t>
  </si>
  <si>
    <t>wind offshore resource in near Fujita -- Japan</t>
  </si>
  <si>
    <t>en_wof_JPN_012</t>
  </si>
  <si>
    <t>wind offshore resource in near Iwaki -- Japan</t>
  </si>
  <si>
    <t>en_wof_KAZ_001</t>
  </si>
  <si>
    <t>wind offshore resource in near Zhangaozen -- Kazakhstan</t>
  </si>
  <si>
    <t>en_wof_KAZ_002</t>
  </si>
  <si>
    <t>wind offshore resource in near Aqtau -- Kazakhstan</t>
  </si>
  <si>
    <t>en_wof_KAZ_003</t>
  </si>
  <si>
    <t>en_wof_KAZ_004</t>
  </si>
  <si>
    <t>en_wof_KEN_001</t>
  </si>
  <si>
    <t>wind offshore resource in near Mombasa -- Kenya</t>
  </si>
  <si>
    <t>en_wof_KEN_002</t>
  </si>
  <si>
    <t>en_wof_KEN_003</t>
  </si>
  <si>
    <t>en_wof_KHM_001</t>
  </si>
  <si>
    <t>wind offshore resource in near Battambang -- Cambodia</t>
  </si>
  <si>
    <t>en_wof_KHM_002</t>
  </si>
  <si>
    <t>wind offshore resource in Kien Giang region (near Phnom Penh) -- Cambodia</t>
  </si>
  <si>
    <t>en_wof_KOR_001</t>
  </si>
  <si>
    <t>wind offshore resource in near Incheon -- South Korea</t>
  </si>
  <si>
    <t>en_wof_KOR_002</t>
  </si>
  <si>
    <t>wind offshore resource in near Gwangju -- South Korea</t>
  </si>
  <si>
    <t>en_wof_KOR_003</t>
  </si>
  <si>
    <t>en_wof_KOR_004</t>
  </si>
  <si>
    <t>wind offshore resource in near Busan -- South Korea</t>
  </si>
  <si>
    <t>en_wof_KOR_005</t>
  </si>
  <si>
    <t>en_wof_KOR_006</t>
  </si>
  <si>
    <t>en_wof_KOR_007</t>
  </si>
  <si>
    <t>wind offshore resource in near Ulsan -- South Korea</t>
  </si>
  <si>
    <t>en_wof_KOR_008</t>
  </si>
  <si>
    <t>wind offshore resource in near Daegu -- South Korea</t>
  </si>
  <si>
    <t>en_wof_KWT_001</t>
  </si>
  <si>
    <t>wind offshore resource in Al Jahra region (near Al Jahra') -- Kuwait</t>
  </si>
  <si>
    <t>en_wof_KWT_002</t>
  </si>
  <si>
    <t>wind offshore resource in Hawally region (near Kuwait City) -- Kuwait</t>
  </si>
  <si>
    <t>en_wof_LBN_001</t>
  </si>
  <si>
    <t>wind offshore resource in near Sidon -- Lebanon</t>
  </si>
  <si>
    <t>en_wof_LBN_002</t>
  </si>
  <si>
    <t>wind offshore resource in near Beirut -- Lebanon</t>
  </si>
  <si>
    <t>en_wof_LBN_003</t>
  </si>
  <si>
    <t>wind offshore resource in Mount Lebanon region (near Jounie) -- Lebanon</t>
  </si>
  <si>
    <t>en_wof_LBN_004</t>
  </si>
  <si>
    <t>wind offshore resource in near El Minie -- Lebanon</t>
  </si>
  <si>
    <t>en_wof_LBR_001</t>
  </si>
  <si>
    <t>wind offshore resource in near Yeebo Town -- Liberia</t>
  </si>
  <si>
    <t>en_wof_LBR_002</t>
  </si>
  <si>
    <t>wind offshore resource in near Monrovia -- Liberia</t>
  </si>
  <si>
    <t>en_wof_LBR_003</t>
  </si>
  <si>
    <t>en_wof_LBY_001</t>
  </si>
  <si>
    <t>wind offshore resource in near Tripoli -- Libya</t>
  </si>
  <si>
    <t>en_wof_LBY_002</t>
  </si>
  <si>
    <t>wind offshore resource in near Al Khums -- Libya</t>
  </si>
  <si>
    <t>en_wof_LBY_003</t>
  </si>
  <si>
    <t>wind offshore resource in near Misratah -- Libya</t>
  </si>
  <si>
    <t>en_wof_LBY_004</t>
  </si>
  <si>
    <t>wind offshore resource in near Tobruk -- Libya</t>
  </si>
  <si>
    <t>en_wof_LBY_005</t>
  </si>
  <si>
    <t>wind offshore resource in near Ajdabiya -- Libya</t>
  </si>
  <si>
    <t>en_wof_LBY_006</t>
  </si>
  <si>
    <t>wind offshore resource in near Benghazi -- Libya</t>
  </si>
  <si>
    <t>en_wof_LKA_001</t>
  </si>
  <si>
    <t>wind offshore resource in Hambantota region (near Tangalla) -- Sri Lanka</t>
  </si>
  <si>
    <t>en_wof_LKA_002</t>
  </si>
  <si>
    <t>wind offshore resource in near Jaffna -- Sri Lanka</t>
  </si>
  <si>
    <t>en_wof_LKA_003</t>
  </si>
  <si>
    <t>wind offshore resource in near Trincomalee -- Sri Lanka</t>
  </si>
  <si>
    <t>en_wof_LKA_004</t>
  </si>
  <si>
    <t>wind offshore resource in near Kalpitiya -- Sri Lanka</t>
  </si>
  <si>
    <t>en_wof_LTU_001</t>
  </si>
  <si>
    <t>wind offshore resource in near Klaipeda -- Lithuania</t>
  </si>
  <si>
    <t>en_wof_LTU_002</t>
  </si>
  <si>
    <t>en_wof_LVA_001</t>
  </si>
  <si>
    <t>wind offshore resource in near Jurmala -- Latvia</t>
  </si>
  <si>
    <t>en_wof_LVA_002</t>
  </si>
  <si>
    <t>wind offshore resource in near Liepaja -- Latvia</t>
  </si>
  <si>
    <t>en_wof_MAR_001</t>
  </si>
  <si>
    <t>wind offshore resource in near Essaouira -- Morocco</t>
  </si>
  <si>
    <t>en_wof_MAR_002</t>
  </si>
  <si>
    <t>wind offshore resource in near Tan-Tan -- Morocco</t>
  </si>
  <si>
    <t>en_wof_MAR_003</t>
  </si>
  <si>
    <t>wind offshore resource in near Beni Enzar -- Morocco</t>
  </si>
  <si>
    <t>en_wof_MAR_004</t>
  </si>
  <si>
    <t>wind offshore resource in near Larache -- Morocco</t>
  </si>
  <si>
    <t>en_wof_MAR_005</t>
  </si>
  <si>
    <t>wind offshore resource in near Dabouziya -- Morocco</t>
  </si>
  <si>
    <t>en_wof_MDG_001</t>
  </si>
  <si>
    <t>wind offshore resource in Atsimo-Andrefana region (near Morombe) -- Madagascar</t>
  </si>
  <si>
    <t>en_wof_MDG_002</t>
  </si>
  <si>
    <t>wind offshore resource in near Manompana -- Madagascar</t>
  </si>
  <si>
    <t>en_wof_MDG_003</t>
  </si>
  <si>
    <t>wind offshore resource in Diana region (near Ambilobe) -- Madagascar</t>
  </si>
  <si>
    <t>en_wof_MDG_004</t>
  </si>
  <si>
    <t>wind offshore resource in near Manambondro -- Madagascar</t>
  </si>
  <si>
    <t>en_wof_MDG_005</t>
  </si>
  <si>
    <t>wind offshore resource in near Betanty -- Madagascar</t>
  </si>
  <si>
    <t>en_wof_MEX_001</t>
  </si>
  <si>
    <t>wind offshore resource in near Ensenada -- Mexico</t>
  </si>
  <si>
    <t>en_wof_MEX_002</t>
  </si>
  <si>
    <t>wind offshore resource in near Guaymas -- Mexico</t>
  </si>
  <si>
    <t>en_wof_MEX_003</t>
  </si>
  <si>
    <t>wind offshore resource in near Hermosillo -- Mexico</t>
  </si>
  <si>
    <t>en_wof_MEX_004</t>
  </si>
  <si>
    <t>en_wof_MEX_005</t>
  </si>
  <si>
    <t>wind offshore resource in near Cancun -- Mexico</t>
  </si>
  <si>
    <t>en_wof_MEX_006</t>
  </si>
  <si>
    <t>wind offshore resource in near Merida -- Mexico</t>
  </si>
  <si>
    <t>en_wof_MEX_007</t>
  </si>
  <si>
    <t>wind offshore resource in near Ciudad Madero -- Mexico</t>
  </si>
  <si>
    <t>en_wof_MEX_008</t>
  </si>
  <si>
    <t>wind offshore resource in near Tuxtla -- Mexico</t>
  </si>
  <si>
    <t>en_wof_MEX_009</t>
  </si>
  <si>
    <t>wind offshore resource in near San Andres Tuxtla -- Mexico</t>
  </si>
  <si>
    <t>en_wof_MLT_001</t>
  </si>
  <si>
    <t>wind offshore resource in near Marsaskala -- Malta</t>
  </si>
  <si>
    <t>en_wof_MLT_002</t>
  </si>
  <si>
    <t>wind offshore resource in near Saint Paul's Bay -- Malta</t>
  </si>
  <si>
    <t>en_wof_MLT_003</t>
  </si>
  <si>
    <t>en_wof_MMR_001</t>
  </si>
  <si>
    <t>wind offshore resource in near Myeik -- Myanmar</t>
  </si>
  <si>
    <t>en_wof_MMR_002</t>
  </si>
  <si>
    <t>wind offshore resource in near Maungdaw -- Myanmar</t>
  </si>
  <si>
    <t>en_wof_MMR_003</t>
  </si>
  <si>
    <t>wind offshore resource in near Pathein -- Myanmar</t>
  </si>
  <si>
    <t>en_wof_MMR_004</t>
  </si>
  <si>
    <t>en_wof_MNE_001</t>
  </si>
  <si>
    <t>wind offshore resource in near Bar -- Montenegro</t>
  </si>
  <si>
    <t>en_wof_MNE_002</t>
  </si>
  <si>
    <t>wind offshore resource in Cetinje region (near Budva) -- Montenegro</t>
  </si>
  <si>
    <t>en_wof_MOZ_001</t>
  </si>
  <si>
    <t>wind offshore resource in near Maputo -- Mozambique</t>
  </si>
  <si>
    <t>en_wof_MOZ_002</t>
  </si>
  <si>
    <t>en_wof_MOZ_003</t>
  </si>
  <si>
    <t>wind offshore resource in near Cidade de Nacala -- Mozambique</t>
  </si>
  <si>
    <t>en_wof_MOZ_004</t>
  </si>
  <si>
    <t>wind offshore resource in near Antonio Enes -- Mozambique</t>
  </si>
  <si>
    <t>en_wof_MOZ_005</t>
  </si>
  <si>
    <t>wind offshore resource in near Beira -- Mozambique</t>
  </si>
  <si>
    <t>en_wof_MRT_001</t>
  </si>
  <si>
    <t>wind offshore resource in near Nouadhibou -- Mauritania</t>
  </si>
  <si>
    <t>en_wof_MRT_002</t>
  </si>
  <si>
    <t>wind offshore resource in near Nouakchott -- Mauritania</t>
  </si>
  <si>
    <t>en_wof_MRT_003</t>
  </si>
  <si>
    <t>wind offshore resource in near Arafat -- Mauritania</t>
  </si>
  <si>
    <t>en_wof_MRT_004</t>
  </si>
  <si>
    <t>en_wof_MYS_001</t>
  </si>
  <si>
    <t>wind offshore resource in near Kuching -- Malaysia</t>
  </si>
  <si>
    <t>en_wof_MYS_002</t>
  </si>
  <si>
    <t>wind offshore resource in near Kota Bharu -- Malaysia</t>
  </si>
  <si>
    <t>en_wof_MYS_003</t>
  </si>
  <si>
    <t>wind offshore resource in near Kota Kinabalu -- Malaysia</t>
  </si>
  <si>
    <t>en_wof_MYS_004</t>
  </si>
  <si>
    <t>en_wof_NAM_001</t>
  </si>
  <si>
    <t>wind offshore resource in near Oshakati -- Namibia</t>
  </si>
  <si>
    <t>en_wof_NAM_002</t>
  </si>
  <si>
    <t>wind offshore resource in near Walvisbaai -- Namibia</t>
  </si>
  <si>
    <t>en_wof_NAM_003</t>
  </si>
  <si>
    <t>wind offshore resource in near Swakopmund -- Namibia</t>
  </si>
  <si>
    <t>en_wof_NAM_004</t>
  </si>
  <si>
    <t>wind offshore resource in near Rehoboth -- Namibia</t>
  </si>
  <si>
    <t>en_wof_NAM_005</t>
  </si>
  <si>
    <t>en_wof_NAM_006</t>
  </si>
  <si>
    <t>en_wof_NCL_001</t>
  </si>
  <si>
    <t>wind offshore resource in near Dumbea -- New Caledonia</t>
  </si>
  <si>
    <t>en_wof_NCL_002</t>
  </si>
  <si>
    <t>wind offshore resource in near Noumea -- New Caledonia</t>
  </si>
  <si>
    <t>en_wof_NCL_003</t>
  </si>
  <si>
    <t>en_wof_NGA_001</t>
  </si>
  <si>
    <t>wind offshore resource in near Lagos -- Nigeria</t>
  </si>
  <si>
    <t>en_wof_NGA_002</t>
  </si>
  <si>
    <t>wind offshore resource in near Benin City -- Nigeria</t>
  </si>
  <si>
    <t>en_wof_NGA_003</t>
  </si>
  <si>
    <t>wind offshore resource in near Port Harcourt -- Nigeria</t>
  </si>
  <si>
    <t>en_wof_NGA_004</t>
  </si>
  <si>
    <t>en_wof_NIC_001</t>
  </si>
  <si>
    <t>wind offshore resource in near Rivas -- Nicaragua</t>
  </si>
  <si>
    <t>en_wof_NIC_002</t>
  </si>
  <si>
    <t>wind offshore resource in near San Rafael del Sur -- Nicaragua</t>
  </si>
  <si>
    <t>en_wof_NIC_003</t>
  </si>
  <si>
    <t>wind offshore resource in near Prinzapolka -- Nicaragua</t>
  </si>
  <si>
    <t>en_wof_NIC_004</t>
  </si>
  <si>
    <t>wind offshore resource in near Bilwi -- Nicaragua</t>
  </si>
  <si>
    <t>en_wof_NIC_005</t>
  </si>
  <si>
    <t>en_wof_NLD_001</t>
  </si>
  <si>
    <t>wind offshore resource in near Den Helder -- Netherlands</t>
  </si>
  <si>
    <t>en_wof_NLD_002</t>
  </si>
  <si>
    <t>wind offshore resource in near Scheveningen -- Netherlands</t>
  </si>
  <si>
    <t>en_wof_NOR_001</t>
  </si>
  <si>
    <t>wind offshore resource in near Tromso -- Norway</t>
  </si>
  <si>
    <t>en_wof_NOR_002</t>
  </si>
  <si>
    <t>wind offshore resource in Finnmark region (near Tromso) -- Norway</t>
  </si>
  <si>
    <t>en_wof_NOR_003</t>
  </si>
  <si>
    <t>en_wof_NOR_004</t>
  </si>
  <si>
    <t>en_wof_NOR_005</t>
  </si>
  <si>
    <t>wind offshore resource in near Askoy -- Norway</t>
  </si>
  <si>
    <t>en_wof_NOR_006</t>
  </si>
  <si>
    <t>wind offshore resource in near Arendal -- Norway</t>
  </si>
  <si>
    <t>en_wof_NOR_007</t>
  </si>
  <si>
    <t>wind offshore resource in near Helleland -- Norway</t>
  </si>
  <si>
    <t>en_wof_NOR_008</t>
  </si>
  <si>
    <t>wind offshore resource in near Harstad -- Norway</t>
  </si>
  <si>
    <t>en_wof_NOR_009</t>
  </si>
  <si>
    <t>wind offshore resource in near Bodo -- Norway</t>
  </si>
  <si>
    <t>en_wof_NOR_010</t>
  </si>
  <si>
    <t>wind offshore resource in near Molde -- Norway</t>
  </si>
  <si>
    <t>en_wof_NZL_001</t>
  </si>
  <si>
    <t>wind offshore resource in Northland region (near Northcote) -- New Zealand</t>
  </si>
  <si>
    <t>en_wof_NZL_002</t>
  </si>
  <si>
    <t>wind offshore resource in near Tauranga -- New Zealand</t>
  </si>
  <si>
    <t>en_wof_NZL_003</t>
  </si>
  <si>
    <t>en_wof_NZL_004</t>
  </si>
  <si>
    <t>wind offshore resource in near Hamilton -- New Zealand</t>
  </si>
  <si>
    <t>en_wof_NZL_005</t>
  </si>
  <si>
    <t>wind offshore resource in near Christchurch -- New Zealand</t>
  </si>
  <si>
    <t>en_wof_NZL_006</t>
  </si>
  <si>
    <t>en_wof_NZL_007</t>
  </si>
  <si>
    <t>en_wof_NZL_008</t>
  </si>
  <si>
    <t>en_wof_NZL_009</t>
  </si>
  <si>
    <t>en_wof_NZL_010</t>
  </si>
  <si>
    <t>wind offshore resource in near Wellington -- New Zealand</t>
  </si>
  <si>
    <t>en_wof_OMN_001</t>
  </si>
  <si>
    <t>wind offshore resource in near Salalah -- Oman</t>
  </si>
  <si>
    <t>en_wof_OMN_002</t>
  </si>
  <si>
    <t>wind offshore resource in near Bawshar -- Oman</t>
  </si>
  <si>
    <t>en_wof_OMN_003</t>
  </si>
  <si>
    <t>wind offshore resource in near Muscat -- Oman</t>
  </si>
  <si>
    <t>en_wof_OMN_004</t>
  </si>
  <si>
    <t>en_wof_PAK_001</t>
  </si>
  <si>
    <t>wind offshore resource in near Karachi -- Pakistan</t>
  </si>
  <si>
    <t>en_wof_PAK_002</t>
  </si>
  <si>
    <t>en_wof_PAK_003</t>
  </si>
  <si>
    <t>en_wof_PAN_001</t>
  </si>
  <si>
    <t>wind offshore resource in near La Chorrera -- Panama</t>
  </si>
  <si>
    <t>en_wof_PAN_002</t>
  </si>
  <si>
    <t>wind offshore resource in near Tocumen -- Panama</t>
  </si>
  <si>
    <t>en_wof_PER_001</t>
  </si>
  <si>
    <t>wind offshore resource in near Piura -- Peru</t>
  </si>
  <si>
    <t>en_wof_PER_002</t>
  </si>
  <si>
    <t>en_wof_PER_003</t>
  </si>
  <si>
    <t>wind offshore resource in near Trujillo -- Peru</t>
  </si>
  <si>
    <t>en_wof_PER_004</t>
  </si>
  <si>
    <t>wind offshore resource in near Ica -- Peru</t>
  </si>
  <si>
    <t>en_wof_PER_005</t>
  </si>
  <si>
    <t>wind offshore resource in near Chimbote -- Peru</t>
  </si>
  <si>
    <t>en_wof_PHL_001</t>
  </si>
  <si>
    <t>wind offshore resource in near Batarasa -- Philippines</t>
  </si>
  <si>
    <t>en_wof_PHL_002</t>
  </si>
  <si>
    <t>wind offshore resource in near Quezon -- Philippines</t>
  </si>
  <si>
    <t>en_wof_PHL_003</t>
  </si>
  <si>
    <t>wind offshore resource in near Taytay -- Philippines</t>
  </si>
  <si>
    <t>en_wof_PHL_004</t>
  </si>
  <si>
    <t>wind offshore resource in near Laoag -- Philippines</t>
  </si>
  <si>
    <t>en_wof_PHL_005</t>
  </si>
  <si>
    <t>wind offshore resource in near Aparri -- Philippines</t>
  </si>
  <si>
    <t>en_wof_PHL_006</t>
  </si>
  <si>
    <t>wind offshore resource in near Daet -- Philippines</t>
  </si>
  <si>
    <t>en_wof_PHL_007</t>
  </si>
  <si>
    <t>wind offshore resource in near Cawayan -- Philippines</t>
  </si>
  <si>
    <t>en_wof_PHL_008</t>
  </si>
  <si>
    <t>wind offshore resource in near San Jose -- Philippines</t>
  </si>
  <si>
    <t>en_wof_PNG_001</t>
  </si>
  <si>
    <t>wind offshore resource in near Lae -- Papua New Guinea</t>
  </si>
  <si>
    <t>en_wof_PNG_002</t>
  </si>
  <si>
    <t>wind offshore resource in near Arawa -- Papua New Guinea</t>
  </si>
  <si>
    <t>en_wof_PNG_003</t>
  </si>
  <si>
    <t>wind offshore resource in near Popondetta -- Papua New Guinea</t>
  </si>
  <si>
    <t>en_wof_PNG_004</t>
  </si>
  <si>
    <t>en_wof_PNG_005</t>
  </si>
  <si>
    <t>wind offshore resource in near Mendi -- Papua New Guinea</t>
  </si>
  <si>
    <t>en_wof_PNG_006</t>
  </si>
  <si>
    <t>wind offshore resource in near Port Moresby -- Papua New Guinea</t>
  </si>
  <si>
    <t>en_wof_POL_001</t>
  </si>
  <si>
    <t>wind offshore resource in near Gdynia -- Poland</t>
  </si>
  <si>
    <t>en_wof_POL_002</t>
  </si>
  <si>
    <t>wind offshore resource in near Wejherowo -- Poland</t>
  </si>
  <si>
    <t>en_wof_POL_003</t>
  </si>
  <si>
    <t>wind offshore resource in near Koszalin -- Poland</t>
  </si>
  <si>
    <t>en_wof_PRI_001</t>
  </si>
  <si>
    <t>wind offshore resource in near Bayamon -- Puerto Rico</t>
  </si>
  <si>
    <t>en_wof_PRI_002</t>
  </si>
  <si>
    <t>wind offshore resource in Puerto Rico region (near Carolina) -- Puerto Rico</t>
  </si>
  <si>
    <t>en_wof_PRI_003</t>
  </si>
  <si>
    <t>wind offshore resource in near Aguadilla -- Puerto Rico</t>
  </si>
  <si>
    <t>en_wof_PRI_004</t>
  </si>
  <si>
    <t>en_wof_PRK_001</t>
  </si>
  <si>
    <t>wind offshore resource in near Nampo -- Dem. People^s Rep. Korea</t>
  </si>
  <si>
    <t>en_wof_PRK_002</t>
  </si>
  <si>
    <t>wind offshore resource in near Wonsan -- Dem. People^s Rep. Korea</t>
  </si>
  <si>
    <t>en_wof_PRK_003</t>
  </si>
  <si>
    <t>wind offshore resource in near Tanch'on -- Dem. People^s Rep. Korea</t>
  </si>
  <si>
    <t>en_wof_PRT_001</t>
  </si>
  <si>
    <t>wind offshore resource in near Olhao -- Portugal</t>
  </si>
  <si>
    <t>en_wof_PRT_002</t>
  </si>
  <si>
    <t>wind offshore resource in near Figueira da Foz -- Portugal</t>
  </si>
  <si>
    <t>en_wof_PRT_003</t>
  </si>
  <si>
    <t>wind offshore resource in near Cascais -- Portugal</t>
  </si>
  <si>
    <t>en_wof_PRT_004</t>
  </si>
  <si>
    <t>wind offshore resource in near Lagos -- Portugal</t>
  </si>
  <si>
    <t>en_wof_QAT_001</t>
  </si>
  <si>
    <t>wind offshore resource in near Laqtah -- Qatar</t>
  </si>
  <si>
    <t>en_wof_QAT_002</t>
  </si>
  <si>
    <t>en_wof_RUS_001</t>
  </si>
  <si>
    <t>wind offshore resource in near Petropavlovsk-Kamchatskiy -- Russia</t>
  </si>
  <si>
    <t>en_wof_RUS_002</t>
  </si>
  <si>
    <t>en_wof_RUS_003</t>
  </si>
  <si>
    <t>wind offshore resource in near Komsomol'sk-na-Amure -- Russia</t>
  </si>
  <si>
    <t>en_wof_RUS_004</t>
  </si>
  <si>
    <t>en_wof_RUS_005</t>
  </si>
  <si>
    <t>wind offshore resource in near Yuzhno-Sakhalinsk -- Russia</t>
  </si>
  <si>
    <t>en_wof_RUS_006</t>
  </si>
  <si>
    <t>en_wof_RUS_007</t>
  </si>
  <si>
    <t>en_wof_RUS_008</t>
  </si>
  <si>
    <t>wind offshore resource in Inner Mongolia region (near Blagoveshchensk) -- Russia</t>
  </si>
  <si>
    <t>en_wof_RUS_009</t>
  </si>
  <si>
    <t>wind offshore resource in near Norilsk -- Russia</t>
  </si>
  <si>
    <t>en_wof_RUS_010</t>
  </si>
  <si>
    <t>en_wof_RUS_011</t>
  </si>
  <si>
    <t>wind offshore resource in near Murmansk -- Russia</t>
  </si>
  <si>
    <t>en_wof_RUS_012</t>
  </si>
  <si>
    <t>en_wof_RUS_013</t>
  </si>
  <si>
    <t>en_wof_RUS_014</t>
  </si>
  <si>
    <t>en_wof_RUS_015</t>
  </si>
  <si>
    <t>en_wof_RUS_016</t>
  </si>
  <si>
    <t>en_wof_SAU_001</t>
  </si>
  <si>
    <t>wind offshore resource in near At Ta'if -- Saudi Arabia</t>
  </si>
  <si>
    <t>en_wof_SAU_002</t>
  </si>
  <si>
    <t>en_wof_SAU_003</t>
  </si>
  <si>
    <t>wind offshore resource in near Al Qatif -- Saudi Arabia</t>
  </si>
  <si>
    <t>en_wof_SAU_004</t>
  </si>
  <si>
    <t>wind offshore resource in near Jeddah -- Saudi Arabia</t>
  </si>
  <si>
    <t>en_wof_SAU_005</t>
  </si>
  <si>
    <t>en_wof_SAU_006</t>
  </si>
  <si>
    <t>wind offshore resource in near Tabuk -- Saudi Arabia</t>
  </si>
  <si>
    <t>en_wof_SDN_001</t>
  </si>
  <si>
    <t>wind offshore resource in near Port Sudan -- Sudan</t>
  </si>
  <si>
    <t>en_wof_SDN_002</t>
  </si>
  <si>
    <t>en_wof_SDN_003</t>
  </si>
  <si>
    <t>en_wof_SDN_004</t>
  </si>
  <si>
    <t>en_wof_SEN_001</t>
  </si>
  <si>
    <t>wind offshore resource in near Thies -- Senegal</t>
  </si>
  <si>
    <t>en_wof_SEN_002</t>
  </si>
  <si>
    <t>wind offshore resource in near Dakar -- Senegal</t>
  </si>
  <si>
    <t>en_wof_SEN_003</t>
  </si>
  <si>
    <t>wind offshore resource in near Mbour -- Senegal</t>
  </si>
  <si>
    <t>en_wof_SGP_001</t>
  </si>
  <si>
    <t>wind offshore resource in near Singapore -- Singapore</t>
  </si>
  <si>
    <t>en_wof_SGP_002</t>
  </si>
  <si>
    <t>en_wof_SLE_001</t>
  </si>
  <si>
    <t>wind offshore resource in near Bo -- Sierra Leone</t>
  </si>
  <si>
    <t>en_wof_SLE_002</t>
  </si>
  <si>
    <t>wind offshore resource in near Freetown -- Sierra Leone</t>
  </si>
  <si>
    <t>en_wof_SLE_003</t>
  </si>
  <si>
    <t>en_wof_SLV_001</t>
  </si>
  <si>
    <t>wind offshore resource in near San Francisco Menendez -- El Salvador</t>
  </si>
  <si>
    <t>en_wof_SLV_002</t>
  </si>
  <si>
    <t>wind offshore resource in near La Union -- El Salvador</t>
  </si>
  <si>
    <t>en_wof_SOM_001</t>
  </si>
  <si>
    <t>wind offshore resource in near Berbera -- Somalia</t>
  </si>
  <si>
    <t>en_wof_SOM_002</t>
  </si>
  <si>
    <t>en_wof_SOM_003</t>
  </si>
  <si>
    <t>en_wof_SOM_004</t>
  </si>
  <si>
    <t>wind offshore resource in near Boosaaso -- Somalia</t>
  </si>
  <si>
    <t>en_wof_SOM_005</t>
  </si>
  <si>
    <t>wind offshore resource in near Gaalkacyo -- Somalia</t>
  </si>
  <si>
    <t>en_wof_SOM_006</t>
  </si>
  <si>
    <t>wind offshore resource in near Mogadishu -- Somalia</t>
  </si>
  <si>
    <t>en_wof_SUR_001</t>
  </si>
  <si>
    <t>wind offshore resource in near Paramaribo -- Suriname</t>
  </si>
  <si>
    <t>en_wof_SUR_002</t>
  </si>
  <si>
    <t>en_wof_SUR_003</t>
  </si>
  <si>
    <t>en_wof_SWE_001</t>
  </si>
  <si>
    <t>wind offshore resource in near Skelleftea -- Sweden</t>
  </si>
  <si>
    <t>en_wof_SWE_002</t>
  </si>
  <si>
    <t>wind offshore resource in near Sundsvall -- Sweden</t>
  </si>
  <si>
    <t>en_wof_SWE_003</t>
  </si>
  <si>
    <t>wind offshore resource in near Uddevalla -- Sweden</t>
  </si>
  <si>
    <t>en_wof_SWE_004</t>
  </si>
  <si>
    <t>wind offshore resource in near Lidingo -- Sweden</t>
  </si>
  <si>
    <t>en_wof_SWE_005</t>
  </si>
  <si>
    <t>wind offshore resource in near Karlskrona -- Sweden</t>
  </si>
  <si>
    <t>en_wof_SWE_006</t>
  </si>
  <si>
    <t>wind offshore resource in near Vastervik -- Sweden</t>
  </si>
  <si>
    <t>en_wof_SYR_001</t>
  </si>
  <si>
    <t>wind offshore resource in near Latakia -- Syrian Arab Republic</t>
  </si>
  <si>
    <t>en_wof_SYR_002</t>
  </si>
  <si>
    <t>wind offshore resource in Latakia region (near Jablah) -- Syrian Arab Republic</t>
  </si>
  <si>
    <t>en_wof_TGO_001</t>
  </si>
  <si>
    <t>wind offshore resource in near Lome -- Togo</t>
  </si>
  <si>
    <t>en_wof_TGO_002</t>
  </si>
  <si>
    <t>en_wof_TGO_003</t>
  </si>
  <si>
    <t>en_wof_TGO_004</t>
  </si>
  <si>
    <t>wind offshore resource in Maritime region (near Lome) -- Togo</t>
  </si>
  <si>
    <t>en_wof_THA_001</t>
  </si>
  <si>
    <t>wind offshore resource in near Phatthaya -- Thailand</t>
  </si>
  <si>
    <t>en_wof_THA_002</t>
  </si>
  <si>
    <t>wind offshore resource in near Surat Thani -- Thailand</t>
  </si>
  <si>
    <t>en_wof_THA_003</t>
  </si>
  <si>
    <t>en_wof_THA_004</t>
  </si>
  <si>
    <t>en_wof_TKM_001</t>
  </si>
  <si>
    <t>wind offshore resource in near Turkmenbasy -- Turkmenistan</t>
  </si>
  <si>
    <t>en_wof_TKM_002</t>
  </si>
  <si>
    <t>en_wof_TKM_003</t>
  </si>
  <si>
    <t>en_wof_TTO_001</t>
  </si>
  <si>
    <t>wind offshore resource in near Arima -- Trinidad and Tobago</t>
  </si>
  <si>
    <t>en_wof_TTO_002</t>
  </si>
  <si>
    <t>wind offshore resource in near Diego Martin -- Trinidad and Tobago</t>
  </si>
  <si>
    <t>en_wof_TTO_003</t>
  </si>
  <si>
    <t>en_wof_TUN_001</t>
  </si>
  <si>
    <t>wind offshore resource in near Beja -- Tunisia</t>
  </si>
  <si>
    <t>en_wof_TUN_002</t>
  </si>
  <si>
    <t>wind offshore resource in near Bizerte -- Tunisia</t>
  </si>
  <si>
    <t>en_wof_TUN_003</t>
  </si>
  <si>
    <t>wind offshore resource in near Midoun -- Tunisia</t>
  </si>
  <si>
    <t>en_wof_TUN_004</t>
  </si>
  <si>
    <t>wind offshore resource in near Monastir -- Tunisia</t>
  </si>
  <si>
    <t>en_wof_TUN_005</t>
  </si>
  <si>
    <t>wind offshore resource in near Mahdia -- Tunisia</t>
  </si>
  <si>
    <t>en_wof_TUR_001</t>
  </si>
  <si>
    <t>wind offshore resource in Tekirdağ region (near Cerkezkoy) -- Turkey</t>
  </si>
  <si>
    <t>en_wof_TUR_002</t>
  </si>
  <si>
    <t>wind offshore resource in near Bodrum -- Turkey</t>
  </si>
  <si>
    <t>en_wof_TUR_003</t>
  </si>
  <si>
    <t>wind offshore resource in İzmir region (near Cigli) -- Turkey</t>
  </si>
  <si>
    <t>en_wof_TUR_004</t>
  </si>
  <si>
    <t>wind offshore resource in near Mezitli -- Turkey</t>
  </si>
  <si>
    <t>en_wof_TUR_005</t>
  </si>
  <si>
    <t>wind offshore resource in near Samsun -- Turkey</t>
  </si>
  <si>
    <t>en_wof_TWN_001</t>
  </si>
  <si>
    <t>wind offshore resource in near Kaohsiung -- Taiwan</t>
  </si>
  <si>
    <t>en_wof_TWN_002</t>
  </si>
  <si>
    <t>wind offshore resource in near Pingtung -- Taiwan</t>
  </si>
  <si>
    <t>en_wof_TWN_003</t>
  </si>
  <si>
    <t>wind offshore resource in near Taitung -- Taiwan</t>
  </si>
  <si>
    <t>en_wof_TWN_004</t>
  </si>
  <si>
    <t>wind offshore resource in near Changhua -- Taiwan</t>
  </si>
  <si>
    <t>en_wof_TWN_005</t>
  </si>
  <si>
    <t>wind offshore resource in near Keelung -- Taiwan</t>
  </si>
  <si>
    <t>en_wof_TWN_006</t>
  </si>
  <si>
    <t>wind offshore resource in near Tainan -- Taiwan</t>
  </si>
  <si>
    <t>en_wof_TZA_001</t>
  </si>
  <si>
    <t>wind offshore resource in near Dar es Salaam -- Tanzania</t>
  </si>
  <si>
    <t>en_wof_TZA_002</t>
  </si>
  <si>
    <t>wind offshore resource in near Tanga -- Tanzania</t>
  </si>
  <si>
    <t>en_wof_TZA_003</t>
  </si>
  <si>
    <t>en_wof_UKR_001</t>
  </si>
  <si>
    <t>wind offshore resource in near Yevpatoriia -- Ukraine</t>
  </si>
  <si>
    <t>en_wof_UKR_002</t>
  </si>
  <si>
    <t>wind offshore resource in near Yalta -- Ukraine</t>
  </si>
  <si>
    <t>en_wof_UKR_003</t>
  </si>
  <si>
    <t>wind offshore resource in near Fedosiia -- Ukraine</t>
  </si>
  <si>
    <t>en_wof_URY_001</t>
  </si>
  <si>
    <t>wind offshore resource in near Maldonado -- Uruguay</t>
  </si>
  <si>
    <t>en_wof_URY_002</t>
  </si>
  <si>
    <t>en_wof_URY_003</t>
  </si>
  <si>
    <t>en_wof_USA_001</t>
  </si>
  <si>
    <t>wind offshore resource in Michigan region (near Duluth) -- United States</t>
  </si>
  <si>
    <t>en_wof_USA_002</t>
  </si>
  <si>
    <t>wind offshore resource in Michigan region (near Green Bay) -- United States</t>
  </si>
  <si>
    <t>en_wof_USA_003</t>
  </si>
  <si>
    <t>wind offshore resource in near Port Arthur -- United States</t>
  </si>
  <si>
    <t>en_wof_USA_004</t>
  </si>
  <si>
    <t>wind offshore resource in Kentucky region (near Knoxville) -- United States</t>
  </si>
  <si>
    <t>en_wof_USA_005</t>
  </si>
  <si>
    <t>wind offshore resource in New York region (near Greece) -- United States</t>
  </si>
  <si>
    <t>en_wof_USA_006</t>
  </si>
  <si>
    <t>wind offshore resource in near Quincy -- United States</t>
  </si>
  <si>
    <t>en_wof_VEN_001</t>
  </si>
  <si>
    <t>wind offshore resource in near Coro -- Venezuela</t>
  </si>
  <si>
    <t>en_wof_VEN_002</t>
  </si>
  <si>
    <t>wind offshore resource in near Catia La Mar -- Venezuela</t>
  </si>
  <si>
    <t>en_wof_VEN_003</t>
  </si>
  <si>
    <t>wind offshore resource in near Puerto La Cruz -- Venezuela</t>
  </si>
  <si>
    <t>en_wof_VEN_004</t>
  </si>
  <si>
    <t>wind offshore resource in near Carupano -- Venezuela</t>
  </si>
  <si>
    <t>en_wof_VEN_005</t>
  </si>
  <si>
    <t>wind offshore resource in near Ciudad Guayana -- Venezuela</t>
  </si>
  <si>
    <t>en_wof_VEN_006</t>
  </si>
  <si>
    <t>en_wof_VNM_001</t>
  </si>
  <si>
    <t>wind offshore resource in near Rach Gia -- Vietnam</t>
  </si>
  <si>
    <t>en_wof_VNM_002</t>
  </si>
  <si>
    <t>wind offshore resource in near Nha Trang -- Vietnam</t>
  </si>
  <si>
    <t>en_wof_VNM_003</t>
  </si>
  <si>
    <t>wind offshore resource in near Vung Tau -- Vietnam</t>
  </si>
  <si>
    <t>en_wof_VNM_004</t>
  </si>
  <si>
    <t>wind offshore resource in near Tuy Hoa -- Vietnam</t>
  </si>
  <si>
    <t>en_wof_VNM_005</t>
  </si>
  <si>
    <t>wind offshore resource in near Quang Ngai -- Vietnam</t>
  </si>
  <si>
    <t>en_wof_VNM_006</t>
  </si>
  <si>
    <t>wind offshore resource in near Hue -- Vietnam</t>
  </si>
  <si>
    <t>en_wof_VNM_007</t>
  </si>
  <si>
    <t>wind offshore resource in near Nghi Son -- Vietnam</t>
  </si>
  <si>
    <t>en_wof_VNM_008</t>
  </si>
  <si>
    <t>en_wof_YEM_001</t>
  </si>
  <si>
    <t>wind offshore resource in near Al Hudaydah -- Yemen</t>
  </si>
  <si>
    <t>en_wof_YEM_002</t>
  </si>
  <si>
    <t>en_wof_YEM_003</t>
  </si>
  <si>
    <t>wind offshore resource in near Aden -- Yemen</t>
  </si>
  <si>
    <t>en_wof_YEM_004</t>
  </si>
  <si>
    <t>wind offshore resource in near Al Mukalla -- Yemen</t>
  </si>
  <si>
    <t>en_wof_YEM_005</t>
  </si>
  <si>
    <t>en_wof_ZAF_001</t>
  </si>
  <si>
    <t>wind offshore resource in near Cape Town -- South Africa</t>
  </si>
  <si>
    <t>en_wof_ZAF_002</t>
  </si>
  <si>
    <t>en_wof_ZAF_003</t>
  </si>
  <si>
    <t>wind offshore resource in near East London -- South Africa</t>
  </si>
  <si>
    <t>en_wof_ZAF_004</t>
  </si>
  <si>
    <t>wind offshore resource in near Nqutu -- South Africa</t>
  </si>
  <si>
    <t>en_wof_ZAF_005</t>
  </si>
  <si>
    <t>wind offshore resource in near Khayelitsha -- South Africa</t>
  </si>
  <si>
    <t>en_wof_ZAF_006</t>
  </si>
  <si>
    <t>wind offshore resource in near Gqeberha -- South Africa</t>
  </si>
  <si>
    <t>en_wof_ZAF_007</t>
  </si>
  <si>
    <t>wind offshore resource in near Bethelsdorp -- South Africa</t>
  </si>
  <si>
    <t>elc_wof_AGO_001</t>
  </si>
  <si>
    <t>elc_wof_AGO_002</t>
  </si>
  <si>
    <t>elc_wof_ALB_001</t>
  </si>
  <si>
    <t>elc_wof_ALB_002</t>
  </si>
  <si>
    <t>elc_wof_ARE_001</t>
  </si>
  <si>
    <t>elc_wof_ARE_002</t>
  </si>
  <si>
    <t>elc_wof_ARG_001</t>
  </si>
  <si>
    <t>elc_wof_ARG_002</t>
  </si>
  <si>
    <t>elc_wof_ARG_003</t>
  </si>
  <si>
    <t>elc_wof_ARG_004</t>
  </si>
  <si>
    <t>elc_wof_ARG_005</t>
  </si>
  <si>
    <t>elc_wof_ARG_006</t>
  </si>
  <si>
    <t>elc_wof_ARG_007</t>
  </si>
  <si>
    <t>elc_wof_ARG_008</t>
  </si>
  <si>
    <t>elc_wof_ARG_009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</si>
  <si>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</si>
  <si>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</si>
  <si>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</si>
  <si>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</si>
  <si>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</si>
  <si>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</si>
  <si>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</si>
  <si>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</si>
  <si>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</si>
  <si>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</si>
  <si>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</si>
  <si>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</si>
  <si>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</si>
  <si>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elc_wof_AZE_001</t>
  </si>
  <si>
    <t>elc_wof_AZE_002</t>
  </si>
  <si>
    <t>elc_wof_AZE_003</t>
  </si>
  <si>
    <t>elc_wof_AZE_004</t>
  </si>
  <si>
    <t>elc_wof_BEN_001</t>
  </si>
  <si>
    <t>elc_wof_BEN_002</t>
  </si>
  <si>
    <t>elc_wof_BGD_001</t>
  </si>
  <si>
    <t>elc_wof_BGD_002</t>
  </si>
  <si>
    <t>elc_wof_BGD_003</t>
  </si>
  <si>
    <t>elc_wof_BGR_001</t>
  </si>
  <si>
    <t>elc_wof_BGR_002</t>
  </si>
  <si>
    <t>elc_wof_BGR_003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</si>
  <si>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</si>
  <si>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</si>
  <si>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</si>
  <si>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</si>
  <si>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</si>
  <si>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</si>
  <si>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</si>
  <si>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</si>
  <si>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</si>
  <si>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</si>
  <si>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elc_wof_CAN_001</t>
  </si>
  <si>
    <t>elc_wof_CAN_002</t>
  </si>
  <si>
    <t>elc_wof_CAN_003</t>
  </si>
  <si>
    <t>elc_wof_CAN_004</t>
  </si>
  <si>
    <t>elc_wof_CAN_005</t>
  </si>
  <si>
    <t>elc_wof_CAN_006</t>
  </si>
  <si>
    <t>elc_wof_CAN_007</t>
  </si>
  <si>
    <t>elc_wof_CAN_008</t>
  </si>
  <si>
    <t>elc_wof_CAN_009</t>
  </si>
  <si>
    <t>elc_wof_CAN_010</t>
  </si>
  <si>
    <t>elc_wof_CAN_011</t>
  </si>
  <si>
    <t>elc_wof_CAN_012</t>
  </si>
  <si>
    <t>elc_wof_CAN_013</t>
  </si>
  <si>
    <t>elc_wof_CAN_014</t>
  </si>
  <si>
    <t>elc_wof_CAN_015</t>
  </si>
  <si>
    <t>elc_wof_CAN_016</t>
  </si>
  <si>
    <t>elc_wof_CAN_017</t>
  </si>
  <si>
    <t>elc_wof_CAN_018</t>
  </si>
  <si>
    <t>elc_wof_CAN_019</t>
  </si>
  <si>
    <t>elc_wof_CAN_020</t>
  </si>
  <si>
    <t>elc_wof_CAN_021</t>
  </si>
  <si>
    <t>elc_wof_CAN_022</t>
  </si>
  <si>
    <t>elc_wof_CHL_001</t>
  </si>
  <si>
    <t>elc_wof_CHL_002</t>
  </si>
  <si>
    <t>elc_wof_CHL_003</t>
  </si>
  <si>
    <t>elc_wof_CHL_004</t>
  </si>
  <si>
    <t>elc_wof_CHL_005</t>
  </si>
  <si>
    <t>elc_wof_CHL_006</t>
  </si>
  <si>
    <t>elc_wof_CHL_007</t>
  </si>
  <si>
    <t>elc_wof_CHL_008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</si>
  <si>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</si>
  <si>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</si>
  <si>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</si>
  <si>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</si>
  <si>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</si>
  <si>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</si>
  <si>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</si>
  <si>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</si>
  <si>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</si>
  <si>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</si>
  <si>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elc_wof_CIV_001</t>
  </si>
  <si>
    <t>elc_wof_CIV_002</t>
  </si>
  <si>
    <t>elc_wof_CIV_003</t>
  </si>
  <si>
    <t>elc_wof_COD_001</t>
  </si>
  <si>
    <t>elc_wof_COD_002</t>
  </si>
  <si>
    <t>elc_wof_COG_001</t>
  </si>
  <si>
    <t>elc_wof_COG_002</t>
  </si>
  <si>
    <t>elc_wof_COL_001</t>
  </si>
  <si>
    <t>elc_wof_COL_002</t>
  </si>
  <si>
    <t>elc_wof_COL_003</t>
  </si>
  <si>
    <t>elc_wof_COL_004</t>
  </si>
  <si>
    <t>elc_wof_CRI_001</t>
  </si>
  <si>
    <t>elc_wof_CRI_002</t>
  </si>
  <si>
    <t>elc_wof_CUB_001</t>
  </si>
  <si>
    <t>elc_wof_CUB_002</t>
  </si>
  <si>
    <t>elc_wof_CUB_003</t>
  </si>
  <si>
    <t>elc_wof_CUB_004</t>
  </si>
  <si>
    <t>elc_wof_CUB_005</t>
  </si>
  <si>
    <t>elc_wof_CUB_006</t>
  </si>
  <si>
    <t>elc_wof_CYP_001</t>
  </si>
  <si>
    <t>elc_wof_CYP_002</t>
  </si>
  <si>
    <t>elc_wof_CYP_003</t>
  </si>
  <si>
    <t>elc_wof_DEU_001</t>
  </si>
  <si>
    <t>elc_wof_DEU_002</t>
  </si>
  <si>
    <t>elc_wof_DEU_003</t>
  </si>
  <si>
    <t>elc_wof_DEU_004</t>
  </si>
  <si>
    <t>elc_wof_DJI_001</t>
  </si>
  <si>
    <t>elc_wof_DJI_002</t>
  </si>
  <si>
    <t>elc_wof_DNK_001</t>
  </si>
  <si>
    <t>elc_wof_DNK_002</t>
  </si>
  <si>
    <t>elc_wof_DNK_003</t>
  </si>
  <si>
    <t>elc_wof_DNK_004</t>
  </si>
  <si>
    <t>elc_wof_DOM_001</t>
  </si>
  <si>
    <t>elc_wof_DOM_002</t>
  </si>
  <si>
    <t>elc_wof_DOM_003</t>
  </si>
  <si>
    <t>elc_wof_DOM_004</t>
  </si>
  <si>
    <t>elc_wof_DZA_001</t>
  </si>
  <si>
    <t>elc_wof_DZA_002</t>
  </si>
  <si>
    <t>elc_wof_DZA_003</t>
  </si>
  <si>
    <t>elc_wof_ECU_001</t>
  </si>
  <si>
    <t>elc_wof_ECU_002</t>
  </si>
  <si>
    <t>elc_wof_EGY_001</t>
  </si>
  <si>
    <t>elc_wof_EGY_002</t>
  </si>
  <si>
    <t>elc_wof_EGY_003</t>
  </si>
  <si>
    <t>elc_wof_EGY_004</t>
  </si>
  <si>
    <t>elc_wof_EGY_005</t>
  </si>
  <si>
    <t>elc_wof_ERI_001</t>
  </si>
  <si>
    <t>elc_wof_ERI_002</t>
  </si>
  <si>
    <t>elc_wof_ERI_003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</si>
  <si>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</si>
  <si>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</si>
  <si>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</si>
  <si>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</si>
  <si>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</si>
  <si>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</si>
  <si>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</si>
  <si>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elc_wof_EST_001</t>
  </si>
  <si>
    <t>elc_wof_EST_002</t>
  </si>
  <si>
    <t>elc_wof_EST_003</t>
  </si>
  <si>
    <t>elc_wof_FIN_001</t>
  </si>
  <si>
    <t>elc_wof_FIN_002</t>
  </si>
  <si>
    <t>elc_wof_FIN_003</t>
  </si>
  <si>
    <t>elc_wof_FIN_004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</si>
  <si>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</si>
  <si>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</si>
  <si>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</si>
  <si>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</si>
  <si>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</si>
  <si>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</si>
  <si>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elc_wof_GAB_001</t>
  </si>
  <si>
    <t>elc_wof_GAB_002</t>
  </si>
  <si>
    <t>elc_wof_GAB_003</t>
  </si>
  <si>
    <t>elc_wof_GAB_004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</si>
  <si>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</si>
  <si>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</si>
  <si>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</si>
  <si>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</si>
  <si>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</si>
  <si>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</si>
  <si>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</si>
  <si>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</si>
  <si>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</si>
  <si>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</si>
  <si>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elc_wof_GEO_001</t>
  </si>
  <si>
    <t>elc_wof_GEO_002</t>
  </si>
  <si>
    <t>elc_wof_GHA_001</t>
  </si>
  <si>
    <t>elc_wof_GHA_002</t>
  </si>
  <si>
    <t>elc_wof_GHA_003</t>
  </si>
  <si>
    <t>elc_wof_GIN_001</t>
  </si>
  <si>
    <t>elc_wof_GIN_002</t>
  </si>
  <si>
    <t>elc_wof_GIN_003</t>
  </si>
  <si>
    <t>elc_wof_GNB_001</t>
  </si>
  <si>
    <t>elc_wof_GNB_002</t>
  </si>
  <si>
    <t>elc_wof_GNB_003</t>
  </si>
  <si>
    <t>elc_wof_GNQ_001</t>
  </si>
  <si>
    <t>elc_wof_GNQ_002</t>
  </si>
  <si>
    <t>elc_wof_GNQ_003</t>
  </si>
  <si>
    <t>elc_wof_GRC_001</t>
  </si>
  <si>
    <t>elc_wof_GRC_002</t>
  </si>
  <si>
    <t>elc_wof_GRC_003</t>
  </si>
  <si>
    <t>elc_wof_GRC_004</t>
  </si>
  <si>
    <t>elc_wof_GRC_005</t>
  </si>
  <si>
    <t>elc_wof_GRC_006</t>
  </si>
  <si>
    <t>elc_wof_GTM_001</t>
  </si>
  <si>
    <t>elc_wof_GTM_002</t>
  </si>
  <si>
    <t>elc_wof_GTM_003</t>
  </si>
  <si>
    <t>elc_wof_GTM_004</t>
  </si>
  <si>
    <t>elc_wof_GUY_001</t>
  </si>
  <si>
    <t>elc_wof_GUY_002</t>
  </si>
  <si>
    <t>elc_wof_GUY_003</t>
  </si>
  <si>
    <t>elc_wof_HND_001</t>
  </si>
  <si>
    <t>elc_wof_HND_002</t>
  </si>
  <si>
    <t>elc_wof_HND_003</t>
  </si>
  <si>
    <t>elc_wof_HND_004</t>
  </si>
  <si>
    <t>elc_wof_HRV_001</t>
  </si>
  <si>
    <t>elc_wof_HRV_002</t>
  </si>
  <si>
    <t>elc_wof_HRV_003</t>
  </si>
  <si>
    <t>elc_wof_HRV_004</t>
  </si>
  <si>
    <t>elc_wof_HRV_005</t>
  </si>
  <si>
    <t>elc_wof_HTI_001</t>
  </si>
  <si>
    <t>elc_wof_HTI_002</t>
  </si>
  <si>
    <t>elc_wof_IDN_001</t>
  </si>
  <si>
    <t>elc_wof_IDN_002</t>
  </si>
  <si>
    <t>elc_wof_IDN_003</t>
  </si>
  <si>
    <t>elc_wof_IDN_004</t>
  </si>
  <si>
    <t>elc_wof_IDN_005</t>
  </si>
  <si>
    <t>elc_wof_IDN_006</t>
  </si>
  <si>
    <t>elc_wof_IDN_007</t>
  </si>
  <si>
    <t>elc_wof_IDN_008</t>
  </si>
  <si>
    <t>elc_wof_IDN_009</t>
  </si>
  <si>
    <t>elc_wof_IDN_010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</si>
  <si>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</si>
  <si>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</si>
  <si>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</si>
  <si>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</si>
  <si>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</si>
  <si>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</si>
  <si>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</si>
  <si>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</si>
  <si>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</si>
  <si>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</si>
  <si>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</si>
  <si>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</si>
  <si>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</si>
  <si>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</si>
  <si>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elc_wof_IRN_001</t>
  </si>
  <si>
    <t>elc_wof_IRN_002</t>
  </si>
  <si>
    <t>elc_wof_IRN_003</t>
  </si>
  <si>
    <t>elc_wof_IRN_004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</si>
  <si>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</si>
  <si>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</si>
  <si>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</si>
  <si>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</si>
  <si>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</si>
  <si>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</si>
  <si>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</si>
  <si>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elc_wof_JAM_001</t>
  </si>
  <si>
    <t>elc_wof_JAM_002</t>
  </si>
  <si>
    <t>elc_wof_JAM_003</t>
  </si>
  <si>
    <t>elc_wof_JAM_004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</si>
  <si>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</si>
  <si>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</si>
  <si>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</si>
  <si>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</si>
  <si>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</si>
  <si>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</si>
  <si>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</si>
  <si>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</si>
  <si>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</si>
  <si>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</si>
  <si>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</si>
  <si>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</si>
  <si>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elc_wof_KAZ_001</t>
  </si>
  <si>
    <t>elc_wof_KAZ_002</t>
  </si>
  <si>
    <t>elc_wof_KAZ_003</t>
  </si>
  <si>
    <t>elc_wof_KAZ_004</t>
  </si>
  <si>
    <t>elc_wof_KEN_001</t>
  </si>
  <si>
    <t>elc_wof_KEN_002</t>
  </si>
  <si>
    <t>elc_wof_KEN_003</t>
  </si>
  <si>
    <t>elc_wof_KHM_001</t>
  </si>
  <si>
    <t>elc_wof_KHM_002</t>
  </si>
  <si>
    <t>elc_wof_KOR_001</t>
  </si>
  <si>
    <t>elc_wof_KOR_002</t>
  </si>
  <si>
    <t>elc_wof_KOR_003</t>
  </si>
  <si>
    <t>elc_wof_KOR_004</t>
  </si>
  <si>
    <t>elc_wof_KOR_005</t>
  </si>
  <si>
    <t>elc_wof_KOR_006</t>
  </si>
  <si>
    <t>elc_wof_KOR_007</t>
  </si>
  <si>
    <t>elc_wof_KOR_008</t>
  </si>
  <si>
    <t>elc_wof_KWT_001</t>
  </si>
  <si>
    <t>elc_wof_KWT_002</t>
  </si>
  <si>
    <t>elc_wof_LBN_001</t>
  </si>
  <si>
    <t>elc_wof_LBN_002</t>
  </si>
  <si>
    <t>elc_wof_LBN_003</t>
  </si>
  <si>
    <t>elc_wof_LBN_004</t>
  </si>
  <si>
    <t>elc_wof_LBR_001</t>
  </si>
  <si>
    <t>elc_wof_LBR_002</t>
  </si>
  <si>
    <t>elc_wof_LBR_003</t>
  </si>
  <si>
    <t>elc_wof_LBY_001</t>
  </si>
  <si>
    <t>elc_wof_LBY_002</t>
  </si>
  <si>
    <t>elc_wof_LBY_003</t>
  </si>
  <si>
    <t>elc_wof_LBY_004</t>
  </si>
  <si>
    <t>elc_wof_LBY_005</t>
  </si>
  <si>
    <t>elc_wof_LBY_006</t>
  </si>
  <si>
    <t>elc_wof_LKA_001</t>
  </si>
  <si>
    <t>elc_wof_LKA_002</t>
  </si>
  <si>
    <t>elc_wof_LKA_003</t>
  </si>
  <si>
    <t>elc_wof_LKA_004</t>
  </si>
  <si>
    <t>elc_wof_LTU_001</t>
  </si>
  <si>
    <t>elc_wof_LTU_002</t>
  </si>
  <si>
    <t>elc_wof_LVA_001</t>
  </si>
  <si>
    <t>elc_wof_LVA_002</t>
  </si>
  <si>
    <t>elc_wof_MAR_001</t>
  </si>
  <si>
    <t>elc_wof_MAR_002</t>
  </si>
  <si>
    <t>elc_wof_MAR_003</t>
  </si>
  <si>
    <t>elc_wof_MAR_004</t>
  </si>
  <si>
    <t>elc_wof_MAR_005</t>
  </si>
  <si>
    <t>elc_wof_MDG_001</t>
  </si>
  <si>
    <t>elc_wof_MDG_002</t>
  </si>
  <si>
    <t>elc_wof_MDG_003</t>
  </si>
  <si>
    <t>elc_wof_MDG_004</t>
  </si>
  <si>
    <t>elc_wof_MDG_005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</si>
  <si>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</si>
  <si>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</si>
  <si>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</si>
  <si>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</si>
  <si>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</si>
  <si>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</si>
  <si>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</si>
  <si>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</si>
  <si>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</si>
  <si>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elc_wof_MLT_001</t>
  </si>
  <si>
    <t>elc_wof_MLT_002</t>
  </si>
  <si>
    <t>elc_wof_MLT_003</t>
  </si>
  <si>
    <t>elc_wof_MMR_001</t>
  </si>
  <si>
    <t>elc_wof_MMR_002</t>
  </si>
  <si>
    <t>elc_wof_MMR_003</t>
  </si>
  <si>
    <t>elc_wof_MMR_004</t>
  </si>
  <si>
    <t>elc_wof_MNE_001</t>
  </si>
  <si>
    <t>elc_wof_MNE_002</t>
  </si>
  <si>
    <t>elc_wof_MOZ_001</t>
  </si>
  <si>
    <t>elc_wof_MOZ_002</t>
  </si>
  <si>
    <t>elc_wof_MOZ_003</t>
  </si>
  <si>
    <t>elc_wof_MOZ_004</t>
  </si>
  <si>
    <t>elc_wof_MOZ_005</t>
  </si>
  <si>
    <t>elc_wof_MRT_001</t>
  </si>
  <si>
    <t>elc_wof_MRT_002</t>
  </si>
  <si>
    <t>elc_wof_MRT_003</t>
  </si>
  <si>
    <t>elc_wof_MRT_004</t>
  </si>
  <si>
    <t>elc_wof_MYS_001</t>
  </si>
  <si>
    <t>elc_wof_MYS_002</t>
  </si>
  <si>
    <t>elc_wof_MYS_003</t>
  </si>
  <si>
    <t>elc_wof_MYS_004</t>
  </si>
  <si>
    <t>elc_wof_NAM_001</t>
  </si>
  <si>
    <t>elc_wof_NAM_002</t>
  </si>
  <si>
    <t>elc_wof_NAM_003</t>
  </si>
  <si>
    <t>elc_wof_NAM_004</t>
  </si>
  <si>
    <t>elc_wof_NAM_005</t>
  </si>
  <si>
    <t>elc_wof_NAM_006</t>
  </si>
  <si>
    <t>elc_wof_NCL_001</t>
  </si>
  <si>
    <t>elc_wof_NCL_002</t>
  </si>
  <si>
    <t>elc_wof_NCL_003</t>
  </si>
  <si>
    <t>elc_wof_NGA_001</t>
  </si>
  <si>
    <t>elc_wof_NGA_002</t>
  </si>
  <si>
    <t>elc_wof_NGA_003</t>
  </si>
  <si>
    <t>elc_wof_NGA_004</t>
  </si>
  <si>
    <t>elc_wof_NIC_001</t>
  </si>
  <si>
    <t>elc_wof_NIC_002</t>
  </si>
  <si>
    <t>elc_wof_NIC_003</t>
  </si>
  <si>
    <t>elc_wof_NIC_004</t>
  </si>
  <si>
    <t>elc_wof_NIC_005</t>
  </si>
  <si>
    <t>elc_wof_NLD_001</t>
  </si>
  <si>
    <t>elc_wof_NLD_002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</si>
  <si>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</si>
  <si>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</si>
  <si>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</si>
  <si>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</si>
  <si>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</si>
  <si>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</si>
  <si>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</si>
  <si>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</si>
  <si>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</si>
  <si>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</si>
  <si>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elc_wof_NZL_001</t>
  </si>
  <si>
    <t>elc_wof_NZL_002</t>
  </si>
  <si>
    <t>elc_wof_NZL_003</t>
  </si>
  <si>
    <t>elc_wof_NZL_004</t>
  </si>
  <si>
    <t>elc_wof_NZL_005</t>
  </si>
  <si>
    <t>elc_wof_NZL_006</t>
  </si>
  <si>
    <t>elc_wof_NZL_007</t>
  </si>
  <si>
    <t>elc_wof_NZL_008</t>
  </si>
  <si>
    <t>elc_wof_NZL_009</t>
  </si>
  <si>
    <t>elc_wof_NZL_010</t>
  </si>
  <si>
    <t>elc_wof_OMN_001</t>
  </si>
  <si>
    <t>elc_wof_OMN_002</t>
  </si>
  <si>
    <t>elc_wof_OMN_003</t>
  </si>
  <si>
    <t>elc_wof_OMN_004</t>
  </si>
  <si>
    <t>elc_wof_PAK_001</t>
  </si>
  <si>
    <t>elc_wof_PAK_002</t>
  </si>
  <si>
    <t>elc_wof_PAK_003</t>
  </si>
  <si>
    <t>elc_wof_PAN_001</t>
  </si>
  <si>
    <t>elc_wof_PAN_002</t>
  </si>
  <si>
    <t>elc_wof_PER_001</t>
  </si>
  <si>
    <t>elc_wof_PER_002</t>
  </si>
  <si>
    <t>elc_wof_PER_003</t>
  </si>
  <si>
    <t>elc_wof_PER_004</t>
  </si>
  <si>
    <t>elc_wof_PER_005</t>
  </si>
  <si>
    <t>elc_wof_PHL_001</t>
  </si>
  <si>
    <t>elc_wof_PHL_002</t>
  </si>
  <si>
    <t>elc_wof_PHL_003</t>
  </si>
  <si>
    <t>elc_wof_PHL_004</t>
  </si>
  <si>
    <t>elc_wof_PHL_005</t>
  </si>
  <si>
    <t>elc_wof_PHL_006</t>
  </si>
  <si>
    <t>elc_wof_PHL_007</t>
  </si>
  <si>
    <t>elc_wof_PHL_008</t>
  </si>
  <si>
    <t>elc_wof_PNG_001</t>
  </si>
  <si>
    <t>elc_wof_PNG_002</t>
  </si>
  <si>
    <t>elc_wof_PNG_003</t>
  </si>
  <si>
    <t>elc_wof_PNG_004</t>
  </si>
  <si>
    <t>elc_wof_PNG_005</t>
  </si>
  <si>
    <t>elc_wof_PNG_006</t>
  </si>
  <si>
    <t>elc_wof_POL_001</t>
  </si>
  <si>
    <t>elc_wof_POL_002</t>
  </si>
  <si>
    <t>elc_wof_POL_003</t>
  </si>
  <si>
    <t>elc_wof_PRI_001</t>
  </si>
  <si>
    <t>elc_wof_PRI_002</t>
  </si>
  <si>
    <t>elc_wof_PRI_003</t>
  </si>
  <si>
    <t>elc_wof_PRI_004</t>
  </si>
  <si>
    <t>elc_wof_PRK_001</t>
  </si>
  <si>
    <t>elc_wof_PRK_002</t>
  </si>
  <si>
    <t>elc_wof_PRK_003</t>
  </si>
  <si>
    <t>elc_wof_PRT_001</t>
  </si>
  <si>
    <t>elc_wof_PRT_002</t>
  </si>
  <si>
    <t>elc_wof_PRT_003</t>
  </si>
  <si>
    <t>elc_wof_PRT_004</t>
  </si>
  <si>
    <t>elc_wof_QAT_001</t>
  </si>
  <si>
    <t>elc_wof_QAT_002</t>
  </si>
  <si>
    <t>elc_wof_RUS_001</t>
  </si>
  <si>
    <t>elc_wof_RUS_002</t>
  </si>
  <si>
    <t>elc_wof_RUS_003</t>
  </si>
  <si>
    <t>elc_wof_RUS_004</t>
  </si>
  <si>
    <t>elc_wof_RUS_005</t>
  </si>
  <si>
    <t>elc_wof_RUS_006</t>
  </si>
  <si>
    <t>elc_wof_RUS_007</t>
  </si>
  <si>
    <t>elc_wof_RUS_008</t>
  </si>
  <si>
    <t>elc_wof_RUS_009</t>
  </si>
  <si>
    <t>elc_wof_RUS_010</t>
  </si>
  <si>
    <t>elc_wof_RUS_011</t>
  </si>
  <si>
    <t>elc_wof_RUS_012</t>
  </si>
  <si>
    <t>elc_wof_RUS_013</t>
  </si>
  <si>
    <t>elc_wof_RUS_014</t>
  </si>
  <si>
    <t>elc_wof_RUS_015</t>
  </si>
  <si>
    <t>elc_wof_RUS_016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</si>
  <si>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</si>
  <si>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</si>
  <si>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</si>
  <si>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</si>
  <si>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</si>
  <si>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</si>
  <si>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elc_wof_SDN_001</t>
  </si>
  <si>
    <t>elc_wof_SDN_002</t>
  </si>
  <si>
    <t>elc_wof_SDN_003</t>
  </si>
  <si>
    <t>elc_wof_SDN_004</t>
  </si>
  <si>
    <t>elc_wof_SEN_001</t>
  </si>
  <si>
    <t>elc_wof_SEN_002</t>
  </si>
  <si>
    <t>elc_wof_SEN_003</t>
  </si>
  <si>
    <t>elc_wof_SGP_001</t>
  </si>
  <si>
    <t>elc_wof_SGP_002</t>
  </si>
  <si>
    <t>elc_wof_SLE_001</t>
  </si>
  <si>
    <t>elc_wof_SLE_002</t>
  </si>
  <si>
    <t>elc_wof_SLE_003</t>
  </si>
  <si>
    <t>elc_wof_SLV_001</t>
  </si>
  <si>
    <t>elc_wof_SLV_002</t>
  </si>
  <si>
    <t>elc_wof_SOM_001</t>
  </si>
  <si>
    <t>elc_wof_SOM_002</t>
  </si>
  <si>
    <t>elc_wof_SOM_003</t>
  </si>
  <si>
    <t>elc_wof_SOM_004</t>
  </si>
  <si>
    <t>elc_wof_SOM_005</t>
  </si>
  <si>
    <t>elc_wof_SOM_006</t>
  </si>
  <si>
    <t>elc_wof_SUR_001</t>
  </si>
  <si>
    <t>elc_wof_SUR_002</t>
  </si>
  <si>
    <t>elc_wof_SUR_003</t>
  </si>
  <si>
    <t>elc_wof_SWE_001</t>
  </si>
  <si>
    <t>elc_wof_SWE_002</t>
  </si>
  <si>
    <t>elc_wof_SWE_003</t>
  </si>
  <si>
    <t>elc_wof_SWE_004</t>
  </si>
  <si>
    <t>elc_wof_SWE_005</t>
  </si>
  <si>
    <t>elc_wof_SWE_006</t>
  </si>
  <si>
    <t>elc_wof_SYR_001</t>
  </si>
  <si>
    <t>elc_wof_SYR_002</t>
  </si>
  <si>
    <t>elc_wof_TGO_001</t>
  </si>
  <si>
    <t>elc_wof_TGO_002</t>
  </si>
  <si>
    <t>elc_wof_TGO_003</t>
  </si>
  <si>
    <t>elc_wof_TGO_004</t>
  </si>
  <si>
    <t>elc_wof_THA_001</t>
  </si>
  <si>
    <t>elc_wof_THA_002</t>
  </si>
  <si>
    <t>elc_wof_THA_003</t>
  </si>
  <si>
    <t>elc_wof_THA_004</t>
  </si>
  <si>
    <t>elc_wof_TKM_001</t>
  </si>
  <si>
    <t>elc_wof_TKM_002</t>
  </si>
  <si>
    <t>elc_wof_TKM_003</t>
  </si>
  <si>
    <t>elc_wof_TTO_001</t>
  </si>
  <si>
    <t>elc_wof_TTO_002</t>
  </si>
  <si>
    <t>elc_wof_TTO_003</t>
  </si>
  <si>
    <t>elc_wof_TUN_001</t>
  </si>
  <si>
    <t>elc_wof_TUN_002</t>
  </si>
  <si>
    <t>elc_wof_TUN_003</t>
  </si>
  <si>
    <t>elc_wof_TUN_004</t>
  </si>
  <si>
    <t>elc_wof_TUN_005</t>
  </si>
  <si>
    <t>elc_wof_TUR_001</t>
  </si>
  <si>
    <t>elc_wof_TUR_002</t>
  </si>
  <si>
    <t>elc_wof_TUR_003</t>
  </si>
  <si>
    <t>elc_wof_TUR_004</t>
  </si>
  <si>
    <t>elc_wof_TUR_005</t>
  </si>
  <si>
    <t>elc_wof_TWN_001</t>
  </si>
  <si>
    <t>elc_wof_TWN_002</t>
  </si>
  <si>
    <t>elc_wof_TWN_003</t>
  </si>
  <si>
    <t>elc_wof_TWN_004</t>
  </si>
  <si>
    <t>elc_wof_TWN_005</t>
  </si>
  <si>
    <t>elc_wof_TWN_006</t>
  </si>
  <si>
    <t>elc_wof_TZA_001</t>
  </si>
  <si>
    <t>elc_wof_TZA_002</t>
  </si>
  <si>
    <t>elc_wof_TZA_003</t>
  </si>
  <si>
    <t>elc_wof_UKR_001</t>
  </si>
  <si>
    <t>elc_wof_UKR_002</t>
  </si>
  <si>
    <t>elc_wof_UKR_003</t>
  </si>
  <si>
    <t>elc_wof_URY_001</t>
  </si>
  <si>
    <t>elc_wof_URY_002</t>
  </si>
  <si>
    <t>elc_wof_URY_003</t>
  </si>
  <si>
    <t>elc_wof_USA_001</t>
  </si>
  <si>
    <t>elc_wof_USA_002</t>
  </si>
  <si>
    <t>elc_wof_USA_003</t>
  </si>
  <si>
    <t>elc_wof_USA_004</t>
  </si>
  <si>
    <t>elc_wof_USA_005</t>
  </si>
  <si>
    <t>elc_wof_USA_006</t>
  </si>
  <si>
    <t>elc_wof_VEN_001</t>
  </si>
  <si>
    <t>elc_wof_VEN_002</t>
  </si>
  <si>
    <t>elc_wof_VEN_003</t>
  </si>
  <si>
    <t>elc_wof_VEN_004</t>
  </si>
  <si>
    <t>elc_wof_VEN_005</t>
  </si>
  <si>
    <t>elc_wof_VEN_006</t>
  </si>
  <si>
    <t>elc_wof_VNM_001</t>
  </si>
  <si>
    <t>elc_wof_VNM_002</t>
  </si>
  <si>
    <t>elc_wof_VNM_003</t>
  </si>
  <si>
    <t>elc_wof_VNM_004</t>
  </si>
  <si>
    <t>elc_wof_VNM_005</t>
  </si>
  <si>
    <t>elc_wof_VNM_006</t>
  </si>
  <si>
    <t>elc_wof_VNM_007</t>
  </si>
  <si>
    <t>elc_wof_VNM_008</t>
  </si>
  <si>
    <t>elc_wof_YEM_001</t>
  </si>
  <si>
    <t>elc_wof_YEM_002</t>
  </si>
  <si>
    <t>elc_wof_YEM_003</t>
  </si>
  <si>
    <t>elc_wof_YEM_004</t>
  </si>
  <si>
    <t>elc_wof_YEM_005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</si>
  <si>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</si>
  <si>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</si>
  <si>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</si>
  <si>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</si>
  <si>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</si>
  <si>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</si>
  <si>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</si>
  <si>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elcagg_wof_AGO</t>
  </si>
  <si>
    <t>wind offshore aggregator to grid -- Angola</t>
  </si>
  <si>
    <t>elcagg_wof_ALB</t>
  </si>
  <si>
    <t>wind offshore aggregator to grid -- Albania</t>
  </si>
  <si>
    <t>elcagg_wof_ARE</t>
  </si>
  <si>
    <t>wind offshore aggregator to grid -- United Arab Emirates</t>
  </si>
  <si>
    <t>elcagg_wof_ARG</t>
  </si>
  <si>
    <t>wind offshore aggregator to grid -- Argentina</t>
  </si>
  <si>
    <t>elcagg_wof_AUS</t>
  </si>
  <si>
    <t>wind offshore aggregator to grid -- Australia</t>
  </si>
  <si>
    <t>elcagg_wof_AZE</t>
  </si>
  <si>
    <t>wind offshore aggregator to grid -- Azerbaijan</t>
  </si>
  <si>
    <t>elcagg_wof_BEN</t>
  </si>
  <si>
    <t>wind offshore aggregator to grid -- Benin</t>
  </si>
  <si>
    <t>elcagg_wof_BGD</t>
  </si>
  <si>
    <t>wind offshore aggregator to grid -- Bangladesh</t>
  </si>
  <si>
    <t>elcagg_wof_BGR</t>
  </si>
  <si>
    <t>wind offshore aggregator to grid -- Bulgaria</t>
  </si>
  <si>
    <t>elcagg_wof_BRA</t>
  </si>
  <si>
    <t>wind offshore aggregator to grid -- Brazil</t>
  </si>
  <si>
    <t>elcagg_wof_CAN</t>
  </si>
  <si>
    <t>wind offshore aggregator to grid -- Canada</t>
  </si>
  <si>
    <t>elcagg_wof_CHL</t>
  </si>
  <si>
    <t>wind offshore aggregator to grid -- Chile</t>
  </si>
  <si>
    <t>elcagg_wof_CHN</t>
  </si>
  <si>
    <t>wind offshore aggregator to grid -- China</t>
  </si>
  <si>
    <t>elcagg_wof_CIV</t>
  </si>
  <si>
    <t>wind offshore aggregator to grid -- Ivory Coast</t>
  </si>
  <si>
    <t>elcagg_wof_COD</t>
  </si>
  <si>
    <t>wind offshore aggregator to grid -- Democratic Republic of Congo</t>
  </si>
  <si>
    <t>elcagg_wof_COG</t>
  </si>
  <si>
    <t>wind offshore aggregator to grid -- Republic of Congo</t>
  </si>
  <si>
    <t>elcagg_wof_COL</t>
  </si>
  <si>
    <t>wind offshore aggregator to grid -- Colombia</t>
  </si>
  <si>
    <t>elcagg_wof_CRI</t>
  </si>
  <si>
    <t>wind offshore aggregator to grid -- Costa Rica</t>
  </si>
  <si>
    <t>elcagg_wof_CUB</t>
  </si>
  <si>
    <t>wind offshore aggregator to grid -- Cuba</t>
  </si>
  <si>
    <t>elcagg_wof_CYP</t>
  </si>
  <si>
    <t>wind offshore aggregator to grid -- Cyprus</t>
  </si>
  <si>
    <t>elcagg_wof_DEU</t>
  </si>
  <si>
    <t>wind offshore aggregator to grid -- Germany</t>
  </si>
  <si>
    <t>elcagg_wof_DJI</t>
  </si>
  <si>
    <t>wind offshore aggregator to grid -- Djibouti</t>
  </si>
  <si>
    <t>elcagg_wof_DNK</t>
  </si>
  <si>
    <t>wind offshore aggregator to grid -- Denmark</t>
  </si>
  <si>
    <t>elcagg_wof_DOM</t>
  </si>
  <si>
    <t>wind offshore aggregator to grid -- Dominican Republic</t>
  </si>
  <si>
    <t>elcagg_wof_DZA</t>
  </si>
  <si>
    <t>wind offshore aggregator to grid -- Algeria</t>
  </si>
  <si>
    <t>elcagg_wof_ECU</t>
  </si>
  <si>
    <t>wind offshore aggregator to grid -- Ecuador</t>
  </si>
  <si>
    <t>elcagg_wof_EGY</t>
  </si>
  <si>
    <t>wind offshore aggregator to grid -- Egypt</t>
  </si>
  <si>
    <t>elcagg_wof_ERI</t>
  </si>
  <si>
    <t>wind offshore aggregator to grid -- Eritrea</t>
  </si>
  <si>
    <t>elcagg_wof_ESP</t>
  </si>
  <si>
    <t>wind offshore aggregator to grid -- Spain</t>
  </si>
  <si>
    <t>elcagg_wof_EST</t>
  </si>
  <si>
    <t>wind offshore aggregator to grid -- Estonia</t>
  </si>
  <si>
    <t>elcagg_wof_FIN</t>
  </si>
  <si>
    <t>wind offshore aggregator to grid -- Finland</t>
  </si>
  <si>
    <t>elcagg_wof_FRA</t>
  </si>
  <si>
    <t>wind offshore aggregator to grid -- France</t>
  </si>
  <si>
    <t>elcagg_wof_GAB</t>
  </si>
  <si>
    <t>wind offshore aggregator to grid -- Gabon</t>
  </si>
  <si>
    <t>elcagg_wof_GBR</t>
  </si>
  <si>
    <t>wind offshore aggregator to grid -- United Kingdom</t>
  </si>
  <si>
    <t>elcagg_wof_GEO</t>
  </si>
  <si>
    <t>wind offshore aggregator to grid -- Georgia</t>
  </si>
  <si>
    <t>elcagg_wof_GHA</t>
  </si>
  <si>
    <t>wind offshore aggregator to grid -- Ghana</t>
  </si>
  <si>
    <t>elcagg_wof_GIN</t>
  </si>
  <si>
    <t>wind offshore aggregator to grid -- Guinea</t>
  </si>
  <si>
    <t>elcagg_wof_GNB</t>
  </si>
  <si>
    <t>wind offshore aggregator to grid -- Guinea-Bissau</t>
  </si>
  <si>
    <t>elcagg_wof_GNQ</t>
  </si>
  <si>
    <t>wind offshore aggregator to grid -- Equatorial Guinea</t>
  </si>
  <si>
    <t>elcagg_wof_GRC</t>
  </si>
  <si>
    <t>wind offshore aggregator to grid -- Greece</t>
  </si>
  <si>
    <t>elcagg_wof_GTM</t>
  </si>
  <si>
    <t>wind offshore aggregator to grid -- Guatemala</t>
  </si>
  <si>
    <t>elcagg_wof_GUY</t>
  </si>
  <si>
    <t>wind offshore aggregator to grid -- Guyana</t>
  </si>
  <si>
    <t>elcagg_wof_HND</t>
  </si>
  <si>
    <t>wind offshore aggregator to grid -- Honduras</t>
  </si>
  <si>
    <t>elcagg_wof_HRV</t>
  </si>
  <si>
    <t>wind offshore aggregator to grid -- Croatia</t>
  </si>
  <si>
    <t>elcagg_wof_HTI</t>
  </si>
  <si>
    <t>wind offshore aggregator to grid -- Haiti</t>
  </si>
  <si>
    <t>elcagg_wof_IDN</t>
  </si>
  <si>
    <t>wind offshore aggregator to grid -- Indonesia</t>
  </si>
  <si>
    <t>elcagg_wof_IND</t>
  </si>
  <si>
    <t>wind offshore aggregator to grid -- India</t>
  </si>
  <si>
    <t>elcagg_wof_IRL</t>
  </si>
  <si>
    <t>wind offshore aggregator to grid -- Ireland</t>
  </si>
  <si>
    <t>elcagg_wof_IRN</t>
  </si>
  <si>
    <t>wind offshore aggregator to grid -- Iran</t>
  </si>
  <si>
    <t>elcagg_wof_ITA</t>
  </si>
  <si>
    <t>wind offshore aggregator to grid -- Italy</t>
  </si>
  <si>
    <t>elcagg_wof_JAM</t>
  </si>
  <si>
    <t>wind offshore aggregator to grid -- Jamaica</t>
  </si>
  <si>
    <t>elcagg_wof_JPN</t>
  </si>
  <si>
    <t>wind offshore aggregator to grid -- Japan</t>
  </si>
  <si>
    <t>elcagg_wof_KAZ</t>
  </si>
  <si>
    <t>wind offshore aggregator to grid -- Kazakhstan</t>
  </si>
  <si>
    <t>elcagg_wof_KEN</t>
  </si>
  <si>
    <t>wind offshore aggregator to grid -- Kenya</t>
  </si>
  <si>
    <t>elcagg_wof_KHM</t>
  </si>
  <si>
    <t>wind offshore aggregator to grid -- Cambodia</t>
  </si>
  <si>
    <t>elcagg_wof_KOR</t>
  </si>
  <si>
    <t>wind offshore aggregator to grid -- South Korea</t>
  </si>
  <si>
    <t>elcagg_wof_KWT</t>
  </si>
  <si>
    <t>wind offshore aggregator to grid -- Kuwait</t>
  </si>
  <si>
    <t>elcagg_wof_LBN</t>
  </si>
  <si>
    <t>wind offshore aggregator to grid -- Lebanon</t>
  </si>
  <si>
    <t>elcagg_wof_LBR</t>
  </si>
  <si>
    <t>wind offshore aggregator to grid -- Liberia</t>
  </si>
  <si>
    <t>elcagg_wof_LBY</t>
  </si>
  <si>
    <t>wind offshore aggregator to grid -- Libya</t>
  </si>
  <si>
    <t>elcagg_wof_LKA</t>
  </si>
  <si>
    <t>wind offshore aggregator to grid -- Sri Lanka</t>
  </si>
  <si>
    <t>elcagg_wof_LTU</t>
  </si>
  <si>
    <t>wind offshore aggregator to grid -- Lithuania</t>
  </si>
  <si>
    <t>elcagg_wof_LVA</t>
  </si>
  <si>
    <t>wind offshore aggregator to grid -- Latvia</t>
  </si>
  <si>
    <t>elcagg_wof_MAR</t>
  </si>
  <si>
    <t>wind offshore aggregator to grid -- Morocco</t>
  </si>
  <si>
    <t>elcagg_wof_MDG</t>
  </si>
  <si>
    <t>wind offshore aggregator to grid -- Madagascar</t>
  </si>
  <si>
    <t>elcagg_wof_MEX</t>
  </si>
  <si>
    <t>wind offshore aggregator to grid -- Mexico</t>
  </si>
  <si>
    <t>elcagg_wof_MLT</t>
  </si>
  <si>
    <t>wind offshore aggregator to grid -- Malta</t>
  </si>
  <si>
    <t>elcagg_wof_MMR</t>
  </si>
  <si>
    <t>wind offshore aggregator to grid -- Myanmar</t>
  </si>
  <si>
    <t>elcagg_wof_MNE</t>
  </si>
  <si>
    <t>wind offshore aggregator to grid -- Montenegro</t>
  </si>
  <si>
    <t>elcagg_wof_MOZ</t>
  </si>
  <si>
    <t>wind offshore aggregator to grid -- Mozambique</t>
  </si>
  <si>
    <t>elcagg_wof_MRT</t>
  </si>
  <si>
    <t>wind offshore aggregator to grid -- Mauritania</t>
  </si>
  <si>
    <t>elcagg_wof_MYS</t>
  </si>
  <si>
    <t>wind offshore aggregator to grid -- Malaysia</t>
  </si>
  <si>
    <t>elcagg_wof_NAM</t>
  </si>
  <si>
    <t>wind offshore aggregator to grid -- Namibia</t>
  </si>
  <si>
    <t>elcagg_wof_NCL</t>
  </si>
  <si>
    <t>wind offshore aggregator to grid -- New Caledonia</t>
  </si>
  <si>
    <t>elcagg_wof_NGA</t>
  </si>
  <si>
    <t>wind offshore aggregator to grid -- Nigeria</t>
  </si>
  <si>
    <t>elcagg_wof_NIC</t>
  </si>
  <si>
    <t>wind offshore aggregator to grid -- Nicaragua</t>
  </si>
  <si>
    <t>elcagg_wof_NLD</t>
  </si>
  <si>
    <t>wind offshore aggregator to grid -- Netherlands</t>
  </si>
  <si>
    <t>elcagg_wof_NOR</t>
  </si>
  <si>
    <t>wind offshore aggregator to grid -- Norway</t>
  </si>
  <si>
    <t>elcagg_wof_NZL</t>
  </si>
  <si>
    <t>wind offshore aggregator to grid -- New Zealand</t>
  </si>
  <si>
    <t>elcagg_wof_OMN</t>
  </si>
  <si>
    <t>wind offshore aggregator to grid -- Oman</t>
  </si>
  <si>
    <t>elcagg_wof_PAK</t>
  </si>
  <si>
    <t>wind offshore aggregator to grid -- Pakistan</t>
  </si>
  <si>
    <t>elcagg_wof_PAN</t>
  </si>
  <si>
    <t>wind offshore aggregator to grid -- Panama</t>
  </si>
  <si>
    <t>elcagg_wof_PER</t>
  </si>
  <si>
    <t>wind offshore aggregator to grid -- Peru</t>
  </si>
  <si>
    <t>elcagg_wof_PHL</t>
  </si>
  <si>
    <t>wind offshore aggregator to grid -- Philippines</t>
  </si>
  <si>
    <t>elcagg_wof_PNG</t>
  </si>
  <si>
    <t>wind offshore aggregator to grid -- Papua New Guinea</t>
  </si>
  <si>
    <t>elcagg_wof_POL</t>
  </si>
  <si>
    <t>wind offshore aggregator to grid -- Poland</t>
  </si>
  <si>
    <t>elcagg_wof_PRI</t>
  </si>
  <si>
    <t>wind offshore aggregator to grid -- Puerto Rico</t>
  </si>
  <si>
    <t>elcagg_wof_PRK</t>
  </si>
  <si>
    <t>wind offshore aggregator to grid -- Dem. People^s Rep. Korea</t>
  </si>
  <si>
    <t>elcagg_wof_PRT</t>
  </si>
  <si>
    <t>wind offshore aggregator to grid -- Portugal</t>
  </si>
  <si>
    <t>elcagg_wof_QAT</t>
  </si>
  <si>
    <t>wind offshore aggregator to grid -- Qatar</t>
  </si>
  <si>
    <t>elcagg_wof_RUS</t>
  </si>
  <si>
    <t>wind offshore aggregator to grid -- Russia</t>
  </si>
  <si>
    <t>elcagg_wof_SAU</t>
  </si>
  <si>
    <t>wind offshore aggregator to grid -- Saudi Arabia</t>
  </si>
  <si>
    <t>elcagg_wof_SDN</t>
  </si>
  <si>
    <t>wind offshore aggregator to grid -- Sudan</t>
  </si>
  <si>
    <t>elcagg_wof_SEN</t>
  </si>
  <si>
    <t>wind offshore aggregator to grid -- Senegal</t>
  </si>
  <si>
    <t>elcagg_wof_SGP</t>
  </si>
  <si>
    <t>wind offshore aggregator to grid -- Singapore</t>
  </si>
  <si>
    <t>elcagg_wof_SLE</t>
  </si>
  <si>
    <t>wind offshore aggregator to grid -- Sierra Leone</t>
  </si>
  <si>
    <t>elcagg_wof_SLV</t>
  </si>
  <si>
    <t>wind offshore aggregator to grid -- El Salvador</t>
  </si>
  <si>
    <t>elcagg_wof_SOM</t>
  </si>
  <si>
    <t>wind offshore aggregator to grid -- Somalia</t>
  </si>
  <si>
    <t>elcagg_wof_SUR</t>
  </si>
  <si>
    <t>wind offshore aggregator to grid -- Suriname</t>
  </si>
  <si>
    <t>elcagg_wof_SWE</t>
  </si>
  <si>
    <t>wind offshore aggregator to grid -- Sweden</t>
  </si>
  <si>
    <t>elcagg_wof_SYR</t>
  </si>
  <si>
    <t>wind offshore aggregator to grid -- Syrian Arab Republic</t>
  </si>
  <si>
    <t>elcagg_wof_TGO</t>
  </si>
  <si>
    <t>wind offshore aggregator to grid -- Togo</t>
  </si>
  <si>
    <t>elcagg_wof_THA</t>
  </si>
  <si>
    <t>wind offshore aggregator to grid -- Thailand</t>
  </si>
  <si>
    <t>elcagg_wof_TKM</t>
  </si>
  <si>
    <t>wind offshore aggregator to grid -- Turkmenistan</t>
  </si>
  <si>
    <t>elcagg_wof_TTO</t>
  </si>
  <si>
    <t>wind offshore aggregator to grid -- Trinidad and Tobago</t>
  </si>
  <si>
    <t>elcagg_wof_TUN</t>
  </si>
  <si>
    <t>wind offshore aggregator to grid -- Tunisia</t>
  </si>
  <si>
    <t>elcagg_wof_TUR</t>
  </si>
  <si>
    <t>wind offshore aggregator to grid -- Turkey</t>
  </si>
  <si>
    <t>elcagg_wof_TWN</t>
  </si>
  <si>
    <t>wind offshore aggregator to grid -- Taiwan</t>
  </si>
  <si>
    <t>elcagg_wof_TZA</t>
  </si>
  <si>
    <t>wind offshore aggregator to grid -- Tanzania</t>
  </si>
  <si>
    <t>elcagg_wof_UKR</t>
  </si>
  <si>
    <t>wind offshore aggregator to grid -- Ukraine</t>
  </si>
  <si>
    <t>elcagg_wof_URY</t>
  </si>
  <si>
    <t>wind offshore aggregator to grid -- Uruguay</t>
  </si>
  <si>
    <t>elcagg_wof_USA</t>
  </si>
  <si>
    <t>wind offshore aggregator to grid -- United States</t>
  </si>
  <si>
    <t>elcagg_wof_VEN</t>
  </si>
  <si>
    <t>wind offshore aggregator to grid -- Venezuela</t>
  </si>
  <si>
    <t>elcagg_wof_VNM</t>
  </si>
  <si>
    <t>wind offshore aggregator to grid -- Vietnam</t>
  </si>
  <si>
    <t>elcagg_wof_YEM</t>
  </si>
  <si>
    <t>wind offshore aggregator to grid -- Yemen</t>
  </si>
  <si>
    <t>elcagg_wof_ZAF</t>
  </si>
  <si>
    <t>wind offshore aggregator to grid -- South Africa</t>
  </si>
  <si>
    <t>This is independent of model regional aggregation</t>
  </si>
  <si>
    <t>source: TF - step 10 - LNG terminals SubRES - model independent.sql</t>
  </si>
  <si>
    <t>~FI_T</t>
  </si>
  <si>
    <t>Comm-IN</t>
  </si>
  <si>
    <t>Comm-OUT</t>
  </si>
  <si>
    <t>LIFE</t>
  </si>
  <si>
    <t>NCAP_BND~0</t>
  </si>
  <si>
    <t>PASTI</t>
  </si>
  <si>
    <t>Cap2ACT</t>
  </si>
  <si>
    <t>Year</t>
  </si>
  <si>
    <t>TCap</t>
  </si>
  <si>
    <t>TAct</t>
  </si>
  <si>
    <t>pcg</t>
  </si>
  <si>
    <t>LNG_exp_FLNG_AUS</t>
  </si>
  <si>
    <t>GASNGA</t>
  </si>
  <si>
    <t>GASLNG</t>
  </si>
  <si>
    <t>LNG export terminals - FLNG - Australia</t>
  </si>
  <si>
    <t>mtpa</t>
  </si>
  <si>
    <t>LNG_exp_FLNG_CMR</t>
  </si>
  <si>
    <t>LNG export terminals - FLNG - Cameroon</t>
  </si>
  <si>
    <t>LNG_exp_FLNG_COD</t>
  </si>
  <si>
    <t>LNG export terminals - FLNG - Democratic Republic of the Congo</t>
  </si>
  <si>
    <t>LNG_exp_FLNG_GAB</t>
  </si>
  <si>
    <t>LNG export terminals - FLNG - Gabon</t>
  </si>
  <si>
    <t>LNG_exp_FLNG_MOZ</t>
  </si>
  <si>
    <t>LNG export terminals - FLNG - Mozambique</t>
  </si>
  <si>
    <t>LNG_exp_FLNG_MYS</t>
  </si>
  <si>
    <t>LNG export terminals - FLNG - Malaysia</t>
  </si>
  <si>
    <t>LNG_exp_FLNG_SEN</t>
  </si>
  <si>
    <t>LNG export terminals - FLNG - Mauritania/Senegal</t>
  </si>
  <si>
    <t>LNG_exp_Onshore_AGO</t>
  </si>
  <si>
    <t>LNG export terminals - Onshore - Angola</t>
  </si>
  <si>
    <t>LNG_exp_Onshore_ARE</t>
  </si>
  <si>
    <t>LNG export terminals - Onshore - UAE</t>
  </si>
  <si>
    <t>LNG_exp_Onshore_AUS</t>
  </si>
  <si>
    <t>LNG export terminals - Onshore - Australia</t>
  </si>
  <si>
    <t>LNG_exp_Onshore_BRN</t>
  </si>
  <si>
    <t>LNG export terminals - Onshore - Brunei</t>
  </si>
  <si>
    <t>LNG_exp_Onshore_CAN</t>
  </si>
  <si>
    <t>LNG export terminals - Onshore - Canada</t>
  </si>
  <si>
    <t>LNG_exp_Onshore_DZA</t>
  </si>
  <si>
    <t>LNG export terminals - Onshore - Algeria</t>
  </si>
  <si>
    <t>LNG_exp_Onshore_EGY</t>
  </si>
  <si>
    <t>LNG export terminals - Onshore - Egypt</t>
  </si>
  <si>
    <t>LNG_exp_Onshore_GNQ</t>
  </si>
  <si>
    <t>LNG export terminals - Onshore - Equatorial Guinea</t>
  </si>
  <si>
    <t>LNG_exp_Onshore_IDN</t>
  </si>
  <si>
    <t>LNG export terminals - Onshore - Indonesia</t>
  </si>
  <si>
    <t>LNG_exp_Onshore_MEX</t>
  </si>
  <si>
    <t>LNG export terminals - Onshore - Mexico</t>
  </si>
  <si>
    <t>LNG_exp_Onshore_MYS</t>
  </si>
  <si>
    <t>LNG export terminals - Onshore - Malaysia</t>
  </si>
  <si>
    <t>LNG_exp_Onshore_NGA</t>
  </si>
  <si>
    <t>LNG export terminals - Onshore - Nigeria</t>
  </si>
  <si>
    <t>LNG_exp_Onshore_NOR</t>
  </si>
  <si>
    <t>LNG export terminals - Onshore - Norway</t>
  </si>
  <si>
    <t>LNG_exp_Onshore_OMN</t>
  </si>
  <si>
    <t>LNG export terminals - Onshore - Oman</t>
  </si>
  <si>
    <t>LNG_exp_Onshore_PER</t>
  </si>
  <si>
    <t>LNG export terminals - Onshore - Peru</t>
  </si>
  <si>
    <t>LNG_exp_Onshore_PNG</t>
  </si>
  <si>
    <t>LNG export terminals - Onshore - Papua New Guinea</t>
  </si>
  <si>
    <t>LNG_exp_Onshore_QAT</t>
  </si>
  <si>
    <t>LNG export terminals - Onshore - Qatar</t>
  </si>
  <si>
    <t>LNG_exp_Onshore_RUS</t>
  </si>
  <si>
    <t>LNG export terminals - Onshore - Russia</t>
  </si>
  <si>
    <t>LNG_exp_Onshore_TTO</t>
  </si>
  <si>
    <t>LNG export terminals - Onshore - Trinidad and Tobago</t>
  </si>
  <si>
    <t>LNG_exp_Onshore_USA</t>
  </si>
  <si>
    <t>LNG export terminals - Onshore - USA</t>
  </si>
  <si>
    <t>LNG_imp_FSRU _BRA</t>
  </si>
  <si>
    <t>LNG import terminals - FSRU  - Brazil</t>
  </si>
  <si>
    <t>LNG_imp_FSRU_ARE</t>
  </si>
  <si>
    <t>LNG import terminals - FSRU - UAE</t>
  </si>
  <si>
    <t>LNG_imp_FSRU_ARG</t>
  </si>
  <si>
    <t>LNG import terminals - FSRU - Argentina</t>
  </si>
  <si>
    <t>LNG_imp_FSRU_AUS</t>
  </si>
  <si>
    <t>LNG import terminals - FSRU - Australia</t>
  </si>
  <si>
    <t>LNG_imp_FSRU_BGD</t>
  </si>
  <si>
    <t>LNG import terminals - FSRU - Bangladesh</t>
  </si>
  <si>
    <t>LNG_imp_FSRU_BRA</t>
  </si>
  <si>
    <t>LNG import terminals - FSRU - Brazil</t>
  </si>
  <si>
    <t>LNG_imp_FSRU_CHN</t>
  </si>
  <si>
    <t>LNG import terminals - FSRU - China</t>
  </si>
  <si>
    <t>LNG_imp_FSRU_COL</t>
  </si>
  <si>
    <t>LNG import terminals - FSRU - Colombia</t>
  </si>
  <si>
    <t>LNG_imp_FSRU_CYP</t>
  </si>
  <si>
    <t>LNG import terminals - FSRU - Cyprus</t>
  </si>
  <si>
    <t>LNG_imp_FSRU_DEU</t>
  </si>
  <si>
    <t>LNG import terminals - FSRU - Germany</t>
  </si>
  <si>
    <t>LNG_imp_FSRU_EGY</t>
  </si>
  <si>
    <t>LNG import terminals - FSRU - Egypt</t>
  </si>
  <si>
    <t>LNG_imp_FSRU_GRC</t>
  </si>
  <si>
    <t>LNG import terminals - FSRU - Greece</t>
  </si>
  <si>
    <t>LNG_imp_FSRU_HRV</t>
  </si>
  <si>
    <t>LNG import terminals - FSRU - Croatia</t>
  </si>
  <si>
    <t>LNG_imp_FSRU_IDN</t>
  </si>
  <si>
    <t>LNG import terminals - FSRU - Indonesia</t>
  </si>
  <si>
    <t>LNG_imp_FSRU_IND</t>
  </si>
  <si>
    <t>LNG import terminals - FSRU - India</t>
  </si>
  <si>
    <t>LNG_imp_FSRU_ISR</t>
  </si>
  <si>
    <t>LNG import terminals - FSRU - Israel</t>
  </si>
  <si>
    <t>LNG_imp_FSRU_ITA</t>
  </si>
  <si>
    <t>LNG import terminals - FSRU - Italy</t>
  </si>
  <si>
    <t>LNG_imp_FSRU_JAM</t>
  </si>
  <si>
    <t>LNG import terminals - FSRU - Jamaica</t>
  </si>
  <si>
    <t>LNG_imp_FSRU_JOR</t>
  </si>
  <si>
    <t>LNG import terminals - FSRU - Jordan</t>
  </si>
  <si>
    <t>LNG_imp_FSRU_LTU</t>
  </si>
  <si>
    <t>LNG import terminals - FSRU - Lithuania</t>
  </si>
  <si>
    <t>LNG_imp_FSRU_NLD</t>
  </si>
  <si>
    <t>LNG import terminals - FSRU - Netherlands</t>
  </si>
  <si>
    <t>LNG_imp_FSRU_PAK</t>
  </si>
  <si>
    <t>LNG import terminals - FSRU - Pakistan</t>
  </si>
  <si>
    <t>LNG_imp_FSRU_PHL</t>
  </si>
  <si>
    <t>LNG import terminals - FSRU - Philippines</t>
  </si>
  <si>
    <t>LNG_imp_FSRU_SEN</t>
  </si>
  <si>
    <t>LNG import terminals - FSRU - Senegal</t>
  </si>
  <si>
    <t>LNG_imp_FSRU_SLV</t>
  </si>
  <si>
    <t>LNG import terminals - FSRU - El Salvador</t>
  </si>
  <si>
    <t>LNG_imp_FSRU_TUR</t>
  </si>
  <si>
    <t>LNG import terminals - FSRU - Turkey</t>
  </si>
  <si>
    <t>LNG_imp_FSRU_USA</t>
  </si>
  <si>
    <t>LNG import terminals - FSRU - United States</t>
  </si>
  <si>
    <t>LNG_imp_FSU, FRU_GHA</t>
  </si>
  <si>
    <t>LNG import terminals - FSU, FRU - Ghana</t>
  </si>
  <si>
    <t>LNG_imp_FSU_BHR</t>
  </si>
  <si>
    <t>LNG import terminals - FSU - Bahrain</t>
  </si>
  <si>
    <t>LNG_imp_FSU_MLT</t>
  </si>
  <si>
    <t>LNG import terminals - FSU - Malta</t>
  </si>
  <si>
    <t>LNG_imp_Offshore FSRU_ITA</t>
  </si>
  <si>
    <t>LNG import terminals - Offshore FSRU - Italy</t>
  </si>
  <si>
    <t>LNG_imp_Offshore FSU_MYS</t>
  </si>
  <si>
    <t>LNG import terminals - Offshore FSU - Malaysia</t>
  </si>
  <si>
    <t>LNG_imp_Onshore_BEL</t>
  </si>
  <si>
    <t>LNG import terminals - Onshore - Belgium</t>
  </si>
  <si>
    <t>LNG_imp_Onshore_CAN</t>
  </si>
  <si>
    <t>LNG import terminals - Onshore - Canada</t>
  </si>
  <si>
    <t>LNG_imp_Onshore_CHL</t>
  </si>
  <si>
    <t>LNG import terminals - Onshore - Chile</t>
  </si>
  <si>
    <t>LNG_imp_Onshore_CHN</t>
  </si>
  <si>
    <t>LNG import terminals - Onshore - China</t>
  </si>
  <si>
    <t>LNG_imp_Onshore_DOM</t>
  </si>
  <si>
    <t>LNG import terminals - Onshore - Dominican Republic</t>
  </si>
  <si>
    <t>LNG_imp_Onshore_ESP</t>
  </si>
  <si>
    <t>LNG import terminals - Onshore - Spain</t>
  </si>
  <si>
    <t>LNG_imp_Onshore_EST</t>
  </si>
  <si>
    <t>LNG import terminals - Onshore - Estonia</t>
  </si>
  <si>
    <t>LNG_imp_Onshore_FIN</t>
  </si>
  <si>
    <t>LNG import terminals - Onshore - Finland</t>
  </si>
  <si>
    <t>LNG_imp_Onshore_FRA</t>
  </si>
  <si>
    <t>LNG import terminals - Onshore - France</t>
  </si>
  <si>
    <t>LNG_imp_Onshore_GBR</t>
  </si>
  <si>
    <t>LNG import terminals - Onshore - United Kingdom</t>
  </si>
  <si>
    <t>LNG_imp_Onshore_GIB</t>
  </si>
  <si>
    <t>LNG import terminals - Onshore - Gibraltar</t>
  </si>
  <si>
    <t>LNG_imp_Onshore_GRC</t>
  </si>
  <si>
    <t>LNG import terminals - Onshore - Greece</t>
  </si>
  <si>
    <t>LNG_imp_Onshore_IDN</t>
  </si>
  <si>
    <t>LNG import terminals - Onshore - Indonesia</t>
  </si>
  <si>
    <t>LNG_imp_Onshore_IND</t>
  </si>
  <si>
    <t>LNG import terminals - Onshore - India</t>
  </si>
  <si>
    <t>LNG_imp_Onshore_ITA</t>
  </si>
  <si>
    <t>LNG import terminals - Onshore - Italy</t>
  </si>
  <si>
    <t>LNG_imp_Onshore_JAM</t>
  </si>
  <si>
    <t>LNG import terminals - Onshore - Jamaica</t>
  </si>
  <si>
    <t>LNG_imp_Onshore_JPN</t>
  </si>
  <si>
    <t>LNG import terminals - Onshore - Japan</t>
  </si>
  <si>
    <t>LNG_imp_Onshore_KOR</t>
  </si>
  <si>
    <t>LNG import terminals - Onshore - South Korea</t>
  </si>
  <si>
    <t>LNG_imp_Onshore_KWT</t>
  </si>
  <si>
    <t>LNG import terminals - Onshore - Kuwait</t>
  </si>
  <si>
    <t>LNG_imp_Onshore_MEX</t>
  </si>
  <si>
    <t>LNG import terminals - Onshore - Mexico</t>
  </si>
  <si>
    <t>LNG_imp_Onshore_MYS</t>
  </si>
  <si>
    <t>LNG import terminals - Onshore - Malaysia</t>
  </si>
  <si>
    <t>LNG_imp_Onshore_NLD</t>
  </si>
  <si>
    <t>LNG import terminals - Onshore - Netherlands</t>
  </si>
  <si>
    <t>LNG_imp_Onshore_NOR</t>
  </si>
  <si>
    <t xml:space="preserve">LNG import terminals - Onshore - Norway </t>
  </si>
  <si>
    <t>LNG_imp_Onshore_PAN</t>
  </si>
  <si>
    <t>LNG import terminals - Onshore - Panama</t>
  </si>
  <si>
    <t>LNG_imp_Onshore_PHL</t>
  </si>
  <si>
    <t>LNG import terminals - Onshore - Philippines</t>
  </si>
  <si>
    <t>LNG_imp_Onshore_POL</t>
  </si>
  <si>
    <t>LNG import terminals - Onshore - Poland</t>
  </si>
  <si>
    <t>LNG_imp_Onshore_PRI</t>
  </si>
  <si>
    <t>LNG import terminals - Onshore - Puerto Rico</t>
  </si>
  <si>
    <t>LNG_imp_Onshore_PRT</t>
  </si>
  <si>
    <t>LNG import terminals - Onshore - Portugal</t>
  </si>
  <si>
    <t>LNG_imp_Onshore_SGP</t>
  </si>
  <si>
    <t>LNG import terminals - Onshore - Singapore</t>
  </si>
  <si>
    <t>LNG_imp_Onshore_SWE</t>
  </si>
  <si>
    <t>LNG import terminals - Onshore - Sweden</t>
  </si>
  <si>
    <t>LNG_imp_Onshore_THA</t>
  </si>
  <si>
    <t>LNG import terminals - Onshore - Thailand</t>
  </si>
  <si>
    <t>LNG_imp_Onshore_TUR</t>
  </si>
  <si>
    <t>LNG import terminals - Onshore - Turkey</t>
  </si>
  <si>
    <t>LNG_imp_Onshore_TWN</t>
  </si>
  <si>
    <t>LNG import terminals - Onshore - Taiwan</t>
  </si>
  <si>
    <t>LNG_imp_Onshore_USA</t>
  </si>
  <si>
    <t>LNG import terminals - Onshore - United States</t>
  </si>
  <si>
    <t>LNG_imp_Onshore_VNM</t>
  </si>
  <si>
    <t>LNG import terminals - Onshore -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</si>
</sst>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6" fillId="0" borderId="2" applyNumberFormat="0" applyFill="0" applyAlignment="0" applyProtection="0"/>
    <xf numFmtId="0" fontId="7" fillId="0" borderId="3" applyNumberFormat="0" applyFill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2" fillId="2" borderId="0" xfId="1"/>
    <xf numFmtId="0" fontId="5" fillId="0" borderId="0" xfId="2"/>
    <xf numFmtId="0" fontId="6" fillId="0" borderId="2" xfId="3"/>
    <xf numFmtId="0" fontId="7" fillId="0" borderId="3" xfId="4"/>
    <xf numFmtId="2" fontId="5" fillId="0" borderId="0" xfId="2" applyNumberFormat="1"/>
  </cellXfs>
  <cellStyles count="5">
    <cellStyle name="Good" xfId="1" builtinId="26"/>
    <cellStyle name="Heading 2 2" xfId="3" xr:uid="{B8E6FB27-AD45-4AC4-A796-3ADECC6C031A}"/>
    <cellStyle name="Heading 3 2" xfId="4" xr:uid="{C7036ADC-5C92-4AAC-9CA9-95E7DBB37AF2}"/>
    <cellStyle name="Normal" xfId="0" builtinId="0"/>
    <cellStyle name="Normal 2" xfId="2" xr:uid="{B934675E-34B7-4920-8A02-26352F97F2A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DAB8-C3FF-459A-B164-2A5569640A65}">
  <dimension ref="A1:BU172"/>
  <sheetViews>
    <sheetView workbookViewId="0"/>
  </sheetViews>
  <sheetFormatPr defaultColWidth="8.86328125" defaultRowHeight="14.25"/>
  <cols>
    <col min="1" max="1" width="10.59765625" customWidth="1"/>
    <col min="2" max="2" width="15.73046875" customWidth="1"/>
    <col min="3" max="3" width="2" bestFit="1" customWidth="1"/>
    <col min="6" max="6" width="19.86328125" bestFit="1" customWidth="1"/>
    <col min="7" max="7" width="32.86328125" bestFit="1" customWidth="1"/>
    <col min="13" max="13" width="17.59765625" bestFit="1" customWidth="1"/>
    <col min="14" max="14" width="23.73046875" customWidth="1"/>
    <col min="69" max="69" width="18.59765625" bestFit="1" customWidth="1"/>
    <col min="70" max="70" width="48" bestFit="1" customWidth="1"/>
  </cols>
  <sheetData>
    <row r="1" spans="1:73">
      <c r="A1" t="s">
        <v>453</v>
      </c>
      <c r="E1" s="2"/>
      <c r="G1">
        <v>1</v>
      </c>
      <c r="L1" s="2"/>
      <c r="N1">
        <f>G1+1</f>
        <v>2</v>
      </c>
      <c r="S1" s="2"/>
      <c r="U1">
        <f>N1+1</f>
        <v>3</v>
      </c>
      <c r="Z1" s="2"/>
      <c r="AB1">
        <f>U1+1</f>
        <v>4</v>
      </c>
      <c r="AG1" s="2"/>
      <c r="AI1">
        <f>AB1+1</f>
        <v>5</v>
      </c>
      <c r="AN1" s="2"/>
      <c r="AP1">
        <f>AI1+1</f>
        <v>6</v>
      </c>
      <c r="AU1" s="2"/>
      <c r="AW1">
        <f>AP1+1</f>
        <v>7</v>
      </c>
      <c r="BB1" s="2"/>
      <c r="BD1">
        <f>AW1+1</f>
        <v>8</v>
      </c>
      <c r="BI1" s="2"/>
      <c r="BK1">
        <f>BD1+1</f>
        <v>9</v>
      </c>
      <c r="BP1" s="2"/>
      <c r="BR1">
        <f>BK1+1</f>
        <v>10</v>
      </c>
    </row>
    <row r="3" spans="1:73">
      <c r="A3" s="3" t="s">
        <v>454</v>
      </c>
      <c r="E3" s="4" t="s">
        <v>455</v>
      </c>
      <c r="F3" s="4"/>
      <c r="L3" s="4" t="s">
        <v>455</v>
      </c>
      <c r="M3" s="4"/>
      <c r="S3" s="4" t="s">
        <v>455</v>
      </c>
      <c r="T3" s="4"/>
      <c r="Z3" s="4" t="s">
        <v>455</v>
      </c>
      <c r="AA3" s="4"/>
      <c r="AG3" s="4" t="s">
        <v>455</v>
      </c>
      <c r="AH3" s="4"/>
      <c r="AN3" s="4" t="s">
        <v>455</v>
      </c>
      <c r="AO3" s="4"/>
      <c r="AU3" s="4" t="s">
        <v>455</v>
      </c>
      <c r="AV3" s="4"/>
      <c r="BB3" s="4" t="s">
        <v>455</v>
      </c>
      <c r="BC3" s="4"/>
      <c r="BI3" s="4" t="s">
        <v>455</v>
      </c>
      <c r="BJ3" s="4"/>
      <c r="BP3" s="4" t="s">
        <v>455</v>
      </c>
      <c r="BQ3" s="4"/>
    </row>
    <row r="4" spans="1:73">
      <c r="A4" s="5" t="s">
        <v>456</v>
      </c>
      <c r="B4" s="5" t="s">
        <v>457</v>
      </c>
      <c r="E4" t="s">
        <v>458</v>
      </c>
      <c r="F4" t="s">
        <v>77</v>
      </c>
      <c r="G4" t="s">
        <v>459</v>
      </c>
      <c r="H4" t="s">
        <v>460</v>
      </c>
      <c r="I4" t="s">
        <v>461</v>
      </c>
      <c r="J4" t="s">
        <v>462</v>
      </c>
      <c r="L4" t="s">
        <v>458</v>
      </c>
      <c r="M4" t="s">
        <v>77</v>
      </c>
      <c r="N4" t="s">
        <v>459</v>
      </c>
      <c r="O4" t="s">
        <v>460</v>
      </c>
      <c r="P4" t="s">
        <v>461</v>
      </c>
      <c r="Q4" t="s">
        <v>462</v>
      </c>
      <c r="S4" t="s">
        <v>458</v>
      </c>
      <c r="T4" t="s">
        <v>77</v>
      </c>
      <c r="U4" t="s">
        <v>459</v>
      </c>
      <c r="V4" t="s">
        <v>460</v>
      </c>
      <c r="W4" t="s">
        <v>461</v>
      </c>
      <c r="X4" t="s">
        <v>462</v>
      </c>
      <c r="Z4" t="s">
        <v>458</v>
      </c>
      <c r="AA4" t="s">
        <v>77</v>
      </c>
      <c r="AB4" t="s">
        <v>459</v>
      </c>
      <c r="AC4" t="s">
        <v>460</v>
      </c>
      <c r="AD4" t="s">
        <v>461</v>
      </c>
      <c r="AE4" t="s">
        <v>462</v>
      </c>
      <c r="AG4" t="s">
        <v>458</v>
      </c>
      <c r="AH4" t="s">
        <v>77</v>
      </c>
      <c r="AI4" t="s">
        <v>459</v>
      </c>
      <c r="AJ4" t="s">
        <v>460</v>
      </c>
      <c r="AK4" t="s">
        <v>461</v>
      </c>
      <c r="AL4" t="s">
        <v>462</v>
      </c>
      <c r="AN4" t="s">
        <v>458</v>
      </c>
      <c r="AO4" t="s">
        <v>77</v>
      </c>
      <c r="AP4" t="s">
        <v>459</v>
      </c>
      <c r="AQ4" t="s">
        <v>460</v>
      </c>
      <c r="AR4" t="s">
        <v>461</v>
      </c>
      <c r="AS4" t="s">
        <v>462</v>
      </c>
      <c r="AU4" t="s">
        <v>458</v>
      </c>
      <c r="AV4" t="s">
        <v>77</v>
      </c>
      <c r="AW4" t="s">
        <v>459</v>
      </c>
      <c r="AX4" t="s">
        <v>460</v>
      </c>
      <c r="AY4" t="s">
        <v>461</v>
      </c>
      <c r="AZ4" t="s">
        <v>462</v>
      </c>
      <c r="BB4" t="s">
        <v>458</v>
      </c>
      <c r="BC4" t="s">
        <v>77</v>
      </c>
      <c r="BD4" t="s">
        <v>459</v>
      </c>
      <c r="BE4" t="s">
        <v>460</v>
      </c>
      <c r="BF4" t="s">
        <v>461</v>
      </c>
      <c r="BG4" t="s">
        <v>462</v>
      </c>
      <c r="BI4" t="s">
        <v>458</v>
      </c>
      <c r="BJ4" t="s">
        <v>77</v>
      </c>
      <c r="BK4" t="s">
        <v>459</v>
      </c>
      <c r="BL4" t="s">
        <v>460</v>
      </c>
      <c r="BM4" t="s">
        <v>461</v>
      </c>
      <c r="BN4" t="s">
        <v>462</v>
      </c>
      <c r="BP4" t="s">
        <v>458</v>
      </c>
      <c r="BQ4" t="s">
        <v>77</v>
      </c>
      <c r="BR4" t="s">
        <v>459</v>
      </c>
      <c r="BS4" t="s">
        <v>460</v>
      </c>
      <c r="BT4" t="s">
        <v>461</v>
      </c>
      <c r="BU4" t="s">
        <v>462</v>
      </c>
    </row>
    <row r="5" spans="1:73">
      <c r="A5" s="5" t="s">
        <v>15</v>
      </c>
      <c r="B5" s="5" t="s">
        <v>78</v>
      </c>
      <c r="E5" t="s">
        <v>463</v>
      </c>
      <c r="F5" t="str">
        <f t="shared" ref="F5:F68" si="0">"NatGrdExt_"&amp;$A5&amp;"_"&amp;G$1</f>
        <v>NatGrdExt_AFG_1</v>
      </c>
      <c r="G5" t="str">
        <f>"Grid Extension -"&amp;$B5&amp;"- Step "&amp;G$1</f>
        <v>Grid Extension -Afghanistan- Step 1</v>
      </c>
      <c r="H5" t="s">
        <v>13</v>
      </c>
      <c r="I5" t="s">
        <v>11</v>
      </c>
      <c r="J5" t="s">
        <v>464</v>
      </c>
      <c r="L5" t="s">
        <v>463</v>
      </c>
      <c r="M5" t="str">
        <f t="shared" ref="M5:M68" si="1">"NatGrdExt_"&amp;$A5&amp;"_"&amp;N$1</f>
        <v>NatGrdExt_AFG_2</v>
      </c>
      <c r="N5" t="str">
        <f>"Grid Extension -"&amp;$B5&amp;"- Step "&amp;N$1</f>
        <v>Grid Extension -Afghanistan- Step 2</v>
      </c>
      <c r="O5" t="s">
        <v>13</v>
      </c>
      <c r="P5" t="s">
        <v>11</v>
      </c>
      <c r="Q5" t="s">
        <v>464</v>
      </c>
      <c r="S5" t="s">
        <v>463</v>
      </c>
      <c r="T5" t="str">
        <f t="shared" ref="T5:T68" si="2">"NatGrdExt_"&amp;$A5&amp;"_"&amp;U$1</f>
        <v>NatGrdExt_AFG_3</v>
      </c>
      <c r="U5" t="str">
        <f>"Grid Extension -"&amp;$B5&amp;"- Step "&amp;U$1</f>
        <v>Grid Extension -Afghanistan- Step 3</v>
      </c>
      <c r="V5" t="s">
        <v>13</v>
      </c>
      <c r="W5" t="s">
        <v>11</v>
      </c>
      <c r="X5" t="s">
        <v>464</v>
      </c>
      <c r="Z5" t="s">
        <v>463</v>
      </c>
      <c r="AA5" t="str">
        <f t="shared" ref="AA5:AA68" si="3">"NatGrdExt_"&amp;$A5&amp;"_"&amp;AB$1</f>
        <v>NatGrdExt_AFG_4</v>
      </c>
      <c r="AB5" t="str">
        <f>"Grid Extension -"&amp;$B5&amp;"- Step "&amp;AB$1</f>
        <v>Grid Extension -Afghanistan- Step 4</v>
      </c>
      <c r="AC5" t="s">
        <v>13</v>
      </c>
      <c r="AD5" t="s">
        <v>11</v>
      </c>
      <c r="AE5" t="s">
        <v>464</v>
      </c>
      <c r="AG5" t="s">
        <v>463</v>
      </c>
      <c r="AH5" t="str">
        <f t="shared" ref="AH5:AH68" si="4">"NatGrdExt_"&amp;$A5&amp;"_"&amp;AI$1</f>
        <v>NatGrdExt_AFG_5</v>
      </c>
      <c r="AI5" t="str">
        <f>"Grid Extension -"&amp;$B5&amp;"- Step "&amp;AI$1</f>
        <v>Grid Extension -Afghanistan- Step 5</v>
      </c>
      <c r="AJ5" t="s">
        <v>13</v>
      </c>
      <c r="AK5" t="s">
        <v>11</v>
      </c>
      <c r="AL5" t="s">
        <v>464</v>
      </c>
      <c r="AN5" t="s">
        <v>463</v>
      </c>
      <c r="AO5" t="str">
        <f t="shared" ref="AO5:AO68" si="5">"NatGrdExt_"&amp;$A5&amp;"_"&amp;AP$1</f>
        <v>NatGrdExt_AFG_6</v>
      </c>
      <c r="AP5" t="str">
        <f>"Grid Extension -"&amp;$B5&amp;"- Step "&amp;AP$1</f>
        <v>Grid Extension -Afghanistan- Step 6</v>
      </c>
      <c r="AQ5" t="s">
        <v>13</v>
      </c>
      <c r="AR5" t="s">
        <v>11</v>
      </c>
      <c r="AS5" t="s">
        <v>464</v>
      </c>
      <c r="AU5" t="s">
        <v>463</v>
      </c>
      <c r="AV5" t="str">
        <f t="shared" ref="AV5:AV68" si="6">"NatGrdExt_"&amp;$A5&amp;"_"&amp;AW$1</f>
        <v>NatGrdExt_AFG_7</v>
      </c>
      <c r="AW5" t="str">
        <f>"Grid Extension -"&amp;$B5&amp;"- Step "&amp;AW$1</f>
        <v>Grid Extension -Afghanistan- Step 7</v>
      </c>
      <c r="AX5" t="s">
        <v>13</v>
      </c>
      <c r="AY5" t="s">
        <v>11</v>
      </c>
      <c r="AZ5" t="s">
        <v>464</v>
      </c>
      <c r="BB5" t="s">
        <v>463</v>
      </c>
      <c r="BC5" t="str">
        <f t="shared" ref="BC5:BC68" si="7">"NatGrdExt_"&amp;$A5&amp;"_"&amp;BD$1</f>
        <v>NatGrdExt_AFG_8</v>
      </c>
      <c r="BD5" t="str">
        <f>"Grid Extension -"&amp;$B5&amp;"- Step "&amp;BD$1</f>
        <v>Grid Extension -Afghanistan- Step 8</v>
      </c>
      <c r="BE5" t="s">
        <v>13</v>
      </c>
      <c r="BF5" t="s">
        <v>11</v>
      </c>
      <c r="BG5" t="s">
        <v>464</v>
      </c>
      <c r="BI5" t="s">
        <v>463</v>
      </c>
      <c r="BJ5" t="str">
        <f t="shared" ref="BJ5:BJ68" si="8">"NatGrdExt_"&amp;$A5&amp;"_"&amp;BK$1</f>
        <v>NatGrdExt_AFG_9</v>
      </c>
      <c r="BK5" t="str">
        <f>"Grid Extension -"&amp;$B5&amp;"- Step "&amp;BK$1</f>
        <v>Grid Extension -Afghanistan- Step 9</v>
      </c>
      <c r="BL5" t="s">
        <v>13</v>
      </c>
      <c r="BM5" t="s">
        <v>11</v>
      </c>
      <c r="BN5" t="s">
        <v>464</v>
      </c>
      <c r="BP5" t="s">
        <v>463</v>
      </c>
      <c r="BQ5" t="str">
        <f t="shared" ref="BQ5:BQ68" si="9">"NatGrdExt_"&amp;$A5&amp;"_"&amp;BR$1</f>
        <v>NatGrdExt_AFG_10</v>
      </c>
      <c r="BR5" t="str">
        <f>"Grid Extension -"&amp;$B5&amp;"- Step "&amp;BR$1</f>
        <v>Grid Extension -Afghanistan- Step 10</v>
      </c>
      <c r="BS5" t="s">
        <v>13</v>
      </c>
      <c r="BT5" t="s">
        <v>11</v>
      </c>
      <c r="BU5" t="s">
        <v>464</v>
      </c>
    </row>
    <row r="6" spans="1:73">
      <c r="A6" s="5" t="s">
        <v>16</v>
      </c>
      <c r="B6" s="5" t="s">
        <v>79</v>
      </c>
      <c r="E6" t="s">
        <v>463</v>
      </c>
      <c r="F6" t="str">
        <f t="shared" si="0"/>
        <v>NatGrdExt_AGO_1</v>
      </c>
      <c r="G6" t="str">
        <f t="shared" ref="G6:G69" si="10">"Grid Extension -"&amp;$B6&amp;"- Step "&amp;G$1</f>
        <v>Grid Extension -Angola- Step 1</v>
      </c>
      <c r="H6" t="s">
        <v>13</v>
      </c>
      <c r="I6" t="s">
        <v>11</v>
      </c>
      <c r="J6" t="s">
        <v>464</v>
      </c>
      <c r="L6" t="s">
        <v>463</v>
      </c>
      <c r="M6" t="str">
        <f t="shared" si="1"/>
        <v>NatGrdExt_AGO_2</v>
      </c>
      <c r="N6" t="str">
        <f t="shared" ref="N6:N69" si="11">"Grid Extension -"&amp;$B6&amp;"- Step "&amp;N$1</f>
        <v>Grid Extension -Angola- Step 2</v>
      </c>
      <c r="O6" t="s">
        <v>13</v>
      </c>
      <c r="P6" t="s">
        <v>11</v>
      </c>
      <c r="Q6" t="s">
        <v>464</v>
      </c>
      <c r="S6" t="s">
        <v>463</v>
      </c>
      <c r="T6" t="str">
        <f t="shared" si="2"/>
        <v>NatGrdExt_AGO_3</v>
      </c>
      <c r="U6" t="str">
        <f t="shared" ref="U6:U69" si="12">"Grid Extension -"&amp;$B6&amp;"- Step "&amp;U$1</f>
        <v>Grid Extension -Angola- Step 3</v>
      </c>
      <c r="V6" t="s">
        <v>13</v>
      </c>
      <c r="W6" t="s">
        <v>11</v>
      </c>
      <c r="X6" t="s">
        <v>464</v>
      </c>
      <c r="Z6" t="s">
        <v>463</v>
      </c>
      <c r="AA6" t="str">
        <f t="shared" si="3"/>
        <v>NatGrdExt_AGO_4</v>
      </c>
      <c r="AB6" t="str">
        <f t="shared" ref="AB6:AB69" si="13">"Grid Extension -"&amp;$B6&amp;"- Step "&amp;AB$1</f>
        <v>Grid Extension -Angola- Step 4</v>
      </c>
      <c r="AC6" t="s">
        <v>13</v>
      </c>
      <c r="AD6" t="s">
        <v>11</v>
      </c>
      <c r="AE6" t="s">
        <v>464</v>
      </c>
      <c r="AG6" t="s">
        <v>463</v>
      </c>
      <c r="AH6" t="str">
        <f t="shared" si="4"/>
        <v>NatGrdExt_AGO_5</v>
      </c>
      <c r="AI6" t="str">
        <f t="shared" ref="AI6:AI69" si="14">"Grid Extension -"&amp;$B6&amp;"- Step "&amp;AI$1</f>
        <v>Grid Extension -Angola- Step 5</v>
      </c>
      <c r="AJ6" t="s">
        <v>13</v>
      </c>
      <c r="AK6" t="s">
        <v>11</v>
      </c>
      <c r="AL6" t="s">
        <v>464</v>
      </c>
      <c r="AN6" t="s">
        <v>463</v>
      </c>
      <c r="AO6" t="str">
        <f t="shared" si="5"/>
        <v>NatGrdExt_AGO_6</v>
      </c>
      <c r="AP6" t="str">
        <f t="shared" ref="AP6:AP69" si="15">"Grid Extension -"&amp;$B6&amp;"- Step "&amp;AP$1</f>
        <v>Grid Extension -Angola- Step 6</v>
      </c>
      <c r="AQ6" t="s">
        <v>13</v>
      </c>
      <c r="AR6" t="s">
        <v>11</v>
      </c>
      <c r="AS6" t="s">
        <v>464</v>
      </c>
      <c r="AU6" t="s">
        <v>463</v>
      </c>
      <c r="AV6" t="str">
        <f t="shared" si="6"/>
        <v>NatGrdExt_AGO_7</v>
      </c>
      <c r="AW6" t="str">
        <f t="shared" ref="AW6:AW69" si="16">"Grid Extension -"&amp;$B6&amp;"- Step "&amp;AW$1</f>
        <v>Grid Extension -Angola- Step 7</v>
      </c>
      <c r="AX6" t="s">
        <v>13</v>
      </c>
      <c r="AY6" t="s">
        <v>11</v>
      </c>
      <c r="AZ6" t="s">
        <v>464</v>
      </c>
      <c r="BB6" t="s">
        <v>463</v>
      </c>
      <c r="BC6" t="str">
        <f t="shared" si="7"/>
        <v>NatGrdExt_AGO_8</v>
      </c>
      <c r="BD6" t="str">
        <f t="shared" ref="BD6:BD69" si="17">"Grid Extension -"&amp;$B6&amp;"- Step "&amp;BD$1</f>
        <v>Grid Extension -Angola- Step 8</v>
      </c>
      <c r="BE6" t="s">
        <v>13</v>
      </c>
      <c r="BF6" t="s">
        <v>11</v>
      </c>
      <c r="BG6" t="s">
        <v>464</v>
      </c>
      <c r="BI6" t="s">
        <v>463</v>
      </c>
      <c r="BJ6" t="str">
        <f t="shared" si="8"/>
        <v>NatGrdExt_AGO_9</v>
      </c>
      <c r="BK6" t="str">
        <f t="shared" ref="BK6:BK69" si="18">"Grid Extension -"&amp;$B6&amp;"- Step "&amp;BK$1</f>
        <v>Grid Extension -Angola- Step 9</v>
      </c>
      <c r="BL6" t="s">
        <v>13</v>
      </c>
      <c r="BM6" t="s">
        <v>11</v>
      </c>
      <c r="BN6" t="s">
        <v>464</v>
      </c>
      <c r="BP6" t="s">
        <v>463</v>
      </c>
      <c r="BQ6" t="str">
        <f t="shared" si="9"/>
        <v>NatGrdExt_AGO_10</v>
      </c>
      <c r="BR6" t="str">
        <f t="shared" ref="BR6:BR69" si="19">"Grid Extension -"&amp;$B6&amp;"- Step "&amp;BR$1</f>
        <v>Grid Extension -Angola- Step 10</v>
      </c>
      <c r="BS6" t="s">
        <v>13</v>
      </c>
      <c r="BT6" t="s">
        <v>11</v>
      </c>
      <c r="BU6" t="s">
        <v>464</v>
      </c>
    </row>
    <row r="7" spans="1:73">
      <c r="A7" s="5" t="s">
        <v>465</v>
      </c>
      <c r="B7" s="5" t="s">
        <v>466</v>
      </c>
      <c r="E7" t="s">
        <v>463</v>
      </c>
      <c r="F7" t="str">
        <f t="shared" si="0"/>
        <v>NatGrdExt_ALB_1</v>
      </c>
      <c r="G7" t="str">
        <f t="shared" si="10"/>
        <v>Grid Extension -Albania- Step 1</v>
      </c>
      <c r="H7" t="s">
        <v>13</v>
      </c>
      <c r="I7" t="s">
        <v>11</v>
      </c>
      <c r="J7" t="s">
        <v>464</v>
      </c>
      <c r="L7" t="s">
        <v>463</v>
      </c>
      <c r="M7" t="str">
        <f t="shared" si="1"/>
        <v>NatGrdExt_ALB_2</v>
      </c>
      <c r="N7" t="str">
        <f t="shared" si="11"/>
        <v>Grid Extension -Albania- Step 2</v>
      </c>
      <c r="O7" t="s">
        <v>13</v>
      </c>
      <c r="P7" t="s">
        <v>11</v>
      </c>
      <c r="Q7" t="s">
        <v>464</v>
      </c>
      <c r="S7" t="s">
        <v>463</v>
      </c>
      <c r="T7" t="str">
        <f t="shared" si="2"/>
        <v>NatGrdExt_ALB_3</v>
      </c>
      <c r="U7" t="str">
        <f t="shared" si="12"/>
        <v>Grid Extension -Albania- Step 3</v>
      </c>
      <c r="V7" t="s">
        <v>13</v>
      </c>
      <c r="W7" t="s">
        <v>11</v>
      </c>
      <c r="X7" t="s">
        <v>464</v>
      </c>
      <c r="Z7" t="s">
        <v>463</v>
      </c>
      <c r="AA7" t="str">
        <f t="shared" si="3"/>
        <v>NatGrdExt_ALB_4</v>
      </c>
      <c r="AB7" t="str">
        <f t="shared" si="13"/>
        <v>Grid Extension -Albania- Step 4</v>
      </c>
      <c r="AC7" t="s">
        <v>13</v>
      </c>
      <c r="AD7" t="s">
        <v>11</v>
      </c>
      <c r="AE7" t="s">
        <v>464</v>
      </c>
      <c r="AG7" t="s">
        <v>463</v>
      </c>
      <c r="AH7" t="str">
        <f t="shared" si="4"/>
        <v>NatGrdExt_ALB_5</v>
      </c>
      <c r="AI7" t="str">
        <f t="shared" si="14"/>
        <v>Grid Extension -Albania- Step 5</v>
      </c>
      <c r="AJ7" t="s">
        <v>13</v>
      </c>
      <c r="AK7" t="s">
        <v>11</v>
      </c>
      <c r="AL7" t="s">
        <v>464</v>
      </c>
      <c r="AN7" t="s">
        <v>463</v>
      </c>
      <c r="AO7" t="str">
        <f t="shared" si="5"/>
        <v>NatGrdExt_ALB_6</v>
      </c>
      <c r="AP7" t="str">
        <f t="shared" si="15"/>
        <v>Grid Extension -Albania- Step 6</v>
      </c>
      <c r="AQ7" t="s">
        <v>13</v>
      </c>
      <c r="AR7" t="s">
        <v>11</v>
      </c>
      <c r="AS7" t="s">
        <v>464</v>
      </c>
      <c r="AU7" t="s">
        <v>463</v>
      </c>
      <c r="AV7" t="str">
        <f t="shared" si="6"/>
        <v>NatGrdExt_ALB_7</v>
      </c>
      <c r="AW7" t="str">
        <f t="shared" si="16"/>
        <v>Grid Extension -Albania- Step 7</v>
      </c>
      <c r="AX7" t="s">
        <v>13</v>
      </c>
      <c r="AY7" t="s">
        <v>11</v>
      </c>
      <c r="AZ7" t="s">
        <v>464</v>
      </c>
      <c r="BB7" t="s">
        <v>463</v>
      </c>
      <c r="BC7" t="str">
        <f t="shared" si="7"/>
        <v>NatGrdExt_ALB_8</v>
      </c>
      <c r="BD7" t="str">
        <f t="shared" si="17"/>
        <v>Grid Extension -Albania- Step 8</v>
      </c>
      <c r="BE7" t="s">
        <v>13</v>
      </c>
      <c r="BF7" t="s">
        <v>11</v>
      </c>
      <c r="BG7" t="s">
        <v>464</v>
      </c>
      <c r="BI7" t="s">
        <v>463</v>
      </c>
      <c r="BJ7" t="str">
        <f t="shared" si="8"/>
        <v>NatGrdExt_ALB_9</v>
      </c>
      <c r="BK7" t="str">
        <f t="shared" si="18"/>
        <v>Grid Extension -Albania- Step 9</v>
      </c>
      <c r="BL7" t="s">
        <v>13</v>
      </c>
      <c r="BM7" t="s">
        <v>11</v>
      </c>
      <c r="BN7" t="s">
        <v>464</v>
      </c>
      <c r="BP7" t="s">
        <v>463</v>
      </c>
      <c r="BQ7" t="str">
        <f t="shared" si="9"/>
        <v>NatGrdExt_ALB_10</v>
      </c>
      <c r="BR7" t="str">
        <f t="shared" si="19"/>
        <v>Grid Extension -Albania- Step 10</v>
      </c>
      <c r="BS7" t="s">
        <v>13</v>
      </c>
      <c r="BT7" t="s">
        <v>11</v>
      </c>
      <c r="BU7" t="s">
        <v>464</v>
      </c>
    </row>
    <row r="8" spans="1:73">
      <c r="A8" s="5" t="s">
        <v>467</v>
      </c>
      <c r="B8" s="5" t="s">
        <v>468</v>
      </c>
      <c r="E8" t="s">
        <v>463</v>
      </c>
      <c r="F8" t="str">
        <f t="shared" si="0"/>
        <v>NatGrdExt_ARE_1</v>
      </c>
      <c r="G8" t="str">
        <f t="shared" si="10"/>
        <v>Grid Extension -United Arab Emirates- Step 1</v>
      </c>
      <c r="H8" t="s">
        <v>13</v>
      </c>
      <c r="I8" t="s">
        <v>11</v>
      </c>
      <c r="J8" t="s">
        <v>464</v>
      </c>
      <c r="L8" t="s">
        <v>463</v>
      </c>
      <c r="M8" t="str">
        <f t="shared" si="1"/>
        <v>NatGrdExt_ARE_2</v>
      </c>
      <c r="N8" t="str">
        <f t="shared" si="11"/>
        <v>Grid Extension -United Arab Emirates- Step 2</v>
      </c>
      <c r="O8" t="s">
        <v>13</v>
      </c>
      <c r="P8" t="s">
        <v>11</v>
      </c>
      <c r="Q8" t="s">
        <v>464</v>
      </c>
      <c r="S8" t="s">
        <v>463</v>
      </c>
      <c r="T8" t="str">
        <f t="shared" si="2"/>
        <v>NatGrdExt_ARE_3</v>
      </c>
      <c r="U8" t="str">
        <f t="shared" si="12"/>
        <v>Grid Extension -United Arab Emirates- Step 3</v>
      </c>
      <c r="V8" t="s">
        <v>13</v>
      </c>
      <c r="W8" t="s">
        <v>11</v>
      </c>
      <c r="X8" t="s">
        <v>464</v>
      </c>
      <c r="Z8" t="s">
        <v>463</v>
      </c>
      <c r="AA8" t="str">
        <f t="shared" si="3"/>
        <v>NatGrdExt_ARE_4</v>
      </c>
      <c r="AB8" t="str">
        <f t="shared" si="13"/>
        <v>Grid Extension -United Arab Emirates- Step 4</v>
      </c>
      <c r="AC8" t="s">
        <v>13</v>
      </c>
      <c r="AD8" t="s">
        <v>11</v>
      </c>
      <c r="AE8" t="s">
        <v>464</v>
      </c>
      <c r="AG8" t="s">
        <v>463</v>
      </c>
      <c r="AH8" t="str">
        <f t="shared" si="4"/>
        <v>NatGrdExt_ARE_5</v>
      </c>
      <c r="AI8" t="str">
        <f t="shared" si="14"/>
        <v>Grid Extension -United Arab Emirates- Step 5</v>
      </c>
      <c r="AJ8" t="s">
        <v>13</v>
      </c>
      <c r="AK8" t="s">
        <v>11</v>
      </c>
      <c r="AL8" t="s">
        <v>464</v>
      </c>
      <c r="AN8" t="s">
        <v>463</v>
      </c>
      <c r="AO8" t="str">
        <f t="shared" si="5"/>
        <v>NatGrdExt_ARE_6</v>
      </c>
      <c r="AP8" t="str">
        <f t="shared" si="15"/>
        <v>Grid Extension -United Arab Emirates- Step 6</v>
      </c>
      <c r="AQ8" t="s">
        <v>13</v>
      </c>
      <c r="AR8" t="s">
        <v>11</v>
      </c>
      <c r="AS8" t="s">
        <v>464</v>
      </c>
      <c r="AU8" t="s">
        <v>463</v>
      </c>
      <c r="AV8" t="str">
        <f t="shared" si="6"/>
        <v>NatGrdExt_ARE_7</v>
      </c>
      <c r="AW8" t="str">
        <f t="shared" si="16"/>
        <v>Grid Extension -United Arab Emirates- Step 7</v>
      </c>
      <c r="AX8" t="s">
        <v>13</v>
      </c>
      <c r="AY8" t="s">
        <v>11</v>
      </c>
      <c r="AZ8" t="s">
        <v>464</v>
      </c>
      <c r="BB8" t="s">
        <v>463</v>
      </c>
      <c r="BC8" t="str">
        <f t="shared" si="7"/>
        <v>NatGrdExt_ARE_8</v>
      </c>
      <c r="BD8" t="str">
        <f t="shared" si="17"/>
        <v>Grid Extension -United Arab Emirates- Step 8</v>
      </c>
      <c r="BE8" t="s">
        <v>13</v>
      </c>
      <c r="BF8" t="s">
        <v>11</v>
      </c>
      <c r="BG8" t="s">
        <v>464</v>
      </c>
      <c r="BI8" t="s">
        <v>463</v>
      </c>
      <c r="BJ8" t="str">
        <f t="shared" si="8"/>
        <v>NatGrdExt_ARE_9</v>
      </c>
      <c r="BK8" t="str">
        <f t="shared" si="18"/>
        <v>Grid Extension -United Arab Emirates- Step 9</v>
      </c>
      <c r="BL8" t="s">
        <v>13</v>
      </c>
      <c r="BM8" t="s">
        <v>11</v>
      </c>
      <c r="BN8" t="s">
        <v>464</v>
      </c>
      <c r="BP8" t="s">
        <v>463</v>
      </c>
      <c r="BQ8" t="str">
        <f t="shared" si="9"/>
        <v>NatGrdExt_ARE_10</v>
      </c>
      <c r="BR8" t="str">
        <f t="shared" si="19"/>
        <v>Grid Extension -United Arab Emirates- Step 10</v>
      </c>
      <c r="BS8" t="s">
        <v>13</v>
      </c>
      <c r="BT8" t="s">
        <v>11</v>
      </c>
      <c r="BU8" t="s">
        <v>464</v>
      </c>
    </row>
    <row r="9" spans="1:73">
      <c r="A9" s="5" t="s">
        <v>17</v>
      </c>
      <c r="B9" s="5" t="s">
        <v>80</v>
      </c>
      <c r="E9" t="s">
        <v>463</v>
      </c>
      <c r="F9" t="str">
        <f t="shared" si="0"/>
        <v>NatGrdExt_ARG_1</v>
      </c>
      <c r="G9" t="str">
        <f t="shared" si="10"/>
        <v>Grid Extension -Argentina- Step 1</v>
      </c>
      <c r="H9" t="s">
        <v>13</v>
      </c>
      <c r="I9" t="s">
        <v>11</v>
      </c>
      <c r="J9" t="s">
        <v>464</v>
      </c>
      <c r="L9" t="s">
        <v>463</v>
      </c>
      <c r="M9" t="str">
        <f t="shared" si="1"/>
        <v>NatGrdExt_ARG_2</v>
      </c>
      <c r="N9" t="str">
        <f t="shared" si="11"/>
        <v>Grid Extension -Argentina- Step 2</v>
      </c>
      <c r="O9" t="s">
        <v>13</v>
      </c>
      <c r="P9" t="s">
        <v>11</v>
      </c>
      <c r="Q9" t="s">
        <v>464</v>
      </c>
      <c r="S9" t="s">
        <v>463</v>
      </c>
      <c r="T9" t="str">
        <f t="shared" si="2"/>
        <v>NatGrdExt_ARG_3</v>
      </c>
      <c r="U9" t="str">
        <f t="shared" si="12"/>
        <v>Grid Extension -Argentina- Step 3</v>
      </c>
      <c r="V9" t="s">
        <v>13</v>
      </c>
      <c r="W9" t="s">
        <v>11</v>
      </c>
      <c r="X9" t="s">
        <v>464</v>
      </c>
      <c r="Z9" t="s">
        <v>463</v>
      </c>
      <c r="AA9" t="str">
        <f t="shared" si="3"/>
        <v>NatGrdExt_ARG_4</v>
      </c>
      <c r="AB9" t="str">
        <f t="shared" si="13"/>
        <v>Grid Extension -Argentina- Step 4</v>
      </c>
      <c r="AC9" t="s">
        <v>13</v>
      </c>
      <c r="AD9" t="s">
        <v>11</v>
      </c>
      <c r="AE9" t="s">
        <v>464</v>
      </c>
      <c r="AG9" t="s">
        <v>463</v>
      </c>
      <c r="AH9" t="str">
        <f t="shared" si="4"/>
        <v>NatGrdExt_ARG_5</v>
      </c>
      <c r="AI9" t="str">
        <f t="shared" si="14"/>
        <v>Grid Extension -Argentina- Step 5</v>
      </c>
      <c r="AJ9" t="s">
        <v>13</v>
      </c>
      <c r="AK9" t="s">
        <v>11</v>
      </c>
      <c r="AL9" t="s">
        <v>464</v>
      </c>
      <c r="AN9" t="s">
        <v>463</v>
      </c>
      <c r="AO9" t="str">
        <f t="shared" si="5"/>
        <v>NatGrdExt_ARG_6</v>
      </c>
      <c r="AP9" t="str">
        <f t="shared" si="15"/>
        <v>Grid Extension -Argentina- Step 6</v>
      </c>
      <c r="AQ9" t="s">
        <v>13</v>
      </c>
      <c r="AR9" t="s">
        <v>11</v>
      </c>
      <c r="AS9" t="s">
        <v>464</v>
      </c>
      <c r="AU9" t="s">
        <v>463</v>
      </c>
      <c r="AV9" t="str">
        <f t="shared" si="6"/>
        <v>NatGrdExt_ARG_7</v>
      </c>
      <c r="AW9" t="str">
        <f t="shared" si="16"/>
        <v>Grid Extension -Argentina- Step 7</v>
      </c>
      <c r="AX9" t="s">
        <v>13</v>
      </c>
      <c r="AY9" t="s">
        <v>11</v>
      </c>
      <c r="AZ9" t="s">
        <v>464</v>
      </c>
      <c r="BB9" t="s">
        <v>463</v>
      </c>
      <c r="BC9" t="str">
        <f t="shared" si="7"/>
        <v>NatGrdExt_ARG_8</v>
      </c>
      <c r="BD9" t="str">
        <f t="shared" si="17"/>
        <v>Grid Extension -Argentina- Step 8</v>
      </c>
      <c r="BE9" t="s">
        <v>13</v>
      </c>
      <c r="BF9" t="s">
        <v>11</v>
      </c>
      <c r="BG9" t="s">
        <v>464</v>
      </c>
      <c r="BI9" t="s">
        <v>463</v>
      </c>
      <c r="BJ9" t="str">
        <f t="shared" si="8"/>
        <v>NatGrdExt_ARG_9</v>
      </c>
      <c r="BK9" t="str">
        <f t="shared" si="18"/>
        <v>Grid Extension -Argentina- Step 9</v>
      </c>
      <c r="BL9" t="s">
        <v>13</v>
      </c>
      <c r="BM9" t="s">
        <v>11</v>
      </c>
      <c r="BN9" t="s">
        <v>464</v>
      </c>
      <c r="BP9" t="s">
        <v>463</v>
      </c>
      <c r="BQ9" t="str">
        <f t="shared" si="9"/>
        <v>NatGrdExt_ARG_10</v>
      </c>
      <c r="BR9" t="str">
        <f t="shared" si="19"/>
        <v>Grid Extension -Argentina- Step 10</v>
      </c>
      <c r="BS9" t="s">
        <v>13</v>
      </c>
      <c r="BT9" t="s">
        <v>11</v>
      </c>
      <c r="BU9" t="s">
        <v>464</v>
      </c>
    </row>
    <row r="10" spans="1:73">
      <c r="A10" s="5" t="s">
        <v>469</v>
      </c>
      <c r="B10" s="5" t="s">
        <v>470</v>
      </c>
      <c r="E10" t="s">
        <v>463</v>
      </c>
      <c r="F10" t="str">
        <f t="shared" si="0"/>
        <v>NatGrdExt_ARM_1</v>
      </c>
      <c r="G10" t="str">
        <f t="shared" si="10"/>
        <v>Grid Extension -Armenia- Step 1</v>
      </c>
      <c r="H10" t="s">
        <v>13</v>
      </c>
      <c r="I10" t="s">
        <v>11</v>
      </c>
      <c r="J10" t="s">
        <v>464</v>
      </c>
      <c r="L10" t="s">
        <v>463</v>
      </c>
      <c r="M10" t="str">
        <f t="shared" si="1"/>
        <v>NatGrdExt_ARM_2</v>
      </c>
      <c r="N10" t="str">
        <f t="shared" si="11"/>
        <v>Grid Extension -Armenia- Step 2</v>
      </c>
      <c r="O10" t="s">
        <v>13</v>
      </c>
      <c r="P10" t="s">
        <v>11</v>
      </c>
      <c r="Q10" t="s">
        <v>464</v>
      </c>
      <c r="S10" t="s">
        <v>463</v>
      </c>
      <c r="T10" t="str">
        <f t="shared" si="2"/>
        <v>NatGrdExt_ARM_3</v>
      </c>
      <c r="U10" t="str">
        <f t="shared" si="12"/>
        <v>Grid Extension -Armenia- Step 3</v>
      </c>
      <c r="V10" t="s">
        <v>13</v>
      </c>
      <c r="W10" t="s">
        <v>11</v>
      </c>
      <c r="X10" t="s">
        <v>464</v>
      </c>
      <c r="Z10" t="s">
        <v>463</v>
      </c>
      <c r="AA10" t="str">
        <f t="shared" si="3"/>
        <v>NatGrdExt_ARM_4</v>
      </c>
      <c r="AB10" t="str">
        <f t="shared" si="13"/>
        <v>Grid Extension -Armenia- Step 4</v>
      </c>
      <c r="AC10" t="s">
        <v>13</v>
      </c>
      <c r="AD10" t="s">
        <v>11</v>
      </c>
      <c r="AE10" t="s">
        <v>464</v>
      </c>
      <c r="AG10" t="s">
        <v>463</v>
      </c>
      <c r="AH10" t="str">
        <f t="shared" si="4"/>
        <v>NatGrdExt_ARM_5</v>
      </c>
      <c r="AI10" t="str">
        <f t="shared" si="14"/>
        <v>Grid Extension -Armenia- Step 5</v>
      </c>
      <c r="AJ10" t="s">
        <v>13</v>
      </c>
      <c r="AK10" t="s">
        <v>11</v>
      </c>
      <c r="AL10" t="s">
        <v>464</v>
      </c>
      <c r="AN10" t="s">
        <v>463</v>
      </c>
      <c r="AO10" t="str">
        <f t="shared" si="5"/>
        <v>NatGrdExt_ARM_6</v>
      </c>
      <c r="AP10" t="str">
        <f t="shared" si="15"/>
        <v>Grid Extension -Armenia- Step 6</v>
      </c>
      <c r="AQ10" t="s">
        <v>13</v>
      </c>
      <c r="AR10" t="s">
        <v>11</v>
      </c>
      <c r="AS10" t="s">
        <v>464</v>
      </c>
      <c r="AU10" t="s">
        <v>463</v>
      </c>
      <c r="AV10" t="str">
        <f t="shared" si="6"/>
        <v>NatGrdExt_ARM_7</v>
      </c>
      <c r="AW10" t="str">
        <f t="shared" si="16"/>
        <v>Grid Extension -Armenia- Step 7</v>
      </c>
      <c r="AX10" t="s">
        <v>13</v>
      </c>
      <c r="AY10" t="s">
        <v>11</v>
      </c>
      <c r="AZ10" t="s">
        <v>464</v>
      </c>
      <c r="BB10" t="s">
        <v>463</v>
      </c>
      <c r="BC10" t="str">
        <f t="shared" si="7"/>
        <v>NatGrdExt_ARM_8</v>
      </c>
      <c r="BD10" t="str">
        <f t="shared" si="17"/>
        <v>Grid Extension -Armenia- Step 8</v>
      </c>
      <c r="BE10" t="s">
        <v>13</v>
      </c>
      <c r="BF10" t="s">
        <v>11</v>
      </c>
      <c r="BG10" t="s">
        <v>464</v>
      </c>
      <c r="BI10" t="s">
        <v>463</v>
      </c>
      <c r="BJ10" t="str">
        <f t="shared" si="8"/>
        <v>NatGrdExt_ARM_9</v>
      </c>
      <c r="BK10" t="str">
        <f t="shared" si="18"/>
        <v>Grid Extension -Armenia- Step 9</v>
      </c>
      <c r="BL10" t="s">
        <v>13</v>
      </c>
      <c r="BM10" t="s">
        <v>11</v>
      </c>
      <c r="BN10" t="s">
        <v>464</v>
      </c>
      <c r="BP10" t="s">
        <v>463</v>
      </c>
      <c r="BQ10" t="str">
        <f t="shared" si="9"/>
        <v>NatGrdExt_ARM_10</v>
      </c>
      <c r="BR10" t="str">
        <f t="shared" si="19"/>
        <v>Grid Extension -Armenia- Step 10</v>
      </c>
      <c r="BS10" t="s">
        <v>13</v>
      </c>
      <c r="BT10" t="s">
        <v>11</v>
      </c>
      <c r="BU10" t="s">
        <v>464</v>
      </c>
    </row>
    <row r="11" spans="1:73">
      <c r="A11" s="5" t="s">
        <v>471</v>
      </c>
      <c r="B11" s="5" t="s">
        <v>472</v>
      </c>
      <c r="E11" t="s">
        <v>463</v>
      </c>
      <c r="F11" t="str">
        <f t="shared" si="0"/>
        <v>NatGrdExt_ATG_1</v>
      </c>
      <c r="G11" t="str">
        <f t="shared" si="10"/>
        <v>Grid Extension -Antigua and Barbuda- Step 1</v>
      </c>
      <c r="H11" t="s">
        <v>13</v>
      </c>
      <c r="I11" t="s">
        <v>11</v>
      </c>
      <c r="J11" t="s">
        <v>464</v>
      </c>
      <c r="L11" t="s">
        <v>463</v>
      </c>
      <c r="M11" t="str">
        <f t="shared" si="1"/>
        <v>NatGrdExt_ATG_2</v>
      </c>
      <c r="N11" t="str">
        <f t="shared" si="11"/>
        <v>Grid Extension -Antigua and Barbuda- Step 2</v>
      </c>
      <c r="O11" t="s">
        <v>13</v>
      </c>
      <c r="P11" t="s">
        <v>11</v>
      </c>
      <c r="Q11" t="s">
        <v>464</v>
      </c>
      <c r="S11" t="s">
        <v>463</v>
      </c>
      <c r="T11" t="str">
        <f t="shared" si="2"/>
        <v>NatGrdExt_ATG_3</v>
      </c>
      <c r="U11" t="str">
        <f t="shared" si="12"/>
        <v>Grid Extension -Antigua and Barbuda- Step 3</v>
      </c>
      <c r="V11" t="s">
        <v>13</v>
      </c>
      <c r="W11" t="s">
        <v>11</v>
      </c>
      <c r="X11" t="s">
        <v>464</v>
      </c>
      <c r="Z11" t="s">
        <v>463</v>
      </c>
      <c r="AA11" t="str">
        <f t="shared" si="3"/>
        <v>NatGrdExt_ATG_4</v>
      </c>
      <c r="AB11" t="str">
        <f t="shared" si="13"/>
        <v>Grid Extension -Antigua and Barbuda- Step 4</v>
      </c>
      <c r="AC11" t="s">
        <v>13</v>
      </c>
      <c r="AD11" t="s">
        <v>11</v>
      </c>
      <c r="AE11" t="s">
        <v>464</v>
      </c>
      <c r="AG11" t="s">
        <v>463</v>
      </c>
      <c r="AH11" t="str">
        <f t="shared" si="4"/>
        <v>NatGrdExt_ATG_5</v>
      </c>
      <c r="AI11" t="str">
        <f t="shared" si="14"/>
        <v>Grid Extension -Antigua and Barbuda- Step 5</v>
      </c>
      <c r="AJ11" t="s">
        <v>13</v>
      </c>
      <c r="AK11" t="s">
        <v>11</v>
      </c>
      <c r="AL11" t="s">
        <v>464</v>
      </c>
      <c r="AN11" t="s">
        <v>463</v>
      </c>
      <c r="AO11" t="str">
        <f t="shared" si="5"/>
        <v>NatGrdExt_ATG_6</v>
      </c>
      <c r="AP11" t="str">
        <f t="shared" si="15"/>
        <v>Grid Extension -Antigua and Barbuda- Step 6</v>
      </c>
      <c r="AQ11" t="s">
        <v>13</v>
      </c>
      <c r="AR11" t="s">
        <v>11</v>
      </c>
      <c r="AS11" t="s">
        <v>464</v>
      </c>
      <c r="AU11" t="s">
        <v>463</v>
      </c>
      <c r="AV11" t="str">
        <f t="shared" si="6"/>
        <v>NatGrdExt_ATG_7</v>
      </c>
      <c r="AW11" t="str">
        <f t="shared" si="16"/>
        <v>Grid Extension -Antigua and Barbuda- Step 7</v>
      </c>
      <c r="AX11" t="s">
        <v>13</v>
      </c>
      <c r="AY11" t="s">
        <v>11</v>
      </c>
      <c r="AZ11" t="s">
        <v>464</v>
      </c>
      <c r="BB11" t="s">
        <v>463</v>
      </c>
      <c r="BC11" t="str">
        <f t="shared" si="7"/>
        <v>NatGrdExt_ATG_8</v>
      </c>
      <c r="BD11" t="str">
        <f t="shared" si="17"/>
        <v>Grid Extension -Antigua and Barbuda- Step 8</v>
      </c>
      <c r="BE11" t="s">
        <v>13</v>
      </c>
      <c r="BF11" t="s">
        <v>11</v>
      </c>
      <c r="BG11" t="s">
        <v>464</v>
      </c>
      <c r="BI11" t="s">
        <v>463</v>
      </c>
      <c r="BJ11" t="str">
        <f t="shared" si="8"/>
        <v>NatGrdExt_ATG_9</v>
      </c>
      <c r="BK11" t="str">
        <f t="shared" si="18"/>
        <v>Grid Extension -Antigua and Barbuda- Step 9</v>
      </c>
      <c r="BL11" t="s">
        <v>13</v>
      </c>
      <c r="BM11" t="s">
        <v>11</v>
      </c>
      <c r="BN11" t="s">
        <v>464</v>
      </c>
      <c r="BP11" t="s">
        <v>463</v>
      </c>
      <c r="BQ11" t="str">
        <f t="shared" si="9"/>
        <v>NatGrdExt_ATG_10</v>
      </c>
      <c r="BR11" t="str">
        <f t="shared" si="19"/>
        <v>Grid Extension -Antigua and Barbuda- Step 10</v>
      </c>
      <c r="BS11" t="s">
        <v>13</v>
      </c>
      <c r="BT11" t="s">
        <v>11</v>
      </c>
      <c r="BU11" t="s">
        <v>464</v>
      </c>
    </row>
    <row r="12" spans="1:73">
      <c r="A12" s="5" t="s">
        <v>473</v>
      </c>
      <c r="B12" s="5" t="s">
        <v>474</v>
      </c>
      <c r="E12" t="s">
        <v>463</v>
      </c>
      <c r="F12" t="str">
        <f t="shared" si="0"/>
        <v>NatGrdExt_AUS_1</v>
      </c>
      <c r="G12" t="str">
        <f t="shared" si="10"/>
        <v>Grid Extension -Australia- Step 1</v>
      </c>
      <c r="H12" t="s">
        <v>13</v>
      </c>
      <c r="I12" t="s">
        <v>11</v>
      </c>
      <c r="J12" t="s">
        <v>464</v>
      </c>
      <c r="L12" t="s">
        <v>463</v>
      </c>
      <c r="M12" t="str">
        <f t="shared" si="1"/>
        <v>NatGrdExt_AUS_2</v>
      </c>
      <c r="N12" t="str">
        <f t="shared" si="11"/>
        <v>Grid Extension -Australia- Step 2</v>
      </c>
      <c r="O12" t="s">
        <v>13</v>
      </c>
      <c r="P12" t="s">
        <v>11</v>
      </c>
      <c r="Q12" t="s">
        <v>464</v>
      </c>
      <c r="S12" t="s">
        <v>463</v>
      </c>
      <c r="T12" t="str">
        <f t="shared" si="2"/>
        <v>NatGrdExt_AUS_3</v>
      </c>
      <c r="U12" t="str">
        <f t="shared" si="12"/>
        <v>Grid Extension -Australia- Step 3</v>
      </c>
      <c r="V12" t="s">
        <v>13</v>
      </c>
      <c r="W12" t="s">
        <v>11</v>
      </c>
      <c r="X12" t="s">
        <v>464</v>
      </c>
      <c r="Z12" t="s">
        <v>463</v>
      </c>
      <c r="AA12" t="str">
        <f t="shared" si="3"/>
        <v>NatGrdExt_AUS_4</v>
      </c>
      <c r="AB12" t="str">
        <f t="shared" si="13"/>
        <v>Grid Extension -Australia- Step 4</v>
      </c>
      <c r="AC12" t="s">
        <v>13</v>
      </c>
      <c r="AD12" t="s">
        <v>11</v>
      </c>
      <c r="AE12" t="s">
        <v>464</v>
      </c>
      <c r="AG12" t="s">
        <v>463</v>
      </c>
      <c r="AH12" t="str">
        <f t="shared" si="4"/>
        <v>NatGrdExt_AUS_5</v>
      </c>
      <c r="AI12" t="str">
        <f t="shared" si="14"/>
        <v>Grid Extension -Australia- Step 5</v>
      </c>
      <c r="AJ12" t="s">
        <v>13</v>
      </c>
      <c r="AK12" t="s">
        <v>11</v>
      </c>
      <c r="AL12" t="s">
        <v>464</v>
      </c>
      <c r="AN12" t="s">
        <v>463</v>
      </c>
      <c r="AO12" t="str">
        <f t="shared" si="5"/>
        <v>NatGrdExt_AUS_6</v>
      </c>
      <c r="AP12" t="str">
        <f t="shared" si="15"/>
        <v>Grid Extension -Australia- Step 6</v>
      </c>
      <c r="AQ12" t="s">
        <v>13</v>
      </c>
      <c r="AR12" t="s">
        <v>11</v>
      </c>
      <c r="AS12" t="s">
        <v>464</v>
      </c>
      <c r="AU12" t="s">
        <v>463</v>
      </c>
      <c r="AV12" t="str">
        <f t="shared" si="6"/>
        <v>NatGrdExt_AUS_7</v>
      </c>
      <c r="AW12" t="str">
        <f t="shared" si="16"/>
        <v>Grid Extension -Australia- Step 7</v>
      </c>
      <c r="AX12" t="s">
        <v>13</v>
      </c>
      <c r="AY12" t="s">
        <v>11</v>
      </c>
      <c r="AZ12" t="s">
        <v>464</v>
      </c>
      <c r="BB12" t="s">
        <v>463</v>
      </c>
      <c r="BC12" t="str">
        <f t="shared" si="7"/>
        <v>NatGrdExt_AUS_8</v>
      </c>
      <c r="BD12" t="str">
        <f t="shared" si="17"/>
        <v>Grid Extension -Australia- Step 8</v>
      </c>
      <c r="BE12" t="s">
        <v>13</v>
      </c>
      <c r="BF12" t="s">
        <v>11</v>
      </c>
      <c r="BG12" t="s">
        <v>464</v>
      </c>
      <c r="BI12" t="s">
        <v>463</v>
      </c>
      <c r="BJ12" t="str">
        <f t="shared" si="8"/>
        <v>NatGrdExt_AUS_9</v>
      </c>
      <c r="BK12" t="str">
        <f t="shared" si="18"/>
        <v>Grid Extension -Australia- Step 9</v>
      </c>
      <c r="BL12" t="s">
        <v>13</v>
      </c>
      <c r="BM12" t="s">
        <v>11</v>
      </c>
      <c r="BN12" t="s">
        <v>464</v>
      </c>
      <c r="BP12" t="s">
        <v>463</v>
      </c>
      <c r="BQ12" t="str">
        <f t="shared" si="9"/>
        <v>NatGrdExt_AUS_10</v>
      </c>
      <c r="BR12" t="str">
        <f t="shared" si="19"/>
        <v>Grid Extension -Australia- Step 10</v>
      </c>
      <c r="BS12" t="s">
        <v>13</v>
      </c>
      <c r="BT12" t="s">
        <v>11</v>
      </c>
      <c r="BU12" t="s">
        <v>464</v>
      </c>
    </row>
    <row r="13" spans="1:73">
      <c r="A13" s="5" t="s">
        <v>475</v>
      </c>
      <c r="B13" s="5" t="s">
        <v>476</v>
      </c>
      <c r="E13" t="s">
        <v>463</v>
      </c>
      <c r="F13" t="str">
        <f t="shared" si="0"/>
        <v>NatGrdExt_AUT_1</v>
      </c>
      <c r="G13" t="str">
        <f t="shared" si="10"/>
        <v>Grid Extension -Austria- Step 1</v>
      </c>
      <c r="H13" t="s">
        <v>13</v>
      </c>
      <c r="I13" t="s">
        <v>11</v>
      </c>
      <c r="J13" t="s">
        <v>464</v>
      </c>
      <c r="L13" t="s">
        <v>463</v>
      </c>
      <c r="M13" t="str">
        <f t="shared" si="1"/>
        <v>NatGrdExt_AUT_2</v>
      </c>
      <c r="N13" t="str">
        <f t="shared" si="11"/>
        <v>Grid Extension -Austria- Step 2</v>
      </c>
      <c r="O13" t="s">
        <v>13</v>
      </c>
      <c r="P13" t="s">
        <v>11</v>
      </c>
      <c r="Q13" t="s">
        <v>464</v>
      </c>
      <c r="S13" t="s">
        <v>463</v>
      </c>
      <c r="T13" t="str">
        <f t="shared" si="2"/>
        <v>NatGrdExt_AUT_3</v>
      </c>
      <c r="U13" t="str">
        <f t="shared" si="12"/>
        <v>Grid Extension -Austria- Step 3</v>
      </c>
      <c r="V13" t="s">
        <v>13</v>
      </c>
      <c r="W13" t="s">
        <v>11</v>
      </c>
      <c r="X13" t="s">
        <v>464</v>
      </c>
      <c r="Z13" t="s">
        <v>463</v>
      </c>
      <c r="AA13" t="str">
        <f t="shared" si="3"/>
        <v>NatGrdExt_AUT_4</v>
      </c>
      <c r="AB13" t="str">
        <f t="shared" si="13"/>
        <v>Grid Extension -Austria- Step 4</v>
      </c>
      <c r="AC13" t="s">
        <v>13</v>
      </c>
      <c r="AD13" t="s">
        <v>11</v>
      </c>
      <c r="AE13" t="s">
        <v>464</v>
      </c>
      <c r="AG13" t="s">
        <v>463</v>
      </c>
      <c r="AH13" t="str">
        <f t="shared" si="4"/>
        <v>NatGrdExt_AUT_5</v>
      </c>
      <c r="AI13" t="str">
        <f t="shared" si="14"/>
        <v>Grid Extension -Austria- Step 5</v>
      </c>
      <c r="AJ13" t="s">
        <v>13</v>
      </c>
      <c r="AK13" t="s">
        <v>11</v>
      </c>
      <c r="AL13" t="s">
        <v>464</v>
      </c>
      <c r="AN13" t="s">
        <v>463</v>
      </c>
      <c r="AO13" t="str">
        <f t="shared" si="5"/>
        <v>NatGrdExt_AUT_6</v>
      </c>
      <c r="AP13" t="str">
        <f t="shared" si="15"/>
        <v>Grid Extension -Austria- Step 6</v>
      </c>
      <c r="AQ13" t="s">
        <v>13</v>
      </c>
      <c r="AR13" t="s">
        <v>11</v>
      </c>
      <c r="AS13" t="s">
        <v>464</v>
      </c>
      <c r="AU13" t="s">
        <v>463</v>
      </c>
      <c r="AV13" t="str">
        <f t="shared" si="6"/>
        <v>NatGrdExt_AUT_7</v>
      </c>
      <c r="AW13" t="str">
        <f t="shared" si="16"/>
        <v>Grid Extension -Austria- Step 7</v>
      </c>
      <c r="AX13" t="s">
        <v>13</v>
      </c>
      <c r="AY13" t="s">
        <v>11</v>
      </c>
      <c r="AZ13" t="s">
        <v>464</v>
      </c>
      <c r="BB13" t="s">
        <v>463</v>
      </c>
      <c r="BC13" t="str">
        <f t="shared" si="7"/>
        <v>NatGrdExt_AUT_8</v>
      </c>
      <c r="BD13" t="str">
        <f t="shared" si="17"/>
        <v>Grid Extension -Austria- Step 8</v>
      </c>
      <c r="BE13" t="s">
        <v>13</v>
      </c>
      <c r="BF13" t="s">
        <v>11</v>
      </c>
      <c r="BG13" t="s">
        <v>464</v>
      </c>
      <c r="BI13" t="s">
        <v>463</v>
      </c>
      <c r="BJ13" t="str">
        <f t="shared" si="8"/>
        <v>NatGrdExt_AUT_9</v>
      </c>
      <c r="BK13" t="str">
        <f t="shared" si="18"/>
        <v>Grid Extension -Austria- Step 9</v>
      </c>
      <c r="BL13" t="s">
        <v>13</v>
      </c>
      <c r="BM13" t="s">
        <v>11</v>
      </c>
      <c r="BN13" t="s">
        <v>464</v>
      </c>
      <c r="BP13" t="s">
        <v>463</v>
      </c>
      <c r="BQ13" t="str">
        <f t="shared" si="9"/>
        <v>NatGrdExt_AUT_10</v>
      </c>
      <c r="BR13" t="str">
        <f t="shared" si="19"/>
        <v>Grid Extension -Austria- Step 10</v>
      </c>
      <c r="BS13" t="s">
        <v>13</v>
      </c>
      <c r="BT13" t="s">
        <v>11</v>
      </c>
      <c r="BU13" t="s">
        <v>464</v>
      </c>
    </row>
    <row r="14" spans="1:73">
      <c r="A14" s="5" t="s">
        <v>477</v>
      </c>
      <c r="B14" s="5" t="s">
        <v>478</v>
      </c>
      <c r="E14" t="s">
        <v>463</v>
      </c>
      <c r="F14" t="str">
        <f t="shared" si="0"/>
        <v>NatGrdExt_AZE_1</v>
      </c>
      <c r="G14" t="str">
        <f t="shared" si="10"/>
        <v>Grid Extension -Azerbaijan- Step 1</v>
      </c>
      <c r="H14" t="s">
        <v>13</v>
      </c>
      <c r="I14" t="s">
        <v>11</v>
      </c>
      <c r="J14" t="s">
        <v>464</v>
      </c>
      <c r="L14" t="s">
        <v>463</v>
      </c>
      <c r="M14" t="str">
        <f t="shared" si="1"/>
        <v>NatGrdExt_AZE_2</v>
      </c>
      <c r="N14" t="str">
        <f t="shared" si="11"/>
        <v>Grid Extension -Azerbaijan- Step 2</v>
      </c>
      <c r="O14" t="s">
        <v>13</v>
      </c>
      <c r="P14" t="s">
        <v>11</v>
      </c>
      <c r="Q14" t="s">
        <v>464</v>
      </c>
      <c r="S14" t="s">
        <v>463</v>
      </c>
      <c r="T14" t="str">
        <f t="shared" si="2"/>
        <v>NatGrdExt_AZE_3</v>
      </c>
      <c r="U14" t="str">
        <f t="shared" si="12"/>
        <v>Grid Extension -Azerbaijan- Step 3</v>
      </c>
      <c r="V14" t="s">
        <v>13</v>
      </c>
      <c r="W14" t="s">
        <v>11</v>
      </c>
      <c r="X14" t="s">
        <v>464</v>
      </c>
      <c r="Z14" t="s">
        <v>463</v>
      </c>
      <c r="AA14" t="str">
        <f t="shared" si="3"/>
        <v>NatGrdExt_AZE_4</v>
      </c>
      <c r="AB14" t="str">
        <f t="shared" si="13"/>
        <v>Grid Extension -Azerbaijan- Step 4</v>
      </c>
      <c r="AC14" t="s">
        <v>13</v>
      </c>
      <c r="AD14" t="s">
        <v>11</v>
      </c>
      <c r="AE14" t="s">
        <v>464</v>
      </c>
      <c r="AG14" t="s">
        <v>463</v>
      </c>
      <c r="AH14" t="str">
        <f t="shared" si="4"/>
        <v>NatGrdExt_AZE_5</v>
      </c>
      <c r="AI14" t="str">
        <f t="shared" si="14"/>
        <v>Grid Extension -Azerbaijan- Step 5</v>
      </c>
      <c r="AJ14" t="s">
        <v>13</v>
      </c>
      <c r="AK14" t="s">
        <v>11</v>
      </c>
      <c r="AL14" t="s">
        <v>464</v>
      </c>
      <c r="AN14" t="s">
        <v>463</v>
      </c>
      <c r="AO14" t="str">
        <f t="shared" si="5"/>
        <v>NatGrdExt_AZE_6</v>
      </c>
      <c r="AP14" t="str">
        <f t="shared" si="15"/>
        <v>Grid Extension -Azerbaijan- Step 6</v>
      </c>
      <c r="AQ14" t="s">
        <v>13</v>
      </c>
      <c r="AR14" t="s">
        <v>11</v>
      </c>
      <c r="AS14" t="s">
        <v>464</v>
      </c>
      <c r="AU14" t="s">
        <v>463</v>
      </c>
      <c r="AV14" t="str">
        <f t="shared" si="6"/>
        <v>NatGrdExt_AZE_7</v>
      </c>
      <c r="AW14" t="str">
        <f t="shared" si="16"/>
        <v>Grid Extension -Azerbaijan- Step 7</v>
      </c>
      <c r="AX14" t="s">
        <v>13</v>
      </c>
      <c r="AY14" t="s">
        <v>11</v>
      </c>
      <c r="AZ14" t="s">
        <v>464</v>
      </c>
      <c r="BB14" t="s">
        <v>463</v>
      </c>
      <c r="BC14" t="str">
        <f t="shared" si="7"/>
        <v>NatGrdExt_AZE_8</v>
      </c>
      <c r="BD14" t="str">
        <f t="shared" si="17"/>
        <v>Grid Extension -Azerbaijan- Step 8</v>
      </c>
      <c r="BE14" t="s">
        <v>13</v>
      </c>
      <c r="BF14" t="s">
        <v>11</v>
      </c>
      <c r="BG14" t="s">
        <v>464</v>
      </c>
      <c r="BI14" t="s">
        <v>463</v>
      </c>
      <c r="BJ14" t="str">
        <f t="shared" si="8"/>
        <v>NatGrdExt_AZE_9</v>
      </c>
      <c r="BK14" t="str">
        <f t="shared" si="18"/>
        <v>Grid Extension -Azerbaijan- Step 9</v>
      </c>
      <c r="BL14" t="s">
        <v>13</v>
      </c>
      <c r="BM14" t="s">
        <v>11</v>
      </c>
      <c r="BN14" t="s">
        <v>464</v>
      </c>
      <c r="BP14" t="s">
        <v>463</v>
      </c>
      <c r="BQ14" t="str">
        <f t="shared" si="9"/>
        <v>NatGrdExt_AZE_10</v>
      </c>
      <c r="BR14" t="str">
        <f t="shared" si="19"/>
        <v>Grid Extension -Azerbaijan- Step 10</v>
      </c>
      <c r="BS14" t="s">
        <v>13</v>
      </c>
      <c r="BT14" t="s">
        <v>11</v>
      </c>
      <c r="BU14" t="s">
        <v>464</v>
      </c>
    </row>
    <row r="15" spans="1:73">
      <c r="A15" s="5" t="s">
        <v>18</v>
      </c>
      <c r="B15" s="5" t="s">
        <v>81</v>
      </c>
      <c r="E15" t="s">
        <v>463</v>
      </c>
      <c r="F15" t="str">
        <f t="shared" si="0"/>
        <v>NatGrdExt_BDI_1</v>
      </c>
      <c r="G15" t="str">
        <f t="shared" si="10"/>
        <v>Grid Extension -Burundi- Step 1</v>
      </c>
      <c r="H15" t="s">
        <v>13</v>
      </c>
      <c r="I15" t="s">
        <v>11</v>
      </c>
      <c r="J15" t="s">
        <v>464</v>
      </c>
      <c r="L15" t="s">
        <v>463</v>
      </c>
      <c r="M15" t="str">
        <f t="shared" si="1"/>
        <v>NatGrdExt_BDI_2</v>
      </c>
      <c r="N15" t="str">
        <f t="shared" si="11"/>
        <v>Grid Extension -Burundi- Step 2</v>
      </c>
      <c r="O15" t="s">
        <v>13</v>
      </c>
      <c r="P15" t="s">
        <v>11</v>
      </c>
      <c r="Q15" t="s">
        <v>464</v>
      </c>
      <c r="S15" t="s">
        <v>463</v>
      </c>
      <c r="T15" t="str">
        <f t="shared" si="2"/>
        <v>NatGrdExt_BDI_3</v>
      </c>
      <c r="U15" t="str">
        <f t="shared" si="12"/>
        <v>Grid Extension -Burundi- Step 3</v>
      </c>
      <c r="V15" t="s">
        <v>13</v>
      </c>
      <c r="W15" t="s">
        <v>11</v>
      </c>
      <c r="X15" t="s">
        <v>464</v>
      </c>
      <c r="Z15" t="s">
        <v>463</v>
      </c>
      <c r="AA15" t="str">
        <f t="shared" si="3"/>
        <v>NatGrdExt_BDI_4</v>
      </c>
      <c r="AB15" t="str">
        <f t="shared" si="13"/>
        <v>Grid Extension -Burundi- Step 4</v>
      </c>
      <c r="AC15" t="s">
        <v>13</v>
      </c>
      <c r="AD15" t="s">
        <v>11</v>
      </c>
      <c r="AE15" t="s">
        <v>464</v>
      </c>
      <c r="AG15" t="s">
        <v>463</v>
      </c>
      <c r="AH15" t="str">
        <f t="shared" si="4"/>
        <v>NatGrdExt_BDI_5</v>
      </c>
      <c r="AI15" t="str">
        <f t="shared" si="14"/>
        <v>Grid Extension -Burundi- Step 5</v>
      </c>
      <c r="AJ15" t="s">
        <v>13</v>
      </c>
      <c r="AK15" t="s">
        <v>11</v>
      </c>
      <c r="AL15" t="s">
        <v>464</v>
      </c>
      <c r="AN15" t="s">
        <v>463</v>
      </c>
      <c r="AO15" t="str">
        <f t="shared" si="5"/>
        <v>NatGrdExt_BDI_6</v>
      </c>
      <c r="AP15" t="str">
        <f t="shared" si="15"/>
        <v>Grid Extension -Burundi- Step 6</v>
      </c>
      <c r="AQ15" t="s">
        <v>13</v>
      </c>
      <c r="AR15" t="s">
        <v>11</v>
      </c>
      <c r="AS15" t="s">
        <v>464</v>
      </c>
      <c r="AU15" t="s">
        <v>463</v>
      </c>
      <c r="AV15" t="str">
        <f t="shared" si="6"/>
        <v>NatGrdExt_BDI_7</v>
      </c>
      <c r="AW15" t="str">
        <f t="shared" si="16"/>
        <v>Grid Extension -Burundi- Step 7</v>
      </c>
      <c r="AX15" t="s">
        <v>13</v>
      </c>
      <c r="AY15" t="s">
        <v>11</v>
      </c>
      <c r="AZ15" t="s">
        <v>464</v>
      </c>
      <c r="BB15" t="s">
        <v>463</v>
      </c>
      <c r="BC15" t="str">
        <f t="shared" si="7"/>
        <v>NatGrdExt_BDI_8</v>
      </c>
      <c r="BD15" t="str">
        <f t="shared" si="17"/>
        <v>Grid Extension -Burundi- Step 8</v>
      </c>
      <c r="BE15" t="s">
        <v>13</v>
      </c>
      <c r="BF15" t="s">
        <v>11</v>
      </c>
      <c r="BG15" t="s">
        <v>464</v>
      </c>
      <c r="BI15" t="s">
        <v>463</v>
      </c>
      <c r="BJ15" t="str">
        <f t="shared" si="8"/>
        <v>NatGrdExt_BDI_9</v>
      </c>
      <c r="BK15" t="str">
        <f t="shared" si="18"/>
        <v>Grid Extension -Burundi- Step 9</v>
      </c>
      <c r="BL15" t="s">
        <v>13</v>
      </c>
      <c r="BM15" t="s">
        <v>11</v>
      </c>
      <c r="BN15" t="s">
        <v>464</v>
      </c>
      <c r="BP15" t="s">
        <v>463</v>
      </c>
      <c r="BQ15" t="str">
        <f t="shared" si="9"/>
        <v>NatGrdExt_BDI_10</v>
      </c>
      <c r="BR15" t="str">
        <f t="shared" si="19"/>
        <v>Grid Extension -Burundi- Step 10</v>
      </c>
      <c r="BS15" t="s">
        <v>13</v>
      </c>
      <c r="BT15" t="s">
        <v>11</v>
      </c>
      <c r="BU15" t="s">
        <v>464</v>
      </c>
    </row>
    <row r="16" spans="1:73">
      <c r="A16" s="5" t="s">
        <v>479</v>
      </c>
      <c r="B16" s="5" t="s">
        <v>480</v>
      </c>
      <c r="E16" t="s">
        <v>463</v>
      </c>
      <c r="F16" t="str">
        <f t="shared" si="0"/>
        <v>NatGrdExt_BEL_1</v>
      </c>
      <c r="G16" t="str">
        <f t="shared" si="10"/>
        <v>Grid Extension -Belgium- Step 1</v>
      </c>
      <c r="H16" t="s">
        <v>13</v>
      </c>
      <c r="I16" t="s">
        <v>11</v>
      </c>
      <c r="J16" t="s">
        <v>464</v>
      </c>
      <c r="L16" t="s">
        <v>463</v>
      </c>
      <c r="M16" t="str">
        <f t="shared" si="1"/>
        <v>NatGrdExt_BEL_2</v>
      </c>
      <c r="N16" t="str">
        <f t="shared" si="11"/>
        <v>Grid Extension -Belgium- Step 2</v>
      </c>
      <c r="O16" t="s">
        <v>13</v>
      </c>
      <c r="P16" t="s">
        <v>11</v>
      </c>
      <c r="Q16" t="s">
        <v>464</v>
      </c>
      <c r="S16" t="s">
        <v>463</v>
      </c>
      <c r="T16" t="str">
        <f t="shared" si="2"/>
        <v>NatGrdExt_BEL_3</v>
      </c>
      <c r="U16" t="str">
        <f t="shared" si="12"/>
        <v>Grid Extension -Belgium- Step 3</v>
      </c>
      <c r="V16" t="s">
        <v>13</v>
      </c>
      <c r="W16" t="s">
        <v>11</v>
      </c>
      <c r="X16" t="s">
        <v>464</v>
      </c>
      <c r="Z16" t="s">
        <v>463</v>
      </c>
      <c r="AA16" t="str">
        <f t="shared" si="3"/>
        <v>NatGrdExt_BEL_4</v>
      </c>
      <c r="AB16" t="str">
        <f t="shared" si="13"/>
        <v>Grid Extension -Belgium- Step 4</v>
      </c>
      <c r="AC16" t="s">
        <v>13</v>
      </c>
      <c r="AD16" t="s">
        <v>11</v>
      </c>
      <c r="AE16" t="s">
        <v>464</v>
      </c>
      <c r="AG16" t="s">
        <v>463</v>
      </c>
      <c r="AH16" t="str">
        <f t="shared" si="4"/>
        <v>NatGrdExt_BEL_5</v>
      </c>
      <c r="AI16" t="str">
        <f t="shared" si="14"/>
        <v>Grid Extension -Belgium- Step 5</v>
      </c>
      <c r="AJ16" t="s">
        <v>13</v>
      </c>
      <c r="AK16" t="s">
        <v>11</v>
      </c>
      <c r="AL16" t="s">
        <v>464</v>
      </c>
      <c r="AN16" t="s">
        <v>463</v>
      </c>
      <c r="AO16" t="str">
        <f t="shared" si="5"/>
        <v>NatGrdExt_BEL_6</v>
      </c>
      <c r="AP16" t="str">
        <f t="shared" si="15"/>
        <v>Grid Extension -Belgium- Step 6</v>
      </c>
      <c r="AQ16" t="s">
        <v>13</v>
      </c>
      <c r="AR16" t="s">
        <v>11</v>
      </c>
      <c r="AS16" t="s">
        <v>464</v>
      </c>
      <c r="AU16" t="s">
        <v>463</v>
      </c>
      <c r="AV16" t="str">
        <f t="shared" si="6"/>
        <v>NatGrdExt_BEL_7</v>
      </c>
      <c r="AW16" t="str">
        <f t="shared" si="16"/>
        <v>Grid Extension -Belgium- Step 7</v>
      </c>
      <c r="AX16" t="s">
        <v>13</v>
      </c>
      <c r="AY16" t="s">
        <v>11</v>
      </c>
      <c r="AZ16" t="s">
        <v>464</v>
      </c>
      <c r="BB16" t="s">
        <v>463</v>
      </c>
      <c r="BC16" t="str">
        <f t="shared" si="7"/>
        <v>NatGrdExt_BEL_8</v>
      </c>
      <c r="BD16" t="str">
        <f t="shared" si="17"/>
        <v>Grid Extension -Belgium- Step 8</v>
      </c>
      <c r="BE16" t="s">
        <v>13</v>
      </c>
      <c r="BF16" t="s">
        <v>11</v>
      </c>
      <c r="BG16" t="s">
        <v>464</v>
      </c>
      <c r="BI16" t="s">
        <v>463</v>
      </c>
      <c r="BJ16" t="str">
        <f t="shared" si="8"/>
        <v>NatGrdExt_BEL_9</v>
      </c>
      <c r="BK16" t="str">
        <f t="shared" si="18"/>
        <v>Grid Extension -Belgium- Step 9</v>
      </c>
      <c r="BL16" t="s">
        <v>13</v>
      </c>
      <c r="BM16" t="s">
        <v>11</v>
      </c>
      <c r="BN16" t="s">
        <v>464</v>
      </c>
      <c r="BP16" t="s">
        <v>463</v>
      </c>
      <c r="BQ16" t="str">
        <f t="shared" si="9"/>
        <v>NatGrdExt_BEL_10</v>
      </c>
      <c r="BR16" t="str">
        <f t="shared" si="19"/>
        <v>Grid Extension -Belgium- Step 10</v>
      </c>
      <c r="BS16" t="s">
        <v>13</v>
      </c>
      <c r="BT16" t="s">
        <v>11</v>
      </c>
      <c r="BU16" t="s">
        <v>464</v>
      </c>
    </row>
    <row r="17" spans="1:73">
      <c r="A17" s="5" t="s">
        <v>481</v>
      </c>
      <c r="B17" s="5" t="s">
        <v>482</v>
      </c>
      <c r="E17" t="s">
        <v>463</v>
      </c>
      <c r="F17" t="str">
        <f t="shared" si="0"/>
        <v>NatGrdExt_BEN_1</v>
      </c>
      <c r="G17" t="str">
        <f t="shared" si="10"/>
        <v>Grid Extension -Benin- Step 1</v>
      </c>
      <c r="H17" t="s">
        <v>13</v>
      </c>
      <c r="I17" t="s">
        <v>11</v>
      </c>
      <c r="J17" t="s">
        <v>464</v>
      </c>
      <c r="L17" t="s">
        <v>463</v>
      </c>
      <c r="M17" t="str">
        <f t="shared" si="1"/>
        <v>NatGrdExt_BEN_2</v>
      </c>
      <c r="N17" t="str">
        <f t="shared" si="11"/>
        <v>Grid Extension -Benin- Step 2</v>
      </c>
      <c r="O17" t="s">
        <v>13</v>
      </c>
      <c r="P17" t="s">
        <v>11</v>
      </c>
      <c r="Q17" t="s">
        <v>464</v>
      </c>
      <c r="S17" t="s">
        <v>463</v>
      </c>
      <c r="T17" t="str">
        <f t="shared" si="2"/>
        <v>NatGrdExt_BEN_3</v>
      </c>
      <c r="U17" t="str">
        <f t="shared" si="12"/>
        <v>Grid Extension -Benin- Step 3</v>
      </c>
      <c r="V17" t="s">
        <v>13</v>
      </c>
      <c r="W17" t="s">
        <v>11</v>
      </c>
      <c r="X17" t="s">
        <v>464</v>
      </c>
      <c r="Z17" t="s">
        <v>463</v>
      </c>
      <c r="AA17" t="str">
        <f t="shared" si="3"/>
        <v>NatGrdExt_BEN_4</v>
      </c>
      <c r="AB17" t="str">
        <f t="shared" si="13"/>
        <v>Grid Extension -Benin- Step 4</v>
      </c>
      <c r="AC17" t="s">
        <v>13</v>
      </c>
      <c r="AD17" t="s">
        <v>11</v>
      </c>
      <c r="AE17" t="s">
        <v>464</v>
      </c>
      <c r="AG17" t="s">
        <v>463</v>
      </c>
      <c r="AH17" t="str">
        <f t="shared" si="4"/>
        <v>NatGrdExt_BEN_5</v>
      </c>
      <c r="AI17" t="str">
        <f t="shared" si="14"/>
        <v>Grid Extension -Benin- Step 5</v>
      </c>
      <c r="AJ17" t="s">
        <v>13</v>
      </c>
      <c r="AK17" t="s">
        <v>11</v>
      </c>
      <c r="AL17" t="s">
        <v>464</v>
      </c>
      <c r="AN17" t="s">
        <v>463</v>
      </c>
      <c r="AO17" t="str">
        <f t="shared" si="5"/>
        <v>NatGrdExt_BEN_6</v>
      </c>
      <c r="AP17" t="str">
        <f t="shared" si="15"/>
        <v>Grid Extension -Benin- Step 6</v>
      </c>
      <c r="AQ17" t="s">
        <v>13</v>
      </c>
      <c r="AR17" t="s">
        <v>11</v>
      </c>
      <c r="AS17" t="s">
        <v>464</v>
      </c>
      <c r="AU17" t="s">
        <v>463</v>
      </c>
      <c r="AV17" t="str">
        <f t="shared" si="6"/>
        <v>NatGrdExt_BEN_7</v>
      </c>
      <c r="AW17" t="str">
        <f t="shared" si="16"/>
        <v>Grid Extension -Benin- Step 7</v>
      </c>
      <c r="AX17" t="s">
        <v>13</v>
      </c>
      <c r="AY17" t="s">
        <v>11</v>
      </c>
      <c r="AZ17" t="s">
        <v>464</v>
      </c>
      <c r="BB17" t="s">
        <v>463</v>
      </c>
      <c r="BC17" t="str">
        <f t="shared" si="7"/>
        <v>NatGrdExt_BEN_8</v>
      </c>
      <c r="BD17" t="str">
        <f t="shared" si="17"/>
        <v>Grid Extension -Benin- Step 8</v>
      </c>
      <c r="BE17" t="s">
        <v>13</v>
      </c>
      <c r="BF17" t="s">
        <v>11</v>
      </c>
      <c r="BG17" t="s">
        <v>464</v>
      </c>
      <c r="BI17" t="s">
        <v>463</v>
      </c>
      <c r="BJ17" t="str">
        <f t="shared" si="8"/>
        <v>NatGrdExt_BEN_9</v>
      </c>
      <c r="BK17" t="str">
        <f t="shared" si="18"/>
        <v>Grid Extension -Benin- Step 9</v>
      </c>
      <c r="BL17" t="s">
        <v>13</v>
      </c>
      <c r="BM17" t="s">
        <v>11</v>
      </c>
      <c r="BN17" t="s">
        <v>464</v>
      </c>
      <c r="BP17" t="s">
        <v>463</v>
      </c>
      <c r="BQ17" t="str">
        <f t="shared" si="9"/>
        <v>NatGrdExt_BEN_10</v>
      </c>
      <c r="BR17" t="str">
        <f t="shared" si="19"/>
        <v>Grid Extension -Benin- Step 10</v>
      </c>
      <c r="BS17" t="s">
        <v>13</v>
      </c>
      <c r="BT17" t="s">
        <v>11</v>
      </c>
      <c r="BU17" t="s">
        <v>464</v>
      </c>
    </row>
    <row r="18" spans="1:73">
      <c r="A18" s="5" t="s">
        <v>483</v>
      </c>
      <c r="B18" s="5" t="s">
        <v>484</v>
      </c>
      <c r="E18" t="s">
        <v>463</v>
      </c>
      <c r="F18" t="str">
        <f t="shared" si="0"/>
        <v>NatGrdExt_BFA_1</v>
      </c>
      <c r="G18" t="str">
        <f t="shared" si="10"/>
        <v>Grid Extension -Burkina Faso- Step 1</v>
      </c>
      <c r="H18" t="s">
        <v>13</v>
      </c>
      <c r="I18" t="s">
        <v>11</v>
      </c>
      <c r="J18" t="s">
        <v>464</v>
      </c>
      <c r="L18" t="s">
        <v>463</v>
      </c>
      <c r="M18" t="str">
        <f t="shared" si="1"/>
        <v>NatGrdExt_BFA_2</v>
      </c>
      <c r="N18" t="str">
        <f t="shared" si="11"/>
        <v>Grid Extension -Burkina Faso- Step 2</v>
      </c>
      <c r="O18" t="s">
        <v>13</v>
      </c>
      <c r="P18" t="s">
        <v>11</v>
      </c>
      <c r="Q18" t="s">
        <v>464</v>
      </c>
      <c r="S18" t="s">
        <v>463</v>
      </c>
      <c r="T18" t="str">
        <f t="shared" si="2"/>
        <v>NatGrdExt_BFA_3</v>
      </c>
      <c r="U18" t="str">
        <f t="shared" si="12"/>
        <v>Grid Extension -Burkina Faso- Step 3</v>
      </c>
      <c r="V18" t="s">
        <v>13</v>
      </c>
      <c r="W18" t="s">
        <v>11</v>
      </c>
      <c r="X18" t="s">
        <v>464</v>
      </c>
      <c r="Z18" t="s">
        <v>463</v>
      </c>
      <c r="AA18" t="str">
        <f t="shared" si="3"/>
        <v>NatGrdExt_BFA_4</v>
      </c>
      <c r="AB18" t="str">
        <f t="shared" si="13"/>
        <v>Grid Extension -Burkina Faso- Step 4</v>
      </c>
      <c r="AC18" t="s">
        <v>13</v>
      </c>
      <c r="AD18" t="s">
        <v>11</v>
      </c>
      <c r="AE18" t="s">
        <v>464</v>
      </c>
      <c r="AG18" t="s">
        <v>463</v>
      </c>
      <c r="AH18" t="str">
        <f t="shared" si="4"/>
        <v>NatGrdExt_BFA_5</v>
      </c>
      <c r="AI18" t="str">
        <f t="shared" si="14"/>
        <v>Grid Extension -Burkina Faso- Step 5</v>
      </c>
      <c r="AJ18" t="s">
        <v>13</v>
      </c>
      <c r="AK18" t="s">
        <v>11</v>
      </c>
      <c r="AL18" t="s">
        <v>464</v>
      </c>
      <c r="AN18" t="s">
        <v>463</v>
      </c>
      <c r="AO18" t="str">
        <f t="shared" si="5"/>
        <v>NatGrdExt_BFA_6</v>
      </c>
      <c r="AP18" t="str">
        <f t="shared" si="15"/>
        <v>Grid Extension -Burkina Faso- Step 6</v>
      </c>
      <c r="AQ18" t="s">
        <v>13</v>
      </c>
      <c r="AR18" t="s">
        <v>11</v>
      </c>
      <c r="AS18" t="s">
        <v>464</v>
      </c>
      <c r="AU18" t="s">
        <v>463</v>
      </c>
      <c r="AV18" t="str">
        <f t="shared" si="6"/>
        <v>NatGrdExt_BFA_7</v>
      </c>
      <c r="AW18" t="str">
        <f t="shared" si="16"/>
        <v>Grid Extension -Burkina Faso- Step 7</v>
      </c>
      <c r="AX18" t="s">
        <v>13</v>
      </c>
      <c r="AY18" t="s">
        <v>11</v>
      </c>
      <c r="AZ18" t="s">
        <v>464</v>
      </c>
      <c r="BB18" t="s">
        <v>463</v>
      </c>
      <c r="BC18" t="str">
        <f t="shared" si="7"/>
        <v>NatGrdExt_BFA_8</v>
      </c>
      <c r="BD18" t="str">
        <f t="shared" si="17"/>
        <v>Grid Extension -Burkina Faso- Step 8</v>
      </c>
      <c r="BE18" t="s">
        <v>13</v>
      </c>
      <c r="BF18" t="s">
        <v>11</v>
      </c>
      <c r="BG18" t="s">
        <v>464</v>
      </c>
      <c r="BI18" t="s">
        <v>463</v>
      </c>
      <c r="BJ18" t="str">
        <f t="shared" si="8"/>
        <v>NatGrdExt_BFA_9</v>
      </c>
      <c r="BK18" t="str">
        <f t="shared" si="18"/>
        <v>Grid Extension -Burkina Faso- Step 9</v>
      </c>
      <c r="BL18" t="s">
        <v>13</v>
      </c>
      <c r="BM18" t="s">
        <v>11</v>
      </c>
      <c r="BN18" t="s">
        <v>464</v>
      </c>
      <c r="BP18" t="s">
        <v>463</v>
      </c>
      <c r="BQ18" t="str">
        <f t="shared" si="9"/>
        <v>NatGrdExt_BFA_10</v>
      </c>
      <c r="BR18" t="str">
        <f t="shared" si="19"/>
        <v>Grid Extension -Burkina Faso- Step 10</v>
      </c>
      <c r="BS18" t="s">
        <v>13</v>
      </c>
      <c r="BT18" t="s">
        <v>11</v>
      </c>
      <c r="BU18" t="s">
        <v>464</v>
      </c>
    </row>
    <row r="19" spans="1:73">
      <c r="A19" s="5" t="s">
        <v>19</v>
      </c>
      <c r="B19" s="5" t="s">
        <v>82</v>
      </c>
      <c r="E19" t="s">
        <v>463</v>
      </c>
      <c r="F19" t="str">
        <f t="shared" si="0"/>
        <v>NatGrdExt_BGD_1</v>
      </c>
      <c r="G19" t="str">
        <f t="shared" si="10"/>
        <v>Grid Extension -Bangladesh- Step 1</v>
      </c>
      <c r="H19" t="s">
        <v>13</v>
      </c>
      <c r="I19" t="s">
        <v>11</v>
      </c>
      <c r="J19" t="s">
        <v>464</v>
      </c>
      <c r="L19" t="s">
        <v>463</v>
      </c>
      <c r="M19" t="str">
        <f t="shared" si="1"/>
        <v>NatGrdExt_BGD_2</v>
      </c>
      <c r="N19" t="str">
        <f t="shared" si="11"/>
        <v>Grid Extension -Bangladesh- Step 2</v>
      </c>
      <c r="O19" t="s">
        <v>13</v>
      </c>
      <c r="P19" t="s">
        <v>11</v>
      </c>
      <c r="Q19" t="s">
        <v>464</v>
      </c>
      <c r="S19" t="s">
        <v>463</v>
      </c>
      <c r="T19" t="str">
        <f t="shared" si="2"/>
        <v>NatGrdExt_BGD_3</v>
      </c>
      <c r="U19" t="str">
        <f t="shared" si="12"/>
        <v>Grid Extension -Bangladesh- Step 3</v>
      </c>
      <c r="V19" t="s">
        <v>13</v>
      </c>
      <c r="W19" t="s">
        <v>11</v>
      </c>
      <c r="X19" t="s">
        <v>464</v>
      </c>
      <c r="Z19" t="s">
        <v>463</v>
      </c>
      <c r="AA19" t="str">
        <f t="shared" si="3"/>
        <v>NatGrdExt_BGD_4</v>
      </c>
      <c r="AB19" t="str">
        <f t="shared" si="13"/>
        <v>Grid Extension -Bangladesh- Step 4</v>
      </c>
      <c r="AC19" t="s">
        <v>13</v>
      </c>
      <c r="AD19" t="s">
        <v>11</v>
      </c>
      <c r="AE19" t="s">
        <v>464</v>
      </c>
      <c r="AG19" t="s">
        <v>463</v>
      </c>
      <c r="AH19" t="str">
        <f t="shared" si="4"/>
        <v>NatGrdExt_BGD_5</v>
      </c>
      <c r="AI19" t="str">
        <f t="shared" si="14"/>
        <v>Grid Extension -Bangladesh- Step 5</v>
      </c>
      <c r="AJ19" t="s">
        <v>13</v>
      </c>
      <c r="AK19" t="s">
        <v>11</v>
      </c>
      <c r="AL19" t="s">
        <v>464</v>
      </c>
      <c r="AN19" t="s">
        <v>463</v>
      </c>
      <c r="AO19" t="str">
        <f t="shared" si="5"/>
        <v>NatGrdExt_BGD_6</v>
      </c>
      <c r="AP19" t="str">
        <f t="shared" si="15"/>
        <v>Grid Extension -Bangladesh- Step 6</v>
      </c>
      <c r="AQ19" t="s">
        <v>13</v>
      </c>
      <c r="AR19" t="s">
        <v>11</v>
      </c>
      <c r="AS19" t="s">
        <v>464</v>
      </c>
      <c r="AU19" t="s">
        <v>463</v>
      </c>
      <c r="AV19" t="str">
        <f t="shared" si="6"/>
        <v>NatGrdExt_BGD_7</v>
      </c>
      <c r="AW19" t="str">
        <f t="shared" si="16"/>
        <v>Grid Extension -Bangladesh- Step 7</v>
      </c>
      <c r="AX19" t="s">
        <v>13</v>
      </c>
      <c r="AY19" t="s">
        <v>11</v>
      </c>
      <c r="AZ19" t="s">
        <v>464</v>
      </c>
      <c r="BB19" t="s">
        <v>463</v>
      </c>
      <c r="BC19" t="str">
        <f t="shared" si="7"/>
        <v>NatGrdExt_BGD_8</v>
      </c>
      <c r="BD19" t="str">
        <f t="shared" si="17"/>
        <v>Grid Extension -Bangladesh- Step 8</v>
      </c>
      <c r="BE19" t="s">
        <v>13</v>
      </c>
      <c r="BF19" t="s">
        <v>11</v>
      </c>
      <c r="BG19" t="s">
        <v>464</v>
      </c>
      <c r="BI19" t="s">
        <v>463</v>
      </c>
      <c r="BJ19" t="str">
        <f t="shared" si="8"/>
        <v>NatGrdExt_BGD_9</v>
      </c>
      <c r="BK19" t="str">
        <f t="shared" si="18"/>
        <v>Grid Extension -Bangladesh- Step 9</v>
      </c>
      <c r="BL19" t="s">
        <v>13</v>
      </c>
      <c r="BM19" t="s">
        <v>11</v>
      </c>
      <c r="BN19" t="s">
        <v>464</v>
      </c>
      <c r="BP19" t="s">
        <v>463</v>
      </c>
      <c r="BQ19" t="str">
        <f t="shared" si="9"/>
        <v>NatGrdExt_BGD_10</v>
      </c>
      <c r="BR19" t="str">
        <f t="shared" si="19"/>
        <v>Grid Extension -Bangladesh- Step 10</v>
      </c>
      <c r="BS19" t="s">
        <v>13</v>
      </c>
      <c r="BT19" t="s">
        <v>11</v>
      </c>
      <c r="BU19" t="s">
        <v>464</v>
      </c>
    </row>
    <row r="20" spans="1:73">
      <c r="A20" s="5" t="s">
        <v>485</v>
      </c>
      <c r="B20" s="5" t="s">
        <v>486</v>
      </c>
      <c r="E20" t="s">
        <v>463</v>
      </c>
      <c r="F20" t="str">
        <f t="shared" si="0"/>
        <v>NatGrdExt_BGR_1</v>
      </c>
      <c r="G20" t="str">
        <f t="shared" si="10"/>
        <v>Grid Extension -Bulgaria- Step 1</v>
      </c>
      <c r="H20" t="s">
        <v>13</v>
      </c>
      <c r="I20" t="s">
        <v>11</v>
      </c>
      <c r="J20" t="s">
        <v>464</v>
      </c>
      <c r="L20" t="s">
        <v>463</v>
      </c>
      <c r="M20" t="str">
        <f t="shared" si="1"/>
        <v>NatGrdExt_BGR_2</v>
      </c>
      <c r="N20" t="str">
        <f t="shared" si="11"/>
        <v>Grid Extension -Bulgaria- Step 2</v>
      </c>
      <c r="O20" t="s">
        <v>13</v>
      </c>
      <c r="P20" t="s">
        <v>11</v>
      </c>
      <c r="Q20" t="s">
        <v>464</v>
      </c>
      <c r="S20" t="s">
        <v>463</v>
      </c>
      <c r="T20" t="str">
        <f t="shared" si="2"/>
        <v>NatGrdExt_BGR_3</v>
      </c>
      <c r="U20" t="str">
        <f t="shared" si="12"/>
        <v>Grid Extension -Bulgaria- Step 3</v>
      </c>
      <c r="V20" t="s">
        <v>13</v>
      </c>
      <c r="W20" t="s">
        <v>11</v>
      </c>
      <c r="X20" t="s">
        <v>464</v>
      </c>
      <c r="Z20" t="s">
        <v>463</v>
      </c>
      <c r="AA20" t="str">
        <f t="shared" si="3"/>
        <v>NatGrdExt_BGR_4</v>
      </c>
      <c r="AB20" t="str">
        <f t="shared" si="13"/>
        <v>Grid Extension -Bulgaria- Step 4</v>
      </c>
      <c r="AC20" t="s">
        <v>13</v>
      </c>
      <c r="AD20" t="s">
        <v>11</v>
      </c>
      <c r="AE20" t="s">
        <v>464</v>
      </c>
      <c r="AG20" t="s">
        <v>463</v>
      </c>
      <c r="AH20" t="str">
        <f t="shared" si="4"/>
        <v>NatGrdExt_BGR_5</v>
      </c>
      <c r="AI20" t="str">
        <f t="shared" si="14"/>
        <v>Grid Extension -Bulgaria- Step 5</v>
      </c>
      <c r="AJ20" t="s">
        <v>13</v>
      </c>
      <c r="AK20" t="s">
        <v>11</v>
      </c>
      <c r="AL20" t="s">
        <v>464</v>
      </c>
      <c r="AN20" t="s">
        <v>463</v>
      </c>
      <c r="AO20" t="str">
        <f t="shared" si="5"/>
        <v>NatGrdExt_BGR_6</v>
      </c>
      <c r="AP20" t="str">
        <f t="shared" si="15"/>
        <v>Grid Extension -Bulgaria- Step 6</v>
      </c>
      <c r="AQ20" t="s">
        <v>13</v>
      </c>
      <c r="AR20" t="s">
        <v>11</v>
      </c>
      <c r="AS20" t="s">
        <v>464</v>
      </c>
      <c r="AU20" t="s">
        <v>463</v>
      </c>
      <c r="AV20" t="str">
        <f t="shared" si="6"/>
        <v>NatGrdExt_BGR_7</v>
      </c>
      <c r="AW20" t="str">
        <f t="shared" si="16"/>
        <v>Grid Extension -Bulgaria- Step 7</v>
      </c>
      <c r="AX20" t="s">
        <v>13</v>
      </c>
      <c r="AY20" t="s">
        <v>11</v>
      </c>
      <c r="AZ20" t="s">
        <v>464</v>
      </c>
      <c r="BB20" t="s">
        <v>463</v>
      </c>
      <c r="BC20" t="str">
        <f t="shared" si="7"/>
        <v>NatGrdExt_BGR_8</v>
      </c>
      <c r="BD20" t="str">
        <f t="shared" si="17"/>
        <v>Grid Extension -Bulgaria- Step 8</v>
      </c>
      <c r="BE20" t="s">
        <v>13</v>
      </c>
      <c r="BF20" t="s">
        <v>11</v>
      </c>
      <c r="BG20" t="s">
        <v>464</v>
      </c>
      <c r="BI20" t="s">
        <v>463</v>
      </c>
      <c r="BJ20" t="str">
        <f t="shared" si="8"/>
        <v>NatGrdExt_BGR_9</v>
      </c>
      <c r="BK20" t="str">
        <f t="shared" si="18"/>
        <v>Grid Extension -Bulgaria- Step 9</v>
      </c>
      <c r="BL20" t="s">
        <v>13</v>
      </c>
      <c r="BM20" t="s">
        <v>11</v>
      </c>
      <c r="BN20" t="s">
        <v>464</v>
      </c>
      <c r="BP20" t="s">
        <v>463</v>
      </c>
      <c r="BQ20" t="str">
        <f t="shared" si="9"/>
        <v>NatGrdExt_BGR_10</v>
      </c>
      <c r="BR20" t="str">
        <f t="shared" si="19"/>
        <v>Grid Extension -Bulgaria- Step 10</v>
      </c>
      <c r="BS20" t="s">
        <v>13</v>
      </c>
      <c r="BT20" t="s">
        <v>11</v>
      </c>
      <c r="BU20" t="s">
        <v>464</v>
      </c>
    </row>
    <row r="21" spans="1:73">
      <c r="A21" s="5" t="s">
        <v>487</v>
      </c>
      <c r="B21" s="5" t="s">
        <v>488</v>
      </c>
      <c r="E21" t="s">
        <v>463</v>
      </c>
      <c r="F21" t="str">
        <f t="shared" si="0"/>
        <v>NatGrdExt_BHR_1</v>
      </c>
      <c r="G21" t="str">
        <f t="shared" si="10"/>
        <v>Grid Extension -Bahrain- Step 1</v>
      </c>
      <c r="H21" t="s">
        <v>13</v>
      </c>
      <c r="I21" t="s">
        <v>11</v>
      </c>
      <c r="J21" t="s">
        <v>464</v>
      </c>
      <c r="L21" t="s">
        <v>463</v>
      </c>
      <c r="M21" t="str">
        <f t="shared" si="1"/>
        <v>NatGrdExt_BHR_2</v>
      </c>
      <c r="N21" t="str">
        <f t="shared" si="11"/>
        <v>Grid Extension -Bahrain- Step 2</v>
      </c>
      <c r="O21" t="s">
        <v>13</v>
      </c>
      <c r="P21" t="s">
        <v>11</v>
      </c>
      <c r="Q21" t="s">
        <v>464</v>
      </c>
      <c r="S21" t="s">
        <v>463</v>
      </c>
      <c r="T21" t="str">
        <f t="shared" si="2"/>
        <v>NatGrdExt_BHR_3</v>
      </c>
      <c r="U21" t="str">
        <f t="shared" si="12"/>
        <v>Grid Extension -Bahrain- Step 3</v>
      </c>
      <c r="V21" t="s">
        <v>13</v>
      </c>
      <c r="W21" t="s">
        <v>11</v>
      </c>
      <c r="X21" t="s">
        <v>464</v>
      </c>
      <c r="Z21" t="s">
        <v>463</v>
      </c>
      <c r="AA21" t="str">
        <f t="shared" si="3"/>
        <v>NatGrdExt_BHR_4</v>
      </c>
      <c r="AB21" t="str">
        <f t="shared" si="13"/>
        <v>Grid Extension -Bahrain- Step 4</v>
      </c>
      <c r="AC21" t="s">
        <v>13</v>
      </c>
      <c r="AD21" t="s">
        <v>11</v>
      </c>
      <c r="AE21" t="s">
        <v>464</v>
      </c>
      <c r="AG21" t="s">
        <v>463</v>
      </c>
      <c r="AH21" t="str">
        <f t="shared" si="4"/>
        <v>NatGrdExt_BHR_5</v>
      </c>
      <c r="AI21" t="str">
        <f t="shared" si="14"/>
        <v>Grid Extension -Bahrain- Step 5</v>
      </c>
      <c r="AJ21" t="s">
        <v>13</v>
      </c>
      <c r="AK21" t="s">
        <v>11</v>
      </c>
      <c r="AL21" t="s">
        <v>464</v>
      </c>
      <c r="AN21" t="s">
        <v>463</v>
      </c>
      <c r="AO21" t="str">
        <f t="shared" si="5"/>
        <v>NatGrdExt_BHR_6</v>
      </c>
      <c r="AP21" t="str">
        <f t="shared" si="15"/>
        <v>Grid Extension -Bahrain- Step 6</v>
      </c>
      <c r="AQ21" t="s">
        <v>13</v>
      </c>
      <c r="AR21" t="s">
        <v>11</v>
      </c>
      <c r="AS21" t="s">
        <v>464</v>
      </c>
      <c r="AU21" t="s">
        <v>463</v>
      </c>
      <c r="AV21" t="str">
        <f t="shared" si="6"/>
        <v>NatGrdExt_BHR_7</v>
      </c>
      <c r="AW21" t="str">
        <f t="shared" si="16"/>
        <v>Grid Extension -Bahrain- Step 7</v>
      </c>
      <c r="AX21" t="s">
        <v>13</v>
      </c>
      <c r="AY21" t="s">
        <v>11</v>
      </c>
      <c r="AZ21" t="s">
        <v>464</v>
      </c>
      <c r="BB21" t="s">
        <v>463</v>
      </c>
      <c r="BC21" t="str">
        <f t="shared" si="7"/>
        <v>NatGrdExt_BHR_8</v>
      </c>
      <c r="BD21" t="str">
        <f t="shared" si="17"/>
        <v>Grid Extension -Bahrain- Step 8</v>
      </c>
      <c r="BE21" t="s">
        <v>13</v>
      </c>
      <c r="BF21" t="s">
        <v>11</v>
      </c>
      <c r="BG21" t="s">
        <v>464</v>
      </c>
      <c r="BI21" t="s">
        <v>463</v>
      </c>
      <c r="BJ21" t="str">
        <f t="shared" si="8"/>
        <v>NatGrdExt_BHR_9</v>
      </c>
      <c r="BK21" t="str">
        <f t="shared" si="18"/>
        <v>Grid Extension -Bahrain- Step 9</v>
      </c>
      <c r="BL21" t="s">
        <v>13</v>
      </c>
      <c r="BM21" t="s">
        <v>11</v>
      </c>
      <c r="BN21" t="s">
        <v>464</v>
      </c>
      <c r="BP21" t="s">
        <v>463</v>
      </c>
      <c r="BQ21" t="str">
        <f t="shared" si="9"/>
        <v>NatGrdExt_BHR_10</v>
      </c>
      <c r="BR21" t="str">
        <f t="shared" si="19"/>
        <v>Grid Extension -Bahrain- Step 10</v>
      </c>
      <c r="BS21" t="s">
        <v>13</v>
      </c>
      <c r="BT21" t="s">
        <v>11</v>
      </c>
      <c r="BU21" t="s">
        <v>464</v>
      </c>
    </row>
    <row r="22" spans="1:73">
      <c r="A22" s="5" t="s">
        <v>489</v>
      </c>
      <c r="B22" s="5" t="s">
        <v>490</v>
      </c>
      <c r="E22" t="s">
        <v>463</v>
      </c>
      <c r="F22" t="str">
        <f t="shared" si="0"/>
        <v>NatGrdExt_BHS_1</v>
      </c>
      <c r="G22" t="str">
        <f t="shared" si="10"/>
        <v>Grid Extension -The Bahamas- Step 1</v>
      </c>
      <c r="H22" t="s">
        <v>13</v>
      </c>
      <c r="I22" t="s">
        <v>11</v>
      </c>
      <c r="J22" t="s">
        <v>464</v>
      </c>
      <c r="L22" t="s">
        <v>463</v>
      </c>
      <c r="M22" t="str">
        <f t="shared" si="1"/>
        <v>NatGrdExt_BHS_2</v>
      </c>
      <c r="N22" t="str">
        <f t="shared" si="11"/>
        <v>Grid Extension -The Bahamas- Step 2</v>
      </c>
      <c r="O22" t="s">
        <v>13</v>
      </c>
      <c r="P22" t="s">
        <v>11</v>
      </c>
      <c r="Q22" t="s">
        <v>464</v>
      </c>
      <c r="S22" t="s">
        <v>463</v>
      </c>
      <c r="T22" t="str">
        <f t="shared" si="2"/>
        <v>NatGrdExt_BHS_3</v>
      </c>
      <c r="U22" t="str">
        <f t="shared" si="12"/>
        <v>Grid Extension -The Bahamas- Step 3</v>
      </c>
      <c r="V22" t="s">
        <v>13</v>
      </c>
      <c r="W22" t="s">
        <v>11</v>
      </c>
      <c r="X22" t="s">
        <v>464</v>
      </c>
      <c r="Z22" t="s">
        <v>463</v>
      </c>
      <c r="AA22" t="str">
        <f t="shared" si="3"/>
        <v>NatGrdExt_BHS_4</v>
      </c>
      <c r="AB22" t="str">
        <f t="shared" si="13"/>
        <v>Grid Extension -The Bahamas- Step 4</v>
      </c>
      <c r="AC22" t="s">
        <v>13</v>
      </c>
      <c r="AD22" t="s">
        <v>11</v>
      </c>
      <c r="AE22" t="s">
        <v>464</v>
      </c>
      <c r="AG22" t="s">
        <v>463</v>
      </c>
      <c r="AH22" t="str">
        <f t="shared" si="4"/>
        <v>NatGrdExt_BHS_5</v>
      </c>
      <c r="AI22" t="str">
        <f t="shared" si="14"/>
        <v>Grid Extension -The Bahamas- Step 5</v>
      </c>
      <c r="AJ22" t="s">
        <v>13</v>
      </c>
      <c r="AK22" t="s">
        <v>11</v>
      </c>
      <c r="AL22" t="s">
        <v>464</v>
      </c>
      <c r="AN22" t="s">
        <v>463</v>
      </c>
      <c r="AO22" t="str">
        <f t="shared" si="5"/>
        <v>NatGrdExt_BHS_6</v>
      </c>
      <c r="AP22" t="str">
        <f t="shared" si="15"/>
        <v>Grid Extension -The Bahamas- Step 6</v>
      </c>
      <c r="AQ22" t="s">
        <v>13</v>
      </c>
      <c r="AR22" t="s">
        <v>11</v>
      </c>
      <c r="AS22" t="s">
        <v>464</v>
      </c>
      <c r="AU22" t="s">
        <v>463</v>
      </c>
      <c r="AV22" t="str">
        <f t="shared" si="6"/>
        <v>NatGrdExt_BHS_7</v>
      </c>
      <c r="AW22" t="str">
        <f t="shared" si="16"/>
        <v>Grid Extension -The Bahamas- Step 7</v>
      </c>
      <c r="AX22" t="s">
        <v>13</v>
      </c>
      <c r="AY22" t="s">
        <v>11</v>
      </c>
      <c r="AZ22" t="s">
        <v>464</v>
      </c>
      <c r="BB22" t="s">
        <v>463</v>
      </c>
      <c r="BC22" t="str">
        <f t="shared" si="7"/>
        <v>NatGrdExt_BHS_8</v>
      </c>
      <c r="BD22" t="str">
        <f t="shared" si="17"/>
        <v>Grid Extension -The Bahamas- Step 8</v>
      </c>
      <c r="BE22" t="s">
        <v>13</v>
      </c>
      <c r="BF22" t="s">
        <v>11</v>
      </c>
      <c r="BG22" t="s">
        <v>464</v>
      </c>
      <c r="BI22" t="s">
        <v>463</v>
      </c>
      <c r="BJ22" t="str">
        <f t="shared" si="8"/>
        <v>NatGrdExt_BHS_9</v>
      </c>
      <c r="BK22" t="str">
        <f t="shared" si="18"/>
        <v>Grid Extension -The Bahamas- Step 9</v>
      </c>
      <c r="BL22" t="s">
        <v>13</v>
      </c>
      <c r="BM22" t="s">
        <v>11</v>
      </c>
      <c r="BN22" t="s">
        <v>464</v>
      </c>
      <c r="BP22" t="s">
        <v>463</v>
      </c>
      <c r="BQ22" t="str">
        <f t="shared" si="9"/>
        <v>NatGrdExt_BHS_10</v>
      </c>
      <c r="BR22" t="str">
        <f t="shared" si="19"/>
        <v>Grid Extension -The Bahamas- Step 10</v>
      </c>
      <c r="BS22" t="s">
        <v>13</v>
      </c>
      <c r="BT22" t="s">
        <v>11</v>
      </c>
      <c r="BU22" t="s">
        <v>464</v>
      </c>
    </row>
    <row r="23" spans="1:73">
      <c r="A23" s="5" t="s">
        <v>491</v>
      </c>
      <c r="B23" s="5" t="s">
        <v>492</v>
      </c>
      <c r="E23" t="s">
        <v>463</v>
      </c>
      <c r="F23" t="str">
        <f t="shared" si="0"/>
        <v>NatGrdExt_BIH_1</v>
      </c>
      <c r="G23" t="str">
        <f t="shared" si="10"/>
        <v>Grid Extension -Bosnia and Herzegovina- Step 1</v>
      </c>
      <c r="H23" t="s">
        <v>13</v>
      </c>
      <c r="I23" t="s">
        <v>11</v>
      </c>
      <c r="J23" t="s">
        <v>464</v>
      </c>
      <c r="L23" t="s">
        <v>463</v>
      </c>
      <c r="M23" t="str">
        <f t="shared" si="1"/>
        <v>NatGrdExt_BIH_2</v>
      </c>
      <c r="N23" t="str">
        <f t="shared" si="11"/>
        <v>Grid Extension -Bosnia and Herzegovina- Step 2</v>
      </c>
      <c r="O23" t="s">
        <v>13</v>
      </c>
      <c r="P23" t="s">
        <v>11</v>
      </c>
      <c r="Q23" t="s">
        <v>464</v>
      </c>
      <c r="S23" t="s">
        <v>463</v>
      </c>
      <c r="T23" t="str">
        <f t="shared" si="2"/>
        <v>NatGrdExt_BIH_3</v>
      </c>
      <c r="U23" t="str">
        <f t="shared" si="12"/>
        <v>Grid Extension -Bosnia and Herzegovina- Step 3</v>
      </c>
      <c r="V23" t="s">
        <v>13</v>
      </c>
      <c r="W23" t="s">
        <v>11</v>
      </c>
      <c r="X23" t="s">
        <v>464</v>
      </c>
      <c r="Z23" t="s">
        <v>463</v>
      </c>
      <c r="AA23" t="str">
        <f t="shared" si="3"/>
        <v>NatGrdExt_BIH_4</v>
      </c>
      <c r="AB23" t="str">
        <f t="shared" si="13"/>
        <v>Grid Extension -Bosnia and Herzegovina- Step 4</v>
      </c>
      <c r="AC23" t="s">
        <v>13</v>
      </c>
      <c r="AD23" t="s">
        <v>11</v>
      </c>
      <c r="AE23" t="s">
        <v>464</v>
      </c>
      <c r="AG23" t="s">
        <v>463</v>
      </c>
      <c r="AH23" t="str">
        <f t="shared" si="4"/>
        <v>NatGrdExt_BIH_5</v>
      </c>
      <c r="AI23" t="str">
        <f t="shared" si="14"/>
        <v>Grid Extension -Bosnia and Herzegovina- Step 5</v>
      </c>
      <c r="AJ23" t="s">
        <v>13</v>
      </c>
      <c r="AK23" t="s">
        <v>11</v>
      </c>
      <c r="AL23" t="s">
        <v>464</v>
      </c>
      <c r="AN23" t="s">
        <v>463</v>
      </c>
      <c r="AO23" t="str">
        <f t="shared" si="5"/>
        <v>NatGrdExt_BIH_6</v>
      </c>
      <c r="AP23" t="str">
        <f t="shared" si="15"/>
        <v>Grid Extension -Bosnia and Herzegovina- Step 6</v>
      </c>
      <c r="AQ23" t="s">
        <v>13</v>
      </c>
      <c r="AR23" t="s">
        <v>11</v>
      </c>
      <c r="AS23" t="s">
        <v>464</v>
      </c>
      <c r="AU23" t="s">
        <v>463</v>
      </c>
      <c r="AV23" t="str">
        <f t="shared" si="6"/>
        <v>NatGrdExt_BIH_7</v>
      </c>
      <c r="AW23" t="str">
        <f t="shared" si="16"/>
        <v>Grid Extension -Bosnia and Herzegovina- Step 7</v>
      </c>
      <c r="AX23" t="s">
        <v>13</v>
      </c>
      <c r="AY23" t="s">
        <v>11</v>
      </c>
      <c r="AZ23" t="s">
        <v>464</v>
      </c>
      <c r="BB23" t="s">
        <v>463</v>
      </c>
      <c r="BC23" t="str">
        <f t="shared" si="7"/>
        <v>NatGrdExt_BIH_8</v>
      </c>
      <c r="BD23" t="str">
        <f t="shared" si="17"/>
        <v>Grid Extension -Bosnia and Herzegovina- Step 8</v>
      </c>
      <c r="BE23" t="s">
        <v>13</v>
      </c>
      <c r="BF23" t="s">
        <v>11</v>
      </c>
      <c r="BG23" t="s">
        <v>464</v>
      </c>
      <c r="BI23" t="s">
        <v>463</v>
      </c>
      <c r="BJ23" t="str">
        <f t="shared" si="8"/>
        <v>NatGrdExt_BIH_9</v>
      </c>
      <c r="BK23" t="str">
        <f t="shared" si="18"/>
        <v>Grid Extension -Bosnia and Herzegovina- Step 9</v>
      </c>
      <c r="BL23" t="s">
        <v>13</v>
      </c>
      <c r="BM23" t="s">
        <v>11</v>
      </c>
      <c r="BN23" t="s">
        <v>464</v>
      </c>
      <c r="BP23" t="s">
        <v>463</v>
      </c>
      <c r="BQ23" t="str">
        <f t="shared" si="9"/>
        <v>NatGrdExt_BIH_10</v>
      </c>
      <c r="BR23" t="str">
        <f t="shared" si="19"/>
        <v>Grid Extension -Bosnia and Herzegovina- Step 10</v>
      </c>
      <c r="BS23" t="s">
        <v>13</v>
      </c>
      <c r="BT23" t="s">
        <v>11</v>
      </c>
      <c r="BU23" t="s">
        <v>464</v>
      </c>
    </row>
    <row r="24" spans="1:73">
      <c r="A24" s="5" t="s">
        <v>20</v>
      </c>
      <c r="B24" s="5" t="s">
        <v>83</v>
      </c>
      <c r="E24" t="s">
        <v>463</v>
      </c>
      <c r="F24" t="str">
        <f t="shared" si="0"/>
        <v>NatGrdExt_BLR_1</v>
      </c>
      <c r="G24" t="str">
        <f t="shared" si="10"/>
        <v>Grid Extension -Belarus- Step 1</v>
      </c>
      <c r="H24" t="s">
        <v>13</v>
      </c>
      <c r="I24" t="s">
        <v>11</v>
      </c>
      <c r="J24" t="s">
        <v>464</v>
      </c>
      <c r="L24" t="s">
        <v>463</v>
      </c>
      <c r="M24" t="str">
        <f t="shared" si="1"/>
        <v>NatGrdExt_BLR_2</v>
      </c>
      <c r="N24" t="str">
        <f t="shared" si="11"/>
        <v>Grid Extension -Belarus- Step 2</v>
      </c>
      <c r="O24" t="s">
        <v>13</v>
      </c>
      <c r="P24" t="s">
        <v>11</v>
      </c>
      <c r="Q24" t="s">
        <v>464</v>
      </c>
      <c r="S24" t="s">
        <v>463</v>
      </c>
      <c r="T24" t="str">
        <f t="shared" si="2"/>
        <v>NatGrdExt_BLR_3</v>
      </c>
      <c r="U24" t="str">
        <f t="shared" si="12"/>
        <v>Grid Extension -Belarus- Step 3</v>
      </c>
      <c r="V24" t="s">
        <v>13</v>
      </c>
      <c r="W24" t="s">
        <v>11</v>
      </c>
      <c r="X24" t="s">
        <v>464</v>
      </c>
      <c r="Z24" t="s">
        <v>463</v>
      </c>
      <c r="AA24" t="str">
        <f t="shared" si="3"/>
        <v>NatGrdExt_BLR_4</v>
      </c>
      <c r="AB24" t="str">
        <f t="shared" si="13"/>
        <v>Grid Extension -Belarus- Step 4</v>
      </c>
      <c r="AC24" t="s">
        <v>13</v>
      </c>
      <c r="AD24" t="s">
        <v>11</v>
      </c>
      <c r="AE24" t="s">
        <v>464</v>
      </c>
      <c r="AG24" t="s">
        <v>463</v>
      </c>
      <c r="AH24" t="str">
        <f t="shared" si="4"/>
        <v>NatGrdExt_BLR_5</v>
      </c>
      <c r="AI24" t="str">
        <f t="shared" si="14"/>
        <v>Grid Extension -Belarus- Step 5</v>
      </c>
      <c r="AJ24" t="s">
        <v>13</v>
      </c>
      <c r="AK24" t="s">
        <v>11</v>
      </c>
      <c r="AL24" t="s">
        <v>464</v>
      </c>
      <c r="AN24" t="s">
        <v>463</v>
      </c>
      <c r="AO24" t="str">
        <f t="shared" si="5"/>
        <v>NatGrdExt_BLR_6</v>
      </c>
      <c r="AP24" t="str">
        <f t="shared" si="15"/>
        <v>Grid Extension -Belarus- Step 6</v>
      </c>
      <c r="AQ24" t="s">
        <v>13</v>
      </c>
      <c r="AR24" t="s">
        <v>11</v>
      </c>
      <c r="AS24" t="s">
        <v>464</v>
      </c>
      <c r="AU24" t="s">
        <v>463</v>
      </c>
      <c r="AV24" t="str">
        <f t="shared" si="6"/>
        <v>NatGrdExt_BLR_7</v>
      </c>
      <c r="AW24" t="str">
        <f t="shared" si="16"/>
        <v>Grid Extension -Belarus- Step 7</v>
      </c>
      <c r="AX24" t="s">
        <v>13</v>
      </c>
      <c r="AY24" t="s">
        <v>11</v>
      </c>
      <c r="AZ24" t="s">
        <v>464</v>
      </c>
      <c r="BB24" t="s">
        <v>463</v>
      </c>
      <c r="BC24" t="str">
        <f t="shared" si="7"/>
        <v>NatGrdExt_BLR_8</v>
      </c>
      <c r="BD24" t="str">
        <f t="shared" si="17"/>
        <v>Grid Extension -Belarus- Step 8</v>
      </c>
      <c r="BE24" t="s">
        <v>13</v>
      </c>
      <c r="BF24" t="s">
        <v>11</v>
      </c>
      <c r="BG24" t="s">
        <v>464</v>
      </c>
      <c r="BI24" t="s">
        <v>463</v>
      </c>
      <c r="BJ24" t="str">
        <f t="shared" si="8"/>
        <v>NatGrdExt_BLR_9</v>
      </c>
      <c r="BK24" t="str">
        <f t="shared" si="18"/>
        <v>Grid Extension -Belarus- Step 9</v>
      </c>
      <c r="BL24" t="s">
        <v>13</v>
      </c>
      <c r="BM24" t="s">
        <v>11</v>
      </c>
      <c r="BN24" t="s">
        <v>464</v>
      </c>
      <c r="BP24" t="s">
        <v>463</v>
      </c>
      <c r="BQ24" t="str">
        <f t="shared" si="9"/>
        <v>NatGrdExt_BLR_10</v>
      </c>
      <c r="BR24" t="str">
        <f t="shared" si="19"/>
        <v>Grid Extension -Belarus- Step 10</v>
      </c>
      <c r="BS24" t="s">
        <v>13</v>
      </c>
      <c r="BT24" t="s">
        <v>11</v>
      </c>
      <c r="BU24" t="s">
        <v>464</v>
      </c>
    </row>
    <row r="25" spans="1:73">
      <c r="A25" s="5" t="s">
        <v>493</v>
      </c>
      <c r="B25" s="5" t="s">
        <v>494</v>
      </c>
      <c r="E25" t="s">
        <v>463</v>
      </c>
      <c r="F25" t="str">
        <f t="shared" si="0"/>
        <v>NatGrdExt_BLZ_1</v>
      </c>
      <c r="G25" t="str">
        <f t="shared" si="10"/>
        <v>Grid Extension -Belize- Step 1</v>
      </c>
      <c r="H25" t="s">
        <v>13</v>
      </c>
      <c r="I25" t="s">
        <v>11</v>
      </c>
      <c r="J25" t="s">
        <v>464</v>
      </c>
      <c r="L25" t="s">
        <v>463</v>
      </c>
      <c r="M25" t="str">
        <f t="shared" si="1"/>
        <v>NatGrdExt_BLZ_2</v>
      </c>
      <c r="N25" t="str">
        <f t="shared" si="11"/>
        <v>Grid Extension -Belize- Step 2</v>
      </c>
      <c r="O25" t="s">
        <v>13</v>
      </c>
      <c r="P25" t="s">
        <v>11</v>
      </c>
      <c r="Q25" t="s">
        <v>464</v>
      </c>
      <c r="S25" t="s">
        <v>463</v>
      </c>
      <c r="T25" t="str">
        <f t="shared" si="2"/>
        <v>NatGrdExt_BLZ_3</v>
      </c>
      <c r="U25" t="str">
        <f t="shared" si="12"/>
        <v>Grid Extension -Belize- Step 3</v>
      </c>
      <c r="V25" t="s">
        <v>13</v>
      </c>
      <c r="W25" t="s">
        <v>11</v>
      </c>
      <c r="X25" t="s">
        <v>464</v>
      </c>
      <c r="Z25" t="s">
        <v>463</v>
      </c>
      <c r="AA25" t="str">
        <f t="shared" si="3"/>
        <v>NatGrdExt_BLZ_4</v>
      </c>
      <c r="AB25" t="str">
        <f t="shared" si="13"/>
        <v>Grid Extension -Belize- Step 4</v>
      </c>
      <c r="AC25" t="s">
        <v>13</v>
      </c>
      <c r="AD25" t="s">
        <v>11</v>
      </c>
      <c r="AE25" t="s">
        <v>464</v>
      </c>
      <c r="AG25" t="s">
        <v>463</v>
      </c>
      <c r="AH25" t="str">
        <f t="shared" si="4"/>
        <v>NatGrdExt_BLZ_5</v>
      </c>
      <c r="AI25" t="str">
        <f t="shared" si="14"/>
        <v>Grid Extension -Belize- Step 5</v>
      </c>
      <c r="AJ25" t="s">
        <v>13</v>
      </c>
      <c r="AK25" t="s">
        <v>11</v>
      </c>
      <c r="AL25" t="s">
        <v>464</v>
      </c>
      <c r="AN25" t="s">
        <v>463</v>
      </c>
      <c r="AO25" t="str">
        <f t="shared" si="5"/>
        <v>NatGrdExt_BLZ_6</v>
      </c>
      <c r="AP25" t="str">
        <f t="shared" si="15"/>
        <v>Grid Extension -Belize- Step 6</v>
      </c>
      <c r="AQ25" t="s">
        <v>13</v>
      </c>
      <c r="AR25" t="s">
        <v>11</v>
      </c>
      <c r="AS25" t="s">
        <v>464</v>
      </c>
      <c r="AU25" t="s">
        <v>463</v>
      </c>
      <c r="AV25" t="str">
        <f t="shared" si="6"/>
        <v>NatGrdExt_BLZ_7</v>
      </c>
      <c r="AW25" t="str">
        <f t="shared" si="16"/>
        <v>Grid Extension -Belize- Step 7</v>
      </c>
      <c r="AX25" t="s">
        <v>13</v>
      </c>
      <c r="AY25" t="s">
        <v>11</v>
      </c>
      <c r="AZ25" t="s">
        <v>464</v>
      </c>
      <c r="BB25" t="s">
        <v>463</v>
      </c>
      <c r="BC25" t="str">
        <f t="shared" si="7"/>
        <v>NatGrdExt_BLZ_8</v>
      </c>
      <c r="BD25" t="str">
        <f t="shared" si="17"/>
        <v>Grid Extension -Belize- Step 8</v>
      </c>
      <c r="BE25" t="s">
        <v>13</v>
      </c>
      <c r="BF25" t="s">
        <v>11</v>
      </c>
      <c r="BG25" t="s">
        <v>464</v>
      </c>
      <c r="BI25" t="s">
        <v>463</v>
      </c>
      <c r="BJ25" t="str">
        <f t="shared" si="8"/>
        <v>NatGrdExt_BLZ_9</v>
      </c>
      <c r="BK25" t="str">
        <f t="shared" si="18"/>
        <v>Grid Extension -Belize- Step 9</v>
      </c>
      <c r="BL25" t="s">
        <v>13</v>
      </c>
      <c r="BM25" t="s">
        <v>11</v>
      </c>
      <c r="BN25" t="s">
        <v>464</v>
      </c>
      <c r="BP25" t="s">
        <v>463</v>
      </c>
      <c r="BQ25" t="str">
        <f t="shared" si="9"/>
        <v>NatGrdExt_BLZ_10</v>
      </c>
      <c r="BR25" t="str">
        <f t="shared" si="19"/>
        <v>Grid Extension -Belize- Step 10</v>
      </c>
      <c r="BS25" t="s">
        <v>13</v>
      </c>
      <c r="BT25" t="s">
        <v>11</v>
      </c>
      <c r="BU25" t="s">
        <v>464</v>
      </c>
    </row>
    <row r="26" spans="1:73">
      <c r="A26" s="5" t="s">
        <v>21</v>
      </c>
      <c r="B26" s="5" t="s">
        <v>84</v>
      </c>
      <c r="E26" t="s">
        <v>463</v>
      </c>
      <c r="F26" t="str">
        <f t="shared" si="0"/>
        <v>NatGrdExt_BOL_1</v>
      </c>
      <c r="G26" t="str">
        <f t="shared" si="10"/>
        <v>Grid Extension -Bolivia- Step 1</v>
      </c>
      <c r="H26" t="s">
        <v>13</v>
      </c>
      <c r="I26" t="s">
        <v>11</v>
      </c>
      <c r="J26" t="s">
        <v>464</v>
      </c>
      <c r="L26" t="s">
        <v>463</v>
      </c>
      <c r="M26" t="str">
        <f t="shared" si="1"/>
        <v>NatGrdExt_BOL_2</v>
      </c>
      <c r="N26" t="str">
        <f t="shared" si="11"/>
        <v>Grid Extension -Bolivia- Step 2</v>
      </c>
      <c r="O26" t="s">
        <v>13</v>
      </c>
      <c r="P26" t="s">
        <v>11</v>
      </c>
      <c r="Q26" t="s">
        <v>464</v>
      </c>
      <c r="S26" t="s">
        <v>463</v>
      </c>
      <c r="T26" t="str">
        <f t="shared" si="2"/>
        <v>NatGrdExt_BOL_3</v>
      </c>
      <c r="U26" t="str">
        <f t="shared" si="12"/>
        <v>Grid Extension -Bolivia- Step 3</v>
      </c>
      <c r="V26" t="s">
        <v>13</v>
      </c>
      <c r="W26" t="s">
        <v>11</v>
      </c>
      <c r="X26" t="s">
        <v>464</v>
      </c>
      <c r="Z26" t="s">
        <v>463</v>
      </c>
      <c r="AA26" t="str">
        <f t="shared" si="3"/>
        <v>NatGrdExt_BOL_4</v>
      </c>
      <c r="AB26" t="str">
        <f t="shared" si="13"/>
        <v>Grid Extension -Bolivia- Step 4</v>
      </c>
      <c r="AC26" t="s">
        <v>13</v>
      </c>
      <c r="AD26" t="s">
        <v>11</v>
      </c>
      <c r="AE26" t="s">
        <v>464</v>
      </c>
      <c r="AG26" t="s">
        <v>463</v>
      </c>
      <c r="AH26" t="str">
        <f t="shared" si="4"/>
        <v>NatGrdExt_BOL_5</v>
      </c>
      <c r="AI26" t="str">
        <f t="shared" si="14"/>
        <v>Grid Extension -Bolivia- Step 5</v>
      </c>
      <c r="AJ26" t="s">
        <v>13</v>
      </c>
      <c r="AK26" t="s">
        <v>11</v>
      </c>
      <c r="AL26" t="s">
        <v>464</v>
      </c>
      <c r="AN26" t="s">
        <v>463</v>
      </c>
      <c r="AO26" t="str">
        <f t="shared" si="5"/>
        <v>NatGrdExt_BOL_6</v>
      </c>
      <c r="AP26" t="str">
        <f t="shared" si="15"/>
        <v>Grid Extension -Bolivia- Step 6</v>
      </c>
      <c r="AQ26" t="s">
        <v>13</v>
      </c>
      <c r="AR26" t="s">
        <v>11</v>
      </c>
      <c r="AS26" t="s">
        <v>464</v>
      </c>
      <c r="AU26" t="s">
        <v>463</v>
      </c>
      <c r="AV26" t="str">
        <f t="shared" si="6"/>
        <v>NatGrdExt_BOL_7</v>
      </c>
      <c r="AW26" t="str">
        <f t="shared" si="16"/>
        <v>Grid Extension -Bolivia- Step 7</v>
      </c>
      <c r="AX26" t="s">
        <v>13</v>
      </c>
      <c r="AY26" t="s">
        <v>11</v>
      </c>
      <c r="AZ26" t="s">
        <v>464</v>
      </c>
      <c r="BB26" t="s">
        <v>463</v>
      </c>
      <c r="BC26" t="str">
        <f t="shared" si="7"/>
        <v>NatGrdExt_BOL_8</v>
      </c>
      <c r="BD26" t="str">
        <f t="shared" si="17"/>
        <v>Grid Extension -Bolivia- Step 8</v>
      </c>
      <c r="BE26" t="s">
        <v>13</v>
      </c>
      <c r="BF26" t="s">
        <v>11</v>
      </c>
      <c r="BG26" t="s">
        <v>464</v>
      </c>
      <c r="BI26" t="s">
        <v>463</v>
      </c>
      <c r="BJ26" t="str">
        <f t="shared" si="8"/>
        <v>NatGrdExt_BOL_9</v>
      </c>
      <c r="BK26" t="str">
        <f t="shared" si="18"/>
        <v>Grid Extension -Bolivia- Step 9</v>
      </c>
      <c r="BL26" t="s">
        <v>13</v>
      </c>
      <c r="BM26" t="s">
        <v>11</v>
      </c>
      <c r="BN26" t="s">
        <v>464</v>
      </c>
      <c r="BP26" t="s">
        <v>463</v>
      </c>
      <c r="BQ26" t="str">
        <f t="shared" si="9"/>
        <v>NatGrdExt_BOL_10</v>
      </c>
      <c r="BR26" t="str">
        <f t="shared" si="19"/>
        <v>Grid Extension -Bolivia- Step 10</v>
      </c>
      <c r="BS26" t="s">
        <v>13</v>
      </c>
      <c r="BT26" t="s">
        <v>11</v>
      </c>
      <c r="BU26" t="s">
        <v>464</v>
      </c>
    </row>
    <row r="27" spans="1:73">
      <c r="A27" s="5" t="s">
        <v>22</v>
      </c>
      <c r="B27" s="5" t="s">
        <v>85</v>
      </c>
      <c r="E27" t="s">
        <v>463</v>
      </c>
      <c r="F27" t="str">
        <f t="shared" si="0"/>
        <v>NatGrdExt_BRA_1</v>
      </c>
      <c r="G27" t="str">
        <f t="shared" si="10"/>
        <v>Grid Extension -Brazil- Step 1</v>
      </c>
      <c r="H27" t="s">
        <v>13</v>
      </c>
      <c r="I27" t="s">
        <v>11</v>
      </c>
      <c r="J27" t="s">
        <v>464</v>
      </c>
      <c r="L27" t="s">
        <v>463</v>
      </c>
      <c r="M27" t="str">
        <f t="shared" si="1"/>
        <v>NatGrdExt_BRA_2</v>
      </c>
      <c r="N27" t="str">
        <f t="shared" si="11"/>
        <v>Grid Extension -Brazil- Step 2</v>
      </c>
      <c r="O27" t="s">
        <v>13</v>
      </c>
      <c r="P27" t="s">
        <v>11</v>
      </c>
      <c r="Q27" t="s">
        <v>464</v>
      </c>
      <c r="S27" t="s">
        <v>463</v>
      </c>
      <c r="T27" t="str">
        <f t="shared" si="2"/>
        <v>NatGrdExt_BRA_3</v>
      </c>
      <c r="U27" t="str">
        <f t="shared" si="12"/>
        <v>Grid Extension -Brazil- Step 3</v>
      </c>
      <c r="V27" t="s">
        <v>13</v>
      </c>
      <c r="W27" t="s">
        <v>11</v>
      </c>
      <c r="X27" t="s">
        <v>464</v>
      </c>
      <c r="Z27" t="s">
        <v>463</v>
      </c>
      <c r="AA27" t="str">
        <f t="shared" si="3"/>
        <v>NatGrdExt_BRA_4</v>
      </c>
      <c r="AB27" t="str">
        <f t="shared" si="13"/>
        <v>Grid Extension -Brazil- Step 4</v>
      </c>
      <c r="AC27" t="s">
        <v>13</v>
      </c>
      <c r="AD27" t="s">
        <v>11</v>
      </c>
      <c r="AE27" t="s">
        <v>464</v>
      </c>
      <c r="AG27" t="s">
        <v>463</v>
      </c>
      <c r="AH27" t="str">
        <f t="shared" si="4"/>
        <v>NatGrdExt_BRA_5</v>
      </c>
      <c r="AI27" t="str">
        <f t="shared" si="14"/>
        <v>Grid Extension -Brazil- Step 5</v>
      </c>
      <c r="AJ27" t="s">
        <v>13</v>
      </c>
      <c r="AK27" t="s">
        <v>11</v>
      </c>
      <c r="AL27" t="s">
        <v>464</v>
      </c>
      <c r="AN27" t="s">
        <v>463</v>
      </c>
      <c r="AO27" t="str">
        <f t="shared" si="5"/>
        <v>NatGrdExt_BRA_6</v>
      </c>
      <c r="AP27" t="str">
        <f t="shared" si="15"/>
        <v>Grid Extension -Brazil- Step 6</v>
      </c>
      <c r="AQ27" t="s">
        <v>13</v>
      </c>
      <c r="AR27" t="s">
        <v>11</v>
      </c>
      <c r="AS27" t="s">
        <v>464</v>
      </c>
      <c r="AU27" t="s">
        <v>463</v>
      </c>
      <c r="AV27" t="str">
        <f t="shared" si="6"/>
        <v>NatGrdExt_BRA_7</v>
      </c>
      <c r="AW27" t="str">
        <f t="shared" si="16"/>
        <v>Grid Extension -Brazil- Step 7</v>
      </c>
      <c r="AX27" t="s">
        <v>13</v>
      </c>
      <c r="AY27" t="s">
        <v>11</v>
      </c>
      <c r="AZ27" t="s">
        <v>464</v>
      </c>
      <c r="BB27" t="s">
        <v>463</v>
      </c>
      <c r="BC27" t="str">
        <f t="shared" si="7"/>
        <v>NatGrdExt_BRA_8</v>
      </c>
      <c r="BD27" t="str">
        <f t="shared" si="17"/>
        <v>Grid Extension -Brazil- Step 8</v>
      </c>
      <c r="BE27" t="s">
        <v>13</v>
      </c>
      <c r="BF27" t="s">
        <v>11</v>
      </c>
      <c r="BG27" t="s">
        <v>464</v>
      </c>
      <c r="BI27" t="s">
        <v>463</v>
      </c>
      <c r="BJ27" t="str">
        <f t="shared" si="8"/>
        <v>NatGrdExt_BRA_9</v>
      </c>
      <c r="BK27" t="str">
        <f t="shared" si="18"/>
        <v>Grid Extension -Brazil- Step 9</v>
      </c>
      <c r="BL27" t="s">
        <v>13</v>
      </c>
      <c r="BM27" t="s">
        <v>11</v>
      </c>
      <c r="BN27" t="s">
        <v>464</v>
      </c>
      <c r="BP27" t="s">
        <v>463</v>
      </c>
      <c r="BQ27" t="str">
        <f t="shared" si="9"/>
        <v>NatGrdExt_BRA_10</v>
      </c>
      <c r="BR27" t="str">
        <f t="shared" si="19"/>
        <v>Grid Extension -Brazil- Step 10</v>
      </c>
      <c r="BS27" t="s">
        <v>13</v>
      </c>
      <c r="BT27" t="s">
        <v>11</v>
      </c>
      <c r="BU27" t="s">
        <v>464</v>
      </c>
    </row>
    <row r="28" spans="1:73">
      <c r="A28" s="5" t="s">
        <v>495</v>
      </c>
      <c r="B28" s="5" t="s">
        <v>496</v>
      </c>
      <c r="E28" t="s">
        <v>463</v>
      </c>
      <c r="F28" t="str">
        <f t="shared" si="0"/>
        <v>NatGrdExt_BRN_1</v>
      </c>
      <c r="G28" t="str">
        <f t="shared" si="10"/>
        <v>Grid Extension -Brunei- Step 1</v>
      </c>
      <c r="H28" t="s">
        <v>13</v>
      </c>
      <c r="I28" t="s">
        <v>11</v>
      </c>
      <c r="J28" t="s">
        <v>464</v>
      </c>
      <c r="L28" t="s">
        <v>463</v>
      </c>
      <c r="M28" t="str">
        <f t="shared" si="1"/>
        <v>NatGrdExt_BRN_2</v>
      </c>
      <c r="N28" t="str">
        <f t="shared" si="11"/>
        <v>Grid Extension -Brunei- Step 2</v>
      </c>
      <c r="O28" t="s">
        <v>13</v>
      </c>
      <c r="P28" t="s">
        <v>11</v>
      </c>
      <c r="Q28" t="s">
        <v>464</v>
      </c>
      <c r="S28" t="s">
        <v>463</v>
      </c>
      <c r="T28" t="str">
        <f t="shared" si="2"/>
        <v>NatGrdExt_BRN_3</v>
      </c>
      <c r="U28" t="str">
        <f t="shared" si="12"/>
        <v>Grid Extension -Brunei- Step 3</v>
      </c>
      <c r="V28" t="s">
        <v>13</v>
      </c>
      <c r="W28" t="s">
        <v>11</v>
      </c>
      <c r="X28" t="s">
        <v>464</v>
      </c>
      <c r="Z28" t="s">
        <v>463</v>
      </c>
      <c r="AA28" t="str">
        <f t="shared" si="3"/>
        <v>NatGrdExt_BRN_4</v>
      </c>
      <c r="AB28" t="str">
        <f t="shared" si="13"/>
        <v>Grid Extension -Brunei- Step 4</v>
      </c>
      <c r="AC28" t="s">
        <v>13</v>
      </c>
      <c r="AD28" t="s">
        <v>11</v>
      </c>
      <c r="AE28" t="s">
        <v>464</v>
      </c>
      <c r="AG28" t="s">
        <v>463</v>
      </c>
      <c r="AH28" t="str">
        <f t="shared" si="4"/>
        <v>NatGrdExt_BRN_5</v>
      </c>
      <c r="AI28" t="str">
        <f t="shared" si="14"/>
        <v>Grid Extension -Brunei- Step 5</v>
      </c>
      <c r="AJ28" t="s">
        <v>13</v>
      </c>
      <c r="AK28" t="s">
        <v>11</v>
      </c>
      <c r="AL28" t="s">
        <v>464</v>
      </c>
      <c r="AN28" t="s">
        <v>463</v>
      </c>
      <c r="AO28" t="str">
        <f t="shared" si="5"/>
        <v>NatGrdExt_BRN_6</v>
      </c>
      <c r="AP28" t="str">
        <f t="shared" si="15"/>
        <v>Grid Extension -Brunei- Step 6</v>
      </c>
      <c r="AQ28" t="s">
        <v>13</v>
      </c>
      <c r="AR28" t="s">
        <v>11</v>
      </c>
      <c r="AS28" t="s">
        <v>464</v>
      </c>
      <c r="AU28" t="s">
        <v>463</v>
      </c>
      <c r="AV28" t="str">
        <f t="shared" si="6"/>
        <v>NatGrdExt_BRN_7</v>
      </c>
      <c r="AW28" t="str">
        <f t="shared" si="16"/>
        <v>Grid Extension -Brunei- Step 7</v>
      </c>
      <c r="AX28" t="s">
        <v>13</v>
      </c>
      <c r="AY28" t="s">
        <v>11</v>
      </c>
      <c r="AZ28" t="s">
        <v>464</v>
      </c>
      <c r="BB28" t="s">
        <v>463</v>
      </c>
      <c r="BC28" t="str">
        <f t="shared" si="7"/>
        <v>NatGrdExt_BRN_8</v>
      </c>
      <c r="BD28" t="str">
        <f t="shared" si="17"/>
        <v>Grid Extension -Brunei- Step 8</v>
      </c>
      <c r="BE28" t="s">
        <v>13</v>
      </c>
      <c r="BF28" t="s">
        <v>11</v>
      </c>
      <c r="BG28" t="s">
        <v>464</v>
      </c>
      <c r="BI28" t="s">
        <v>463</v>
      </c>
      <c r="BJ28" t="str">
        <f t="shared" si="8"/>
        <v>NatGrdExt_BRN_9</v>
      </c>
      <c r="BK28" t="str">
        <f t="shared" si="18"/>
        <v>Grid Extension -Brunei- Step 9</v>
      </c>
      <c r="BL28" t="s">
        <v>13</v>
      </c>
      <c r="BM28" t="s">
        <v>11</v>
      </c>
      <c r="BN28" t="s">
        <v>464</v>
      </c>
      <c r="BP28" t="s">
        <v>463</v>
      </c>
      <c r="BQ28" t="str">
        <f t="shared" si="9"/>
        <v>NatGrdExt_BRN_10</v>
      </c>
      <c r="BR28" t="str">
        <f t="shared" si="19"/>
        <v>Grid Extension -Brunei- Step 10</v>
      </c>
      <c r="BS28" t="s">
        <v>13</v>
      </c>
      <c r="BT28" t="s">
        <v>11</v>
      </c>
      <c r="BU28" t="s">
        <v>464</v>
      </c>
    </row>
    <row r="29" spans="1:73">
      <c r="A29" s="5" t="s">
        <v>86</v>
      </c>
      <c r="B29" s="5" t="s">
        <v>87</v>
      </c>
      <c r="E29" t="s">
        <v>463</v>
      </c>
      <c r="F29" t="str">
        <f t="shared" si="0"/>
        <v>NatGrdExt_BTN_1</v>
      </c>
      <c r="G29" t="str">
        <f t="shared" si="10"/>
        <v>Grid Extension -Bhutan- Step 1</v>
      </c>
      <c r="H29" t="s">
        <v>13</v>
      </c>
      <c r="I29" t="s">
        <v>11</v>
      </c>
      <c r="J29" t="s">
        <v>464</v>
      </c>
      <c r="L29" t="s">
        <v>463</v>
      </c>
      <c r="M29" t="str">
        <f t="shared" si="1"/>
        <v>NatGrdExt_BTN_2</v>
      </c>
      <c r="N29" t="str">
        <f t="shared" si="11"/>
        <v>Grid Extension -Bhutan- Step 2</v>
      </c>
      <c r="O29" t="s">
        <v>13</v>
      </c>
      <c r="P29" t="s">
        <v>11</v>
      </c>
      <c r="Q29" t="s">
        <v>464</v>
      </c>
      <c r="S29" t="s">
        <v>463</v>
      </c>
      <c r="T29" t="str">
        <f t="shared" si="2"/>
        <v>NatGrdExt_BTN_3</v>
      </c>
      <c r="U29" t="str">
        <f t="shared" si="12"/>
        <v>Grid Extension -Bhutan- Step 3</v>
      </c>
      <c r="V29" t="s">
        <v>13</v>
      </c>
      <c r="W29" t="s">
        <v>11</v>
      </c>
      <c r="X29" t="s">
        <v>464</v>
      </c>
      <c r="Z29" t="s">
        <v>463</v>
      </c>
      <c r="AA29" t="str">
        <f t="shared" si="3"/>
        <v>NatGrdExt_BTN_4</v>
      </c>
      <c r="AB29" t="str">
        <f t="shared" si="13"/>
        <v>Grid Extension -Bhutan- Step 4</v>
      </c>
      <c r="AC29" t="s">
        <v>13</v>
      </c>
      <c r="AD29" t="s">
        <v>11</v>
      </c>
      <c r="AE29" t="s">
        <v>464</v>
      </c>
      <c r="AG29" t="s">
        <v>463</v>
      </c>
      <c r="AH29" t="str">
        <f t="shared" si="4"/>
        <v>NatGrdExt_BTN_5</v>
      </c>
      <c r="AI29" t="str">
        <f t="shared" si="14"/>
        <v>Grid Extension -Bhutan- Step 5</v>
      </c>
      <c r="AJ29" t="s">
        <v>13</v>
      </c>
      <c r="AK29" t="s">
        <v>11</v>
      </c>
      <c r="AL29" t="s">
        <v>464</v>
      </c>
      <c r="AN29" t="s">
        <v>463</v>
      </c>
      <c r="AO29" t="str">
        <f t="shared" si="5"/>
        <v>NatGrdExt_BTN_6</v>
      </c>
      <c r="AP29" t="str">
        <f t="shared" si="15"/>
        <v>Grid Extension -Bhutan- Step 6</v>
      </c>
      <c r="AQ29" t="s">
        <v>13</v>
      </c>
      <c r="AR29" t="s">
        <v>11</v>
      </c>
      <c r="AS29" t="s">
        <v>464</v>
      </c>
      <c r="AU29" t="s">
        <v>463</v>
      </c>
      <c r="AV29" t="str">
        <f t="shared" si="6"/>
        <v>NatGrdExt_BTN_7</v>
      </c>
      <c r="AW29" t="str">
        <f t="shared" si="16"/>
        <v>Grid Extension -Bhutan- Step 7</v>
      </c>
      <c r="AX29" t="s">
        <v>13</v>
      </c>
      <c r="AY29" t="s">
        <v>11</v>
      </c>
      <c r="AZ29" t="s">
        <v>464</v>
      </c>
      <c r="BB29" t="s">
        <v>463</v>
      </c>
      <c r="BC29" t="str">
        <f t="shared" si="7"/>
        <v>NatGrdExt_BTN_8</v>
      </c>
      <c r="BD29" t="str">
        <f t="shared" si="17"/>
        <v>Grid Extension -Bhutan- Step 8</v>
      </c>
      <c r="BE29" t="s">
        <v>13</v>
      </c>
      <c r="BF29" t="s">
        <v>11</v>
      </c>
      <c r="BG29" t="s">
        <v>464</v>
      </c>
      <c r="BI29" t="s">
        <v>463</v>
      </c>
      <c r="BJ29" t="str">
        <f t="shared" si="8"/>
        <v>NatGrdExt_BTN_9</v>
      </c>
      <c r="BK29" t="str">
        <f t="shared" si="18"/>
        <v>Grid Extension -Bhutan- Step 9</v>
      </c>
      <c r="BL29" t="s">
        <v>13</v>
      </c>
      <c r="BM29" t="s">
        <v>11</v>
      </c>
      <c r="BN29" t="s">
        <v>464</v>
      </c>
      <c r="BP29" t="s">
        <v>463</v>
      </c>
      <c r="BQ29" t="str">
        <f t="shared" si="9"/>
        <v>NatGrdExt_BTN_10</v>
      </c>
      <c r="BR29" t="str">
        <f t="shared" si="19"/>
        <v>Grid Extension -Bhutan- Step 10</v>
      </c>
      <c r="BS29" t="s">
        <v>13</v>
      </c>
      <c r="BT29" t="s">
        <v>11</v>
      </c>
      <c r="BU29" t="s">
        <v>464</v>
      </c>
    </row>
    <row r="30" spans="1:73">
      <c r="A30" s="5" t="s">
        <v>497</v>
      </c>
      <c r="B30" s="5" t="s">
        <v>498</v>
      </c>
      <c r="E30" t="s">
        <v>463</v>
      </c>
      <c r="F30" t="str">
        <f t="shared" si="0"/>
        <v>NatGrdExt_BWA_1</v>
      </c>
      <c r="G30" t="str">
        <f t="shared" si="10"/>
        <v>Grid Extension -Botswana- Step 1</v>
      </c>
      <c r="H30" t="s">
        <v>13</v>
      </c>
      <c r="I30" t="s">
        <v>11</v>
      </c>
      <c r="J30" t="s">
        <v>464</v>
      </c>
      <c r="L30" t="s">
        <v>463</v>
      </c>
      <c r="M30" t="str">
        <f t="shared" si="1"/>
        <v>NatGrdExt_BWA_2</v>
      </c>
      <c r="N30" t="str">
        <f t="shared" si="11"/>
        <v>Grid Extension -Botswana- Step 2</v>
      </c>
      <c r="O30" t="s">
        <v>13</v>
      </c>
      <c r="P30" t="s">
        <v>11</v>
      </c>
      <c r="Q30" t="s">
        <v>464</v>
      </c>
      <c r="S30" t="s">
        <v>463</v>
      </c>
      <c r="T30" t="str">
        <f t="shared" si="2"/>
        <v>NatGrdExt_BWA_3</v>
      </c>
      <c r="U30" t="str">
        <f t="shared" si="12"/>
        <v>Grid Extension -Botswana- Step 3</v>
      </c>
      <c r="V30" t="s">
        <v>13</v>
      </c>
      <c r="W30" t="s">
        <v>11</v>
      </c>
      <c r="X30" t="s">
        <v>464</v>
      </c>
      <c r="Z30" t="s">
        <v>463</v>
      </c>
      <c r="AA30" t="str">
        <f t="shared" si="3"/>
        <v>NatGrdExt_BWA_4</v>
      </c>
      <c r="AB30" t="str">
        <f t="shared" si="13"/>
        <v>Grid Extension -Botswana- Step 4</v>
      </c>
      <c r="AC30" t="s">
        <v>13</v>
      </c>
      <c r="AD30" t="s">
        <v>11</v>
      </c>
      <c r="AE30" t="s">
        <v>464</v>
      </c>
      <c r="AG30" t="s">
        <v>463</v>
      </c>
      <c r="AH30" t="str">
        <f t="shared" si="4"/>
        <v>NatGrdExt_BWA_5</v>
      </c>
      <c r="AI30" t="str">
        <f t="shared" si="14"/>
        <v>Grid Extension -Botswana- Step 5</v>
      </c>
      <c r="AJ30" t="s">
        <v>13</v>
      </c>
      <c r="AK30" t="s">
        <v>11</v>
      </c>
      <c r="AL30" t="s">
        <v>464</v>
      </c>
      <c r="AN30" t="s">
        <v>463</v>
      </c>
      <c r="AO30" t="str">
        <f t="shared" si="5"/>
        <v>NatGrdExt_BWA_6</v>
      </c>
      <c r="AP30" t="str">
        <f t="shared" si="15"/>
        <v>Grid Extension -Botswana- Step 6</v>
      </c>
      <c r="AQ30" t="s">
        <v>13</v>
      </c>
      <c r="AR30" t="s">
        <v>11</v>
      </c>
      <c r="AS30" t="s">
        <v>464</v>
      </c>
      <c r="AU30" t="s">
        <v>463</v>
      </c>
      <c r="AV30" t="str">
        <f t="shared" si="6"/>
        <v>NatGrdExt_BWA_7</v>
      </c>
      <c r="AW30" t="str">
        <f t="shared" si="16"/>
        <v>Grid Extension -Botswana- Step 7</v>
      </c>
      <c r="AX30" t="s">
        <v>13</v>
      </c>
      <c r="AY30" t="s">
        <v>11</v>
      </c>
      <c r="AZ30" t="s">
        <v>464</v>
      </c>
      <c r="BB30" t="s">
        <v>463</v>
      </c>
      <c r="BC30" t="str">
        <f t="shared" si="7"/>
        <v>NatGrdExt_BWA_8</v>
      </c>
      <c r="BD30" t="str">
        <f t="shared" si="17"/>
        <v>Grid Extension -Botswana- Step 8</v>
      </c>
      <c r="BE30" t="s">
        <v>13</v>
      </c>
      <c r="BF30" t="s">
        <v>11</v>
      </c>
      <c r="BG30" t="s">
        <v>464</v>
      </c>
      <c r="BI30" t="s">
        <v>463</v>
      </c>
      <c r="BJ30" t="str">
        <f t="shared" si="8"/>
        <v>NatGrdExt_BWA_9</v>
      </c>
      <c r="BK30" t="str">
        <f t="shared" si="18"/>
        <v>Grid Extension -Botswana- Step 9</v>
      </c>
      <c r="BL30" t="s">
        <v>13</v>
      </c>
      <c r="BM30" t="s">
        <v>11</v>
      </c>
      <c r="BN30" t="s">
        <v>464</v>
      </c>
      <c r="BP30" t="s">
        <v>463</v>
      </c>
      <c r="BQ30" t="str">
        <f t="shared" si="9"/>
        <v>NatGrdExt_BWA_10</v>
      </c>
      <c r="BR30" t="str">
        <f t="shared" si="19"/>
        <v>Grid Extension -Botswana- Step 10</v>
      </c>
      <c r="BS30" t="s">
        <v>13</v>
      </c>
      <c r="BT30" t="s">
        <v>11</v>
      </c>
      <c r="BU30" t="s">
        <v>464</v>
      </c>
    </row>
    <row r="31" spans="1:73">
      <c r="A31" s="5" t="s">
        <v>23</v>
      </c>
      <c r="B31" s="5" t="s">
        <v>88</v>
      </c>
      <c r="E31" t="s">
        <v>463</v>
      </c>
      <c r="F31" t="str">
        <f t="shared" si="0"/>
        <v>NatGrdExt_CAF_1</v>
      </c>
      <c r="G31" t="str">
        <f t="shared" si="10"/>
        <v>Grid Extension -Central African Republic- Step 1</v>
      </c>
      <c r="H31" t="s">
        <v>13</v>
      </c>
      <c r="I31" t="s">
        <v>11</v>
      </c>
      <c r="J31" t="s">
        <v>464</v>
      </c>
      <c r="L31" t="s">
        <v>463</v>
      </c>
      <c r="M31" t="str">
        <f t="shared" si="1"/>
        <v>NatGrdExt_CAF_2</v>
      </c>
      <c r="N31" t="str">
        <f t="shared" si="11"/>
        <v>Grid Extension -Central African Republic- Step 2</v>
      </c>
      <c r="O31" t="s">
        <v>13</v>
      </c>
      <c r="P31" t="s">
        <v>11</v>
      </c>
      <c r="Q31" t="s">
        <v>464</v>
      </c>
      <c r="S31" t="s">
        <v>463</v>
      </c>
      <c r="T31" t="str">
        <f t="shared" si="2"/>
        <v>NatGrdExt_CAF_3</v>
      </c>
      <c r="U31" t="str">
        <f t="shared" si="12"/>
        <v>Grid Extension -Central African Republic- Step 3</v>
      </c>
      <c r="V31" t="s">
        <v>13</v>
      </c>
      <c r="W31" t="s">
        <v>11</v>
      </c>
      <c r="X31" t="s">
        <v>464</v>
      </c>
      <c r="Z31" t="s">
        <v>463</v>
      </c>
      <c r="AA31" t="str">
        <f t="shared" si="3"/>
        <v>NatGrdExt_CAF_4</v>
      </c>
      <c r="AB31" t="str">
        <f t="shared" si="13"/>
        <v>Grid Extension -Central African Republic- Step 4</v>
      </c>
      <c r="AC31" t="s">
        <v>13</v>
      </c>
      <c r="AD31" t="s">
        <v>11</v>
      </c>
      <c r="AE31" t="s">
        <v>464</v>
      </c>
      <c r="AG31" t="s">
        <v>463</v>
      </c>
      <c r="AH31" t="str">
        <f t="shared" si="4"/>
        <v>NatGrdExt_CAF_5</v>
      </c>
      <c r="AI31" t="str">
        <f t="shared" si="14"/>
        <v>Grid Extension -Central African Republic- Step 5</v>
      </c>
      <c r="AJ31" t="s">
        <v>13</v>
      </c>
      <c r="AK31" t="s">
        <v>11</v>
      </c>
      <c r="AL31" t="s">
        <v>464</v>
      </c>
      <c r="AN31" t="s">
        <v>463</v>
      </c>
      <c r="AO31" t="str">
        <f t="shared" si="5"/>
        <v>NatGrdExt_CAF_6</v>
      </c>
      <c r="AP31" t="str">
        <f t="shared" si="15"/>
        <v>Grid Extension -Central African Republic- Step 6</v>
      </c>
      <c r="AQ31" t="s">
        <v>13</v>
      </c>
      <c r="AR31" t="s">
        <v>11</v>
      </c>
      <c r="AS31" t="s">
        <v>464</v>
      </c>
      <c r="AU31" t="s">
        <v>463</v>
      </c>
      <c r="AV31" t="str">
        <f t="shared" si="6"/>
        <v>NatGrdExt_CAF_7</v>
      </c>
      <c r="AW31" t="str">
        <f t="shared" si="16"/>
        <v>Grid Extension -Central African Republic- Step 7</v>
      </c>
      <c r="AX31" t="s">
        <v>13</v>
      </c>
      <c r="AY31" t="s">
        <v>11</v>
      </c>
      <c r="AZ31" t="s">
        <v>464</v>
      </c>
      <c r="BB31" t="s">
        <v>463</v>
      </c>
      <c r="BC31" t="str">
        <f t="shared" si="7"/>
        <v>NatGrdExt_CAF_8</v>
      </c>
      <c r="BD31" t="str">
        <f t="shared" si="17"/>
        <v>Grid Extension -Central African Republic- Step 8</v>
      </c>
      <c r="BE31" t="s">
        <v>13</v>
      </c>
      <c r="BF31" t="s">
        <v>11</v>
      </c>
      <c r="BG31" t="s">
        <v>464</v>
      </c>
      <c r="BI31" t="s">
        <v>463</v>
      </c>
      <c r="BJ31" t="str">
        <f t="shared" si="8"/>
        <v>NatGrdExt_CAF_9</v>
      </c>
      <c r="BK31" t="str">
        <f t="shared" si="18"/>
        <v>Grid Extension -Central African Republic- Step 9</v>
      </c>
      <c r="BL31" t="s">
        <v>13</v>
      </c>
      <c r="BM31" t="s">
        <v>11</v>
      </c>
      <c r="BN31" t="s">
        <v>464</v>
      </c>
      <c r="BP31" t="s">
        <v>463</v>
      </c>
      <c r="BQ31" t="str">
        <f t="shared" si="9"/>
        <v>NatGrdExt_CAF_10</v>
      </c>
      <c r="BR31" t="str">
        <f t="shared" si="19"/>
        <v>Grid Extension -Central African Republic- Step 10</v>
      </c>
      <c r="BS31" t="s">
        <v>13</v>
      </c>
      <c r="BT31" t="s">
        <v>11</v>
      </c>
      <c r="BU31" t="s">
        <v>464</v>
      </c>
    </row>
    <row r="32" spans="1:73">
      <c r="A32" s="5" t="s">
        <v>24</v>
      </c>
      <c r="B32" s="5" t="s">
        <v>89</v>
      </c>
      <c r="E32" t="s">
        <v>463</v>
      </c>
      <c r="F32" t="str">
        <f t="shared" si="0"/>
        <v>NatGrdExt_CAN_1</v>
      </c>
      <c r="G32" t="str">
        <f t="shared" si="10"/>
        <v>Grid Extension -Canada- Step 1</v>
      </c>
      <c r="H32" t="s">
        <v>13</v>
      </c>
      <c r="I32" t="s">
        <v>11</v>
      </c>
      <c r="J32" t="s">
        <v>464</v>
      </c>
      <c r="L32" t="s">
        <v>463</v>
      </c>
      <c r="M32" t="str">
        <f t="shared" si="1"/>
        <v>NatGrdExt_CAN_2</v>
      </c>
      <c r="N32" t="str">
        <f t="shared" si="11"/>
        <v>Grid Extension -Canada- Step 2</v>
      </c>
      <c r="O32" t="s">
        <v>13</v>
      </c>
      <c r="P32" t="s">
        <v>11</v>
      </c>
      <c r="Q32" t="s">
        <v>464</v>
      </c>
      <c r="S32" t="s">
        <v>463</v>
      </c>
      <c r="T32" t="str">
        <f t="shared" si="2"/>
        <v>NatGrdExt_CAN_3</v>
      </c>
      <c r="U32" t="str">
        <f t="shared" si="12"/>
        <v>Grid Extension -Canada- Step 3</v>
      </c>
      <c r="V32" t="s">
        <v>13</v>
      </c>
      <c r="W32" t="s">
        <v>11</v>
      </c>
      <c r="X32" t="s">
        <v>464</v>
      </c>
      <c r="Z32" t="s">
        <v>463</v>
      </c>
      <c r="AA32" t="str">
        <f t="shared" si="3"/>
        <v>NatGrdExt_CAN_4</v>
      </c>
      <c r="AB32" t="str">
        <f t="shared" si="13"/>
        <v>Grid Extension -Canada- Step 4</v>
      </c>
      <c r="AC32" t="s">
        <v>13</v>
      </c>
      <c r="AD32" t="s">
        <v>11</v>
      </c>
      <c r="AE32" t="s">
        <v>464</v>
      </c>
      <c r="AG32" t="s">
        <v>463</v>
      </c>
      <c r="AH32" t="str">
        <f t="shared" si="4"/>
        <v>NatGrdExt_CAN_5</v>
      </c>
      <c r="AI32" t="str">
        <f t="shared" si="14"/>
        <v>Grid Extension -Canada- Step 5</v>
      </c>
      <c r="AJ32" t="s">
        <v>13</v>
      </c>
      <c r="AK32" t="s">
        <v>11</v>
      </c>
      <c r="AL32" t="s">
        <v>464</v>
      </c>
      <c r="AN32" t="s">
        <v>463</v>
      </c>
      <c r="AO32" t="str">
        <f t="shared" si="5"/>
        <v>NatGrdExt_CAN_6</v>
      </c>
      <c r="AP32" t="str">
        <f t="shared" si="15"/>
        <v>Grid Extension -Canada- Step 6</v>
      </c>
      <c r="AQ32" t="s">
        <v>13</v>
      </c>
      <c r="AR32" t="s">
        <v>11</v>
      </c>
      <c r="AS32" t="s">
        <v>464</v>
      </c>
      <c r="AU32" t="s">
        <v>463</v>
      </c>
      <c r="AV32" t="str">
        <f t="shared" si="6"/>
        <v>NatGrdExt_CAN_7</v>
      </c>
      <c r="AW32" t="str">
        <f t="shared" si="16"/>
        <v>Grid Extension -Canada- Step 7</v>
      </c>
      <c r="AX32" t="s">
        <v>13</v>
      </c>
      <c r="AY32" t="s">
        <v>11</v>
      </c>
      <c r="AZ32" t="s">
        <v>464</v>
      </c>
      <c r="BB32" t="s">
        <v>463</v>
      </c>
      <c r="BC32" t="str">
        <f t="shared" si="7"/>
        <v>NatGrdExt_CAN_8</v>
      </c>
      <c r="BD32" t="str">
        <f t="shared" si="17"/>
        <v>Grid Extension -Canada- Step 8</v>
      </c>
      <c r="BE32" t="s">
        <v>13</v>
      </c>
      <c r="BF32" t="s">
        <v>11</v>
      </c>
      <c r="BG32" t="s">
        <v>464</v>
      </c>
      <c r="BI32" t="s">
        <v>463</v>
      </c>
      <c r="BJ32" t="str">
        <f t="shared" si="8"/>
        <v>NatGrdExt_CAN_9</v>
      </c>
      <c r="BK32" t="str">
        <f t="shared" si="18"/>
        <v>Grid Extension -Canada- Step 9</v>
      </c>
      <c r="BL32" t="s">
        <v>13</v>
      </c>
      <c r="BM32" t="s">
        <v>11</v>
      </c>
      <c r="BN32" t="s">
        <v>464</v>
      </c>
      <c r="BP32" t="s">
        <v>463</v>
      </c>
      <c r="BQ32" t="str">
        <f t="shared" si="9"/>
        <v>NatGrdExt_CAN_10</v>
      </c>
      <c r="BR32" t="str">
        <f t="shared" si="19"/>
        <v>Grid Extension -Canada- Step 10</v>
      </c>
      <c r="BS32" t="s">
        <v>13</v>
      </c>
      <c r="BT32" t="s">
        <v>11</v>
      </c>
      <c r="BU32" t="s">
        <v>464</v>
      </c>
    </row>
    <row r="33" spans="1:73">
      <c r="A33" s="5" t="s">
        <v>499</v>
      </c>
      <c r="B33" s="5" t="s">
        <v>500</v>
      </c>
      <c r="E33" t="s">
        <v>463</v>
      </c>
      <c r="F33" t="str">
        <f t="shared" si="0"/>
        <v>NatGrdExt_CHE_1</v>
      </c>
      <c r="G33" t="str">
        <f t="shared" si="10"/>
        <v>Grid Extension -Switzerland- Step 1</v>
      </c>
      <c r="H33" t="s">
        <v>13</v>
      </c>
      <c r="I33" t="s">
        <v>11</v>
      </c>
      <c r="J33" t="s">
        <v>464</v>
      </c>
      <c r="L33" t="s">
        <v>463</v>
      </c>
      <c r="M33" t="str">
        <f t="shared" si="1"/>
        <v>NatGrdExt_CHE_2</v>
      </c>
      <c r="N33" t="str">
        <f t="shared" si="11"/>
        <v>Grid Extension -Switzerland- Step 2</v>
      </c>
      <c r="O33" t="s">
        <v>13</v>
      </c>
      <c r="P33" t="s">
        <v>11</v>
      </c>
      <c r="Q33" t="s">
        <v>464</v>
      </c>
      <c r="S33" t="s">
        <v>463</v>
      </c>
      <c r="T33" t="str">
        <f t="shared" si="2"/>
        <v>NatGrdExt_CHE_3</v>
      </c>
      <c r="U33" t="str">
        <f t="shared" si="12"/>
        <v>Grid Extension -Switzerland- Step 3</v>
      </c>
      <c r="V33" t="s">
        <v>13</v>
      </c>
      <c r="W33" t="s">
        <v>11</v>
      </c>
      <c r="X33" t="s">
        <v>464</v>
      </c>
      <c r="Z33" t="s">
        <v>463</v>
      </c>
      <c r="AA33" t="str">
        <f t="shared" si="3"/>
        <v>NatGrdExt_CHE_4</v>
      </c>
      <c r="AB33" t="str">
        <f t="shared" si="13"/>
        <v>Grid Extension -Switzerland- Step 4</v>
      </c>
      <c r="AC33" t="s">
        <v>13</v>
      </c>
      <c r="AD33" t="s">
        <v>11</v>
      </c>
      <c r="AE33" t="s">
        <v>464</v>
      </c>
      <c r="AG33" t="s">
        <v>463</v>
      </c>
      <c r="AH33" t="str">
        <f t="shared" si="4"/>
        <v>NatGrdExt_CHE_5</v>
      </c>
      <c r="AI33" t="str">
        <f t="shared" si="14"/>
        <v>Grid Extension -Switzerland- Step 5</v>
      </c>
      <c r="AJ33" t="s">
        <v>13</v>
      </c>
      <c r="AK33" t="s">
        <v>11</v>
      </c>
      <c r="AL33" t="s">
        <v>464</v>
      </c>
      <c r="AN33" t="s">
        <v>463</v>
      </c>
      <c r="AO33" t="str">
        <f t="shared" si="5"/>
        <v>NatGrdExt_CHE_6</v>
      </c>
      <c r="AP33" t="str">
        <f t="shared" si="15"/>
        <v>Grid Extension -Switzerland- Step 6</v>
      </c>
      <c r="AQ33" t="s">
        <v>13</v>
      </c>
      <c r="AR33" t="s">
        <v>11</v>
      </c>
      <c r="AS33" t="s">
        <v>464</v>
      </c>
      <c r="AU33" t="s">
        <v>463</v>
      </c>
      <c r="AV33" t="str">
        <f t="shared" si="6"/>
        <v>NatGrdExt_CHE_7</v>
      </c>
      <c r="AW33" t="str">
        <f t="shared" si="16"/>
        <v>Grid Extension -Switzerland- Step 7</v>
      </c>
      <c r="AX33" t="s">
        <v>13</v>
      </c>
      <c r="AY33" t="s">
        <v>11</v>
      </c>
      <c r="AZ33" t="s">
        <v>464</v>
      </c>
      <c r="BB33" t="s">
        <v>463</v>
      </c>
      <c r="BC33" t="str">
        <f t="shared" si="7"/>
        <v>NatGrdExt_CHE_8</v>
      </c>
      <c r="BD33" t="str">
        <f t="shared" si="17"/>
        <v>Grid Extension -Switzerland- Step 8</v>
      </c>
      <c r="BE33" t="s">
        <v>13</v>
      </c>
      <c r="BF33" t="s">
        <v>11</v>
      </c>
      <c r="BG33" t="s">
        <v>464</v>
      </c>
      <c r="BI33" t="s">
        <v>463</v>
      </c>
      <c r="BJ33" t="str">
        <f t="shared" si="8"/>
        <v>NatGrdExt_CHE_9</v>
      </c>
      <c r="BK33" t="str">
        <f t="shared" si="18"/>
        <v>Grid Extension -Switzerland- Step 9</v>
      </c>
      <c r="BL33" t="s">
        <v>13</v>
      </c>
      <c r="BM33" t="s">
        <v>11</v>
      </c>
      <c r="BN33" t="s">
        <v>464</v>
      </c>
      <c r="BP33" t="s">
        <v>463</v>
      </c>
      <c r="BQ33" t="str">
        <f t="shared" si="9"/>
        <v>NatGrdExt_CHE_10</v>
      </c>
      <c r="BR33" t="str">
        <f t="shared" si="19"/>
        <v>Grid Extension -Switzerland- Step 10</v>
      </c>
      <c r="BS33" t="s">
        <v>13</v>
      </c>
      <c r="BT33" t="s">
        <v>11</v>
      </c>
      <c r="BU33" t="s">
        <v>464</v>
      </c>
    </row>
    <row r="34" spans="1:73">
      <c r="A34" s="5" t="s">
        <v>25</v>
      </c>
      <c r="B34" s="5" t="s">
        <v>90</v>
      </c>
      <c r="E34" t="s">
        <v>463</v>
      </c>
      <c r="F34" t="str">
        <f t="shared" si="0"/>
        <v>NatGrdExt_CHL_1</v>
      </c>
      <c r="G34" t="str">
        <f t="shared" si="10"/>
        <v>Grid Extension -Chile- Step 1</v>
      </c>
      <c r="H34" t="s">
        <v>13</v>
      </c>
      <c r="I34" t="s">
        <v>11</v>
      </c>
      <c r="J34" t="s">
        <v>464</v>
      </c>
      <c r="L34" t="s">
        <v>463</v>
      </c>
      <c r="M34" t="str">
        <f t="shared" si="1"/>
        <v>NatGrdExt_CHL_2</v>
      </c>
      <c r="N34" t="str">
        <f t="shared" si="11"/>
        <v>Grid Extension -Chile- Step 2</v>
      </c>
      <c r="O34" t="s">
        <v>13</v>
      </c>
      <c r="P34" t="s">
        <v>11</v>
      </c>
      <c r="Q34" t="s">
        <v>464</v>
      </c>
      <c r="S34" t="s">
        <v>463</v>
      </c>
      <c r="T34" t="str">
        <f t="shared" si="2"/>
        <v>NatGrdExt_CHL_3</v>
      </c>
      <c r="U34" t="str">
        <f t="shared" si="12"/>
        <v>Grid Extension -Chile- Step 3</v>
      </c>
      <c r="V34" t="s">
        <v>13</v>
      </c>
      <c r="W34" t="s">
        <v>11</v>
      </c>
      <c r="X34" t="s">
        <v>464</v>
      </c>
      <c r="Z34" t="s">
        <v>463</v>
      </c>
      <c r="AA34" t="str">
        <f t="shared" si="3"/>
        <v>NatGrdExt_CHL_4</v>
      </c>
      <c r="AB34" t="str">
        <f t="shared" si="13"/>
        <v>Grid Extension -Chile- Step 4</v>
      </c>
      <c r="AC34" t="s">
        <v>13</v>
      </c>
      <c r="AD34" t="s">
        <v>11</v>
      </c>
      <c r="AE34" t="s">
        <v>464</v>
      </c>
      <c r="AG34" t="s">
        <v>463</v>
      </c>
      <c r="AH34" t="str">
        <f t="shared" si="4"/>
        <v>NatGrdExt_CHL_5</v>
      </c>
      <c r="AI34" t="str">
        <f t="shared" si="14"/>
        <v>Grid Extension -Chile- Step 5</v>
      </c>
      <c r="AJ34" t="s">
        <v>13</v>
      </c>
      <c r="AK34" t="s">
        <v>11</v>
      </c>
      <c r="AL34" t="s">
        <v>464</v>
      </c>
      <c r="AN34" t="s">
        <v>463</v>
      </c>
      <c r="AO34" t="str">
        <f t="shared" si="5"/>
        <v>NatGrdExt_CHL_6</v>
      </c>
      <c r="AP34" t="str">
        <f t="shared" si="15"/>
        <v>Grid Extension -Chile- Step 6</v>
      </c>
      <c r="AQ34" t="s">
        <v>13</v>
      </c>
      <c r="AR34" t="s">
        <v>11</v>
      </c>
      <c r="AS34" t="s">
        <v>464</v>
      </c>
      <c r="AU34" t="s">
        <v>463</v>
      </c>
      <c r="AV34" t="str">
        <f t="shared" si="6"/>
        <v>NatGrdExt_CHL_7</v>
      </c>
      <c r="AW34" t="str">
        <f t="shared" si="16"/>
        <v>Grid Extension -Chile- Step 7</v>
      </c>
      <c r="AX34" t="s">
        <v>13</v>
      </c>
      <c r="AY34" t="s">
        <v>11</v>
      </c>
      <c r="AZ34" t="s">
        <v>464</v>
      </c>
      <c r="BB34" t="s">
        <v>463</v>
      </c>
      <c r="BC34" t="str">
        <f t="shared" si="7"/>
        <v>NatGrdExt_CHL_8</v>
      </c>
      <c r="BD34" t="str">
        <f t="shared" si="17"/>
        <v>Grid Extension -Chile- Step 8</v>
      </c>
      <c r="BE34" t="s">
        <v>13</v>
      </c>
      <c r="BF34" t="s">
        <v>11</v>
      </c>
      <c r="BG34" t="s">
        <v>464</v>
      </c>
      <c r="BI34" t="s">
        <v>463</v>
      </c>
      <c r="BJ34" t="str">
        <f t="shared" si="8"/>
        <v>NatGrdExt_CHL_9</v>
      </c>
      <c r="BK34" t="str">
        <f t="shared" si="18"/>
        <v>Grid Extension -Chile- Step 9</v>
      </c>
      <c r="BL34" t="s">
        <v>13</v>
      </c>
      <c r="BM34" t="s">
        <v>11</v>
      </c>
      <c r="BN34" t="s">
        <v>464</v>
      </c>
      <c r="BP34" t="s">
        <v>463</v>
      </c>
      <c r="BQ34" t="str">
        <f t="shared" si="9"/>
        <v>NatGrdExt_CHL_10</v>
      </c>
      <c r="BR34" t="str">
        <f t="shared" si="19"/>
        <v>Grid Extension -Chile- Step 10</v>
      </c>
      <c r="BS34" t="s">
        <v>13</v>
      </c>
      <c r="BT34" t="s">
        <v>11</v>
      </c>
      <c r="BU34" t="s">
        <v>464</v>
      </c>
    </row>
    <row r="35" spans="1:73">
      <c r="A35" s="5" t="s">
        <v>501</v>
      </c>
      <c r="B35" s="5" t="s">
        <v>502</v>
      </c>
      <c r="E35" t="s">
        <v>463</v>
      </c>
      <c r="F35" t="str">
        <f t="shared" si="0"/>
        <v>NatGrdExt_CHN_1</v>
      </c>
      <c r="G35" t="str">
        <f t="shared" si="10"/>
        <v>Grid Extension -China- Step 1</v>
      </c>
      <c r="H35" t="s">
        <v>13</v>
      </c>
      <c r="I35" t="s">
        <v>11</v>
      </c>
      <c r="J35" t="s">
        <v>464</v>
      </c>
      <c r="L35" t="s">
        <v>463</v>
      </c>
      <c r="M35" t="str">
        <f t="shared" si="1"/>
        <v>NatGrdExt_CHN_2</v>
      </c>
      <c r="N35" t="str">
        <f t="shared" si="11"/>
        <v>Grid Extension -China- Step 2</v>
      </c>
      <c r="O35" t="s">
        <v>13</v>
      </c>
      <c r="P35" t="s">
        <v>11</v>
      </c>
      <c r="Q35" t="s">
        <v>464</v>
      </c>
      <c r="S35" t="s">
        <v>463</v>
      </c>
      <c r="T35" t="str">
        <f t="shared" si="2"/>
        <v>NatGrdExt_CHN_3</v>
      </c>
      <c r="U35" t="str">
        <f t="shared" si="12"/>
        <v>Grid Extension -China- Step 3</v>
      </c>
      <c r="V35" t="s">
        <v>13</v>
      </c>
      <c r="W35" t="s">
        <v>11</v>
      </c>
      <c r="X35" t="s">
        <v>464</v>
      </c>
      <c r="Z35" t="s">
        <v>463</v>
      </c>
      <c r="AA35" t="str">
        <f t="shared" si="3"/>
        <v>NatGrdExt_CHN_4</v>
      </c>
      <c r="AB35" t="str">
        <f t="shared" si="13"/>
        <v>Grid Extension -China- Step 4</v>
      </c>
      <c r="AC35" t="s">
        <v>13</v>
      </c>
      <c r="AD35" t="s">
        <v>11</v>
      </c>
      <c r="AE35" t="s">
        <v>464</v>
      </c>
      <c r="AG35" t="s">
        <v>463</v>
      </c>
      <c r="AH35" t="str">
        <f t="shared" si="4"/>
        <v>NatGrdExt_CHN_5</v>
      </c>
      <c r="AI35" t="str">
        <f t="shared" si="14"/>
        <v>Grid Extension -China- Step 5</v>
      </c>
      <c r="AJ35" t="s">
        <v>13</v>
      </c>
      <c r="AK35" t="s">
        <v>11</v>
      </c>
      <c r="AL35" t="s">
        <v>464</v>
      </c>
      <c r="AN35" t="s">
        <v>463</v>
      </c>
      <c r="AO35" t="str">
        <f t="shared" si="5"/>
        <v>NatGrdExt_CHN_6</v>
      </c>
      <c r="AP35" t="str">
        <f t="shared" si="15"/>
        <v>Grid Extension -China- Step 6</v>
      </c>
      <c r="AQ35" t="s">
        <v>13</v>
      </c>
      <c r="AR35" t="s">
        <v>11</v>
      </c>
      <c r="AS35" t="s">
        <v>464</v>
      </c>
      <c r="AU35" t="s">
        <v>463</v>
      </c>
      <c r="AV35" t="str">
        <f t="shared" si="6"/>
        <v>NatGrdExt_CHN_7</v>
      </c>
      <c r="AW35" t="str">
        <f t="shared" si="16"/>
        <v>Grid Extension -China- Step 7</v>
      </c>
      <c r="AX35" t="s">
        <v>13</v>
      </c>
      <c r="AY35" t="s">
        <v>11</v>
      </c>
      <c r="AZ35" t="s">
        <v>464</v>
      </c>
      <c r="BB35" t="s">
        <v>463</v>
      </c>
      <c r="BC35" t="str">
        <f t="shared" si="7"/>
        <v>NatGrdExt_CHN_8</v>
      </c>
      <c r="BD35" t="str">
        <f t="shared" si="17"/>
        <v>Grid Extension -China- Step 8</v>
      </c>
      <c r="BE35" t="s">
        <v>13</v>
      </c>
      <c r="BF35" t="s">
        <v>11</v>
      </c>
      <c r="BG35" t="s">
        <v>464</v>
      </c>
      <c r="BI35" t="s">
        <v>463</v>
      </c>
      <c r="BJ35" t="str">
        <f t="shared" si="8"/>
        <v>NatGrdExt_CHN_9</v>
      </c>
      <c r="BK35" t="str">
        <f t="shared" si="18"/>
        <v>Grid Extension -China- Step 9</v>
      </c>
      <c r="BL35" t="s">
        <v>13</v>
      </c>
      <c r="BM35" t="s">
        <v>11</v>
      </c>
      <c r="BN35" t="s">
        <v>464</v>
      </c>
      <c r="BP35" t="s">
        <v>463</v>
      </c>
      <c r="BQ35" t="str">
        <f t="shared" si="9"/>
        <v>NatGrdExt_CHN_10</v>
      </c>
      <c r="BR35" t="str">
        <f t="shared" si="19"/>
        <v>Grid Extension -China- Step 10</v>
      </c>
      <c r="BS35" t="s">
        <v>13</v>
      </c>
      <c r="BT35" t="s">
        <v>11</v>
      </c>
      <c r="BU35" t="s">
        <v>464</v>
      </c>
    </row>
    <row r="36" spans="1:73">
      <c r="A36" s="5" t="s">
        <v>26</v>
      </c>
      <c r="B36" s="5" t="s">
        <v>503</v>
      </c>
      <c r="E36" t="s">
        <v>463</v>
      </c>
      <c r="F36" t="str">
        <f t="shared" si="0"/>
        <v>NatGrdExt_CIV_1</v>
      </c>
      <c r="G36" t="str">
        <f t="shared" si="10"/>
        <v>Grid Extension -Ivory Coast- Step 1</v>
      </c>
      <c r="H36" t="s">
        <v>13</v>
      </c>
      <c r="I36" t="s">
        <v>11</v>
      </c>
      <c r="J36" t="s">
        <v>464</v>
      </c>
      <c r="L36" t="s">
        <v>463</v>
      </c>
      <c r="M36" t="str">
        <f t="shared" si="1"/>
        <v>NatGrdExt_CIV_2</v>
      </c>
      <c r="N36" t="str">
        <f t="shared" si="11"/>
        <v>Grid Extension -Ivory Coast- Step 2</v>
      </c>
      <c r="O36" t="s">
        <v>13</v>
      </c>
      <c r="P36" t="s">
        <v>11</v>
      </c>
      <c r="Q36" t="s">
        <v>464</v>
      </c>
      <c r="S36" t="s">
        <v>463</v>
      </c>
      <c r="T36" t="str">
        <f t="shared" si="2"/>
        <v>NatGrdExt_CIV_3</v>
      </c>
      <c r="U36" t="str">
        <f t="shared" si="12"/>
        <v>Grid Extension -Ivory Coast- Step 3</v>
      </c>
      <c r="V36" t="s">
        <v>13</v>
      </c>
      <c r="W36" t="s">
        <v>11</v>
      </c>
      <c r="X36" t="s">
        <v>464</v>
      </c>
      <c r="Z36" t="s">
        <v>463</v>
      </c>
      <c r="AA36" t="str">
        <f t="shared" si="3"/>
        <v>NatGrdExt_CIV_4</v>
      </c>
      <c r="AB36" t="str">
        <f t="shared" si="13"/>
        <v>Grid Extension -Ivory Coast- Step 4</v>
      </c>
      <c r="AC36" t="s">
        <v>13</v>
      </c>
      <c r="AD36" t="s">
        <v>11</v>
      </c>
      <c r="AE36" t="s">
        <v>464</v>
      </c>
      <c r="AG36" t="s">
        <v>463</v>
      </c>
      <c r="AH36" t="str">
        <f t="shared" si="4"/>
        <v>NatGrdExt_CIV_5</v>
      </c>
      <c r="AI36" t="str">
        <f t="shared" si="14"/>
        <v>Grid Extension -Ivory Coast- Step 5</v>
      </c>
      <c r="AJ36" t="s">
        <v>13</v>
      </c>
      <c r="AK36" t="s">
        <v>11</v>
      </c>
      <c r="AL36" t="s">
        <v>464</v>
      </c>
      <c r="AN36" t="s">
        <v>463</v>
      </c>
      <c r="AO36" t="str">
        <f t="shared" si="5"/>
        <v>NatGrdExt_CIV_6</v>
      </c>
      <c r="AP36" t="str">
        <f t="shared" si="15"/>
        <v>Grid Extension -Ivory Coast- Step 6</v>
      </c>
      <c r="AQ36" t="s">
        <v>13</v>
      </c>
      <c r="AR36" t="s">
        <v>11</v>
      </c>
      <c r="AS36" t="s">
        <v>464</v>
      </c>
      <c r="AU36" t="s">
        <v>463</v>
      </c>
      <c r="AV36" t="str">
        <f t="shared" si="6"/>
        <v>NatGrdExt_CIV_7</v>
      </c>
      <c r="AW36" t="str">
        <f t="shared" si="16"/>
        <v>Grid Extension -Ivory Coast- Step 7</v>
      </c>
      <c r="AX36" t="s">
        <v>13</v>
      </c>
      <c r="AY36" t="s">
        <v>11</v>
      </c>
      <c r="AZ36" t="s">
        <v>464</v>
      </c>
      <c r="BB36" t="s">
        <v>463</v>
      </c>
      <c r="BC36" t="str">
        <f t="shared" si="7"/>
        <v>NatGrdExt_CIV_8</v>
      </c>
      <c r="BD36" t="str">
        <f t="shared" si="17"/>
        <v>Grid Extension -Ivory Coast- Step 8</v>
      </c>
      <c r="BE36" t="s">
        <v>13</v>
      </c>
      <c r="BF36" t="s">
        <v>11</v>
      </c>
      <c r="BG36" t="s">
        <v>464</v>
      </c>
      <c r="BI36" t="s">
        <v>463</v>
      </c>
      <c r="BJ36" t="str">
        <f t="shared" si="8"/>
        <v>NatGrdExt_CIV_9</v>
      </c>
      <c r="BK36" t="str">
        <f t="shared" si="18"/>
        <v>Grid Extension -Ivory Coast- Step 9</v>
      </c>
      <c r="BL36" t="s">
        <v>13</v>
      </c>
      <c r="BM36" t="s">
        <v>11</v>
      </c>
      <c r="BN36" t="s">
        <v>464</v>
      </c>
      <c r="BP36" t="s">
        <v>463</v>
      </c>
      <c r="BQ36" t="str">
        <f t="shared" si="9"/>
        <v>NatGrdExt_CIV_10</v>
      </c>
      <c r="BR36" t="str">
        <f t="shared" si="19"/>
        <v>Grid Extension -Ivory Coast- Step 10</v>
      </c>
      <c r="BS36" t="s">
        <v>13</v>
      </c>
      <c r="BT36" t="s">
        <v>11</v>
      </c>
      <c r="BU36" t="s">
        <v>464</v>
      </c>
    </row>
    <row r="37" spans="1:73">
      <c r="A37" s="5" t="s">
        <v>27</v>
      </c>
      <c r="B37" s="5" t="s">
        <v>91</v>
      </c>
      <c r="E37" t="s">
        <v>463</v>
      </c>
      <c r="F37" t="str">
        <f t="shared" si="0"/>
        <v>NatGrdExt_CMR_1</v>
      </c>
      <c r="G37" t="str">
        <f t="shared" si="10"/>
        <v>Grid Extension -Cameroon- Step 1</v>
      </c>
      <c r="H37" t="s">
        <v>13</v>
      </c>
      <c r="I37" t="s">
        <v>11</v>
      </c>
      <c r="J37" t="s">
        <v>464</v>
      </c>
      <c r="L37" t="s">
        <v>463</v>
      </c>
      <c r="M37" t="str">
        <f t="shared" si="1"/>
        <v>NatGrdExt_CMR_2</v>
      </c>
      <c r="N37" t="str">
        <f t="shared" si="11"/>
        <v>Grid Extension -Cameroon- Step 2</v>
      </c>
      <c r="O37" t="s">
        <v>13</v>
      </c>
      <c r="P37" t="s">
        <v>11</v>
      </c>
      <c r="Q37" t="s">
        <v>464</v>
      </c>
      <c r="S37" t="s">
        <v>463</v>
      </c>
      <c r="T37" t="str">
        <f t="shared" si="2"/>
        <v>NatGrdExt_CMR_3</v>
      </c>
      <c r="U37" t="str">
        <f t="shared" si="12"/>
        <v>Grid Extension -Cameroon- Step 3</v>
      </c>
      <c r="V37" t="s">
        <v>13</v>
      </c>
      <c r="W37" t="s">
        <v>11</v>
      </c>
      <c r="X37" t="s">
        <v>464</v>
      </c>
      <c r="Z37" t="s">
        <v>463</v>
      </c>
      <c r="AA37" t="str">
        <f t="shared" si="3"/>
        <v>NatGrdExt_CMR_4</v>
      </c>
      <c r="AB37" t="str">
        <f t="shared" si="13"/>
        <v>Grid Extension -Cameroon- Step 4</v>
      </c>
      <c r="AC37" t="s">
        <v>13</v>
      </c>
      <c r="AD37" t="s">
        <v>11</v>
      </c>
      <c r="AE37" t="s">
        <v>464</v>
      </c>
      <c r="AG37" t="s">
        <v>463</v>
      </c>
      <c r="AH37" t="str">
        <f t="shared" si="4"/>
        <v>NatGrdExt_CMR_5</v>
      </c>
      <c r="AI37" t="str">
        <f t="shared" si="14"/>
        <v>Grid Extension -Cameroon- Step 5</v>
      </c>
      <c r="AJ37" t="s">
        <v>13</v>
      </c>
      <c r="AK37" t="s">
        <v>11</v>
      </c>
      <c r="AL37" t="s">
        <v>464</v>
      </c>
      <c r="AN37" t="s">
        <v>463</v>
      </c>
      <c r="AO37" t="str">
        <f t="shared" si="5"/>
        <v>NatGrdExt_CMR_6</v>
      </c>
      <c r="AP37" t="str">
        <f t="shared" si="15"/>
        <v>Grid Extension -Cameroon- Step 6</v>
      </c>
      <c r="AQ37" t="s">
        <v>13</v>
      </c>
      <c r="AR37" t="s">
        <v>11</v>
      </c>
      <c r="AS37" t="s">
        <v>464</v>
      </c>
      <c r="AU37" t="s">
        <v>463</v>
      </c>
      <c r="AV37" t="str">
        <f t="shared" si="6"/>
        <v>NatGrdExt_CMR_7</v>
      </c>
      <c r="AW37" t="str">
        <f t="shared" si="16"/>
        <v>Grid Extension -Cameroon- Step 7</v>
      </c>
      <c r="AX37" t="s">
        <v>13</v>
      </c>
      <c r="AY37" t="s">
        <v>11</v>
      </c>
      <c r="AZ37" t="s">
        <v>464</v>
      </c>
      <c r="BB37" t="s">
        <v>463</v>
      </c>
      <c r="BC37" t="str">
        <f t="shared" si="7"/>
        <v>NatGrdExt_CMR_8</v>
      </c>
      <c r="BD37" t="str">
        <f t="shared" si="17"/>
        <v>Grid Extension -Cameroon- Step 8</v>
      </c>
      <c r="BE37" t="s">
        <v>13</v>
      </c>
      <c r="BF37" t="s">
        <v>11</v>
      </c>
      <c r="BG37" t="s">
        <v>464</v>
      </c>
      <c r="BI37" t="s">
        <v>463</v>
      </c>
      <c r="BJ37" t="str">
        <f t="shared" si="8"/>
        <v>NatGrdExt_CMR_9</v>
      </c>
      <c r="BK37" t="str">
        <f t="shared" si="18"/>
        <v>Grid Extension -Cameroon- Step 9</v>
      </c>
      <c r="BL37" t="s">
        <v>13</v>
      </c>
      <c r="BM37" t="s">
        <v>11</v>
      </c>
      <c r="BN37" t="s">
        <v>464</v>
      </c>
      <c r="BP37" t="s">
        <v>463</v>
      </c>
      <c r="BQ37" t="str">
        <f t="shared" si="9"/>
        <v>NatGrdExt_CMR_10</v>
      </c>
      <c r="BR37" t="str">
        <f t="shared" si="19"/>
        <v>Grid Extension -Cameroon- Step 10</v>
      </c>
      <c r="BS37" t="s">
        <v>13</v>
      </c>
      <c r="BT37" t="s">
        <v>11</v>
      </c>
      <c r="BU37" t="s">
        <v>464</v>
      </c>
    </row>
    <row r="38" spans="1:73">
      <c r="A38" s="5" t="s">
        <v>28</v>
      </c>
      <c r="B38" s="5" t="s">
        <v>504</v>
      </c>
      <c r="E38" t="s">
        <v>463</v>
      </c>
      <c r="F38" t="str">
        <f t="shared" si="0"/>
        <v>NatGrdExt_COD_1</v>
      </c>
      <c r="G38" t="str">
        <f t="shared" si="10"/>
        <v>Grid Extension -Democratic Republic of Congo- Step 1</v>
      </c>
      <c r="H38" t="s">
        <v>13</v>
      </c>
      <c r="I38" t="s">
        <v>11</v>
      </c>
      <c r="J38" t="s">
        <v>464</v>
      </c>
      <c r="L38" t="s">
        <v>463</v>
      </c>
      <c r="M38" t="str">
        <f t="shared" si="1"/>
        <v>NatGrdExt_COD_2</v>
      </c>
      <c r="N38" t="str">
        <f t="shared" si="11"/>
        <v>Grid Extension -Democratic Republic of Congo- Step 2</v>
      </c>
      <c r="O38" t="s">
        <v>13</v>
      </c>
      <c r="P38" t="s">
        <v>11</v>
      </c>
      <c r="Q38" t="s">
        <v>464</v>
      </c>
      <c r="S38" t="s">
        <v>463</v>
      </c>
      <c r="T38" t="str">
        <f t="shared" si="2"/>
        <v>NatGrdExt_COD_3</v>
      </c>
      <c r="U38" t="str">
        <f t="shared" si="12"/>
        <v>Grid Extension -Democratic Republic of Congo- Step 3</v>
      </c>
      <c r="V38" t="s">
        <v>13</v>
      </c>
      <c r="W38" t="s">
        <v>11</v>
      </c>
      <c r="X38" t="s">
        <v>464</v>
      </c>
      <c r="Z38" t="s">
        <v>463</v>
      </c>
      <c r="AA38" t="str">
        <f t="shared" si="3"/>
        <v>NatGrdExt_COD_4</v>
      </c>
      <c r="AB38" t="str">
        <f t="shared" si="13"/>
        <v>Grid Extension -Democratic Republic of Congo- Step 4</v>
      </c>
      <c r="AC38" t="s">
        <v>13</v>
      </c>
      <c r="AD38" t="s">
        <v>11</v>
      </c>
      <c r="AE38" t="s">
        <v>464</v>
      </c>
      <c r="AG38" t="s">
        <v>463</v>
      </c>
      <c r="AH38" t="str">
        <f t="shared" si="4"/>
        <v>NatGrdExt_COD_5</v>
      </c>
      <c r="AI38" t="str">
        <f t="shared" si="14"/>
        <v>Grid Extension -Democratic Republic of Congo- Step 5</v>
      </c>
      <c r="AJ38" t="s">
        <v>13</v>
      </c>
      <c r="AK38" t="s">
        <v>11</v>
      </c>
      <c r="AL38" t="s">
        <v>464</v>
      </c>
      <c r="AN38" t="s">
        <v>463</v>
      </c>
      <c r="AO38" t="str">
        <f t="shared" si="5"/>
        <v>NatGrdExt_COD_6</v>
      </c>
      <c r="AP38" t="str">
        <f t="shared" si="15"/>
        <v>Grid Extension -Democratic Republic of Congo- Step 6</v>
      </c>
      <c r="AQ38" t="s">
        <v>13</v>
      </c>
      <c r="AR38" t="s">
        <v>11</v>
      </c>
      <c r="AS38" t="s">
        <v>464</v>
      </c>
      <c r="AU38" t="s">
        <v>463</v>
      </c>
      <c r="AV38" t="str">
        <f t="shared" si="6"/>
        <v>NatGrdExt_COD_7</v>
      </c>
      <c r="AW38" t="str">
        <f t="shared" si="16"/>
        <v>Grid Extension -Democratic Republic of Congo- Step 7</v>
      </c>
      <c r="AX38" t="s">
        <v>13</v>
      </c>
      <c r="AY38" t="s">
        <v>11</v>
      </c>
      <c r="AZ38" t="s">
        <v>464</v>
      </c>
      <c r="BB38" t="s">
        <v>463</v>
      </c>
      <c r="BC38" t="str">
        <f t="shared" si="7"/>
        <v>NatGrdExt_COD_8</v>
      </c>
      <c r="BD38" t="str">
        <f t="shared" si="17"/>
        <v>Grid Extension -Democratic Republic of Congo- Step 8</v>
      </c>
      <c r="BE38" t="s">
        <v>13</v>
      </c>
      <c r="BF38" t="s">
        <v>11</v>
      </c>
      <c r="BG38" t="s">
        <v>464</v>
      </c>
      <c r="BI38" t="s">
        <v>463</v>
      </c>
      <c r="BJ38" t="str">
        <f t="shared" si="8"/>
        <v>NatGrdExt_COD_9</v>
      </c>
      <c r="BK38" t="str">
        <f t="shared" si="18"/>
        <v>Grid Extension -Democratic Republic of Congo- Step 9</v>
      </c>
      <c r="BL38" t="s">
        <v>13</v>
      </c>
      <c r="BM38" t="s">
        <v>11</v>
      </c>
      <c r="BN38" t="s">
        <v>464</v>
      </c>
      <c r="BP38" t="s">
        <v>463</v>
      </c>
      <c r="BQ38" t="str">
        <f t="shared" si="9"/>
        <v>NatGrdExt_COD_10</v>
      </c>
      <c r="BR38" t="str">
        <f t="shared" si="19"/>
        <v>Grid Extension -Democratic Republic of Congo- Step 10</v>
      </c>
      <c r="BS38" t="s">
        <v>13</v>
      </c>
      <c r="BT38" t="s">
        <v>11</v>
      </c>
      <c r="BU38" t="s">
        <v>464</v>
      </c>
    </row>
    <row r="39" spans="1:73">
      <c r="A39" s="5" t="s">
        <v>29</v>
      </c>
      <c r="B39" s="5" t="s">
        <v>505</v>
      </c>
      <c r="E39" t="s">
        <v>463</v>
      </c>
      <c r="F39" t="str">
        <f t="shared" si="0"/>
        <v>NatGrdExt_COG_1</v>
      </c>
      <c r="G39" t="str">
        <f t="shared" si="10"/>
        <v>Grid Extension -Republic of Congo- Step 1</v>
      </c>
      <c r="H39" t="s">
        <v>13</v>
      </c>
      <c r="I39" t="s">
        <v>11</v>
      </c>
      <c r="J39" t="s">
        <v>464</v>
      </c>
      <c r="L39" t="s">
        <v>463</v>
      </c>
      <c r="M39" t="str">
        <f t="shared" si="1"/>
        <v>NatGrdExt_COG_2</v>
      </c>
      <c r="N39" t="str">
        <f t="shared" si="11"/>
        <v>Grid Extension -Republic of Congo- Step 2</v>
      </c>
      <c r="O39" t="s">
        <v>13</v>
      </c>
      <c r="P39" t="s">
        <v>11</v>
      </c>
      <c r="Q39" t="s">
        <v>464</v>
      </c>
      <c r="S39" t="s">
        <v>463</v>
      </c>
      <c r="T39" t="str">
        <f t="shared" si="2"/>
        <v>NatGrdExt_COG_3</v>
      </c>
      <c r="U39" t="str">
        <f t="shared" si="12"/>
        <v>Grid Extension -Republic of Congo- Step 3</v>
      </c>
      <c r="V39" t="s">
        <v>13</v>
      </c>
      <c r="W39" t="s">
        <v>11</v>
      </c>
      <c r="X39" t="s">
        <v>464</v>
      </c>
      <c r="Z39" t="s">
        <v>463</v>
      </c>
      <c r="AA39" t="str">
        <f t="shared" si="3"/>
        <v>NatGrdExt_COG_4</v>
      </c>
      <c r="AB39" t="str">
        <f t="shared" si="13"/>
        <v>Grid Extension -Republic of Congo- Step 4</v>
      </c>
      <c r="AC39" t="s">
        <v>13</v>
      </c>
      <c r="AD39" t="s">
        <v>11</v>
      </c>
      <c r="AE39" t="s">
        <v>464</v>
      </c>
      <c r="AG39" t="s">
        <v>463</v>
      </c>
      <c r="AH39" t="str">
        <f t="shared" si="4"/>
        <v>NatGrdExt_COG_5</v>
      </c>
      <c r="AI39" t="str">
        <f t="shared" si="14"/>
        <v>Grid Extension -Republic of Congo- Step 5</v>
      </c>
      <c r="AJ39" t="s">
        <v>13</v>
      </c>
      <c r="AK39" t="s">
        <v>11</v>
      </c>
      <c r="AL39" t="s">
        <v>464</v>
      </c>
      <c r="AN39" t="s">
        <v>463</v>
      </c>
      <c r="AO39" t="str">
        <f t="shared" si="5"/>
        <v>NatGrdExt_COG_6</v>
      </c>
      <c r="AP39" t="str">
        <f t="shared" si="15"/>
        <v>Grid Extension -Republic of Congo- Step 6</v>
      </c>
      <c r="AQ39" t="s">
        <v>13</v>
      </c>
      <c r="AR39" t="s">
        <v>11</v>
      </c>
      <c r="AS39" t="s">
        <v>464</v>
      </c>
      <c r="AU39" t="s">
        <v>463</v>
      </c>
      <c r="AV39" t="str">
        <f t="shared" si="6"/>
        <v>NatGrdExt_COG_7</v>
      </c>
      <c r="AW39" t="str">
        <f t="shared" si="16"/>
        <v>Grid Extension -Republic of Congo- Step 7</v>
      </c>
      <c r="AX39" t="s">
        <v>13</v>
      </c>
      <c r="AY39" t="s">
        <v>11</v>
      </c>
      <c r="AZ39" t="s">
        <v>464</v>
      </c>
      <c r="BB39" t="s">
        <v>463</v>
      </c>
      <c r="BC39" t="str">
        <f t="shared" si="7"/>
        <v>NatGrdExt_COG_8</v>
      </c>
      <c r="BD39" t="str">
        <f t="shared" si="17"/>
        <v>Grid Extension -Republic of Congo- Step 8</v>
      </c>
      <c r="BE39" t="s">
        <v>13</v>
      </c>
      <c r="BF39" t="s">
        <v>11</v>
      </c>
      <c r="BG39" t="s">
        <v>464</v>
      </c>
      <c r="BI39" t="s">
        <v>463</v>
      </c>
      <c r="BJ39" t="str">
        <f t="shared" si="8"/>
        <v>NatGrdExt_COG_9</v>
      </c>
      <c r="BK39" t="str">
        <f t="shared" si="18"/>
        <v>Grid Extension -Republic of Congo- Step 9</v>
      </c>
      <c r="BL39" t="s">
        <v>13</v>
      </c>
      <c r="BM39" t="s">
        <v>11</v>
      </c>
      <c r="BN39" t="s">
        <v>464</v>
      </c>
      <c r="BP39" t="s">
        <v>463</v>
      </c>
      <c r="BQ39" t="str">
        <f t="shared" si="9"/>
        <v>NatGrdExt_COG_10</v>
      </c>
      <c r="BR39" t="str">
        <f t="shared" si="19"/>
        <v>Grid Extension -Republic of Congo- Step 10</v>
      </c>
      <c r="BS39" t="s">
        <v>13</v>
      </c>
      <c r="BT39" t="s">
        <v>11</v>
      </c>
      <c r="BU39" t="s">
        <v>464</v>
      </c>
    </row>
    <row r="40" spans="1:73">
      <c r="A40" s="5" t="s">
        <v>30</v>
      </c>
      <c r="B40" s="5" t="s">
        <v>92</v>
      </c>
      <c r="E40" t="s">
        <v>463</v>
      </c>
      <c r="F40" t="str">
        <f t="shared" si="0"/>
        <v>NatGrdExt_COL_1</v>
      </c>
      <c r="G40" t="str">
        <f t="shared" si="10"/>
        <v>Grid Extension -Colombia- Step 1</v>
      </c>
      <c r="H40" t="s">
        <v>13</v>
      </c>
      <c r="I40" t="s">
        <v>11</v>
      </c>
      <c r="J40" t="s">
        <v>464</v>
      </c>
      <c r="L40" t="s">
        <v>463</v>
      </c>
      <c r="M40" t="str">
        <f t="shared" si="1"/>
        <v>NatGrdExt_COL_2</v>
      </c>
      <c r="N40" t="str">
        <f t="shared" si="11"/>
        <v>Grid Extension -Colombia- Step 2</v>
      </c>
      <c r="O40" t="s">
        <v>13</v>
      </c>
      <c r="P40" t="s">
        <v>11</v>
      </c>
      <c r="Q40" t="s">
        <v>464</v>
      </c>
      <c r="S40" t="s">
        <v>463</v>
      </c>
      <c r="T40" t="str">
        <f t="shared" si="2"/>
        <v>NatGrdExt_COL_3</v>
      </c>
      <c r="U40" t="str">
        <f t="shared" si="12"/>
        <v>Grid Extension -Colombia- Step 3</v>
      </c>
      <c r="V40" t="s">
        <v>13</v>
      </c>
      <c r="W40" t="s">
        <v>11</v>
      </c>
      <c r="X40" t="s">
        <v>464</v>
      </c>
      <c r="Z40" t="s">
        <v>463</v>
      </c>
      <c r="AA40" t="str">
        <f t="shared" si="3"/>
        <v>NatGrdExt_COL_4</v>
      </c>
      <c r="AB40" t="str">
        <f t="shared" si="13"/>
        <v>Grid Extension -Colombia- Step 4</v>
      </c>
      <c r="AC40" t="s">
        <v>13</v>
      </c>
      <c r="AD40" t="s">
        <v>11</v>
      </c>
      <c r="AE40" t="s">
        <v>464</v>
      </c>
      <c r="AG40" t="s">
        <v>463</v>
      </c>
      <c r="AH40" t="str">
        <f t="shared" si="4"/>
        <v>NatGrdExt_COL_5</v>
      </c>
      <c r="AI40" t="str">
        <f t="shared" si="14"/>
        <v>Grid Extension -Colombia- Step 5</v>
      </c>
      <c r="AJ40" t="s">
        <v>13</v>
      </c>
      <c r="AK40" t="s">
        <v>11</v>
      </c>
      <c r="AL40" t="s">
        <v>464</v>
      </c>
      <c r="AN40" t="s">
        <v>463</v>
      </c>
      <c r="AO40" t="str">
        <f t="shared" si="5"/>
        <v>NatGrdExt_COL_6</v>
      </c>
      <c r="AP40" t="str">
        <f t="shared" si="15"/>
        <v>Grid Extension -Colombia- Step 6</v>
      </c>
      <c r="AQ40" t="s">
        <v>13</v>
      </c>
      <c r="AR40" t="s">
        <v>11</v>
      </c>
      <c r="AS40" t="s">
        <v>464</v>
      </c>
      <c r="AU40" t="s">
        <v>463</v>
      </c>
      <c r="AV40" t="str">
        <f t="shared" si="6"/>
        <v>NatGrdExt_COL_7</v>
      </c>
      <c r="AW40" t="str">
        <f t="shared" si="16"/>
        <v>Grid Extension -Colombia- Step 7</v>
      </c>
      <c r="AX40" t="s">
        <v>13</v>
      </c>
      <c r="AY40" t="s">
        <v>11</v>
      </c>
      <c r="AZ40" t="s">
        <v>464</v>
      </c>
      <c r="BB40" t="s">
        <v>463</v>
      </c>
      <c r="BC40" t="str">
        <f t="shared" si="7"/>
        <v>NatGrdExt_COL_8</v>
      </c>
      <c r="BD40" t="str">
        <f t="shared" si="17"/>
        <v>Grid Extension -Colombia- Step 8</v>
      </c>
      <c r="BE40" t="s">
        <v>13</v>
      </c>
      <c r="BF40" t="s">
        <v>11</v>
      </c>
      <c r="BG40" t="s">
        <v>464</v>
      </c>
      <c r="BI40" t="s">
        <v>463</v>
      </c>
      <c r="BJ40" t="str">
        <f t="shared" si="8"/>
        <v>NatGrdExt_COL_9</v>
      </c>
      <c r="BK40" t="str">
        <f t="shared" si="18"/>
        <v>Grid Extension -Colombia- Step 9</v>
      </c>
      <c r="BL40" t="s">
        <v>13</v>
      </c>
      <c r="BM40" t="s">
        <v>11</v>
      </c>
      <c r="BN40" t="s">
        <v>464</v>
      </c>
      <c r="BP40" t="s">
        <v>463</v>
      </c>
      <c r="BQ40" t="str">
        <f t="shared" si="9"/>
        <v>NatGrdExt_COL_10</v>
      </c>
      <c r="BR40" t="str">
        <f t="shared" si="19"/>
        <v>Grid Extension -Colombia- Step 10</v>
      </c>
      <c r="BS40" t="s">
        <v>13</v>
      </c>
      <c r="BT40" t="s">
        <v>11</v>
      </c>
      <c r="BU40" t="s">
        <v>464</v>
      </c>
    </row>
    <row r="41" spans="1:73">
      <c r="A41" s="5" t="s">
        <v>506</v>
      </c>
      <c r="B41" s="5" t="s">
        <v>507</v>
      </c>
      <c r="E41" t="s">
        <v>463</v>
      </c>
      <c r="F41" t="str">
        <f t="shared" si="0"/>
        <v>NatGrdExt_CRI_1</v>
      </c>
      <c r="G41" t="str">
        <f t="shared" si="10"/>
        <v>Grid Extension -Costa Rica- Step 1</v>
      </c>
      <c r="H41" t="s">
        <v>13</v>
      </c>
      <c r="I41" t="s">
        <v>11</v>
      </c>
      <c r="J41" t="s">
        <v>464</v>
      </c>
      <c r="L41" t="s">
        <v>463</v>
      </c>
      <c r="M41" t="str">
        <f t="shared" si="1"/>
        <v>NatGrdExt_CRI_2</v>
      </c>
      <c r="N41" t="str">
        <f t="shared" si="11"/>
        <v>Grid Extension -Costa Rica- Step 2</v>
      </c>
      <c r="O41" t="s">
        <v>13</v>
      </c>
      <c r="P41" t="s">
        <v>11</v>
      </c>
      <c r="Q41" t="s">
        <v>464</v>
      </c>
      <c r="S41" t="s">
        <v>463</v>
      </c>
      <c r="T41" t="str">
        <f t="shared" si="2"/>
        <v>NatGrdExt_CRI_3</v>
      </c>
      <c r="U41" t="str">
        <f t="shared" si="12"/>
        <v>Grid Extension -Costa Rica- Step 3</v>
      </c>
      <c r="V41" t="s">
        <v>13</v>
      </c>
      <c r="W41" t="s">
        <v>11</v>
      </c>
      <c r="X41" t="s">
        <v>464</v>
      </c>
      <c r="Z41" t="s">
        <v>463</v>
      </c>
      <c r="AA41" t="str">
        <f t="shared" si="3"/>
        <v>NatGrdExt_CRI_4</v>
      </c>
      <c r="AB41" t="str">
        <f t="shared" si="13"/>
        <v>Grid Extension -Costa Rica- Step 4</v>
      </c>
      <c r="AC41" t="s">
        <v>13</v>
      </c>
      <c r="AD41" t="s">
        <v>11</v>
      </c>
      <c r="AE41" t="s">
        <v>464</v>
      </c>
      <c r="AG41" t="s">
        <v>463</v>
      </c>
      <c r="AH41" t="str">
        <f t="shared" si="4"/>
        <v>NatGrdExt_CRI_5</v>
      </c>
      <c r="AI41" t="str">
        <f t="shared" si="14"/>
        <v>Grid Extension -Costa Rica- Step 5</v>
      </c>
      <c r="AJ41" t="s">
        <v>13</v>
      </c>
      <c r="AK41" t="s">
        <v>11</v>
      </c>
      <c r="AL41" t="s">
        <v>464</v>
      </c>
      <c r="AN41" t="s">
        <v>463</v>
      </c>
      <c r="AO41" t="str">
        <f t="shared" si="5"/>
        <v>NatGrdExt_CRI_6</v>
      </c>
      <c r="AP41" t="str">
        <f t="shared" si="15"/>
        <v>Grid Extension -Costa Rica- Step 6</v>
      </c>
      <c r="AQ41" t="s">
        <v>13</v>
      </c>
      <c r="AR41" t="s">
        <v>11</v>
      </c>
      <c r="AS41" t="s">
        <v>464</v>
      </c>
      <c r="AU41" t="s">
        <v>463</v>
      </c>
      <c r="AV41" t="str">
        <f t="shared" si="6"/>
        <v>NatGrdExt_CRI_7</v>
      </c>
      <c r="AW41" t="str">
        <f t="shared" si="16"/>
        <v>Grid Extension -Costa Rica- Step 7</v>
      </c>
      <c r="AX41" t="s">
        <v>13</v>
      </c>
      <c r="AY41" t="s">
        <v>11</v>
      </c>
      <c r="AZ41" t="s">
        <v>464</v>
      </c>
      <c r="BB41" t="s">
        <v>463</v>
      </c>
      <c r="BC41" t="str">
        <f t="shared" si="7"/>
        <v>NatGrdExt_CRI_8</v>
      </c>
      <c r="BD41" t="str">
        <f t="shared" si="17"/>
        <v>Grid Extension -Costa Rica- Step 8</v>
      </c>
      <c r="BE41" t="s">
        <v>13</v>
      </c>
      <c r="BF41" t="s">
        <v>11</v>
      </c>
      <c r="BG41" t="s">
        <v>464</v>
      </c>
      <c r="BI41" t="s">
        <v>463</v>
      </c>
      <c r="BJ41" t="str">
        <f t="shared" si="8"/>
        <v>NatGrdExt_CRI_9</v>
      </c>
      <c r="BK41" t="str">
        <f t="shared" si="18"/>
        <v>Grid Extension -Costa Rica- Step 9</v>
      </c>
      <c r="BL41" t="s">
        <v>13</v>
      </c>
      <c r="BM41" t="s">
        <v>11</v>
      </c>
      <c r="BN41" t="s">
        <v>464</v>
      </c>
      <c r="BP41" t="s">
        <v>463</v>
      </c>
      <c r="BQ41" t="str">
        <f t="shared" si="9"/>
        <v>NatGrdExt_CRI_10</v>
      </c>
      <c r="BR41" t="str">
        <f t="shared" si="19"/>
        <v>Grid Extension -Costa Rica- Step 10</v>
      </c>
      <c r="BS41" t="s">
        <v>13</v>
      </c>
      <c r="BT41" t="s">
        <v>11</v>
      </c>
      <c r="BU41" t="s">
        <v>464</v>
      </c>
    </row>
    <row r="42" spans="1:73">
      <c r="A42" s="5" t="s">
        <v>508</v>
      </c>
      <c r="B42" s="5" t="s">
        <v>509</v>
      </c>
      <c r="E42" t="s">
        <v>463</v>
      </c>
      <c r="F42" t="str">
        <f t="shared" si="0"/>
        <v>NatGrdExt_CUB_1</v>
      </c>
      <c r="G42" t="str">
        <f t="shared" si="10"/>
        <v>Grid Extension -Cuba- Step 1</v>
      </c>
      <c r="H42" t="s">
        <v>13</v>
      </c>
      <c r="I42" t="s">
        <v>11</v>
      </c>
      <c r="J42" t="s">
        <v>464</v>
      </c>
      <c r="L42" t="s">
        <v>463</v>
      </c>
      <c r="M42" t="str">
        <f t="shared" si="1"/>
        <v>NatGrdExt_CUB_2</v>
      </c>
      <c r="N42" t="str">
        <f t="shared" si="11"/>
        <v>Grid Extension -Cuba- Step 2</v>
      </c>
      <c r="O42" t="s">
        <v>13</v>
      </c>
      <c r="P42" t="s">
        <v>11</v>
      </c>
      <c r="Q42" t="s">
        <v>464</v>
      </c>
      <c r="S42" t="s">
        <v>463</v>
      </c>
      <c r="T42" t="str">
        <f t="shared" si="2"/>
        <v>NatGrdExt_CUB_3</v>
      </c>
      <c r="U42" t="str">
        <f t="shared" si="12"/>
        <v>Grid Extension -Cuba- Step 3</v>
      </c>
      <c r="V42" t="s">
        <v>13</v>
      </c>
      <c r="W42" t="s">
        <v>11</v>
      </c>
      <c r="X42" t="s">
        <v>464</v>
      </c>
      <c r="Z42" t="s">
        <v>463</v>
      </c>
      <c r="AA42" t="str">
        <f t="shared" si="3"/>
        <v>NatGrdExt_CUB_4</v>
      </c>
      <c r="AB42" t="str">
        <f t="shared" si="13"/>
        <v>Grid Extension -Cuba- Step 4</v>
      </c>
      <c r="AC42" t="s">
        <v>13</v>
      </c>
      <c r="AD42" t="s">
        <v>11</v>
      </c>
      <c r="AE42" t="s">
        <v>464</v>
      </c>
      <c r="AG42" t="s">
        <v>463</v>
      </c>
      <c r="AH42" t="str">
        <f t="shared" si="4"/>
        <v>NatGrdExt_CUB_5</v>
      </c>
      <c r="AI42" t="str">
        <f t="shared" si="14"/>
        <v>Grid Extension -Cuba- Step 5</v>
      </c>
      <c r="AJ42" t="s">
        <v>13</v>
      </c>
      <c r="AK42" t="s">
        <v>11</v>
      </c>
      <c r="AL42" t="s">
        <v>464</v>
      </c>
      <c r="AN42" t="s">
        <v>463</v>
      </c>
      <c r="AO42" t="str">
        <f t="shared" si="5"/>
        <v>NatGrdExt_CUB_6</v>
      </c>
      <c r="AP42" t="str">
        <f t="shared" si="15"/>
        <v>Grid Extension -Cuba- Step 6</v>
      </c>
      <c r="AQ42" t="s">
        <v>13</v>
      </c>
      <c r="AR42" t="s">
        <v>11</v>
      </c>
      <c r="AS42" t="s">
        <v>464</v>
      </c>
      <c r="AU42" t="s">
        <v>463</v>
      </c>
      <c r="AV42" t="str">
        <f t="shared" si="6"/>
        <v>NatGrdExt_CUB_7</v>
      </c>
      <c r="AW42" t="str">
        <f t="shared" si="16"/>
        <v>Grid Extension -Cuba- Step 7</v>
      </c>
      <c r="AX42" t="s">
        <v>13</v>
      </c>
      <c r="AY42" t="s">
        <v>11</v>
      </c>
      <c r="AZ42" t="s">
        <v>464</v>
      </c>
      <c r="BB42" t="s">
        <v>463</v>
      </c>
      <c r="BC42" t="str">
        <f t="shared" si="7"/>
        <v>NatGrdExt_CUB_8</v>
      </c>
      <c r="BD42" t="str">
        <f t="shared" si="17"/>
        <v>Grid Extension -Cuba- Step 8</v>
      </c>
      <c r="BE42" t="s">
        <v>13</v>
      </c>
      <c r="BF42" t="s">
        <v>11</v>
      </c>
      <c r="BG42" t="s">
        <v>464</v>
      </c>
      <c r="BI42" t="s">
        <v>463</v>
      </c>
      <c r="BJ42" t="str">
        <f t="shared" si="8"/>
        <v>NatGrdExt_CUB_9</v>
      </c>
      <c r="BK42" t="str">
        <f t="shared" si="18"/>
        <v>Grid Extension -Cuba- Step 9</v>
      </c>
      <c r="BL42" t="s">
        <v>13</v>
      </c>
      <c r="BM42" t="s">
        <v>11</v>
      </c>
      <c r="BN42" t="s">
        <v>464</v>
      </c>
      <c r="BP42" t="s">
        <v>463</v>
      </c>
      <c r="BQ42" t="str">
        <f t="shared" si="9"/>
        <v>NatGrdExt_CUB_10</v>
      </c>
      <c r="BR42" t="str">
        <f t="shared" si="19"/>
        <v>Grid Extension -Cuba- Step 10</v>
      </c>
      <c r="BS42" t="s">
        <v>13</v>
      </c>
      <c r="BT42" t="s">
        <v>11</v>
      </c>
      <c r="BU42" t="s">
        <v>464</v>
      </c>
    </row>
    <row r="43" spans="1:73">
      <c r="A43" s="5" t="s">
        <v>510</v>
      </c>
      <c r="B43" s="5" t="s">
        <v>511</v>
      </c>
      <c r="E43" t="s">
        <v>463</v>
      </c>
      <c r="F43" t="str">
        <f t="shared" si="0"/>
        <v>NatGrdExt_CYP_1</v>
      </c>
      <c r="G43" t="str">
        <f t="shared" si="10"/>
        <v>Grid Extension -Cyprus- Step 1</v>
      </c>
      <c r="H43" t="s">
        <v>13</v>
      </c>
      <c r="I43" t="s">
        <v>11</v>
      </c>
      <c r="J43" t="s">
        <v>464</v>
      </c>
      <c r="L43" t="s">
        <v>463</v>
      </c>
      <c r="M43" t="str">
        <f t="shared" si="1"/>
        <v>NatGrdExt_CYP_2</v>
      </c>
      <c r="N43" t="str">
        <f t="shared" si="11"/>
        <v>Grid Extension -Cyprus- Step 2</v>
      </c>
      <c r="O43" t="s">
        <v>13</v>
      </c>
      <c r="P43" t="s">
        <v>11</v>
      </c>
      <c r="Q43" t="s">
        <v>464</v>
      </c>
      <c r="S43" t="s">
        <v>463</v>
      </c>
      <c r="T43" t="str">
        <f t="shared" si="2"/>
        <v>NatGrdExt_CYP_3</v>
      </c>
      <c r="U43" t="str">
        <f t="shared" si="12"/>
        <v>Grid Extension -Cyprus- Step 3</v>
      </c>
      <c r="V43" t="s">
        <v>13</v>
      </c>
      <c r="W43" t="s">
        <v>11</v>
      </c>
      <c r="X43" t="s">
        <v>464</v>
      </c>
      <c r="Z43" t="s">
        <v>463</v>
      </c>
      <c r="AA43" t="str">
        <f t="shared" si="3"/>
        <v>NatGrdExt_CYP_4</v>
      </c>
      <c r="AB43" t="str">
        <f t="shared" si="13"/>
        <v>Grid Extension -Cyprus- Step 4</v>
      </c>
      <c r="AC43" t="s">
        <v>13</v>
      </c>
      <c r="AD43" t="s">
        <v>11</v>
      </c>
      <c r="AE43" t="s">
        <v>464</v>
      </c>
      <c r="AG43" t="s">
        <v>463</v>
      </c>
      <c r="AH43" t="str">
        <f t="shared" si="4"/>
        <v>NatGrdExt_CYP_5</v>
      </c>
      <c r="AI43" t="str">
        <f t="shared" si="14"/>
        <v>Grid Extension -Cyprus- Step 5</v>
      </c>
      <c r="AJ43" t="s">
        <v>13</v>
      </c>
      <c r="AK43" t="s">
        <v>11</v>
      </c>
      <c r="AL43" t="s">
        <v>464</v>
      </c>
      <c r="AN43" t="s">
        <v>463</v>
      </c>
      <c r="AO43" t="str">
        <f t="shared" si="5"/>
        <v>NatGrdExt_CYP_6</v>
      </c>
      <c r="AP43" t="str">
        <f t="shared" si="15"/>
        <v>Grid Extension -Cyprus- Step 6</v>
      </c>
      <c r="AQ43" t="s">
        <v>13</v>
      </c>
      <c r="AR43" t="s">
        <v>11</v>
      </c>
      <c r="AS43" t="s">
        <v>464</v>
      </c>
      <c r="AU43" t="s">
        <v>463</v>
      </c>
      <c r="AV43" t="str">
        <f t="shared" si="6"/>
        <v>NatGrdExt_CYP_7</v>
      </c>
      <c r="AW43" t="str">
        <f t="shared" si="16"/>
        <v>Grid Extension -Cyprus- Step 7</v>
      </c>
      <c r="AX43" t="s">
        <v>13</v>
      </c>
      <c r="AY43" t="s">
        <v>11</v>
      </c>
      <c r="AZ43" t="s">
        <v>464</v>
      </c>
      <c r="BB43" t="s">
        <v>463</v>
      </c>
      <c r="BC43" t="str">
        <f t="shared" si="7"/>
        <v>NatGrdExt_CYP_8</v>
      </c>
      <c r="BD43" t="str">
        <f t="shared" si="17"/>
        <v>Grid Extension -Cyprus- Step 8</v>
      </c>
      <c r="BE43" t="s">
        <v>13</v>
      </c>
      <c r="BF43" t="s">
        <v>11</v>
      </c>
      <c r="BG43" t="s">
        <v>464</v>
      </c>
      <c r="BI43" t="s">
        <v>463</v>
      </c>
      <c r="BJ43" t="str">
        <f t="shared" si="8"/>
        <v>NatGrdExt_CYP_9</v>
      </c>
      <c r="BK43" t="str">
        <f t="shared" si="18"/>
        <v>Grid Extension -Cyprus- Step 9</v>
      </c>
      <c r="BL43" t="s">
        <v>13</v>
      </c>
      <c r="BM43" t="s">
        <v>11</v>
      </c>
      <c r="BN43" t="s">
        <v>464</v>
      </c>
      <c r="BP43" t="s">
        <v>463</v>
      </c>
      <c r="BQ43" t="str">
        <f t="shared" si="9"/>
        <v>NatGrdExt_CYP_10</v>
      </c>
      <c r="BR43" t="str">
        <f t="shared" si="19"/>
        <v>Grid Extension -Cyprus- Step 10</v>
      </c>
      <c r="BS43" t="s">
        <v>13</v>
      </c>
      <c r="BT43" t="s">
        <v>11</v>
      </c>
      <c r="BU43" t="s">
        <v>464</v>
      </c>
    </row>
    <row r="44" spans="1:73">
      <c r="A44" s="5" t="s">
        <v>512</v>
      </c>
      <c r="B44" s="5" t="s">
        <v>513</v>
      </c>
      <c r="E44" t="s">
        <v>463</v>
      </c>
      <c r="F44" t="str">
        <f t="shared" si="0"/>
        <v>NatGrdExt_CZE_1</v>
      </c>
      <c r="G44" t="str">
        <f t="shared" si="10"/>
        <v>Grid Extension -Czech Republic- Step 1</v>
      </c>
      <c r="H44" t="s">
        <v>13</v>
      </c>
      <c r="I44" t="s">
        <v>11</v>
      </c>
      <c r="J44" t="s">
        <v>464</v>
      </c>
      <c r="L44" t="s">
        <v>463</v>
      </c>
      <c r="M44" t="str">
        <f t="shared" si="1"/>
        <v>NatGrdExt_CZE_2</v>
      </c>
      <c r="N44" t="str">
        <f t="shared" si="11"/>
        <v>Grid Extension -Czech Republic- Step 2</v>
      </c>
      <c r="O44" t="s">
        <v>13</v>
      </c>
      <c r="P44" t="s">
        <v>11</v>
      </c>
      <c r="Q44" t="s">
        <v>464</v>
      </c>
      <c r="S44" t="s">
        <v>463</v>
      </c>
      <c r="T44" t="str">
        <f t="shared" si="2"/>
        <v>NatGrdExt_CZE_3</v>
      </c>
      <c r="U44" t="str">
        <f t="shared" si="12"/>
        <v>Grid Extension -Czech Republic- Step 3</v>
      </c>
      <c r="V44" t="s">
        <v>13</v>
      </c>
      <c r="W44" t="s">
        <v>11</v>
      </c>
      <c r="X44" t="s">
        <v>464</v>
      </c>
      <c r="Z44" t="s">
        <v>463</v>
      </c>
      <c r="AA44" t="str">
        <f t="shared" si="3"/>
        <v>NatGrdExt_CZE_4</v>
      </c>
      <c r="AB44" t="str">
        <f t="shared" si="13"/>
        <v>Grid Extension -Czech Republic- Step 4</v>
      </c>
      <c r="AC44" t="s">
        <v>13</v>
      </c>
      <c r="AD44" t="s">
        <v>11</v>
      </c>
      <c r="AE44" t="s">
        <v>464</v>
      </c>
      <c r="AG44" t="s">
        <v>463</v>
      </c>
      <c r="AH44" t="str">
        <f t="shared" si="4"/>
        <v>NatGrdExt_CZE_5</v>
      </c>
      <c r="AI44" t="str">
        <f t="shared" si="14"/>
        <v>Grid Extension -Czech Republic- Step 5</v>
      </c>
      <c r="AJ44" t="s">
        <v>13</v>
      </c>
      <c r="AK44" t="s">
        <v>11</v>
      </c>
      <c r="AL44" t="s">
        <v>464</v>
      </c>
      <c r="AN44" t="s">
        <v>463</v>
      </c>
      <c r="AO44" t="str">
        <f t="shared" si="5"/>
        <v>NatGrdExt_CZE_6</v>
      </c>
      <c r="AP44" t="str">
        <f t="shared" si="15"/>
        <v>Grid Extension -Czech Republic- Step 6</v>
      </c>
      <c r="AQ44" t="s">
        <v>13</v>
      </c>
      <c r="AR44" t="s">
        <v>11</v>
      </c>
      <c r="AS44" t="s">
        <v>464</v>
      </c>
      <c r="AU44" t="s">
        <v>463</v>
      </c>
      <c r="AV44" t="str">
        <f t="shared" si="6"/>
        <v>NatGrdExt_CZE_7</v>
      </c>
      <c r="AW44" t="str">
        <f t="shared" si="16"/>
        <v>Grid Extension -Czech Republic- Step 7</v>
      </c>
      <c r="AX44" t="s">
        <v>13</v>
      </c>
      <c r="AY44" t="s">
        <v>11</v>
      </c>
      <c r="AZ44" t="s">
        <v>464</v>
      </c>
      <c r="BB44" t="s">
        <v>463</v>
      </c>
      <c r="BC44" t="str">
        <f t="shared" si="7"/>
        <v>NatGrdExt_CZE_8</v>
      </c>
      <c r="BD44" t="str">
        <f t="shared" si="17"/>
        <v>Grid Extension -Czech Republic- Step 8</v>
      </c>
      <c r="BE44" t="s">
        <v>13</v>
      </c>
      <c r="BF44" t="s">
        <v>11</v>
      </c>
      <c r="BG44" t="s">
        <v>464</v>
      </c>
      <c r="BI44" t="s">
        <v>463</v>
      </c>
      <c r="BJ44" t="str">
        <f t="shared" si="8"/>
        <v>NatGrdExt_CZE_9</v>
      </c>
      <c r="BK44" t="str">
        <f t="shared" si="18"/>
        <v>Grid Extension -Czech Republic- Step 9</v>
      </c>
      <c r="BL44" t="s">
        <v>13</v>
      </c>
      <c r="BM44" t="s">
        <v>11</v>
      </c>
      <c r="BN44" t="s">
        <v>464</v>
      </c>
      <c r="BP44" t="s">
        <v>463</v>
      </c>
      <c r="BQ44" t="str">
        <f t="shared" si="9"/>
        <v>NatGrdExt_CZE_10</v>
      </c>
      <c r="BR44" t="str">
        <f t="shared" si="19"/>
        <v>Grid Extension -Czech Republic- Step 10</v>
      </c>
      <c r="BS44" t="s">
        <v>13</v>
      </c>
      <c r="BT44" t="s">
        <v>11</v>
      </c>
      <c r="BU44" t="s">
        <v>464</v>
      </c>
    </row>
    <row r="45" spans="1:73">
      <c r="A45" s="5" t="s">
        <v>514</v>
      </c>
      <c r="B45" s="5" t="s">
        <v>515</v>
      </c>
      <c r="E45" t="s">
        <v>463</v>
      </c>
      <c r="F45" t="str">
        <f t="shared" si="0"/>
        <v>NatGrdExt_DEU_1</v>
      </c>
      <c r="G45" t="str">
        <f t="shared" si="10"/>
        <v>Grid Extension -Germany- Step 1</v>
      </c>
      <c r="H45" t="s">
        <v>13</v>
      </c>
      <c r="I45" t="s">
        <v>11</v>
      </c>
      <c r="J45" t="s">
        <v>464</v>
      </c>
      <c r="L45" t="s">
        <v>463</v>
      </c>
      <c r="M45" t="str">
        <f t="shared" si="1"/>
        <v>NatGrdExt_DEU_2</v>
      </c>
      <c r="N45" t="str">
        <f t="shared" si="11"/>
        <v>Grid Extension -Germany- Step 2</v>
      </c>
      <c r="O45" t="s">
        <v>13</v>
      </c>
      <c r="P45" t="s">
        <v>11</v>
      </c>
      <c r="Q45" t="s">
        <v>464</v>
      </c>
      <c r="S45" t="s">
        <v>463</v>
      </c>
      <c r="T45" t="str">
        <f t="shared" si="2"/>
        <v>NatGrdExt_DEU_3</v>
      </c>
      <c r="U45" t="str">
        <f t="shared" si="12"/>
        <v>Grid Extension -Germany- Step 3</v>
      </c>
      <c r="V45" t="s">
        <v>13</v>
      </c>
      <c r="W45" t="s">
        <v>11</v>
      </c>
      <c r="X45" t="s">
        <v>464</v>
      </c>
      <c r="Z45" t="s">
        <v>463</v>
      </c>
      <c r="AA45" t="str">
        <f t="shared" si="3"/>
        <v>NatGrdExt_DEU_4</v>
      </c>
      <c r="AB45" t="str">
        <f t="shared" si="13"/>
        <v>Grid Extension -Germany- Step 4</v>
      </c>
      <c r="AC45" t="s">
        <v>13</v>
      </c>
      <c r="AD45" t="s">
        <v>11</v>
      </c>
      <c r="AE45" t="s">
        <v>464</v>
      </c>
      <c r="AG45" t="s">
        <v>463</v>
      </c>
      <c r="AH45" t="str">
        <f t="shared" si="4"/>
        <v>NatGrdExt_DEU_5</v>
      </c>
      <c r="AI45" t="str">
        <f t="shared" si="14"/>
        <v>Grid Extension -Germany- Step 5</v>
      </c>
      <c r="AJ45" t="s">
        <v>13</v>
      </c>
      <c r="AK45" t="s">
        <v>11</v>
      </c>
      <c r="AL45" t="s">
        <v>464</v>
      </c>
      <c r="AN45" t="s">
        <v>463</v>
      </c>
      <c r="AO45" t="str">
        <f t="shared" si="5"/>
        <v>NatGrdExt_DEU_6</v>
      </c>
      <c r="AP45" t="str">
        <f t="shared" si="15"/>
        <v>Grid Extension -Germany- Step 6</v>
      </c>
      <c r="AQ45" t="s">
        <v>13</v>
      </c>
      <c r="AR45" t="s">
        <v>11</v>
      </c>
      <c r="AS45" t="s">
        <v>464</v>
      </c>
      <c r="AU45" t="s">
        <v>463</v>
      </c>
      <c r="AV45" t="str">
        <f t="shared" si="6"/>
        <v>NatGrdExt_DEU_7</v>
      </c>
      <c r="AW45" t="str">
        <f t="shared" si="16"/>
        <v>Grid Extension -Germany- Step 7</v>
      </c>
      <c r="AX45" t="s">
        <v>13</v>
      </c>
      <c r="AY45" t="s">
        <v>11</v>
      </c>
      <c r="AZ45" t="s">
        <v>464</v>
      </c>
      <c r="BB45" t="s">
        <v>463</v>
      </c>
      <c r="BC45" t="str">
        <f t="shared" si="7"/>
        <v>NatGrdExt_DEU_8</v>
      </c>
      <c r="BD45" t="str">
        <f t="shared" si="17"/>
        <v>Grid Extension -Germany- Step 8</v>
      </c>
      <c r="BE45" t="s">
        <v>13</v>
      </c>
      <c r="BF45" t="s">
        <v>11</v>
      </c>
      <c r="BG45" t="s">
        <v>464</v>
      </c>
      <c r="BI45" t="s">
        <v>463</v>
      </c>
      <c r="BJ45" t="str">
        <f t="shared" si="8"/>
        <v>NatGrdExt_DEU_9</v>
      </c>
      <c r="BK45" t="str">
        <f t="shared" si="18"/>
        <v>Grid Extension -Germany- Step 9</v>
      </c>
      <c r="BL45" t="s">
        <v>13</v>
      </c>
      <c r="BM45" t="s">
        <v>11</v>
      </c>
      <c r="BN45" t="s">
        <v>464</v>
      </c>
      <c r="BP45" t="s">
        <v>463</v>
      </c>
      <c r="BQ45" t="str">
        <f t="shared" si="9"/>
        <v>NatGrdExt_DEU_10</v>
      </c>
      <c r="BR45" t="str">
        <f t="shared" si="19"/>
        <v>Grid Extension -Germany- Step 10</v>
      </c>
      <c r="BS45" t="s">
        <v>13</v>
      </c>
      <c r="BT45" t="s">
        <v>11</v>
      </c>
      <c r="BU45" t="s">
        <v>464</v>
      </c>
    </row>
    <row r="46" spans="1:73">
      <c r="A46" s="5" t="s">
        <v>516</v>
      </c>
      <c r="B46" s="5" t="s">
        <v>517</v>
      </c>
      <c r="E46" t="s">
        <v>463</v>
      </c>
      <c r="F46" t="str">
        <f t="shared" si="0"/>
        <v>NatGrdExt_DJI_1</v>
      </c>
      <c r="G46" t="str">
        <f t="shared" si="10"/>
        <v>Grid Extension -Djibouti- Step 1</v>
      </c>
      <c r="H46" t="s">
        <v>13</v>
      </c>
      <c r="I46" t="s">
        <v>11</v>
      </c>
      <c r="J46" t="s">
        <v>464</v>
      </c>
      <c r="L46" t="s">
        <v>463</v>
      </c>
      <c r="M46" t="str">
        <f t="shared" si="1"/>
        <v>NatGrdExt_DJI_2</v>
      </c>
      <c r="N46" t="str">
        <f t="shared" si="11"/>
        <v>Grid Extension -Djibouti- Step 2</v>
      </c>
      <c r="O46" t="s">
        <v>13</v>
      </c>
      <c r="P46" t="s">
        <v>11</v>
      </c>
      <c r="Q46" t="s">
        <v>464</v>
      </c>
      <c r="S46" t="s">
        <v>463</v>
      </c>
      <c r="T46" t="str">
        <f t="shared" si="2"/>
        <v>NatGrdExt_DJI_3</v>
      </c>
      <c r="U46" t="str">
        <f t="shared" si="12"/>
        <v>Grid Extension -Djibouti- Step 3</v>
      </c>
      <c r="V46" t="s">
        <v>13</v>
      </c>
      <c r="W46" t="s">
        <v>11</v>
      </c>
      <c r="X46" t="s">
        <v>464</v>
      </c>
      <c r="Z46" t="s">
        <v>463</v>
      </c>
      <c r="AA46" t="str">
        <f t="shared" si="3"/>
        <v>NatGrdExt_DJI_4</v>
      </c>
      <c r="AB46" t="str">
        <f t="shared" si="13"/>
        <v>Grid Extension -Djibouti- Step 4</v>
      </c>
      <c r="AC46" t="s">
        <v>13</v>
      </c>
      <c r="AD46" t="s">
        <v>11</v>
      </c>
      <c r="AE46" t="s">
        <v>464</v>
      </c>
      <c r="AG46" t="s">
        <v>463</v>
      </c>
      <c r="AH46" t="str">
        <f t="shared" si="4"/>
        <v>NatGrdExt_DJI_5</v>
      </c>
      <c r="AI46" t="str">
        <f t="shared" si="14"/>
        <v>Grid Extension -Djibouti- Step 5</v>
      </c>
      <c r="AJ46" t="s">
        <v>13</v>
      </c>
      <c r="AK46" t="s">
        <v>11</v>
      </c>
      <c r="AL46" t="s">
        <v>464</v>
      </c>
      <c r="AN46" t="s">
        <v>463</v>
      </c>
      <c r="AO46" t="str">
        <f t="shared" si="5"/>
        <v>NatGrdExt_DJI_6</v>
      </c>
      <c r="AP46" t="str">
        <f t="shared" si="15"/>
        <v>Grid Extension -Djibouti- Step 6</v>
      </c>
      <c r="AQ46" t="s">
        <v>13</v>
      </c>
      <c r="AR46" t="s">
        <v>11</v>
      </c>
      <c r="AS46" t="s">
        <v>464</v>
      </c>
      <c r="AU46" t="s">
        <v>463</v>
      </c>
      <c r="AV46" t="str">
        <f t="shared" si="6"/>
        <v>NatGrdExt_DJI_7</v>
      </c>
      <c r="AW46" t="str">
        <f t="shared" si="16"/>
        <v>Grid Extension -Djibouti- Step 7</v>
      </c>
      <c r="AX46" t="s">
        <v>13</v>
      </c>
      <c r="AY46" t="s">
        <v>11</v>
      </c>
      <c r="AZ46" t="s">
        <v>464</v>
      </c>
      <c r="BB46" t="s">
        <v>463</v>
      </c>
      <c r="BC46" t="str">
        <f t="shared" si="7"/>
        <v>NatGrdExt_DJI_8</v>
      </c>
      <c r="BD46" t="str">
        <f t="shared" si="17"/>
        <v>Grid Extension -Djibouti- Step 8</v>
      </c>
      <c r="BE46" t="s">
        <v>13</v>
      </c>
      <c r="BF46" t="s">
        <v>11</v>
      </c>
      <c r="BG46" t="s">
        <v>464</v>
      </c>
      <c r="BI46" t="s">
        <v>463</v>
      </c>
      <c r="BJ46" t="str">
        <f t="shared" si="8"/>
        <v>NatGrdExt_DJI_9</v>
      </c>
      <c r="BK46" t="str">
        <f t="shared" si="18"/>
        <v>Grid Extension -Djibouti- Step 9</v>
      </c>
      <c r="BL46" t="s">
        <v>13</v>
      </c>
      <c r="BM46" t="s">
        <v>11</v>
      </c>
      <c r="BN46" t="s">
        <v>464</v>
      </c>
      <c r="BP46" t="s">
        <v>463</v>
      </c>
      <c r="BQ46" t="str">
        <f t="shared" si="9"/>
        <v>NatGrdExt_DJI_10</v>
      </c>
      <c r="BR46" t="str">
        <f t="shared" si="19"/>
        <v>Grid Extension -Djibouti- Step 10</v>
      </c>
      <c r="BS46" t="s">
        <v>13</v>
      </c>
      <c r="BT46" t="s">
        <v>11</v>
      </c>
      <c r="BU46" t="s">
        <v>464</v>
      </c>
    </row>
    <row r="47" spans="1:73">
      <c r="A47" s="5" t="s">
        <v>518</v>
      </c>
      <c r="B47" s="5" t="s">
        <v>519</v>
      </c>
      <c r="E47" t="s">
        <v>463</v>
      </c>
      <c r="F47" t="str">
        <f t="shared" si="0"/>
        <v>NatGrdExt_DNK_1</v>
      </c>
      <c r="G47" t="str">
        <f t="shared" si="10"/>
        <v>Grid Extension -Denmark- Step 1</v>
      </c>
      <c r="H47" t="s">
        <v>13</v>
      </c>
      <c r="I47" t="s">
        <v>11</v>
      </c>
      <c r="J47" t="s">
        <v>464</v>
      </c>
      <c r="L47" t="s">
        <v>463</v>
      </c>
      <c r="M47" t="str">
        <f t="shared" si="1"/>
        <v>NatGrdExt_DNK_2</v>
      </c>
      <c r="N47" t="str">
        <f t="shared" si="11"/>
        <v>Grid Extension -Denmark- Step 2</v>
      </c>
      <c r="O47" t="s">
        <v>13</v>
      </c>
      <c r="P47" t="s">
        <v>11</v>
      </c>
      <c r="Q47" t="s">
        <v>464</v>
      </c>
      <c r="S47" t="s">
        <v>463</v>
      </c>
      <c r="T47" t="str">
        <f t="shared" si="2"/>
        <v>NatGrdExt_DNK_3</v>
      </c>
      <c r="U47" t="str">
        <f t="shared" si="12"/>
        <v>Grid Extension -Denmark- Step 3</v>
      </c>
      <c r="V47" t="s">
        <v>13</v>
      </c>
      <c r="W47" t="s">
        <v>11</v>
      </c>
      <c r="X47" t="s">
        <v>464</v>
      </c>
      <c r="Z47" t="s">
        <v>463</v>
      </c>
      <c r="AA47" t="str">
        <f t="shared" si="3"/>
        <v>NatGrdExt_DNK_4</v>
      </c>
      <c r="AB47" t="str">
        <f t="shared" si="13"/>
        <v>Grid Extension -Denmark- Step 4</v>
      </c>
      <c r="AC47" t="s">
        <v>13</v>
      </c>
      <c r="AD47" t="s">
        <v>11</v>
      </c>
      <c r="AE47" t="s">
        <v>464</v>
      </c>
      <c r="AG47" t="s">
        <v>463</v>
      </c>
      <c r="AH47" t="str">
        <f t="shared" si="4"/>
        <v>NatGrdExt_DNK_5</v>
      </c>
      <c r="AI47" t="str">
        <f t="shared" si="14"/>
        <v>Grid Extension -Denmark- Step 5</v>
      </c>
      <c r="AJ47" t="s">
        <v>13</v>
      </c>
      <c r="AK47" t="s">
        <v>11</v>
      </c>
      <c r="AL47" t="s">
        <v>464</v>
      </c>
      <c r="AN47" t="s">
        <v>463</v>
      </c>
      <c r="AO47" t="str">
        <f t="shared" si="5"/>
        <v>NatGrdExt_DNK_6</v>
      </c>
      <c r="AP47" t="str">
        <f t="shared" si="15"/>
        <v>Grid Extension -Denmark- Step 6</v>
      </c>
      <c r="AQ47" t="s">
        <v>13</v>
      </c>
      <c r="AR47" t="s">
        <v>11</v>
      </c>
      <c r="AS47" t="s">
        <v>464</v>
      </c>
      <c r="AU47" t="s">
        <v>463</v>
      </c>
      <c r="AV47" t="str">
        <f t="shared" si="6"/>
        <v>NatGrdExt_DNK_7</v>
      </c>
      <c r="AW47" t="str">
        <f t="shared" si="16"/>
        <v>Grid Extension -Denmark- Step 7</v>
      </c>
      <c r="AX47" t="s">
        <v>13</v>
      </c>
      <c r="AY47" t="s">
        <v>11</v>
      </c>
      <c r="AZ47" t="s">
        <v>464</v>
      </c>
      <c r="BB47" t="s">
        <v>463</v>
      </c>
      <c r="BC47" t="str">
        <f t="shared" si="7"/>
        <v>NatGrdExt_DNK_8</v>
      </c>
      <c r="BD47" t="str">
        <f t="shared" si="17"/>
        <v>Grid Extension -Denmark- Step 8</v>
      </c>
      <c r="BE47" t="s">
        <v>13</v>
      </c>
      <c r="BF47" t="s">
        <v>11</v>
      </c>
      <c r="BG47" t="s">
        <v>464</v>
      </c>
      <c r="BI47" t="s">
        <v>463</v>
      </c>
      <c r="BJ47" t="str">
        <f t="shared" si="8"/>
        <v>NatGrdExt_DNK_9</v>
      </c>
      <c r="BK47" t="str">
        <f t="shared" si="18"/>
        <v>Grid Extension -Denmark- Step 9</v>
      </c>
      <c r="BL47" t="s">
        <v>13</v>
      </c>
      <c r="BM47" t="s">
        <v>11</v>
      </c>
      <c r="BN47" t="s">
        <v>464</v>
      </c>
      <c r="BP47" t="s">
        <v>463</v>
      </c>
      <c r="BQ47" t="str">
        <f t="shared" si="9"/>
        <v>NatGrdExt_DNK_10</v>
      </c>
      <c r="BR47" t="str">
        <f t="shared" si="19"/>
        <v>Grid Extension -Denmark- Step 10</v>
      </c>
      <c r="BS47" t="s">
        <v>13</v>
      </c>
      <c r="BT47" t="s">
        <v>11</v>
      </c>
      <c r="BU47" t="s">
        <v>464</v>
      </c>
    </row>
    <row r="48" spans="1:73">
      <c r="A48" s="5" t="s">
        <v>520</v>
      </c>
      <c r="B48" s="5" t="s">
        <v>521</v>
      </c>
      <c r="E48" t="s">
        <v>463</v>
      </c>
      <c r="F48" t="str">
        <f t="shared" si="0"/>
        <v>NatGrdExt_DOM_1</v>
      </c>
      <c r="G48" t="str">
        <f t="shared" si="10"/>
        <v>Grid Extension -Dominican Republic- Step 1</v>
      </c>
      <c r="H48" t="s">
        <v>13</v>
      </c>
      <c r="I48" t="s">
        <v>11</v>
      </c>
      <c r="J48" t="s">
        <v>464</v>
      </c>
      <c r="L48" t="s">
        <v>463</v>
      </c>
      <c r="M48" t="str">
        <f t="shared" si="1"/>
        <v>NatGrdExt_DOM_2</v>
      </c>
      <c r="N48" t="str">
        <f t="shared" si="11"/>
        <v>Grid Extension -Dominican Republic- Step 2</v>
      </c>
      <c r="O48" t="s">
        <v>13</v>
      </c>
      <c r="P48" t="s">
        <v>11</v>
      </c>
      <c r="Q48" t="s">
        <v>464</v>
      </c>
      <c r="S48" t="s">
        <v>463</v>
      </c>
      <c r="T48" t="str">
        <f t="shared" si="2"/>
        <v>NatGrdExt_DOM_3</v>
      </c>
      <c r="U48" t="str">
        <f t="shared" si="12"/>
        <v>Grid Extension -Dominican Republic- Step 3</v>
      </c>
      <c r="V48" t="s">
        <v>13</v>
      </c>
      <c r="W48" t="s">
        <v>11</v>
      </c>
      <c r="X48" t="s">
        <v>464</v>
      </c>
      <c r="Z48" t="s">
        <v>463</v>
      </c>
      <c r="AA48" t="str">
        <f t="shared" si="3"/>
        <v>NatGrdExt_DOM_4</v>
      </c>
      <c r="AB48" t="str">
        <f t="shared" si="13"/>
        <v>Grid Extension -Dominican Republic- Step 4</v>
      </c>
      <c r="AC48" t="s">
        <v>13</v>
      </c>
      <c r="AD48" t="s">
        <v>11</v>
      </c>
      <c r="AE48" t="s">
        <v>464</v>
      </c>
      <c r="AG48" t="s">
        <v>463</v>
      </c>
      <c r="AH48" t="str">
        <f t="shared" si="4"/>
        <v>NatGrdExt_DOM_5</v>
      </c>
      <c r="AI48" t="str">
        <f t="shared" si="14"/>
        <v>Grid Extension -Dominican Republic- Step 5</v>
      </c>
      <c r="AJ48" t="s">
        <v>13</v>
      </c>
      <c r="AK48" t="s">
        <v>11</v>
      </c>
      <c r="AL48" t="s">
        <v>464</v>
      </c>
      <c r="AN48" t="s">
        <v>463</v>
      </c>
      <c r="AO48" t="str">
        <f t="shared" si="5"/>
        <v>NatGrdExt_DOM_6</v>
      </c>
      <c r="AP48" t="str">
        <f t="shared" si="15"/>
        <v>Grid Extension -Dominican Republic- Step 6</v>
      </c>
      <c r="AQ48" t="s">
        <v>13</v>
      </c>
      <c r="AR48" t="s">
        <v>11</v>
      </c>
      <c r="AS48" t="s">
        <v>464</v>
      </c>
      <c r="AU48" t="s">
        <v>463</v>
      </c>
      <c r="AV48" t="str">
        <f t="shared" si="6"/>
        <v>NatGrdExt_DOM_7</v>
      </c>
      <c r="AW48" t="str">
        <f t="shared" si="16"/>
        <v>Grid Extension -Dominican Republic- Step 7</v>
      </c>
      <c r="AX48" t="s">
        <v>13</v>
      </c>
      <c r="AY48" t="s">
        <v>11</v>
      </c>
      <c r="AZ48" t="s">
        <v>464</v>
      </c>
      <c r="BB48" t="s">
        <v>463</v>
      </c>
      <c r="BC48" t="str">
        <f t="shared" si="7"/>
        <v>NatGrdExt_DOM_8</v>
      </c>
      <c r="BD48" t="str">
        <f t="shared" si="17"/>
        <v>Grid Extension -Dominican Republic- Step 8</v>
      </c>
      <c r="BE48" t="s">
        <v>13</v>
      </c>
      <c r="BF48" t="s">
        <v>11</v>
      </c>
      <c r="BG48" t="s">
        <v>464</v>
      </c>
      <c r="BI48" t="s">
        <v>463</v>
      </c>
      <c r="BJ48" t="str">
        <f t="shared" si="8"/>
        <v>NatGrdExt_DOM_9</v>
      </c>
      <c r="BK48" t="str">
        <f t="shared" si="18"/>
        <v>Grid Extension -Dominican Republic- Step 9</v>
      </c>
      <c r="BL48" t="s">
        <v>13</v>
      </c>
      <c r="BM48" t="s">
        <v>11</v>
      </c>
      <c r="BN48" t="s">
        <v>464</v>
      </c>
      <c r="BP48" t="s">
        <v>463</v>
      </c>
      <c r="BQ48" t="str">
        <f t="shared" si="9"/>
        <v>NatGrdExt_DOM_10</v>
      </c>
      <c r="BR48" t="str">
        <f t="shared" si="19"/>
        <v>Grid Extension -Dominican Republic- Step 10</v>
      </c>
      <c r="BS48" t="s">
        <v>13</v>
      </c>
      <c r="BT48" t="s">
        <v>11</v>
      </c>
      <c r="BU48" t="s">
        <v>464</v>
      </c>
    </row>
    <row r="49" spans="1:73">
      <c r="A49" s="5" t="s">
        <v>522</v>
      </c>
      <c r="B49" s="5" t="s">
        <v>523</v>
      </c>
      <c r="E49" t="s">
        <v>463</v>
      </c>
      <c r="F49" t="str">
        <f t="shared" si="0"/>
        <v>NatGrdExt_DZA_1</v>
      </c>
      <c r="G49" t="str">
        <f t="shared" si="10"/>
        <v>Grid Extension -Algeria- Step 1</v>
      </c>
      <c r="H49" t="s">
        <v>13</v>
      </c>
      <c r="I49" t="s">
        <v>11</v>
      </c>
      <c r="J49" t="s">
        <v>464</v>
      </c>
      <c r="L49" t="s">
        <v>463</v>
      </c>
      <c r="M49" t="str">
        <f t="shared" si="1"/>
        <v>NatGrdExt_DZA_2</v>
      </c>
      <c r="N49" t="str">
        <f t="shared" si="11"/>
        <v>Grid Extension -Algeria- Step 2</v>
      </c>
      <c r="O49" t="s">
        <v>13</v>
      </c>
      <c r="P49" t="s">
        <v>11</v>
      </c>
      <c r="Q49" t="s">
        <v>464</v>
      </c>
      <c r="S49" t="s">
        <v>463</v>
      </c>
      <c r="T49" t="str">
        <f t="shared" si="2"/>
        <v>NatGrdExt_DZA_3</v>
      </c>
      <c r="U49" t="str">
        <f t="shared" si="12"/>
        <v>Grid Extension -Algeria- Step 3</v>
      </c>
      <c r="V49" t="s">
        <v>13</v>
      </c>
      <c r="W49" t="s">
        <v>11</v>
      </c>
      <c r="X49" t="s">
        <v>464</v>
      </c>
      <c r="Z49" t="s">
        <v>463</v>
      </c>
      <c r="AA49" t="str">
        <f t="shared" si="3"/>
        <v>NatGrdExt_DZA_4</v>
      </c>
      <c r="AB49" t="str">
        <f t="shared" si="13"/>
        <v>Grid Extension -Algeria- Step 4</v>
      </c>
      <c r="AC49" t="s">
        <v>13</v>
      </c>
      <c r="AD49" t="s">
        <v>11</v>
      </c>
      <c r="AE49" t="s">
        <v>464</v>
      </c>
      <c r="AG49" t="s">
        <v>463</v>
      </c>
      <c r="AH49" t="str">
        <f t="shared" si="4"/>
        <v>NatGrdExt_DZA_5</v>
      </c>
      <c r="AI49" t="str">
        <f t="shared" si="14"/>
        <v>Grid Extension -Algeria- Step 5</v>
      </c>
      <c r="AJ49" t="s">
        <v>13</v>
      </c>
      <c r="AK49" t="s">
        <v>11</v>
      </c>
      <c r="AL49" t="s">
        <v>464</v>
      </c>
      <c r="AN49" t="s">
        <v>463</v>
      </c>
      <c r="AO49" t="str">
        <f t="shared" si="5"/>
        <v>NatGrdExt_DZA_6</v>
      </c>
      <c r="AP49" t="str">
        <f t="shared" si="15"/>
        <v>Grid Extension -Algeria- Step 6</v>
      </c>
      <c r="AQ49" t="s">
        <v>13</v>
      </c>
      <c r="AR49" t="s">
        <v>11</v>
      </c>
      <c r="AS49" t="s">
        <v>464</v>
      </c>
      <c r="AU49" t="s">
        <v>463</v>
      </c>
      <c r="AV49" t="str">
        <f t="shared" si="6"/>
        <v>NatGrdExt_DZA_7</v>
      </c>
      <c r="AW49" t="str">
        <f t="shared" si="16"/>
        <v>Grid Extension -Algeria- Step 7</v>
      </c>
      <c r="AX49" t="s">
        <v>13</v>
      </c>
      <c r="AY49" t="s">
        <v>11</v>
      </c>
      <c r="AZ49" t="s">
        <v>464</v>
      </c>
      <c r="BB49" t="s">
        <v>463</v>
      </c>
      <c r="BC49" t="str">
        <f t="shared" si="7"/>
        <v>NatGrdExt_DZA_8</v>
      </c>
      <c r="BD49" t="str">
        <f t="shared" si="17"/>
        <v>Grid Extension -Algeria- Step 8</v>
      </c>
      <c r="BE49" t="s">
        <v>13</v>
      </c>
      <c r="BF49" t="s">
        <v>11</v>
      </c>
      <c r="BG49" t="s">
        <v>464</v>
      </c>
      <c r="BI49" t="s">
        <v>463</v>
      </c>
      <c r="BJ49" t="str">
        <f t="shared" si="8"/>
        <v>NatGrdExt_DZA_9</v>
      </c>
      <c r="BK49" t="str">
        <f t="shared" si="18"/>
        <v>Grid Extension -Algeria- Step 9</v>
      </c>
      <c r="BL49" t="s">
        <v>13</v>
      </c>
      <c r="BM49" t="s">
        <v>11</v>
      </c>
      <c r="BN49" t="s">
        <v>464</v>
      </c>
      <c r="BP49" t="s">
        <v>463</v>
      </c>
      <c r="BQ49" t="str">
        <f t="shared" si="9"/>
        <v>NatGrdExt_DZA_10</v>
      </c>
      <c r="BR49" t="str">
        <f t="shared" si="19"/>
        <v>Grid Extension -Algeria- Step 10</v>
      </c>
      <c r="BS49" t="s">
        <v>13</v>
      </c>
      <c r="BT49" t="s">
        <v>11</v>
      </c>
      <c r="BU49" t="s">
        <v>464</v>
      </c>
    </row>
    <row r="50" spans="1:73">
      <c r="A50" s="5" t="s">
        <v>31</v>
      </c>
      <c r="B50" s="5" t="s">
        <v>93</v>
      </c>
      <c r="E50" t="s">
        <v>463</v>
      </c>
      <c r="F50" t="str">
        <f t="shared" si="0"/>
        <v>NatGrdExt_ECU_1</v>
      </c>
      <c r="G50" t="str">
        <f t="shared" si="10"/>
        <v>Grid Extension -Ecuador- Step 1</v>
      </c>
      <c r="H50" t="s">
        <v>13</v>
      </c>
      <c r="I50" t="s">
        <v>11</v>
      </c>
      <c r="J50" t="s">
        <v>464</v>
      </c>
      <c r="L50" t="s">
        <v>463</v>
      </c>
      <c r="M50" t="str">
        <f t="shared" si="1"/>
        <v>NatGrdExt_ECU_2</v>
      </c>
      <c r="N50" t="str">
        <f t="shared" si="11"/>
        <v>Grid Extension -Ecuador- Step 2</v>
      </c>
      <c r="O50" t="s">
        <v>13</v>
      </c>
      <c r="P50" t="s">
        <v>11</v>
      </c>
      <c r="Q50" t="s">
        <v>464</v>
      </c>
      <c r="S50" t="s">
        <v>463</v>
      </c>
      <c r="T50" t="str">
        <f t="shared" si="2"/>
        <v>NatGrdExt_ECU_3</v>
      </c>
      <c r="U50" t="str">
        <f t="shared" si="12"/>
        <v>Grid Extension -Ecuador- Step 3</v>
      </c>
      <c r="V50" t="s">
        <v>13</v>
      </c>
      <c r="W50" t="s">
        <v>11</v>
      </c>
      <c r="X50" t="s">
        <v>464</v>
      </c>
      <c r="Z50" t="s">
        <v>463</v>
      </c>
      <c r="AA50" t="str">
        <f t="shared" si="3"/>
        <v>NatGrdExt_ECU_4</v>
      </c>
      <c r="AB50" t="str">
        <f t="shared" si="13"/>
        <v>Grid Extension -Ecuador- Step 4</v>
      </c>
      <c r="AC50" t="s">
        <v>13</v>
      </c>
      <c r="AD50" t="s">
        <v>11</v>
      </c>
      <c r="AE50" t="s">
        <v>464</v>
      </c>
      <c r="AG50" t="s">
        <v>463</v>
      </c>
      <c r="AH50" t="str">
        <f t="shared" si="4"/>
        <v>NatGrdExt_ECU_5</v>
      </c>
      <c r="AI50" t="str">
        <f t="shared" si="14"/>
        <v>Grid Extension -Ecuador- Step 5</v>
      </c>
      <c r="AJ50" t="s">
        <v>13</v>
      </c>
      <c r="AK50" t="s">
        <v>11</v>
      </c>
      <c r="AL50" t="s">
        <v>464</v>
      </c>
      <c r="AN50" t="s">
        <v>463</v>
      </c>
      <c r="AO50" t="str">
        <f t="shared" si="5"/>
        <v>NatGrdExt_ECU_6</v>
      </c>
      <c r="AP50" t="str">
        <f t="shared" si="15"/>
        <v>Grid Extension -Ecuador- Step 6</v>
      </c>
      <c r="AQ50" t="s">
        <v>13</v>
      </c>
      <c r="AR50" t="s">
        <v>11</v>
      </c>
      <c r="AS50" t="s">
        <v>464</v>
      </c>
      <c r="AU50" t="s">
        <v>463</v>
      </c>
      <c r="AV50" t="str">
        <f t="shared" si="6"/>
        <v>NatGrdExt_ECU_7</v>
      </c>
      <c r="AW50" t="str">
        <f t="shared" si="16"/>
        <v>Grid Extension -Ecuador- Step 7</v>
      </c>
      <c r="AX50" t="s">
        <v>13</v>
      </c>
      <c r="AY50" t="s">
        <v>11</v>
      </c>
      <c r="AZ50" t="s">
        <v>464</v>
      </c>
      <c r="BB50" t="s">
        <v>463</v>
      </c>
      <c r="BC50" t="str">
        <f t="shared" si="7"/>
        <v>NatGrdExt_ECU_8</v>
      </c>
      <c r="BD50" t="str">
        <f t="shared" si="17"/>
        <v>Grid Extension -Ecuador- Step 8</v>
      </c>
      <c r="BE50" t="s">
        <v>13</v>
      </c>
      <c r="BF50" t="s">
        <v>11</v>
      </c>
      <c r="BG50" t="s">
        <v>464</v>
      </c>
      <c r="BI50" t="s">
        <v>463</v>
      </c>
      <c r="BJ50" t="str">
        <f t="shared" si="8"/>
        <v>NatGrdExt_ECU_9</v>
      </c>
      <c r="BK50" t="str">
        <f t="shared" si="18"/>
        <v>Grid Extension -Ecuador- Step 9</v>
      </c>
      <c r="BL50" t="s">
        <v>13</v>
      </c>
      <c r="BM50" t="s">
        <v>11</v>
      </c>
      <c r="BN50" t="s">
        <v>464</v>
      </c>
      <c r="BP50" t="s">
        <v>463</v>
      </c>
      <c r="BQ50" t="str">
        <f t="shared" si="9"/>
        <v>NatGrdExt_ECU_10</v>
      </c>
      <c r="BR50" t="str">
        <f t="shared" si="19"/>
        <v>Grid Extension -Ecuador- Step 10</v>
      </c>
      <c r="BS50" t="s">
        <v>13</v>
      </c>
      <c r="BT50" t="s">
        <v>11</v>
      </c>
      <c r="BU50" t="s">
        <v>464</v>
      </c>
    </row>
    <row r="51" spans="1:73">
      <c r="A51" s="5" t="s">
        <v>524</v>
      </c>
      <c r="B51" s="5" t="s">
        <v>525</v>
      </c>
      <c r="E51" t="s">
        <v>463</v>
      </c>
      <c r="F51" t="str">
        <f t="shared" si="0"/>
        <v>NatGrdExt_EGY_1</v>
      </c>
      <c r="G51" t="str">
        <f t="shared" si="10"/>
        <v>Grid Extension -Egypt- Step 1</v>
      </c>
      <c r="H51" t="s">
        <v>13</v>
      </c>
      <c r="I51" t="s">
        <v>11</v>
      </c>
      <c r="J51" t="s">
        <v>464</v>
      </c>
      <c r="L51" t="s">
        <v>463</v>
      </c>
      <c r="M51" t="str">
        <f t="shared" si="1"/>
        <v>NatGrdExt_EGY_2</v>
      </c>
      <c r="N51" t="str">
        <f t="shared" si="11"/>
        <v>Grid Extension -Egypt- Step 2</v>
      </c>
      <c r="O51" t="s">
        <v>13</v>
      </c>
      <c r="P51" t="s">
        <v>11</v>
      </c>
      <c r="Q51" t="s">
        <v>464</v>
      </c>
      <c r="S51" t="s">
        <v>463</v>
      </c>
      <c r="T51" t="str">
        <f t="shared" si="2"/>
        <v>NatGrdExt_EGY_3</v>
      </c>
      <c r="U51" t="str">
        <f t="shared" si="12"/>
        <v>Grid Extension -Egypt- Step 3</v>
      </c>
      <c r="V51" t="s">
        <v>13</v>
      </c>
      <c r="W51" t="s">
        <v>11</v>
      </c>
      <c r="X51" t="s">
        <v>464</v>
      </c>
      <c r="Z51" t="s">
        <v>463</v>
      </c>
      <c r="AA51" t="str">
        <f t="shared" si="3"/>
        <v>NatGrdExt_EGY_4</v>
      </c>
      <c r="AB51" t="str">
        <f t="shared" si="13"/>
        <v>Grid Extension -Egypt- Step 4</v>
      </c>
      <c r="AC51" t="s">
        <v>13</v>
      </c>
      <c r="AD51" t="s">
        <v>11</v>
      </c>
      <c r="AE51" t="s">
        <v>464</v>
      </c>
      <c r="AG51" t="s">
        <v>463</v>
      </c>
      <c r="AH51" t="str">
        <f t="shared" si="4"/>
        <v>NatGrdExt_EGY_5</v>
      </c>
      <c r="AI51" t="str">
        <f t="shared" si="14"/>
        <v>Grid Extension -Egypt- Step 5</v>
      </c>
      <c r="AJ51" t="s">
        <v>13</v>
      </c>
      <c r="AK51" t="s">
        <v>11</v>
      </c>
      <c r="AL51" t="s">
        <v>464</v>
      </c>
      <c r="AN51" t="s">
        <v>463</v>
      </c>
      <c r="AO51" t="str">
        <f t="shared" si="5"/>
        <v>NatGrdExt_EGY_6</v>
      </c>
      <c r="AP51" t="str">
        <f t="shared" si="15"/>
        <v>Grid Extension -Egypt- Step 6</v>
      </c>
      <c r="AQ51" t="s">
        <v>13</v>
      </c>
      <c r="AR51" t="s">
        <v>11</v>
      </c>
      <c r="AS51" t="s">
        <v>464</v>
      </c>
      <c r="AU51" t="s">
        <v>463</v>
      </c>
      <c r="AV51" t="str">
        <f t="shared" si="6"/>
        <v>NatGrdExt_EGY_7</v>
      </c>
      <c r="AW51" t="str">
        <f t="shared" si="16"/>
        <v>Grid Extension -Egypt- Step 7</v>
      </c>
      <c r="AX51" t="s">
        <v>13</v>
      </c>
      <c r="AY51" t="s">
        <v>11</v>
      </c>
      <c r="AZ51" t="s">
        <v>464</v>
      </c>
      <c r="BB51" t="s">
        <v>463</v>
      </c>
      <c r="BC51" t="str">
        <f t="shared" si="7"/>
        <v>NatGrdExt_EGY_8</v>
      </c>
      <c r="BD51" t="str">
        <f t="shared" si="17"/>
        <v>Grid Extension -Egypt- Step 8</v>
      </c>
      <c r="BE51" t="s">
        <v>13</v>
      </c>
      <c r="BF51" t="s">
        <v>11</v>
      </c>
      <c r="BG51" t="s">
        <v>464</v>
      </c>
      <c r="BI51" t="s">
        <v>463</v>
      </c>
      <c r="BJ51" t="str">
        <f t="shared" si="8"/>
        <v>NatGrdExt_EGY_9</v>
      </c>
      <c r="BK51" t="str">
        <f t="shared" si="18"/>
        <v>Grid Extension -Egypt- Step 9</v>
      </c>
      <c r="BL51" t="s">
        <v>13</v>
      </c>
      <c r="BM51" t="s">
        <v>11</v>
      </c>
      <c r="BN51" t="s">
        <v>464</v>
      </c>
      <c r="BP51" t="s">
        <v>463</v>
      </c>
      <c r="BQ51" t="str">
        <f t="shared" si="9"/>
        <v>NatGrdExt_EGY_10</v>
      </c>
      <c r="BR51" t="str">
        <f t="shared" si="19"/>
        <v>Grid Extension -Egypt- Step 10</v>
      </c>
      <c r="BS51" t="s">
        <v>13</v>
      </c>
      <c r="BT51" t="s">
        <v>11</v>
      </c>
      <c r="BU51" t="s">
        <v>464</v>
      </c>
    </row>
    <row r="52" spans="1:73">
      <c r="A52" s="5" t="s">
        <v>526</v>
      </c>
      <c r="B52" s="5" t="s">
        <v>527</v>
      </c>
      <c r="E52" t="s">
        <v>463</v>
      </c>
      <c r="F52" t="str">
        <f t="shared" si="0"/>
        <v>NatGrdExt_ERI_1</v>
      </c>
      <c r="G52" t="str">
        <f t="shared" si="10"/>
        <v>Grid Extension -Eritrea- Step 1</v>
      </c>
      <c r="H52" t="s">
        <v>13</v>
      </c>
      <c r="I52" t="s">
        <v>11</v>
      </c>
      <c r="J52" t="s">
        <v>464</v>
      </c>
      <c r="L52" t="s">
        <v>463</v>
      </c>
      <c r="M52" t="str">
        <f t="shared" si="1"/>
        <v>NatGrdExt_ERI_2</v>
      </c>
      <c r="N52" t="str">
        <f t="shared" si="11"/>
        <v>Grid Extension -Eritrea- Step 2</v>
      </c>
      <c r="O52" t="s">
        <v>13</v>
      </c>
      <c r="P52" t="s">
        <v>11</v>
      </c>
      <c r="Q52" t="s">
        <v>464</v>
      </c>
      <c r="S52" t="s">
        <v>463</v>
      </c>
      <c r="T52" t="str">
        <f t="shared" si="2"/>
        <v>NatGrdExt_ERI_3</v>
      </c>
      <c r="U52" t="str">
        <f t="shared" si="12"/>
        <v>Grid Extension -Eritrea- Step 3</v>
      </c>
      <c r="V52" t="s">
        <v>13</v>
      </c>
      <c r="W52" t="s">
        <v>11</v>
      </c>
      <c r="X52" t="s">
        <v>464</v>
      </c>
      <c r="Z52" t="s">
        <v>463</v>
      </c>
      <c r="AA52" t="str">
        <f t="shared" si="3"/>
        <v>NatGrdExt_ERI_4</v>
      </c>
      <c r="AB52" t="str">
        <f t="shared" si="13"/>
        <v>Grid Extension -Eritrea- Step 4</v>
      </c>
      <c r="AC52" t="s">
        <v>13</v>
      </c>
      <c r="AD52" t="s">
        <v>11</v>
      </c>
      <c r="AE52" t="s">
        <v>464</v>
      </c>
      <c r="AG52" t="s">
        <v>463</v>
      </c>
      <c r="AH52" t="str">
        <f t="shared" si="4"/>
        <v>NatGrdExt_ERI_5</v>
      </c>
      <c r="AI52" t="str">
        <f t="shared" si="14"/>
        <v>Grid Extension -Eritrea- Step 5</v>
      </c>
      <c r="AJ52" t="s">
        <v>13</v>
      </c>
      <c r="AK52" t="s">
        <v>11</v>
      </c>
      <c r="AL52" t="s">
        <v>464</v>
      </c>
      <c r="AN52" t="s">
        <v>463</v>
      </c>
      <c r="AO52" t="str">
        <f t="shared" si="5"/>
        <v>NatGrdExt_ERI_6</v>
      </c>
      <c r="AP52" t="str">
        <f t="shared" si="15"/>
        <v>Grid Extension -Eritrea- Step 6</v>
      </c>
      <c r="AQ52" t="s">
        <v>13</v>
      </c>
      <c r="AR52" t="s">
        <v>11</v>
      </c>
      <c r="AS52" t="s">
        <v>464</v>
      </c>
      <c r="AU52" t="s">
        <v>463</v>
      </c>
      <c r="AV52" t="str">
        <f t="shared" si="6"/>
        <v>NatGrdExt_ERI_7</v>
      </c>
      <c r="AW52" t="str">
        <f t="shared" si="16"/>
        <v>Grid Extension -Eritrea- Step 7</v>
      </c>
      <c r="AX52" t="s">
        <v>13</v>
      </c>
      <c r="AY52" t="s">
        <v>11</v>
      </c>
      <c r="AZ52" t="s">
        <v>464</v>
      </c>
      <c r="BB52" t="s">
        <v>463</v>
      </c>
      <c r="BC52" t="str">
        <f t="shared" si="7"/>
        <v>NatGrdExt_ERI_8</v>
      </c>
      <c r="BD52" t="str">
        <f t="shared" si="17"/>
        <v>Grid Extension -Eritrea- Step 8</v>
      </c>
      <c r="BE52" t="s">
        <v>13</v>
      </c>
      <c r="BF52" t="s">
        <v>11</v>
      </c>
      <c r="BG52" t="s">
        <v>464</v>
      </c>
      <c r="BI52" t="s">
        <v>463</v>
      </c>
      <c r="BJ52" t="str">
        <f t="shared" si="8"/>
        <v>NatGrdExt_ERI_9</v>
      </c>
      <c r="BK52" t="str">
        <f t="shared" si="18"/>
        <v>Grid Extension -Eritrea- Step 9</v>
      </c>
      <c r="BL52" t="s">
        <v>13</v>
      </c>
      <c r="BM52" t="s">
        <v>11</v>
      </c>
      <c r="BN52" t="s">
        <v>464</v>
      </c>
      <c r="BP52" t="s">
        <v>463</v>
      </c>
      <c r="BQ52" t="str">
        <f t="shared" si="9"/>
        <v>NatGrdExt_ERI_10</v>
      </c>
      <c r="BR52" t="str">
        <f t="shared" si="19"/>
        <v>Grid Extension -Eritrea- Step 10</v>
      </c>
      <c r="BS52" t="s">
        <v>13</v>
      </c>
      <c r="BT52" t="s">
        <v>11</v>
      </c>
      <c r="BU52" t="s">
        <v>464</v>
      </c>
    </row>
    <row r="53" spans="1:73">
      <c r="A53" s="5" t="s">
        <v>528</v>
      </c>
      <c r="B53" s="5" t="s">
        <v>529</v>
      </c>
      <c r="E53" t="s">
        <v>463</v>
      </c>
      <c r="F53" t="str">
        <f t="shared" si="0"/>
        <v>NatGrdExt_ESH_1</v>
      </c>
      <c r="G53" t="str">
        <f t="shared" si="10"/>
        <v>Grid Extension -Western Sahara- Step 1</v>
      </c>
      <c r="H53" t="s">
        <v>13</v>
      </c>
      <c r="I53" t="s">
        <v>11</v>
      </c>
      <c r="J53" t="s">
        <v>464</v>
      </c>
      <c r="L53" t="s">
        <v>463</v>
      </c>
      <c r="M53" t="str">
        <f t="shared" si="1"/>
        <v>NatGrdExt_ESH_2</v>
      </c>
      <c r="N53" t="str">
        <f t="shared" si="11"/>
        <v>Grid Extension -Western Sahara- Step 2</v>
      </c>
      <c r="O53" t="s">
        <v>13</v>
      </c>
      <c r="P53" t="s">
        <v>11</v>
      </c>
      <c r="Q53" t="s">
        <v>464</v>
      </c>
      <c r="S53" t="s">
        <v>463</v>
      </c>
      <c r="T53" t="str">
        <f t="shared" si="2"/>
        <v>NatGrdExt_ESH_3</v>
      </c>
      <c r="U53" t="str">
        <f t="shared" si="12"/>
        <v>Grid Extension -Western Sahara- Step 3</v>
      </c>
      <c r="V53" t="s">
        <v>13</v>
      </c>
      <c r="W53" t="s">
        <v>11</v>
      </c>
      <c r="X53" t="s">
        <v>464</v>
      </c>
      <c r="Z53" t="s">
        <v>463</v>
      </c>
      <c r="AA53" t="str">
        <f t="shared" si="3"/>
        <v>NatGrdExt_ESH_4</v>
      </c>
      <c r="AB53" t="str">
        <f t="shared" si="13"/>
        <v>Grid Extension -Western Sahara- Step 4</v>
      </c>
      <c r="AC53" t="s">
        <v>13</v>
      </c>
      <c r="AD53" t="s">
        <v>11</v>
      </c>
      <c r="AE53" t="s">
        <v>464</v>
      </c>
      <c r="AG53" t="s">
        <v>463</v>
      </c>
      <c r="AH53" t="str">
        <f t="shared" si="4"/>
        <v>NatGrdExt_ESH_5</v>
      </c>
      <c r="AI53" t="str">
        <f t="shared" si="14"/>
        <v>Grid Extension -Western Sahara- Step 5</v>
      </c>
      <c r="AJ53" t="s">
        <v>13</v>
      </c>
      <c r="AK53" t="s">
        <v>11</v>
      </c>
      <c r="AL53" t="s">
        <v>464</v>
      </c>
      <c r="AN53" t="s">
        <v>463</v>
      </c>
      <c r="AO53" t="str">
        <f t="shared" si="5"/>
        <v>NatGrdExt_ESH_6</v>
      </c>
      <c r="AP53" t="str">
        <f t="shared" si="15"/>
        <v>Grid Extension -Western Sahara- Step 6</v>
      </c>
      <c r="AQ53" t="s">
        <v>13</v>
      </c>
      <c r="AR53" t="s">
        <v>11</v>
      </c>
      <c r="AS53" t="s">
        <v>464</v>
      </c>
      <c r="AU53" t="s">
        <v>463</v>
      </c>
      <c r="AV53" t="str">
        <f t="shared" si="6"/>
        <v>NatGrdExt_ESH_7</v>
      </c>
      <c r="AW53" t="str">
        <f t="shared" si="16"/>
        <v>Grid Extension -Western Sahara- Step 7</v>
      </c>
      <c r="AX53" t="s">
        <v>13</v>
      </c>
      <c r="AY53" t="s">
        <v>11</v>
      </c>
      <c r="AZ53" t="s">
        <v>464</v>
      </c>
      <c r="BB53" t="s">
        <v>463</v>
      </c>
      <c r="BC53" t="str">
        <f t="shared" si="7"/>
        <v>NatGrdExt_ESH_8</v>
      </c>
      <c r="BD53" t="str">
        <f t="shared" si="17"/>
        <v>Grid Extension -Western Sahara- Step 8</v>
      </c>
      <c r="BE53" t="s">
        <v>13</v>
      </c>
      <c r="BF53" t="s">
        <v>11</v>
      </c>
      <c r="BG53" t="s">
        <v>464</v>
      </c>
      <c r="BI53" t="s">
        <v>463</v>
      </c>
      <c r="BJ53" t="str">
        <f t="shared" si="8"/>
        <v>NatGrdExt_ESH_9</v>
      </c>
      <c r="BK53" t="str">
        <f t="shared" si="18"/>
        <v>Grid Extension -Western Sahara- Step 9</v>
      </c>
      <c r="BL53" t="s">
        <v>13</v>
      </c>
      <c r="BM53" t="s">
        <v>11</v>
      </c>
      <c r="BN53" t="s">
        <v>464</v>
      </c>
      <c r="BP53" t="s">
        <v>463</v>
      </c>
      <c r="BQ53" t="str">
        <f t="shared" si="9"/>
        <v>NatGrdExt_ESH_10</v>
      </c>
      <c r="BR53" t="str">
        <f t="shared" si="19"/>
        <v>Grid Extension -Western Sahara- Step 10</v>
      </c>
      <c r="BS53" t="s">
        <v>13</v>
      </c>
      <c r="BT53" t="s">
        <v>11</v>
      </c>
      <c r="BU53" t="s">
        <v>464</v>
      </c>
    </row>
    <row r="54" spans="1:73">
      <c r="A54" s="5" t="s">
        <v>530</v>
      </c>
      <c r="B54" s="5" t="s">
        <v>531</v>
      </c>
      <c r="E54" t="s">
        <v>463</v>
      </c>
      <c r="F54" t="str">
        <f t="shared" si="0"/>
        <v>NatGrdExt_ESP_1</v>
      </c>
      <c r="G54" t="str">
        <f t="shared" si="10"/>
        <v>Grid Extension -Spain- Step 1</v>
      </c>
      <c r="H54" t="s">
        <v>13</v>
      </c>
      <c r="I54" t="s">
        <v>11</v>
      </c>
      <c r="J54" t="s">
        <v>464</v>
      </c>
      <c r="L54" t="s">
        <v>463</v>
      </c>
      <c r="M54" t="str">
        <f t="shared" si="1"/>
        <v>NatGrdExt_ESP_2</v>
      </c>
      <c r="N54" t="str">
        <f t="shared" si="11"/>
        <v>Grid Extension -Spain- Step 2</v>
      </c>
      <c r="O54" t="s">
        <v>13</v>
      </c>
      <c r="P54" t="s">
        <v>11</v>
      </c>
      <c r="Q54" t="s">
        <v>464</v>
      </c>
      <c r="S54" t="s">
        <v>463</v>
      </c>
      <c r="T54" t="str">
        <f t="shared" si="2"/>
        <v>NatGrdExt_ESP_3</v>
      </c>
      <c r="U54" t="str">
        <f t="shared" si="12"/>
        <v>Grid Extension -Spain- Step 3</v>
      </c>
      <c r="V54" t="s">
        <v>13</v>
      </c>
      <c r="W54" t="s">
        <v>11</v>
      </c>
      <c r="X54" t="s">
        <v>464</v>
      </c>
      <c r="Z54" t="s">
        <v>463</v>
      </c>
      <c r="AA54" t="str">
        <f t="shared" si="3"/>
        <v>NatGrdExt_ESP_4</v>
      </c>
      <c r="AB54" t="str">
        <f t="shared" si="13"/>
        <v>Grid Extension -Spain- Step 4</v>
      </c>
      <c r="AC54" t="s">
        <v>13</v>
      </c>
      <c r="AD54" t="s">
        <v>11</v>
      </c>
      <c r="AE54" t="s">
        <v>464</v>
      </c>
      <c r="AG54" t="s">
        <v>463</v>
      </c>
      <c r="AH54" t="str">
        <f t="shared" si="4"/>
        <v>NatGrdExt_ESP_5</v>
      </c>
      <c r="AI54" t="str">
        <f t="shared" si="14"/>
        <v>Grid Extension -Spain- Step 5</v>
      </c>
      <c r="AJ54" t="s">
        <v>13</v>
      </c>
      <c r="AK54" t="s">
        <v>11</v>
      </c>
      <c r="AL54" t="s">
        <v>464</v>
      </c>
      <c r="AN54" t="s">
        <v>463</v>
      </c>
      <c r="AO54" t="str">
        <f t="shared" si="5"/>
        <v>NatGrdExt_ESP_6</v>
      </c>
      <c r="AP54" t="str">
        <f t="shared" si="15"/>
        <v>Grid Extension -Spain- Step 6</v>
      </c>
      <c r="AQ54" t="s">
        <v>13</v>
      </c>
      <c r="AR54" t="s">
        <v>11</v>
      </c>
      <c r="AS54" t="s">
        <v>464</v>
      </c>
      <c r="AU54" t="s">
        <v>463</v>
      </c>
      <c r="AV54" t="str">
        <f t="shared" si="6"/>
        <v>NatGrdExt_ESP_7</v>
      </c>
      <c r="AW54" t="str">
        <f t="shared" si="16"/>
        <v>Grid Extension -Spain- Step 7</v>
      </c>
      <c r="AX54" t="s">
        <v>13</v>
      </c>
      <c r="AY54" t="s">
        <v>11</v>
      </c>
      <c r="AZ54" t="s">
        <v>464</v>
      </c>
      <c r="BB54" t="s">
        <v>463</v>
      </c>
      <c r="BC54" t="str">
        <f t="shared" si="7"/>
        <v>NatGrdExt_ESP_8</v>
      </c>
      <c r="BD54" t="str">
        <f t="shared" si="17"/>
        <v>Grid Extension -Spain- Step 8</v>
      </c>
      <c r="BE54" t="s">
        <v>13</v>
      </c>
      <c r="BF54" t="s">
        <v>11</v>
      </c>
      <c r="BG54" t="s">
        <v>464</v>
      </c>
      <c r="BI54" t="s">
        <v>463</v>
      </c>
      <c r="BJ54" t="str">
        <f t="shared" si="8"/>
        <v>NatGrdExt_ESP_9</v>
      </c>
      <c r="BK54" t="str">
        <f t="shared" si="18"/>
        <v>Grid Extension -Spain- Step 9</v>
      </c>
      <c r="BL54" t="s">
        <v>13</v>
      </c>
      <c r="BM54" t="s">
        <v>11</v>
      </c>
      <c r="BN54" t="s">
        <v>464</v>
      </c>
      <c r="BP54" t="s">
        <v>463</v>
      </c>
      <c r="BQ54" t="str">
        <f t="shared" si="9"/>
        <v>NatGrdExt_ESP_10</v>
      </c>
      <c r="BR54" t="str">
        <f t="shared" si="19"/>
        <v>Grid Extension -Spain- Step 10</v>
      </c>
      <c r="BS54" t="s">
        <v>13</v>
      </c>
      <c r="BT54" t="s">
        <v>11</v>
      </c>
      <c r="BU54" t="s">
        <v>464</v>
      </c>
    </row>
    <row r="55" spans="1:73">
      <c r="A55" s="5" t="s">
        <v>532</v>
      </c>
      <c r="B55" s="5" t="s">
        <v>533</v>
      </c>
      <c r="E55" t="s">
        <v>463</v>
      </c>
      <c r="F55" t="str">
        <f t="shared" si="0"/>
        <v>NatGrdExt_EST_1</v>
      </c>
      <c r="G55" t="str">
        <f t="shared" si="10"/>
        <v>Grid Extension -Estonia- Step 1</v>
      </c>
      <c r="H55" t="s">
        <v>13</v>
      </c>
      <c r="I55" t="s">
        <v>11</v>
      </c>
      <c r="J55" t="s">
        <v>464</v>
      </c>
      <c r="L55" t="s">
        <v>463</v>
      </c>
      <c r="M55" t="str">
        <f t="shared" si="1"/>
        <v>NatGrdExt_EST_2</v>
      </c>
      <c r="N55" t="str">
        <f t="shared" si="11"/>
        <v>Grid Extension -Estonia- Step 2</v>
      </c>
      <c r="O55" t="s">
        <v>13</v>
      </c>
      <c r="P55" t="s">
        <v>11</v>
      </c>
      <c r="Q55" t="s">
        <v>464</v>
      </c>
      <c r="S55" t="s">
        <v>463</v>
      </c>
      <c r="T55" t="str">
        <f t="shared" si="2"/>
        <v>NatGrdExt_EST_3</v>
      </c>
      <c r="U55" t="str">
        <f t="shared" si="12"/>
        <v>Grid Extension -Estonia- Step 3</v>
      </c>
      <c r="V55" t="s">
        <v>13</v>
      </c>
      <c r="W55" t="s">
        <v>11</v>
      </c>
      <c r="X55" t="s">
        <v>464</v>
      </c>
      <c r="Z55" t="s">
        <v>463</v>
      </c>
      <c r="AA55" t="str">
        <f t="shared" si="3"/>
        <v>NatGrdExt_EST_4</v>
      </c>
      <c r="AB55" t="str">
        <f t="shared" si="13"/>
        <v>Grid Extension -Estonia- Step 4</v>
      </c>
      <c r="AC55" t="s">
        <v>13</v>
      </c>
      <c r="AD55" t="s">
        <v>11</v>
      </c>
      <c r="AE55" t="s">
        <v>464</v>
      </c>
      <c r="AG55" t="s">
        <v>463</v>
      </c>
      <c r="AH55" t="str">
        <f t="shared" si="4"/>
        <v>NatGrdExt_EST_5</v>
      </c>
      <c r="AI55" t="str">
        <f t="shared" si="14"/>
        <v>Grid Extension -Estonia- Step 5</v>
      </c>
      <c r="AJ55" t="s">
        <v>13</v>
      </c>
      <c r="AK55" t="s">
        <v>11</v>
      </c>
      <c r="AL55" t="s">
        <v>464</v>
      </c>
      <c r="AN55" t="s">
        <v>463</v>
      </c>
      <c r="AO55" t="str">
        <f t="shared" si="5"/>
        <v>NatGrdExt_EST_6</v>
      </c>
      <c r="AP55" t="str">
        <f t="shared" si="15"/>
        <v>Grid Extension -Estonia- Step 6</v>
      </c>
      <c r="AQ55" t="s">
        <v>13</v>
      </c>
      <c r="AR55" t="s">
        <v>11</v>
      </c>
      <c r="AS55" t="s">
        <v>464</v>
      </c>
      <c r="AU55" t="s">
        <v>463</v>
      </c>
      <c r="AV55" t="str">
        <f t="shared" si="6"/>
        <v>NatGrdExt_EST_7</v>
      </c>
      <c r="AW55" t="str">
        <f t="shared" si="16"/>
        <v>Grid Extension -Estonia- Step 7</v>
      </c>
      <c r="AX55" t="s">
        <v>13</v>
      </c>
      <c r="AY55" t="s">
        <v>11</v>
      </c>
      <c r="AZ55" t="s">
        <v>464</v>
      </c>
      <c r="BB55" t="s">
        <v>463</v>
      </c>
      <c r="BC55" t="str">
        <f t="shared" si="7"/>
        <v>NatGrdExt_EST_8</v>
      </c>
      <c r="BD55" t="str">
        <f t="shared" si="17"/>
        <v>Grid Extension -Estonia- Step 8</v>
      </c>
      <c r="BE55" t="s">
        <v>13</v>
      </c>
      <c r="BF55" t="s">
        <v>11</v>
      </c>
      <c r="BG55" t="s">
        <v>464</v>
      </c>
      <c r="BI55" t="s">
        <v>463</v>
      </c>
      <c r="BJ55" t="str">
        <f t="shared" si="8"/>
        <v>NatGrdExt_EST_9</v>
      </c>
      <c r="BK55" t="str">
        <f t="shared" si="18"/>
        <v>Grid Extension -Estonia- Step 9</v>
      </c>
      <c r="BL55" t="s">
        <v>13</v>
      </c>
      <c r="BM55" t="s">
        <v>11</v>
      </c>
      <c r="BN55" t="s">
        <v>464</v>
      </c>
      <c r="BP55" t="s">
        <v>463</v>
      </c>
      <c r="BQ55" t="str">
        <f t="shared" si="9"/>
        <v>NatGrdExt_EST_10</v>
      </c>
      <c r="BR55" t="str">
        <f t="shared" si="19"/>
        <v>Grid Extension -Estonia- Step 10</v>
      </c>
      <c r="BS55" t="s">
        <v>13</v>
      </c>
      <c r="BT55" t="s">
        <v>11</v>
      </c>
      <c r="BU55" t="s">
        <v>464</v>
      </c>
    </row>
    <row r="56" spans="1:73">
      <c r="A56" s="5" t="s">
        <v>32</v>
      </c>
      <c r="B56" s="5" t="s">
        <v>94</v>
      </c>
      <c r="E56" t="s">
        <v>463</v>
      </c>
      <c r="F56" t="str">
        <f t="shared" si="0"/>
        <v>NatGrdExt_ETH_1</v>
      </c>
      <c r="G56" t="str">
        <f t="shared" si="10"/>
        <v>Grid Extension -Ethiopia- Step 1</v>
      </c>
      <c r="H56" t="s">
        <v>13</v>
      </c>
      <c r="I56" t="s">
        <v>11</v>
      </c>
      <c r="J56" t="s">
        <v>464</v>
      </c>
      <c r="L56" t="s">
        <v>463</v>
      </c>
      <c r="M56" t="str">
        <f t="shared" si="1"/>
        <v>NatGrdExt_ETH_2</v>
      </c>
      <c r="N56" t="str">
        <f t="shared" si="11"/>
        <v>Grid Extension -Ethiopia- Step 2</v>
      </c>
      <c r="O56" t="s">
        <v>13</v>
      </c>
      <c r="P56" t="s">
        <v>11</v>
      </c>
      <c r="Q56" t="s">
        <v>464</v>
      </c>
      <c r="S56" t="s">
        <v>463</v>
      </c>
      <c r="T56" t="str">
        <f t="shared" si="2"/>
        <v>NatGrdExt_ETH_3</v>
      </c>
      <c r="U56" t="str">
        <f t="shared" si="12"/>
        <v>Grid Extension -Ethiopia- Step 3</v>
      </c>
      <c r="V56" t="s">
        <v>13</v>
      </c>
      <c r="W56" t="s">
        <v>11</v>
      </c>
      <c r="X56" t="s">
        <v>464</v>
      </c>
      <c r="Z56" t="s">
        <v>463</v>
      </c>
      <c r="AA56" t="str">
        <f t="shared" si="3"/>
        <v>NatGrdExt_ETH_4</v>
      </c>
      <c r="AB56" t="str">
        <f t="shared" si="13"/>
        <v>Grid Extension -Ethiopia- Step 4</v>
      </c>
      <c r="AC56" t="s">
        <v>13</v>
      </c>
      <c r="AD56" t="s">
        <v>11</v>
      </c>
      <c r="AE56" t="s">
        <v>464</v>
      </c>
      <c r="AG56" t="s">
        <v>463</v>
      </c>
      <c r="AH56" t="str">
        <f t="shared" si="4"/>
        <v>NatGrdExt_ETH_5</v>
      </c>
      <c r="AI56" t="str">
        <f t="shared" si="14"/>
        <v>Grid Extension -Ethiopia- Step 5</v>
      </c>
      <c r="AJ56" t="s">
        <v>13</v>
      </c>
      <c r="AK56" t="s">
        <v>11</v>
      </c>
      <c r="AL56" t="s">
        <v>464</v>
      </c>
      <c r="AN56" t="s">
        <v>463</v>
      </c>
      <c r="AO56" t="str">
        <f t="shared" si="5"/>
        <v>NatGrdExt_ETH_6</v>
      </c>
      <c r="AP56" t="str">
        <f t="shared" si="15"/>
        <v>Grid Extension -Ethiopia- Step 6</v>
      </c>
      <c r="AQ56" t="s">
        <v>13</v>
      </c>
      <c r="AR56" t="s">
        <v>11</v>
      </c>
      <c r="AS56" t="s">
        <v>464</v>
      </c>
      <c r="AU56" t="s">
        <v>463</v>
      </c>
      <c r="AV56" t="str">
        <f t="shared" si="6"/>
        <v>NatGrdExt_ETH_7</v>
      </c>
      <c r="AW56" t="str">
        <f t="shared" si="16"/>
        <v>Grid Extension -Ethiopia- Step 7</v>
      </c>
      <c r="AX56" t="s">
        <v>13</v>
      </c>
      <c r="AY56" t="s">
        <v>11</v>
      </c>
      <c r="AZ56" t="s">
        <v>464</v>
      </c>
      <c r="BB56" t="s">
        <v>463</v>
      </c>
      <c r="BC56" t="str">
        <f t="shared" si="7"/>
        <v>NatGrdExt_ETH_8</v>
      </c>
      <c r="BD56" t="str">
        <f t="shared" si="17"/>
        <v>Grid Extension -Ethiopia- Step 8</v>
      </c>
      <c r="BE56" t="s">
        <v>13</v>
      </c>
      <c r="BF56" t="s">
        <v>11</v>
      </c>
      <c r="BG56" t="s">
        <v>464</v>
      </c>
      <c r="BI56" t="s">
        <v>463</v>
      </c>
      <c r="BJ56" t="str">
        <f t="shared" si="8"/>
        <v>NatGrdExt_ETH_9</v>
      </c>
      <c r="BK56" t="str">
        <f t="shared" si="18"/>
        <v>Grid Extension -Ethiopia- Step 9</v>
      </c>
      <c r="BL56" t="s">
        <v>13</v>
      </c>
      <c r="BM56" t="s">
        <v>11</v>
      </c>
      <c r="BN56" t="s">
        <v>464</v>
      </c>
      <c r="BP56" t="s">
        <v>463</v>
      </c>
      <c r="BQ56" t="str">
        <f t="shared" si="9"/>
        <v>NatGrdExt_ETH_10</v>
      </c>
      <c r="BR56" t="str">
        <f t="shared" si="19"/>
        <v>Grid Extension -Ethiopia- Step 10</v>
      </c>
      <c r="BS56" t="s">
        <v>13</v>
      </c>
      <c r="BT56" t="s">
        <v>11</v>
      </c>
      <c r="BU56" t="s">
        <v>464</v>
      </c>
    </row>
    <row r="57" spans="1:73">
      <c r="A57" s="5" t="s">
        <v>534</v>
      </c>
      <c r="B57" s="5" t="s">
        <v>535</v>
      </c>
      <c r="E57" t="s">
        <v>463</v>
      </c>
      <c r="F57" t="str">
        <f t="shared" si="0"/>
        <v>NatGrdExt_FIN_1</v>
      </c>
      <c r="G57" t="str">
        <f t="shared" si="10"/>
        <v>Grid Extension -Finland- Step 1</v>
      </c>
      <c r="H57" t="s">
        <v>13</v>
      </c>
      <c r="I57" t="s">
        <v>11</v>
      </c>
      <c r="J57" t="s">
        <v>464</v>
      </c>
      <c r="L57" t="s">
        <v>463</v>
      </c>
      <c r="M57" t="str">
        <f t="shared" si="1"/>
        <v>NatGrdExt_FIN_2</v>
      </c>
      <c r="N57" t="str">
        <f t="shared" si="11"/>
        <v>Grid Extension -Finland- Step 2</v>
      </c>
      <c r="O57" t="s">
        <v>13</v>
      </c>
      <c r="P57" t="s">
        <v>11</v>
      </c>
      <c r="Q57" t="s">
        <v>464</v>
      </c>
      <c r="S57" t="s">
        <v>463</v>
      </c>
      <c r="T57" t="str">
        <f t="shared" si="2"/>
        <v>NatGrdExt_FIN_3</v>
      </c>
      <c r="U57" t="str">
        <f t="shared" si="12"/>
        <v>Grid Extension -Finland- Step 3</v>
      </c>
      <c r="V57" t="s">
        <v>13</v>
      </c>
      <c r="W57" t="s">
        <v>11</v>
      </c>
      <c r="X57" t="s">
        <v>464</v>
      </c>
      <c r="Z57" t="s">
        <v>463</v>
      </c>
      <c r="AA57" t="str">
        <f t="shared" si="3"/>
        <v>NatGrdExt_FIN_4</v>
      </c>
      <c r="AB57" t="str">
        <f t="shared" si="13"/>
        <v>Grid Extension -Finland- Step 4</v>
      </c>
      <c r="AC57" t="s">
        <v>13</v>
      </c>
      <c r="AD57" t="s">
        <v>11</v>
      </c>
      <c r="AE57" t="s">
        <v>464</v>
      </c>
      <c r="AG57" t="s">
        <v>463</v>
      </c>
      <c r="AH57" t="str">
        <f t="shared" si="4"/>
        <v>NatGrdExt_FIN_5</v>
      </c>
      <c r="AI57" t="str">
        <f t="shared" si="14"/>
        <v>Grid Extension -Finland- Step 5</v>
      </c>
      <c r="AJ57" t="s">
        <v>13</v>
      </c>
      <c r="AK57" t="s">
        <v>11</v>
      </c>
      <c r="AL57" t="s">
        <v>464</v>
      </c>
      <c r="AN57" t="s">
        <v>463</v>
      </c>
      <c r="AO57" t="str">
        <f t="shared" si="5"/>
        <v>NatGrdExt_FIN_6</v>
      </c>
      <c r="AP57" t="str">
        <f t="shared" si="15"/>
        <v>Grid Extension -Finland- Step 6</v>
      </c>
      <c r="AQ57" t="s">
        <v>13</v>
      </c>
      <c r="AR57" t="s">
        <v>11</v>
      </c>
      <c r="AS57" t="s">
        <v>464</v>
      </c>
      <c r="AU57" t="s">
        <v>463</v>
      </c>
      <c r="AV57" t="str">
        <f t="shared" si="6"/>
        <v>NatGrdExt_FIN_7</v>
      </c>
      <c r="AW57" t="str">
        <f t="shared" si="16"/>
        <v>Grid Extension -Finland- Step 7</v>
      </c>
      <c r="AX57" t="s">
        <v>13</v>
      </c>
      <c r="AY57" t="s">
        <v>11</v>
      </c>
      <c r="AZ57" t="s">
        <v>464</v>
      </c>
      <c r="BB57" t="s">
        <v>463</v>
      </c>
      <c r="BC57" t="str">
        <f t="shared" si="7"/>
        <v>NatGrdExt_FIN_8</v>
      </c>
      <c r="BD57" t="str">
        <f t="shared" si="17"/>
        <v>Grid Extension -Finland- Step 8</v>
      </c>
      <c r="BE57" t="s">
        <v>13</v>
      </c>
      <c r="BF57" t="s">
        <v>11</v>
      </c>
      <c r="BG57" t="s">
        <v>464</v>
      </c>
      <c r="BI57" t="s">
        <v>463</v>
      </c>
      <c r="BJ57" t="str">
        <f t="shared" si="8"/>
        <v>NatGrdExt_FIN_9</v>
      </c>
      <c r="BK57" t="str">
        <f t="shared" si="18"/>
        <v>Grid Extension -Finland- Step 9</v>
      </c>
      <c r="BL57" t="s">
        <v>13</v>
      </c>
      <c r="BM57" t="s">
        <v>11</v>
      </c>
      <c r="BN57" t="s">
        <v>464</v>
      </c>
      <c r="BP57" t="s">
        <v>463</v>
      </c>
      <c r="BQ57" t="str">
        <f t="shared" si="9"/>
        <v>NatGrdExt_FIN_10</v>
      </c>
      <c r="BR57" t="str">
        <f t="shared" si="19"/>
        <v>Grid Extension -Finland- Step 10</v>
      </c>
      <c r="BS57" t="s">
        <v>13</v>
      </c>
      <c r="BT57" t="s">
        <v>11</v>
      </c>
      <c r="BU57" t="s">
        <v>464</v>
      </c>
    </row>
    <row r="58" spans="1:73">
      <c r="A58" s="5" t="s">
        <v>536</v>
      </c>
      <c r="B58" s="5" t="s">
        <v>537</v>
      </c>
      <c r="E58" t="s">
        <v>463</v>
      </c>
      <c r="F58" t="str">
        <f t="shared" si="0"/>
        <v>NatGrdExt_FRA_1</v>
      </c>
      <c r="G58" t="str">
        <f t="shared" si="10"/>
        <v>Grid Extension -France- Step 1</v>
      </c>
      <c r="H58" t="s">
        <v>13</v>
      </c>
      <c r="I58" t="s">
        <v>11</v>
      </c>
      <c r="J58" t="s">
        <v>464</v>
      </c>
      <c r="L58" t="s">
        <v>463</v>
      </c>
      <c r="M58" t="str">
        <f t="shared" si="1"/>
        <v>NatGrdExt_FRA_2</v>
      </c>
      <c r="N58" t="str">
        <f t="shared" si="11"/>
        <v>Grid Extension -France- Step 2</v>
      </c>
      <c r="O58" t="s">
        <v>13</v>
      </c>
      <c r="P58" t="s">
        <v>11</v>
      </c>
      <c r="Q58" t="s">
        <v>464</v>
      </c>
      <c r="S58" t="s">
        <v>463</v>
      </c>
      <c r="T58" t="str">
        <f t="shared" si="2"/>
        <v>NatGrdExt_FRA_3</v>
      </c>
      <c r="U58" t="str">
        <f t="shared" si="12"/>
        <v>Grid Extension -France- Step 3</v>
      </c>
      <c r="V58" t="s">
        <v>13</v>
      </c>
      <c r="W58" t="s">
        <v>11</v>
      </c>
      <c r="X58" t="s">
        <v>464</v>
      </c>
      <c r="Z58" t="s">
        <v>463</v>
      </c>
      <c r="AA58" t="str">
        <f t="shared" si="3"/>
        <v>NatGrdExt_FRA_4</v>
      </c>
      <c r="AB58" t="str">
        <f t="shared" si="13"/>
        <v>Grid Extension -France- Step 4</v>
      </c>
      <c r="AC58" t="s">
        <v>13</v>
      </c>
      <c r="AD58" t="s">
        <v>11</v>
      </c>
      <c r="AE58" t="s">
        <v>464</v>
      </c>
      <c r="AG58" t="s">
        <v>463</v>
      </c>
      <c r="AH58" t="str">
        <f t="shared" si="4"/>
        <v>NatGrdExt_FRA_5</v>
      </c>
      <c r="AI58" t="str">
        <f t="shared" si="14"/>
        <v>Grid Extension -France- Step 5</v>
      </c>
      <c r="AJ58" t="s">
        <v>13</v>
      </c>
      <c r="AK58" t="s">
        <v>11</v>
      </c>
      <c r="AL58" t="s">
        <v>464</v>
      </c>
      <c r="AN58" t="s">
        <v>463</v>
      </c>
      <c r="AO58" t="str">
        <f t="shared" si="5"/>
        <v>NatGrdExt_FRA_6</v>
      </c>
      <c r="AP58" t="str">
        <f t="shared" si="15"/>
        <v>Grid Extension -France- Step 6</v>
      </c>
      <c r="AQ58" t="s">
        <v>13</v>
      </c>
      <c r="AR58" t="s">
        <v>11</v>
      </c>
      <c r="AS58" t="s">
        <v>464</v>
      </c>
      <c r="AU58" t="s">
        <v>463</v>
      </c>
      <c r="AV58" t="str">
        <f t="shared" si="6"/>
        <v>NatGrdExt_FRA_7</v>
      </c>
      <c r="AW58" t="str">
        <f t="shared" si="16"/>
        <v>Grid Extension -France- Step 7</v>
      </c>
      <c r="AX58" t="s">
        <v>13</v>
      </c>
      <c r="AY58" t="s">
        <v>11</v>
      </c>
      <c r="AZ58" t="s">
        <v>464</v>
      </c>
      <c r="BB58" t="s">
        <v>463</v>
      </c>
      <c r="BC58" t="str">
        <f t="shared" si="7"/>
        <v>NatGrdExt_FRA_8</v>
      </c>
      <c r="BD58" t="str">
        <f t="shared" si="17"/>
        <v>Grid Extension -France- Step 8</v>
      </c>
      <c r="BE58" t="s">
        <v>13</v>
      </c>
      <c r="BF58" t="s">
        <v>11</v>
      </c>
      <c r="BG58" t="s">
        <v>464</v>
      </c>
      <c r="BI58" t="s">
        <v>463</v>
      </c>
      <c r="BJ58" t="str">
        <f t="shared" si="8"/>
        <v>NatGrdExt_FRA_9</v>
      </c>
      <c r="BK58" t="str">
        <f t="shared" si="18"/>
        <v>Grid Extension -France- Step 9</v>
      </c>
      <c r="BL58" t="s">
        <v>13</v>
      </c>
      <c r="BM58" t="s">
        <v>11</v>
      </c>
      <c r="BN58" t="s">
        <v>464</v>
      </c>
      <c r="BP58" t="s">
        <v>463</v>
      </c>
      <c r="BQ58" t="str">
        <f t="shared" si="9"/>
        <v>NatGrdExt_FRA_10</v>
      </c>
      <c r="BR58" t="str">
        <f t="shared" si="19"/>
        <v>Grid Extension -France- Step 10</v>
      </c>
      <c r="BS58" t="s">
        <v>13</v>
      </c>
      <c r="BT58" t="s">
        <v>11</v>
      </c>
      <c r="BU58" t="s">
        <v>464</v>
      </c>
    </row>
    <row r="59" spans="1:73">
      <c r="A59" s="5" t="s">
        <v>33</v>
      </c>
      <c r="B59" s="5" t="s">
        <v>95</v>
      </c>
      <c r="E59" t="s">
        <v>463</v>
      </c>
      <c r="F59" t="str">
        <f t="shared" si="0"/>
        <v>NatGrdExt_GAB_1</v>
      </c>
      <c r="G59" t="str">
        <f t="shared" si="10"/>
        <v>Grid Extension -Gabon- Step 1</v>
      </c>
      <c r="H59" t="s">
        <v>13</v>
      </c>
      <c r="I59" t="s">
        <v>11</v>
      </c>
      <c r="J59" t="s">
        <v>464</v>
      </c>
      <c r="L59" t="s">
        <v>463</v>
      </c>
      <c r="M59" t="str">
        <f t="shared" si="1"/>
        <v>NatGrdExt_GAB_2</v>
      </c>
      <c r="N59" t="str">
        <f t="shared" si="11"/>
        <v>Grid Extension -Gabon- Step 2</v>
      </c>
      <c r="O59" t="s">
        <v>13</v>
      </c>
      <c r="P59" t="s">
        <v>11</v>
      </c>
      <c r="Q59" t="s">
        <v>464</v>
      </c>
      <c r="S59" t="s">
        <v>463</v>
      </c>
      <c r="T59" t="str">
        <f t="shared" si="2"/>
        <v>NatGrdExt_GAB_3</v>
      </c>
      <c r="U59" t="str">
        <f t="shared" si="12"/>
        <v>Grid Extension -Gabon- Step 3</v>
      </c>
      <c r="V59" t="s">
        <v>13</v>
      </c>
      <c r="W59" t="s">
        <v>11</v>
      </c>
      <c r="X59" t="s">
        <v>464</v>
      </c>
      <c r="Z59" t="s">
        <v>463</v>
      </c>
      <c r="AA59" t="str">
        <f t="shared" si="3"/>
        <v>NatGrdExt_GAB_4</v>
      </c>
      <c r="AB59" t="str">
        <f t="shared" si="13"/>
        <v>Grid Extension -Gabon- Step 4</v>
      </c>
      <c r="AC59" t="s">
        <v>13</v>
      </c>
      <c r="AD59" t="s">
        <v>11</v>
      </c>
      <c r="AE59" t="s">
        <v>464</v>
      </c>
      <c r="AG59" t="s">
        <v>463</v>
      </c>
      <c r="AH59" t="str">
        <f t="shared" si="4"/>
        <v>NatGrdExt_GAB_5</v>
      </c>
      <c r="AI59" t="str">
        <f t="shared" si="14"/>
        <v>Grid Extension -Gabon- Step 5</v>
      </c>
      <c r="AJ59" t="s">
        <v>13</v>
      </c>
      <c r="AK59" t="s">
        <v>11</v>
      </c>
      <c r="AL59" t="s">
        <v>464</v>
      </c>
      <c r="AN59" t="s">
        <v>463</v>
      </c>
      <c r="AO59" t="str">
        <f t="shared" si="5"/>
        <v>NatGrdExt_GAB_6</v>
      </c>
      <c r="AP59" t="str">
        <f t="shared" si="15"/>
        <v>Grid Extension -Gabon- Step 6</v>
      </c>
      <c r="AQ59" t="s">
        <v>13</v>
      </c>
      <c r="AR59" t="s">
        <v>11</v>
      </c>
      <c r="AS59" t="s">
        <v>464</v>
      </c>
      <c r="AU59" t="s">
        <v>463</v>
      </c>
      <c r="AV59" t="str">
        <f t="shared" si="6"/>
        <v>NatGrdExt_GAB_7</v>
      </c>
      <c r="AW59" t="str">
        <f t="shared" si="16"/>
        <v>Grid Extension -Gabon- Step 7</v>
      </c>
      <c r="AX59" t="s">
        <v>13</v>
      </c>
      <c r="AY59" t="s">
        <v>11</v>
      </c>
      <c r="AZ59" t="s">
        <v>464</v>
      </c>
      <c r="BB59" t="s">
        <v>463</v>
      </c>
      <c r="BC59" t="str">
        <f t="shared" si="7"/>
        <v>NatGrdExt_GAB_8</v>
      </c>
      <c r="BD59" t="str">
        <f t="shared" si="17"/>
        <v>Grid Extension -Gabon- Step 8</v>
      </c>
      <c r="BE59" t="s">
        <v>13</v>
      </c>
      <c r="BF59" t="s">
        <v>11</v>
      </c>
      <c r="BG59" t="s">
        <v>464</v>
      </c>
      <c r="BI59" t="s">
        <v>463</v>
      </c>
      <c r="BJ59" t="str">
        <f t="shared" si="8"/>
        <v>NatGrdExt_GAB_9</v>
      </c>
      <c r="BK59" t="str">
        <f t="shared" si="18"/>
        <v>Grid Extension -Gabon- Step 9</v>
      </c>
      <c r="BL59" t="s">
        <v>13</v>
      </c>
      <c r="BM59" t="s">
        <v>11</v>
      </c>
      <c r="BN59" t="s">
        <v>464</v>
      </c>
      <c r="BP59" t="s">
        <v>463</v>
      </c>
      <c r="BQ59" t="str">
        <f t="shared" si="9"/>
        <v>NatGrdExt_GAB_10</v>
      </c>
      <c r="BR59" t="str">
        <f t="shared" si="19"/>
        <v>Grid Extension -Gabon- Step 10</v>
      </c>
      <c r="BS59" t="s">
        <v>13</v>
      </c>
      <c r="BT59" t="s">
        <v>11</v>
      </c>
      <c r="BU59" t="s">
        <v>464</v>
      </c>
    </row>
    <row r="60" spans="1:73">
      <c r="A60" s="5" t="s">
        <v>538</v>
      </c>
      <c r="B60" s="5" t="s">
        <v>539</v>
      </c>
      <c r="E60" t="s">
        <v>463</v>
      </c>
      <c r="F60" t="str">
        <f t="shared" si="0"/>
        <v>NatGrdExt_GBR_1</v>
      </c>
      <c r="G60" t="str">
        <f t="shared" si="10"/>
        <v>Grid Extension -United Kingdom- Step 1</v>
      </c>
      <c r="H60" t="s">
        <v>13</v>
      </c>
      <c r="I60" t="s">
        <v>11</v>
      </c>
      <c r="J60" t="s">
        <v>464</v>
      </c>
      <c r="L60" t="s">
        <v>463</v>
      </c>
      <c r="M60" t="str">
        <f t="shared" si="1"/>
        <v>NatGrdExt_GBR_2</v>
      </c>
      <c r="N60" t="str">
        <f t="shared" si="11"/>
        <v>Grid Extension -United Kingdom- Step 2</v>
      </c>
      <c r="O60" t="s">
        <v>13</v>
      </c>
      <c r="P60" t="s">
        <v>11</v>
      </c>
      <c r="Q60" t="s">
        <v>464</v>
      </c>
      <c r="S60" t="s">
        <v>463</v>
      </c>
      <c r="T60" t="str">
        <f t="shared" si="2"/>
        <v>NatGrdExt_GBR_3</v>
      </c>
      <c r="U60" t="str">
        <f t="shared" si="12"/>
        <v>Grid Extension -United Kingdom- Step 3</v>
      </c>
      <c r="V60" t="s">
        <v>13</v>
      </c>
      <c r="W60" t="s">
        <v>11</v>
      </c>
      <c r="X60" t="s">
        <v>464</v>
      </c>
      <c r="Z60" t="s">
        <v>463</v>
      </c>
      <c r="AA60" t="str">
        <f t="shared" si="3"/>
        <v>NatGrdExt_GBR_4</v>
      </c>
      <c r="AB60" t="str">
        <f t="shared" si="13"/>
        <v>Grid Extension -United Kingdom- Step 4</v>
      </c>
      <c r="AC60" t="s">
        <v>13</v>
      </c>
      <c r="AD60" t="s">
        <v>11</v>
      </c>
      <c r="AE60" t="s">
        <v>464</v>
      </c>
      <c r="AG60" t="s">
        <v>463</v>
      </c>
      <c r="AH60" t="str">
        <f t="shared" si="4"/>
        <v>NatGrdExt_GBR_5</v>
      </c>
      <c r="AI60" t="str">
        <f t="shared" si="14"/>
        <v>Grid Extension -United Kingdom- Step 5</v>
      </c>
      <c r="AJ60" t="s">
        <v>13</v>
      </c>
      <c r="AK60" t="s">
        <v>11</v>
      </c>
      <c r="AL60" t="s">
        <v>464</v>
      </c>
      <c r="AN60" t="s">
        <v>463</v>
      </c>
      <c r="AO60" t="str">
        <f t="shared" si="5"/>
        <v>NatGrdExt_GBR_6</v>
      </c>
      <c r="AP60" t="str">
        <f t="shared" si="15"/>
        <v>Grid Extension -United Kingdom- Step 6</v>
      </c>
      <c r="AQ60" t="s">
        <v>13</v>
      </c>
      <c r="AR60" t="s">
        <v>11</v>
      </c>
      <c r="AS60" t="s">
        <v>464</v>
      </c>
      <c r="AU60" t="s">
        <v>463</v>
      </c>
      <c r="AV60" t="str">
        <f t="shared" si="6"/>
        <v>NatGrdExt_GBR_7</v>
      </c>
      <c r="AW60" t="str">
        <f t="shared" si="16"/>
        <v>Grid Extension -United Kingdom- Step 7</v>
      </c>
      <c r="AX60" t="s">
        <v>13</v>
      </c>
      <c r="AY60" t="s">
        <v>11</v>
      </c>
      <c r="AZ60" t="s">
        <v>464</v>
      </c>
      <c r="BB60" t="s">
        <v>463</v>
      </c>
      <c r="BC60" t="str">
        <f t="shared" si="7"/>
        <v>NatGrdExt_GBR_8</v>
      </c>
      <c r="BD60" t="str">
        <f t="shared" si="17"/>
        <v>Grid Extension -United Kingdom- Step 8</v>
      </c>
      <c r="BE60" t="s">
        <v>13</v>
      </c>
      <c r="BF60" t="s">
        <v>11</v>
      </c>
      <c r="BG60" t="s">
        <v>464</v>
      </c>
      <c r="BI60" t="s">
        <v>463</v>
      </c>
      <c r="BJ60" t="str">
        <f t="shared" si="8"/>
        <v>NatGrdExt_GBR_9</v>
      </c>
      <c r="BK60" t="str">
        <f t="shared" si="18"/>
        <v>Grid Extension -United Kingdom- Step 9</v>
      </c>
      <c r="BL60" t="s">
        <v>13</v>
      </c>
      <c r="BM60" t="s">
        <v>11</v>
      </c>
      <c r="BN60" t="s">
        <v>464</v>
      </c>
      <c r="BP60" t="s">
        <v>463</v>
      </c>
      <c r="BQ60" t="str">
        <f t="shared" si="9"/>
        <v>NatGrdExt_GBR_10</v>
      </c>
      <c r="BR60" t="str">
        <f t="shared" si="19"/>
        <v>Grid Extension -United Kingdom- Step 10</v>
      </c>
      <c r="BS60" t="s">
        <v>13</v>
      </c>
      <c r="BT60" t="s">
        <v>11</v>
      </c>
      <c r="BU60" t="s">
        <v>464</v>
      </c>
    </row>
    <row r="61" spans="1:73">
      <c r="A61" s="5" t="s">
        <v>540</v>
      </c>
      <c r="B61" s="5" t="s">
        <v>541</v>
      </c>
      <c r="E61" t="s">
        <v>463</v>
      </c>
      <c r="F61" t="str">
        <f t="shared" si="0"/>
        <v>NatGrdExt_GEO_1</v>
      </c>
      <c r="G61" t="str">
        <f t="shared" si="10"/>
        <v>Grid Extension -Georgia- Step 1</v>
      </c>
      <c r="H61" t="s">
        <v>13</v>
      </c>
      <c r="I61" t="s">
        <v>11</v>
      </c>
      <c r="J61" t="s">
        <v>464</v>
      </c>
      <c r="L61" t="s">
        <v>463</v>
      </c>
      <c r="M61" t="str">
        <f t="shared" si="1"/>
        <v>NatGrdExt_GEO_2</v>
      </c>
      <c r="N61" t="str">
        <f t="shared" si="11"/>
        <v>Grid Extension -Georgia- Step 2</v>
      </c>
      <c r="O61" t="s">
        <v>13</v>
      </c>
      <c r="P61" t="s">
        <v>11</v>
      </c>
      <c r="Q61" t="s">
        <v>464</v>
      </c>
      <c r="S61" t="s">
        <v>463</v>
      </c>
      <c r="T61" t="str">
        <f t="shared" si="2"/>
        <v>NatGrdExt_GEO_3</v>
      </c>
      <c r="U61" t="str">
        <f t="shared" si="12"/>
        <v>Grid Extension -Georgia- Step 3</v>
      </c>
      <c r="V61" t="s">
        <v>13</v>
      </c>
      <c r="W61" t="s">
        <v>11</v>
      </c>
      <c r="X61" t="s">
        <v>464</v>
      </c>
      <c r="Z61" t="s">
        <v>463</v>
      </c>
      <c r="AA61" t="str">
        <f t="shared" si="3"/>
        <v>NatGrdExt_GEO_4</v>
      </c>
      <c r="AB61" t="str">
        <f t="shared" si="13"/>
        <v>Grid Extension -Georgia- Step 4</v>
      </c>
      <c r="AC61" t="s">
        <v>13</v>
      </c>
      <c r="AD61" t="s">
        <v>11</v>
      </c>
      <c r="AE61" t="s">
        <v>464</v>
      </c>
      <c r="AG61" t="s">
        <v>463</v>
      </c>
      <c r="AH61" t="str">
        <f t="shared" si="4"/>
        <v>NatGrdExt_GEO_5</v>
      </c>
      <c r="AI61" t="str">
        <f t="shared" si="14"/>
        <v>Grid Extension -Georgia- Step 5</v>
      </c>
      <c r="AJ61" t="s">
        <v>13</v>
      </c>
      <c r="AK61" t="s">
        <v>11</v>
      </c>
      <c r="AL61" t="s">
        <v>464</v>
      </c>
      <c r="AN61" t="s">
        <v>463</v>
      </c>
      <c r="AO61" t="str">
        <f t="shared" si="5"/>
        <v>NatGrdExt_GEO_6</v>
      </c>
      <c r="AP61" t="str">
        <f t="shared" si="15"/>
        <v>Grid Extension -Georgia- Step 6</v>
      </c>
      <c r="AQ61" t="s">
        <v>13</v>
      </c>
      <c r="AR61" t="s">
        <v>11</v>
      </c>
      <c r="AS61" t="s">
        <v>464</v>
      </c>
      <c r="AU61" t="s">
        <v>463</v>
      </c>
      <c r="AV61" t="str">
        <f t="shared" si="6"/>
        <v>NatGrdExt_GEO_7</v>
      </c>
      <c r="AW61" t="str">
        <f t="shared" si="16"/>
        <v>Grid Extension -Georgia- Step 7</v>
      </c>
      <c r="AX61" t="s">
        <v>13</v>
      </c>
      <c r="AY61" t="s">
        <v>11</v>
      </c>
      <c r="AZ61" t="s">
        <v>464</v>
      </c>
      <c r="BB61" t="s">
        <v>463</v>
      </c>
      <c r="BC61" t="str">
        <f t="shared" si="7"/>
        <v>NatGrdExt_GEO_8</v>
      </c>
      <c r="BD61" t="str">
        <f t="shared" si="17"/>
        <v>Grid Extension -Georgia- Step 8</v>
      </c>
      <c r="BE61" t="s">
        <v>13</v>
      </c>
      <c r="BF61" t="s">
        <v>11</v>
      </c>
      <c r="BG61" t="s">
        <v>464</v>
      </c>
      <c r="BI61" t="s">
        <v>463</v>
      </c>
      <c r="BJ61" t="str">
        <f t="shared" si="8"/>
        <v>NatGrdExt_GEO_9</v>
      </c>
      <c r="BK61" t="str">
        <f t="shared" si="18"/>
        <v>Grid Extension -Georgia- Step 9</v>
      </c>
      <c r="BL61" t="s">
        <v>13</v>
      </c>
      <c r="BM61" t="s">
        <v>11</v>
      </c>
      <c r="BN61" t="s">
        <v>464</v>
      </c>
      <c r="BP61" t="s">
        <v>463</v>
      </c>
      <c r="BQ61" t="str">
        <f t="shared" si="9"/>
        <v>NatGrdExt_GEO_10</v>
      </c>
      <c r="BR61" t="str">
        <f t="shared" si="19"/>
        <v>Grid Extension -Georgia- Step 10</v>
      </c>
      <c r="BS61" t="s">
        <v>13</v>
      </c>
      <c r="BT61" t="s">
        <v>11</v>
      </c>
      <c r="BU61" t="s">
        <v>464</v>
      </c>
    </row>
    <row r="62" spans="1:73">
      <c r="A62" s="5" t="s">
        <v>542</v>
      </c>
      <c r="B62" s="5" t="s">
        <v>543</v>
      </c>
      <c r="E62" t="s">
        <v>463</v>
      </c>
      <c r="F62" t="str">
        <f t="shared" si="0"/>
        <v>NatGrdExt_GHA_1</v>
      </c>
      <c r="G62" t="str">
        <f t="shared" si="10"/>
        <v>Grid Extension -Ghana- Step 1</v>
      </c>
      <c r="H62" t="s">
        <v>13</v>
      </c>
      <c r="I62" t="s">
        <v>11</v>
      </c>
      <c r="J62" t="s">
        <v>464</v>
      </c>
      <c r="L62" t="s">
        <v>463</v>
      </c>
      <c r="M62" t="str">
        <f t="shared" si="1"/>
        <v>NatGrdExt_GHA_2</v>
      </c>
      <c r="N62" t="str">
        <f t="shared" si="11"/>
        <v>Grid Extension -Ghana- Step 2</v>
      </c>
      <c r="O62" t="s">
        <v>13</v>
      </c>
      <c r="P62" t="s">
        <v>11</v>
      </c>
      <c r="Q62" t="s">
        <v>464</v>
      </c>
      <c r="S62" t="s">
        <v>463</v>
      </c>
      <c r="T62" t="str">
        <f t="shared" si="2"/>
        <v>NatGrdExt_GHA_3</v>
      </c>
      <c r="U62" t="str">
        <f t="shared" si="12"/>
        <v>Grid Extension -Ghana- Step 3</v>
      </c>
      <c r="V62" t="s">
        <v>13</v>
      </c>
      <c r="W62" t="s">
        <v>11</v>
      </c>
      <c r="X62" t="s">
        <v>464</v>
      </c>
      <c r="Z62" t="s">
        <v>463</v>
      </c>
      <c r="AA62" t="str">
        <f t="shared" si="3"/>
        <v>NatGrdExt_GHA_4</v>
      </c>
      <c r="AB62" t="str">
        <f t="shared" si="13"/>
        <v>Grid Extension -Ghana- Step 4</v>
      </c>
      <c r="AC62" t="s">
        <v>13</v>
      </c>
      <c r="AD62" t="s">
        <v>11</v>
      </c>
      <c r="AE62" t="s">
        <v>464</v>
      </c>
      <c r="AG62" t="s">
        <v>463</v>
      </c>
      <c r="AH62" t="str">
        <f t="shared" si="4"/>
        <v>NatGrdExt_GHA_5</v>
      </c>
      <c r="AI62" t="str">
        <f t="shared" si="14"/>
        <v>Grid Extension -Ghana- Step 5</v>
      </c>
      <c r="AJ62" t="s">
        <v>13</v>
      </c>
      <c r="AK62" t="s">
        <v>11</v>
      </c>
      <c r="AL62" t="s">
        <v>464</v>
      </c>
      <c r="AN62" t="s">
        <v>463</v>
      </c>
      <c r="AO62" t="str">
        <f t="shared" si="5"/>
        <v>NatGrdExt_GHA_6</v>
      </c>
      <c r="AP62" t="str">
        <f t="shared" si="15"/>
        <v>Grid Extension -Ghana- Step 6</v>
      </c>
      <c r="AQ62" t="s">
        <v>13</v>
      </c>
      <c r="AR62" t="s">
        <v>11</v>
      </c>
      <c r="AS62" t="s">
        <v>464</v>
      </c>
      <c r="AU62" t="s">
        <v>463</v>
      </c>
      <c r="AV62" t="str">
        <f t="shared" si="6"/>
        <v>NatGrdExt_GHA_7</v>
      </c>
      <c r="AW62" t="str">
        <f t="shared" si="16"/>
        <v>Grid Extension -Ghana- Step 7</v>
      </c>
      <c r="AX62" t="s">
        <v>13</v>
      </c>
      <c r="AY62" t="s">
        <v>11</v>
      </c>
      <c r="AZ62" t="s">
        <v>464</v>
      </c>
      <c r="BB62" t="s">
        <v>463</v>
      </c>
      <c r="BC62" t="str">
        <f t="shared" si="7"/>
        <v>NatGrdExt_GHA_8</v>
      </c>
      <c r="BD62" t="str">
        <f t="shared" si="17"/>
        <v>Grid Extension -Ghana- Step 8</v>
      </c>
      <c r="BE62" t="s">
        <v>13</v>
      </c>
      <c r="BF62" t="s">
        <v>11</v>
      </c>
      <c r="BG62" t="s">
        <v>464</v>
      </c>
      <c r="BI62" t="s">
        <v>463</v>
      </c>
      <c r="BJ62" t="str">
        <f t="shared" si="8"/>
        <v>NatGrdExt_GHA_9</v>
      </c>
      <c r="BK62" t="str">
        <f t="shared" si="18"/>
        <v>Grid Extension -Ghana- Step 9</v>
      </c>
      <c r="BL62" t="s">
        <v>13</v>
      </c>
      <c r="BM62" t="s">
        <v>11</v>
      </c>
      <c r="BN62" t="s">
        <v>464</v>
      </c>
      <c r="BP62" t="s">
        <v>463</v>
      </c>
      <c r="BQ62" t="str">
        <f t="shared" si="9"/>
        <v>NatGrdExt_GHA_10</v>
      </c>
      <c r="BR62" t="str">
        <f t="shared" si="19"/>
        <v>Grid Extension -Ghana- Step 10</v>
      </c>
      <c r="BS62" t="s">
        <v>13</v>
      </c>
      <c r="BT62" t="s">
        <v>11</v>
      </c>
      <c r="BU62" t="s">
        <v>464</v>
      </c>
    </row>
    <row r="63" spans="1:73">
      <c r="A63" s="5" t="s">
        <v>34</v>
      </c>
      <c r="B63" s="5" t="s">
        <v>96</v>
      </c>
      <c r="E63" t="s">
        <v>463</v>
      </c>
      <c r="F63" t="str">
        <f t="shared" si="0"/>
        <v>NatGrdExt_GIN_1</v>
      </c>
      <c r="G63" t="str">
        <f t="shared" si="10"/>
        <v>Grid Extension -Guinea- Step 1</v>
      </c>
      <c r="H63" t="s">
        <v>13</v>
      </c>
      <c r="I63" t="s">
        <v>11</v>
      </c>
      <c r="J63" t="s">
        <v>464</v>
      </c>
      <c r="L63" t="s">
        <v>463</v>
      </c>
      <c r="M63" t="str">
        <f t="shared" si="1"/>
        <v>NatGrdExt_GIN_2</v>
      </c>
      <c r="N63" t="str">
        <f t="shared" si="11"/>
        <v>Grid Extension -Guinea- Step 2</v>
      </c>
      <c r="O63" t="s">
        <v>13</v>
      </c>
      <c r="P63" t="s">
        <v>11</v>
      </c>
      <c r="Q63" t="s">
        <v>464</v>
      </c>
      <c r="S63" t="s">
        <v>463</v>
      </c>
      <c r="T63" t="str">
        <f t="shared" si="2"/>
        <v>NatGrdExt_GIN_3</v>
      </c>
      <c r="U63" t="str">
        <f t="shared" si="12"/>
        <v>Grid Extension -Guinea- Step 3</v>
      </c>
      <c r="V63" t="s">
        <v>13</v>
      </c>
      <c r="W63" t="s">
        <v>11</v>
      </c>
      <c r="X63" t="s">
        <v>464</v>
      </c>
      <c r="Z63" t="s">
        <v>463</v>
      </c>
      <c r="AA63" t="str">
        <f t="shared" si="3"/>
        <v>NatGrdExt_GIN_4</v>
      </c>
      <c r="AB63" t="str">
        <f t="shared" si="13"/>
        <v>Grid Extension -Guinea- Step 4</v>
      </c>
      <c r="AC63" t="s">
        <v>13</v>
      </c>
      <c r="AD63" t="s">
        <v>11</v>
      </c>
      <c r="AE63" t="s">
        <v>464</v>
      </c>
      <c r="AG63" t="s">
        <v>463</v>
      </c>
      <c r="AH63" t="str">
        <f t="shared" si="4"/>
        <v>NatGrdExt_GIN_5</v>
      </c>
      <c r="AI63" t="str">
        <f t="shared" si="14"/>
        <v>Grid Extension -Guinea- Step 5</v>
      </c>
      <c r="AJ63" t="s">
        <v>13</v>
      </c>
      <c r="AK63" t="s">
        <v>11</v>
      </c>
      <c r="AL63" t="s">
        <v>464</v>
      </c>
      <c r="AN63" t="s">
        <v>463</v>
      </c>
      <c r="AO63" t="str">
        <f t="shared" si="5"/>
        <v>NatGrdExt_GIN_6</v>
      </c>
      <c r="AP63" t="str">
        <f t="shared" si="15"/>
        <v>Grid Extension -Guinea- Step 6</v>
      </c>
      <c r="AQ63" t="s">
        <v>13</v>
      </c>
      <c r="AR63" t="s">
        <v>11</v>
      </c>
      <c r="AS63" t="s">
        <v>464</v>
      </c>
      <c r="AU63" t="s">
        <v>463</v>
      </c>
      <c r="AV63" t="str">
        <f t="shared" si="6"/>
        <v>NatGrdExt_GIN_7</v>
      </c>
      <c r="AW63" t="str">
        <f t="shared" si="16"/>
        <v>Grid Extension -Guinea- Step 7</v>
      </c>
      <c r="AX63" t="s">
        <v>13</v>
      </c>
      <c r="AY63" t="s">
        <v>11</v>
      </c>
      <c r="AZ63" t="s">
        <v>464</v>
      </c>
      <c r="BB63" t="s">
        <v>463</v>
      </c>
      <c r="BC63" t="str">
        <f t="shared" si="7"/>
        <v>NatGrdExt_GIN_8</v>
      </c>
      <c r="BD63" t="str">
        <f t="shared" si="17"/>
        <v>Grid Extension -Guinea- Step 8</v>
      </c>
      <c r="BE63" t="s">
        <v>13</v>
      </c>
      <c r="BF63" t="s">
        <v>11</v>
      </c>
      <c r="BG63" t="s">
        <v>464</v>
      </c>
      <c r="BI63" t="s">
        <v>463</v>
      </c>
      <c r="BJ63" t="str">
        <f t="shared" si="8"/>
        <v>NatGrdExt_GIN_9</v>
      </c>
      <c r="BK63" t="str">
        <f t="shared" si="18"/>
        <v>Grid Extension -Guinea- Step 9</v>
      </c>
      <c r="BL63" t="s">
        <v>13</v>
      </c>
      <c r="BM63" t="s">
        <v>11</v>
      </c>
      <c r="BN63" t="s">
        <v>464</v>
      </c>
      <c r="BP63" t="s">
        <v>463</v>
      </c>
      <c r="BQ63" t="str">
        <f t="shared" si="9"/>
        <v>NatGrdExt_GIN_10</v>
      </c>
      <c r="BR63" t="str">
        <f t="shared" si="19"/>
        <v>Grid Extension -Guinea- Step 10</v>
      </c>
      <c r="BS63" t="s">
        <v>13</v>
      </c>
      <c r="BT63" t="s">
        <v>11</v>
      </c>
      <c r="BU63" t="s">
        <v>464</v>
      </c>
    </row>
    <row r="64" spans="1:73">
      <c r="A64" s="5" t="s">
        <v>544</v>
      </c>
      <c r="B64" s="5" t="s">
        <v>545</v>
      </c>
      <c r="E64" t="s">
        <v>463</v>
      </c>
      <c r="F64" t="str">
        <f t="shared" si="0"/>
        <v>NatGrdExt_GMB_1</v>
      </c>
      <c r="G64" t="str">
        <f t="shared" si="10"/>
        <v>Grid Extension -The Gambia- Step 1</v>
      </c>
      <c r="H64" t="s">
        <v>13</v>
      </c>
      <c r="I64" t="s">
        <v>11</v>
      </c>
      <c r="J64" t="s">
        <v>464</v>
      </c>
      <c r="L64" t="s">
        <v>463</v>
      </c>
      <c r="M64" t="str">
        <f t="shared" si="1"/>
        <v>NatGrdExt_GMB_2</v>
      </c>
      <c r="N64" t="str">
        <f t="shared" si="11"/>
        <v>Grid Extension -The Gambia- Step 2</v>
      </c>
      <c r="O64" t="s">
        <v>13</v>
      </c>
      <c r="P64" t="s">
        <v>11</v>
      </c>
      <c r="Q64" t="s">
        <v>464</v>
      </c>
      <c r="S64" t="s">
        <v>463</v>
      </c>
      <c r="T64" t="str">
        <f t="shared" si="2"/>
        <v>NatGrdExt_GMB_3</v>
      </c>
      <c r="U64" t="str">
        <f t="shared" si="12"/>
        <v>Grid Extension -The Gambia- Step 3</v>
      </c>
      <c r="V64" t="s">
        <v>13</v>
      </c>
      <c r="W64" t="s">
        <v>11</v>
      </c>
      <c r="X64" t="s">
        <v>464</v>
      </c>
      <c r="Z64" t="s">
        <v>463</v>
      </c>
      <c r="AA64" t="str">
        <f t="shared" si="3"/>
        <v>NatGrdExt_GMB_4</v>
      </c>
      <c r="AB64" t="str">
        <f t="shared" si="13"/>
        <v>Grid Extension -The Gambia- Step 4</v>
      </c>
      <c r="AC64" t="s">
        <v>13</v>
      </c>
      <c r="AD64" t="s">
        <v>11</v>
      </c>
      <c r="AE64" t="s">
        <v>464</v>
      </c>
      <c r="AG64" t="s">
        <v>463</v>
      </c>
      <c r="AH64" t="str">
        <f t="shared" si="4"/>
        <v>NatGrdExt_GMB_5</v>
      </c>
      <c r="AI64" t="str">
        <f t="shared" si="14"/>
        <v>Grid Extension -The Gambia- Step 5</v>
      </c>
      <c r="AJ64" t="s">
        <v>13</v>
      </c>
      <c r="AK64" t="s">
        <v>11</v>
      </c>
      <c r="AL64" t="s">
        <v>464</v>
      </c>
      <c r="AN64" t="s">
        <v>463</v>
      </c>
      <c r="AO64" t="str">
        <f t="shared" si="5"/>
        <v>NatGrdExt_GMB_6</v>
      </c>
      <c r="AP64" t="str">
        <f t="shared" si="15"/>
        <v>Grid Extension -The Gambia- Step 6</v>
      </c>
      <c r="AQ64" t="s">
        <v>13</v>
      </c>
      <c r="AR64" t="s">
        <v>11</v>
      </c>
      <c r="AS64" t="s">
        <v>464</v>
      </c>
      <c r="AU64" t="s">
        <v>463</v>
      </c>
      <c r="AV64" t="str">
        <f t="shared" si="6"/>
        <v>NatGrdExt_GMB_7</v>
      </c>
      <c r="AW64" t="str">
        <f t="shared" si="16"/>
        <v>Grid Extension -The Gambia- Step 7</v>
      </c>
      <c r="AX64" t="s">
        <v>13</v>
      </c>
      <c r="AY64" t="s">
        <v>11</v>
      </c>
      <c r="AZ64" t="s">
        <v>464</v>
      </c>
      <c r="BB64" t="s">
        <v>463</v>
      </c>
      <c r="BC64" t="str">
        <f t="shared" si="7"/>
        <v>NatGrdExt_GMB_8</v>
      </c>
      <c r="BD64" t="str">
        <f t="shared" si="17"/>
        <v>Grid Extension -The Gambia- Step 8</v>
      </c>
      <c r="BE64" t="s">
        <v>13</v>
      </c>
      <c r="BF64" t="s">
        <v>11</v>
      </c>
      <c r="BG64" t="s">
        <v>464</v>
      </c>
      <c r="BI64" t="s">
        <v>463</v>
      </c>
      <c r="BJ64" t="str">
        <f t="shared" si="8"/>
        <v>NatGrdExt_GMB_9</v>
      </c>
      <c r="BK64" t="str">
        <f t="shared" si="18"/>
        <v>Grid Extension -The Gambia- Step 9</v>
      </c>
      <c r="BL64" t="s">
        <v>13</v>
      </c>
      <c r="BM64" t="s">
        <v>11</v>
      </c>
      <c r="BN64" t="s">
        <v>464</v>
      </c>
      <c r="BP64" t="s">
        <v>463</v>
      </c>
      <c r="BQ64" t="str">
        <f t="shared" si="9"/>
        <v>NatGrdExt_GMB_10</v>
      </c>
      <c r="BR64" t="str">
        <f t="shared" si="19"/>
        <v>Grid Extension -The Gambia- Step 10</v>
      </c>
      <c r="BS64" t="s">
        <v>13</v>
      </c>
      <c r="BT64" t="s">
        <v>11</v>
      </c>
      <c r="BU64" t="s">
        <v>464</v>
      </c>
    </row>
    <row r="65" spans="1:73">
      <c r="A65" s="5" t="s">
        <v>546</v>
      </c>
      <c r="B65" s="5" t="s">
        <v>547</v>
      </c>
      <c r="E65" t="s">
        <v>463</v>
      </c>
      <c r="F65" t="str">
        <f t="shared" si="0"/>
        <v>NatGrdExt_GNB_1</v>
      </c>
      <c r="G65" t="str">
        <f t="shared" si="10"/>
        <v>Grid Extension -Guinea-Bissau- Step 1</v>
      </c>
      <c r="H65" t="s">
        <v>13</v>
      </c>
      <c r="I65" t="s">
        <v>11</v>
      </c>
      <c r="J65" t="s">
        <v>464</v>
      </c>
      <c r="L65" t="s">
        <v>463</v>
      </c>
      <c r="M65" t="str">
        <f t="shared" si="1"/>
        <v>NatGrdExt_GNB_2</v>
      </c>
      <c r="N65" t="str">
        <f t="shared" si="11"/>
        <v>Grid Extension -Guinea-Bissau- Step 2</v>
      </c>
      <c r="O65" t="s">
        <v>13</v>
      </c>
      <c r="P65" t="s">
        <v>11</v>
      </c>
      <c r="Q65" t="s">
        <v>464</v>
      </c>
      <c r="S65" t="s">
        <v>463</v>
      </c>
      <c r="T65" t="str">
        <f t="shared" si="2"/>
        <v>NatGrdExt_GNB_3</v>
      </c>
      <c r="U65" t="str">
        <f t="shared" si="12"/>
        <v>Grid Extension -Guinea-Bissau- Step 3</v>
      </c>
      <c r="V65" t="s">
        <v>13</v>
      </c>
      <c r="W65" t="s">
        <v>11</v>
      </c>
      <c r="X65" t="s">
        <v>464</v>
      </c>
      <c r="Z65" t="s">
        <v>463</v>
      </c>
      <c r="AA65" t="str">
        <f t="shared" si="3"/>
        <v>NatGrdExt_GNB_4</v>
      </c>
      <c r="AB65" t="str">
        <f t="shared" si="13"/>
        <v>Grid Extension -Guinea-Bissau- Step 4</v>
      </c>
      <c r="AC65" t="s">
        <v>13</v>
      </c>
      <c r="AD65" t="s">
        <v>11</v>
      </c>
      <c r="AE65" t="s">
        <v>464</v>
      </c>
      <c r="AG65" t="s">
        <v>463</v>
      </c>
      <c r="AH65" t="str">
        <f t="shared" si="4"/>
        <v>NatGrdExt_GNB_5</v>
      </c>
      <c r="AI65" t="str">
        <f t="shared" si="14"/>
        <v>Grid Extension -Guinea-Bissau- Step 5</v>
      </c>
      <c r="AJ65" t="s">
        <v>13</v>
      </c>
      <c r="AK65" t="s">
        <v>11</v>
      </c>
      <c r="AL65" t="s">
        <v>464</v>
      </c>
      <c r="AN65" t="s">
        <v>463</v>
      </c>
      <c r="AO65" t="str">
        <f t="shared" si="5"/>
        <v>NatGrdExt_GNB_6</v>
      </c>
      <c r="AP65" t="str">
        <f t="shared" si="15"/>
        <v>Grid Extension -Guinea-Bissau- Step 6</v>
      </c>
      <c r="AQ65" t="s">
        <v>13</v>
      </c>
      <c r="AR65" t="s">
        <v>11</v>
      </c>
      <c r="AS65" t="s">
        <v>464</v>
      </c>
      <c r="AU65" t="s">
        <v>463</v>
      </c>
      <c r="AV65" t="str">
        <f t="shared" si="6"/>
        <v>NatGrdExt_GNB_7</v>
      </c>
      <c r="AW65" t="str">
        <f t="shared" si="16"/>
        <v>Grid Extension -Guinea-Bissau- Step 7</v>
      </c>
      <c r="AX65" t="s">
        <v>13</v>
      </c>
      <c r="AY65" t="s">
        <v>11</v>
      </c>
      <c r="AZ65" t="s">
        <v>464</v>
      </c>
      <c r="BB65" t="s">
        <v>463</v>
      </c>
      <c r="BC65" t="str">
        <f t="shared" si="7"/>
        <v>NatGrdExt_GNB_8</v>
      </c>
      <c r="BD65" t="str">
        <f t="shared" si="17"/>
        <v>Grid Extension -Guinea-Bissau- Step 8</v>
      </c>
      <c r="BE65" t="s">
        <v>13</v>
      </c>
      <c r="BF65" t="s">
        <v>11</v>
      </c>
      <c r="BG65" t="s">
        <v>464</v>
      </c>
      <c r="BI65" t="s">
        <v>463</v>
      </c>
      <c r="BJ65" t="str">
        <f t="shared" si="8"/>
        <v>NatGrdExt_GNB_9</v>
      </c>
      <c r="BK65" t="str">
        <f t="shared" si="18"/>
        <v>Grid Extension -Guinea-Bissau- Step 9</v>
      </c>
      <c r="BL65" t="s">
        <v>13</v>
      </c>
      <c r="BM65" t="s">
        <v>11</v>
      </c>
      <c r="BN65" t="s">
        <v>464</v>
      </c>
      <c r="BP65" t="s">
        <v>463</v>
      </c>
      <c r="BQ65" t="str">
        <f t="shared" si="9"/>
        <v>NatGrdExt_GNB_10</v>
      </c>
      <c r="BR65" t="str">
        <f t="shared" si="19"/>
        <v>Grid Extension -Guinea-Bissau- Step 10</v>
      </c>
      <c r="BS65" t="s">
        <v>13</v>
      </c>
      <c r="BT65" t="s">
        <v>11</v>
      </c>
      <c r="BU65" t="s">
        <v>464</v>
      </c>
    </row>
    <row r="66" spans="1:73">
      <c r="A66" s="5" t="s">
        <v>548</v>
      </c>
      <c r="B66" s="5" t="s">
        <v>549</v>
      </c>
      <c r="E66" t="s">
        <v>463</v>
      </c>
      <c r="F66" t="str">
        <f t="shared" si="0"/>
        <v>NatGrdExt_GNQ_1</v>
      </c>
      <c r="G66" t="str">
        <f t="shared" si="10"/>
        <v>Grid Extension -Equatorial Guinea- Step 1</v>
      </c>
      <c r="H66" t="s">
        <v>13</v>
      </c>
      <c r="I66" t="s">
        <v>11</v>
      </c>
      <c r="J66" t="s">
        <v>464</v>
      </c>
      <c r="L66" t="s">
        <v>463</v>
      </c>
      <c r="M66" t="str">
        <f t="shared" si="1"/>
        <v>NatGrdExt_GNQ_2</v>
      </c>
      <c r="N66" t="str">
        <f t="shared" si="11"/>
        <v>Grid Extension -Equatorial Guinea- Step 2</v>
      </c>
      <c r="O66" t="s">
        <v>13</v>
      </c>
      <c r="P66" t="s">
        <v>11</v>
      </c>
      <c r="Q66" t="s">
        <v>464</v>
      </c>
      <c r="S66" t="s">
        <v>463</v>
      </c>
      <c r="T66" t="str">
        <f t="shared" si="2"/>
        <v>NatGrdExt_GNQ_3</v>
      </c>
      <c r="U66" t="str">
        <f t="shared" si="12"/>
        <v>Grid Extension -Equatorial Guinea- Step 3</v>
      </c>
      <c r="V66" t="s">
        <v>13</v>
      </c>
      <c r="W66" t="s">
        <v>11</v>
      </c>
      <c r="X66" t="s">
        <v>464</v>
      </c>
      <c r="Z66" t="s">
        <v>463</v>
      </c>
      <c r="AA66" t="str">
        <f t="shared" si="3"/>
        <v>NatGrdExt_GNQ_4</v>
      </c>
      <c r="AB66" t="str">
        <f t="shared" si="13"/>
        <v>Grid Extension -Equatorial Guinea- Step 4</v>
      </c>
      <c r="AC66" t="s">
        <v>13</v>
      </c>
      <c r="AD66" t="s">
        <v>11</v>
      </c>
      <c r="AE66" t="s">
        <v>464</v>
      </c>
      <c r="AG66" t="s">
        <v>463</v>
      </c>
      <c r="AH66" t="str">
        <f t="shared" si="4"/>
        <v>NatGrdExt_GNQ_5</v>
      </c>
      <c r="AI66" t="str">
        <f t="shared" si="14"/>
        <v>Grid Extension -Equatorial Guinea- Step 5</v>
      </c>
      <c r="AJ66" t="s">
        <v>13</v>
      </c>
      <c r="AK66" t="s">
        <v>11</v>
      </c>
      <c r="AL66" t="s">
        <v>464</v>
      </c>
      <c r="AN66" t="s">
        <v>463</v>
      </c>
      <c r="AO66" t="str">
        <f t="shared" si="5"/>
        <v>NatGrdExt_GNQ_6</v>
      </c>
      <c r="AP66" t="str">
        <f t="shared" si="15"/>
        <v>Grid Extension -Equatorial Guinea- Step 6</v>
      </c>
      <c r="AQ66" t="s">
        <v>13</v>
      </c>
      <c r="AR66" t="s">
        <v>11</v>
      </c>
      <c r="AS66" t="s">
        <v>464</v>
      </c>
      <c r="AU66" t="s">
        <v>463</v>
      </c>
      <c r="AV66" t="str">
        <f t="shared" si="6"/>
        <v>NatGrdExt_GNQ_7</v>
      </c>
      <c r="AW66" t="str">
        <f t="shared" si="16"/>
        <v>Grid Extension -Equatorial Guinea- Step 7</v>
      </c>
      <c r="AX66" t="s">
        <v>13</v>
      </c>
      <c r="AY66" t="s">
        <v>11</v>
      </c>
      <c r="AZ66" t="s">
        <v>464</v>
      </c>
      <c r="BB66" t="s">
        <v>463</v>
      </c>
      <c r="BC66" t="str">
        <f t="shared" si="7"/>
        <v>NatGrdExt_GNQ_8</v>
      </c>
      <c r="BD66" t="str">
        <f t="shared" si="17"/>
        <v>Grid Extension -Equatorial Guinea- Step 8</v>
      </c>
      <c r="BE66" t="s">
        <v>13</v>
      </c>
      <c r="BF66" t="s">
        <v>11</v>
      </c>
      <c r="BG66" t="s">
        <v>464</v>
      </c>
      <c r="BI66" t="s">
        <v>463</v>
      </c>
      <c r="BJ66" t="str">
        <f t="shared" si="8"/>
        <v>NatGrdExt_GNQ_9</v>
      </c>
      <c r="BK66" t="str">
        <f t="shared" si="18"/>
        <v>Grid Extension -Equatorial Guinea- Step 9</v>
      </c>
      <c r="BL66" t="s">
        <v>13</v>
      </c>
      <c r="BM66" t="s">
        <v>11</v>
      </c>
      <c r="BN66" t="s">
        <v>464</v>
      </c>
      <c r="BP66" t="s">
        <v>463</v>
      </c>
      <c r="BQ66" t="str">
        <f t="shared" si="9"/>
        <v>NatGrdExt_GNQ_10</v>
      </c>
      <c r="BR66" t="str">
        <f t="shared" si="19"/>
        <v>Grid Extension -Equatorial Guinea- Step 10</v>
      </c>
      <c r="BS66" t="s">
        <v>13</v>
      </c>
      <c r="BT66" t="s">
        <v>11</v>
      </c>
      <c r="BU66" t="s">
        <v>464</v>
      </c>
    </row>
    <row r="67" spans="1:73">
      <c r="A67" s="5" t="s">
        <v>550</v>
      </c>
      <c r="B67" s="5" t="s">
        <v>551</v>
      </c>
      <c r="E67" t="s">
        <v>463</v>
      </c>
      <c r="F67" t="str">
        <f t="shared" si="0"/>
        <v>NatGrdExt_GRC_1</v>
      </c>
      <c r="G67" t="str">
        <f t="shared" si="10"/>
        <v>Grid Extension -Greece- Step 1</v>
      </c>
      <c r="H67" t="s">
        <v>13</v>
      </c>
      <c r="I67" t="s">
        <v>11</v>
      </c>
      <c r="J67" t="s">
        <v>464</v>
      </c>
      <c r="L67" t="s">
        <v>463</v>
      </c>
      <c r="M67" t="str">
        <f t="shared" si="1"/>
        <v>NatGrdExt_GRC_2</v>
      </c>
      <c r="N67" t="str">
        <f t="shared" si="11"/>
        <v>Grid Extension -Greece- Step 2</v>
      </c>
      <c r="O67" t="s">
        <v>13</v>
      </c>
      <c r="P67" t="s">
        <v>11</v>
      </c>
      <c r="Q67" t="s">
        <v>464</v>
      </c>
      <c r="S67" t="s">
        <v>463</v>
      </c>
      <c r="T67" t="str">
        <f t="shared" si="2"/>
        <v>NatGrdExt_GRC_3</v>
      </c>
      <c r="U67" t="str">
        <f t="shared" si="12"/>
        <v>Grid Extension -Greece- Step 3</v>
      </c>
      <c r="V67" t="s">
        <v>13</v>
      </c>
      <c r="W67" t="s">
        <v>11</v>
      </c>
      <c r="X67" t="s">
        <v>464</v>
      </c>
      <c r="Z67" t="s">
        <v>463</v>
      </c>
      <c r="AA67" t="str">
        <f t="shared" si="3"/>
        <v>NatGrdExt_GRC_4</v>
      </c>
      <c r="AB67" t="str">
        <f t="shared" si="13"/>
        <v>Grid Extension -Greece- Step 4</v>
      </c>
      <c r="AC67" t="s">
        <v>13</v>
      </c>
      <c r="AD67" t="s">
        <v>11</v>
      </c>
      <c r="AE67" t="s">
        <v>464</v>
      </c>
      <c r="AG67" t="s">
        <v>463</v>
      </c>
      <c r="AH67" t="str">
        <f t="shared" si="4"/>
        <v>NatGrdExt_GRC_5</v>
      </c>
      <c r="AI67" t="str">
        <f t="shared" si="14"/>
        <v>Grid Extension -Greece- Step 5</v>
      </c>
      <c r="AJ67" t="s">
        <v>13</v>
      </c>
      <c r="AK67" t="s">
        <v>11</v>
      </c>
      <c r="AL67" t="s">
        <v>464</v>
      </c>
      <c r="AN67" t="s">
        <v>463</v>
      </c>
      <c r="AO67" t="str">
        <f t="shared" si="5"/>
        <v>NatGrdExt_GRC_6</v>
      </c>
      <c r="AP67" t="str">
        <f t="shared" si="15"/>
        <v>Grid Extension -Greece- Step 6</v>
      </c>
      <c r="AQ67" t="s">
        <v>13</v>
      </c>
      <c r="AR67" t="s">
        <v>11</v>
      </c>
      <c r="AS67" t="s">
        <v>464</v>
      </c>
      <c r="AU67" t="s">
        <v>463</v>
      </c>
      <c r="AV67" t="str">
        <f t="shared" si="6"/>
        <v>NatGrdExt_GRC_7</v>
      </c>
      <c r="AW67" t="str">
        <f t="shared" si="16"/>
        <v>Grid Extension -Greece- Step 7</v>
      </c>
      <c r="AX67" t="s">
        <v>13</v>
      </c>
      <c r="AY67" t="s">
        <v>11</v>
      </c>
      <c r="AZ67" t="s">
        <v>464</v>
      </c>
      <c r="BB67" t="s">
        <v>463</v>
      </c>
      <c r="BC67" t="str">
        <f t="shared" si="7"/>
        <v>NatGrdExt_GRC_8</v>
      </c>
      <c r="BD67" t="str">
        <f t="shared" si="17"/>
        <v>Grid Extension -Greece- Step 8</v>
      </c>
      <c r="BE67" t="s">
        <v>13</v>
      </c>
      <c r="BF67" t="s">
        <v>11</v>
      </c>
      <c r="BG67" t="s">
        <v>464</v>
      </c>
      <c r="BI67" t="s">
        <v>463</v>
      </c>
      <c r="BJ67" t="str">
        <f t="shared" si="8"/>
        <v>NatGrdExt_GRC_9</v>
      </c>
      <c r="BK67" t="str">
        <f t="shared" si="18"/>
        <v>Grid Extension -Greece- Step 9</v>
      </c>
      <c r="BL67" t="s">
        <v>13</v>
      </c>
      <c r="BM67" t="s">
        <v>11</v>
      </c>
      <c r="BN67" t="s">
        <v>464</v>
      </c>
      <c r="BP67" t="s">
        <v>463</v>
      </c>
      <c r="BQ67" t="str">
        <f t="shared" si="9"/>
        <v>NatGrdExt_GRC_10</v>
      </c>
      <c r="BR67" t="str">
        <f t="shared" si="19"/>
        <v>Grid Extension -Greece- Step 10</v>
      </c>
      <c r="BS67" t="s">
        <v>13</v>
      </c>
      <c r="BT67" t="s">
        <v>11</v>
      </c>
      <c r="BU67" t="s">
        <v>464</v>
      </c>
    </row>
    <row r="68" spans="1:73">
      <c r="A68" s="5" t="s">
        <v>35</v>
      </c>
      <c r="B68" s="5" t="s">
        <v>97</v>
      </c>
      <c r="E68" t="s">
        <v>463</v>
      </c>
      <c r="F68" t="str">
        <f t="shared" si="0"/>
        <v>NatGrdExt_GTM_1</v>
      </c>
      <c r="G68" t="str">
        <f t="shared" si="10"/>
        <v>Grid Extension -Guatemala- Step 1</v>
      </c>
      <c r="H68" t="s">
        <v>13</v>
      </c>
      <c r="I68" t="s">
        <v>11</v>
      </c>
      <c r="J68" t="s">
        <v>464</v>
      </c>
      <c r="L68" t="s">
        <v>463</v>
      </c>
      <c r="M68" t="str">
        <f t="shared" si="1"/>
        <v>NatGrdExt_GTM_2</v>
      </c>
      <c r="N68" t="str">
        <f t="shared" si="11"/>
        <v>Grid Extension -Guatemala- Step 2</v>
      </c>
      <c r="O68" t="s">
        <v>13</v>
      </c>
      <c r="P68" t="s">
        <v>11</v>
      </c>
      <c r="Q68" t="s">
        <v>464</v>
      </c>
      <c r="S68" t="s">
        <v>463</v>
      </c>
      <c r="T68" t="str">
        <f t="shared" si="2"/>
        <v>NatGrdExt_GTM_3</v>
      </c>
      <c r="U68" t="str">
        <f t="shared" si="12"/>
        <v>Grid Extension -Guatemala- Step 3</v>
      </c>
      <c r="V68" t="s">
        <v>13</v>
      </c>
      <c r="W68" t="s">
        <v>11</v>
      </c>
      <c r="X68" t="s">
        <v>464</v>
      </c>
      <c r="Z68" t="s">
        <v>463</v>
      </c>
      <c r="AA68" t="str">
        <f t="shared" si="3"/>
        <v>NatGrdExt_GTM_4</v>
      </c>
      <c r="AB68" t="str">
        <f t="shared" si="13"/>
        <v>Grid Extension -Guatemala- Step 4</v>
      </c>
      <c r="AC68" t="s">
        <v>13</v>
      </c>
      <c r="AD68" t="s">
        <v>11</v>
      </c>
      <c r="AE68" t="s">
        <v>464</v>
      </c>
      <c r="AG68" t="s">
        <v>463</v>
      </c>
      <c r="AH68" t="str">
        <f t="shared" si="4"/>
        <v>NatGrdExt_GTM_5</v>
      </c>
      <c r="AI68" t="str">
        <f t="shared" si="14"/>
        <v>Grid Extension -Guatemala- Step 5</v>
      </c>
      <c r="AJ68" t="s">
        <v>13</v>
      </c>
      <c r="AK68" t="s">
        <v>11</v>
      </c>
      <c r="AL68" t="s">
        <v>464</v>
      </c>
      <c r="AN68" t="s">
        <v>463</v>
      </c>
      <c r="AO68" t="str">
        <f t="shared" si="5"/>
        <v>NatGrdExt_GTM_6</v>
      </c>
      <c r="AP68" t="str">
        <f t="shared" si="15"/>
        <v>Grid Extension -Guatemala- Step 6</v>
      </c>
      <c r="AQ68" t="s">
        <v>13</v>
      </c>
      <c r="AR68" t="s">
        <v>11</v>
      </c>
      <c r="AS68" t="s">
        <v>464</v>
      </c>
      <c r="AU68" t="s">
        <v>463</v>
      </c>
      <c r="AV68" t="str">
        <f t="shared" si="6"/>
        <v>NatGrdExt_GTM_7</v>
      </c>
      <c r="AW68" t="str">
        <f t="shared" si="16"/>
        <v>Grid Extension -Guatemala- Step 7</v>
      </c>
      <c r="AX68" t="s">
        <v>13</v>
      </c>
      <c r="AY68" t="s">
        <v>11</v>
      </c>
      <c r="AZ68" t="s">
        <v>464</v>
      </c>
      <c r="BB68" t="s">
        <v>463</v>
      </c>
      <c r="BC68" t="str">
        <f t="shared" si="7"/>
        <v>NatGrdExt_GTM_8</v>
      </c>
      <c r="BD68" t="str">
        <f t="shared" si="17"/>
        <v>Grid Extension -Guatemala- Step 8</v>
      </c>
      <c r="BE68" t="s">
        <v>13</v>
      </c>
      <c r="BF68" t="s">
        <v>11</v>
      </c>
      <c r="BG68" t="s">
        <v>464</v>
      </c>
      <c r="BI68" t="s">
        <v>463</v>
      </c>
      <c r="BJ68" t="str">
        <f t="shared" si="8"/>
        <v>NatGrdExt_GTM_9</v>
      </c>
      <c r="BK68" t="str">
        <f t="shared" si="18"/>
        <v>Grid Extension -Guatemala- Step 9</v>
      </c>
      <c r="BL68" t="s">
        <v>13</v>
      </c>
      <c r="BM68" t="s">
        <v>11</v>
      </c>
      <c r="BN68" t="s">
        <v>464</v>
      </c>
      <c r="BP68" t="s">
        <v>463</v>
      </c>
      <c r="BQ68" t="str">
        <f t="shared" si="9"/>
        <v>NatGrdExt_GTM_10</v>
      </c>
      <c r="BR68" t="str">
        <f t="shared" si="19"/>
        <v>Grid Extension -Guatemala- Step 10</v>
      </c>
      <c r="BS68" t="s">
        <v>13</v>
      </c>
      <c r="BT68" t="s">
        <v>11</v>
      </c>
      <c r="BU68" t="s">
        <v>464</v>
      </c>
    </row>
    <row r="69" spans="1:73">
      <c r="A69" s="5" t="s">
        <v>552</v>
      </c>
      <c r="B69" s="5" t="s">
        <v>553</v>
      </c>
      <c r="E69" t="s">
        <v>463</v>
      </c>
      <c r="F69" t="str">
        <f t="shared" ref="F69:F132" si="20">"NatGrdExt_"&amp;$A69&amp;"_"&amp;G$1</f>
        <v>NatGrdExt_GUF_1</v>
      </c>
      <c r="G69" t="str">
        <f t="shared" si="10"/>
        <v>Grid Extension -French Guiana- Step 1</v>
      </c>
      <c r="H69" t="s">
        <v>13</v>
      </c>
      <c r="I69" t="s">
        <v>11</v>
      </c>
      <c r="J69" t="s">
        <v>464</v>
      </c>
      <c r="L69" t="s">
        <v>463</v>
      </c>
      <c r="M69" t="str">
        <f t="shared" ref="M69:M132" si="21">"NatGrdExt_"&amp;$A69&amp;"_"&amp;N$1</f>
        <v>NatGrdExt_GUF_2</v>
      </c>
      <c r="N69" t="str">
        <f t="shared" si="11"/>
        <v>Grid Extension -French Guiana- Step 2</v>
      </c>
      <c r="O69" t="s">
        <v>13</v>
      </c>
      <c r="P69" t="s">
        <v>11</v>
      </c>
      <c r="Q69" t="s">
        <v>464</v>
      </c>
      <c r="S69" t="s">
        <v>463</v>
      </c>
      <c r="T69" t="str">
        <f t="shared" ref="T69:T132" si="22">"NatGrdExt_"&amp;$A69&amp;"_"&amp;U$1</f>
        <v>NatGrdExt_GUF_3</v>
      </c>
      <c r="U69" t="str">
        <f t="shared" si="12"/>
        <v>Grid Extension -French Guiana- Step 3</v>
      </c>
      <c r="V69" t="s">
        <v>13</v>
      </c>
      <c r="W69" t="s">
        <v>11</v>
      </c>
      <c r="X69" t="s">
        <v>464</v>
      </c>
      <c r="Z69" t="s">
        <v>463</v>
      </c>
      <c r="AA69" t="str">
        <f t="shared" ref="AA69:AA132" si="23">"NatGrdExt_"&amp;$A69&amp;"_"&amp;AB$1</f>
        <v>NatGrdExt_GUF_4</v>
      </c>
      <c r="AB69" t="str">
        <f t="shared" si="13"/>
        <v>Grid Extension -French Guiana- Step 4</v>
      </c>
      <c r="AC69" t="s">
        <v>13</v>
      </c>
      <c r="AD69" t="s">
        <v>11</v>
      </c>
      <c r="AE69" t="s">
        <v>464</v>
      </c>
      <c r="AG69" t="s">
        <v>463</v>
      </c>
      <c r="AH69" t="str">
        <f t="shared" ref="AH69:AH132" si="24">"NatGrdExt_"&amp;$A69&amp;"_"&amp;AI$1</f>
        <v>NatGrdExt_GUF_5</v>
      </c>
      <c r="AI69" t="str">
        <f t="shared" si="14"/>
        <v>Grid Extension -French Guiana- Step 5</v>
      </c>
      <c r="AJ69" t="s">
        <v>13</v>
      </c>
      <c r="AK69" t="s">
        <v>11</v>
      </c>
      <c r="AL69" t="s">
        <v>464</v>
      </c>
      <c r="AN69" t="s">
        <v>463</v>
      </c>
      <c r="AO69" t="str">
        <f t="shared" ref="AO69:AO132" si="25">"NatGrdExt_"&amp;$A69&amp;"_"&amp;AP$1</f>
        <v>NatGrdExt_GUF_6</v>
      </c>
      <c r="AP69" t="str">
        <f t="shared" si="15"/>
        <v>Grid Extension -French Guiana- Step 6</v>
      </c>
      <c r="AQ69" t="s">
        <v>13</v>
      </c>
      <c r="AR69" t="s">
        <v>11</v>
      </c>
      <c r="AS69" t="s">
        <v>464</v>
      </c>
      <c r="AU69" t="s">
        <v>463</v>
      </c>
      <c r="AV69" t="str">
        <f t="shared" ref="AV69:AV132" si="26">"NatGrdExt_"&amp;$A69&amp;"_"&amp;AW$1</f>
        <v>NatGrdExt_GUF_7</v>
      </c>
      <c r="AW69" t="str">
        <f t="shared" si="16"/>
        <v>Grid Extension -French Guiana- Step 7</v>
      </c>
      <c r="AX69" t="s">
        <v>13</v>
      </c>
      <c r="AY69" t="s">
        <v>11</v>
      </c>
      <c r="AZ69" t="s">
        <v>464</v>
      </c>
      <c r="BB69" t="s">
        <v>463</v>
      </c>
      <c r="BC69" t="str">
        <f t="shared" ref="BC69:BC132" si="27">"NatGrdExt_"&amp;$A69&amp;"_"&amp;BD$1</f>
        <v>NatGrdExt_GUF_8</v>
      </c>
      <c r="BD69" t="str">
        <f t="shared" si="17"/>
        <v>Grid Extension -French Guiana- Step 8</v>
      </c>
      <c r="BE69" t="s">
        <v>13</v>
      </c>
      <c r="BF69" t="s">
        <v>11</v>
      </c>
      <c r="BG69" t="s">
        <v>464</v>
      </c>
      <c r="BI69" t="s">
        <v>463</v>
      </c>
      <c r="BJ69" t="str">
        <f t="shared" ref="BJ69:BJ132" si="28">"NatGrdExt_"&amp;$A69&amp;"_"&amp;BK$1</f>
        <v>NatGrdExt_GUF_9</v>
      </c>
      <c r="BK69" t="str">
        <f t="shared" si="18"/>
        <v>Grid Extension -French Guiana- Step 9</v>
      </c>
      <c r="BL69" t="s">
        <v>13</v>
      </c>
      <c r="BM69" t="s">
        <v>11</v>
      </c>
      <c r="BN69" t="s">
        <v>464</v>
      </c>
      <c r="BP69" t="s">
        <v>463</v>
      </c>
      <c r="BQ69" t="str">
        <f t="shared" ref="BQ69:BQ132" si="29">"NatGrdExt_"&amp;$A69&amp;"_"&amp;BR$1</f>
        <v>NatGrdExt_GUF_10</v>
      </c>
      <c r="BR69" t="str">
        <f t="shared" si="19"/>
        <v>Grid Extension -French Guiana- Step 10</v>
      </c>
      <c r="BS69" t="s">
        <v>13</v>
      </c>
      <c r="BT69" t="s">
        <v>11</v>
      </c>
      <c r="BU69" t="s">
        <v>464</v>
      </c>
    </row>
    <row r="70" spans="1:73">
      <c r="A70" s="5" t="s">
        <v>36</v>
      </c>
      <c r="B70" s="5" t="s">
        <v>98</v>
      </c>
      <c r="E70" t="s">
        <v>463</v>
      </c>
      <c r="F70" t="str">
        <f t="shared" si="20"/>
        <v>NatGrdExt_GUY_1</v>
      </c>
      <c r="G70" t="str">
        <f t="shared" ref="G70:G134" si="30">"Grid Extension -"&amp;$B70&amp;"- Step "&amp;G$1</f>
        <v>Grid Extension -Guyana- Step 1</v>
      </c>
      <c r="H70" t="s">
        <v>13</v>
      </c>
      <c r="I70" t="s">
        <v>11</v>
      </c>
      <c r="J70" t="s">
        <v>464</v>
      </c>
      <c r="L70" t="s">
        <v>463</v>
      </c>
      <c r="M70" t="str">
        <f t="shared" si="21"/>
        <v>NatGrdExt_GUY_2</v>
      </c>
      <c r="N70" t="str">
        <f t="shared" ref="N70:N134" si="31">"Grid Extension -"&amp;$B70&amp;"- Step "&amp;N$1</f>
        <v>Grid Extension -Guyana- Step 2</v>
      </c>
      <c r="O70" t="s">
        <v>13</v>
      </c>
      <c r="P70" t="s">
        <v>11</v>
      </c>
      <c r="Q70" t="s">
        <v>464</v>
      </c>
      <c r="S70" t="s">
        <v>463</v>
      </c>
      <c r="T70" t="str">
        <f t="shared" si="22"/>
        <v>NatGrdExt_GUY_3</v>
      </c>
      <c r="U70" t="str">
        <f t="shared" ref="U70:U134" si="32">"Grid Extension -"&amp;$B70&amp;"- Step "&amp;U$1</f>
        <v>Grid Extension -Guyana- Step 3</v>
      </c>
      <c r="V70" t="s">
        <v>13</v>
      </c>
      <c r="W70" t="s">
        <v>11</v>
      </c>
      <c r="X70" t="s">
        <v>464</v>
      </c>
      <c r="Z70" t="s">
        <v>463</v>
      </c>
      <c r="AA70" t="str">
        <f t="shared" si="23"/>
        <v>NatGrdExt_GUY_4</v>
      </c>
      <c r="AB70" t="str">
        <f t="shared" ref="AB70:AB134" si="33">"Grid Extension -"&amp;$B70&amp;"- Step "&amp;AB$1</f>
        <v>Grid Extension -Guyana- Step 4</v>
      </c>
      <c r="AC70" t="s">
        <v>13</v>
      </c>
      <c r="AD70" t="s">
        <v>11</v>
      </c>
      <c r="AE70" t="s">
        <v>464</v>
      </c>
      <c r="AG70" t="s">
        <v>463</v>
      </c>
      <c r="AH70" t="str">
        <f t="shared" si="24"/>
        <v>NatGrdExt_GUY_5</v>
      </c>
      <c r="AI70" t="str">
        <f t="shared" ref="AI70:AI134" si="34">"Grid Extension -"&amp;$B70&amp;"- Step "&amp;AI$1</f>
        <v>Grid Extension -Guyana- Step 5</v>
      </c>
      <c r="AJ70" t="s">
        <v>13</v>
      </c>
      <c r="AK70" t="s">
        <v>11</v>
      </c>
      <c r="AL70" t="s">
        <v>464</v>
      </c>
      <c r="AN70" t="s">
        <v>463</v>
      </c>
      <c r="AO70" t="str">
        <f t="shared" si="25"/>
        <v>NatGrdExt_GUY_6</v>
      </c>
      <c r="AP70" t="str">
        <f t="shared" ref="AP70:AP134" si="35">"Grid Extension -"&amp;$B70&amp;"- Step "&amp;AP$1</f>
        <v>Grid Extension -Guyana- Step 6</v>
      </c>
      <c r="AQ70" t="s">
        <v>13</v>
      </c>
      <c r="AR70" t="s">
        <v>11</v>
      </c>
      <c r="AS70" t="s">
        <v>464</v>
      </c>
      <c r="AU70" t="s">
        <v>463</v>
      </c>
      <c r="AV70" t="str">
        <f t="shared" si="26"/>
        <v>NatGrdExt_GUY_7</v>
      </c>
      <c r="AW70" t="str">
        <f t="shared" ref="AW70:AW134" si="36">"Grid Extension -"&amp;$B70&amp;"- Step "&amp;AW$1</f>
        <v>Grid Extension -Guyana- Step 7</v>
      </c>
      <c r="AX70" t="s">
        <v>13</v>
      </c>
      <c r="AY70" t="s">
        <v>11</v>
      </c>
      <c r="AZ70" t="s">
        <v>464</v>
      </c>
      <c r="BB70" t="s">
        <v>463</v>
      </c>
      <c r="BC70" t="str">
        <f t="shared" si="27"/>
        <v>NatGrdExt_GUY_8</v>
      </c>
      <c r="BD70" t="str">
        <f t="shared" ref="BD70:BD134" si="37">"Grid Extension -"&amp;$B70&amp;"- Step "&amp;BD$1</f>
        <v>Grid Extension -Guyana- Step 8</v>
      </c>
      <c r="BE70" t="s">
        <v>13</v>
      </c>
      <c r="BF70" t="s">
        <v>11</v>
      </c>
      <c r="BG70" t="s">
        <v>464</v>
      </c>
      <c r="BI70" t="s">
        <v>463</v>
      </c>
      <c r="BJ70" t="str">
        <f t="shared" si="28"/>
        <v>NatGrdExt_GUY_9</v>
      </c>
      <c r="BK70" t="str">
        <f t="shared" ref="BK70:BK134" si="38">"Grid Extension -"&amp;$B70&amp;"- Step "&amp;BK$1</f>
        <v>Grid Extension -Guyana- Step 9</v>
      </c>
      <c r="BL70" t="s">
        <v>13</v>
      </c>
      <c r="BM70" t="s">
        <v>11</v>
      </c>
      <c r="BN70" t="s">
        <v>464</v>
      </c>
      <c r="BP70" t="s">
        <v>463</v>
      </c>
      <c r="BQ70" t="str">
        <f t="shared" si="29"/>
        <v>NatGrdExt_GUY_10</v>
      </c>
      <c r="BR70" t="str">
        <f t="shared" ref="BR70:BR134" si="39">"Grid Extension -"&amp;$B70&amp;"- Step "&amp;BR$1</f>
        <v>Grid Extension -Guyana- Step 10</v>
      </c>
      <c r="BS70" t="s">
        <v>13</v>
      </c>
      <c r="BT70" t="s">
        <v>11</v>
      </c>
      <c r="BU70" t="s">
        <v>464</v>
      </c>
    </row>
    <row r="71" spans="1:73">
      <c r="A71" s="5" t="s">
        <v>37</v>
      </c>
      <c r="B71" s="5" t="s">
        <v>99</v>
      </c>
      <c r="E71" t="s">
        <v>463</v>
      </c>
      <c r="F71" t="str">
        <f t="shared" si="20"/>
        <v>NatGrdExt_HND_1</v>
      </c>
      <c r="G71" t="str">
        <f t="shared" si="30"/>
        <v>Grid Extension -Honduras- Step 1</v>
      </c>
      <c r="H71" t="s">
        <v>13</v>
      </c>
      <c r="I71" t="s">
        <v>11</v>
      </c>
      <c r="J71" t="s">
        <v>464</v>
      </c>
      <c r="L71" t="s">
        <v>463</v>
      </c>
      <c r="M71" t="str">
        <f t="shared" si="21"/>
        <v>NatGrdExt_HND_2</v>
      </c>
      <c r="N71" t="str">
        <f t="shared" si="31"/>
        <v>Grid Extension -Honduras- Step 2</v>
      </c>
      <c r="O71" t="s">
        <v>13</v>
      </c>
      <c r="P71" t="s">
        <v>11</v>
      </c>
      <c r="Q71" t="s">
        <v>464</v>
      </c>
      <c r="S71" t="s">
        <v>463</v>
      </c>
      <c r="T71" t="str">
        <f t="shared" si="22"/>
        <v>NatGrdExt_HND_3</v>
      </c>
      <c r="U71" t="str">
        <f t="shared" si="32"/>
        <v>Grid Extension -Honduras- Step 3</v>
      </c>
      <c r="V71" t="s">
        <v>13</v>
      </c>
      <c r="W71" t="s">
        <v>11</v>
      </c>
      <c r="X71" t="s">
        <v>464</v>
      </c>
      <c r="Z71" t="s">
        <v>463</v>
      </c>
      <c r="AA71" t="str">
        <f t="shared" si="23"/>
        <v>NatGrdExt_HND_4</v>
      </c>
      <c r="AB71" t="str">
        <f t="shared" si="33"/>
        <v>Grid Extension -Honduras- Step 4</v>
      </c>
      <c r="AC71" t="s">
        <v>13</v>
      </c>
      <c r="AD71" t="s">
        <v>11</v>
      </c>
      <c r="AE71" t="s">
        <v>464</v>
      </c>
      <c r="AG71" t="s">
        <v>463</v>
      </c>
      <c r="AH71" t="str">
        <f t="shared" si="24"/>
        <v>NatGrdExt_HND_5</v>
      </c>
      <c r="AI71" t="str">
        <f t="shared" si="34"/>
        <v>Grid Extension -Honduras- Step 5</v>
      </c>
      <c r="AJ71" t="s">
        <v>13</v>
      </c>
      <c r="AK71" t="s">
        <v>11</v>
      </c>
      <c r="AL71" t="s">
        <v>464</v>
      </c>
      <c r="AN71" t="s">
        <v>463</v>
      </c>
      <c r="AO71" t="str">
        <f t="shared" si="25"/>
        <v>NatGrdExt_HND_6</v>
      </c>
      <c r="AP71" t="str">
        <f t="shared" si="35"/>
        <v>Grid Extension -Honduras- Step 6</v>
      </c>
      <c r="AQ71" t="s">
        <v>13</v>
      </c>
      <c r="AR71" t="s">
        <v>11</v>
      </c>
      <c r="AS71" t="s">
        <v>464</v>
      </c>
      <c r="AU71" t="s">
        <v>463</v>
      </c>
      <c r="AV71" t="str">
        <f t="shared" si="26"/>
        <v>NatGrdExt_HND_7</v>
      </c>
      <c r="AW71" t="str">
        <f t="shared" si="36"/>
        <v>Grid Extension -Honduras- Step 7</v>
      </c>
      <c r="AX71" t="s">
        <v>13</v>
      </c>
      <c r="AY71" t="s">
        <v>11</v>
      </c>
      <c r="AZ71" t="s">
        <v>464</v>
      </c>
      <c r="BB71" t="s">
        <v>463</v>
      </c>
      <c r="BC71" t="str">
        <f t="shared" si="27"/>
        <v>NatGrdExt_HND_8</v>
      </c>
      <c r="BD71" t="str">
        <f t="shared" si="37"/>
        <v>Grid Extension -Honduras- Step 8</v>
      </c>
      <c r="BE71" t="s">
        <v>13</v>
      </c>
      <c r="BF71" t="s">
        <v>11</v>
      </c>
      <c r="BG71" t="s">
        <v>464</v>
      </c>
      <c r="BI71" t="s">
        <v>463</v>
      </c>
      <c r="BJ71" t="str">
        <f t="shared" si="28"/>
        <v>NatGrdExt_HND_9</v>
      </c>
      <c r="BK71" t="str">
        <f t="shared" si="38"/>
        <v>Grid Extension -Honduras- Step 9</v>
      </c>
      <c r="BL71" t="s">
        <v>13</v>
      </c>
      <c r="BM71" t="s">
        <v>11</v>
      </c>
      <c r="BN71" t="s">
        <v>464</v>
      </c>
      <c r="BP71" t="s">
        <v>463</v>
      </c>
      <c r="BQ71" t="str">
        <f t="shared" si="29"/>
        <v>NatGrdExt_HND_10</v>
      </c>
      <c r="BR71" t="str">
        <f t="shared" si="39"/>
        <v>Grid Extension -Honduras- Step 10</v>
      </c>
      <c r="BS71" t="s">
        <v>13</v>
      </c>
      <c r="BT71" t="s">
        <v>11</v>
      </c>
      <c r="BU71" t="s">
        <v>464</v>
      </c>
    </row>
    <row r="72" spans="1:73">
      <c r="A72" s="5" t="s">
        <v>554</v>
      </c>
      <c r="B72" s="5" t="s">
        <v>555</v>
      </c>
      <c r="E72" t="s">
        <v>463</v>
      </c>
      <c r="F72" t="str">
        <f t="shared" si="20"/>
        <v>NatGrdExt_HRV_1</v>
      </c>
      <c r="G72" t="str">
        <f t="shared" si="30"/>
        <v>Grid Extension -Croatia- Step 1</v>
      </c>
      <c r="H72" t="s">
        <v>13</v>
      </c>
      <c r="I72" t="s">
        <v>11</v>
      </c>
      <c r="J72" t="s">
        <v>464</v>
      </c>
      <c r="L72" t="s">
        <v>463</v>
      </c>
      <c r="M72" t="str">
        <f t="shared" si="21"/>
        <v>NatGrdExt_HRV_2</v>
      </c>
      <c r="N72" t="str">
        <f t="shared" si="31"/>
        <v>Grid Extension -Croatia- Step 2</v>
      </c>
      <c r="O72" t="s">
        <v>13</v>
      </c>
      <c r="P72" t="s">
        <v>11</v>
      </c>
      <c r="Q72" t="s">
        <v>464</v>
      </c>
      <c r="S72" t="s">
        <v>463</v>
      </c>
      <c r="T72" t="str">
        <f t="shared" si="22"/>
        <v>NatGrdExt_HRV_3</v>
      </c>
      <c r="U72" t="str">
        <f t="shared" si="32"/>
        <v>Grid Extension -Croatia- Step 3</v>
      </c>
      <c r="V72" t="s">
        <v>13</v>
      </c>
      <c r="W72" t="s">
        <v>11</v>
      </c>
      <c r="X72" t="s">
        <v>464</v>
      </c>
      <c r="Z72" t="s">
        <v>463</v>
      </c>
      <c r="AA72" t="str">
        <f t="shared" si="23"/>
        <v>NatGrdExt_HRV_4</v>
      </c>
      <c r="AB72" t="str">
        <f t="shared" si="33"/>
        <v>Grid Extension -Croatia- Step 4</v>
      </c>
      <c r="AC72" t="s">
        <v>13</v>
      </c>
      <c r="AD72" t="s">
        <v>11</v>
      </c>
      <c r="AE72" t="s">
        <v>464</v>
      </c>
      <c r="AG72" t="s">
        <v>463</v>
      </c>
      <c r="AH72" t="str">
        <f t="shared" si="24"/>
        <v>NatGrdExt_HRV_5</v>
      </c>
      <c r="AI72" t="str">
        <f t="shared" si="34"/>
        <v>Grid Extension -Croatia- Step 5</v>
      </c>
      <c r="AJ72" t="s">
        <v>13</v>
      </c>
      <c r="AK72" t="s">
        <v>11</v>
      </c>
      <c r="AL72" t="s">
        <v>464</v>
      </c>
      <c r="AN72" t="s">
        <v>463</v>
      </c>
      <c r="AO72" t="str">
        <f t="shared" si="25"/>
        <v>NatGrdExt_HRV_6</v>
      </c>
      <c r="AP72" t="str">
        <f t="shared" si="35"/>
        <v>Grid Extension -Croatia- Step 6</v>
      </c>
      <c r="AQ72" t="s">
        <v>13</v>
      </c>
      <c r="AR72" t="s">
        <v>11</v>
      </c>
      <c r="AS72" t="s">
        <v>464</v>
      </c>
      <c r="AU72" t="s">
        <v>463</v>
      </c>
      <c r="AV72" t="str">
        <f t="shared" si="26"/>
        <v>NatGrdExt_HRV_7</v>
      </c>
      <c r="AW72" t="str">
        <f t="shared" si="36"/>
        <v>Grid Extension -Croatia- Step 7</v>
      </c>
      <c r="AX72" t="s">
        <v>13</v>
      </c>
      <c r="AY72" t="s">
        <v>11</v>
      </c>
      <c r="AZ72" t="s">
        <v>464</v>
      </c>
      <c r="BB72" t="s">
        <v>463</v>
      </c>
      <c r="BC72" t="str">
        <f t="shared" si="27"/>
        <v>NatGrdExt_HRV_8</v>
      </c>
      <c r="BD72" t="str">
        <f t="shared" si="37"/>
        <v>Grid Extension -Croatia- Step 8</v>
      </c>
      <c r="BE72" t="s">
        <v>13</v>
      </c>
      <c r="BF72" t="s">
        <v>11</v>
      </c>
      <c r="BG72" t="s">
        <v>464</v>
      </c>
      <c r="BI72" t="s">
        <v>463</v>
      </c>
      <c r="BJ72" t="str">
        <f t="shared" si="28"/>
        <v>NatGrdExt_HRV_9</v>
      </c>
      <c r="BK72" t="str">
        <f t="shared" si="38"/>
        <v>Grid Extension -Croatia- Step 9</v>
      </c>
      <c r="BL72" t="s">
        <v>13</v>
      </c>
      <c r="BM72" t="s">
        <v>11</v>
      </c>
      <c r="BN72" t="s">
        <v>464</v>
      </c>
      <c r="BP72" t="s">
        <v>463</v>
      </c>
      <c r="BQ72" t="str">
        <f t="shared" si="29"/>
        <v>NatGrdExt_HRV_10</v>
      </c>
      <c r="BR72" t="str">
        <f t="shared" si="39"/>
        <v>Grid Extension -Croatia- Step 10</v>
      </c>
      <c r="BS72" t="s">
        <v>13</v>
      </c>
      <c r="BT72" t="s">
        <v>11</v>
      </c>
      <c r="BU72" t="s">
        <v>464</v>
      </c>
    </row>
    <row r="73" spans="1:73">
      <c r="A73" s="5" t="s">
        <v>556</v>
      </c>
      <c r="B73" s="5" t="s">
        <v>557</v>
      </c>
      <c r="E73" t="s">
        <v>463</v>
      </c>
      <c r="F73" t="str">
        <f t="shared" si="20"/>
        <v>NatGrdExt_HTI_1</v>
      </c>
      <c r="G73" t="str">
        <f t="shared" si="30"/>
        <v>Grid Extension -Haiti- Step 1</v>
      </c>
      <c r="H73" t="s">
        <v>13</v>
      </c>
      <c r="I73" t="s">
        <v>11</v>
      </c>
      <c r="J73" t="s">
        <v>464</v>
      </c>
      <c r="L73" t="s">
        <v>463</v>
      </c>
      <c r="M73" t="str">
        <f t="shared" si="21"/>
        <v>NatGrdExt_HTI_2</v>
      </c>
      <c r="N73" t="str">
        <f t="shared" si="31"/>
        <v>Grid Extension -Haiti- Step 2</v>
      </c>
      <c r="O73" t="s">
        <v>13</v>
      </c>
      <c r="P73" t="s">
        <v>11</v>
      </c>
      <c r="Q73" t="s">
        <v>464</v>
      </c>
      <c r="S73" t="s">
        <v>463</v>
      </c>
      <c r="T73" t="str">
        <f t="shared" si="22"/>
        <v>NatGrdExt_HTI_3</v>
      </c>
      <c r="U73" t="str">
        <f t="shared" si="32"/>
        <v>Grid Extension -Haiti- Step 3</v>
      </c>
      <c r="V73" t="s">
        <v>13</v>
      </c>
      <c r="W73" t="s">
        <v>11</v>
      </c>
      <c r="X73" t="s">
        <v>464</v>
      </c>
      <c r="Z73" t="s">
        <v>463</v>
      </c>
      <c r="AA73" t="str">
        <f t="shared" si="23"/>
        <v>NatGrdExt_HTI_4</v>
      </c>
      <c r="AB73" t="str">
        <f t="shared" si="33"/>
        <v>Grid Extension -Haiti- Step 4</v>
      </c>
      <c r="AC73" t="s">
        <v>13</v>
      </c>
      <c r="AD73" t="s">
        <v>11</v>
      </c>
      <c r="AE73" t="s">
        <v>464</v>
      </c>
      <c r="AG73" t="s">
        <v>463</v>
      </c>
      <c r="AH73" t="str">
        <f t="shared" si="24"/>
        <v>NatGrdExt_HTI_5</v>
      </c>
      <c r="AI73" t="str">
        <f t="shared" si="34"/>
        <v>Grid Extension -Haiti- Step 5</v>
      </c>
      <c r="AJ73" t="s">
        <v>13</v>
      </c>
      <c r="AK73" t="s">
        <v>11</v>
      </c>
      <c r="AL73" t="s">
        <v>464</v>
      </c>
      <c r="AN73" t="s">
        <v>463</v>
      </c>
      <c r="AO73" t="str">
        <f t="shared" si="25"/>
        <v>NatGrdExt_HTI_6</v>
      </c>
      <c r="AP73" t="str">
        <f t="shared" si="35"/>
        <v>Grid Extension -Haiti- Step 6</v>
      </c>
      <c r="AQ73" t="s">
        <v>13</v>
      </c>
      <c r="AR73" t="s">
        <v>11</v>
      </c>
      <c r="AS73" t="s">
        <v>464</v>
      </c>
      <c r="AU73" t="s">
        <v>463</v>
      </c>
      <c r="AV73" t="str">
        <f t="shared" si="26"/>
        <v>NatGrdExt_HTI_7</v>
      </c>
      <c r="AW73" t="str">
        <f t="shared" si="36"/>
        <v>Grid Extension -Haiti- Step 7</v>
      </c>
      <c r="AX73" t="s">
        <v>13</v>
      </c>
      <c r="AY73" t="s">
        <v>11</v>
      </c>
      <c r="AZ73" t="s">
        <v>464</v>
      </c>
      <c r="BB73" t="s">
        <v>463</v>
      </c>
      <c r="BC73" t="str">
        <f t="shared" si="27"/>
        <v>NatGrdExt_HTI_8</v>
      </c>
      <c r="BD73" t="str">
        <f t="shared" si="37"/>
        <v>Grid Extension -Haiti- Step 8</v>
      </c>
      <c r="BE73" t="s">
        <v>13</v>
      </c>
      <c r="BF73" t="s">
        <v>11</v>
      </c>
      <c r="BG73" t="s">
        <v>464</v>
      </c>
      <c r="BI73" t="s">
        <v>463</v>
      </c>
      <c r="BJ73" t="str">
        <f t="shared" si="28"/>
        <v>NatGrdExt_HTI_9</v>
      </c>
      <c r="BK73" t="str">
        <f t="shared" si="38"/>
        <v>Grid Extension -Haiti- Step 9</v>
      </c>
      <c r="BL73" t="s">
        <v>13</v>
      </c>
      <c r="BM73" t="s">
        <v>11</v>
      </c>
      <c r="BN73" t="s">
        <v>464</v>
      </c>
      <c r="BP73" t="s">
        <v>463</v>
      </c>
      <c r="BQ73" t="str">
        <f t="shared" si="29"/>
        <v>NatGrdExt_HTI_10</v>
      </c>
      <c r="BR73" t="str">
        <f t="shared" si="39"/>
        <v>Grid Extension -Haiti- Step 10</v>
      </c>
      <c r="BS73" t="s">
        <v>13</v>
      </c>
      <c r="BT73" t="s">
        <v>11</v>
      </c>
      <c r="BU73" t="s">
        <v>464</v>
      </c>
    </row>
    <row r="74" spans="1:73">
      <c r="A74" s="5" t="s">
        <v>38</v>
      </c>
      <c r="B74" s="5" t="s">
        <v>100</v>
      </c>
      <c r="E74" t="s">
        <v>463</v>
      </c>
      <c r="F74" t="str">
        <f t="shared" si="20"/>
        <v>NatGrdExt_HUN_1</v>
      </c>
      <c r="G74" t="str">
        <f t="shared" si="30"/>
        <v>Grid Extension -Hungary- Step 1</v>
      </c>
      <c r="H74" t="s">
        <v>13</v>
      </c>
      <c r="I74" t="s">
        <v>11</v>
      </c>
      <c r="J74" t="s">
        <v>464</v>
      </c>
      <c r="L74" t="s">
        <v>463</v>
      </c>
      <c r="M74" t="str">
        <f t="shared" si="21"/>
        <v>NatGrdExt_HUN_2</v>
      </c>
      <c r="N74" t="str">
        <f t="shared" si="31"/>
        <v>Grid Extension -Hungary- Step 2</v>
      </c>
      <c r="O74" t="s">
        <v>13</v>
      </c>
      <c r="P74" t="s">
        <v>11</v>
      </c>
      <c r="Q74" t="s">
        <v>464</v>
      </c>
      <c r="S74" t="s">
        <v>463</v>
      </c>
      <c r="T74" t="str">
        <f t="shared" si="22"/>
        <v>NatGrdExt_HUN_3</v>
      </c>
      <c r="U74" t="str">
        <f t="shared" si="32"/>
        <v>Grid Extension -Hungary- Step 3</v>
      </c>
      <c r="V74" t="s">
        <v>13</v>
      </c>
      <c r="W74" t="s">
        <v>11</v>
      </c>
      <c r="X74" t="s">
        <v>464</v>
      </c>
      <c r="Z74" t="s">
        <v>463</v>
      </c>
      <c r="AA74" t="str">
        <f t="shared" si="23"/>
        <v>NatGrdExt_HUN_4</v>
      </c>
      <c r="AB74" t="str">
        <f t="shared" si="33"/>
        <v>Grid Extension -Hungary- Step 4</v>
      </c>
      <c r="AC74" t="s">
        <v>13</v>
      </c>
      <c r="AD74" t="s">
        <v>11</v>
      </c>
      <c r="AE74" t="s">
        <v>464</v>
      </c>
      <c r="AG74" t="s">
        <v>463</v>
      </c>
      <c r="AH74" t="str">
        <f t="shared" si="24"/>
        <v>NatGrdExt_HUN_5</v>
      </c>
      <c r="AI74" t="str">
        <f t="shared" si="34"/>
        <v>Grid Extension -Hungary- Step 5</v>
      </c>
      <c r="AJ74" t="s">
        <v>13</v>
      </c>
      <c r="AK74" t="s">
        <v>11</v>
      </c>
      <c r="AL74" t="s">
        <v>464</v>
      </c>
      <c r="AN74" t="s">
        <v>463</v>
      </c>
      <c r="AO74" t="str">
        <f t="shared" si="25"/>
        <v>NatGrdExt_HUN_6</v>
      </c>
      <c r="AP74" t="str">
        <f t="shared" si="35"/>
        <v>Grid Extension -Hungary- Step 6</v>
      </c>
      <c r="AQ74" t="s">
        <v>13</v>
      </c>
      <c r="AR74" t="s">
        <v>11</v>
      </c>
      <c r="AS74" t="s">
        <v>464</v>
      </c>
      <c r="AU74" t="s">
        <v>463</v>
      </c>
      <c r="AV74" t="str">
        <f t="shared" si="26"/>
        <v>NatGrdExt_HUN_7</v>
      </c>
      <c r="AW74" t="str">
        <f t="shared" si="36"/>
        <v>Grid Extension -Hungary- Step 7</v>
      </c>
      <c r="AX74" t="s">
        <v>13</v>
      </c>
      <c r="AY74" t="s">
        <v>11</v>
      </c>
      <c r="AZ74" t="s">
        <v>464</v>
      </c>
      <c r="BB74" t="s">
        <v>463</v>
      </c>
      <c r="BC74" t="str">
        <f t="shared" si="27"/>
        <v>NatGrdExt_HUN_8</v>
      </c>
      <c r="BD74" t="str">
        <f t="shared" si="37"/>
        <v>Grid Extension -Hungary- Step 8</v>
      </c>
      <c r="BE74" t="s">
        <v>13</v>
      </c>
      <c r="BF74" t="s">
        <v>11</v>
      </c>
      <c r="BG74" t="s">
        <v>464</v>
      </c>
      <c r="BI74" t="s">
        <v>463</v>
      </c>
      <c r="BJ74" t="str">
        <f t="shared" si="28"/>
        <v>NatGrdExt_HUN_9</v>
      </c>
      <c r="BK74" t="str">
        <f t="shared" si="38"/>
        <v>Grid Extension -Hungary- Step 9</v>
      </c>
      <c r="BL74" t="s">
        <v>13</v>
      </c>
      <c r="BM74" t="s">
        <v>11</v>
      </c>
      <c r="BN74" t="s">
        <v>464</v>
      </c>
      <c r="BP74" t="s">
        <v>463</v>
      </c>
      <c r="BQ74" t="str">
        <f t="shared" si="29"/>
        <v>NatGrdExt_HUN_10</v>
      </c>
      <c r="BR74" t="str">
        <f t="shared" si="39"/>
        <v>Grid Extension -Hungary- Step 10</v>
      </c>
      <c r="BS74" t="s">
        <v>13</v>
      </c>
      <c r="BT74" t="s">
        <v>11</v>
      </c>
      <c r="BU74" t="s">
        <v>464</v>
      </c>
    </row>
    <row r="75" spans="1:73">
      <c r="A75" s="5" t="s">
        <v>39</v>
      </c>
      <c r="B75" s="5" t="s">
        <v>101</v>
      </c>
      <c r="E75" t="s">
        <v>463</v>
      </c>
      <c r="F75" t="str">
        <f t="shared" si="20"/>
        <v>NatGrdExt_IDN_1</v>
      </c>
      <c r="G75" t="str">
        <f t="shared" si="30"/>
        <v>Grid Extension -Indonesia- Step 1</v>
      </c>
      <c r="H75" t="s">
        <v>13</v>
      </c>
      <c r="I75" t="s">
        <v>11</v>
      </c>
      <c r="J75" t="s">
        <v>464</v>
      </c>
      <c r="L75" t="s">
        <v>463</v>
      </c>
      <c r="M75" t="str">
        <f t="shared" si="21"/>
        <v>NatGrdExt_IDN_2</v>
      </c>
      <c r="N75" t="str">
        <f t="shared" si="31"/>
        <v>Grid Extension -Indonesia- Step 2</v>
      </c>
      <c r="O75" t="s">
        <v>13</v>
      </c>
      <c r="P75" t="s">
        <v>11</v>
      </c>
      <c r="Q75" t="s">
        <v>464</v>
      </c>
      <c r="S75" t="s">
        <v>463</v>
      </c>
      <c r="T75" t="str">
        <f t="shared" si="22"/>
        <v>NatGrdExt_IDN_3</v>
      </c>
      <c r="U75" t="str">
        <f t="shared" si="32"/>
        <v>Grid Extension -Indonesia- Step 3</v>
      </c>
      <c r="V75" t="s">
        <v>13</v>
      </c>
      <c r="W75" t="s">
        <v>11</v>
      </c>
      <c r="X75" t="s">
        <v>464</v>
      </c>
      <c r="Z75" t="s">
        <v>463</v>
      </c>
      <c r="AA75" t="str">
        <f t="shared" si="23"/>
        <v>NatGrdExt_IDN_4</v>
      </c>
      <c r="AB75" t="str">
        <f t="shared" si="33"/>
        <v>Grid Extension -Indonesia- Step 4</v>
      </c>
      <c r="AC75" t="s">
        <v>13</v>
      </c>
      <c r="AD75" t="s">
        <v>11</v>
      </c>
      <c r="AE75" t="s">
        <v>464</v>
      </c>
      <c r="AG75" t="s">
        <v>463</v>
      </c>
      <c r="AH75" t="str">
        <f t="shared" si="24"/>
        <v>NatGrdExt_IDN_5</v>
      </c>
      <c r="AI75" t="str">
        <f t="shared" si="34"/>
        <v>Grid Extension -Indonesia- Step 5</v>
      </c>
      <c r="AJ75" t="s">
        <v>13</v>
      </c>
      <c r="AK75" t="s">
        <v>11</v>
      </c>
      <c r="AL75" t="s">
        <v>464</v>
      </c>
      <c r="AN75" t="s">
        <v>463</v>
      </c>
      <c r="AO75" t="str">
        <f t="shared" si="25"/>
        <v>NatGrdExt_IDN_6</v>
      </c>
      <c r="AP75" t="str">
        <f t="shared" si="35"/>
        <v>Grid Extension -Indonesia- Step 6</v>
      </c>
      <c r="AQ75" t="s">
        <v>13</v>
      </c>
      <c r="AR75" t="s">
        <v>11</v>
      </c>
      <c r="AS75" t="s">
        <v>464</v>
      </c>
      <c r="AU75" t="s">
        <v>463</v>
      </c>
      <c r="AV75" t="str">
        <f t="shared" si="26"/>
        <v>NatGrdExt_IDN_7</v>
      </c>
      <c r="AW75" t="str">
        <f t="shared" si="36"/>
        <v>Grid Extension -Indonesia- Step 7</v>
      </c>
      <c r="AX75" t="s">
        <v>13</v>
      </c>
      <c r="AY75" t="s">
        <v>11</v>
      </c>
      <c r="AZ75" t="s">
        <v>464</v>
      </c>
      <c r="BB75" t="s">
        <v>463</v>
      </c>
      <c r="BC75" t="str">
        <f t="shared" si="27"/>
        <v>NatGrdExt_IDN_8</v>
      </c>
      <c r="BD75" t="str">
        <f t="shared" si="37"/>
        <v>Grid Extension -Indonesia- Step 8</v>
      </c>
      <c r="BE75" t="s">
        <v>13</v>
      </c>
      <c r="BF75" t="s">
        <v>11</v>
      </c>
      <c r="BG75" t="s">
        <v>464</v>
      </c>
      <c r="BI75" t="s">
        <v>463</v>
      </c>
      <c r="BJ75" t="str">
        <f t="shared" si="28"/>
        <v>NatGrdExt_IDN_9</v>
      </c>
      <c r="BK75" t="str">
        <f t="shared" si="38"/>
        <v>Grid Extension -Indonesia- Step 9</v>
      </c>
      <c r="BL75" t="s">
        <v>13</v>
      </c>
      <c r="BM75" t="s">
        <v>11</v>
      </c>
      <c r="BN75" t="s">
        <v>464</v>
      </c>
      <c r="BP75" t="s">
        <v>463</v>
      </c>
      <c r="BQ75" t="str">
        <f t="shared" si="29"/>
        <v>NatGrdExt_IDN_10</v>
      </c>
      <c r="BR75" t="str">
        <f t="shared" si="39"/>
        <v>Grid Extension -Indonesia- Step 10</v>
      </c>
      <c r="BS75" t="s">
        <v>13</v>
      </c>
      <c r="BT75" t="s">
        <v>11</v>
      </c>
      <c r="BU75" t="s">
        <v>464</v>
      </c>
    </row>
    <row r="76" spans="1:73">
      <c r="A76" s="5" t="s">
        <v>40</v>
      </c>
      <c r="B76" s="5" t="s">
        <v>102</v>
      </c>
      <c r="E76" t="s">
        <v>463</v>
      </c>
      <c r="F76" t="str">
        <f t="shared" si="20"/>
        <v>NatGrdExt_IND_1</v>
      </c>
      <c r="G76" t="str">
        <f t="shared" si="30"/>
        <v>Grid Extension -India- Step 1</v>
      </c>
      <c r="H76" t="s">
        <v>13</v>
      </c>
      <c r="I76" t="s">
        <v>11</v>
      </c>
      <c r="J76" t="s">
        <v>464</v>
      </c>
      <c r="L76" t="s">
        <v>463</v>
      </c>
      <c r="M76" t="str">
        <f t="shared" si="21"/>
        <v>NatGrdExt_IND_2</v>
      </c>
      <c r="N76" t="str">
        <f t="shared" si="31"/>
        <v>Grid Extension -India- Step 2</v>
      </c>
      <c r="O76" t="s">
        <v>13</v>
      </c>
      <c r="P76" t="s">
        <v>11</v>
      </c>
      <c r="Q76" t="s">
        <v>464</v>
      </c>
      <c r="S76" t="s">
        <v>463</v>
      </c>
      <c r="T76" t="str">
        <f t="shared" si="22"/>
        <v>NatGrdExt_IND_3</v>
      </c>
      <c r="U76" t="str">
        <f t="shared" si="32"/>
        <v>Grid Extension -India- Step 3</v>
      </c>
      <c r="V76" t="s">
        <v>13</v>
      </c>
      <c r="W76" t="s">
        <v>11</v>
      </c>
      <c r="X76" t="s">
        <v>464</v>
      </c>
      <c r="Z76" t="s">
        <v>463</v>
      </c>
      <c r="AA76" t="str">
        <f t="shared" si="23"/>
        <v>NatGrdExt_IND_4</v>
      </c>
      <c r="AB76" t="str">
        <f t="shared" si="33"/>
        <v>Grid Extension -India- Step 4</v>
      </c>
      <c r="AC76" t="s">
        <v>13</v>
      </c>
      <c r="AD76" t="s">
        <v>11</v>
      </c>
      <c r="AE76" t="s">
        <v>464</v>
      </c>
      <c r="AG76" t="s">
        <v>463</v>
      </c>
      <c r="AH76" t="str">
        <f t="shared" si="24"/>
        <v>NatGrdExt_IND_5</v>
      </c>
      <c r="AI76" t="str">
        <f t="shared" si="34"/>
        <v>Grid Extension -India- Step 5</v>
      </c>
      <c r="AJ76" t="s">
        <v>13</v>
      </c>
      <c r="AK76" t="s">
        <v>11</v>
      </c>
      <c r="AL76" t="s">
        <v>464</v>
      </c>
      <c r="AN76" t="s">
        <v>463</v>
      </c>
      <c r="AO76" t="str">
        <f t="shared" si="25"/>
        <v>NatGrdExt_IND_6</v>
      </c>
      <c r="AP76" t="str">
        <f t="shared" si="35"/>
        <v>Grid Extension -India- Step 6</v>
      </c>
      <c r="AQ76" t="s">
        <v>13</v>
      </c>
      <c r="AR76" t="s">
        <v>11</v>
      </c>
      <c r="AS76" t="s">
        <v>464</v>
      </c>
      <c r="AU76" t="s">
        <v>463</v>
      </c>
      <c r="AV76" t="str">
        <f t="shared" si="26"/>
        <v>NatGrdExt_IND_7</v>
      </c>
      <c r="AW76" t="str">
        <f t="shared" si="36"/>
        <v>Grid Extension -India- Step 7</v>
      </c>
      <c r="AX76" t="s">
        <v>13</v>
      </c>
      <c r="AY76" t="s">
        <v>11</v>
      </c>
      <c r="AZ76" t="s">
        <v>464</v>
      </c>
      <c r="BB76" t="s">
        <v>463</v>
      </c>
      <c r="BC76" t="str">
        <f t="shared" si="27"/>
        <v>NatGrdExt_IND_8</v>
      </c>
      <c r="BD76" t="str">
        <f t="shared" si="37"/>
        <v>Grid Extension -India- Step 8</v>
      </c>
      <c r="BE76" t="s">
        <v>13</v>
      </c>
      <c r="BF76" t="s">
        <v>11</v>
      </c>
      <c r="BG76" t="s">
        <v>464</v>
      </c>
      <c r="BI76" t="s">
        <v>463</v>
      </c>
      <c r="BJ76" t="str">
        <f t="shared" si="28"/>
        <v>NatGrdExt_IND_9</v>
      </c>
      <c r="BK76" t="str">
        <f t="shared" si="38"/>
        <v>Grid Extension -India- Step 9</v>
      </c>
      <c r="BL76" t="s">
        <v>13</v>
      </c>
      <c r="BM76" t="s">
        <v>11</v>
      </c>
      <c r="BN76" t="s">
        <v>464</v>
      </c>
      <c r="BP76" t="s">
        <v>463</v>
      </c>
      <c r="BQ76" t="str">
        <f t="shared" si="29"/>
        <v>NatGrdExt_IND_10</v>
      </c>
      <c r="BR76" t="str">
        <f t="shared" si="39"/>
        <v>Grid Extension -India- Step 10</v>
      </c>
      <c r="BS76" t="s">
        <v>13</v>
      </c>
      <c r="BT76" t="s">
        <v>11</v>
      </c>
      <c r="BU76" t="s">
        <v>464</v>
      </c>
    </row>
    <row r="77" spans="1:73">
      <c r="A77" s="5" t="s">
        <v>558</v>
      </c>
      <c r="B77" s="5" t="s">
        <v>559</v>
      </c>
      <c r="E77" t="s">
        <v>463</v>
      </c>
      <c r="F77" t="str">
        <f t="shared" si="20"/>
        <v>NatGrdExt_IRL_1</v>
      </c>
      <c r="G77" t="str">
        <f t="shared" si="30"/>
        <v>Grid Extension -Ireland- Step 1</v>
      </c>
      <c r="H77" t="s">
        <v>13</v>
      </c>
      <c r="I77" t="s">
        <v>11</v>
      </c>
      <c r="J77" t="s">
        <v>464</v>
      </c>
      <c r="L77" t="s">
        <v>463</v>
      </c>
      <c r="M77" t="str">
        <f t="shared" si="21"/>
        <v>NatGrdExt_IRL_2</v>
      </c>
      <c r="N77" t="str">
        <f t="shared" si="31"/>
        <v>Grid Extension -Ireland- Step 2</v>
      </c>
      <c r="O77" t="s">
        <v>13</v>
      </c>
      <c r="P77" t="s">
        <v>11</v>
      </c>
      <c r="Q77" t="s">
        <v>464</v>
      </c>
      <c r="S77" t="s">
        <v>463</v>
      </c>
      <c r="T77" t="str">
        <f t="shared" si="22"/>
        <v>NatGrdExt_IRL_3</v>
      </c>
      <c r="U77" t="str">
        <f t="shared" si="32"/>
        <v>Grid Extension -Ireland- Step 3</v>
      </c>
      <c r="V77" t="s">
        <v>13</v>
      </c>
      <c r="W77" t="s">
        <v>11</v>
      </c>
      <c r="X77" t="s">
        <v>464</v>
      </c>
      <c r="Z77" t="s">
        <v>463</v>
      </c>
      <c r="AA77" t="str">
        <f t="shared" si="23"/>
        <v>NatGrdExt_IRL_4</v>
      </c>
      <c r="AB77" t="str">
        <f t="shared" si="33"/>
        <v>Grid Extension -Ireland- Step 4</v>
      </c>
      <c r="AC77" t="s">
        <v>13</v>
      </c>
      <c r="AD77" t="s">
        <v>11</v>
      </c>
      <c r="AE77" t="s">
        <v>464</v>
      </c>
      <c r="AG77" t="s">
        <v>463</v>
      </c>
      <c r="AH77" t="str">
        <f t="shared" si="24"/>
        <v>NatGrdExt_IRL_5</v>
      </c>
      <c r="AI77" t="str">
        <f t="shared" si="34"/>
        <v>Grid Extension -Ireland- Step 5</v>
      </c>
      <c r="AJ77" t="s">
        <v>13</v>
      </c>
      <c r="AK77" t="s">
        <v>11</v>
      </c>
      <c r="AL77" t="s">
        <v>464</v>
      </c>
      <c r="AN77" t="s">
        <v>463</v>
      </c>
      <c r="AO77" t="str">
        <f t="shared" si="25"/>
        <v>NatGrdExt_IRL_6</v>
      </c>
      <c r="AP77" t="str">
        <f t="shared" si="35"/>
        <v>Grid Extension -Ireland- Step 6</v>
      </c>
      <c r="AQ77" t="s">
        <v>13</v>
      </c>
      <c r="AR77" t="s">
        <v>11</v>
      </c>
      <c r="AS77" t="s">
        <v>464</v>
      </c>
      <c r="AU77" t="s">
        <v>463</v>
      </c>
      <c r="AV77" t="str">
        <f t="shared" si="26"/>
        <v>NatGrdExt_IRL_7</v>
      </c>
      <c r="AW77" t="str">
        <f t="shared" si="36"/>
        <v>Grid Extension -Ireland- Step 7</v>
      </c>
      <c r="AX77" t="s">
        <v>13</v>
      </c>
      <c r="AY77" t="s">
        <v>11</v>
      </c>
      <c r="AZ77" t="s">
        <v>464</v>
      </c>
      <c r="BB77" t="s">
        <v>463</v>
      </c>
      <c r="BC77" t="str">
        <f t="shared" si="27"/>
        <v>NatGrdExt_IRL_8</v>
      </c>
      <c r="BD77" t="str">
        <f t="shared" si="37"/>
        <v>Grid Extension -Ireland- Step 8</v>
      </c>
      <c r="BE77" t="s">
        <v>13</v>
      </c>
      <c r="BF77" t="s">
        <v>11</v>
      </c>
      <c r="BG77" t="s">
        <v>464</v>
      </c>
      <c r="BI77" t="s">
        <v>463</v>
      </c>
      <c r="BJ77" t="str">
        <f t="shared" si="28"/>
        <v>NatGrdExt_IRL_9</v>
      </c>
      <c r="BK77" t="str">
        <f t="shared" si="38"/>
        <v>Grid Extension -Ireland- Step 9</v>
      </c>
      <c r="BL77" t="s">
        <v>13</v>
      </c>
      <c r="BM77" t="s">
        <v>11</v>
      </c>
      <c r="BN77" t="s">
        <v>464</v>
      </c>
      <c r="BP77" t="s">
        <v>463</v>
      </c>
      <c r="BQ77" t="str">
        <f t="shared" si="29"/>
        <v>NatGrdExt_IRL_10</v>
      </c>
      <c r="BR77" t="str">
        <f t="shared" si="39"/>
        <v>Grid Extension -Ireland- Step 10</v>
      </c>
      <c r="BS77" t="s">
        <v>13</v>
      </c>
      <c r="BT77" t="s">
        <v>11</v>
      </c>
      <c r="BU77" t="s">
        <v>464</v>
      </c>
    </row>
    <row r="78" spans="1:73">
      <c r="A78" s="5" t="s">
        <v>560</v>
      </c>
      <c r="B78" s="5" t="s">
        <v>561</v>
      </c>
      <c r="E78" t="s">
        <v>463</v>
      </c>
      <c r="F78" t="str">
        <f t="shared" si="20"/>
        <v>NatGrdExt_IRN_1</v>
      </c>
      <c r="G78" t="str">
        <f t="shared" si="30"/>
        <v>Grid Extension -Iran- Step 1</v>
      </c>
      <c r="H78" t="s">
        <v>13</v>
      </c>
      <c r="I78" t="s">
        <v>11</v>
      </c>
      <c r="J78" t="s">
        <v>464</v>
      </c>
      <c r="L78" t="s">
        <v>463</v>
      </c>
      <c r="M78" t="str">
        <f t="shared" si="21"/>
        <v>NatGrdExt_IRN_2</v>
      </c>
      <c r="N78" t="str">
        <f t="shared" si="31"/>
        <v>Grid Extension -Iran- Step 2</v>
      </c>
      <c r="O78" t="s">
        <v>13</v>
      </c>
      <c r="P78" t="s">
        <v>11</v>
      </c>
      <c r="Q78" t="s">
        <v>464</v>
      </c>
      <c r="S78" t="s">
        <v>463</v>
      </c>
      <c r="T78" t="str">
        <f t="shared" si="22"/>
        <v>NatGrdExt_IRN_3</v>
      </c>
      <c r="U78" t="str">
        <f t="shared" si="32"/>
        <v>Grid Extension -Iran- Step 3</v>
      </c>
      <c r="V78" t="s">
        <v>13</v>
      </c>
      <c r="W78" t="s">
        <v>11</v>
      </c>
      <c r="X78" t="s">
        <v>464</v>
      </c>
      <c r="Z78" t="s">
        <v>463</v>
      </c>
      <c r="AA78" t="str">
        <f t="shared" si="23"/>
        <v>NatGrdExt_IRN_4</v>
      </c>
      <c r="AB78" t="str">
        <f t="shared" si="33"/>
        <v>Grid Extension -Iran- Step 4</v>
      </c>
      <c r="AC78" t="s">
        <v>13</v>
      </c>
      <c r="AD78" t="s">
        <v>11</v>
      </c>
      <c r="AE78" t="s">
        <v>464</v>
      </c>
      <c r="AG78" t="s">
        <v>463</v>
      </c>
      <c r="AH78" t="str">
        <f t="shared" si="24"/>
        <v>NatGrdExt_IRN_5</v>
      </c>
      <c r="AI78" t="str">
        <f t="shared" si="34"/>
        <v>Grid Extension -Iran- Step 5</v>
      </c>
      <c r="AJ78" t="s">
        <v>13</v>
      </c>
      <c r="AK78" t="s">
        <v>11</v>
      </c>
      <c r="AL78" t="s">
        <v>464</v>
      </c>
      <c r="AN78" t="s">
        <v>463</v>
      </c>
      <c r="AO78" t="str">
        <f t="shared" si="25"/>
        <v>NatGrdExt_IRN_6</v>
      </c>
      <c r="AP78" t="str">
        <f t="shared" si="35"/>
        <v>Grid Extension -Iran- Step 6</v>
      </c>
      <c r="AQ78" t="s">
        <v>13</v>
      </c>
      <c r="AR78" t="s">
        <v>11</v>
      </c>
      <c r="AS78" t="s">
        <v>464</v>
      </c>
      <c r="AU78" t="s">
        <v>463</v>
      </c>
      <c r="AV78" t="str">
        <f t="shared" si="26"/>
        <v>NatGrdExt_IRN_7</v>
      </c>
      <c r="AW78" t="str">
        <f t="shared" si="36"/>
        <v>Grid Extension -Iran- Step 7</v>
      </c>
      <c r="AX78" t="s">
        <v>13</v>
      </c>
      <c r="AY78" t="s">
        <v>11</v>
      </c>
      <c r="AZ78" t="s">
        <v>464</v>
      </c>
      <c r="BB78" t="s">
        <v>463</v>
      </c>
      <c r="BC78" t="str">
        <f t="shared" si="27"/>
        <v>NatGrdExt_IRN_8</v>
      </c>
      <c r="BD78" t="str">
        <f t="shared" si="37"/>
        <v>Grid Extension -Iran- Step 8</v>
      </c>
      <c r="BE78" t="s">
        <v>13</v>
      </c>
      <c r="BF78" t="s">
        <v>11</v>
      </c>
      <c r="BG78" t="s">
        <v>464</v>
      </c>
      <c r="BI78" t="s">
        <v>463</v>
      </c>
      <c r="BJ78" t="str">
        <f t="shared" si="28"/>
        <v>NatGrdExt_IRN_9</v>
      </c>
      <c r="BK78" t="str">
        <f t="shared" si="38"/>
        <v>Grid Extension -Iran- Step 9</v>
      </c>
      <c r="BL78" t="s">
        <v>13</v>
      </c>
      <c r="BM78" t="s">
        <v>11</v>
      </c>
      <c r="BN78" t="s">
        <v>464</v>
      </c>
      <c r="BP78" t="s">
        <v>463</v>
      </c>
      <c r="BQ78" t="str">
        <f t="shared" si="29"/>
        <v>NatGrdExt_IRN_10</v>
      </c>
      <c r="BR78" t="str">
        <f t="shared" si="39"/>
        <v>Grid Extension -Iran- Step 10</v>
      </c>
      <c r="BS78" t="s">
        <v>13</v>
      </c>
      <c r="BT78" t="s">
        <v>11</v>
      </c>
      <c r="BU78" t="s">
        <v>464</v>
      </c>
    </row>
    <row r="79" spans="1:73">
      <c r="A79" s="5" t="s">
        <v>562</v>
      </c>
      <c r="B79" s="5" t="s">
        <v>563</v>
      </c>
      <c r="E79" t="s">
        <v>463</v>
      </c>
      <c r="F79" t="str">
        <f t="shared" si="20"/>
        <v>NatGrdExt_IRQ_1</v>
      </c>
      <c r="G79" t="str">
        <f t="shared" si="30"/>
        <v>Grid Extension -Iraq- Step 1</v>
      </c>
      <c r="H79" t="s">
        <v>13</v>
      </c>
      <c r="I79" t="s">
        <v>11</v>
      </c>
      <c r="J79" t="s">
        <v>464</v>
      </c>
      <c r="L79" t="s">
        <v>463</v>
      </c>
      <c r="M79" t="str">
        <f t="shared" si="21"/>
        <v>NatGrdExt_IRQ_2</v>
      </c>
      <c r="N79" t="str">
        <f t="shared" si="31"/>
        <v>Grid Extension -Iraq- Step 2</v>
      </c>
      <c r="O79" t="s">
        <v>13</v>
      </c>
      <c r="P79" t="s">
        <v>11</v>
      </c>
      <c r="Q79" t="s">
        <v>464</v>
      </c>
      <c r="S79" t="s">
        <v>463</v>
      </c>
      <c r="T79" t="str">
        <f t="shared" si="22"/>
        <v>NatGrdExt_IRQ_3</v>
      </c>
      <c r="U79" t="str">
        <f t="shared" si="32"/>
        <v>Grid Extension -Iraq- Step 3</v>
      </c>
      <c r="V79" t="s">
        <v>13</v>
      </c>
      <c r="W79" t="s">
        <v>11</v>
      </c>
      <c r="X79" t="s">
        <v>464</v>
      </c>
      <c r="Z79" t="s">
        <v>463</v>
      </c>
      <c r="AA79" t="str">
        <f t="shared" si="23"/>
        <v>NatGrdExt_IRQ_4</v>
      </c>
      <c r="AB79" t="str">
        <f t="shared" si="33"/>
        <v>Grid Extension -Iraq- Step 4</v>
      </c>
      <c r="AC79" t="s">
        <v>13</v>
      </c>
      <c r="AD79" t="s">
        <v>11</v>
      </c>
      <c r="AE79" t="s">
        <v>464</v>
      </c>
      <c r="AG79" t="s">
        <v>463</v>
      </c>
      <c r="AH79" t="str">
        <f t="shared" si="24"/>
        <v>NatGrdExt_IRQ_5</v>
      </c>
      <c r="AI79" t="str">
        <f t="shared" si="34"/>
        <v>Grid Extension -Iraq- Step 5</v>
      </c>
      <c r="AJ79" t="s">
        <v>13</v>
      </c>
      <c r="AK79" t="s">
        <v>11</v>
      </c>
      <c r="AL79" t="s">
        <v>464</v>
      </c>
      <c r="AN79" t="s">
        <v>463</v>
      </c>
      <c r="AO79" t="str">
        <f t="shared" si="25"/>
        <v>NatGrdExt_IRQ_6</v>
      </c>
      <c r="AP79" t="str">
        <f t="shared" si="35"/>
        <v>Grid Extension -Iraq- Step 6</v>
      </c>
      <c r="AQ79" t="s">
        <v>13</v>
      </c>
      <c r="AR79" t="s">
        <v>11</v>
      </c>
      <c r="AS79" t="s">
        <v>464</v>
      </c>
      <c r="AU79" t="s">
        <v>463</v>
      </c>
      <c r="AV79" t="str">
        <f t="shared" si="26"/>
        <v>NatGrdExt_IRQ_7</v>
      </c>
      <c r="AW79" t="str">
        <f t="shared" si="36"/>
        <v>Grid Extension -Iraq- Step 7</v>
      </c>
      <c r="AX79" t="s">
        <v>13</v>
      </c>
      <c r="AY79" t="s">
        <v>11</v>
      </c>
      <c r="AZ79" t="s">
        <v>464</v>
      </c>
      <c r="BB79" t="s">
        <v>463</v>
      </c>
      <c r="BC79" t="str">
        <f t="shared" si="27"/>
        <v>NatGrdExt_IRQ_8</v>
      </c>
      <c r="BD79" t="str">
        <f t="shared" si="37"/>
        <v>Grid Extension -Iraq- Step 8</v>
      </c>
      <c r="BE79" t="s">
        <v>13</v>
      </c>
      <c r="BF79" t="s">
        <v>11</v>
      </c>
      <c r="BG79" t="s">
        <v>464</v>
      </c>
      <c r="BI79" t="s">
        <v>463</v>
      </c>
      <c r="BJ79" t="str">
        <f t="shared" si="28"/>
        <v>NatGrdExt_IRQ_9</v>
      </c>
      <c r="BK79" t="str">
        <f t="shared" si="38"/>
        <v>Grid Extension -Iraq- Step 9</v>
      </c>
      <c r="BL79" t="s">
        <v>13</v>
      </c>
      <c r="BM79" t="s">
        <v>11</v>
      </c>
      <c r="BN79" t="s">
        <v>464</v>
      </c>
      <c r="BP79" t="s">
        <v>463</v>
      </c>
      <c r="BQ79" t="str">
        <f t="shared" si="29"/>
        <v>NatGrdExt_IRQ_10</v>
      </c>
      <c r="BR79" t="str">
        <f t="shared" si="39"/>
        <v>Grid Extension -Iraq- Step 10</v>
      </c>
      <c r="BS79" t="s">
        <v>13</v>
      </c>
      <c r="BT79" t="s">
        <v>11</v>
      </c>
      <c r="BU79" t="s">
        <v>464</v>
      </c>
    </row>
    <row r="80" spans="1:73">
      <c r="A80" s="5" t="s">
        <v>564</v>
      </c>
      <c r="B80" s="5" t="s">
        <v>565</v>
      </c>
      <c r="E80" t="s">
        <v>463</v>
      </c>
      <c r="F80" t="str">
        <f t="shared" si="20"/>
        <v>NatGrdExt_ISL_1</v>
      </c>
      <c r="G80" t="str">
        <f t="shared" si="30"/>
        <v>Grid Extension -Iceland- Step 1</v>
      </c>
      <c r="H80" t="s">
        <v>13</v>
      </c>
      <c r="I80" t="s">
        <v>11</v>
      </c>
      <c r="J80" t="s">
        <v>464</v>
      </c>
      <c r="L80" t="s">
        <v>463</v>
      </c>
      <c r="M80" t="str">
        <f t="shared" si="21"/>
        <v>NatGrdExt_ISL_2</v>
      </c>
      <c r="N80" t="str">
        <f t="shared" si="31"/>
        <v>Grid Extension -Iceland- Step 2</v>
      </c>
      <c r="O80" t="s">
        <v>13</v>
      </c>
      <c r="P80" t="s">
        <v>11</v>
      </c>
      <c r="Q80" t="s">
        <v>464</v>
      </c>
      <c r="S80" t="s">
        <v>463</v>
      </c>
      <c r="T80" t="str">
        <f t="shared" si="22"/>
        <v>NatGrdExt_ISL_3</v>
      </c>
      <c r="U80" t="str">
        <f t="shared" si="32"/>
        <v>Grid Extension -Iceland- Step 3</v>
      </c>
      <c r="V80" t="s">
        <v>13</v>
      </c>
      <c r="W80" t="s">
        <v>11</v>
      </c>
      <c r="X80" t="s">
        <v>464</v>
      </c>
      <c r="Z80" t="s">
        <v>463</v>
      </c>
      <c r="AA80" t="str">
        <f t="shared" si="23"/>
        <v>NatGrdExt_ISL_4</v>
      </c>
      <c r="AB80" t="str">
        <f t="shared" si="33"/>
        <v>Grid Extension -Iceland- Step 4</v>
      </c>
      <c r="AC80" t="s">
        <v>13</v>
      </c>
      <c r="AD80" t="s">
        <v>11</v>
      </c>
      <c r="AE80" t="s">
        <v>464</v>
      </c>
      <c r="AG80" t="s">
        <v>463</v>
      </c>
      <c r="AH80" t="str">
        <f t="shared" si="24"/>
        <v>NatGrdExt_ISL_5</v>
      </c>
      <c r="AI80" t="str">
        <f t="shared" si="34"/>
        <v>Grid Extension -Iceland- Step 5</v>
      </c>
      <c r="AJ80" t="s">
        <v>13</v>
      </c>
      <c r="AK80" t="s">
        <v>11</v>
      </c>
      <c r="AL80" t="s">
        <v>464</v>
      </c>
      <c r="AN80" t="s">
        <v>463</v>
      </c>
      <c r="AO80" t="str">
        <f t="shared" si="25"/>
        <v>NatGrdExt_ISL_6</v>
      </c>
      <c r="AP80" t="str">
        <f t="shared" si="35"/>
        <v>Grid Extension -Iceland- Step 6</v>
      </c>
      <c r="AQ80" t="s">
        <v>13</v>
      </c>
      <c r="AR80" t="s">
        <v>11</v>
      </c>
      <c r="AS80" t="s">
        <v>464</v>
      </c>
      <c r="AU80" t="s">
        <v>463</v>
      </c>
      <c r="AV80" t="str">
        <f t="shared" si="26"/>
        <v>NatGrdExt_ISL_7</v>
      </c>
      <c r="AW80" t="str">
        <f t="shared" si="36"/>
        <v>Grid Extension -Iceland- Step 7</v>
      </c>
      <c r="AX80" t="s">
        <v>13</v>
      </c>
      <c r="AY80" t="s">
        <v>11</v>
      </c>
      <c r="AZ80" t="s">
        <v>464</v>
      </c>
      <c r="BB80" t="s">
        <v>463</v>
      </c>
      <c r="BC80" t="str">
        <f t="shared" si="27"/>
        <v>NatGrdExt_ISL_8</v>
      </c>
      <c r="BD80" t="str">
        <f t="shared" si="37"/>
        <v>Grid Extension -Iceland- Step 8</v>
      </c>
      <c r="BE80" t="s">
        <v>13</v>
      </c>
      <c r="BF80" t="s">
        <v>11</v>
      </c>
      <c r="BG80" t="s">
        <v>464</v>
      </c>
      <c r="BI80" t="s">
        <v>463</v>
      </c>
      <c r="BJ80" t="str">
        <f t="shared" si="28"/>
        <v>NatGrdExt_ISL_9</v>
      </c>
      <c r="BK80" t="str">
        <f t="shared" si="38"/>
        <v>Grid Extension -Iceland- Step 9</v>
      </c>
      <c r="BL80" t="s">
        <v>13</v>
      </c>
      <c r="BM80" t="s">
        <v>11</v>
      </c>
      <c r="BN80" t="s">
        <v>464</v>
      </c>
      <c r="BP80" t="s">
        <v>463</v>
      </c>
      <c r="BQ80" t="str">
        <f t="shared" si="29"/>
        <v>NatGrdExt_ISL_10</v>
      </c>
      <c r="BR80" t="str">
        <f t="shared" si="39"/>
        <v>Grid Extension -Iceland- Step 10</v>
      </c>
      <c r="BS80" t="s">
        <v>13</v>
      </c>
      <c r="BT80" t="s">
        <v>11</v>
      </c>
      <c r="BU80" t="s">
        <v>464</v>
      </c>
    </row>
    <row r="81" spans="1:73">
      <c r="A81" s="5" t="s">
        <v>41</v>
      </c>
      <c r="B81" s="5" t="s">
        <v>103</v>
      </c>
      <c r="E81" t="s">
        <v>463</v>
      </c>
      <c r="F81" t="str">
        <f t="shared" si="20"/>
        <v>NatGrdExt_ISR_1</v>
      </c>
      <c r="G81" t="str">
        <f t="shared" si="30"/>
        <v>Grid Extension -Israel- Step 1</v>
      </c>
      <c r="H81" t="s">
        <v>13</v>
      </c>
      <c r="I81" t="s">
        <v>11</v>
      </c>
      <c r="J81" t="s">
        <v>464</v>
      </c>
      <c r="L81" t="s">
        <v>463</v>
      </c>
      <c r="M81" t="str">
        <f t="shared" si="21"/>
        <v>NatGrdExt_ISR_2</v>
      </c>
      <c r="N81" t="str">
        <f t="shared" si="31"/>
        <v>Grid Extension -Israel- Step 2</v>
      </c>
      <c r="O81" t="s">
        <v>13</v>
      </c>
      <c r="P81" t="s">
        <v>11</v>
      </c>
      <c r="Q81" t="s">
        <v>464</v>
      </c>
      <c r="S81" t="s">
        <v>463</v>
      </c>
      <c r="T81" t="str">
        <f t="shared" si="22"/>
        <v>NatGrdExt_ISR_3</v>
      </c>
      <c r="U81" t="str">
        <f t="shared" si="32"/>
        <v>Grid Extension -Israel- Step 3</v>
      </c>
      <c r="V81" t="s">
        <v>13</v>
      </c>
      <c r="W81" t="s">
        <v>11</v>
      </c>
      <c r="X81" t="s">
        <v>464</v>
      </c>
      <c r="Z81" t="s">
        <v>463</v>
      </c>
      <c r="AA81" t="str">
        <f t="shared" si="23"/>
        <v>NatGrdExt_ISR_4</v>
      </c>
      <c r="AB81" t="str">
        <f t="shared" si="33"/>
        <v>Grid Extension -Israel- Step 4</v>
      </c>
      <c r="AC81" t="s">
        <v>13</v>
      </c>
      <c r="AD81" t="s">
        <v>11</v>
      </c>
      <c r="AE81" t="s">
        <v>464</v>
      </c>
      <c r="AG81" t="s">
        <v>463</v>
      </c>
      <c r="AH81" t="str">
        <f t="shared" si="24"/>
        <v>NatGrdExt_ISR_5</v>
      </c>
      <c r="AI81" t="str">
        <f t="shared" si="34"/>
        <v>Grid Extension -Israel- Step 5</v>
      </c>
      <c r="AJ81" t="s">
        <v>13</v>
      </c>
      <c r="AK81" t="s">
        <v>11</v>
      </c>
      <c r="AL81" t="s">
        <v>464</v>
      </c>
      <c r="AN81" t="s">
        <v>463</v>
      </c>
      <c r="AO81" t="str">
        <f t="shared" si="25"/>
        <v>NatGrdExt_ISR_6</v>
      </c>
      <c r="AP81" t="str">
        <f t="shared" si="35"/>
        <v>Grid Extension -Israel- Step 6</v>
      </c>
      <c r="AQ81" t="s">
        <v>13</v>
      </c>
      <c r="AR81" t="s">
        <v>11</v>
      </c>
      <c r="AS81" t="s">
        <v>464</v>
      </c>
      <c r="AU81" t="s">
        <v>463</v>
      </c>
      <c r="AV81" t="str">
        <f t="shared" si="26"/>
        <v>NatGrdExt_ISR_7</v>
      </c>
      <c r="AW81" t="str">
        <f t="shared" si="36"/>
        <v>Grid Extension -Israel- Step 7</v>
      </c>
      <c r="AX81" t="s">
        <v>13</v>
      </c>
      <c r="AY81" t="s">
        <v>11</v>
      </c>
      <c r="AZ81" t="s">
        <v>464</v>
      </c>
      <c r="BB81" t="s">
        <v>463</v>
      </c>
      <c r="BC81" t="str">
        <f t="shared" si="27"/>
        <v>NatGrdExt_ISR_8</v>
      </c>
      <c r="BD81" t="str">
        <f t="shared" si="37"/>
        <v>Grid Extension -Israel- Step 8</v>
      </c>
      <c r="BE81" t="s">
        <v>13</v>
      </c>
      <c r="BF81" t="s">
        <v>11</v>
      </c>
      <c r="BG81" t="s">
        <v>464</v>
      </c>
      <c r="BI81" t="s">
        <v>463</v>
      </c>
      <c r="BJ81" t="str">
        <f t="shared" si="28"/>
        <v>NatGrdExt_ISR_9</v>
      </c>
      <c r="BK81" t="str">
        <f t="shared" si="38"/>
        <v>Grid Extension -Israel- Step 9</v>
      </c>
      <c r="BL81" t="s">
        <v>13</v>
      </c>
      <c r="BM81" t="s">
        <v>11</v>
      </c>
      <c r="BN81" t="s">
        <v>464</v>
      </c>
      <c r="BP81" t="s">
        <v>463</v>
      </c>
      <c r="BQ81" t="str">
        <f t="shared" si="29"/>
        <v>NatGrdExt_ISR_10</v>
      </c>
      <c r="BR81" t="str">
        <f t="shared" si="39"/>
        <v>Grid Extension -Israel- Step 10</v>
      </c>
      <c r="BS81" t="s">
        <v>13</v>
      </c>
      <c r="BT81" t="s">
        <v>11</v>
      </c>
      <c r="BU81" t="s">
        <v>464</v>
      </c>
    </row>
    <row r="82" spans="1:73">
      <c r="A82" s="5" t="s">
        <v>566</v>
      </c>
      <c r="B82" s="5" t="s">
        <v>567</v>
      </c>
      <c r="E82" t="s">
        <v>463</v>
      </c>
      <c r="F82" t="str">
        <f t="shared" si="20"/>
        <v>NatGrdExt_ITA_1</v>
      </c>
      <c r="G82" t="str">
        <f t="shared" si="30"/>
        <v>Grid Extension -Italy- Step 1</v>
      </c>
      <c r="H82" t="s">
        <v>13</v>
      </c>
      <c r="I82" t="s">
        <v>11</v>
      </c>
      <c r="J82" t="s">
        <v>464</v>
      </c>
      <c r="L82" t="s">
        <v>463</v>
      </c>
      <c r="M82" t="str">
        <f t="shared" si="21"/>
        <v>NatGrdExt_ITA_2</v>
      </c>
      <c r="N82" t="str">
        <f t="shared" si="31"/>
        <v>Grid Extension -Italy- Step 2</v>
      </c>
      <c r="O82" t="s">
        <v>13</v>
      </c>
      <c r="P82" t="s">
        <v>11</v>
      </c>
      <c r="Q82" t="s">
        <v>464</v>
      </c>
      <c r="S82" t="s">
        <v>463</v>
      </c>
      <c r="T82" t="str">
        <f t="shared" si="22"/>
        <v>NatGrdExt_ITA_3</v>
      </c>
      <c r="U82" t="str">
        <f t="shared" si="32"/>
        <v>Grid Extension -Italy- Step 3</v>
      </c>
      <c r="V82" t="s">
        <v>13</v>
      </c>
      <c r="W82" t="s">
        <v>11</v>
      </c>
      <c r="X82" t="s">
        <v>464</v>
      </c>
      <c r="Z82" t="s">
        <v>463</v>
      </c>
      <c r="AA82" t="str">
        <f t="shared" si="23"/>
        <v>NatGrdExt_ITA_4</v>
      </c>
      <c r="AB82" t="str">
        <f t="shared" si="33"/>
        <v>Grid Extension -Italy- Step 4</v>
      </c>
      <c r="AC82" t="s">
        <v>13</v>
      </c>
      <c r="AD82" t="s">
        <v>11</v>
      </c>
      <c r="AE82" t="s">
        <v>464</v>
      </c>
      <c r="AG82" t="s">
        <v>463</v>
      </c>
      <c r="AH82" t="str">
        <f t="shared" si="24"/>
        <v>NatGrdExt_ITA_5</v>
      </c>
      <c r="AI82" t="str">
        <f t="shared" si="34"/>
        <v>Grid Extension -Italy- Step 5</v>
      </c>
      <c r="AJ82" t="s">
        <v>13</v>
      </c>
      <c r="AK82" t="s">
        <v>11</v>
      </c>
      <c r="AL82" t="s">
        <v>464</v>
      </c>
      <c r="AN82" t="s">
        <v>463</v>
      </c>
      <c r="AO82" t="str">
        <f t="shared" si="25"/>
        <v>NatGrdExt_ITA_6</v>
      </c>
      <c r="AP82" t="str">
        <f t="shared" si="35"/>
        <v>Grid Extension -Italy- Step 6</v>
      </c>
      <c r="AQ82" t="s">
        <v>13</v>
      </c>
      <c r="AR82" t="s">
        <v>11</v>
      </c>
      <c r="AS82" t="s">
        <v>464</v>
      </c>
      <c r="AU82" t="s">
        <v>463</v>
      </c>
      <c r="AV82" t="str">
        <f t="shared" si="26"/>
        <v>NatGrdExt_ITA_7</v>
      </c>
      <c r="AW82" t="str">
        <f t="shared" si="36"/>
        <v>Grid Extension -Italy- Step 7</v>
      </c>
      <c r="AX82" t="s">
        <v>13</v>
      </c>
      <c r="AY82" t="s">
        <v>11</v>
      </c>
      <c r="AZ82" t="s">
        <v>464</v>
      </c>
      <c r="BB82" t="s">
        <v>463</v>
      </c>
      <c r="BC82" t="str">
        <f t="shared" si="27"/>
        <v>NatGrdExt_ITA_8</v>
      </c>
      <c r="BD82" t="str">
        <f t="shared" si="37"/>
        <v>Grid Extension -Italy- Step 8</v>
      </c>
      <c r="BE82" t="s">
        <v>13</v>
      </c>
      <c r="BF82" t="s">
        <v>11</v>
      </c>
      <c r="BG82" t="s">
        <v>464</v>
      </c>
      <c r="BI82" t="s">
        <v>463</v>
      </c>
      <c r="BJ82" t="str">
        <f t="shared" si="28"/>
        <v>NatGrdExt_ITA_9</v>
      </c>
      <c r="BK82" t="str">
        <f t="shared" si="38"/>
        <v>Grid Extension -Italy- Step 9</v>
      </c>
      <c r="BL82" t="s">
        <v>13</v>
      </c>
      <c r="BM82" t="s">
        <v>11</v>
      </c>
      <c r="BN82" t="s">
        <v>464</v>
      </c>
      <c r="BP82" t="s">
        <v>463</v>
      </c>
      <c r="BQ82" t="str">
        <f t="shared" si="29"/>
        <v>NatGrdExt_ITA_10</v>
      </c>
      <c r="BR82" t="str">
        <f t="shared" si="39"/>
        <v>Grid Extension -Italy- Step 10</v>
      </c>
      <c r="BS82" t="s">
        <v>13</v>
      </c>
      <c r="BT82" t="s">
        <v>11</v>
      </c>
      <c r="BU82" t="s">
        <v>464</v>
      </c>
    </row>
    <row r="83" spans="1:73">
      <c r="A83" s="5" t="s">
        <v>568</v>
      </c>
      <c r="B83" s="5" t="s">
        <v>569</v>
      </c>
      <c r="E83" t="s">
        <v>463</v>
      </c>
      <c r="F83" t="str">
        <f t="shared" si="20"/>
        <v>NatGrdExt_JAM_1</v>
      </c>
      <c r="G83" t="str">
        <f t="shared" si="30"/>
        <v>Grid Extension -Jamaica- Step 1</v>
      </c>
      <c r="H83" t="s">
        <v>13</v>
      </c>
      <c r="I83" t="s">
        <v>11</v>
      </c>
      <c r="J83" t="s">
        <v>464</v>
      </c>
      <c r="L83" t="s">
        <v>463</v>
      </c>
      <c r="M83" t="str">
        <f t="shared" si="21"/>
        <v>NatGrdExt_JAM_2</v>
      </c>
      <c r="N83" t="str">
        <f t="shared" si="31"/>
        <v>Grid Extension -Jamaica- Step 2</v>
      </c>
      <c r="O83" t="s">
        <v>13</v>
      </c>
      <c r="P83" t="s">
        <v>11</v>
      </c>
      <c r="Q83" t="s">
        <v>464</v>
      </c>
      <c r="S83" t="s">
        <v>463</v>
      </c>
      <c r="T83" t="str">
        <f t="shared" si="22"/>
        <v>NatGrdExt_JAM_3</v>
      </c>
      <c r="U83" t="str">
        <f t="shared" si="32"/>
        <v>Grid Extension -Jamaica- Step 3</v>
      </c>
      <c r="V83" t="s">
        <v>13</v>
      </c>
      <c r="W83" t="s">
        <v>11</v>
      </c>
      <c r="X83" t="s">
        <v>464</v>
      </c>
      <c r="Z83" t="s">
        <v>463</v>
      </c>
      <c r="AA83" t="str">
        <f t="shared" si="23"/>
        <v>NatGrdExt_JAM_4</v>
      </c>
      <c r="AB83" t="str">
        <f t="shared" si="33"/>
        <v>Grid Extension -Jamaica- Step 4</v>
      </c>
      <c r="AC83" t="s">
        <v>13</v>
      </c>
      <c r="AD83" t="s">
        <v>11</v>
      </c>
      <c r="AE83" t="s">
        <v>464</v>
      </c>
      <c r="AG83" t="s">
        <v>463</v>
      </c>
      <c r="AH83" t="str">
        <f t="shared" si="24"/>
        <v>NatGrdExt_JAM_5</v>
      </c>
      <c r="AI83" t="str">
        <f t="shared" si="34"/>
        <v>Grid Extension -Jamaica- Step 5</v>
      </c>
      <c r="AJ83" t="s">
        <v>13</v>
      </c>
      <c r="AK83" t="s">
        <v>11</v>
      </c>
      <c r="AL83" t="s">
        <v>464</v>
      </c>
      <c r="AN83" t="s">
        <v>463</v>
      </c>
      <c r="AO83" t="str">
        <f t="shared" si="25"/>
        <v>NatGrdExt_JAM_6</v>
      </c>
      <c r="AP83" t="str">
        <f t="shared" si="35"/>
        <v>Grid Extension -Jamaica- Step 6</v>
      </c>
      <c r="AQ83" t="s">
        <v>13</v>
      </c>
      <c r="AR83" t="s">
        <v>11</v>
      </c>
      <c r="AS83" t="s">
        <v>464</v>
      </c>
      <c r="AU83" t="s">
        <v>463</v>
      </c>
      <c r="AV83" t="str">
        <f t="shared" si="26"/>
        <v>NatGrdExt_JAM_7</v>
      </c>
      <c r="AW83" t="str">
        <f t="shared" si="36"/>
        <v>Grid Extension -Jamaica- Step 7</v>
      </c>
      <c r="AX83" t="s">
        <v>13</v>
      </c>
      <c r="AY83" t="s">
        <v>11</v>
      </c>
      <c r="AZ83" t="s">
        <v>464</v>
      </c>
      <c r="BB83" t="s">
        <v>463</v>
      </c>
      <c r="BC83" t="str">
        <f t="shared" si="27"/>
        <v>NatGrdExt_JAM_8</v>
      </c>
      <c r="BD83" t="str">
        <f t="shared" si="37"/>
        <v>Grid Extension -Jamaica- Step 8</v>
      </c>
      <c r="BE83" t="s">
        <v>13</v>
      </c>
      <c r="BF83" t="s">
        <v>11</v>
      </c>
      <c r="BG83" t="s">
        <v>464</v>
      </c>
      <c r="BI83" t="s">
        <v>463</v>
      </c>
      <c r="BJ83" t="str">
        <f t="shared" si="28"/>
        <v>NatGrdExt_JAM_9</v>
      </c>
      <c r="BK83" t="str">
        <f t="shared" si="38"/>
        <v>Grid Extension -Jamaica- Step 9</v>
      </c>
      <c r="BL83" t="s">
        <v>13</v>
      </c>
      <c r="BM83" t="s">
        <v>11</v>
      </c>
      <c r="BN83" t="s">
        <v>464</v>
      </c>
      <c r="BP83" t="s">
        <v>463</v>
      </c>
      <c r="BQ83" t="str">
        <f t="shared" si="29"/>
        <v>NatGrdExt_JAM_10</v>
      </c>
      <c r="BR83" t="str">
        <f t="shared" si="39"/>
        <v>Grid Extension -Jamaica- Step 10</v>
      </c>
      <c r="BS83" t="s">
        <v>13</v>
      </c>
      <c r="BT83" t="s">
        <v>11</v>
      </c>
      <c r="BU83" t="s">
        <v>464</v>
      </c>
    </row>
    <row r="84" spans="1:73">
      <c r="A84" s="5" t="s">
        <v>42</v>
      </c>
      <c r="B84" s="5" t="s">
        <v>104</v>
      </c>
      <c r="E84" t="s">
        <v>463</v>
      </c>
      <c r="F84" t="str">
        <f t="shared" si="20"/>
        <v>NatGrdExt_JOR_1</v>
      </c>
      <c r="G84" t="str">
        <f t="shared" si="30"/>
        <v>Grid Extension -Jordan- Step 1</v>
      </c>
      <c r="H84" t="s">
        <v>13</v>
      </c>
      <c r="I84" t="s">
        <v>11</v>
      </c>
      <c r="J84" t="s">
        <v>464</v>
      </c>
      <c r="L84" t="s">
        <v>463</v>
      </c>
      <c r="M84" t="str">
        <f t="shared" si="21"/>
        <v>NatGrdExt_JOR_2</v>
      </c>
      <c r="N84" t="str">
        <f t="shared" si="31"/>
        <v>Grid Extension -Jordan- Step 2</v>
      </c>
      <c r="O84" t="s">
        <v>13</v>
      </c>
      <c r="P84" t="s">
        <v>11</v>
      </c>
      <c r="Q84" t="s">
        <v>464</v>
      </c>
      <c r="S84" t="s">
        <v>463</v>
      </c>
      <c r="T84" t="str">
        <f t="shared" si="22"/>
        <v>NatGrdExt_JOR_3</v>
      </c>
      <c r="U84" t="str">
        <f t="shared" si="32"/>
        <v>Grid Extension -Jordan- Step 3</v>
      </c>
      <c r="V84" t="s">
        <v>13</v>
      </c>
      <c r="W84" t="s">
        <v>11</v>
      </c>
      <c r="X84" t="s">
        <v>464</v>
      </c>
      <c r="Z84" t="s">
        <v>463</v>
      </c>
      <c r="AA84" t="str">
        <f t="shared" si="23"/>
        <v>NatGrdExt_JOR_4</v>
      </c>
      <c r="AB84" t="str">
        <f t="shared" si="33"/>
        <v>Grid Extension -Jordan- Step 4</v>
      </c>
      <c r="AC84" t="s">
        <v>13</v>
      </c>
      <c r="AD84" t="s">
        <v>11</v>
      </c>
      <c r="AE84" t="s">
        <v>464</v>
      </c>
      <c r="AG84" t="s">
        <v>463</v>
      </c>
      <c r="AH84" t="str">
        <f t="shared" si="24"/>
        <v>NatGrdExt_JOR_5</v>
      </c>
      <c r="AI84" t="str">
        <f t="shared" si="34"/>
        <v>Grid Extension -Jordan- Step 5</v>
      </c>
      <c r="AJ84" t="s">
        <v>13</v>
      </c>
      <c r="AK84" t="s">
        <v>11</v>
      </c>
      <c r="AL84" t="s">
        <v>464</v>
      </c>
      <c r="AN84" t="s">
        <v>463</v>
      </c>
      <c r="AO84" t="str">
        <f t="shared" si="25"/>
        <v>NatGrdExt_JOR_6</v>
      </c>
      <c r="AP84" t="str">
        <f t="shared" si="35"/>
        <v>Grid Extension -Jordan- Step 6</v>
      </c>
      <c r="AQ84" t="s">
        <v>13</v>
      </c>
      <c r="AR84" t="s">
        <v>11</v>
      </c>
      <c r="AS84" t="s">
        <v>464</v>
      </c>
      <c r="AU84" t="s">
        <v>463</v>
      </c>
      <c r="AV84" t="str">
        <f t="shared" si="26"/>
        <v>NatGrdExt_JOR_7</v>
      </c>
      <c r="AW84" t="str">
        <f t="shared" si="36"/>
        <v>Grid Extension -Jordan- Step 7</v>
      </c>
      <c r="AX84" t="s">
        <v>13</v>
      </c>
      <c r="AY84" t="s">
        <v>11</v>
      </c>
      <c r="AZ84" t="s">
        <v>464</v>
      </c>
      <c r="BB84" t="s">
        <v>463</v>
      </c>
      <c r="BC84" t="str">
        <f t="shared" si="27"/>
        <v>NatGrdExt_JOR_8</v>
      </c>
      <c r="BD84" t="str">
        <f t="shared" si="37"/>
        <v>Grid Extension -Jordan- Step 8</v>
      </c>
      <c r="BE84" t="s">
        <v>13</v>
      </c>
      <c r="BF84" t="s">
        <v>11</v>
      </c>
      <c r="BG84" t="s">
        <v>464</v>
      </c>
      <c r="BI84" t="s">
        <v>463</v>
      </c>
      <c r="BJ84" t="str">
        <f t="shared" si="28"/>
        <v>NatGrdExt_JOR_9</v>
      </c>
      <c r="BK84" t="str">
        <f t="shared" si="38"/>
        <v>Grid Extension -Jordan- Step 9</v>
      </c>
      <c r="BL84" t="s">
        <v>13</v>
      </c>
      <c r="BM84" t="s">
        <v>11</v>
      </c>
      <c r="BN84" t="s">
        <v>464</v>
      </c>
      <c r="BP84" t="s">
        <v>463</v>
      </c>
      <c r="BQ84" t="str">
        <f t="shared" si="29"/>
        <v>NatGrdExt_JOR_10</v>
      </c>
      <c r="BR84" t="str">
        <f t="shared" si="39"/>
        <v>Grid Extension -Jordan- Step 10</v>
      </c>
      <c r="BS84" t="s">
        <v>13</v>
      </c>
      <c r="BT84" t="s">
        <v>11</v>
      </c>
      <c r="BU84" t="s">
        <v>464</v>
      </c>
    </row>
    <row r="85" spans="1:73">
      <c r="A85" s="5" t="s">
        <v>570</v>
      </c>
      <c r="B85" s="5" t="s">
        <v>571</v>
      </c>
      <c r="E85" t="s">
        <v>463</v>
      </c>
      <c r="F85" t="str">
        <f t="shared" si="20"/>
        <v>NatGrdExt_JPN_1</v>
      </c>
      <c r="G85" t="str">
        <f t="shared" si="30"/>
        <v>Grid Extension -Japan- Step 1</v>
      </c>
      <c r="H85" t="s">
        <v>13</v>
      </c>
      <c r="I85" t="s">
        <v>11</v>
      </c>
      <c r="J85" t="s">
        <v>464</v>
      </c>
      <c r="L85" t="s">
        <v>463</v>
      </c>
      <c r="M85" t="str">
        <f t="shared" si="21"/>
        <v>NatGrdExt_JPN_2</v>
      </c>
      <c r="N85" t="str">
        <f t="shared" si="31"/>
        <v>Grid Extension -Japan- Step 2</v>
      </c>
      <c r="O85" t="s">
        <v>13</v>
      </c>
      <c r="P85" t="s">
        <v>11</v>
      </c>
      <c r="Q85" t="s">
        <v>464</v>
      </c>
      <c r="S85" t="s">
        <v>463</v>
      </c>
      <c r="T85" t="str">
        <f t="shared" si="22"/>
        <v>NatGrdExt_JPN_3</v>
      </c>
      <c r="U85" t="str">
        <f t="shared" si="32"/>
        <v>Grid Extension -Japan- Step 3</v>
      </c>
      <c r="V85" t="s">
        <v>13</v>
      </c>
      <c r="W85" t="s">
        <v>11</v>
      </c>
      <c r="X85" t="s">
        <v>464</v>
      </c>
      <c r="Z85" t="s">
        <v>463</v>
      </c>
      <c r="AA85" t="str">
        <f t="shared" si="23"/>
        <v>NatGrdExt_JPN_4</v>
      </c>
      <c r="AB85" t="str">
        <f t="shared" si="33"/>
        <v>Grid Extension -Japan- Step 4</v>
      </c>
      <c r="AC85" t="s">
        <v>13</v>
      </c>
      <c r="AD85" t="s">
        <v>11</v>
      </c>
      <c r="AE85" t="s">
        <v>464</v>
      </c>
      <c r="AG85" t="s">
        <v>463</v>
      </c>
      <c r="AH85" t="str">
        <f t="shared" si="24"/>
        <v>NatGrdExt_JPN_5</v>
      </c>
      <c r="AI85" t="str">
        <f t="shared" si="34"/>
        <v>Grid Extension -Japan- Step 5</v>
      </c>
      <c r="AJ85" t="s">
        <v>13</v>
      </c>
      <c r="AK85" t="s">
        <v>11</v>
      </c>
      <c r="AL85" t="s">
        <v>464</v>
      </c>
      <c r="AN85" t="s">
        <v>463</v>
      </c>
      <c r="AO85" t="str">
        <f t="shared" si="25"/>
        <v>NatGrdExt_JPN_6</v>
      </c>
      <c r="AP85" t="str">
        <f t="shared" si="35"/>
        <v>Grid Extension -Japan- Step 6</v>
      </c>
      <c r="AQ85" t="s">
        <v>13</v>
      </c>
      <c r="AR85" t="s">
        <v>11</v>
      </c>
      <c r="AS85" t="s">
        <v>464</v>
      </c>
      <c r="AU85" t="s">
        <v>463</v>
      </c>
      <c r="AV85" t="str">
        <f t="shared" si="26"/>
        <v>NatGrdExt_JPN_7</v>
      </c>
      <c r="AW85" t="str">
        <f t="shared" si="36"/>
        <v>Grid Extension -Japan- Step 7</v>
      </c>
      <c r="AX85" t="s">
        <v>13</v>
      </c>
      <c r="AY85" t="s">
        <v>11</v>
      </c>
      <c r="AZ85" t="s">
        <v>464</v>
      </c>
      <c r="BB85" t="s">
        <v>463</v>
      </c>
      <c r="BC85" t="str">
        <f t="shared" si="27"/>
        <v>NatGrdExt_JPN_8</v>
      </c>
      <c r="BD85" t="str">
        <f t="shared" si="37"/>
        <v>Grid Extension -Japan- Step 8</v>
      </c>
      <c r="BE85" t="s">
        <v>13</v>
      </c>
      <c r="BF85" t="s">
        <v>11</v>
      </c>
      <c r="BG85" t="s">
        <v>464</v>
      </c>
      <c r="BI85" t="s">
        <v>463</v>
      </c>
      <c r="BJ85" t="str">
        <f t="shared" si="28"/>
        <v>NatGrdExt_JPN_9</v>
      </c>
      <c r="BK85" t="str">
        <f t="shared" si="38"/>
        <v>Grid Extension -Japan- Step 9</v>
      </c>
      <c r="BL85" t="s">
        <v>13</v>
      </c>
      <c r="BM85" t="s">
        <v>11</v>
      </c>
      <c r="BN85" t="s">
        <v>464</v>
      </c>
      <c r="BP85" t="s">
        <v>463</v>
      </c>
      <c r="BQ85" t="str">
        <f t="shared" si="29"/>
        <v>NatGrdExt_JPN_10</v>
      </c>
      <c r="BR85" t="str">
        <f t="shared" si="39"/>
        <v>Grid Extension -Japan- Step 10</v>
      </c>
      <c r="BS85" t="s">
        <v>13</v>
      </c>
      <c r="BT85" t="s">
        <v>11</v>
      </c>
      <c r="BU85" t="s">
        <v>464</v>
      </c>
    </row>
    <row r="86" spans="1:73">
      <c r="A86" s="5" t="s">
        <v>572</v>
      </c>
      <c r="B86" s="5" t="s">
        <v>573</v>
      </c>
      <c r="E86" t="s">
        <v>463</v>
      </c>
      <c r="F86" t="str">
        <f t="shared" si="20"/>
        <v>NatGrdExt_KAZ_1</v>
      </c>
      <c r="G86" t="str">
        <f t="shared" si="30"/>
        <v>Grid Extension -Kazakhstan- Step 1</v>
      </c>
      <c r="H86" t="s">
        <v>13</v>
      </c>
      <c r="I86" t="s">
        <v>11</v>
      </c>
      <c r="J86" t="s">
        <v>464</v>
      </c>
      <c r="L86" t="s">
        <v>463</v>
      </c>
      <c r="M86" t="str">
        <f t="shared" si="21"/>
        <v>NatGrdExt_KAZ_2</v>
      </c>
      <c r="N86" t="str">
        <f t="shared" si="31"/>
        <v>Grid Extension -Kazakhstan- Step 2</v>
      </c>
      <c r="O86" t="s">
        <v>13</v>
      </c>
      <c r="P86" t="s">
        <v>11</v>
      </c>
      <c r="Q86" t="s">
        <v>464</v>
      </c>
      <c r="S86" t="s">
        <v>463</v>
      </c>
      <c r="T86" t="str">
        <f t="shared" si="22"/>
        <v>NatGrdExt_KAZ_3</v>
      </c>
      <c r="U86" t="str">
        <f t="shared" si="32"/>
        <v>Grid Extension -Kazakhstan- Step 3</v>
      </c>
      <c r="V86" t="s">
        <v>13</v>
      </c>
      <c r="W86" t="s">
        <v>11</v>
      </c>
      <c r="X86" t="s">
        <v>464</v>
      </c>
      <c r="Z86" t="s">
        <v>463</v>
      </c>
      <c r="AA86" t="str">
        <f t="shared" si="23"/>
        <v>NatGrdExt_KAZ_4</v>
      </c>
      <c r="AB86" t="str">
        <f t="shared" si="33"/>
        <v>Grid Extension -Kazakhstan- Step 4</v>
      </c>
      <c r="AC86" t="s">
        <v>13</v>
      </c>
      <c r="AD86" t="s">
        <v>11</v>
      </c>
      <c r="AE86" t="s">
        <v>464</v>
      </c>
      <c r="AG86" t="s">
        <v>463</v>
      </c>
      <c r="AH86" t="str">
        <f t="shared" si="24"/>
        <v>NatGrdExt_KAZ_5</v>
      </c>
      <c r="AI86" t="str">
        <f t="shared" si="34"/>
        <v>Grid Extension -Kazakhstan- Step 5</v>
      </c>
      <c r="AJ86" t="s">
        <v>13</v>
      </c>
      <c r="AK86" t="s">
        <v>11</v>
      </c>
      <c r="AL86" t="s">
        <v>464</v>
      </c>
      <c r="AN86" t="s">
        <v>463</v>
      </c>
      <c r="AO86" t="str">
        <f t="shared" si="25"/>
        <v>NatGrdExt_KAZ_6</v>
      </c>
      <c r="AP86" t="str">
        <f t="shared" si="35"/>
        <v>Grid Extension -Kazakhstan- Step 6</v>
      </c>
      <c r="AQ86" t="s">
        <v>13</v>
      </c>
      <c r="AR86" t="s">
        <v>11</v>
      </c>
      <c r="AS86" t="s">
        <v>464</v>
      </c>
      <c r="AU86" t="s">
        <v>463</v>
      </c>
      <c r="AV86" t="str">
        <f t="shared" si="26"/>
        <v>NatGrdExt_KAZ_7</v>
      </c>
      <c r="AW86" t="str">
        <f t="shared" si="36"/>
        <v>Grid Extension -Kazakhstan- Step 7</v>
      </c>
      <c r="AX86" t="s">
        <v>13</v>
      </c>
      <c r="AY86" t="s">
        <v>11</v>
      </c>
      <c r="AZ86" t="s">
        <v>464</v>
      </c>
      <c r="BB86" t="s">
        <v>463</v>
      </c>
      <c r="BC86" t="str">
        <f t="shared" si="27"/>
        <v>NatGrdExt_KAZ_8</v>
      </c>
      <c r="BD86" t="str">
        <f t="shared" si="37"/>
        <v>Grid Extension -Kazakhstan- Step 8</v>
      </c>
      <c r="BE86" t="s">
        <v>13</v>
      </c>
      <c r="BF86" t="s">
        <v>11</v>
      </c>
      <c r="BG86" t="s">
        <v>464</v>
      </c>
      <c r="BI86" t="s">
        <v>463</v>
      </c>
      <c r="BJ86" t="str">
        <f t="shared" si="28"/>
        <v>NatGrdExt_KAZ_9</v>
      </c>
      <c r="BK86" t="str">
        <f t="shared" si="38"/>
        <v>Grid Extension -Kazakhstan- Step 9</v>
      </c>
      <c r="BL86" t="s">
        <v>13</v>
      </c>
      <c r="BM86" t="s">
        <v>11</v>
      </c>
      <c r="BN86" t="s">
        <v>464</v>
      </c>
      <c r="BP86" t="s">
        <v>463</v>
      </c>
      <c r="BQ86" t="str">
        <f t="shared" si="29"/>
        <v>NatGrdExt_KAZ_10</v>
      </c>
      <c r="BR86" t="str">
        <f t="shared" si="39"/>
        <v>Grid Extension -Kazakhstan- Step 10</v>
      </c>
      <c r="BS86" t="s">
        <v>13</v>
      </c>
      <c r="BT86" t="s">
        <v>11</v>
      </c>
      <c r="BU86" t="s">
        <v>464</v>
      </c>
    </row>
    <row r="87" spans="1:73">
      <c r="A87" s="5" t="s">
        <v>43</v>
      </c>
      <c r="B87" s="5" t="s">
        <v>105</v>
      </c>
      <c r="E87" t="s">
        <v>463</v>
      </c>
      <c r="F87" t="str">
        <f t="shared" si="20"/>
        <v>NatGrdExt_KEN_1</v>
      </c>
      <c r="G87" t="str">
        <f t="shared" si="30"/>
        <v>Grid Extension -Kenya- Step 1</v>
      </c>
      <c r="H87" t="s">
        <v>13</v>
      </c>
      <c r="I87" t="s">
        <v>11</v>
      </c>
      <c r="J87" t="s">
        <v>464</v>
      </c>
      <c r="L87" t="s">
        <v>463</v>
      </c>
      <c r="M87" t="str">
        <f t="shared" si="21"/>
        <v>NatGrdExt_KEN_2</v>
      </c>
      <c r="N87" t="str">
        <f t="shared" si="31"/>
        <v>Grid Extension -Kenya- Step 2</v>
      </c>
      <c r="O87" t="s">
        <v>13</v>
      </c>
      <c r="P87" t="s">
        <v>11</v>
      </c>
      <c r="Q87" t="s">
        <v>464</v>
      </c>
      <c r="S87" t="s">
        <v>463</v>
      </c>
      <c r="T87" t="str">
        <f t="shared" si="22"/>
        <v>NatGrdExt_KEN_3</v>
      </c>
      <c r="U87" t="str">
        <f t="shared" si="32"/>
        <v>Grid Extension -Kenya- Step 3</v>
      </c>
      <c r="V87" t="s">
        <v>13</v>
      </c>
      <c r="W87" t="s">
        <v>11</v>
      </c>
      <c r="X87" t="s">
        <v>464</v>
      </c>
      <c r="Z87" t="s">
        <v>463</v>
      </c>
      <c r="AA87" t="str">
        <f t="shared" si="23"/>
        <v>NatGrdExt_KEN_4</v>
      </c>
      <c r="AB87" t="str">
        <f t="shared" si="33"/>
        <v>Grid Extension -Kenya- Step 4</v>
      </c>
      <c r="AC87" t="s">
        <v>13</v>
      </c>
      <c r="AD87" t="s">
        <v>11</v>
      </c>
      <c r="AE87" t="s">
        <v>464</v>
      </c>
      <c r="AG87" t="s">
        <v>463</v>
      </c>
      <c r="AH87" t="str">
        <f t="shared" si="24"/>
        <v>NatGrdExt_KEN_5</v>
      </c>
      <c r="AI87" t="str">
        <f t="shared" si="34"/>
        <v>Grid Extension -Kenya- Step 5</v>
      </c>
      <c r="AJ87" t="s">
        <v>13</v>
      </c>
      <c r="AK87" t="s">
        <v>11</v>
      </c>
      <c r="AL87" t="s">
        <v>464</v>
      </c>
      <c r="AN87" t="s">
        <v>463</v>
      </c>
      <c r="AO87" t="str">
        <f t="shared" si="25"/>
        <v>NatGrdExt_KEN_6</v>
      </c>
      <c r="AP87" t="str">
        <f t="shared" si="35"/>
        <v>Grid Extension -Kenya- Step 6</v>
      </c>
      <c r="AQ87" t="s">
        <v>13</v>
      </c>
      <c r="AR87" t="s">
        <v>11</v>
      </c>
      <c r="AS87" t="s">
        <v>464</v>
      </c>
      <c r="AU87" t="s">
        <v>463</v>
      </c>
      <c r="AV87" t="str">
        <f t="shared" si="26"/>
        <v>NatGrdExt_KEN_7</v>
      </c>
      <c r="AW87" t="str">
        <f t="shared" si="36"/>
        <v>Grid Extension -Kenya- Step 7</v>
      </c>
      <c r="AX87" t="s">
        <v>13</v>
      </c>
      <c r="AY87" t="s">
        <v>11</v>
      </c>
      <c r="AZ87" t="s">
        <v>464</v>
      </c>
      <c r="BB87" t="s">
        <v>463</v>
      </c>
      <c r="BC87" t="str">
        <f t="shared" si="27"/>
        <v>NatGrdExt_KEN_8</v>
      </c>
      <c r="BD87" t="str">
        <f t="shared" si="37"/>
        <v>Grid Extension -Kenya- Step 8</v>
      </c>
      <c r="BE87" t="s">
        <v>13</v>
      </c>
      <c r="BF87" t="s">
        <v>11</v>
      </c>
      <c r="BG87" t="s">
        <v>464</v>
      </c>
      <c r="BI87" t="s">
        <v>463</v>
      </c>
      <c r="BJ87" t="str">
        <f t="shared" si="28"/>
        <v>NatGrdExt_KEN_9</v>
      </c>
      <c r="BK87" t="str">
        <f t="shared" si="38"/>
        <v>Grid Extension -Kenya- Step 9</v>
      </c>
      <c r="BL87" t="s">
        <v>13</v>
      </c>
      <c r="BM87" t="s">
        <v>11</v>
      </c>
      <c r="BN87" t="s">
        <v>464</v>
      </c>
      <c r="BP87" t="s">
        <v>463</v>
      </c>
      <c r="BQ87" t="str">
        <f t="shared" si="29"/>
        <v>NatGrdExt_KEN_10</v>
      </c>
      <c r="BR87" t="str">
        <f t="shared" si="39"/>
        <v>Grid Extension -Kenya- Step 10</v>
      </c>
      <c r="BS87" t="s">
        <v>13</v>
      </c>
      <c r="BT87" t="s">
        <v>11</v>
      </c>
      <c r="BU87" t="s">
        <v>464</v>
      </c>
    </row>
    <row r="88" spans="1:73">
      <c r="A88" s="5" t="s">
        <v>44</v>
      </c>
      <c r="B88" s="5" t="s">
        <v>574</v>
      </c>
      <c r="E88" t="s">
        <v>463</v>
      </c>
      <c r="F88" t="str">
        <f t="shared" si="20"/>
        <v>NatGrdExt_KGZ_1</v>
      </c>
      <c r="G88" t="str">
        <f t="shared" si="30"/>
        <v>Grid Extension -Kyrgyz Republic- Step 1</v>
      </c>
      <c r="H88" t="s">
        <v>13</v>
      </c>
      <c r="I88" t="s">
        <v>11</v>
      </c>
      <c r="J88" t="s">
        <v>464</v>
      </c>
      <c r="L88" t="s">
        <v>463</v>
      </c>
      <c r="M88" t="str">
        <f t="shared" si="21"/>
        <v>NatGrdExt_KGZ_2</v>
      </c>
      <c r="N88" t="str">
        <f t="shared" si="31"/>
        <v>Grid Extension -Kyrgyz Republic- Step 2</v>
      </c>
      <c r="O88" t="s">
        <v>13</v>
      </c>
      <c r="P88" t="s">
        <v>11</v>
      </c>
      <c r="Q88" t="s">
        <v>464</v>
      </c>
      <c r="S88" t="s">
        <v>463</v>
      </c>
      <c r="T88" t="str">
        <f t="shared" si="22"/>
        <v>NatGrdExt_KGZ_3</v>
      </c>
      <c r="U88" t="str">
        <f t="shared" si="32"/>
        <v>Grid Extension -Kyrgyz Republic- Step 3</v>
      </c>
      <c r="V88" t="s">
        <v>13</v>
      </c>
      <c r="W88" t="s">
        <v>11</v>
      </c>
      <c r="X88" t="s">
        <v>464</v>
      </c>
      <c r="Z88" t="s">
        <v>463</v>
      </c>
      <c r="AA88" t="str">
        <f t="shared" si="23"/>
        <v>NatGrdExt_KGZ_4</v>
      </c>
      <c r="AB88" t="str">
        <f t="shared" si="33"/>
        <v>Grid Extension -Kyrgyz Republic- Step 4</v>
      </c>
      <c r="AC88" t="s">
        <v>13</v>
      </c>
      <c r="AD88" t="s">
        <v>11</v>
      </c>
      <c r="AE88" t="s">
        <v>464</v>
      </c>
      <c r="AG88" t="s">
        <v>463</v>
      </c>
      <c r="AH88" t="str">
        <f t="shared" si="24"/>
        <v>NatGrdExt_KGZ_5</v>
      </c>
      <c r="AI88" t="str">
        <f t="shared" si="34"/>
        <v>Grid Extension -Kyrgyz Republic- Step 5</v>
      </c>
      <c r="AJ88" t="s">
        <v>13</v>
      </c>
      <c r="AK88" t="s">
        <v>11</v>
      </c>
      <c r="AL88" t="s">
        <v>464</v>
      </c>
      <c r="AN88" t="s">
        <v>463</v>
      </c>
      <c r="AO88" t="str">
        <f t="shared" si="25"/>
        <v>NatGrdExt_KGZ_6</v>
      </c>
      <c r="AP88" t="str">
        <f t="shared" si="35"/>
        <v>Grid Extension -Kyrgyz Republic- Step 6</v>
      </c>
      <c r="AQ88" t="s">
        <v>13</v>
      </c>
      <c r="AR88" t="s">
        <v>11</v>
      </c>
      <c r="AS88" t="s">
        <v>464</v>
      </c>
      <c r="AU88" t="s">
        <v>463</v>
      </c>
      <c r="AV88" t="str">
        <f t="shared" si="26"/>
        <v>NatGrdExt_KGZ_7</v>
      </c>
      <c r="AW88" t="str">
        <f t="shared" si="36"/>
        <v>Grid Extension -Kyrgyz Republic- Step 7</v>
      </c>
      <c r="AX88" t="s">
        <v>13</v>
      </c>
      <c r="AY88" t="s">
        <v>11</v>
      </c>
      <c r="AZ88" t="s">
        <v>464</v>
      </c>
      <c r="BB88" t="s">
        <v>463</v>
      </c>
      <c r="BC88" t="str">
        <f t="shared" si="27"/>
        <v>NatGrdExt_KGZ_8</v>
      </c>
      <c r="BD88" t="str">
        <f t="shared" si="37"/>
        <v>Grid Extension -Kyrgyz Republic- Step 8</v>
      </c>
      <c r="BE88" t="s">
        <v>13</v>
      </c>
      <c r="BF88" t="s">
        <v>11</v>
      </c>
      <c r="BG88" t="s">
        <v>464</v>
      </c>
      <c r="BI88" t="s">
        <v>463</v>
      </c>
      <c r="BJ88" t="str">
        <f t="shared" si="28"/>
        <v>NatGrdExt_KGZ_9</v>
      </c>
      <c r="BK88" t="str">
        <f t="shared" si="38"/>
        <v>Grid Extension -Kyrgyz Republic- Step 9</v>
      </c>
      <c r="BL88" t="s">
        <v>13</v>
      </c>
      <c r="BM88" t="s">
        <v>11</v>
      </c>
      <c r="BN88" t="s">
        <v>464</v>
      </c>
      <c r="BP88" t="s">
        <v>463</v>
      </c>
      <c r="BQ88" t="str">
        <f t="shared" si="29"/>
        <v>NatGrdExt_KGZ_10</v>
      </c>
      <c r="BR88" t="str">
        <f t="shared" si="39"/>
        <v>Grid Extension -Kyrgyz Republic- Step 10</v>
      </c>
      <c r="BS88" t="s">
        <v>13</v>
      </c>
      <c r="BT88" t="s">
        <v>11</v>
      </c>
      <c r="BU88" t="s">
        <v>464</v>
      </c>
    </row>
    <row r="89" spans="1:73">
      <c r="A89" s="5" t="s">
        <v>45</v>
      </c>
      <c r="B89" s="5" t="s">
        <v>106</v>
      </c>
      <c r="E89" t="s">
        <v>463</v>
      </c>
      <c r="F89" t="str">
        <f t="shared" si="20"/>
        <v>NatGrdExt_KHM_1</v>
      </c>
      <c r="G89" t="str">
        <f t="shared" si="30"/>
        <v>Grid Extension -Cambodia- Step 1</v>
      </c>
      <c r="H89" t="s">
        <v>13</v>
      </c>
      <c r="I89" t="s">
        <v>11</v>
      </c>
      <c r="J89" t="s">
        <v>464</v>
      </c>
      <c r="L89" t="s">
        <v>463</v>
      </c>
      <c r="M89" t="str">
        <f t="shared" si="21"/>
        <v>NatGrdExt_KHM_2</v>
      </c>
      <c r="N89" t="str">
        <f t="shared" si="31"/>
        <v>Grid Extension -Cambodia- Step 2</v>
      </c>
      <c r="O89" t="s">
        <v>13</v>
      </c>
      <c r="P89" t="s">
        <v>11</v>
      </c>
      <c r="Q89" t="s">
        <v>464</v>
      </c>
      <c r="S89" t="s">
        <v>463</v>
      </c>
      <c r="T89" t="str">
        <f t="shared" si="22"/>
        <v>NatGrdExt_KHM_3</v>
      </c>
      <c r="U89" t="str">
        <f t="shared" si="32"/>
        <v>Grid Extension -Cambodia- Step 3</v>
      </c>
      <c r="V89" t="s">
        <v>13</v>
      </c>
      <c r="W89" t="s">
        <v>11</v>
      </c>
      <c r="X89" t="s">
        <v>464</v>
      </c>
      <c r="Z89" t="s">
        <v>463</v>
      </c>
      <c r="AA89" t="str">
        <f t="shared" si="23"/>
        <v>NatGrdExt_KHM_4</v>
      </c>
      <c r="AB89" t="str">
        <f t="shared" si="33"/>
        <v>Grid Extension -Cambodia- Step 4</v>
      </c>
      <c r="AC89" t="s">
        <v>13</v>
      </c>
      <c r="AD89" t="s">
        <v>11</v>
      </c>
      <c r="AE89" t="s">
        <v>464</v>
      </c>
      <c r="AG89" t="s">
        <v>463</v>
      </c>
      <c r="AH89" t="str">
        <f t="shared" si="24"/>
        <v>NatGrdExt_KHM_5</v>
      </c>
      <c r="AI89" t="str">
        <f t="shared" si="34"/>
        <v>Grid Extension -Cambodia- Step 5</v>
      </c>
      <c r="AJ89" t="s">
        <v>13</v>
      </c>
      <c r="AK89" t="s">
        <v>11</v>
      </c>
      <c r="AL89" t="s">
        <v>464</v>
      </c>
      <c r="AN89" t="s">
        <v>463</v>
      </c>
      <c r="AO89" t="str">
        <f t="shared" si="25"/>
        <v>NatGrdExt_KHM_6</v>
      </c>
      <c r="AP89" t="str">
        <f t="shared" si="35"/>
        <v>Grid Extension -Cambodia- Step 6</v>
      </c>
      <c r="AQ89" t="s">
        <v>13</v>
      </c>
      <c r="AR89" t="s">
        <v>11</v>
      </c>
      <c r="AS89" t="s">
        <v>464</v>
      </c>
      <c r="AU89" t="s">
        <v>463</v>
      </c>
      <c r="AV89" t="str">
        <f t="shared" si="26"/>
        <v>NatGrdExt_KHM_7</v>
      </c>
      <c r="AW89" t="str">
        <f t="shared" si="36"/>
        <v>Grid Extension -Cambodia- Step 7</v>
      </c>
      <c r="AX89" t="s">
        <v>13</v>
      </c>
      <c r="AY89" t="s">
        <v>11</v>
      </c>
      <c r="AZ89" t="s">
        <v>464</v>
      </c>
      <c r="BB89" t="s">
        <v>463</v>
      </c>
      <c r="BC89" t="str">
        <f t="shared" si="27"/>
        <v>NatGrdExt_KHM_8</v>
      </c>
      <c r="BD89" t="str">
        <f t="shared" si="37"/>
        <v>Grid Extension -Cambodia- Step 8</v>
      </c>
      <c r="BE89" t="s">
        <v>13</v>
      </c>
      <c r="BF89" t="s">
        <v>11</v>
      </c>
      <c r="BG89" t="s">
        <v>464</v>
      </c>
      <c r="BI89" t="s">
        <v>463</v>
      </c>
      <c r="BJ89" t="str">
        <f t="shared" si="28"/>
        <v>NatGrdExt_KHM_9</v>
      </c>
      <c r="BK89" t="str">
        <f t="shared" si="38"/>
        <v>Grid Extension -Cambodia- Step 9</v>
      </c>
      <c r="BL89" t="s">
        <v>13</v>
      </c>
      <c r="BM89" t="s">
        <v>11</v>
      </c>
      <c r="BN89" t="s">
        <v>464</v>
      </c>
      <c r="BP89" t="s">
        <v>463</v>
      </c>
      <c r="BQ89" t="str">
        <f t="shared" si="29"/>
        <v>NatGrdExt_KHM_10</v>
      </c>
      <c r="BR89" t="str">
        <f t="shared" si="39"/>
        <v>Grid Extension -Cambodia- Step 10</v>
      </c>
      <c r="BS89" t="s">
        <v>13</v>
      </c>
      <c r="BT89" t="s">
        <v>11</v>
      </c>
      <c r="BU89" t="s">
        <v>464</v>
      </c>
    </row>
    <row r="90" spans="1:73">
      <c r="A90" s="5" t="s">
        <v>575</v>
      </c>
      <c r="B90" s="5" t="s">
        <v>576</v>
      </c>
      <c r="E90" t="s">
        <v>463</v>
      </c>
      <c r="F90" t="str">
        <f t="shared" si="20"/>
        <v>NatGrdExt_KOR_1</v>
      </c>
      <c r="G90" t="str">
        <f t="shared" si="30"/>
        <v>Grid Extension -South Korea- Step 1</v>
      </c>
      <c r="H90" t="s">
        <v>13</v>
      </c>
      <c r="I90" t="s">
        <v>11</v>
      </c>
      <c r="J90" t="s">
        <v>464</v>
      </c>
      <c r="L90" t="s">
        <v>463</v>
      </c>
      <c r="M90" t="str">
        <f t="shared" si="21"/>
        <v>NatGrdExt_KOR_2</v>
      </c>
      <c r="N90" t="str">
        <f t="shared" si="31"/>
        <v>Grid Extension -South Korea- Step 2</v>
      </c>
      <c r="O90" t="s">
        <v>13</v>
      </c>
      <c r="P90" t="s">
        <v>11</v>
      </c>
      <c r="Q90" t="s">
        <v>464</v>
      </c>
      <c r="S90" t="s">
        <v>463</v>
      </c>
      <c r="T90" t="str">
        <f t="shared" si="22"/>
        <v>NatGrdExt_KOR_3</v>
      </c>
      <c r="U90" t="str">
        <f t="shared" si="32"/>
        <v>Grid Extension -South Korea- Step 3</v>
      </c>
      <c r="V90" t="s">
        <v>13</v>
      </c>
      <c r="W90" t="s">
        <v>11</v>
      </c>
      <c r="X90" t="s">
        <v>464</v>
      </c>
      <c r="Z90" t="s">
        <v>463</v>
      </c>
      <c r="AA90" t="str">
        <f t="shared" si="23"/>
        <v>NatGrdExt_KOR_4</v>
      </c>
      <c r="AB90" t="str">
        <f t="shared" si="33"/>
        <v>Grid Extension -South Korea- Step 4</v>
      </c>
      <c r="AC90" t="s">
        <v>13</v>
      </c>
      <c r="AD90" t="s">
        <v>11</v>
      </c>
      <c r="AE90" t="s">
        <v>464</v>
      </c>
      <c r="AG90" t="s">
        <v>463</v>
      </c>
      <c r="AH90" t="str">
        <f t="shared" si="24"/>
        <v>NatGrdExt_KOR_5</v>
      </c>
      <c r="AI90" t="str">
        <f t="shared" si="34"/>
        <v>Grid Extension -South Korea- Step 5</v>
      </c>
      <c r="AJ90" t="s">
        <v>13</v>
      </c>
      <c r="AK90" t="s">
        <v>11</v>
      </c>
      <c r="AL90" t="s">
        <v>464</v>
      </c>
      <c r="AN90" t="s">
        <v>463</v>
      </c>
      <c r="AO90" t="str">
        <f t="shared" si="25"/>
        <v>NatGrdExt_KOR_6</v>
      </c>
      <c r="AP90" t="str">
        <f t="shared" si="35"/>
        <v>Grid Extension -South Korea- Step 6</v>
      </c>
      <c r="AQ90" t="s">
        <v>13</v>
      </c>
      <c r="AR90" t="s">
        <v>11</v>
      </c>
      <c r="AS90" t="s">
        <v>464</v>
      </c>
      <c r="AU90" t="s">
        <v>463</v>
      </c>
      <c r="AV90" t="str">
        <f t="shared" si="26"/>
        <v>NatGrdExt_KOR_7</v>
      </c>
      <c r="AW90" t="str">
        <f t="shared" si="36"/>
        <v>Grid Extension -South Korea- Step 7</v>
      </c>
      <c r="AX90" t="s">
        <v>13</v>
      </c>
      <c r="AY90" t="s">
        <v>11</v>
      </c>
      <c r="AZ90" t="s">
        <v>464</v>
      </c>
      <c r="BB90" t="s">
        <v>463</v>
      </c>
      <c r="BC90" t="str">
        <f t="shared" si="27"/>
        <v>NatGrdExt_KOR_8</v>
      </c>
      <c r="BD90" t="str">
        <f t="shared" si="37"/>
        <v>Grid Extension -South Korea- Step 8</v>
      </c>
      <c r="BE90" t="s">
        <v>13</v>
      </c>
      <c r="BF90" t="s">
        <v>11</v>
      </c>
      <c r="BG90" t="s">
        <v>464</v>
      </c>
      <c r="BI90" t="s">
        <v>463</v>
      </c>
      <c r="BJ90" t="str">
        <f t="shared" si="28"/>
        <v>NatGrdExt_KOR_9</v>
      </c>
      <c r="BK90" t="str">
        <f t="shared" si="38"/>
        <v>Grid Extension -South Korea- Step 9</v>
      </c>
      <c r="BL90" t="s">
        <v>13</v>
      </c>
      <c r="BM90" t="s">
        <v>11</v>
      </c>
      <c r="BN90" t="s">
        <v>464</v>
      </c>
      <c r="BP90" t="s">
        <v>463</v>
      </c>
      <c r="BQ90" t="str">
        <f t="shared" si="29"/>
        <v>NatGrdExt_KOR_10</v>
      </c>
      <c r="BR90" t="str">
        <f t="shared" si="39"/>
        <v>Grid Extension -South Korea- Step 10</v>
      </c>
      <c r="BS90" t="s">
        <v>13</v>
      </c>
      <c r="BT90" t="s">
        <v>11</v>
      </c>
      <c r="BU90" t="s">
        <v>464</v>
      </c>
    </row>
    <row r="91" spans="1:73">
      <c r="A91" s="5" t="s">
        <v>577</v>
      </c>
      <c r="B91" s="5" t="s">
        <v>578</v>
      </c>
      <c r="E91" t="s">
        <v>463</v>
      </c>
      <c r="F91" t="str">
        <f t="shared" si="20"/>
        <v>NatGrdExt_KWT_1</v>
      </c>
      <c r="G91" t="str">
        <f t="shared" si="30"/>
        <v>Grid Extension -Kuwait- Step 1</v>
      </c>
      <c r="H91" t="s">
        <v>13</v>
      </c>
      <c r="I91" t="s">
        <v>11</v>
      </c>
      <c r="J91" t="s">
        <v>464</v>
      </c>
      <c r="L91" t="s">
        <v>463</v>
      </c>
      <c r="M91" t="str">
        <f t="shared" si="21"/>
        <v>NatGrdExt_KWT_2</v>
      </c>
      <c r="N91" t="str">
        <f t="shared" si="31"/>
        <v>Grid Extension -Kuwait- Step 2</v>
      </c>
      <c r="O91" t="s">
        <v>13</v>
      </c>
      <c r="P91" t="s">
        <v>11</v>
      </c>
      <c r="Q91" t="s">
        <v>464</v>
      </c>
      <c r="S91" t="s">
        <v>463</v>
      </c>
      <c r="T91" t="str">
        <f t="shared" si="22"/>
        <v>NatGrdExt_KWT_3</v>
      </c>
      <c r="U91" t="str">
        <f t="shared" si="32"/>
        <v>Grid Extension -Kuwait- Step 3</v>
      </c>
      <c r="V91" t="s">
        <v>13</v>
      </c>
      <c r="W91" t="s">
        <v>11</v>
      </c>
      <c r="X91" t="s">
        <v>464</v>
      </c>
      <c r="Z91" t="s">
        <v>463</v>
      </c>
      <c r="AA91" t="str">
        <f t="shared" si="23"/>
        <v>NatGrdExt_KWT_4</v>
      </c>
      <c r="AB91" t="str">
        <f t="shared" si="33"/>
        <v>Grid Extension -Kuwait- Step 4</v>
      </c>
      <c r="AC91" t="s">
        <v>13</v>
      </c>
      <c r="AD91" t="s">
        <v>11</v>
      </c>
      <c r="AE91" t="s">
        <v>464</v>
      </c>
      <c r="AG91" t="s">
        <v>463</v>
      </c>
      <c r="AH91" t="str">
        <f t="shared" si="24"/>
        <v>NatGrdExt_KWT_5</v>
      </c>
      <c r="AI91" t="str">
        <f t="shared" si="34"/>
        <v>Grid Extension -Kuwait- Step 5</v>
      </c>
      <c r="AJ91" t="s">
        <v>13</v>
      </c>
      <c r="AK91" t="s">
        <v>11</v>
      </c>
      <c r="AL91" t="s">
        <v>464</v>
      </c>
      <c r="AN91" t="s">
        <v>463</v>
      </c>
      <c r="AO91" t="str">
        <f t="shared" si="25"/>
        <v>NatGrdExt_KWT_6</v>
      </c>
      <c r="AP91" t="str">
        <f t="shared" si="35"/>
        <v>Grid Extension -Kuwait- Step 6</v>
      </c>
      <c r="AQ91" t="s">
        <v>13</v>
      </c>
      <c r="AR91" t="s">
        <v>11</v>
      </c>
      <c r="AS91" t="s">
        <v>464</v>
      </c>
      <c r="AU91" t="s">
        <v>463</v>
      </c>
      <c r="AV91" t="str">
        <f t="shared" si="26"/>
        <v>NatGrdExt_KWT_7</v>
      </c>
      <c r="AW91" t="str">
        <f t="shared" si="36"/>
        <v>Grid Extension -Kuwait- Step 7</v>
      </c>
      <c r="AX91" t="s">
        <v>13</v>
      </c>
      <c r="AY91" t="s">
        <v>11</v>
      </c>
      <c r="AZ91" t="s">
        <v>464</v>
      </c>
      <c r="BB91" t="s">
        <v>463</v>
      </c>
      <c r="BC91" t="str">
        <f t="shared" si="27"/>
        <v>NatGrdExt_KWT_8</v>
      </c>
      <c r="BD91" t="str">
        <f t="shared" si="37"/>
        <v>Grid Extension -Kuwait- Step 8</v>
      </c>
      <c r="BE91" t="s">
        <v>13</v>
      </c>
      <c r="BF91" t="s">
        <v>11</v>
      </c>
      <c r="BG91" t="s">
        <v>464</v>
      </c>
      <c r="BI91" t="s">
        <v>463</v>
      </c>
      <c r="BJ91" t="str">
        <f t="shared" si="28"/>
        <v>NatGrdExt_KWT_9</v>
      </c>
      <c r="BK91" t="str">
        <f t="shared" si="38"/>
        <v>Grid Extension -Kuwait- Step 9</v>
      </c>
      <c r="BL91" t="s">
        <v>13</v>
      </c>
      <c r="BM91" t="s">
        <v>11</v>
      </c>
      <c r="BN91" t="s">
        <v>464</v>
      </c>
      <c r="BP91" t="s">
        <v>463</v>
      </c>
      <c r="BQ91" t="str">
        <f t="shared" si="29"/>
        <v>NatGrdExt_KWT_10</v>
      </c>
      <c r="BR91" t="str">
        <f t="shared" si="39"/>
        <v>Grid Extension -Kuwait- Step 10</v>
      </c>
      <c r="BS91" t="s">
        <v>13</v>
      </c>
      <c r="BT91" t="s">
        <v>11</v>
      </c>
      <c r="BU91" t="s">
        <v>464</v>
      </c>
    </row>
    <row r="92" spans="1:73">
      <c r="A92" s="5" t="s">
        <v>46</v>
      </c>
      <c r="B92" s="5" t="s">
        <v>107</v>
      </c>
      <c r="E92" t="s">
        <v>463</v>
      </c>
      <c r="F92" t="str">
        <f t="shared" si="20"/>
        <v>NatGrdExt_LAO_1</v>
      </c>
      <c r="G92" t="str">
        <f t="shared" si="30"/>
        <v>Grid Extension -Laos- Step 1</v>
      </c>
      <c r="H92" t="s">
        <v>13</v>
      </c>
      <c r="I92" t="s">
        <v>11</v>
      </c>
      <c r="J92" t="s">
        <v>464</v>
      </c>
      <c r="L92" t="s">
        <v>463</v>
      </c>
      <c r="M92" t="str">
        <f t="shared" si="21"/>
        <v>NatGrdExt_LAO_2</v>
      </c>
      <c r="N92" t="str">
        <f t="shared" si="31"/>
        <v>Grid Extension -Laos- Step 2</v>
      </c>
      <c r="O92" t="s">
        <v>13</v>
      </c>
      <c r="P92" t="s">
        <v>11</v>
      </c>
      <c r="Q92" t="s">
        <v>464</v>
      </c>
      <c r="S92" t="s">
        <v>463</v>
      </c>
      <c r="T92" t="str">
        <f t="shared" si="22"/>
        <v>NatGrdExt_LAO_3</v>
      </c>
      <c r="U92" t="str">
        <f t="shared" si="32"/>
        <v>Grid Extension -Laos- Step 3</v>
      </c>
      <c r="V92" t="s">
        <v>13</v>
      </c>
      <c r="W92" t="s">
        <v>11</v>
      </c>
      <c r="X92" t="s">
        <v>464</v>
      </c>
      <c r="Z92" t="s">
        <v>463</v>
      </c>
      <c r="AA92" t="str">
        <f t="shared" si="23"/>
        <v>NatGrdExt_LAO_4</v>
      </c>
      <c r="AB92" t="str">
        <f t="shared" si="33"/>
        <v>Grid Extension -Laos- Step 4</v>
      </c>
      <c r="AC92" t="s">
        <v>13</v>
      </c>
      <c r="AD92" t="s">
        <v>11</v>
      </c>
      <c r="AE92" t="s">
        <v>464</v>
      </c>
      <c r="AG92" t="s">
        <v>463</v>
      </c>
      <c r="AH92" t="str">
        <f t="shared" si="24"/>
        <v>NatGrdExt_LAO_5</v>
      </c>
      <c r="AI92" t="str">
        <f t="shared" si="34"/>
        <v>Grid Extension -Laos- Step 5</v>
      </c>
      <c r="AJ92" t="s">
        <v>13</v>
      </c>
      <c r="AK92" t="s">
        <v>11</v>
      </c>
      <c r="AL92" t="s">
        <v>464</v>
      </c>
      <c r="AN92" t="s">
        <v>463</v>
      </c>
      <c r="AO92" t="str">
        <f t="shared" si="25"/>
        <v>NatGrdExt_LAO_6</v>
      </c>
      <c r="AP92" t="str">
        <f t="shared" si="35"/>
        <v>Grid Extension -Laos- Step 6</v>
      </c>
      <c r="AQ92" t="s">
        <v>13</v>
      </c>
      <c r="AR92" t="s">
        <v>11</v>
      </c>
      <c r="AS92" t="s">
        <v>464</v>
      </c>
      <c r="AU92" t="s">
        <v>463</v>
      </c>
      <c r="AV92" t="str">
        <f t="shared" si="26"/>
        <v>NatGrdExt_LAO_7</v>
      </c>
      <c r="AW92" t="str">
        <f t="shared" si="36"/>
        <v>Grid Extension -Laos- Step 7</v>
      </c>
      <c r="AX92" t="s">
        <v>13</v>
      </c>
      <c r="AY92" t="s">
        <v>11</v>
      </c>
      <c r="AZ92" t="s">
        <v>464</v>
      </c>
      <c r="BB92" t="s">
        <v>463</v>
      </c>
      <c r="BC92" t="str">
        <f t="shared" si="27"/>
        <v>NatGrdExt_LAO_8</v>
      </c>
      <c r="BD92" t="str">
        <f t="shared" si="37"/>
        <v>Grid Extension -Laos- Step 8</v>
      </c>
      <c r="BE92" t="s">
        <v>13</v>
      </c>
      <c r="BF92" t="s">
        <v>11</v>
      </c>
      <c r="BG92" t="s">
        <v>464</v>
      </c>
      <c r="BI92" t="s">
        <v>463</v>
      </c>
      <c r="BJ92" t="str">
        <f t="shared" si="28"/>
        <v>NatGrdExt_LAO_9</v>
      </c>
      <c r="BK92" t="str">
        <f t="shared" si="38"/>
        <v>Grid Extension -Laos- Step 9</v>
      </c>
      <c r="BL92" t="s">
        <v>13</v>
      </c>
      <c r="BM92" t="s">
        <v>11</v>
      </c>
      <c r="BN92" t="s">
        <v>464</v>
      </c>
      <c r="BP92" t="s">
        <v>463</v>
      </c>
      <c r="BQ92" t="str">
        <f t="shared" si="29"/>
        <v>NatGrdExt_LAO_10</v>
      </c>
      <c r="BR92" t="str">
        <f t="shared" si="39"/>
        <v>Grid Extension -Laos- Step 10</v>
      </c>
      <c r="BS92" t="s">
        <v>13</v>
      </c>
      <c r="BT92" t="s">
        <v>11</v>
      </c>
      <c r="BU92" t="s">
        <v>464</v>
      </c>
    </row>
    <row r="93" spans="1:73">
      <c r="A93" s="5" t="s">
        <v>579</v>
      </c>
      <c r="B93" s="5" t="s">
        <v>580</v>
      </c>
      <c r="E93" t="s">
        <v>463</v>
      </c>
      <c r="F93" t="str">
        <f t="shared" si="20"/>
        <v>NatGrdExt_LBN_1</v>
      </c>
      <c r="G93" t="str">
        <f t="shared" si="30"/>
        <v>Grid Extension -Lebanon- Step 1</v>
      </c>
      <c r="H93" t="s">
        <v>13</v>
      </c>
      <c r="I93" t="s">
        <v>11</v>
      </c>
      <c r="J93" t="s">
        <v>464</v>
      </c>
      <c r="L93" t="s">
        <v>463</v>
      </c>
      <c r="M93" t="str">
        <f t="shared" si="21"/>
        <v>NatGrdExt_LBN_2</v>
      </c>
      <c r="N93" t="str">
        <f t="shared" si="31"/>
        <v>Grid Extension -Lebanon- Step 2</v>
      </c>
      <c r="O93" t="s">
        <v>13</v>
      </c>
      <c r="P93" t="s">
        <v>11</v>
      </c>
      <c r="Q93" t="s">
        <v>464</v>
      </c>
      <c r="S93" t="s">
        <v>463</v>
      </c>
      <c r="T93" t="str">
        <f t="shared" si="22"/>
        <v>NatGrdExt_LBN_3</v>
      </c>
      <c r="U93" t="str">
        <f t="shared" si="32"/>
        <v>Grid Extension -Lebanon- Step 3</v>
      </c>
      <c r="V93" t="s">
        <v>13</v>
      </c>
      <c r="W93" t="s">
        <v>11</v>
      </c>
      <c r="X93" t="s">
        <v>464</v>
      </c>
      <c r="Z93" t="s">
        <v>463</v>
      </c>
      <c r="AA93" t="str">
        <f t="shared" si="23"/>
        <v>NatGrdExt_LBN_4</v>
      </c>
      <c r="AB93" t="str">
        <f t="shared" si="33"/>
        <v>Grid Extension -Lebanon- Step 4</v>
      </c>
      <c r="AC93" t="s">
        <v>13</v>
      </c>
      <c r="AD93" t="s">
        <v>11</v>
      </c>
      <c r="AE93" t="s">
        <v>464</v>
      </c>
      <c r="AG93" t="s">
        <v>463</v>
      </c>
      <c r="AH93" t="str">
        <f t="shared" si="24"/>
        <v>NatGrdExt_LBN_5</v>
      </c>
      <c r="AI93" t="str">
        <f t="shared" si="34"/>
        <v>Grid Extension -Lebanon- Step 5</v>
      </c>
      <c r="AJ93" t="s">
        <v>13</v>
      </c>
      <c r="AK93" t="s">
        <v>11</v>
      </c>
      <c r="AL93" t="s">
        <v>464</v>
      </c>
      <c r="AN93" t="s">
        <v>463</v>
      </c>
      <c r="AO93" t="str">
        <f t="shared" si="25"/>
        <v>NatGrdExt_LBN_6</v>
      </c>
      <c r="AP93" t="str">
        <f t="shared" si="35"/>
        <v>Grid Extension -Lebanon- Step 6</v>
      </c>
      <c r="AQ93" t="s">
        <v>13</v>
      </c>
      <c r="AR93" t="s">
        <v>11</v>
      </c>
      <c r="AS93" t="s">
        <v>464</v>
      </c>
      <c r="AU93" t="s">
        <v>463</v>
      </c>
      <c r="AV93" t="str">
        <f t="shared" si="26"/>
        <v>NatGrdExt_LBN_7</v>
      </c>
      <c r="AW93" t="str">
        <f t="shared" si="36"/>
        <v>Grid Extension -Lebanon- Step 7</v>
      </c>
      <c r="AX93" t="s">
        <v>13</v>
      </c>
      <c r="AY93" t="s">
        <v>11</v>
      </c>
      <c r="AZ93" t="s">
        <v>464</v>
      </c>
      <c r="BB93" t="s">
        <v>463</v>
      </c>
      <c r="BC93" t="str">
        <f t="shared" si="27"/>
        <v>NatGrdExt_LBN_8</v>
      </c>
      <c r="BD93" t="str">
        <f t="shared" si="37"/>
        <v>Grid Extension -Lebanon- Step 8</v>
      </c>
      <c r="BE93" t="s">
        <v>13</v>
      </c>
      <c r="BF93" t="s">
        <v>11</v>
      </c>
      <c r="BG93" t="s">
        <v>464</v>
      </c>
      <c r="BI93" t="s">
        <v>463</v>
      </c>
      <c r="BJ93" t="str">
        <f t="shared" si="28"/>
        <v>NatGrdExt_LBN_9</v>
      </c>
      <c r="BK93" t="str">
        <f t="shared" si="38"/>
        <v>Grid Extension -Lebanon- Step 9</v>
      </c>
      <c r="BL93" t="s">
        <v>13</v>
      </c>
      <c r="BM93" t="s">
        <v>11</v>
      </c>
      <c r="BN93" t="s">
        <v>464</v>
      </c>
      <c r="BP93" t="s">
        <v>463</v>
      </c>
      <c r="BQ93" t="str">
        <f t="shared" si="29"/>
        <v>NatGrdExt_LBN_10</v>
      </c>
      <c r="BR93" t="str">
        <f t="shared" si="39"/>
        <v>Grid Extension -Lebanon- Step 10</v>
      </c>
      <c r="BS93" t="s">
        <v>13</v>
      </c>
      <c r="BT93" t="s">
        <v>11</v>
      </c>
      <c r="BU93" t="s">
        <v>464</v>
      </c>
    </row>
    <row r="94" spans="1:73">
      <c r="A94" s="5" t="s">
        <v>47</v>
      </c>
      <c r="B94" s="5" t="s">
        <v>108</v>
      </c>
      <c r="E94" t="s">
        <v>463</v>
      </c>
      <c r="F94" t="str">
        <f t="shared" si="20"/>
        <v>NatGrdExt_LBR_1</v>
      </c>
      <c r="G94" t="str">
        <f t="shared" si="30"/>
        <v>Grid Extension -Liberia- Step 1</v>
      </c>
      <c r="H94" t="s">
        <v>13</v>
      </c>
      <c r="I94" t="s">
        <v>11</v>
      </c>
      <c r="J94" t="s">
        <v>464</v>
      </c>
      <c r="L94" t="s">
        <v>463</v>
      </c>
      <c r="M94" t="str">
        <f t="shared" si="21"/>
        <v>NatGrdExt_LBR_2</v>
      </c>
      <c r="N94" t="str">
        <f t="shared" si="31"/>
        <v>Grid Extension -Liberia- Step 2</v>
      </c>
      <c r="O94" t="s">
        <v>13</v>
      </c>
      <c r="P94" t="s">
        <v>11</v>
      </c>
      <c r="Q94" t="s">
        <v>464</v>
      </c>
      <c r="S94" t="s">
        <v>463</v>
      </c>
      <c r="T94" t="str">
        <f t="shared" si="22"/>
        <v>NatGrdExt_LBR_3</v>
      </c>
      <c r="U94" t="str">
        <f t="shared" si="32"/>
        <v>Grid Extension -Liberia- Step 3</v>
      </c>
      <c r="V94" t="s">
        <v>13</v>
      </c>
      <c r="W94" t="s">
        <v>11</v>
      </c>
      <c r="X94" t="s">
        <v>464</v>
      </c>
      <c r="Z94" t="s">
        <v>463</v>
      </c>
      <c r="AA94" t="str">
        <f t="shared" si="23"/>
        <v>NatGrdExt_LBR_4</v>
      </c>
      <c r="AB94" t="str">
        <f t="shared" si="33"/>
        <v>Grid Extension -Liberia- Step 4</v>
      </c>
      <c r="AC94" t="s">
        <v>13</v>
      </c>
      <c r="AD94" t="s">
        <v>11</v>
      </c>
      <c r="AE94" t="s">
        <v>464</v>
      </c>
      <c r="AG94" t="s">
        <v>463</v>
      </c>
      <c r="AH94" t="str">
        <f t="shared" si="24"/>
        <v>NatGrdExt_LBR_5</v>
      </c>
      <c r="AI94" t="str">
        <f t="shared" si="34"/>
        <v>Grid Extension -Liberia- Step 5</v>
      </c>
      <c r="AJ94" t="s">
        <v>13</v>
      </c>
      <c r="AK94" t="s">
        <v>11</v>
      </c>
      <c r="AL94" t="s">
        <v>464</v>
      </c>
      <c r="AN94" t="s">
        <v>463</v>
      </c>
      <c r="AO94" t="str">
        <f t="shared" si="25"/>
        <v>NatGrdExt_LBR_6</v>
      </c>
      <c r="AP94" t="str">
        <f t="shared" si="35"/>
        <v>Grid Extension -Liberia- Step 6</v>
      </c>
      <c r="AQ94" t="s">
        <v>13</v>
      </c>
      <c r="AR94" t="s">
        <v>11</v>
      </c>
      <c r="AS94" t="s">
        <v>464</v>
      </c>
      <c r="AU94" t="s">
        <v>463</v>
      </c>
      <c r="AV94" t="str">
        <f t="shared" si="26"/>
        <v>NatGrdExt_LBR_7</v>
      </c>
      <c r="AW94" t="str">
        <f t="shared" si="36"/>
        <v>Grid Extension -Liberia- Step 7</v>
      </c>
      <c r="AX94" t="s">
        <v>13</v>
      </c>
      <c r="AY94" t="s">
        <v>11</v>
      </c>
      <c r="AZ94" t="s">
        <v>464</v>
      </c>
      <c r="BB94" t="s">
        <v>463</v>
      </c>
      <c r="BC94" t="str">
        <f t="shared" si="27"/>
        <v>NatGrdExt_LBR_8</v>
      </c>
      <c r="BD94" t="str">
        <f t="shared" si="37"/>
        <v>Grid Extension -Liberia- Step 8</v>
      </c>
      <c r="BE94" t="s">
        <v>13</v>
      </c>
      <c r="BF94" t="s">
        <v>11</v>
      </c>
      <c r="BG94" t="s">
        <v>464</v>
      </c>
      <c r="BI94" t="s">
        <v>463</v>
      </c>
      <c r="BJ94" t="str">
        <f t="shared" si="28"/>
        <v>NatGrdExt_LBR_9</v>
      </c>
      <c r="BK94" t="str">
        <f t="shared" si="38"/>
        <v>Grid Extension -Liberia- Step 9</v>
      </c>
      <c r="BL94" t="s">
        <v>13</v>
      </c>
      <c r="BM94" t="s">
        <v>11</v>
      </c>
      <c r="BN94" t="s">
        <v>464</v>
      </c>
      <c r="BP94" t="s">
        <v>463</v>
      </c>
      <c r="BQ94" t="str">
        <f t="shared" si="29"/>
        <v>NatGrdExt_LBR_10</v>
      </c>
      <c r="BR94" t="str">
        <f t="shared" si="39"/>
        <v>Grid Extension -Liberia- Step 10</v>
      </c>
      <c r="BS94" t="s">
        <v>13</v>
      </c>
      <c r="BT94" t="s">
        <v>11</v>
      </c>
      <c r="BU94" t="s">
        <v>464</v>
      </c>
    </row>
    <row r="95" spans="1:73">
      <c r="A95" s="5" t="s">
        <v>581</v>
      </c>
      <c r="B95" s="5" t="s">
        <v>582</v>
      </c>
      <c r="E95" t="s">
        <v>463</v>
      </c>
      <c r="F95" t="str">
        <f t="shared" si="20"/>
        <v>NatGrdExt_LBY_1</v>
      </c>
      <c r="G95" t="str">
        <f t="shared" si="30"/>
        <v>Grid Extension -Libya- Step 1</v>
      </c>
      <c r="H95" t="s">
        <v>13</v>
      </c>
      <c r="I95" t="s">
        <v>11</v>
      </c>
      <c r="J95" t="s">
        <v>464</v>
      </c>
      <c r="L95" t="s">
        <v>463</v>
      </c>
      <c r="M95" t="str">
        <f t="shared" si="21"/>
        <v>NatGrdExt_LBY_2</v>
      </c>
      <c r="N95" t="str">
        <f t="shared" si="31"/>
        <v>Grid Extension -Libya- Step 2</v>
      </c>
      <c r="O95" t="s">
        <v>13</v>
      </c>
      <c r="P95" t="s">
        <v>11</v>
      </c>
      <c r="Q95" t="s">
        <v>464</v>
      </c>
      <c r="S95" t="s">
        <v>463</v>
      </c>
      <c r="T95" t="str">
        <f t="shared" si="22"/>
        <v>NatGrdExt_LBY_3</v>
      </c>
      <c r="U95" t="str">
        <f t="shared" si="32"/>
        <v>Grid Extension -Libya- Step 3</v>
      </c>
      <c r="V95" t="s">
        <v>13</v>
      </c>
      <c r="W95" t="s">
        <v>11</v>
      </c>
      <c r="X95" t="s">
        <v>464</v>
      </c>
      <c r="Z95" t="s">
        <v>463</v>
      </c>
      <c r="AA95" t="str">
        <f t="shared" si="23"/>
        <v>NatGrdExt_LBY_4</v>
      </c>
      <c r="AB95" t="str">
        <f t="shared" si="33"/>
        <v>Grid Extension -Libya- Step 4</v>
      </c>
      <c r="AC95" t="s">
        <v>13</v>
      </c>
      <c r="AD95" t="s">
        <v>11</v>
      </c>
      <c r="AE95" t="s">
        <v>464</v>
      </c>
      <c r="AG95" t="s">
        <v>463</v>
      </c>
      <c r="AH95" t="str">
        <f t="shared" si="24"/>
        <v>NatGrdExt_LBY_5</v>
      </c>
      <c r="AI95" t="str">
        <f t="shared" si="34"/>
        <v>Grid Extension -Libya- Step 5</v>
      </c>
      <c r="AJ95" t="s">
        <v>13</v>
      </c>
      <c r="AK95" t="s">
        <v>11</v>
      </c>
      <c r="AL95" t="s">
        <v>464</v>
      </c>
      <c r="AN95" t="s">
        <v>463</v>
      </c>
      <c r="AO95" t="str">
        <f t="shared" si="25"/>
        <v>NatGrdExt_LBY_6</v>
      </c>
      <c r="AP95" t="str">
        <f t="shared" si="35"/>
        <v>Grid Extension -Libya- Step 6</v>
      </c>
      <c r="AQ95" t="s">
        <v>13</v>
      </c>
      <c r="AR95" t="s">
        <v>11</v>
      </c>
      <c r="AS95" t="s">
        <v>464</v>
      </c>
      <c r="AU95" t="s">
        <v>463</v>
      </c>
      <c r="AV95" t="str">
        <f t="shared" si="26"/>
        <v>NatGrdExt_LBY_7</v>
      </c>
      <c r="AW95" t="str">
        <f t="shared" si="36"/>
        <v>Grid Extension -Libya- Step 7</v>
      </c>
      <c r="AX95" t="s">
        <v>13</v>
      </c>
      <c r="AY95" t="s">
        <v>11</v>
      </c>
      <c r="AZ95" t="s">
        <v>464</v>
      </c>
      <c r="BB95" t="s">
        <v>463</v>
      </c>
      <c r="BC95" t="str">
        <f t="shared" si="27"/>
        <v>NatGrdExt_LBY_8</v>
      </c>
      <c r="BD95" t="str">
        <f t="shared" si="37"/>
        <v>Grid Extension -Libya- Step 8</v>
      </c>
      <c r="BE95" t="s">
        <v>13</v>
      </c>
      <c r="BF95" t="s">
        <v>11</v>
      </c>
      <c r="BG95" t="s">
        <v>464</v>
      </c>
      <c r="BI95" t="s">
        <v>463</v>
      </c>
      <c r="BJ95" t="str">
        <f t="shared" si="28"/>
        <v>NatGrdExt_LBY_9</v>
      </c>
      <c r="BK95" t="str">
        <f t="shared" si="38"/>
        <v>Grid Extension -Libya- Step 9</v>
      </c>
      <c r="BL95" t="s">
        <v>13</v>
      </c>
      <c r="BM95" t="s">
        <v>11</v>
      </c>
      <c r="BN95" t="s">
        <v>464</v>
      </c>
      <c r="BP95" t="s">
        <v>463</v>
      </c>
      <c r="BQ95" t="str">
        <f t="shared" si="29"/>
        <v>NatGrdExt_LBY_10</v>
      </c>
      <c r="BR95" t="str">
        <f t="shared" si="39"/>
        <v>Grid Extension -Libya- Step 10</v>
      </c>
      <c r="BS95" t="s">
        <v>13</v>
      </c>
      <c r="BT95" t="s">
        <v>11</v>
      </c>
      <c r="BU95" t="s">
        <v>464</v>
      </c>
    </row>
    <row r="96" spans="1:73">
      <c r="A96" s="5" t="s">
        <v>583</v>
      </c>
      <c r="B96" s="5" t="s">
        <v>584</v>
      </c>
      <c r="E96" t="s">
        <v>463</v>
      </c>
      <c r="F96" t="str">
        <f t="shared" si="20"/>
        <v>NatGrdExt_LKA_1</v>
      </c>
      <c r="G96" t="str">
        <f t="shared" si="30"/>
        <v>Grid Extension -Sri Lanka- Step 1</v>
      </c>
      <c r="H96" t="s">
        <v>13</v>
      </c>
      <c r="I96" t="s">
        <v>11</v>
      </c>
      <c r="J96" t="s">
        <v>464</v>
      </c>
      <c r="L96" t="s">
        <v>463</v>
      </c>
      <c r="M96" t="str">
        <f t="shared" si="21"/>
        <v>NatGrdExt_LKA_2</v>
      </c>
      <c r="N96" t="str">
        <f t="shared" si="31"/>
        <v>Grid Extension -Sri Lanka- Step 2</v>
      </c>
      <c r="O96" t="s">
        <v>13</v>
      </c>
      <c r="P96" t="s">
        <v>11</v>
      </c>
      <c r="Q96" t="s">
        <v>464</v>
      </c>
      <c r="S96" t="s">
        <v>463</v>
      </c>
      <c r="T96" t="str">
        <f t="shared" si="22"/>
        <v>NatGrdExt_LKA_3</v>
      </c>
      <c r="U96" t="str">
        <f t="shared" si="32"/>
        <v>Grid Extension -Sri Lanka- Step 3</v>
      </c>
      <c r="V96" t="s">
        <v>13</v>
      </c>
      <c r="W96" t="s">
        <v>11</v>
      </c>
      <c r="X96" t="s">
        <v>464</v>
      </c>
      <c r="Z96" t="s">
        <v>463</v>
      </c>
      <c r="AA96" t="str">
        <f t="shared" si="23"/>
        <v>NatGrdExt_LKA_4</v>
      </c>
      <c r="AB96" t="str">
        <f t="shared" si="33"/>
        <v>Grid Extension -Sri Lanka- Step 4</v>
      </c>
      <c r="AC96" t="s">
        <v>13</v>
      </c>
      <c r="AD96" t="s">
        <v>11</v>
      </c>
      <c r="AE96" t="s">
        <v>464</v>
      </c>
      <c r="AG96" t="s">
        <v>463</v>
      </c>
      <c r="AH96" t="str">
        <f t="shared" si="24"/>
        <v>NatGrdExt_LKA_5</v>
      </c>
      <c r="AI96" t="str">
        <f t="shared" si="34"/>
        <v>Grid Extension -Sri Lanka- Step 5</v>
      </c>
      <c r="AJ96" t="s">
        <v>13</v>
      </c>
      <c r="AK96" t="s">
        <v>11</v>
      </c>
      <c r="AL96" t="s">
        <v>464</v>
      </c>
      <c r="AN96" t="s">
        <v>463</v>
      </c>
      <c r="AO96" t="str">
        <f t="shared" si="25"/>
        <v>NatGrdExt_LKA_6</v>
      </c>
      <c r="AP96" t="str">
        <f t="shared" si="35"/>
        <v>Grid Extension -Sri Lanka- Step 6</v>
      </c>
      <c r="AQ96" t="s">
        <v>13</v>
      </c>
      <c r="AR96" t="s">
        <v>11</v>
      </c>
      <c r="AS96" t="s">
        <v>464</v>
      </c>
      <c r="AU96" t="s">
        <v>463</v>
      </c>
      <c r="AV96" t="str">
        <f t="shared" si="26"/>
        <v>NatGrdExt_LKA_7</v>
      </c>
      <c r="AW96" t="str">
        <f t="shared" si="36"/>
        <v>Grid Extension -Sri Lanka- Step 7</v>
      </c>
      <c r="AX96" t="s">
        <v>13</v>
      </c>
      <c r="AY96" t="s">
        <v>11</v>
      </c>
      <c r="AZ96" t="s">
        <v>464</v>
      </c>
      <c r="BB96" t="s">
        <v>463</v>
      </c>
      <c r="BC96" t="str">
        <f t="shared" si="27"/>
        <v>NatGrdExt_LKA_8</v>
      </c>
      <c r="BD96" t="str">
        <f t="shared" si="37"/>
        <v>Grid Extension -Sri Lanka- Step 8</v>
      </c>
      <c r="BE96" t="s">
        <v>13</v>
      </c>
      <c r="BF96" t="s">
        <v>11</v>
      </c>
      <c r="BG96" t="s">
        <v>464</v>
      </c>
      <c r="BI96" t="s">
        <v>463</v>
      </c>
      <c r="BJ96" t="str">
        <f t="shared" si="28"/>
        <v>NatGrdExt_LKA_9</v>
      </c>
      <c r="BK96" t="str">
        <f t="shared" si="38"/>
        <v>Grid Extension -Sri Lanka- Step 9</v>
      </c>
      <c r="BL96" t="s">
        <v>13</v>
      </c>
      <c r="BM96" t="s">
        <v>11</v>
      </c>
      <c r="BN96" t="s">
        <v>464</v>
      </c>
      <c r="BP96" t="s">
        <v>463</v>
      </c>
      <c r="BQ96" t="str">
        <f t="shared" si="29"/>
        <v>NatGrdExt_LKA_10</v>
      </c>
      <c r="BR96" t="str">
        <f t="shared" si="39"/>
        <v>Grid Extension -Sri Lanka- Step 10</v>
      </c>
      <c r="BS96" t="s">
        <v>13</v>
      </c>
      <c r="BT96" t="s">
        <v>11</v>
      </c>
      <c r="BU96" t="s">
        <v>464</v>
      </c>
    </row>
    <row r="97" spans="1:73">
      <c r="A97" s="5" t="s">
        <v>585</v>
      </c>
      <c r="B97" s="5" t="s">
        <v>586</v>
      </c>
      <c r="E97" t="s">
        <v>463</v>
      </c>
      <c r="F97" t="str">
        <f t="shared" si="20"/>
        <v>NatGrdExt_LSO_1</v>
      </c>
      <c r="G97" t="str">
        <f t="shared" si="30"/>
        <v>Grid Extension -Lesotho- Step 1</v>
      </c>
      <c r="H97" t="s">
        <v>13</v>
      </c>
      <c r="I97" t="s">
        <v>11</v>
      </c>
      <c r="J97" t="s">
        <v>464</v>
      </c>
      <c r="L97" t="s">
        <v>463</v>
      </c>
      <c r="M97" t="str">
        <f t="shared" si="21"/>
        <v>NatGrdExt_LSO_2</v>
      </c>
      <c r="N97" t="str">
        <f t="shared" si="31"/>
        <v>Grid Extension -Lesotho- Step 2</v>
      </c>
      <c r="O97" t="s">
        <v>13</v>
      </c>
      <c r="P97" t="s">
        <v>11</v>
      </c>
      <c r="Q97" t="s">
        <v>464</v>
      </c>
      <c r="S97" t="s">
        <v>463</v>
      </c>
      <c r="T97" t="str">
        <f t="shared" si="22"/>
        <v>NatGrdExt_LSO_3</v>
      </c>
      <c r="U97" t="str">
        <f t="shared" si="32"/>
        <v>Grid Extension -Lesotho- Step 3</v>
      </c>
      <c r="V97" t="s">
        <v>13</v>
      </c>
      <c r="W97" t="s">
        <v>11</v>
      </c>
      <c r="X97" t="s">
        <v>464</v>
      </c>
      <c r="Z97" t="s">
        <v>463</v>
      </c>
      <c r="AA97" t="str">
        <f t="shared" si="23"/>
        <v>NatGrdExt_LSO_4</v>
      </c>
      <c r="AB97" t="str">
        <f t="shared" si="33"/>
        <v>Grid Extension -Lesotho- Step 4</v>
      </c>
      <c r="AC97" t="s">
        <v>13</v>
      </c>
      <c r="AD97" t="s">
        <v>11</v>
      </c>
      <c r="AE97" t="s">
        <v>464</v>
      </c>
      <c r="AG97" t="s">
        <v>463</v>
      </c>
      <c r="AH97" t="str">
        <f t="shared" si="24"/>
        <v>NatGrdExt_LSO_5</v>
      </c>
      <c r="AI97" t="str">
        <f t="shared" si="34"/>
        <v>Grid Extension -Lesotho- Step 5</v>
      </c>
      <c r="AJ97" t="s">
        <v>13</v>
      </c>
      <c r="AK97" t="s">
        <v>11</v>
      </c>
      <c r="AL97" t="s">
        <v>464</v>
      </c>
      <c r="AN97" t="s">
        <v>463</v>
      </c>
      <c r="AO97" t="str">
        <f t="shared" si="25"/>
        <v>NatGrdExt_LSO_6</v>
      </c>
      <c r="AP97" t="str">
        <f t="shared" si="35"/>
        <v>Grid Extension -Lesotho- Step 6</v>
      </c>
      <c r="AQ97" t="s">
        <v>13</v>
      </c>
      <c r="AR97" t="s">
        <v>11</v>
      </c>
      <c r="AS97" t="s">
        <v>464</v>
      </c>
      <c r="AU97" t="s">
        <v>463</v>
      </c>
      <c r="AV97" t="str">
        <f t="shared" si="26"/>
        <v>NatGrdExt_LSO_7</v>
      </c>
      <c r="AW97" t="str">
        <f t="shared" si="36"/>
        <v>Grid Extension -Lesotho- Step 7</v>
      </c>
      <c r="AX97" t="s">
        <v>13</v>
      </c>
      <c r="AY97" t="s">
        <v>11</v>
      </c>
      <c r="AZ97" t="s">
        <v>464</v>
      </c>
      <c r="BB97" t="s">
        <v>463</v>
      </c>
      <c r="BC97" t="str">
        <f t="shared" si="27"/>
        <v>NatGrdExt_LSO_8</v>
      </c>
      <c r="BD97" t="str">
        <f t="shared" si="37"/>
        <v>Grid Extension -Lesotho- Step 8</v>
      </c>
      <c r="BE97" t="s">
        <v>13</v>
      </c>
      <c r="BF97" t="s">
        <v>11</v>
      </c>
      <c r="BG97" t="s">
        <v>464</v>
      </c>
      <c r="BI97" t="s">
        <v>463</v>
      </c>
      <c r="BJ97" t="str">
        <f t="shared" si="28"/>
        <v>NatGrdExt_LSO_9</v>
      </c>
      <c r="BK97" t="str">
        <f t="shared" si="38"/>
        <v>Grid Extension -Lesotho- Step 9</v>
      </c>
      <c r="BL97" t="s">
        <v>13</v>
      </c>
      <c r="BM97" t="s">
        <v>11</v>
      </c>
      <c r="BN97" t="s">
        <v>464</v>
      </c>
      <c r="BP97" t="s">
        <v>463</v>
      </c>
      <c r="BQ97" t="str">
        <f t="shared" si="29"/>
        <v>NatGrdExt_LSO_10</v>
      </c>
      <c r="BR97" t="str">
        <f t="shared" si="39"/>
        <v>Grid Extension -Lesotho- Step 10</v>
      </c>
      <c r="BS97" t="s">
        <v>13</v>
      </c>
      <c r="BT97" t="s">
        <v>11</v>
      </c>
      <c r="BU97" t="s">
        <v>464</v>
      </c>
    </row>
    <row r="98" spans="1:73">
      <c r="A98" s="5" t="s">
        <v>587</v>
      </c>
      <c r="B98" s="5" t="s">
        <v>588</v>
      </c>
      <c r="E98" t="s">
        <v>463</v>
      </c>
      <c r="F98" t="str">
        <f t="shared" si="20"/>
        <v>NatGrdExt_LTU_1</v>
      </c>
      <c r="G98" t="str">
        <f t="shared" si="30"/>
        <v>Grid Extension -Lithuania- Step 1</v>
      </c>
      <c r="H98" t="s">
        <v>13</v>
      </c>
      <c r="I98" t="s">
        <v>11</v>
      </c>
      <c r="J98" t="s">
        <v>464</v>
      </c>
      <c r="L98" t="s">
        <v>463</v>
      </c>
      <c r="M98" t="str">
        <f t="shared" si="21"/>
        <v>NatGrdExt_LTU_2</v>
      </c>
      <c r="N98" t="str">
        <f t="shared" si="31"/>
        <v>Grid Extension -Lithuania- Step 2</v>
      </c>
      <c r="O98" t="s">
        <v>13</v>
      </c>
      <c r="P98" t="s">
        <v>11</v>
      </c>
      <c r="Q98" t="s">
        <v>464</v>
      </c>
      <c r="S98" t="s">
        <v>463</v>
      </c>
      <c r="T98" t="str">
        <f t="shared" si="22"/>
        <v>NatGrdExt_LTU_3</v>
      </c>
      <c r="U98" t="str">
        <f t="shared" si="32"/>
        <v>Grid Extension -Lithuania- Step 3</v>
      </c>
      <c r="V98" t="s">
        <v>13</v>
      </c>
      <c r="W98" t="s">
        <v>11</v>
      </c>
      <c r="X98" t="s">
        <v>464</v>
      </c>
      <c r="Z98" t="s">
        <v>463</v>
      </c>
      <c r="AA98" t="str">
        <f t="shared" si="23"/>
        <v>NatGrdExt_LTU_4</v>
      </c>
      <c r="AB98" t="str">
        <f t="shared" si="33"/>
        <v>Grid Extension -Lithuania- Step 4</v>
      </c>
      <c r="AC98" t="s">
        <v>13</v>
      </c>
      <c r="AD98" t="s">
        <v>11</v>
      </c>
      <c r="AE98" t="s">
        <v>464</v>
      </c>
      <c r="AG98" t="s">
        <v>463</v>
      </c>
      <c r="AH98" t="str">
        <f t="shared" si="24"/>
        <v>NatGrdExt_LTU_5</v>
      </c>
      <c r="AI98" t="str">
        <f t="shared" si="34"/>
        <v>Grid Extension -Lithuania- Step 5</v>
      </c>
      <c r="AJ98" t="s">
        <v>13</v>
      </c>
      <c r="AK98" t="s">
        <v>11</v>
      </c>
      <c r="AL98" t="s">
        <v>464</v>
      </c>
      <c r="AN98" t="s">
        <v>463</v>
      </c>
      <c r="AO98" t="str">
        <f t="shared" si="25"/>
        <v>NatGrdExt_LTU_6</v>
      </c>
      <c r="AP98" t="str">
        <f t="shared" si="35"/>
        <v>Grid Extension -Lithuania- Step 6</v>
      </c>
      <c r="AQ98" t="s">
        <v>13</v>
      </c>
      <c r="AR98" t="s">
        <v>11</v>
      </c>
      <c r="AS98" t="s">
        <v>464</v>
      </c>
      <c r="AU98" t="s">
        <v>463</v>
      </c>
      <c r="AV98" t="str">
        <f t="shared" si="26"/>
        <v>NatGrdExt_LTU_7</v>
      </c>
      <c r="AW98" t="str">
        <f t="shared" si="36"/>
        <v>Grid Extension -Lithuania- Step 7</v>
      </c>
      <c r="AX98" t="s">
        <v>13</v>
      </c>
      <c r="AY98" t="s">
        <v>11</v>
      </c>
      <c r="AZ98" t="s">
        <v>464</v>
      </c>
      <c r="BB98" t="s">
        <v>463</v>
      </c>
      <c r="BC98" t="str">
        <f t="shared" si="27"/>
        <v>NatGrdExt_LTU_8</v>
      </c>
      <c r="BD98" t="str">
        <f t="shared" si="37"/>
        <v>Grid Extension -Lithuania- Step 8</v>
      </c>
      <c r="BE98" t="s">
        <v>13</v>
      </c>
      <c r="BF98" t="s">
        <v>11</v>
      </c>
      <c r="BG98" t="s">
        <v>464</v>
      </c>
      <c r="BI98" t="s">
        <v>463</v>
      </c>
      <c r="BJ98" t="str">
        <f t="shared" si="28"/>
        <v>NatGrdExt_LTU_9</v>
      </c>
      <c r="BK98" t="str">
        <f t="shared" si="38"/>
        <v>Grid Extension -Lithuania- Step 9</v>
      </c>
      <c r="BL98" t="s">
        <v>13</v>
      </c>
      <c r="BM98" t="s">
        <v>11</v>
      </c>
      <c r="BN98" t="s">
        <v>464</v>
      </c>
      <c r="BP98" t="s">
        <v>463</v>
      </c>
      <c r="BQ98" t="str">
        <f t="shared" si="29"/>
        <v>NatGrdExt_LTU_10</v>
      </c>
      <c r="BR98" t="str">
        <f t="shared" si="39"/>
        <v>Grid Extension -Lithuania- Step 10</v>
      </c>
      <c r="BS98" t="s">
        <v>13</v>
      </c>
      <c r="BT98" t="s">
        <v>11</v>
      </c>
      <c r="BU98" t="s">
        <v>464</v>
      </c>
    </row>
    <row r="99" spans="1:73">
      <c r="A99" s="5" t="s">
        <v>589</v>
      </c>
      <c r="B99" s="5" t="s">
        <v>590</v>
      </c>
      <c r="E99" t="s">
        <v>463</v>
      </c>
      <c r="F99" t="str">
        <f t="shared" si="20"/>
        <v>NatGrdExt_LUX_1</v>
      </c>
      <c r="G99" t="str">
        <f t="shared" si="30"/>
        <v>Grid Extension -Luxembourg- Step 1</v>
      </c>
      <c r="H99" t="s">
        <v>13</v>
      </c>
      <c r="I99" t="s">
        <v>11</v>
      </c>
      <c r="J99" t="s">
        <v>464</v>
      </c>
      <c r="L99" t="s">
        <v>463</v>
      </c>
      <c r="M99" t="str">
        <f t="shared" si="21"/>
        <v>NatGrdExt_LUX_2</v>
      </c>
      <c r="N99" t="str">
        <f t="shared" si="31"/>
        <v>Grid Extension -Luxembourg- Step 2</v>
      </c>
      <c r="O99" t="s">
        <v>13</v>
      </c>
      <c r="P99" t="s">
        <v>11</v>
      </c>
      <c r="Q99" t="s">
        <v>464</v>
      </c>
      <c r="S99" t="s">
        <v>463</v>
      </c>
      <c r="T99" t="str">
        <f t="shared" si="22"/>
        <v>NatGrdExt_LUX_3</v>
      </c>
      <c r="U99" t="str">
        <f t="shared" si="32"/>
        <v>Grid Extension -Luxembourg- Step 3</v>
      </c>
      <c r="V99" t="s">
        <v>13</v>
      </c>
      <c r="W99" t="s">
        <v>11</v>
      </c>
      <c r="X99" t="s">
        <v>464</v>
      </c>
      <c r="Z99" t="s">
        <v>463</v>
      </c>
      <c r="AA99" t="str">
        <f t="shared" si="23"/>
        <v>NatGrdExt_LUX_4</v>
      </c>
      <c r="AB99" t="str">
        <f t="shared" si="33"/>
        <v>Grid Extension -Luxembourg- Step 4</v>
      </c>
      <c r="AC99" t="s">
        <v>13</v>
      </c>
      <c r="AD99" t="s">
        <v>11</v>
      </c>
      <c r="AE99" t="s">
        <v>464</v>
      </c>
      <c r="AG99" t="s">
        <v>463</v>
      </c>
      <c r="AH99" t="str">
        <f t="shared" si="24"/>
        <v>NatGrdExt_LUX_5</v>
      </c>
      <c r="AI99" t="str">
        <f t="shared" si="34"/>
        <v>Grid Extension -Luxembourg- Step 5</v>
      </c>
      <c r="AJ99" t="s">
        <v>13</v>
      </c>
      <c r="AK99" t="s">
        <v>11</v>
      </c>
      <c r="AL99" t="s">
        <v>464</v>
      </c>
      <c r="AN99" t="s">
        <v>463</v>
      </c>
      <c r="AO99" t="str">
        <f t="shared" si="25"/>
        <v>NatGrdExt_LUX_6</v>
      </c>
      <c r="AP99" t="str">
        <f t="shared" si="35"/>
        <v>Grid Extension -Luxembourg- Step 6</v>
      </c>
      <c r="AQ99" t="s">
        <v>13</v>
      </c>
      <c r="AR99" t="s">
        <v>11</v>
      </c>
      <c r="AS99" t="s">
        <v>464</v>
      </c>
      <c r="AU99" t="s">
        <v>463</v>
      </c>
      <c r="AV99" t="str">
        <f t="shared" si="26"/>
        <v>NatGrdExt_LUX_7</v>
      </c>
      <c r="AW99" t="str">
        <f t="shared" si="36"/>
        <v>Grid Extension -Luxembourg- Step 7</v>
      </c>
      <c r="AX99" t="s">
        <v>13</v>
      </c>
      <c r="AY99" t="s">
        <v>11</v>
      </c>
      <c r="AZ99" t="s">
        <v>464</v>
      </c>
      <c r="BB99" t="s">
        <v>463</v>
      </c>
      <c r="BC99" t="str">
        <f t="shared" si="27"/>
        <v>NatGrdExt_LUX_8</v>
      </c>
      <c r="BD99" t="str">
        <f t="shared" si="37"/>
        <v>Grid Extension -Luxembourg- Step 8</v>
      </c>
      <c r="BE99" t="s">
        <v>13</v>
      </c>
      <c r="BF99" t="s">
        <v>11</v>
      </c>
      <c r="BG99" t="s">
        <v>464</v>
      </c>
      <c r="BI99" t="s">
        <v>463</v>
      </c>
      <c r="BJ99" t="str">
        <f t="shared" si="28"/>
        <v>NatGrdExt_LUX_9</v>
      </c>
      <c r="BK99" t="str">
        <f t="shared" si="38"/>
        <v>Grid Extension -Luxembourg- Step 9</v>
      </c>
      <c r="BL99" t="s">
        <v>13</v>
      </c>
      <c r="BM99" t="s">
        <v>11</v>
      </c>
      <c r="BN99" t="s">
        <v>464</v>
      </c>
      <c r="BP99" t="s">
        <v>463</v>
      </c>
      <c r="BQ99" t="str">
        <f t="shared" si="29"/>
        <v>NatGrdExt_LUX_10</v>
      </c>
      <c r="BR99" t="str">
        <f t="shared" si="39"/>
        <v>Grid Extension -Luxembourg- Step 10</v>
      </c>
      <c r="BS99" t="s">
        <v>13</v>
      </c>
      <c r="BT99" t="s">
        <v>11</v>
      </c>
      <c r="BU99" t="s">
        <v>464</v>
      </c>
    </row>
    <row r="100" spans="1:73">
      <c r="A100" s="5" t="s">
        <v>591</v>
      </c>
      <c r="B100" s="5" t="s">
        <v>592</v>
      </c>
      <c r="E100" t="s">
        <v>463</v>
      </c>
      <c r="F100" t="str">
        <f t="shared" si="20"/>
        <v>NatGrdExt_LVA_1</v>
      </c>
      <c r="G100" t="str">
        <f t="shared" si="30"/>
        <v>Grid Extension -Latvia- Step 1</v>
      </c>
      <c r="H100" t="s">
        <v>13</v>
      </c>
      <c r="I100" t="s">
        <v>11</v>
      </c>
      <c r="J100" t="s">
        <v>464</v>
      </c>
      <c r="L100" t="s">
        <v>463</v>
      </c>
      <c r="M100" t="str">
        <f t="shared" si="21"/>
        <v>NatGrdExt_LVA_2</v>
      </c>
      <c r="N100" t="str">
        <f t="shared" si="31"/>
        <v>Grid Extension -Latvia- Step 2</v>
      </c>
      <c r="O100" t="s">
        <v>13</v>
      </c>
      <c r="P100" t="s">
        <v>11</v>
      </c>
      <c r="Q100" t="s">
        <v>464</v>
      </c>
      <c r="S100" t="s">
        <v>463</v>
      </c>
      <c r="T100" t="str">
        <f t="shared" si="22"/>
        <v>NatGrdExt_LVA_3</v>
      </c>
      <c r="U100" t="str">
        <f t="shared" si="32"/>
        <v>Grid Extension -Latvia- Step 3</v>
      </c>
      <c r="V100" t="s">
        <v>13</v>
      </c>
      <c r="W100" t="s">
        <v>11</v>
      </c>
      <c r="X100" t="s">
        <v>464</v>
      </c>
      <c r="Z100" t="s">
        <v>463</v>
      </c>
      <c r="AA100" t="str">
        <f t="shared" si="23"/>
        <v>NatGrdExt_LVA_4</v>
      </c>
      <c r="AB100" t="str">
        <f t="shared" si="33"/>
        <v>Grid Extension -Latvia- Step 4</v>
      </c>
      <c r="AC100" t="s">
        <v>13</v>
      </c>
      <c r="AD100" t="s">
        <v>11</v>
      </c>
      <c r="AE100" t="s">
        <v>464</v>
      </c>
      <c r="AG100" t="s">
        <v>463</v>
      </c>
      <c r="AH100" t="str">
        <f t="shared" si="24"/>
        <v>NatGrdExt_LVA_5</v>
      </c>
      <c r="AI100" t="str">
        <f t="shared" si="34"/>
        <v>Grid Extension -Latvia- Step 5</v>
      </c>
      <c r="AJ100" t="s">
        <v>13</v>
      </c>
      <c r="AK100" t="s">
        <v>11</v>
      </c>
      <c r="AL100" t="s">
        <v>464</v>
      </c>
      <c r="AN100" t="s">
        <v>463</v>
      </c>
      <c r="AO100" t="str">
        <f t="shared" si="25"/>
        <v>NatGrdExt_LVA_6</v>
      </c>
      <c r="AP100" t="str">
        <f t="shared" si="35"/>
        <v>Grid Extension -Latvia- Step 6</v>
      </c>
      <c r="AQ100" t="s">
        <v>13</v>
      </c>
      <c r="AR100" t="s">
        <v>11</v>
      </c>
      <c r="AS100" t="s">
        <v>464</v>
      </c>
      <c r="AU100" t="s">
        <v>463</v>
      </c>
      <c r="AV100" t="str">
        <f t="shared" si="26"/>
        <v>NatGrdExt_LVA_7</v>
      </c>
      <c r="AW100" t="str">
        <f t="shared" si="36"/>
        <v>Grid Extension -Latvia- Step 7</v>
      </c>
      <c r="AX100" t="s">
        <v>13</v>
      </c>
      <c r="AY100" t="s">
        <v>11</v>
      </c>
      <c r="AZ100" t="s">
        <v>464</v>
      </c>
      <c r="BB100" t="s">
        <v>463</v>
      </c>
      <c r="BC100" t="str">
        <f t="shared" si="27"/>
        <v>NatGrdExt_LVA_8</v>
      </c>
      <c r="BD100" t="str">
        <f t="shared" si="37"/>
        <v>Grid Extension -Latvia- Step 8</v>
      </c>
      <c r="BE100" t="s">
        <v>13</v>
      </c>
      <c r="BF100" t="s">
        <v>11</v>
      </c>
      <c r="BG100" t="s">
        <v>464</v>
      </c>
      <c r="BI100" t="s">
        <v>463</v>
      </c>
      <c r="BJ100" t="str">
        <f t="shared" si="28"/>
        <v>NatGrdExt_LVA_9</v>
      </c>
      <c r="BK100" t="str">
        <f t="shared" si="38"/>
        <v>Grid Extension -Latvia- Step 9</v>
      </c>
      <c r="BL100" t="s">
        <v>13</v>
      </c>
      <c r="BM100" t="s">
        <v>11</v>
      </c>
      <c r="BN100" t="s">
        <v>464</v>
      </c>
      <c r="BP100" t="s">
        <v>463</v>
      </c>
      <c r="BQ100" t="str">
        <f t="shared" si="29"/>
        <v>NatGrdExt_LVA_10</v>
      </c>
      <c r="BR100" t="str">
        <f t="shared" si="39"/>
        <v>Grid Extension -Latvia- Step 10</v>
      </c>
      <c r="BS100" t="s">
        <v>13</v>
      </c>
      <c r="BT100" t="s">
        <v>11</v>
      </c>
      <c r="BU100" t="s">
        <v>464</v>
      </c>
    </row>
    <row r="101" spans="1:73">
      <c r="A101" s="5" t="s">
        <v>593</v>
      </c>
      <c r="B101" s="5" t="s">
        <v>594</v>
      </c>
      <c r="E101" t="s">
        <v>463</v>
      </c>
      <c r="F101" t="str">
        <f t="shared" si="20"/>
        <v>NatGrdExt_MAR_1</v>
      </c>
      <c r="G101" t="str">
        <f t="shared" si="30"/>
        <v>Grid Extension -Morocco- Step 1</v>
      </c>
      <c r="H101" t="s">
        <v>13</v>
      </c>
      <c r="I101" t="s">
        <v>11</v>
      </c>
      <c r="J101" t="s">
        <v>464</v>
      </c>
      <c r="L101" t="s">
        <v>463</v>
      </c>
      <c r="M101" t="str">
        <f t="shared" si="21"/>
        <v>NatGrdExt_MAR_2</v>
      </c>
      <c r="N101" t="str">
        <f t="shared" si="31"/>
        <v>Grid Extension -Morocco- Step 2</v>
      </c>
      <c r="O101" t="s">
        <v>13</v>
      </c>
      <c r="P101" t="s">
        <v>11</v>
      </c>
      <c r="Q101" t="s">
        <v>464</v>
      </c>
      <c r="S101" t="s">
        <v>463</v>
      </c>
      <c r="T101" t="str">
        <f t="shared" si="22"/>
        <v>NatGrdExt_MAR_3</v>
      </c>
      <c r="U101" t="str">
        <f t="shared" si="32"/>
        <v>Grid Extension -Morocco- Step 3</v>
      </c>
      <c r="V101" t="s">
        <v>13</v>
      </c>
      <c r="W101" t="s">
        <v>11</v>
      </c>
      <c r="X101" t="s">
        <v>464</v>
      </c>
      <c r="Z101" t="s">
        <v>463</v>
      </c>
      <c r="AA101" t="str">
        <f t="shared" si="23"/>
        <v>NatGrdExt_MAR_4</v>
      </c>
      <c r="AB101" t="str">
        <f t="shared" si="33"/>
        <v>Grid Extension -Morocco- Step 4</v>
      </c>
      <c r="AC101" t="s">
        <v>13</v>
      </c>
      <c r="AD101" t="s">
        <v>11</v>
      </c>
      <c r="AE101" t="s">
        <v>464</v>
      </c>
      <c r="AG101" t="s">
        <v>463</v>
      </c>
      <c r="AH101" t="str">
        <f t="shared" si="24"/>
        <v>NatGrdExt_MAR_5</v>
      </c>
      <c r="AI101" t="str">
        <f t="shared" si="34"/>
        <v>Grid Extension -Morocco- Step 5</v>
      </c>
      <c r="AJ101" t="s">
        <v>13</v>
      </c>
      <c r="AK101" t="s">
        <v>11</v>
      </c>
      <c r="AL101" t="s">
        <v>464</v>
      </c>
      <c r="AN101" t="s">
        <v>463</v>
      </c>
      <c r="AO101" t="str">
        <f t="shared" si="25"/>
        <v>NatGrdExt_MAR_6</v>
      </c>
      <c r="AP101" t="str">
        <f t="shared" si="35"/>
        <v>Grid Extension -Morocco- Step 6</v>
      </c>
      <c r="AQ101" t="s">
        <v>13</v>
      </c>
      <c r="AR101" t="s">
        <v>11</v>
      </c>
      <c r="AS101" t="s">
        <v>464</v>
      </c>
      <c r="AU101" t="s">
        <v>463</v>
      </c>
      <c r="AV101" t="str">
        <f t="shared" si="26"/>
        <v>NatGrdExt_MAR_7</v>
      </c>
      <c r="AW101" t="str">
        <f t="shared" si="36"/>
        <v>Grid Extension -Morocco- Step 7</v>
      </c>
      <c r="AX101" t="s">
        <v>13</v>
      </c>
      <c r="AY101" t="s">
        <v>11</v>
      </c>
      <c r="AZ101" t="s">
        <v>464</v>
      </c>
      <c r="BB101" t="s">
        <v>463</v>
      </c>
      <c r="BC101" t="str">
        <f t="shared" si="27"/>
        <v>NatGrdExt_MAR_8</v>
      </c>
      <c r="BD101" t="str">
        <f t="shared" si="37"/>
        <v>Grid Extension -Morocco- Step 8</v>
      </c>
      <c r="BE101" t="s">
        <v>13</v>
      </c>
      <c r="BF101" t="s">
        <v>11</v>
      </c>
      <c r="BG101" t="s">
        <v>464</v>
      </c>
      <c r="BI101" t="s">
        <v>463</v>
      </c>
      <c r="BJ101" t="str">
        <f t="shared" si="28"/>
        <v>NatGrdExt_MAR_9</v>
      </c>
      <c r="BK101" t="str">
        <f t="shared" si="38"/>
        <v>Grid Extension -Morocco- Step 9</v>
      </c>
      <c r="BL101" t="s">
        <v>13</v>
      </c>
      <c r="BM101" t="s">
        <v>11</v>
      </c>
      <c r="BN101" t="s">
        <v>464</v>
      </c>
      <c r="BP101" t="s">
        <v>463</v>
      </c>
      <c r="BQ101" t="str">
        <f t="shared" si="29"/>
        <v>NatGrdExt_MAR_10</v>
      </c>
      <c r="BR101" t="str">
        <f t="shared" si="39"/>
        <v>Grid Extension -Morocco- Step 10</v>
      </c>
      <c r="BS101" t="s">
        <v>13</v>
      </c>
      <c r="BT101" t="s">
        <v>11</v>
      </c>
      <c r="BU101" t="s">
        <v>464</v>
      </c>
    </row>
    <row r="102" spans="1:73">
      <c r="A102" s="5" t="s">
        <v>595</v>
      </c>
      <c r="B102" s="5" t="s">
        <v>596</v>
      </c>
      <c r="E102" t="s">
        <v>463</v>
      </c>
      <c r="F102" t="str">
        <f t="shared" si="20"/>
        <v>NatGrdExt_MDA_1</v>
      </c>
      <c r="G102" t="str">
        <f t="shared" si="30"/>
        <v>Grid Extension -Moldova- Step 1</v>
      </c>
      <c r="H102" t="s">
        <v>13</v>
      </c>
      <c r="I102" t="s">
        <v>11</v>
      </c>
      <c r="J102" t="s">
        <v>464</v>
      </c>
      <c r="L102" t="s">
        <v>463</v>
      </c>
      <c r="M102" t="str">
        <f t="shared" si="21"/>
        <v>NatGrdExt_MDA_2</v>
      </c>
      <c r="N102" t="str">
        <f t="shared" si="31"/>
        <v>Grid Extension -Moldova- Step 2</v>
      </c>
      <c r="O102" t="s">
        <v>13</v>
      </c>
      <c r="P102" t="s">
        <v>11</v>
      </c>
      <c r="Q102" t="s">
        <v>464</v>
      </c>
      <c r="S102" t="s">
        <v>463</v>
      </c>
      <c r="T102" t="str">
        <f t="shared" si="22"/>
        <v>NatGrdExt_MDA_3</v>
      </c>
      <c r="U102" t="str">
        <f t="shared" si="32"/>
        <v>Grid Extension -Moldova- Step 3</v>
      </c>
      <c r="V102" t="s">
        <v>13</v>
      </c>
      <c r="W102" t="s">
        <v>11</v>
      </c>
      <c r="X102" t="s">
        <v>464</v>
      </c>
      <c r="Z102" t="s">
        <v>463</v>
      </c>
      <c r="AA102" t="str">
        <f t="shared" si="23"/>
        <v>NatGrdExt_MDA_4</v>
      </c>
      <c r="AB102" t="str">
        <f t="shared" si="33"/>
        <v>Grid Extension -Moldova- Step 4</v>
      </c>
      <c r="AC102" t="s">
        <v>13</v>
      </c>
      <c r="AD102" t="s">
        <v>11</v>
      </c>
      <c r="AE102" t="s">
        <v>464</v>
      </c>
      <c r="AG102" t="s">
        <v>463</v>
      </c>
      <c r="AH102" t="str">
        <f t="shared" si="24"/>
        <v>NatGrdExt_MDA_5</v>
      </c>
      <c r="AI102" t="str">
        <f t="shared" si="34"/>
        <v>Grid Extension -Moldova- Step 5</v>
      </c>
      <c r="AJ102" t="s">
        <v>13</v>
      </c>
      <c r="AK102" t="s">
        <v>11</v>
      </c>
      <c r="AL102" t="s">
        <v>464</v>
      </c>
      <c r="AN102" t="s">
        <v>463</v>
      </c>
      <c r="AO102" t="str">
        <f t="shared" si="25"/>
        <v>NatGrdExt_MDA_6</v>
      </c>
      <c r="AP102" t="str">
        <f t="shared" si="35"/>
        <v>Grid Extension -Moldova- Step 6</v>
      </c>
      <c r="AQ102" t="s">
        <v>13</v>
      </c>
      <c r="AR102" t="s">
        <v>11</v>
      </c>
      <c r="AS102" t="s">
        <v>464</v>
      </c>
      <c r="AU102" t="s">
        <v>463</v>
      </c>
      <c r="AV102" t="str">
        <f t="shared" si="26"/>
        <v>NatGrdExt_MDA_7</v>
      </c>
      <c r="AW102" t="str">
        <f t="shared" si="36"/>
        <v>Grid Extension -Moldova- Step 7</v>
      </c>
      <c r="AX102" t="s">
        <v>13</v>
      </c>
      <c r="AY102" t="s">
        <v>11</v>
      </c>
      <c r="AZ102" t="s">
        <v>464</v>
      </c>
      <c r="BB102" t="s">
        <v>463</v>
      </c>
      <c r="BC102" t="str">
        <f t="shared" si="27"/>
        <v>NatGrdExt_MDA_8</v>
      </c>
      <c r="BD102" t="str">
        <f t="shared" si="37"/>
        <v>Grid Extension -Moldova- Step 8</v>
      </c>
      <c r="BE102" t="s">
        <v>13</v>
      </c>
      <c r="BF102" t="s">
        <v>11</v>
      </c>
      <c r="BG102" t="s">
        <v>464</v>
      </c>
      <c r="BI102" t="s">
        <v>463</v>
      </c>
      <c r="BJ102" t="str">
        <f t="shared" si="28"/>
        <v>NatGrdExt_MDA_9</v>
      </c>
      <c r="BK102" t="str">
        <f t="shared" si="38"/>
        <v>Grid Extension -Moldova- Step 9</v>
      </c>
      <c r="BL102" t="s">
        <v>13</v>
      </c>
      <c r="BM102" t="s">
        <v>11</v>
      </c>
      <c r="BN102" t="s">
        <v>464</v>
      </c>
      <c r="BP102" t="s">
        <v>463</v>
      </c>
      <c r="BQ102" t="str">
        <f t="shared" si="29"/>
        <v>NatGrdExt_MDA_10</v>
      </c>
      <c r="BR102" t="str">
        <f t="shared" si="39"/>
        <v>Grid Extension -Moldova- Step 10</v>
      </c>
      <c r="BS102" t="s">
        <v>13</v>
      </c>
      <c r="BT102" t="s">
        <v>11</v>
      </c>
      <c r="BU102" t="s">
        <v>464</v>
      </c>
    </row>
    <row r="103" spans="1:73">
      <c r="A103" s="5" t="s">
        <v>48</v>
      </c>
      <c r="B103" s="5" t="s">
        <v>109</v>
      </c>
      <c r="E103" t="s">
        <v>463</v>
      </c>
      <c r="F103" t="str">
        <f t="shared" si="20"/>
        <v>NatGrdExt_MDG_1</v>
      </c>
      <c r="G103" t="str">
        <f t="shared" si="30"/>
        <v>Grid Extension -Madagascar- Step 1</v>
      </c>
      <c r="H103" t="s">
        <v>13</v>
      </c>
      <c r="I103" t="s">
        <v>11</v>
      </c>
      <c r="J103" t="s">
        <v>464</v>
      </c>
      <c r="L103" t="s">
        <v>463</v>
      </c>
      <c r="M103" t="str">
        <f t="shared" si="21"/>
        <v>NatGrdExt_MDG_2</v>
      </c>
      <c r="N103" t="str">
        <f t="shared" si="31"/>
        <v>Grid Extension -Madagascar- Step 2</v>
      </c>
      <c r="O103" t="s">
        <v>13</v>
      </c>
      <c r="P103" t="s">
        <v>11</v>
      </c>
      <c r="Q103" t="s">
        <v>464</v>
      </c>
      <c r="S103" t="s">
        <v>463</v>
      </c>
      <c r="T103" t="str">
        <f t="shared" si="22"/>
        <v>NatGrdExt_MDG_3</v>
      </c>
      <c r="U103" t="str">
        <f t="shared" si="32"/>
        <v>Grid Extension -Madagascar- Step 3</v>
      </c>
      <c r="V103" t="s">
        <v>13</v>
      </c>
      <c r="W103" t="s">
        <v>11</v>
      </c>
      <c r="X103" t="s">
        <v>464</v>
      </c>
      <c r="Z103" t="s">
        <v>463</v>
      </c>
      <c r="AA103" t="str">
        <f t="shared" si="23"/>
        <v>NatGrdExt_MDG_4</v>
      </c>
      <c r="AB103" t="str">
        <f t="shared" si="33"/>
        <v>Grid Extension -Madagascar- Step 4</v>
      </c>
      <c r="AC103" t="s">
        <v>13</v>
      </c>
      <c r="AD103" t="s">
        <v>11</v>
      </c>
      <c r="AE103" t="s">
        <v>464</v>
      </c>
      <c r="AG103" t="s">
        <v>463</v>
      </c>
      <c r="AH103" t="str">
        <f t="shared" si="24"/>
        <v>NatGrdExt_MDG_5</v>
      </c>
      <c r="AI103" t="str">
        <f t="shared" si="34"/>
        <v>Grid Extension -Madagascar- Step 5</v>
      </c>
      <c r="AJ103" t="s">
        <v>13</v>
      </c>
      <c r="AK103" t="s">
        <v>11</v>
      </c>
      <c r="AL103" t="s">
        <v>464</v>
      </c>
      <c r="AN103" t="s">
        <v>463</v>
      </c>
      <c r="AO103" t="str">
        <f t="shared" si="25"/>
        <v>NatGrdExt_MDG_6</v>
      </c>
      <c r="AP103" t="str">
        <f t="shared" si="35"/>
        <v>Grid Extension -Madagascar- Step 6</v>
      </c>
      <c r="AQ103" t="s">
        <v>13</v>
      </c>
      <c r="AR103" t="s">
        <v>11</v>
      </c>
      <c r="AS103" t="s">
        <v>464</v>
      </c>
      <c r="AU103" t="s">
        <v>463</v>
      </c>
      <c r="AV103" t="str">
        <f t="shared" si="26"/>
        <v>NatGrdExt_MDG_7</v>
      </c>
      <c r="AW103" t="str">
        <f t="shared" si="36"/>
        <v>Grid Extension -Madagascar- Step 7</v>
      </c>
      <c r="AX103" t="s">
        <v>13</v>
      </c>
      <c r="AY103" t="s">
        <v>11</v>
      </c>
      <c r="AZ103" t="s">
        <v>464</v>
      </c>
      <c r="BB103" t="s">
        <v>463</v>
      </c>
      <c r="BC103" t="str">
        <f t="shared" si="27"/>
        <v>NatGrdExt_MDG_8</v>
      </c>
      <c r="BD103" t="str">
        <f t="shared" si="37"/>
        <v>Grid Extension -Madagascar- Step 8</v>
      </c>
      <c r="BE103" t="s">
        <v>13</v>
      </c>
      <c r="BF103" t="s">
        <v>11</v>
      </c>
      <c r="BG103" t="s">
        <v>464</v>
      </c>
      <c r="BI103" t="s">
        <v>463</v>
      </c>
      <c r="BJ103" t="str">
        <f t="shared" si="28"/>
        <v>NatGrdExt_MDG_9</v>
      </c>
      <c r="BK103" t="str">
        <f t="shared" si="38"/>
        <v>Grid Extension -Madagascar- Step 9</v>
      </c>
      <c r="BL103" t="s">
        <v>13</v>
      </c>
      <c r="BM103" t="s">
        <v>11</v>
      </c>
      <c r="BN103" t="s">
        <v>464</v>
      </c>
      <c r="BP103" t="s">
        <v>463</v>
      </c>
      <c r="BQ103" t="str">
        <f t="shared" si="29"/>
        <v>NatGrdExt_MDG_10</v>
      </c>
      <c r="BR103" t="str">
        <f t="shared" si="39"/>
        <v>Grid Extension -Madagascar- Step 10</v>
      </c>
      <c r="BS103" t="s">
        <v>13</v>
      </c>
      <c r="BT103" t="s">
        <v>11</v>
      </c>
      <c r="BU103" t="s">
        <v>464</v>
      </c>
    </row>
    <row r="104" spans="1:73">
      <c r="A104" s="5" t="s">
        <v>49</v>
      </c>
      <c r="B104" s="5" t="s">
        <v>110</v>
      </c>
      <c r="E104" t="s">
        <v>463</v>
      </c>
      <c r="F104" t="str">
        <f t="shared" si="20"/>
        <v>NatGrdExt_MEX_1</v>
      </c>
      <c r="G104" t="str">
        <f t="shared" si="30"/>
        <v>Grid Extension -Mexico- Step 1</v>
      </c>
      <c r="H104" t="s">
        <v>13</v>
      </c>
      <c r="I104" t="s">
        <v>11</v>
      </c>
      <c r="J104" t="s">
        <v>464</v>
      </c>
      <c r="L104" t="s">
        <v>463</v>
      </c>
      <c r="M104" t="str">
        <f t="shared" si="21"/>
        <v>NatGrdExt_MEX_2</v>
      </c>
      <c r="N104" t="str">
        <f t="shared" si="31"/>
        <v>Grid Extension -Mexico- Step 2</v>
      </c>
      <c r="O104" t="s">
        <v>13</v>
      </c>
      <c r="P104" t="s">
        <v>11</v>
      </c>
      <c r="Q104" t="s">
        <v>464</v>
      </c>
      <c r="S104" t="s">
        <v>463</v>
      </c>
      <c r="T104" t="str">
        <f t="shared" si="22"/>
        <v>NatGrdExt_MEX_3</v>
      </c>
      <c r="U104" t="str">
        <f t="shared" si="32"/>
        <v>Grid Extension -Mexico- Step 3</v>
      </c>
      <c r="V104" t="s">
        <v>13</v>
      </c>
      <c r="W104" t="s">
        <v>11</v>
      </c>
      <c r="X104" t="s">
        <v>464</v>
      </c>
      <c r="Z104" t="s">
        <v>463</v>
      </c>
      <c r="AA104" t="str">
        <f t="shared" si="23"/>
        <v>NatGrdExt_MEX_4</v>
      </c>
      <c r="AB104" t="str">
        <f t="shared" si="33"/>
        <v>Grid Extension -Mexico- Step 4</v>
      </c>
      <c r="AC104" t="s">
        <v>13</v>
      </c>
      <c r="AD104" t="s">
        <v>11</v>
      </c>
      <c r="AE104" t="s">
        <v>464</v>
      </c>
      <c r="AG104" t="s">
        <v>463</v>
      </c>
      <c r="AH104" t="str">
        <f t="shared" si="24"/>
        <v>NatGrdExt_MEX_5</v>
      </c>
      <c r="AI104" t="str">
        <f t="shared" si="34"/>
        <v>Grid Extension -Mexico- Step 5</v>
      </c>
      <c r="AJ104" t="s">
        <v>13</v>
      </c>
      <c r="AK104" t="s">
        <v>11</v>
      </c>
      <c r="AL104" t="s">
        <v>464</v>
      </c>
      <c r="AN104" t="s">
        <v>463</v>
      </c>
      <c r="AO104" t="str">
        <f t="shared" si="25"/>
        <v>NatGrdExt_MEX_6</v>
      </c>
      <c r="AP104" t="str">
        <f t="shared" si="35"/>
        <v>Grid Extension -Mexico- Step 6</v>
      </c>
      <c r="AQ104" t="s">
        <v>13</v>
      </c>
      <c r="AR104" t="s">
        <v>11</v>
      </c>
      <c r="AS104" t="s">
        <v>464</v>
      </c>
      <c r="AU104" t="s">
        <v>463</v>
      </c>
      <c r="AV104" t="str">
        <f t="shared" si="26"/>
        <v>NatGrdExt_MEX_7</v>
      </c>
      <c r="AW104" t="str">
        <f t="shared" si="36"/>
        <v>Grid Extension -Mexico- Step 7</v>
      </c>
      <c r="AX104" t="s">
        <v>13</v>
      </c>
      <c r="AY104" t="s">
        <v>11</v>
      </c>
      <c r="AZ104" t="s">
        <v>464</v>
      </c>
      <c r="BB104" t="s">
        <v>463</v>
      </c>
      <c r="BC104" t="str">
        <f t="shared" si="27"/>
        <v>NatGrdExt_MEX_8</v>
      </c>
      <c r="BD104" t="str">
        <f t="shared" si="37"/>
        <v>Grid Extension -Mexico- Step 8</v>
      </c>
      <c r="BE104" t="s">
        <v>13</v>
      </c>
      <c r="BF104" t="s">
        <v>11</v>
      </c>
      <c r="BG104" t="s">
        <v>464</v>
      </c>
      <c r="BI104" t="s">
        <v>463</v>
      </c>
      <c r="BJ104" t="str">
        <f t="shared" si="28"/>
        <v>NatGrdExt_MEX_9</v>
      </c>
      <c r="BK104" t="str">
        <f t="shared" si="38"/>
        <v>Grid Extension -Mexico- Step 9</v>
      </c>
      <c r="BL104" t="s">
        <v>13</v>
      </c>
      <c r="BM104" t="s">
        <v>11</v>
      </c>
      <c r="BN104" t="s">
        <v>464</v>
      </c>
      <c r="BP104" t="s">
        <v>463</v>
      </c>
      <c r="BQ104" t="str">
        <f t="shared" si="29"/>
        <v>NatGrdExt_MEX_10</v>
      </c>
      <c r="BR104" t="str">
        <f t="shared" si="39"/>
        <v>Grid Extension -Mexico- Step 10</v>
      </c>
      <c r="BS104" t="s">
        <v>13</v>
      </c>
      <c r="BT104" t="s">
        <v>11</v>
      </c>
      <c r="BU104" t="s">
        <v>464</v>
      </c>
    </row>
    <row r="105" spans="1:73">
      <c r="A105" s="5" t="s">
        <v>597</v>
      </c>
      <c r="B105" s="5" t="s">
        <v>598</v>
      </c>
      <c r="E105" t="s">
        <v>463</v>
      </c>
      <c r="F105" t="str">
        <f t="shared" si="20"/>
        <v>NatGrdExt_MKD_1</v>
      </c>
      <c r="G105" t="str">
        <f t="shared" si="30"/>
        <v>Grid Extension -Macedonia- Step 1</v>
      </c>
      <c r="H105" t="s">
        <v>13</v>
      </c>
      <c r="I105" t="s">
        <v>11</v>
      </c>
      <c r="J105" t="s">
        <v>464</v>
      </c>
      <c r="L105" t="s">
        <v>463</v>
      </c>
      <c r="M105" t="str">
        <f t="shared" si="21"/>
        <v>NatGrdExt_MKD_2</v>
      </c>
      <c r="N105" t="str">
        <f t="shared" si="31"/>
        <v>Grid Extension -Macedonia- Step 2</v>
      </c>
      <c r="O105" t="s">
        <v>13</v>
      </c>
      <c r="P105" t="s">
        <v>11</v>
      </c>
      <c r="Q105" t="s">
        <v>464</v>
      </c>
      <c r="S105" t="s">
        <v>463</v>
      </c>
      <c r="T105" t="str">
        <f t="shared" si="22"/>
        <v>NatGrdExt_MKD_3</v>
      </c>
      <c r="U105" t="str">
        <f t="shared" si="32"/>
        <v>Grid Extension -Macedonia- Step 3</v>
      </c>
      <c r="V105" t="s">
        <v>13</v>
      </c>
      <c r="W105" t="s">
        <v>11</v>
      </c>
      <c r="X105" t="s">
        <v>464</v>
      </c>
      <c r="Z105" t="s">
        <v>463</v>
      </c>
      <c r="AA105" t="str">
        <f t="shared" si="23"/>
        <v>NatGrdExt_MKD_4</v>
      </c>
      <c r="AB105" t="str">
        <f t="shared" si="33"/>
        <v>Grid Extension -Macedonia- Step 4</v>
      </c>
      <c r="AC105" t="s">
        <v>13</v>
      </c>
      <c r="AD105" t="s">
        <v>11</v>
      </c>
      <c r="AE105" t="s">
        <v>464</v>
      </c>
      <c r="AG105" t="s">
        <v>463</v>
      </c>
      <c r="AH105" t="str">
        <f t="shared" si="24"/>
        <v>NatGrdExt_MKD_5</v>
      </c>
      <c r="AI105" t="str">
        <f t="shared" si="34"/>
        <v>Grid Extension -Macedonia- Step 5</v>
      </c>
      <c r="AJ105" t="s">
        <v>13</v>
      </c>
      <c r="AK105" t="s">
        <v>11</v>
      </c>
      <c r="AL105" t="s">
        <v>464</v>
      </c>
      <c r="AN105" t="s">
        <v>463</v>
      </c>
      <c r="AO105" t="str">
        <f t="shared" si="25"/>
        <v>NatGrdExt_MKD_6</v>
      </c>
      <c r="AP105" t="str">
        <f t="shared" si="35"/>
        <v>Grid Extension -Macedonia- Step 6</v>
      </c>
      <c r="AQ105" t="s">
        <v>13</v>
      </c>
      <c r="AR105" t="s">
        <v>11</v>
      </c>
      <c r="AS105" t="s">
        <v>464</v>
      </c>
      <c r="AU105" t="s">
        <v>463</v>
      </c>
      <c r="AV105" t="str">
        <f t="shared" si="26"/>
        <v>NatGrdExt_MKD_7</v>
      </c>
      <c r="AW105" t="str">
        <f t="shared" si="36"/>
        <v>Grid Extension -Macedonia- Step 7</v>
      </c>
      <c r="AX105" t="s">
        <v>13</v>
      </c>
      <c r="AY105" t="s">
        <v>11</v>
      </c>
      <c r="AZ105" t="s">
        <v>464</v>
      </c>
      <c r="BB105" t="s">
        <v>463</v>
      </c>
      <c r="BC105" t="str">
        <f t="shared" si="27"/>
        <v>NatGrdExt_MKD_8</v>
      </c>
      <c r="BD105" t="str">
        <f t="shared" si="37"/>
        <v>Grid Extension -Macedonia- Step 8</v>
      </c>
      <c r="BE105" t="s">
        <v>13</v>
      </c>
      <c r="BF105" t="s">
        <v>11</v>
      </c>
      <c r="BG105" t="s">
        <v>464</v>
      </c>
      <c r="BI105" t="s">
        <v>463</v>
      </c>
      <c r="BJ105" t="str">
        <f t="shared" si="28"/>
        <v>NatGrdExt_MKD_9</v>
      </c>
      <c r="BK105" t="str">
        <f t="shared" si="38"/>
        <v>Grid Extension -Macedonia- Step 9</v>
      </c>
      <c r="BL105" t="s">
        <v>13</v>
      </c>
      <c r="BM105" t="s">
        <v>11</v>
      </c>
      <c r="BN105" t="s">
        <v>464</v>
      </c>
      <c r="BP105" t="s">
        <v>463</v>
      </c>
      <c r="BQ105" t="str">
        <f t="shared" si="29"/>
        <v>NatGrdExt_MKD_10</v>
      </c>
      <c r="BR105" t="str">
        <f t="shared" si="39"/>
        <v>Grid Extension -Macedonia- Step 10</v>
      </c>
      <c r="BS105" t="s">
        <v>13</v>
      </c>
      <c r="BT105" t="s">
        <v>11</v>
      </c>
      <c r="BU105" t="s">
        <v>464</v>
      </c>
    </row>
    <row r="106" spans="1:73">
      <c r="A106" s="5" t="s">
        <v>50</v>
      </c>
      <c r="B106" s="5" t="s">
        <v>111</v>
      </c>
      <c r="E106" t="s">
        <v>463</v>
      </c>
      <c r="F106" t="str">
        <f t="shared" si="20"/>
        <v>NatGrdExt_MLI_1</v>
      </c>
      <c r="G106" t="str">
        <f t="shared" si="30"/>
        <v>Grid Extension -Mali- Step 1</v>
      </c>
      <c r="H106" t="s">
        <v>13</v>
      </c>
      <c r="I106" t="s">
        <v>11</v>
      </c>
      <c r="J106" t="s">
        <v>464</v>
      </c>
      <c r="L106" t="s">
        <v>463</v>
      </c>
      <c r="M106" t="str">
        <f t="shared" si="21"/>
        <v>NatGrdExt_MLI_2</v>
      </c>
      <c r="N106" t="str">
        <f t="shared" si="31"/>
        <v>Grid Extension -Mali- Step 2</v>
      </c>
      <c r="O106" t="s">
        <v>13</v>
      </c>
      <c r="P106" t="s">
        <v>11</v>
      </c>
      <c r="Q106" t="s">
        <v>464</v>
      </c>
      <c r="S106" t="s">
        <v>463</v>
      </c>
      <c r="T106" t="str">
        <f t="shared" si="22"/>
        <v>NatGrdExt_MLI_3</v>
      </c>
      <c r="U106" t="str">
        <f t="shared" si="32"/>
        <v>Grid Extension -Mali- Step 3</v>
      </c>
      <c r="V106" t="s">
        <v>13</v>
      </c>
      <c r="W106" t="s">
        <v>11</v>
      </c>
      <c r="X106" t="s">
        <v>464</v>
      </c>
      <c r="Z106" t="s">
        <v>463</v>
      </c>
      <c r="AA106" t="str">
        <f t="shared" si="23"/>
        <v>NatGrdExt_MLI_4</v>
      </c>
      <c r="AB106" t="str">
        <f t="shared" si="33"/>
        <v>Grid Extension -Mali- Step 4</v>
      </c>
      <c r="AC106" t="s">
        <v>13</v>
      </c>
      <c r="AD106" t="s">
        <v>11</v>
      </c>
      <c r="AE106" t="s">
        <v>464</v>
      </c>
      <c r="AG106" t="s">
        <v>463</v>
      </c>
      <c r="AH106" t="str">
        <f t="shared" si="24"/>
        <v>NatGrdExt_MLI_5</v>
      </c>
      <c r="AI106" t="str">
        <f t="shared" si="34"/>
        <v>Grid Extension -Mali- Step 5</v>
      </c>
      <c r="AJ106" t="s">
        <v>13</v>
      </c>
      <c r="AK106" t="s">
        <v>11</v>
      </c>
      <c r="AL106" t="s">
        <v>464</v>
      </c>
      <c r="AN106" t="s">
        <v>463</v>
      </c>
      <c r="AO106" t="str">
        <f t="shared" si="25"/>
        <v>NatGrdExt_MLI_6</v>
      </c>
      <c r="AP106" t="str">
        <f t="shared" si="35"/>
        <v>Grid Extension -Mali- Step 6</v>
      </c>
      <c r="AQ106" t="s">
        <v>13</v>
      </c>
      <c r="AR106" t="s">
        <v>11</v>
      </c>
      <c r="AS106" t="s">
        <v>464</v>
      </c>
      <c r="AU106" t="s">
        <v>463</v>
      </c>
      <c r="AV106" t="str">
        <f t="shared" si="26"/>
        <v>NatGrdExt_MLI_7</v>
      </c>
      <c r="AW106" t="str">
        <f t="shared" si="36"/>
        <v>Grid Extension -Mali- Step 7</v>
      </c>
      <c r="AX106" t="s">
        <v>13</v>
      </c>
      <c r="AY106" t="s">
        <v>11</v>
      </c>
      <c r="AZ106" t="s">
        <v>464</v>
      </c>
      <c r="BB106" t="s">
        <v>463</v>
      </c>
      <c r="BC106" t="str">
        <f t="shared" si="27"/>
        <v>NatGrdExt_MLI_8</v>
      </c>
      <c r="BD106" t="str">
        <f t="shared" si="37"/>
        <v>Grid Extension -Mali- Step 8</v>
      </c>
      <c r="BE106" t="s">
        <v>13</v>
      </c>
      <c r="BF106" t="s">
        <v>11</v>
      </c>
      <c r="BG106" t="s">
        <v>464</v>
      </c>
      <c r="BI106" t="s">
        <v>463</v>
      </c>
      <c r="BJ106" t="str">
        <f t="shared" si="28"/>
        <v>NatGrdExt_MLI_9</v>
      </c>
      <c r="BK106" t="str">
        <f t="shared" si="38"/>
        <v>Grid Extension -Mali- Step 9</v>
      </c>
      <c r="BL106" t="s">
        <v>13</v>
      </c>
      <c r="BM106" t="s">
        <v>11</v>
      </c>
      <c r="BN106" t="s">
        <v>464</v>
      </c>
      <c r="BP106" t="s">
        <v>463</v>
      </c>
      <c r="BQ106" t="str">
        <f t="shared" si="29"/>
        <v>NatGrdExt_MLI_10</v>
      </c>
      <c r="BR106" t="str">
        <f t="shared" si="39"/>
        <v>Grid Extension -Mali- Step 10</v>
      </c>
      <c r="BS106" t="s">
        <v>13</v>
      </c>
      <c r="BT106" t="s">
        <v>11</v>
      </c>
      <c r="BU106" t="s">
        <v>464</v>
      </c>
    </row>
    <row r="107" spans="1:73">
      <c r="A107" s="5" t="s">
        <v>51</v>
      </c>
      <c r="B107" s="5" t="s">
        <v>112</v>
      </c>
      <c r="E107" t="s">
        <v>463</v>
      </c>
      <c r="F107" t="str">
        <f t="shared" si="20"/>
        <v>NatGrdExt_MMR_1</v>
      </c>
      <c r="G107" t="str">
        <f t="shared" si="30"/>
        <v>Grid Extension -Myanmar- Step 1</v>
      </c>
      <c r="H107" t="s">
        <v>13</v>
      </c>
      <c r="I107" t="s">
        <v>11</v>
      </c>
      <c r="J107" t="s">
        <v>464</v>
      </c>
      <c r="L107" t="s">
        <v>463</v>
      </c>
      <c r="M107" t="str">
        <f t="shared" si="21"/>
        <v>NatGrdExt_MMR_2</v>
      </c>
      <c r="N107" t="str">
        <f t="shared" si="31"/>
        <v>Grid Extension -Myanmar- Step 2</v>
      </c>
      <c r="O107" t="s">
        <v>13</v>
      </c>
      <c r="P107" t="s">
        <v>11</v>
      </c>
      <c r="Q107" t="s">
        <v>464</v>
      </c>
      <c r="S107" t="s">
        <v>463</v>
      </c>
      <c r="T107" t="str">
        <f t="shared" si="22"/>
        <v>NatGrdExt_MMR_3</v>
      </c>
      <c r="U107" t="str">
        <f t="shared" si="32"/>
        <v>Grid Extension -Myanmar- Step 3</v>
      </c>
      <c r="V107" t="s">
        <v>13</v>
      </c>
      <c r="W107" t="s">
        <v>11</v>
      </c>
      <c r="X107" t="s">
        <v>464</v>
      </c>
      <c r="Z107" t="s">
        <v>463</v>
      </c>
      <c r="AA107" t="str">
        <f t="shared" si="23"/>
        <v>NatGrdExt_MMR_4</v>
      </c>
      <c r="AB107" t="str">
        <f t="shared" si="33"/>
        <v>Grid Extension -Myanmar- Step 4</v>
      </c>
      <c r="AC107" t="s">
        <v>13</v>
      </c>
      <c r="AD107" t="s">
        <v>11</v>
      </c>
      <c r="AE107" t="s">
        <v>464</v>
      </c>
      <c r="AG107" t="s">
        <v>463</v>
      </c>
      <c r="AH107" t="str">
        <f t="shared" si="24"/>
        <v>NatGrdExt_MMR_5</v>
      </c>
      <c r="AI107" t="str">
        <f t="shared" si="34"/>
        <v>Grid Extension -Myanmar- Step 5</v>
      </c>
      <c r="AJ107" t="s">
        <v>13</v>
      </c>
      <c r="AK107" t="s">
        <v>11</v>
      </c>
      <c r="AL107" t="s">
        <v>464</v>
      </c>
      <c r="AN107" t="s">
        <v>463</v>
      </c>
      <c r="AO107" t="str">
        <f t="shared" si="25"/>
        <v>NatGrdExt_MMR_6</v>
      </c>
      <c r="AP107" t="str">
        <f t="shared" si="35"/>
        <v>Grid Extension -Myanmar- Step 6</v>
      </c>
      <c r="AQ107" t="s">
        <v>13</v>
      </c>
      <c r="AR107" t="s">
        <v>11</v>
      </c>
      <c r="AS107" t="s">
        <v>464</v>
      </c>
      <c r="AU107" t="s">
        <v>463</v>
      </c>
      <c r="AV107" t="str">
        <f t="shared" si="26"/>
        <v>NatGrdExt_MMR_7</v>
      </c>
      <c r="AW107" t="str">
        <f t="shared" si="36"/>
        <v>Grid Extension -Myanmar- Step 7</v>
      </c>
      <c r="AX107" t="s">
        <v>13</v>
      </c>
      <c r="AY107" t="s">
        <v>11</v>
      </c>
      <c r="AZ107" t="s">
        <v>464</v>
      </c>
      <c r="BB107" t="s">
        <v>463</v>
      </c>
      <c r="BC107" t="str">
        <f t="shared" si="27"/>
        <v>NatGrdExt_MMR_8</v>
      </c>
      <c r="BD107" t="str">
        <f t="shared" si="37"/>
        <v>Grid Extension -Myanmar- Step 8</v>
      </c>
      <c r="BE107" t="s">
        <v>13</v>
      </c>
      <c r="BF107" t="s">
        <v>11</v>
      </c>
      <c r="BG107" t="s">
        <v>464</v>
      </c>
      <c r="BI107" t="s">
        <v>463</v>
      </c>
      <c r="BJ107" t="str">
        <f t="shared" si="28"/>
        <v>NatGrdExt_MMR_9</v>
      </c>
      <c r="BK107" t="str">
        <f t="shared" si="38"/>
        <v>Grid Extension -Myanmar- Step 9</v>
      </c>
      <c r="BL107" t="s">
        <v>13</v>
      </c>
      <c r="BM107" t="s">
        <v>11</v>
      </c>
      <c r="BN107" t="s">
        <v>464</v>
      </c>
      <c r="BP107" t="s">
        <v>463</v>
      </c>
      <c r="BQ107" t="str">
        <f t="shared" si="29"/>
        <v>NatGrdExt_MMR_10</v>
      </c>
      <c r="BR107" t="str">
        <f t="shared" si="39"/>
        <v>Grid Extension -Myanmar- Step 10</v>
      </c>
      <c r="BS107" t="s">
        <v>13</v>
      </c>
      <c r="BT107" t="s">
        <v>11</v>
      </c>
      <c r="BU107" t="s">
        <v>464</v>
      </c>
    </row>
    <row r="108" spans="1:73">
      <c r="A108" s="5" t="s">
        <v>599</v>
      </c>
      <c r="B108" s="5" t="s">
        <v>600</v>
      </c>
      <c r="E108" t="s">
        <v>463</v>
      </c>
      <c r="F108" t="str">
        <f t="shared" si="20"/>
        <v>NatGrdExt_MNE_1</v>
      </c>
      <c r="G108" t="str">
        <f t="shared" si="30"/>
        <v>Grid Extension -Montenegro- Step 1</v>
      </c>
      <c r="H108" t="s">
        <v>13</v>
      </c>
      <c r="I108" t="s">
        <v>11</v>
      </c>
      <c r="J108" t="s">
        <v>464</v>
      </c>
      <c r="L108" t="s">
        <v>463</v>
      </c>
      <c r="M108" t="str">
        <f t="shared" si="21"/>
        <v>NatGrdExt_MNE_2</v>
      </c>
      <c r="N108" t="str">
        <f t="shared" si="31"/>
        <v>Grid Extension -Montenegro- Step 2</v>
      </c>
      <c r="O108" t="s">
        <v>13</v>
      </c>
      <c r="P108" t="s">
        <v>11</v>
      </c>
      <c r="Q108" t="s">
        <v>464</v>
      </c>
      <c r="S108" t="s">
        <v>463</v>
      </c>
      <c r="T108" t="str">
        <f t="shared" si="22"/>
        <v>NatGrdExt_MNE_3</v>
      </c>
      <c r="U108" t="str">
        <f t="shared" si="32"/>
        <v>Grid Extension -Montenegro- Step 3</v>
      </c>
      <c r="V108" t="s">
        <v>13</v>
      </c>
      <c r="W108" t="s">
        <v>11</v>
      </c>
      <c r="X108" t="s">
        <v>464</v>
      </c>
      <c r="Z108" t="s">
        <v>463</v>
      </c>
      <c r="AA108" t="str">
        <f t="shared" si="23"/>
        <v>NatGrdExt_MNE_4</v>
      </c>
      <c r="AB108" t="str">
        <f t="shared" si="33"/>
        <v>Grid Extension -Montenegro- Step 4</v>
      </c>
      <c r="AC108" t="s">
        <v>13</v>
      </c>
      <c r="AD108" t="s">
        <v>11</v>
      </c>
      <c r="AE108" t="s">
        <v>464</v>
      </c>
      <c r="AG108" t="s">
        <v>463</v>
      </c>
      <c r="AH108" t="str">
        <f t="shared" si="24"/>
        <v>NatGrdExt_MNE_5</v>
      </c>
      <c r="AI108" t="str">
        <f t="shared" si="34"/>
        <v>Grid Extension -Montenegro- Step 5</v>
      </c>
      <c r="AJ108" t="s">
        <v>13</v>
      </c>
      <c r="AK108" t="s">
        <v>11</v>
      </c>
      <c r="AL108" t="s">
        <v>464</v>
      </c>
      <c r="AN108" t="s">
        <v>463</v>
      </c>
      <c r="AO108" t="str">
        <f t="shared" si="25"/>
        <v>NatGrdExt_MNE_6</v>
      </c>
      <c r="AP108" t="str">
        <f t="shared" si="35"/>
        <v>Grid Extension -Montenegro- Step 6</v>
      </c>
      <c r="AQ108" t="s">
        <v>13</v>
      </c>
      <c r="AR108" t="s">
        <v>11</v>
      </c>
      <c r="AS108" t="s">
        <v>464</v>
      </c>
      <c r="AU108" t="s">
        <v>463</v>
      </c>
      <c r="AV108" t="str">
        <f t="shared" si="26"/>
        <v>NatGrdExt_MNE_7</v>
      </c>
      <c r="AW108" t="str">
        <f t="shared" si="36"/>
        <v>Grid Extension -Montenegro- Step 7</v>
      </c>
      <c r="AX108" t="s">
        <v>13</v>
      </c>
      <c r="AY108" t="s">
        <v>11</v>
      </c>
      <c r="AZ108" t="s">
        <v>464</v>
      </c>
      <c r="BB108" t="s">
        <v>463</v>
      </c>
      <c r="BC108" t="str">
        <f t="shared" si="27"/>
        <v>NatGrdExt_MNE_8</v>
      </c>
      <c r="BD108" t="str">
        <f t="shared" si="37"/>
        <v>Grid Extension -Montenegro- Step 8</v>
      </c>
      <c r="BE108" t="s">
        <v>13</v>
      </c>
      <c r="BF108" t="s">
        <v>11</v>
      </c>
      <c r="BG108" t="s">
        <v>464</v>
      </c>
      <c r="BI108" t="s">
        <v>463</v>
      </c>
      <c r="BJ108" t="str">
        <f t="shared" si="28"/>
        <v>NatGrdExt_MNE_9</v>
      </c>
      <c r="BK108" t="str">
        <f t="shared" si="38"/>
        <v>Grid Extension -Montenegro- Step 9</v>
      </c>
      <c r="BL108" t="s">
        <v>13</v>
      </c>
      <c r="BM108" t="s">
        <v>11</v>
      </c>
      <c r="BN108" t="s">
        <v>464</v>
      </c>
      <c r="BP108" t="s">
        <v>463</v>
      </c>
      <c r="BQ108" t="str">
        <f t="shared" si="29"/>
        <v>NatGrdExt_MNE_10</v>
      </c>
      <c r="BR108" t="str">
        <f t="shared" si="39"/>
        <v>Grid Extension -Montenegro- Step 10</v>
      </c>
      <c r="BS108" t="s">
        <v>13</v>
      </c>
      <c r="BT108" t="s">
        <v>11</v>
      </c>
      <c r="BU108" t="s">
        <v>464</v>
      </c>
    </row>
    <row r="109" spans="1:73">
      <c r="A109" s="5" t="s">
        <v>52</v>
      </c>
      <c r="B109" s="5" t="s">
        <v>113</v>
      </c>
      <c r="E109" t="s">
        <v>463</v>
      </c>
      <c r="F109" t="str">
        <f t="shared" si="20"/>
        <v>NatGrdExt_MNG_1</v>
      </c>
      <c r="G109" t="str">
        <f t="shared" si="30"/>
        <v>Grid Extension -Mongolia- Step 1</v>
      </c>
      <c r="H109" t="s">
        <v>13</v>
      </c>
      <c r="I109" t="s">
        <v>11</v>
      </c>
      <c r="J109" t="s">
        <v>464</v>
      </c>
      <c r="L109" t="s">
        <v>463</v>
      </c>
      <c r="M109" t="str">
        <f t="shared" si="21"/>
        <v>NatGrdExt_MNG_2</v>
      </c>
      <c r="N109" t="str">
        <f t="shared" si="31"/>
        <v>Grid Extension -Mongolia- Step 2</v>
      </c>
      <c r="O109" t="s">
        <v>13</v>
      </c>
      <c r="P109" t="s">
        <v>11</v>
      </c>
      <c r="Q109" t="s">
        <v>464</v>
      </c>
      <c r="S109" t="s">
        <v>463</v>
      </c>
      <c r="T109" t="str">
        <f t="shared" si="22"/>
        <v>NatGrdExt_MNG_3</v>
      </c>
      <c r="U109" t="str">
        <f t="shared" si="32"/>
        <v>Grid Extension -Mongolia- Step 3</v>
      </c>
      <c r="V109" t="s">
        <v>13</v>
      </c>
      <c r="W109" t="s">
        <v>11</v>
      </c>
      <c r="X109" t="s">
        <v>464</v>
      </c>
      <c r="Z109" t="s">
        <v>463</v>
      </c>
      <c r="AA109" t="str">
        <f t="shared" si="23"/>
        <v>NatGrdExt_MNG_4</v>
      </c>
      <c r="AB109" t="str">
        <f t="shared" si="33"/>
        <v>Grid Extension -Mongolia- Step 4</v>
      </c>
      <c r="AC109" t="s">
        <v>13</v>
      </c>
      <c r="AD109" t="s">
        <v>11</v>
      </c>
      <c r="AE109" t="s">
        <v>464</v>
      </c>
      <c r="AG109" t="s">
        <v>463</v>
      </c>
      <c r="AH109" t="str">
        <f t="shared" si="24"/>
        <v>NatGrdExt_MNG_5</v>
      </c>
      <c r="AI109" t="str">
        <f t="shared" si="34"/>
        <v>Grid Extension -Mongolia- Step 5</v>
      </c>
      <c r="AJ109" t="s">
        <v>13</v>
      </c>
      <c r="AK109" t="s">
        <v>11</v>
      </c>
      <c r="AL109" t="s">
        <v>464</v>
      </c>
      <c r="AN109" t="s">
        <v>463</v>
      </c>
      <c r="AO109" t="str">
        <f t="shared" si="25"/>
        <v>NatGrdExt_MNG_6</v>
      </c>
      <c r="AP109" t="str">
        <f t="shared" si="35"/>
        <v>Grid Extension -Mongolia- Step 6</v>
      </c>
      <c r="AQ109" t="s">
        <v>13</v>
      </c>
      <c r="AR109" t="s">
        <v>11</v>
      </c>
      <c r="AS109" t="s">
        <v>464</v>
      </c>
      <c r="AU109" t="s">
        <v>463</v>
      </c>
      <c r="AV109" t="str">
        <f t="shared" si="26"/>
        <v>NatGrdExt_MNG_7</v>
      </c>
      <c r="AW109" t="str">
        <f t="shared" si="36"/>
        <v>Grid Extension -Mongolia- Step 7</v>
      </c>
      <c r="AX109" t="s">
        <v>13</v>
      </c>
      <c r="AY109" t="s">
        <v>11</v>
      </c>
      <c r="AZ109" t="s">
        <v>464</v>
      </c>
      <c r="BB109" t="s">
        <v>463</v>
      </c>
      <c r="BC109" t="str">
        <f t="shared" si="27"/>
        <v>NatGrdExt_MNG_8</v>
      </c>
      <c r="BD109" t="str">
        <f t="shared" si="37"/>
        <v>Grid Extension -Mongolia- Step 8</v>
      </c>
      <c r="BE109" t="s">
        <v>13</v>
      </c>
      <c r="BF109" t="s">
        <v>11</v>
      </c>
      <c r="BG109" t="s">
        <v>464</v>
      </c>
      <c r="BI109" t="s">
        <v>463</v>
      </c>
      <c r="BJ109" t="str">
        <f t="shared" si="28"/>
        <v>NatGrdExt_MNG_9</v>
      </c>
      <c r="BK109" t="str">
        <f t="shared" si="38"/>
        <v>Grid Extension -Mongolia- Step 9</v>
      </c>
      <c r="BL109" t="s">
        <v>13</v>
      </c>
      <c r="BM109" t="s">
        <v>11</v>
      </c>
      <c r="BN109" t="s">
        <v>464</v>
      </c>
      <c r="BP109" t="s">
        <v>463</v>
      </c>
      <c r="BQ109" t="str">
        <f t="shared" si="29"/>
        <v>NatGrdExt_MNG_10</v>
      </c>
      <c r="BR109" t="str">
        <f t="shared" si="39"/>
        <v>Grid Extension -Mongolia- Step 10</v>
      </c>
      <c r="BS109" t="s">
        <v>13</v>
      </c>
      <c r="BT109" t="s">
        <v>11</v>
      </c>
      <c r="BU109" t="s">
        <v>464</v>
      </c>
    </row>
    <row r="110" spans="1:73">
      <c r="A110" s="5" t="s">
        <v>53</v>
      </c>
      <c r="B110" s="5" t="s">
        <v>114</v>
      </c>
      <c r="E110" t="s">
        <v>463</v>
      </c>
      <c r="F110" t="str">
        <f t="shared" si="20"/>
        <v>NatGrdExt_MOZ_1</v>
      </c>
      <c r="G110" t="str">
        <f t="shared" si="30"/>
        <v>Grid Extension -Mozambique- Step 1</v>
      </c>
      <c r="H110" t="s">
        <v>13</v>
      </c>
      <c r="I110" t="s">
        <v>11</v>
      </c>
      <c r="J110" t="s">
        <v>464</v>
      </c>
      <c r="L110" t="s">
        <v>463</v>
      </c>
      <c r="M110" t="str">
        <f t="shared" si="21"/>
        <v>NatGrdExt_MOZ_2</v>
      </c>
      <c r="N110" t="str">
        <f t="shared" si="31"/>
        <v>Grid Extension -Mozambique- Step 2</v>
      </c>
      <c r="O110" t="s">
        <v>13</v>
      </c>
      <c r="P110" t="s">
        <v>11</v>
      </c>
      <c r="Q110" t="s">
        <v>464</v>
      </c>
      <c r="S110" t="s">
        <v>463</v>
      </c>
      <c r="T110" t="str">
        <f t="shared" si="22"/>
        <v>NatGrdExt_MOZ_3</v>
      </c>
      <c r="U110" t="str">
        <f t="shared" si="32"/>
        <v>Grid Extension -Mozambique- Step 3</v>
      </c>
      <c r="V110" t="s">
        <v>13</v>
      </c>
      <c r="W110" t="s">
        <v>11</v>
      </c>
      <c r="X110" t="s">
        <v>464</v>
      </c>
      <c r="Z110" t="s">
        <v>463</v>
      </c>
      <c r="AA110" t="str">
        <f t="shared" si="23"/>
        <v>NatGrdExt_MOZ_4</v>
      </c>
      <c r="AB110" t="str">
        <f t="shared" si="33"/>
        <v>Grid Extension -Mozambique- Step 4</v>
      </c>
      <c r="AC110" t="s">
        <v>13</v>
      </c>
      <c r="AD110" t="s">
        <v>11</v>
      </c>
      <c r="AE110" t="s">
        <v>464</v>
      </c>
      <c r="AG110" t="s">
        <v>463</v>
      </c>
      <c r="AH110" t="str">
        <f t="shared" si="24"/>
        <v>NatGrdExt_MOZ_5</v>
      </c>
      <c r="AI110" t="str">
        <f t="shared" si="34"/>
        <v>Grid Extension -Mozambique- Step 5</v>
      </c>
      <c r="AJ110" t="s">
        <v>13</v>
      </c>
      <c r="AK110" t="s">
        <v>11</v>
      </c>
      <c r="AL110" t="s">
        <v>464</v>
      </c>
      <c r="AN110" t="s">
        <v>463</v>
      </c>
      <c r="AO110" t="str">
        <f t="shared" si="25"/>
        <v>NatGrdExt_MOZ_6</v>
      </c>
      <c r="AP110" t="str">
        <f t="shared" si="35"/>
        <v>Grid Extension -Mozambique- Step 6</v>
      </c>
      <c r="AQ110" t="s">
        <v>13</v>
      </c>
      <c r="AR110" t="s">
        <v>11</v>
      </c>
      <c r="AS110" t="s">
        <v>464</v>
      </c>
      <c r="AU110" t="s">
        <v>463</v>
      </c>
      <c r="AV110" t="str">
        <f t="shared" si="26"/>
        <v>NatGrdExt_MOZ_7</v>
      </c>
      <c r="AW110" t="str">
        <f t="shared" si="36"/>
        <v>Grid Extension -Mozambique- Step 7</v>
      </c>
      <c r="AX110" t="s">
        <v>13</v>
      </c>
      <c r="AY110" t="s">
        <v>11</v>
      </c>
      <c r="AZ110" t="s">
        <v>464</v>
      </c>
      <c r="BB110" t="s">
        <v>463</v>
      </c>
      <c r="BC110" t="str">
        <f t="shared" si="27"/>
        <v>NatGrdExt_MOZ_8</v>
      </c>
      <c r="BD110" t="str">
        <f t="shared" si="37"/>
        <v>Grid Extension -Mozambique- Step 8</v>
      </c>
      <c r="BE110" t="s">
        <v>13</v>
      </c>
      <c r="BF110" t="s">
        <v>11</v>
      </c>
      <c r="BG110" t="s">
        <v>464</v>
      </c>
      <c r="BI110" t="s">
        <v>463</v>
      </c>
      <c r="BJ110" t="str">
        <f t="shared" si="28"/>
        <v>NatGrdExt_MOZ_9</v>
      </c>
      <c r="BK110" t="str">
        <f t="shared" si="38"/>
        <v>Grid Extension -Mozambique- Step 9</v>
      </c>
      <c r="BL110" t="s">
        <v>13</v>
      </c>
      <c r="BM110" t="s">
        <v>11</v>
      </c>
      <c r="BN110" t="s">
        <v>464</v>
      </c>
      <c r="BP110" t="s">
        <v>463</v>
      </c>
      <c r="BQ110" t="str">
        <f t="shared" si="29"/>
        <v>NatGrdExt_MOZ_10</v>
      </c>
      <c r="BR110" t="str">
        <f t="shared" si="39"/>
        <v>Grid Extension -Mozambique- Step 10</v>
      </c>
      <c r="BS110" t="s">
        <v>13</v>
      </c>
      <c r="BT110" t="s">
        <v>11</v>
      </c>
      <c r="BU110" t="s">
        <v>464</v>
      </c>
    </row>
    <row r="111" spans="1:73">
      <c r="A111" s="5" t="s">
        <v>601</v>
      </c>
      <c r="B111" s="5" t="s">
        <v>602</v>
      </c>
      <c r="E111" t="s">
        <v>463</v>
      </c>
      <c r="F111" t="str">
        <f t="shared" si="20"/>
        <v>NatGrdExt_MRT_1</v>
      </c>
      <c r="G111" t="str">
        <f t="shared" si="30"/>
        <v>Grid Extension -Mauritania- Step 1</v>
      </c>
      <c r="H111" t="s">
        <v>13</v>
      </c>
      <c r="I111" t="s">
        <v>11</v>
      </c>
      <c r="J111" t="s">
        <v>464</v>
      </c>
      <c r="L111" t="s">
        <v>463</v>
      </c>
      <c r="M111" t="str">
        <f t="shared" si="21"/>
        <v>NatGrdExt_MRT_2</v>
      </c>
      <c r="N111" t="str">
        <f t="shared" si="31"/>
        <v>Grid Extension -Mauritania- Step 2</v>
      </c>
      <c r="O111" t="s">
        <v>13</v>
      </c>
      <c r="P111" t="s">
        <v>11</v>
      </c>
      <c r="Q111" t="s">
        <v>464</v>
      </c>
      <c r="S111" t="s">
        <v>463</v>
      </c>
      <c r="T111" t="str">
        <f t="shared" si="22"/>
        <v>NatGrdExt_MRT_3</v>
      </c>
      <c r="U111" t="str">
        <f t="shared" si="32"/>
        <v>Grid Extension -Mauritania- Step 3</v>
      </c>
      <c r="V111" t="s">
        <v>13</v>
      </c>
      <c r="W111" t="s">
        <v>11</v>
      </c>
      <c r="X111" t="s">
        <v>464</v>
      </c>
      <c r="Z111" t="s">
        <v>463</v>
      </c>
      <c r="AA111" t="str">
        <f t="shared" si="23"/>
        <v>NatGrdExt_MRT_4</v>
      </c>
      <c r="AB111" t="str">
        <f t="shared" si="33"/>
        <v>Grid Extension -Mauritania- Step 4</v>
      </c>
      <c r="AC111" t="s">
        <v>13</v>
      </c>
      <c r="AD111" t="s">
        <v>11</v>
      </c>
      <c r="AE111" t="s">
        <v>464</v>
      </c>
      <c r="AG111" t="s">
        <v>463</v>
      </c>
      <c r="AH111" t="str">
        <f t="shared" si="24"/>
        <v>NatGrdExt_MRT_5</v>
      </c>
      <c r="AI111" t="str">
        <f t="shared" si="34"/>
        <v>Grid Extension -Mauritania- Step 5</v>
      </c>
      <c r="AJ111" t="s">
        <v>13</v>
      </c>
      <c r="AK111" t="s">
        <v>11</v>
      </c>
      <c r="AL111" t="s">
        <v>464</v>
      </c>
      <c r="AN111" t="s">
        <v>463</v>
      </c>
      <c r="AO111" t="str">
        <f t="shared" si="25"/>
        <v>NatGrdExt_MRT_6</v>
      </c>
      <c r="AP111" t="str">
        <f t="shared" si="35"/>
        <v>Grid Extension -Mauritania- Step 6</v>
      </c>
      <c r="AQ111" t="s">
        <v>13</v>
      </c>
      <c r="AR111" t="s">
        <v>11</v>
      </c>
      <c r="AS111" t="s">
        <v>464</v>
      </c>
      <c r="AU111" t="s">
        <v>463</v>
      </c>
      <c r="AV111" t="str">
        <f t="shared" si="26"/>
        <v>NatGrdExt_MRT_7</v>
      </c>
      <c r="AW111" t="str">
        <f t="shared" si="36"/>
        <v>Grid Extension -Mauritania- Step 7</v>
      </c>
      <c r="AX111" t="s">
        <v>13</v>
      </c>
      <c r="AY111" t="s">
        <v>11</v>
      </c>
      <c r="AZ111" t="s">
        <v>464</v>
      </c>
      <c r="BB111" t="s">
        <v>463</v>
      </c>
      <c r="BC111" t="str">
        <f t="shared" si="27"/>
        <v>NatGrdExt_MRT_8</v>
      </c>
      <c r="BD111" t="str">
        <f t="shared" si="37"/>
        <v>Grid Extension -Mauritania- Step 8</v>
      </c>
      <c r="BE111" t="s">
        <v>13</v>
      </c>
      <c r="BF111" t="s">
        <v>11</v>
      </c>
      <c r="BG111" t="s">
        <v>464</v>
      </c>
      <c r="BI111" t="s">
        <v>463</v>
      </c>
      <c r="BJ111" t="str">
        <f t="shared" si="28"/>
        <v>NatGrdExt_MRT_9</v>
      </c>
      <c r="BK111" t="str">
        <f t="shared" si="38"/>
        <v>Grid Extension -Mauritania- Step 9</v>
      </c>
      <c r="BL111" t="s">
        <v>13</v>
      </c>
      <c r="BM111" t="s">
        <v>11</v>
      </c>
      <c r="BN111" t="s">
        <v>464</v>
      </c>
      <c r="BP111" t="s">
        <v>463</v>
      </c>
      <c r="BQ111" t="str">
        <f t="shared" si="29"/>
        <v>NatGrdExt_MRT_10</v>
      </c>
      <c r="BR111" t="str">
        <f t="shared" si="39"/>
        <v>Grid Extension -Mauritania- Step 10</v>
      </c>
      <c r="BS111" t="s">
        <v>13</v>
      </c>
      <c r="BT111" t="s">
        <v>11</v>
      </c>
      <c r="BU111" t="s">
        <v>464</v>
      </c>
    </row>
    <row r="112" spans="1:73">
      <c r="A112" s="5" t="s">
        <v>54</v>
      </c>
      <c r="B112" s="5" t="s">
        <v>115</v>
      </c>
      <c r="E112" t="s">
        <v>463</v>
      </c>
      <c r="F112" t="str">
        <f t="shared" si="20"/>
        <v>NatGrdExt_MWI_1</v>
      </c>
      <c r="G112" t="str">
        <f t="shared" si="30"/>
        <v>Grid Extension -Malawi- Step 1</v>
      </c>
      <c r="H112" t="s">
        <v>13</v>
      </c>
      <c r="I112" t="s">
        <v>11</v>
      </c>
      <c r="J112" t="s">
        <v>464</v>
      </c>
      <c r="L112" t="s">
        <v>463</v>
      </c>
      <c r="M112" t="str">
        <f t="shared" si="21"/>
        <v>NatGrdExt_MWI_2</v>
      </c>
      <c r="N112" t="str">
        <f t="shared" si="31"/>
        <v>Grid Extension -Malawi- Step 2</v>
      </c>
      <c r="O112" t="s">
        <v>13</v>
      </c>
      <c r="P112" t="s">
        <v>11</v>
      </c>
      <c r="Q112" t="s">
        <v>464</v>
      </c>
      <c r="S112" t="s">
        <v>463</v>
      </c>
      <c r="T112" t="str">
        <f t="shared" si="22"/>
        <v>NatGrdExt_MWI_3</v>
      </c>
      <c r="U112" t="str">
        <f t="shared" si="32"/>
        <v>Grid Extension -Malawi- Step 3</v>
      </c>
      <c r="V112" t="s">
        <v>13</v>
      </c>
      <c r="W112" t="s">
        <v>11</v>
      </c>
      <c r="X112" t="s">
        <v>464</v>
      </c>
      <c r="Z112" t="s">
        <v>463</v>
      </c>
      <c r="AA112" t="str">
        <f t="shared" si="23"/>
        <v>NatGrdExt_MWI_4</v>
      </c>
      <c r="AB112" t="str">
        <f t="shared" si="33"/>
        <v>Grid Extension -Malawi- Step 4</v>
      </c>
      <c r="AC112" t="s">
        <v>13</v>
      </c>
      <c r="AD112" t="s">
        <v>11</v>
      </c>
      <c r="AE112" t="s">
        <v>464</v>
      </c>
      <c r="AG112" t="s">
        <v>463</v>
      </c>
      <c r="AH112" t="str">
        <f t="shared" si="24"/>
        <v>NatGrdExt_MWI_5</v>
      </c>
      <c r="AI112" t="str">
        <f t="shared" si="34"/>
        <v>Grid Extension -Malawi- Step 5</v>
      </c>
      <c r="AJ112" t="s">
        <v>13</v>
      </c>
      <c r="AK112" t="s">
        <v>11</v>
      </c>
      <c r="AL112" t="s">
        <v>464</v>
      </c>
      <c r="AN112" t="s">
        <v>463</v>
      </c>
      <c r="AO112" t="str">
        <f t="shared" si="25"/>
        <v>NatGrdExt_MWI_6</v>
      </c>
      <c r="AP112" t="str">
        <f t="shared" si="35"/>
        <v>Grid Extension -Malawi- Step 6</v>
      </c>
      <c r="AQ112" t="s">
        <v>13</v>
      </c>
      <c r="AR112" t="s">
        <v>11</v>
      </c>
      <c r="AS112" t="s">
        <v>464</v>
      </c>
      <c r="AU112" t="s">
        <v>463</v>
      </c>
      <c r="AV112" t="str">
        <f t="shared" si="26"/>
        <v>NatGrdExt_MWI_7</v>
      </c>
      <c r="AW112" t="str">
        <f t="shared" si="36"/>
        <v>Grid Extension -Malawi- Step 7</v>
      </c>
      <c r="AX112" t="s">
        <v>13</v>
      </c>
      <c r="AY112" t="s">
        <v>11</v>
      </c>
      <c r="AZ112" t="s">
        <v>464</v>
      </c>
      <c r="BB112" t="s">
        <v>463</v>
      </c>
      <c r="BC112" t="str">
        <f t="shared" si="27"/>
        <v>NatGrdExt_MWI_8</v>
      </c>
      <c r="BD112" t="str">
        <f t="shared" si="37"/>
        <v>Grid Extension -Malawi- Step 8</v>
      </c>
      <c r="BE112" t="s">
        <v>13</v>
      </c>
      <c r="BF112" t="s">
        <v>11</v>
      </c>
      <c r="BG112" t="s">
        <v>464</v>
      </c>
      <c r="BI112" t="s">
        <v>463</v>
      </c>
      <c r="BJ112" t="str">
        <f t="shared" si="28"/>
        <v>NatGrdExt_MWI_9</v>
      </c>
      <c r="BK112" t="str">
        <f t="shared" si="38"/>
        <v>Grid Extension -Malawi- Step 9</v>
      </c>
      <c r="BL112" t="s">
        <v>13</v>
      </c>
      <c r="BM112" t="s">
        <v>11</v>
      </c>
      <c r="BN112" t="s">
        <v>464</v>
      </c>
      <c r="BP112" t="s">
        <v>463</v>
      </c>
      <c r="BQ112" t="str">
        <f t="shared" si="29"/>
        <v>NatGrdExt_MWI_10</v>
      </c>
      <c r="BR112" t="str">
        <f t="shared" si="39"/>
        <v>Grid Extension -Malawi- Step 10</v>
      </c>
      <c r="BS112" t="s">
        <v>13</v>
      </c>
      <c r="BT112" t="s">
        <v>11</v>
      </c>
      <c r="BU112" t="s">
        <v>464</v>
      </c>
    </row>
    <row r="113" spans="1:73">
      <c r="A113" s="5" t="s">
        <v>603</v>
      </c>
      <c r="B113" s="5" t="s">
        <v>604</v>
      </c>
      <c r="E113" t="s">
        <v>463</v>
      </c>
      <c r="F113" t="str">
        <f t="shared" si="20"/>
        <v>NatGrdExt_MYS_1</v>
      </c>
      <c r="G113" t="str">
        <f t="shared" si="30"/>
        <v>Grid Extension -Malaysia- Step 1</v>
      </c>
      <c r="H113" t="s">
        <v>13</v>
      </c>
      <c r="I113" t="s">
        <v>11</v>
      </c>
      <c r="J113" t="s">
        <v>464</v>
      </c>
      <c r="L113" t="s">
        <v>463</v>
      </c>
      <c r="M113" t="str">
        <f t="shared" si="21"/>
        <v>NatGrdExt_MYS_2</v>
      </c>
      <c r="N113" t="str">
        <f t="shared" si="31"/>
        <v>Grid Extension -Malaysia- Step 2</v>
      </c>
      <c r="O113" t="s">
        <v>13</v>
      </c>
      <c r="P113" t="s">
        <v>11</v>
      </c>
      <c r="Q113" t="s">
        <v>464</v>
      </c>
      <c r="S113" t="s">
        <v>463</v>
      </c>
      <c r="T113" t="str">
        <f t="shared" si="22"/>
        <v>NatGrdExt_MYS_3</v>
      </c>
      <c r="U113" t="str">
        <f t="shared" si="32"/>
        <v>Grid Extension -Malaysia- Step 3</v>
      </c>
      <c r="V113" t="s">
        <v>13</v>
      </c>
      <c r="W113" t="s">
        <v>11</v>
      </c>
      <c r="X113" t="s">
        <v>464</v>
      </c>
      <c r="Z113" t="s">
        <v>463</v>
      </c>
      <c r="AA113" t="str">
        <f t="shared" si="23"/>
        <v>NatGrdExt_MYS_4</v>
      </c>
      <c r="AB113" t="str">
        <f t="shared" si="33"/>
        <v>Grid Extension -Malaysia- Step 4</v>
      </c>
      <c r="AC113" t="s">
        <v>13</v>
      </c>
      <c r="AD113" t="s">
        <v>11</v>
      </c>
      <c r="AE113" t="s">
        <v>464</v>
      </c>
      <c r="AG113" t="s">
        <v>463</v>
      </c>
      <c r="AH113" t="str">
        <f t="shared" si="24"/>
        <v>NatGrdExt_MYS_5</v>
      </c>
      <c r="AI113" t="str">
        <f t="shared" si="34"/>
        <v>Grid Extension -Malaysia- Step 5</v>
      </c>
      <c r="AJ113" t="s">
        <v>13</v>
      </c>
      <c r="AK113" t="s">
        <v>11</v>
      </c>
      <c r="AL113" t="s">
        <v>464</v>
      </c>
      <c r="AN113" t="s">
        <v>463</v>
      </c>
      <c r="AO113" t="str">
        <f t="shared" si="25"/>
        <v>NatGrdExt_MYS_6</v>
      </c>
      <c r="AP113" t="str">
        <f t="shared" si="35"/>
        <v>Grid Extension -Malaysia- Step 6</v>
      </c>
      <c r="AQ113" t="s">
        <v>13</v>
      </c>
      <c r="AR113" t="s">
        <v>11</v>
      </c>
      <c r="AS113" t="s">
        <v>464</v>
      </c>
      <c r="AU113" t="s">
        <v>463</v>
      </c>
      <c r="AV113" t="str">
        <f t="shared" si="26"/>
        <v>NatGrdExt_MYS_7</v>
      </c>
      <c r="AW113" t="str">
        <f t="shared" si="36"/>
        <v>Grid Extension -Malaysia- Step 7</v>
      </c>
      <c r="AX113" t="s">
        <v>13</v>
      </c>
      <c r="AY113" t="s">
        <v>11</v>
      </c>
      <c r="AZ113" t="s">
        <v>464</v>
      </c>
      <c r="BB113" t="s">
        <v>463</v>
      </c>
      <c r="BC113" t="str">
        <f t="shared" si="27"/>
        <v>NatGrdExt_MYS_8</v>
      </c>
      <c r="BD113" t="str">
        <f t="shared" si="37"/>
        <v>Grid Extension -Malaysia- Step 8</v>
      </c>
      <c r="BE113" t="s">
        <v>13</v>
      </c>
      <c r="BF113" t="s">
        <v>11</v>
      </c>
      <c r="BG113" t="s">
        <v>464</v>
      </c>
      <c r="BI113" t="s">
        <v>463</v>
      </c>
      <c r="BJ113" t="str">
        <f t="shared" si="28"/>
        <v>NatGrdExt_MYS_9</v>
      </c>
      <c r="BK113" t="str">
        <f t="shared" si="38"/>
        <v>Grid Extension -Malaysia- Step 9</v>
      </c>
      <c r="BL113" t="s">
        <v>13</v>
      </c>
      <c r="BM113" t="s">
        <v>11</v>
      </c>
      <c r="BN113" t="s">
        <v>464</v>
      </c>
      <c r="BP113" t="s">
        <v>463</v>
      </c>
      <c r="BQ113" t="str">
        <f t="shared" si="29"/>
        <v>NatGrdExt_MYS_10</v>
      </c>
      <c r="BR113" t="str">
        <f t="shared" si="39"/>
        <v>Grid Extension -Malaysia- Step 10</v>
      </c>
      <c r="BS113" t="s">
        <v>13</v>
      </c>
      <c r="BT113" t="s">
        <v>11</v>
      </c>
      <c r="BU113" t="s">
        <v>464</v>
      </c>
    </row>
    <row r="114" spans="1:73">
      <c r="A114" s="5" t="s">
        <v>55</v>
      </c>
      <c r="B114" s="5" t="s">
        <v>605</v>
      </c>
      <c r="E114" t="s">
        <v>463</v>
      </c>
      <c r="F114" t="str">
        <f t="shared" si="20"/>
        <v>NatGrdExt_NAM_1</v>
      </c>
      <c r="G114" t="str">
        <f t="shared" si="30"/>
        <v>Grid Extension -Namibia- Step 1</v>
      </c>
      <c r="H114" t="s">
        <v>13</v>
      </c>
      <c r="I114" t="s">
        <v>11</v>
      </c>
      <c r="J114" t="s">
        <v>464</v>
      </c>
      <c r="L114" t="s">
        <v>463</v>
      </c>
      <c r="M114" t="str">
        <f t="shared" si="21"/>
        <v>NatGrdExt_NAM_2</v>
      </c>
      <c r="N114" t="str">
        <f t="shared" si="31"/>
        <v>Grid Extension -Namibia- Step 2</v>
      </c>
      <c r="O114" t="s">
        <v>13</v>
      </c>
      <c r="P114" t="s">
        <v>11</v>
      </c>
      <c r="Q114" t="s">
        <v>464</v>
      </c>
      <c r="S114" t="s">
        <v>463</v>
      </c>
      <c r="T114" t="str">
        <f t="shared" si="22"/>
        <v>NatGrdExt_NAM_3</v>
      </c>
      <c r="U114" t="str">
        <f t="shared" si="32"/>
        <v>Grid Extension -Namibia- Step 3</v>
      </c>
      <c r="V114" t="s">
        <v>13</v>
      </c>
      <c r="W114" t="s">
        <v>11</v>
      </c>
      <c r="X114" t="s">
        <v>464</v>
      </c>
      <c r="Z114" t="s">
        <v>463</v>
      </c>
      <c r="AA114" t="str">
        <f t="shared" si="23"/>
        <v>NatGrdExt_NAM_4</v>
      </c>
      <c r="AB114" t="str">
        <f t="shared" si="33"/>
        <v>Grid Extension -Namibia- Step 4</v>
      </c>
      <c r="AC114" t="s">
        <v>13</v>
      </c>
      <c r="AD114" t="s">
        <v>11</v>
      </c>
      <c r="AE114" t="s">
        <v>464</v>
      </c>
      <c r="AG114" t="s">
        <v>463</v>
      </c>
      <c r="AH114" t="str">
        <f t="shared" si="24"/>
        <v>NatGrdExt_NAM_5</v>
      </c>
      <c r="AI114" t="str">
        <f t="shared" si="34"/>
        <v>Grid Extension -Namibia- Step 5</v>
      </c>
      <c r="AJ114" t="s">
        <v>13</v>
      </c>
      <c r="AK114" t="s">
        <v>11</v>
      </c>
      <c r="AL114" t="s">
        <v>464</v>
      </c>
      <c r="AN114" t="s">
        <v>463</v>
      </c>
      <c r="AO114" t="str">
        <f t="shared" si="25"/>
        <v>NatGrdExt_NAM_6</v>
      </c>
      <c r="AP114" t="str">
        <f t="shared" si="35"/>
        <v>Grid Extension -Namibia- Step 6</v>
      </c>
      <c r="AQ114" t="s">
        <v>13</v>
      </c>
      <c r="AR114" t="s">
        <v>11</v>
      </c>
      <c r="AS114" t="s">
        <v>464</v>
      </c>
      <c r="AU114" t="s">
        <v>463</v>
      </c>
      <c r="AV114" t="str">
        <f t="shared" si="26"/>
        <v>NatGrdExt_NAM_7</v>
      </c>
      <c r="AW114" t="str">
        <f t="shared" si="36"/>
        <v>Grid Extension -Namibia- Step 7</v>
      </c>
      <c r="AX114" t="s">
        <v>13</v>
      </c>
      <c r="AY114" t="s">
        <v>11</v>
      </c>
      <c r="AZ114" t="s">
        <v>464</v>
      </c>
      <c r="BB114" t="s">
        <v>463</v>
      </c>
      <c r="BC114" t="str">
        <f t="shared" si="27"/>
        <v>NatGrdExt_NAM_8</v>
      </c>
      <c r="BD114" t="str">
        <f t="shared" si="37"/>
        <v>Grid Extension -Namibia- Step 8</v>
      </c>
      <c r="BE114" t="s">
        <v>13</v>
      </c>
      <c r="BF114" t="s">
        <v>11</v>
      </c>
      <c r="BG114" t="s">
        <v>464</v>
      </c>
      <c r="BI114" t="s">
        <v>463</v>
      </c>
      <c r="BJ114" t="str">
        <f t="shared" si="28"/>
        <v>NatGrdExt_NAM_9</v>
      </c>
      <c r="BK114" t="str">
        <f t="shared" si="38"/>
        <v>Grid Extension -Namibia- Step 9</v>
      </c>
      <c r="BL114" t="s">
        <v>13</v>
      </c>
      <c r="BM114" t="s">
        <v>11</v>
      </c>
      <c r="BN114" t="s">
        <v>464</v>
      </c>
      <c r="BP114" t="s">
        <v>463</v>
      </c>
      <c r="BQ114" t="str">
        <f t="shared" si="29"/>
        <v>NatGrdExt_NAM_10</v>
      </c>
      <c r="BR114" t="str">
        <f t="shared" si="39"/>
        <v>Grid Extension -Namibia- Step 10</v>
      </c>
      <c r="BS114" t="s">
        <v>13</v>
      </c>
      <c r="BT114" t="s">
        <v>11</v>
      </c>
      <c r="BU114" t="s">
        <v>464</v>
      </c>
    </row>
    <row r="115" spans="1:73">
      <c r="A115" s="5" t="s">
        <v>606</v>
      </c>
      <c r="B115" s="5" t="s">
        <v>607</v>
      </c>
      <c r="E115" t="s">
        <v>463</v>
      </c>
      <c r="F115" t="str">
        <f t="shared" si="20"/>
        <v>NatGrdExt_NER_1</v>
      </c>
      <c r="G115" t="str">
        <f t="shared" si="30"/>
        <v>Grid Extension -Niger- Step 1</v>
      </c>
      <c r="H115" t="s">
        <v>13</v>
      </c>
      <c r="I115" t="s">
        <v>11</v>
      </c>
      <c r="J115" t="s">
        <v>464</v>
      </c>
      <c r="L115" t="s">
        <v>463</v>
      </c>
      <c r="M115" t="str">
        <f t="shared" si="21"/>
        <v>NatGrdExt_NER_2</v>
      </c>
      <c r="N115" t="str">
        <f t="shared" si="31"/>
        <v>Grid Extension -Niger- Step 2</v>
      </c>
      <c r="O115" t="s">
        <v>13</v>
      </c>
      <c r="P115" t="s">
        <v>11</v>
      </c>
      <c r="Q115" t="s">
        <v>464</v>
      </c>
      <c r="S115" t="s">
        <v>463</v>
      </c>
      <c r="T115" t="str">
        <f t="shared" si="22"/>
        <v>NatGrdExt_NER_3</v>
      </c>
      <c r="U115" t="str">
        <f t="shared" si="32"/>
        <v>Grid Extension -Niger- Step 3</v>
      </c>
      <c r="V115" t="s">
        <v>13</v>
      </c>
      <c r="W115" t="s">
        <v>11</v>
      </c>
      <c r="X115" t="s">
        <v>464</v>
      </c>
      <c r="Z115" t="s">
        <v>463</v>
      </c>
      <c r="AA115" t="str">
        <f t="shared" si="23"/>
        <v>NatGrdExt_NER_4</v>
      </c>
      <c r="AB115" t="str">
        <f t="shared" si="33"/>
        <v>Grid Extension -Niger- Step 4</v>
      </c>
      <c r="AC115" t="s">
        <v>13</v>
      </c>
      <c r="AD115" t="s">
        <v>11</v>
      </c>
      <c r="AE115" t="s">
        <v>464</v>
      </c>
      <c r="AG115" t="s">
        <v>463</v>
      </c>
      <c r="AH115" t="str">
        <f t="shared" si="24"/>
        <v>NatGrdExt_NER_5</v>
      </c>
      <c r="AI115" t="str">
        <f t="shared" si="34"/>
        <v>Grid Extension -Niger- Step 5</v>
      </c>
      <c r="AJ115" t="s">
        <v>13</v>
      </c>
      <c r="AK115" t="s">
        <v>11</v>
      </c>
      <c r="AL115" t="s">
        <v>464</v>
      </c>
      <c r="AN115" t="s">
        <v>463</v>
      </c>
      <c r="AO115" t="str">
        <f t="shared" si="25"/>
        <v>NatGrdExt_NER_6</v>
      </c>
      <c r="AP115" t="str">
        <f t="shared" si="35"/>
        <v>Grid Extension -Niger- Step 6</v>
      </c>
      <c r="AQ115" t="s">
        <v>13</v>
      </c>
      <c r="AR115" t="s">
        <v>11</v>
      </c>
      <c r="AS115" t="s">
        <v>464</v>
      </c>
      <c r="AU115" t="s">
        <v>463</v>
      </c>
      <c r="AV115" t="str">
        <f t="shared" si="26"/>
        <v>NatGrdExt_NER_7</v>
      </c>
      <c r="AW115" t="str">
        <f t="shared" si="36"/>
        <v>Grid Extension -Niger- Step 7</v>
      </c>
      <c r="AX115" t="s">
        <v>13</v>
      </c>
      <c r="AY115" t="s">
        <v>11</v>
      </c>
      <c r="AZ115" t="s">
        <v>464</v>
      </c>
      <c r="BB115" t="s">
        <v>463</v>
      </c>
      <c r="BC115" t="str">
        <f t="shared" si="27"/>
        <v>NatGrdExt_NER_8</v>
      </c>
      <c r="BD115" t="str">
        <f t="shared" si="37"/>
        <v>Grid Extension -Niger- Step 8</v>
      </c>
      <c r="BE115" t="s">
        <v>13</v>
      </c>
      <c r="BF115" t="s">
        <v>11</v>
      </c>
      <c r="BG115" t="s">
        <v>464</v>
      </c>
      <c r="BI115" t="s">
        <v>463</v>
      </c>
      <c r="BJ115" t="str">
        <f t="shared" si="28"/>
        <v>NatGrdExt_NER_9</v>
      </c>
      <c r="BK115" t="str">
        <f t="shared" si="38"/>
        <v>Grid Extension -Niger- Step 9</v>
      </c>
      <c r="BL115" t="s">
        <v>13</v>
      </c>
      <c r="BM115" t="s">
        <v>11</v>
      </c>
      <c r="BN115" t="s">
        <v>464</v>
      </c>
      <c r="BP115" t="s">
        <v>463</v>
      </c>
      <c r="BQ115" t="str">
        <f t="shared" si="29"/>
        <v>NatGrdExt_NER_10</v>
      </c>
      <c r="BR115" t="str">
        <f t="shared" si="39"/>
        <v>Grid Extension -Niger- Step 10</v>
      </c>
      <c r="BS115" t="s">
        <v>13</v>
      </c>
      <c r="BT115" t="s">
        <v>11</v>
      </c>
      <c r="BU115" t="s">
        <v>464</v>
      </c>
    </row>
    <row r="116" spans="1:73">
      <c r="A116" s="5" t="s">
        <v>56</v>
      </c>
      <c r="B116" s="5" t="s">
        <v>116</v>
      </c>
      <c r="E116" t="s">
        <v>463</v>
      </c>
      <c r="F116" t="str">
        <f t="shared" si="20"/>
        <v>NatGrdExt_NGA_1</v>
      </c>
      <c r="G116" t="str">
        <f t="shared" si="30"/>
        <v>Grid Extension -Nigeria- Step 1</v>
      </c>
      <c r="H116" t="s">
        <v>13</v>
      </c>
      <c r="I116" t="s">
        <v>11</v>
      </c>
      <c r="J116" t="s">
        <v>464</v>
      </c>
      <c r="L116" t="s">
        <v>463</v>
      </c>
      <c r="M116" t="str">
        <f t="shared" si="21"/>
        <v>NatGrdExt_NGA_2</v>
      </c>
      <c r="N116" t="str">
        <f t="shared" si="31"/>
        <v>Grid Extension -Nigeria- Step 2</v>
      </c>
      <c r="O116" t="s">
        <v>13</v>
      </c>
      <c r="P116" t="s">
        <v>11</v>
      </c>
      <c r="Q116" t="s">
        <v>464</v>
      </c>
      <c r="S116" t="s">
        <v>463</v>
      </c>
      <c r="T116" t="str">
        <f t="shared" si="22"/>
        <v>NatGrdExt_NGA_3</v>
      </c>
      <c r="U116" t="str">
        <f t="shared" si="32"/>
        <v>Grid Extension -Nigeria- Step 3</v>
      </c>
      <c r="V116" t="s">
        <v>13</v>
      </c>
      <c r="W116" t="s">
        <v>11</v>
      </c>
      <c r="X116" t="s">
        <v>464</v>
      </c>
      <c r="Z116" t="s">
        <v>463</v>
      </c>
      <c r="AA116" t="str">
        <f t="shared" si="23"/>
        <v>NatGrdExt_NGA_4</v>
      </c>
      <c r="AB116" t="str">
        <f t="shared" si="33"/>
        <v>Grid Extension -Nigeria- Step 4</v>
      </c>
      <c r="AC116" t="s">
        <v>13</v>
      </c>
      <c r="AD116" t="s">
        <v>11</v>
      </c>
      <c r="AE116" t="s">
        <v>464</v>
      </c>
      <c r="AG116" t="s">
        <v>463</v>
      </c>
      <c r="AH116" t="str">
        <f t="shared" si="24"/>
        <v>NatGrdExt_NGA_5</v>
      </c>
      <c r="AI116" t="str">
        <f t="shared" si="34"/>
        <v>Grid Extension -Nigeria- Step 5</v>
      </c>
      <c r="AJ116" t="s">
        <v>13</v>
      </c>
      <c r="AK116" t="s">
        <v>11</v>
      </c>
      <c r="AL116" t="s">
        <v>464</v>
      </c>
      <c r="AN116" t="s">
        <v>463</v>
      </c>
      <c r="AO116" t="str">
        <f t="shared" si="25"/>
        <v>NatGrdExt_NGA_6</v>
      </c>
      <c r="AP116" t="str">
        <f t="shared" si="35"/>
        <v>Grid Extension -Nigeria- Step 6</v>
      </c>
      <c r="AQ116" t="s">
        <v>13</v>
      </c>
      <c r="AR116" t="s">
        <v>11</v>
      </c>
      <c r="AS116" t="s">
        <v>464</v>
      </c>
      <c r="AU116" t="s">
        <v>463</v>
      </c>
      <c r="AV116" t="str">
        <f t="shared" si="26"/>
        <v>NatGrdExt_NGA_7</v>
      </c>
      <c r="AW116" t="str">
        <f t="shared" si="36"/>
        <v>Grid Extension -Nigeria- Step 7</v>
      </c>
      <c r="AX116" t="s">
        <v>13</v>
      </c>
      <c r="AY116" t="s">
        <v>11</v>
      </c>
      <c r="AZ116" t="s">
        <v>464</v>
      </c>
      <c r="BB116" t="s">
        <v>463</v>
      </c>
      <c r="BC116" t="str">
        <f t="shared" si="27"/>
        <v>NatGrdExt_NGA_8</v>
      </c>
      <c r="BD116" t="str">
        <f t="shared" si="37"/>
        <v>Grid Extension -Nigeria- Step 8</v>
      </c>
      <c r="BE116" t="s">
        <v>13</v>
      </c>
      <c r="BF116" t="s">
        <v>11</v>
      </c>
      <c r="BG116" t="s">
        <v>464</v>
      </c>
      <c r="BI116" t="s">
        <v>463</v>
      </c>
      <c r="BJ116" t="str">
        <f t="shared" si="28"/>
        <v>NatGrdExt_NGA_9</v>
      </c>
      <c r="BK116" t="str">
        <f t="shared" si="38"/>
        <v>Grid Extension -Nigeria- Step 9</v>
      </c>
      <c r="BL116" t="s">
        <v>13</v>
      </c>
      <c r="BM116" t="s">
        <v>11</v>
      </c>
      <c r="BN116" t="s">
        <v>464</v>
      </c>
      <c r="BP116" t="s">
        <v>463</v>
      </c>
      <c r="BQ116" t="str">
        <f t="shared" si="29"/>
        <v>NatGrdExt_NGA_10</v>
      </c>
      <c r="BR116" t="str">
        <f t="shared" si="39"/>
        <v>Grid Extension -Nigeria- Step 10</v>
      </c>
      <c r="BS116" t="s">
        <v>13</v>
      </c>
      <c r="BT116" t="s">
        <v>11</v>
      </c>
      <c r="BU116" t="s">
        <v>464</v>
      </c>
    </row>
    <row r="117" spans="1:73">
      <c r="A117" s="5" t="s">
        <v>57</v>
      </c>
      <c r="B117" s="5" t="s">
        <v>117</v>
      </c>
      <c r="E117" t="s">
        <v>463</v>
      </c>
      <c r="F117" t="str">
        <f t="shared" si="20"/>
        <v>NatGrdExt_NIC_1</v>
      </c>
      <c r="G117" t="str">
        <f t="shared" si="30"/>
        <v>Grid Extension -Nicaragua- Step 1</v>
      </c>
      <c r="H117" t="s">
        <v>13</v>
      </c>
      <c r="I117" t="s">
        <v>11</v>
      </c>
      <c r="J117" t="s">
        <v>464</v>
      </c>
      <c r="L117" t="s">
        <v>463</v>
      </c>
      <c r="M117" t="str">
        <f t="shared" si="21"/>
        <v>NatGrdExt_NIC_2</v>
      </c>
      <c r="N117" t="str">
        <f t="shared" si="31"/>
        <v>Grid Extension -Nicaragua- Step 2</v>
      </c>
      <c r="O117" t="s">
        <v>13</v>
      </c>
      <c r="P117" t="s">
        <v>11</v>
      </c>
      <c r="Q117" t="s">
        <v>464</v>
      </c>
      <c r="S117" t="s">
        <v>463</v>
      </c>
      <c r="T117" t="str">
        <f t="shared" si="22"/>
        <v>NatGrdExt_NIC_3</v>
      </c>
      <c r="U117" t="str">
        <f t="shared" si="32"/>
        <v>Grid Extension -Nicaragua- Step 3</v>
      </c>
      <c r="V117" t="s">
        <v>13</v>
      </c>
      <c r="W117" t="s">
        <v>11</v>
      </c>
      <c r="X117" t="s">
        <v>464</v>
      </c>
      <c r="Z117" t="s">
        <v>463</v>
      </c>
      <c r="AA117" t="str">
        <f t="shared" si="23"/>
        <v>NatGrdExt_NIC_4</v>
      </c>
      <c r="AB117" t="str">
        <f t="shared" si="33"/>
        <v>Grid Extension -Nicaragua- Step 4</v>
      </c>
      <c r="AC117" t="s">
        <v>13</v>
      </c>
      <c r="AD117" t="s">
        <v>11</v>
      </c>
      <c r="AE117" t="s">
        <v>464</v>
      </c>
      <c r="AG117" t="s">
        <v>463</v>
      </c>
      <c r="AH117" t="str">
        <f t="shared" si="24"/>
        <v>NatGrdExt_NIC_5</v>
      </c>
      <c r="AI117" t="str">
        <f t="shared" si="34"/>
        <v>Grid Extension -Nicaragua- Step 5</v>
      </c>
      <c r="AJ117" t="s">
        <v>13</v>
      </c>
      <c r="AK117" t="s">
        <v>11</v>
      </c>
      <c r="AL117" t="s">
        <v>464</v>
      </c>
      <c r="AN117" t="s">
        <v>463</v>
      </c>
      <c r="AO117" t="str">
        <f t="shared" si="25"/>
        <v>NatGrdExt_NIC_6</v>
      </c>
      <c r="AP117" t="str">
        <f t="shared" si="35"/>
        <v>Grid Extension -Nicaragua- Step 6</v>
      </c>
      <c r="AQ117" t="s">
        <v>13</v>
      </c>
      <c r="AR117" t="s">
        <v>11</v>
      </c>
      <c r="AS117" t="s">
        <v>464</v>
      </c>
      <c r="AU117" t="s">
        <v>463</v>
      </c>
      <c r="AV117" t="str">
        <f t="shared" si="26"/>
        <v>NatGrdExt_NIC_7</v>
      </c>
      <c r="AW117" t="str">
        <f t="shared" si="36"/>
        <v>Grid Extension -Nicaragua- Step 7</v>
      </c>
      <c r="AX117" t="s">
        <v>13</v>
      </c>
      <c r="AY117" t="s">
        <v>11</v>
      </c>
      <c r="AZ117" t="s">
        <v>464</v>
      </c>
      <c r="BB117" t="s">
        <v>463</v>
      </c>
      <c r="BC117" t="str">
        <f t="shared" si="27"/>
        <v>NatGrdExt_NIC_8</v>
      </c>
      <c r="BD117" t="str">
        <f t="shared" si="37"/>
        <v>Grid Extension -Nicaragua- Step 8</v>
      </c>
      <c r="BE117" t="s">
        <v>13</v>
      </c>
      <c r="BF117" t="s">
        <v>11</v>
      </c>
      <c r="BG117" t="s">
        <v>464</v>
      </c>
      <c r="BI117" t="s">
        <v>463</v>
      </c>
      <c r="BJ117" t="str">
        <f t="shared" si="28"/>
        <v>NatGrdExt_NIC_9</v>
      </c>
      <c r="BK117" t="str">
        <f t="shared" si="38"/>
        <v>Grid Extension -Nicaragua- Step 9</v>
      </c>
      <c r="BL117" t="s">
        <v>13</v>
      </c>
      <c r="BM117" t="s">
        <v>11</v>
      </c>
      <c r="BN117" t="s">
        <v>464</v>
      </c>
      <c r="BP117" t="s">
        <v>463</v>
      </c>
      <c r="BQ117" t="str">
        <f t="shared" si="29"/>
        <v>NatGrdExt_NIC_10</v>
      </c>
      <c r="BR117" t="str">
        <f t="shared" si="39"/>
        <v>Grid Extension -Nicaragua- Step 10</v>
      </c>
      <c r="BS117" t="s">
        <v>13</v>
      </c>
      <c r="BT117" t="s">
        <v>11</v>
      </c>
      <c r="BU117" t="s">
        <v>464</v>
      </c>
    </row>
    <row r="118" spans="1:73">
      <c r="A118" s="5" t="s">
        <v>608</v>
      </c>
      <c r="B118" s="5" t="s">
        <v>609</v>
      </c>
      <c r="E118" t="s">
        <v>463</v>
      </c>
      <c r="F118" t="str">
        <f t="shared" si="20"/>
        <v>NatGrdExt_NLD_1</v>
      </c>
      <c r="G118" t="str">
        <f t="shared" si="30"/>
        <v>Grid Extension -Netherlands- Step 1</v>
      </c>
      <c r="H118" t="s">
        <v>13</v>
      </c>
      <c r="I118" t="s">
        <v>11</v>
      </c>
      <c r="J118" t="s">
        <v>464</v>
      </c>
      <c r="L118" t="s">
        <v>463</v>
      </c>
      <c r="M118" t="str">
        <f t="shared" si="21"/>
        <v>NatGrdExt_NLD_2</v>
      </c>
      <c r="N118" t="str">
        <f t="shared" si="31"/>
        <v>Grid Extension -Netherlands- Step 2</v>
      </c>
      <c r="O118" t="s">
        <v>13</v>
      </c>
      <c r="P118" t="s">
        <v>11</v>
      </c>
      <c r="Q118" t="s">
        <v>464</v>
      </c>
      <c r="S118" t="s">
        <v>463</v>
      </c>
      <c r="T118" t="str">
        <f t="shared" si="22"/>
        <v>NatGrdExt_NLD_3</v>
      </c>
      <c r="U118" t="str">
        <f t="shared" si="32"/>
        <v>Grid Extension -Netherlands- Step 3</v>
      </c>
      <c r="V118" t="s">
        <v>13</v>
      </c>
      <c r="W118" t="s">
        <v>11</v>
      </c>
      <c r="X118" t="s">
        <v>464</v>
      </c>
      <c r="Z118" t="s">
        <v>463</v>
      </c>
      <c r="AA118" t="str">
        <f t="shared" si="23"/>
        <v>NatGrdExt_NLD_4</v>
      </c>
      <c r="AB118" t="str">
        <f t="shared" si="33"/>
        <v>Grid Extension -Netherlands- Step 4</v>
      </c>
      <c r="AC118" t="s">
        <v>13</v>
      </c>
      <c r="AD118" t="s">
        <v>11</v>
      </c>
      <c r="AE118" t="s">
        <v>464</v>
      </c>
      <c r="AG118" t="s">
        <v>463</v>
      </c>
      <c r="AH118" t="str">
        <f t="shared" si="24"/>
        <v>NatGrdExt_NLD_5</v>
      </c>
      <c r="AI118" t="str">
        <f t="shared" si="34"/>
        <v>Grid Extension -Netherlands- Step 5</v>
      </c>
      <c r="AJ118" t="s">
        <v>13</v>
      </c>
      <c r="AK118" t="s">
        <v>11</v>
      </c>
      <c r="AL118" t="s">
        <v>464</v>
      </c>
      <c r="AN118" t="s">
        <v>463</v>
      </c>
      <c r="AO118" t="str">
        <f t="shared" si="25"/>
        <v>NatGrdExt_NLD_6</v>
      </c>
      <c r="AP118" t="str">
        <f t="shared" si="35"/>
        <v>Grid Extension -Netherlands- Step 6</v>
      </c>
      <c r="AQ118" t="s">
        <v>13</v>
      </c>
      <c r="AR118" t="s">
        <v>11</v>
      </c>
      <c r="AS118" t="s">
        <v>464</v>
      </c>
      <c r="AU118" t="s">
        <v>463</v>
      </c>
      <c r="AV118" t="str">
        <f t="shared" si="26"/>
        <v>NatGrdExt_NLD_7</v>
      </c>
      <c r="AW118" t="str">
        <f t="shared" si="36"/>
        <v>Grid Extension -Netherlands- Step 7</v>
      </c>
      <c r="AX118" t="s">
        <v>13</v>
      </c>
      <c r="AY118" t="s">
        <v>11</v>
      </c>
      <c r="AZ118" t="s">
        <v>464</v>
      </c>
      <c r="BB118" t="s">
        <v>463</v>
      </c>
      <c r="BC118" t="str">
        <f t="shared" si="27"/>
        <v>NatGrdExt_NLD_8</v>
      </c>
      <c r="BD118" t="str">
        <f t="shared" si="37"/>
        <v>Grid Extension -Netherlands- Step 8</v>
      </c>
      <c r="BE118" t="s">
        <v>13</v>
      </c>
      <c r="BF118" t="s">
        <v>11</v>
      </c>
      <c r="BG118" t="s">
        <v>464</v>
      </c>
      <c r="BI118" t="s">
        <v>463</v>
      </c>
      <c r="BJ118" t="str">
        <f t="shared" si="28"/>
        <v>NatGrdExt_NLD_9</v>
      </c>
      <c r="BK118" t="str">
        <f t="shared" si="38"/>
        <v>Grid Extension -Netherlands- Step 9</v>
      </c>
      <c r="BL118" t="s">
        <v>13</v>
      </c>
      <c r="BM118" t="s">
        <v>11</v>
      </c>
      <c r="BN118" t="s">
        <v>464</v>
      </c>
      <c r="BP118" t="s">
        <v>463</v>
      </c>
      <c r="BQ118" t="str">
        <f t="shared" si="29"/>
        <v>NatGrdExt_NLD_10</v>
      </c>
      <c r="BR118" t="str">
        <f t="shared" si="39"/>
        <v>Grid Extension -Netherlands- Step 10</v>
      </c>
      <c r="BS118" t="s">
        <v>13</v>
      </c>
      <c r="BT118" t="s">
        <v>11</v>
      </c>
      <c r="BU118" t="s">
        <v>464</v>
      </c>
    </row>
    <row r="119" spans="1:73">
      <c r="A119" s="5" t="s">
        <v>610</v>
      </c>
      <c r="B119" s="5" t="s">
        <v>611</v>
      </c>
      <c r="E119" t="s">
        <v>463</v>
      </c>
      <c r="F119" t="str">
        <f t="shared" si="20"/>
        <v>NatGrdExt_NOR_1</v>
      </c>
      <c r="G119" t="str">
        <f t="shared" si="30"/>
        <v>Grid Extension -Norway- Step 1</v>
      </c>
      <c r="H119" t="s">
        <v>13</v>
      </c>
      <c r="I119" t="s">
        <v>11</v>
      </c>
      <c r="J119" t="s">
        <v>464</v>
      </c>
      <c r="L119" t="s">
        <v>463</v>
      </c>
      <c r="M119" t="str">
        <f t="shared" si="21"/>
        <v>NatGrdExt_NOR_2</v>
      </c>
      <c r="N119" t="str">
        <f t="shared" si="31"/>
        <v>Grid Extension -Norway- Step 2</v>
      </c>
      <c r="O119" t="s">
        <v>13</v>
      </c>
      <c r="P119" t="s">
        <v>11</v>
      </c>
      <c r="Q119" t="s">
        <v>464</v>
      </c>
      <c r="S119" t="s">
        <v>463</v>
      </c>
      <c r="T119" t="str">
        <f t="shared" si="22"/>
        <v>NatGrdExt_NOR_3</v>
      </c>
      <c r="U119" t="str">
        <f t="shared" si="32"/>
        <v>Grid Extension -Norway- Step 3</v>
      </c>
      <c r="V119" t="s">
        <v>13</v>
      </c>
      <c r="W119" t="s">
        <v>11</v>
      </c>
      <c r="X119" t="s">
        <v>464</v>
      </c>
      <c r="Z119" t="s">
        <v>463</v>
      </c>
      <c r="AA119" t="str">
        <f t="shared" si="23"/>
        <v>NatGrdExt_NOR_4</v>
      </c>
      <c r="AB119" t="str">
        <f t="shared" si="33"/>
        <v>Grid Extension -Norway- Step 4</v>
      </c>
      <c r="AC119" t="s">
        <v>13</v>
      </c>
      <c r="AD119" t="s">
        <v>11</v>
      </c>
      <c r="AE119" t="s">
        <v>464</v>
      </c>
      <c r="AG119" t="s">
        <v>463</v>
      </c>
      <c r="AH119" t="str">
        <f t="shared" si="24"/>
        <v>NatGrdExt_NOR_5</v>
      </c>
      <c r="AI119" t="str">
        <f t="shared" si="34"/>
        <v>Grid Extension -Norway- Step 5</v>
      </c>
      <c r="AJ119" t="s">
        <v>13</v>
      </c>
      <c r="AK119" t="s">
        <v>11</v>
      </c>
      <c r="AL119" t="s">
        <v>464</v>
      </c>
      <c r="AN119" t="s">
        <v>463</v>
      </c>
      <c r="AO119" t="str">
        <f t="shared" si="25"/>
        <v>NatGrdExt_NOR_6</v>
      </c>
      <c r="AP119" t="str">
        <f t="shared" si="35"/>
        <v>Grid Extension -Norway- Step 6</v>
      </c>
      <c r="AQ119" t="s">
        <v>13</v>
      </c>
      <c r="AR119" t="s">
        <v>11</v>
      </c>
      <c r="AS119" t="s">
        <v>464</v>
      </c>
      <c r="AU119" t="s">
        <v>463</v>
      </c>
      <c r="AV119" t="str">
        <f t="shared" si="26"/>
        <v>NatGrdExt_NOR_7</v>
      </c>
      <c r="AW119" t="str">
        <f t="shared" si="36"/>
        <v>Grid Extension -Norway- Step 7</v>
      </c>
      <c r="AX119" t="s">
        <v>13</v>
      </c>
      <c r="AY119" t="s">
        <v>11</v>
      </c>
      <c r="AZ119" t="s">
        <v>464</v>
      </c>
      <c r="BB119" t="s">
        <v>463</v>
      </c>
      <c r="BC119" t="str">
        <f t="shared" si="27"/>
        <v>NatGrdExt_NOR_8</v>
      </c>
      <c r="BD119" t="str">
        <f t="shared" si="37"/>
        <v>Grid Extension -Norway- Step 8</v>
      </c>
      <c r="BE119" t="s">
        <v>13</v>
      </c>
      <c r="BF119" t="s">
        <v>11</v>
      </c>
      <c r="BG119" t="s">
        <v>464</v>
      </c>
      <c r="BI119" t="s">
        <v>463</v>
      </c>
      <c r="BJ119" t="str">
        <f t="shared" si="28"/>
        <v>NatGrdExt_NOR_9</v>
      </c>
      <c r="BK119" t="str">
        <f t="shared" si="38"/>
        <v>Grid Extension -Norway- Step 9</v>
      </c>
      <c r="BL119" t="s">
        <v>13</v>
      </c>
      <c r="BM119" t="s">
        <v>11</v>
      </c>
      <c r="BN119" t="s">
        <v>464</v>
      </c>
      <c r="BP119" t="s">
        <v>463</v>
      </c>
      <c r="BQ119" t="str">
        <f t="shared" si="29"/>
        <v>NatGrdExt_NOR_10</v>
      </c>
      <c r="BR119" t="str">
        <f t="shared" si="39"/>
        <v>Grid Extension -Norway- Step 10</v>
      </c>
      <c r="BS119" t="s">
        <v>13</v>
      </c>
      <c r="BT119" t="s">
        <v>11</v>
      </c>
      <c r="BU119" t="s">
        <v>464</v>
      </c>
    </row>
    <row r="120" spans="1:73">
      <c r="A120" s="5" t="s">
        <v>58</v>
      </c>
      <c r="B120" s="5" t="s">
        <v>118</v>
      </c>
      <c r="E120" t="s">
        <v>463</v>
      </c>
      <c r="F120" t="str">
        <f t="shared" si="20"/>
        <v>NatGrdExt_NPL_1</v>
      </c>
      <c r="G120" t="str">
        <f t="shared" si="30"/>
        <v>Grid Extension -Nepal- Step 1</v>
      </c>
      <c r="H120" t="s">
        <v>13</v>
      </c>
      <c r="I120" t="s">
        <v>11</v>
      </c>
      <c r="J120" t="s">
        <v>464</v>
      </c>
      <c r="L120" t="s">
        <v>463</v>
      </c>
      <c r="M120" t="str">
        <f t="shared" si="21"/>
        <v>NatGrdExt_NPL_2</v>
      </c>
      <c r="N120" t="str">
        <f t="shared" si="31"/>
        <v>Grid Extension -Nepal- Step 2</v>
      </c>
      <c r="O120" t="s">
        <v>13</v>
      </c>
      <c r="P120" t="s">
        <v>11</v>
      </c>
      <c r="Q120" t="s">
        <v>464</v>
      </c>
      <c r="S120" t="s">
        <v>463</v>
      </c>
      <c r="T120" t="str">
        <f t="shared" si="22"/>
        <v>NatGrdExt_NPL_3</v>
      </c>
      <c r="U120" t="str">
        <f t="shared" si="32"/>
        <v>Grid Extension -Nepal- Step 3</v>
      </c>
      <c r="V120" t="s">
        <v>13</v>
      </c>
      <c r="W120" t="s">
        <v>11</v>
      </c>
      <c r="X120" t="s">
        <v>464</v>
      </c>
      <c r="Z120" t="s">
        <v>463</v>
      </c>
      <c r="AA120" t="str">
        <f t="shared" si="23"/>
        <v>NatGrdExt_NPL_4</v>
      </c>
      <c r="AB120" t="str">
        <f t="shared" si="33"/>
        <v>Grid Extension -Nepal- Step 4</v>
      </c>
      <c r="AC120" t="s">
        <v>13</v>
      </c>
      <c r="AD120" t="s">
        <v>11</v>
      </c>
      <c r="AE120" t="s">
        <v>464</v>
      </c>
      <c r="AG120" t="s">
        <v>463</v>
      </c>
      <c r="AH120" t="str">
        <f t="shared" si="24"/>
        <v>NatGrdExt_NPL_5</v>
      </c>
      <c r="AI120" t="str">
        <f t="shared" si="34"/>
        <v>Grid Extension -Nepal- Step 5</v>
      </c>
      <c r="AJ120" t="s">
        <v>13</v>
      </c>
      <c r="AK120" t="s">
        <v>11</v>
      </c>
      <c r="AL120" t="s">
        <v>464</v>
      </c>
      <c r="AN120" t="s">
        <v>463</v>
      </c>
      <c r="AO120" t="str">
        <f t="shared" si="25"/>
        <v>NatGrdExt_NPL_6</v>
      </c>
      <c r="AP120" t="str">
        <f t="shared" si="35"/>
        <v>Grid Extension -Nepal- Step 6</v>
      </c>
      <c r="AQ120" t="s">
        <v>13</v>
      </c>
      <c r="AR120" t="s">
        <v>11</v>
      </c>
      <c r="AS120" t="s">
        <v>464</v>
      </c>
      <c r="AU120" t="s">
        <v>463</v>
      </c>
      <c r="AV120" t="str">
        <f t="shared" si="26"/>
        <v>NatGrdExt_NPL_7</v>
      </c>
      <c r="AW120" t="str">
        <f t="shared" si="36"/>
        <v>Grid Extension -Nepal- Step 7</v>
      </c>
      <c r="AX120" t="s">
        <v>13</v>
      </c>
      <c r="AY120" t="s">
        <v>11</v>
      </c>
      <c r="AZ120" t="s">
        <v>464</v>
      </c>
      <c r="BB120" t="s">
        <v>463</v>
      </c>
      <c r="BC120" t="str">
        <f t="shared" si="27"/>
        <v>NatGrdExt_NPL_8</v>
      </c>
      <c r="BD120" t="str">
        <f t="shared" si="37"/>
        <v>Grid Extension -Nepal- Step 8</v>
      </c>
      <c r="BE120" t="s">
        <v>13</v>
      </c>
      <c r="BF120" t="s">
        <v>11</v>
      </c>
      <c r="BG120" t="s">
        <v>464</v>
      </c>
      <c r="BI120" t="s">
        <v>463</v>
      </c>
      <c r="BJ120" t="str">
        <f t="shared" si="28"/>
        <v>NatGrdExt_NPL_9</v>
      </c>
      <c r="BK120" t="str">
        <f t="shared" si="38"/>
        <v>Grid Extension -Nepal- Step 9</v>
      </c>
      <c r="BL120" t="s">
        <v>13</v>
      </c>
      <c r="BM120" t="s">
        <v>11</v>
      </c>
      <c r="BN120" t="s">
        <v>464</v>
      </c>
      <c r="BP120" t="s">
        <v>463</v>
      </c>
      <c r="BQ120" t="str">
        <f t="shared" si="29"/>
        <v>NatGrdExt_NPL_10</v>
      </c>
      <c r="BR120" t="str">
        <f t="shared" si="39"/>
        <v>Grid Extension -Nepal- Step 10</v>
      </c>
      <c r="BS120" t="s">
        <v>13</v>
      </c>
      <c r="BT120" t="s">
        <v>11</v>
      </c>
      <c r="BU120" t="s">
        <v>464</v>
      </c>
    </row>
    <row r="121" spans="1:73">
      <c r="A121" s="5" t="s">
        <v>612</v>
      </c>
      <c r="B121" s="5" t="s">
        <v>613</v>
      </c>
      <c r="E121" t="s">
        <v>463</v>
      </c>
      <c r="F121" t="str">
        <f t="shared" si="20"/>
        <v>NatGrdExt_OMN_1</v>
      </c>
      <c r="G121" t="str">
        <f t="shared" si="30"/>
        <v>Grid Extension -Oman- Step 1</v>
      </c>
      <c r="H121" t="s">
        <v>13</v>
      </c>
      <c r="I121" t="s">
        <v>11</v>
      </c>
      <c r="J121" t="s">
        <v>464</v>
      </c>
      <c r="L121" t="s">
        <v>463</v>
      </c>
      <c r="M121" t="str">
        <f t="shared" si="21"/>
        <v>NatGrdExt_OMN_2</v>
      </c>
      <c r="N121" t="str">
        <f t="shared" si="31"/>
        <v>Grid Extension -Oman- Step 2</v>
      </c>
      <c r="O121" t="s">
        <v>13</v>
      </c>
      <c r="P121" t="s">
        <v>11</v>
      </c>
      <c r="Q121" t="s">
        <v>464</v>
      </c>
      <c r="S121" t="s">
        <v>463</v>
      </c>
      <c r="T121" t="str">
        <f t="shared" si="22"/>
        <v>NatGrdExt_OMN_3</v>
      </c>
      <c r="U121" t="str">
        <f t="shared" si="32"/>
        <v>Grid Extension -Oman- Step 3</v>
      </c>
      <c r="V121" t="s">
        <v>13</v>
      </c>
      <c r="W121" t="s">
        <v>11</v>
      </c>
      <c r="X121" t="s">
        <v>464</v>
      </c>
      <c r="Z121" t="s">
        <v>463</v>
      </c>
      <c r="AA121" t="str">
        <f t="shared" si="23"/>
        <v>NatGrdExt_OMN_4</v>
      </c>
      <c r="AB121" t="str">
        <f t="shared" si="33"/>
        <v>Grid Extension -Oman- Step 4</v>
      </c>
      <c r="AC121" t="s">
        <v>13</v>
      </c>
      <c r="AD121" t="s">
        <v>11</v>
      </c>
      <c r="AE121" t="s">
        <v>464</v>
      </c>
      <c r="AG121" t="s">
        <v>463</v>
      </c>
      <c r="AH121" t="str">
        <f t="shared" si="24"/>
        <v>NatGrdExt_OMN_5</v>
      </c>
      <c r="AI121" t="str">
        <f t="shared" si="34"/>
        <v>Grid Extension -Oman- Step 5</v>
      </c>
      <c r="AJ121" t="s">
        <v>13</v>
      </c>
      <c r="AK121" t="s">
        <v>11</v>
      </c>
      <c r="AL121" t="s">
        <v>464</v>
      </c>
      <c r="AN121" t="s">
        <v>463</v>
      </c>
      <c r="AO121" t="str">
        <f t="shared" si="25"/>
        <v>NatGrdExt_OMN_6</v>
      </c>
      <c r="AP121" t="str">
        <f t="shared" si="35"/>
        <v>Grid Extension -Oman- Step 6</v>
      </c>
      <c r="AQ121" t="s">
        <v>13</v>
      </c>
      <c r="AR121" t="s">
        <v>11</v>
      </c>
      <c r="AS121" t="s">
        <v>464</v>
      </c>
      <c r="AU121" t="s">
        <v>463</v>
      </c>
      <c r="AV121" t="str">
        <f t="shared" si="26"/>
        <v>NatGrdExt_OMN_7</v>
      </c>
      <c r="AW121" t="str">
        <f t="shared" si="36"/>
        <v>Grid Extension -Oman- Step 7</v>
      </c>
      <c r="AX121" t="s">
        <v>13</v>
      </c>
      <c r="AY121" t="s">
        <v>11</v>
      </c>
      <c r="AZ121" t="s">
        <v>464</v>
      </c>
      <c r="BB121" t="s">
        <v>463</v>
      </c>
      <c r="BC121" t="str">
        <f t="shared" si="27"/>
        <v>NatGrdExt_OMN_8</v>
      </c>
      <c r="BD121" t="str">
        <f t="shared" si="37"/>
        <v>Grid Extension -Oman- Step 8</v>
      </c>
      <c r="BE121" t="s">
        <v>13</v>
      </c>
      <c r="BF121" t="s">
        <v>11</v>
      </c>
      <c r="BG121" t="s">
        <v>464</v>
      </c>
      <c r="BI121" t="s">
        <v>463</v>
      </c>
      <c r="BJ121" t="str">
        <f t="shared" si="28"/>
        <v>NatGrdExt_OMN_9</v>
      </c>
      <c r="BK121" t="str">
        <f t="shared" si="38"/>
        <v>Grid Extension -Oman- Step 9</v>
      </c>
      <c r="BL121" t="s">
        <v>13</v>
      </c>
      <c r="BM121" t="s">
        <v>11</v>
      </c>
      <c r="BN121" t="s">
        <v>464</v>
      </c>
      <c r="BP121" t="s">
        <v>463</v>
      </c>
      <c r="BQ121" t="str">
        <f t="shared" si="29"/>
        <v>NatGrdExt_OMN_10</v>
      </c>
      <c r="BR121" t="str">
        <f t="shared" si="39"/>
        <v>Grid Extension -Oman- Step 10</v>
      </c>
      <c r="BS121" t="s">
        <v>13</v>
      </c>
      <c r="BT121" t="s">
        <v>11</v>
      </c>
      <c r="BU121" t="s">
        <v>464</v>
      </c>
    </row>
    <row r="122" spans="1:73">
      <c r="A122" s="5" t="s">
        <v>59</v>
      </c>
      <c r="B122" s="5" t="s">
        <v>119</v>
      </c>
      <c r="E122" t="s">
        <v>463</v>
      </c>
      <c r="F122" t="str">
        <f t="shared" si="20"/>
        <v>NatGrdExt_PAK_1</v>
      </c>
      <c r="G122" t="str">
        <f t="shared" si="30"/>
        <v>Grid Extension -Pakistan- Step 1</v>
      </c>
      <c r="H122" t="s">
        <v>13</v>
      </c>
      <c r="I122" t="s">
        <v>11</v>
      </c>
      <c r="J122" t="s">
        <v>464</v>
      </c>
      <c r="L122" t="s">
        <v>463</v>
      </c>
      <c r="M122" t="str">
        <f t="shared" si="21"/>
        <v>NatGrdExt_PAK_2</v>
      </c>
      <c r="N122" t="str">
        <f t="shared" si="31"/>
        <v>Grid Extension -Pakistan- Step 2</v>
      </c>
      <c r="O122" t="s">
        <v>13</v>
      </c>
      <c r="P122" t="s">
        <v>11</v>
      </c>
      <c r="Q122" t="s">
        <v>464</v>
      </c>
      <c r="S122" t="s">
        <v>463</v>
      </c>
      <c r="T122" t="str">
        <f t="shared" si="22"/>
        <v>NatGrdExt_PAK_3</v>
      </c>
      <c r="U122" t="str">
        <f t="shared" si="32"/>
        <v>Grid Extension -Pakistan- Step 3</v>
      </c>
      <c r="V122" t="s">
        <v>13</v>
      </c>
      <c r="W122" t="s">
        <v>11</v>
      </c>
      <c r="X122" t="s">
        <v>464</v>
      </c>
      <c r="Z122" t="s">
        <v>463</v>
      </c>
      <c r="AA122" t="str">
        <f t="shared" si="23"/>
        <v>NatGrdExt_PAK_4</v>
      </c>
      <c r="AB122" t="str">
        <f t="shared" si="33"/>
        <v>Grid Extension -Pakistan- Step 4</v>
      </c>
      <c r="AC122" t="s">
        <v>13</v>
      </c>
      <c r="AD122" t="s">
        <v>11</v>
      </c>
      <c r="AE122" t="s">
        <v>464</v>
      </c>
      <c r="AG122" t="s">
        <v>463</v>
      </c>
      <c r="AH122" t="str">
        <f t="shared" si="24"/>
        <v>NatGrdExt_PAK_5</v>
      </c>
      <c r="AI122" t="str">
        <f t="shared" si="34"/>
        <v>Grid Extension -Pakistan- Step 5</v>
      </c>
      <c r="AJ122" t="s">
        <v>13</v>
      </c>
      <c r="AK122" t="s">
        <v>11</v>
      </c>
      <c r="AL122" t="s">
        <v>464</v>
      </c>
      <c r="AN122" t="s">
        <v>463</v>
      </c>
      <c r="AO122" t="str">
        <f t="shared" si="25"/>
        <v>NatGrdExt_PAK_6</v>
      </c>
      <c r="AP122" t="str">
        <f t="shared" si="35"/>
        <v>Grid Extension -Pakistan- Step 6</v>
      </c>
      <c r="AQ122" t="s">
        <v>13</v>
      </c>
      <c r="AR122" t="s">
        <v>11</v>
      </c>
      <c r="AS122" t="s">
        <v>464</v>
      </c>
      <c r="AU122" t="s">
        <v>463</v>
      </c>
      <c r="AV122" t="str">
        <f t="shared" si="26"/>
        <v>NatGrdExt_PAK_7</v>
      </c>
      <c r="AW122" t="str">
        <f t="shared" si="36"/>
        <v>Grid Extension -Pakistan- Step 7</v>
      </c>
      <c r="AX122" t="s">
        <v>13</v>
      </c>
      <c r="AY122" t="s">
        <v>11</v>
      </c>
      <c r="AZ122" t="s">
        <v>464</v>
      </c>
      <c r="BB122" t="s">
        <v>463</v>
      </c>
      <c r="BC122" t="str">
        <f t="shared" si="27"/>
        <v>NatGrdExt_PAK_8</v>
      </c>
      <c r="BD122" t="str">
        <f t="shared" si="37"/>
        <v>Grid Extension -Pakistan- Step 8</v>
      </c>
      <c r="BE122" t="s">
        <v>13</v>
      </c>
      <c r="BF122" t="s">
        <v>11</v>
      </c>
      <c r="BG122" t="s">
        <v>464</v>
      </c>
      <c r="BI122" t="s">
        <v>463</v>
      </c>
      <c r="BJ122" t="str">
        <f t="shared" si="28"/>
        <v>NatGrdExt_PAK_9</v>
      </c>
      <c r="BK122" t="str">
        <f t="shared" si="38"/>
        <v>Grid Extension -Pakistan- Step 9</v>
      </c>
      <c r="BL122" t="s">
        <v>13</v>
      </c>
      <c r="BM122" t="s">
        <v>11</v>
      </c>
      <c r="BN122" t="s">
        <v>464</v>
      </c>
      <c r="BP122" t="s">
        <v>463</v>
      </c>
      <c r="BQ122" t="str">
        <f t="shared" si="29"/>
        <v>NatGrdExt_PAK_10</v>
      </c>
      <c r="BR122" t="str">
        <f t="shared" si="39"/>
        <v>Grid Extension -Pakistan- Step 10</v>
      </c>
      <c r="BS122" t="s">
        <v>13</v>
      </c>
      <c r="BT122" t="s">
        <v>11</v>
      </c>
      <c r="BU122" t="s">
        <v>464</v>
      </c>
    </row>
    <row r="123" spans="1:73">
      <c r="A123" s="5" t="s">
        <v>614</v>
      </c>
      <c r="B123" s="5" t="s">
        <v>615</v>
      </c>
      <c r="E123" t="s">
        <v>463</v>
      </c>
      <c r="F123" t="str">
        <f t="shared" si="20"/>
        <v>NatGrdExt_PAN_1</v>
      </c>
      <c r="G123" t="str">
        <f t="shared" si="30"/>
        <v>Grid Extension -Panama- Step 1</v>
      </c>
      <c r="H123" t="s">
        <v>13</v>
      </c>
      <c r="I123" t="s">
        <v>11</v>
      </c>
      <c r="J123" t="s">
        <v>464</v>
      </c>
      <c r="L123" t="s">
        <v>463</v>
      </c>
      <c r="M123" t="str">
        <f t="shared" si="21"/>
        <v>NatGrdExt_PAN_2</v>
      </c>
      <c r="N123" t="str">
        <f t="shared" si="31"/>
        <v>Grid Extension -Panama- Step 2</v>
      </c>
      <c r="O123" t="s">
        <v>13</v>
      </c>
      <c r="P123" t="s">
        <v>11</v>
      </c>
      <c r="Q123" t="s">
        <v>464</v>
      </c>
      <c r="S123" t="s">
        <v>463</v>
      </c>
      <c r="T123" t="str">
        <f t="shared" si="22"/>
        <v>NatGrdExt_PAN_3</v>
      </c>
      <c r="U123" t="str">
        <f t="shared" si="32"/>
        <v>Grid Extension -Panama- Step 3</v>
      </c>
      <c r="V123" t="s">
        <v>13</v>
      </c>
      <c r="W123" t="s">
        <v>11</v>
      </c>
      <c r="X123" t="s">
        <v>464</v>
      </c>
      <c r="Z123" t="s">
        <v>463</v>
      </c>
      <c r="AA123" t="str">
        <f t="shared" si="23"/>
        <v>NatGrdExt_PAN_4</v>
      </c>
      <c r="AB123" t="str">
        <f t="shared" si="33"/>
        <v>Grid Extension -Panama- Step 4</v>
      </c>
      <c r="AC123" t="s">
        <v>13</v>
      </c>
      <c r="AD123" t="s">
        <v>11</v>
      </c>
      <c r="AE123" t="s">
        <v>464</v>
      </c>
      <c r="AG123" t="s">
        <v>463</v>
      </c>
      <c r="AH123" t="str">
        <f t="shared" si="24"/>
        <v>NatGrdExt_PAN_5</v>
      </c>
      <c r="AI123" t="str">
        <f t="shared" si="34"/>
        <v>Grid Extension -Panama- Step 5</v>
      </c>
      <c r="AJ123" t="s">
        <v>13</v>
      </c>
      <c r="AK123" t="s">
        <v>11</v>
      </c>
      <c r="AL123" t="s">
        <v>464</v>
      </c>
      <c r="AN123" t="s">
        <v>463</v>
      </c>
      <c r="AO123" t="str">
        <f t="shared" si="25"/>
        <v>NatGrdExt_PAN_6</v>
      </c>
      <c r="AP123" t="str">
        <f t="shared" si="35"/>
        <v>Grid Extension -Panama- Step 6</v>
      </c>
      <c r="AQ123" t="s">
        <v>13</v>
      </c>
      <c r="AR123" t="s">
        <v>11</v>
      </c>
      <c r="AS123" t="s">
        <v>464</v>
      </c>
      <c r="AU123" t="s">
        <v>463</v>
      </c>
      <c r="AV123" t="str">
        <f t="shared" si="26"/>
        <v>NatGrdExt_PAN_7</v>
      </c>
      <c r="AW123" t="str">
        <f t="shared" si="36"/>
        <v>Grid Extension -Panama- Step 7</v>
      </c>
      <c r="AX123" t="s">
        <v>13</v>
      </c>
      <c r="AY123" t="s">
        <v>11</v>
      </c>
      <c r="AZ123" t="s">
        <v>464</v>
      </c>
      <c r="BB123" t="s">
        <v>463</v>
      </c>
      <c r="BC123" t="str">
        <f t="shared" si="27"/>
        <v>NatGrdExt_PAN_8</v>
      </c>
      <c r="BD123" t="str">
        <f t="shared" si="37"/>
        <v>Grid Extension -Panama- Step 8</v>
      </c>
      <c r="BE123" t="s">
        <v>13</v>
      </c>
      <c r="BF123" t="s">
        <v>11</v>
      </c>
      <c r="BG123" t="s">
        <v>464</v>
      </c>
      <c r="BI123" t="s">
        <v>463</v>
      </c>
      <c r="BJ123" t="str">
        <f t="shared" si="28"/>
        <v>NatGrdExt_PAN_9</v>
      </c>
      <c r="BK123" t="str">
        <f t="shared" si="38"/>
        <v>Grid Extension -Panama- Step 9</v>
      </c>
      <c r="BL123" t="s">
        <v>13</v>
      </c>
      <c r="BM123" t="s">
        <v>11</v>
      </c>
      <c r="BN123" t="s">
        <v>464</v>
      </c>
      <c r="BP123" t="s">
        <v>463</v>
      </c>
      <c r="BQ123" t="str">
        <f t="shared" si="29"/>
        <v>NatGrdExt_PAN_10</v>
      </c>
      <c r="BR123" t="str">
        <f t="shared" si="39"/>
        <v>Grid Extension -Panama- Step 10</v>
      </c>
      <c r="BS123" t="s">
        <v>13</v>
      </c>
      <c r="BT123" t="s">
        <v>11</v>
      </c>
      <c r="BU123" t="s">
        <v>464</v>
      </c>
    </row>
    <row r="124" spans="1:73">
      <c r="A124" s="5" t="s">
        <v>60</v>
      </c>
      <c r="B124" s="5" t="s">
        <v>120</v>
      </c>
      <c r="E124" t="s">
        <v>463</v>
      </c>
      <c r="F124" t="str">
        <f t="shared" si="20"/>
        <v>NatGrdExt_PER_1</v>
      </c>
      <c r="G124" t="str">
        <f t="shared" si="30"/>
        <v>Grid Extension -Peru- Step 1</v>
      </c>
      <c r="H124" t="s">
        <v>13</v>
      </c>
      <c r="I124" t="s">
        <v>11</v>
      </c>
      <c r="J124" t="s">
        <v>464</v>
      </c>
      <c r="L124" t="s">
        <v>463</v>
      </c>
      <c r="M124" t="str">
        <f t="shared" si="21"/>
        <v>NatGrdExt_PER_2</v>
      </c>
      <c r="N124" t="str">
        <f t="shared" si="31"/>
        <v>Grid Extension -Peru- Step 2</v>
      </c>
      <c r="O124" t="s">
        <v>13</v>
      </c>
      <c r="P124" t="s">
        <v>11</v>
      </c>
      <c r="Q124" t="s">
        <v>464</v>
      </c>
      <c r="S124" t="s">
        <v>463</v>
      </c>
      <c r="T124" t="str">
        <f t="shared" si="22"/>
        <v>NatGrdExt_PER_3</v>
      </c>
      <c r="U124" t="str">
        <f t="shared" si="32"/>
        <v>Grid Extension -Peru- Step 3</v>
      </c>
      <c r="V124" t="s">
        <v>13</v>
      </c>
      <c r="W124" t="s">
        <v>11</v>
      </c>
      <c r="X124" t="s">
        <v>464</v>
      </c>
      <c r="Z124" t="s">
        <v>463</v>
      </c>
      <c r="AA124" t="str">
        <f t="shared" si="23"/>
        <v>NatGrdExt_PER_4</v>
      </c>
      <c r="AB124" t="str">
        <f t="shared" si="33"/>
        <v>Grid Extension -Peru- Step 4</v>
      </c>
      <c r="AC124" t="s">
        <v>13</v>
      </c>
      <c r="AD124" t="s">
        <v>11</v>
      </c>
      <c r="AE124" t="s">
        <v>464</v>
      </c>
      <c r="AG124" t="s">
        <v>463</v>
      </c>
      <c r="AH124" t="str">
        <f t="shared" si="24"/>
        <v>NatGrdExt_PER_5</v>
      </c>
      <c r="AI124" t="str">
        <f t="shared" si="34"/>
        <v>Grid Extension -Peru- Step 5</v>
      </c>
      <c r="AJ124" t="s">
        <v>13</v>
      </c>
      <c r="AK124" t="s">
        <v>11</v>
      </c>
      <c r="AL124" t="s">
        <v>464</v>
      </c>
      <c r="AN124" t="s">
        <v>463</v>
      </c>
      <c r="AO124" t="str">
        <f t="shared" si="25"/>
        <v>NatGrdExt_PER_6</v>
      </c>
      <c r="AP124" t="str">
        <f t="shared" si="35"/>
        <v>Grid Extension -Peru- Step 6</v>
      </c>
      <c r="AQ124" t="s">
        <v>13</v>
      </c>
      <c r="AR124" t="s">
        <v>11</v>
      </c>
      <c r="AS124" t="s">
        <v>464</v>
      </c>
      <c r="AU124" t="s">
        <v>463</v>
      </c>
      <c r="AV124" t="str">
        <f t="shared" si="26"/>
        <v>NatGrdExt_PER_7</v>
      </c>
      <c r="AW124" t="str">
        <f t="shared" si="36"/>
        <v>Grid Extension -Peru- Step 7</v>
      </c>
      <c r="AX124" t="s">
        <v>13</v>
      </c>
      <c r="AY124" t="s">
        <v>11</v>
      </c>
      <c r="AZ124" t="s">
        <v>464</v>
      </c>
      <c r="BB124" t="s">
        <v>463</v>
      </c>
      <c r="BC124" t="str">
        <f t="shared" si="27"/>
        <v>NatGrdExt_PER_8</v>
      </c>
      <c r="BD124" t="str">
        <f t="shared" si="37"/>
        <v>Grid Extension -Peru- Step 8</v>
      </c>
      <c r="BE124" t="s">
        <v>13</v>
      </c>
      <c r="BF124" t="s">
        <v>11</v>
      </c>
      <c r="BG124" t="s">
        <v>464</v>
      </c>
      <c r="BI124" t="s">
        <v>463</v>
      </c>
      <c r="BJ124" t="str">
        <f t="shared" si="28"/>
        <v>NatGrdExt_PER_9</v>
      </c>
      <c r="BK124" t="str">
        <f t="shared" si="38"/>
        <v>Grid Extension -Peru- Step 9</v>
      </c>
      <c r="BL124" t="s">
        <v>13</v>
      </c>
      <c r="BM124" t="s">
        <v>11</v>
      </c>
      <c r="BN124" t="s">
        <v>464</v>
      </c>
      <c r="BP124" t="s">
        <v>463</v>
      </c>
      <c r="BQ124" t="str">
        <f t="shared" si="29"/>
        <v>NatGrdExt_PER_10</v>
      </c>
      <c r="BR124" t="str">
        <f t="shared" si="39"/>
        <v>Grid Extension -Peru- Step 10</v>
      </c>
      <c r="BS124" t="s">
        <v>13</v>
      </c>
      <c r="BT124" t="s">
        <v>11</v>
      </c>
      <c r="BU124" t="s">
        <v>464</v>
      </c>
    </row>
    <row r="125" spans="1:73">
      <c r="A125" s="5" t="s">
        <v>61</v>
      </c>
      <c r="B125" s="5" t="s">
        <v>121</v>
      </c>
      <c r="E125" t="s">
        <v>463</v>
      </c>
      <c r="F125" t="str">
        <f t="shared" si="20"/>
        <v>NatGrdExt_PHL_1</v>
      </c>
      <c r="G125" t="str">
        <f t="shared" si="30"/>
        <v>Grid Extension -Philippines- Step 1</v>
      </c>
      <c r="H125" t="s">
        <v>13</v>
      </c>
      <c r="I125" t="s">
        <v>11</v>
      </c>
      <c r="J125" t="s">
        <v>464</v>
      </c>
      <c r="L125" t="s">
        <v>463</v>
      </c>
      <c r="M125" t="str">
        <f t="shared" si="21"/>
        <v>NatGrdExt_PHL_2</v>
      </c>
      <c r="N125" t="str">
        <f t="shared" si="31"/>
        <v>Grid Extension -Philippines- Step 2</v>
      </c>
      <c r="O125" t="s">
        <v>13</v>
      </c>
      <c r="P125" t="s">
        <v>11</v>
      </c>
      <c r="Q125" t="s">
        <v>464</v>
      </c>
      <c r="S125" t="s">
        <v>463</v>
      </c>
      <c r="T125" t="str">
        <f t="shared" si="22"/>
        <v>NatGrdExt_PHL_3</v>
      </c>
      <c r="U125" t="str">
        <f t="shared" si="32"/>
        <v>Grid Extension -Philippines- Step 3</v>
      </c>
      <c r="V125" t="s">
        <v>13</v>
      </c>
      <c r="W125" t="s">
        <v>11</v>
      </c>
      <c r="X125" t="s">
        <v>464</v>
      </c>
      <c r="Z125" t="s">
        <v>463</v>
      </c>
      <c r="AA125" t="str">
        <f t="shared" si="23"/>
        <v>NatGrdExt_PHL_4</v>
      </c>
      <c r="AB125" t="str">
        <f t="shared" si="33"/>
        <v>Grid Extension -Philippines- Step 4</v>
      </c>
      <c r="AC125" t="s">
        <v>13</v>
      </c>
      <c r="AD125" t="s">
        <v>11</v>
      </c>
      <c r="AE125" t="s">
        <v>464</v>
      </c>
      <c r="AG125" t="s">
        <v>463</v>
      </c>
      <c r="AH125" t="str">
        <f t="shared" si="24"/>
        <v>NatGrdExt_PHL_5</v>
      </c>
      <c r="AI125" t="str">
        <f t="shared" si="34"/>
        <v>Grid Extension -Philippines- Step 5</v>
      </c>
      <c r="AJ125" t="s">
        <v>13</v>
      </c>
      <c r="AK125" t="s">
        <v>11</v>
      </c>
      <c r="AL125" t="s">
        <v>464</v>
      </c>
      <c r="AN125" t="s">
        <v>463</v>
      </c>
      <c r="AO125" t="str">
        <f t="shared" si="25"/>
        <v>NatGrdExt_PHL_6</v>
      </c>
      <c r="AP125" t="str">
        <f t="shared" si="35"/>
        <v>Grid Extension -Philippines- Step 6</v>
      </c>
      <c r="AQ125" t="s">
        <v>13</v>
      </c>
      <c r="AR125" t="s">
        <v>11</v>
      </c>
      <c r="AS125" t="s">
        <v>464</v>
      </c>
      <c r="AU125" t="s">
        <v>463</v>
      </c>
      <c r="AV125" t="str">
        <f t="shared" si="26"/>
        <v>NatGrdExt_PHL_7</v>
      </c>
      <c r="AW125" t="str">
        <f t="shared" si="36"/>
        <v>Grid Extension -Philippines- Step 7</v>
      </c>
      <c r="AX125" t="s">
        <v>13</v>
      </c>
      <c r="AY125" t="s">
        <v>11</v>
      </c>
      <c r="AZ125" t="s">
        <v>464</v>
      </c>
      <c r="BB125" t="s">
        <v>463</v>
      </c>
      <c r="BC125" t="str">
        <f t="shared" si="27"/>
        <v>NatGrdExt_PHL_8</v>
      </c>
      <c r="BD125" t="str">
        <f t="shared" si="37"/>
        <v>Grid Extension -Philippines- Step 8</v>
      </c>
      <c r="BE125" t="s">
        <v>13</v>
      </c>
      <c r="BF125" t="s">
        <v>11</v>
      </c>
      <c r="BG125" t="s">
        <v>464</v>
      </c>
      <c r="BI125" t="s">
        <v>463</v>
      </c>
      <c r="BJ125" t="str">
        <f t="shared" si="28"/>
        <v>NatGrdExt_PHL_9</v>
      </c>
      <c r="BK125" t="str">
        <f t="shared" si="38"/>
        <v>Grid Extension -Philippines- Step 9</v>
      </c>
      <c r="BL125" t="s">
        <v>13</v>
      </c>
      <c r="BM125" t="s">
        <v>11</v>
      </c>
      <c r="BN125" t="s">
        <v>464</v>
      </c>
      <c r="BP125" t="s">
        <v>463</v>
      </c>
      <c r="BQ125" t="str">
        <f t="shared" si="29"/>
        <v>NatGrdExt_PHL_10</v>
      </c>
      <c r="BR125" t="str">
        <f t="shared" si="39"/>
        <v>Grid Extension -Philippines- Step 10</v>
      </c>
      <c r="BS125" t="s">
        <v>13</v>
      </c>
      <c r="BT125" t="s">
        <v>11</v>
      </c>
      <c r="BU125" t="s">
        <v>464</v>
      </c>
    </row>
    <row r="126" spans="1:73">
      <c r="A126" s="5" t="s">
        <v>62</v>
      </c>
      <c r="B126" s="5" t="s">
        <v>122</v>
      </c>
      <c r="E126" t="s">
        <v>463</v>
      </c>
      <c r="F126" t="str">
        <f t="shared" si="20"/>
        <v>NatGrdExt_PNG_1</v>
      </c>
      <c r="G126" t="str">
        <f t="shared" si="30"/>
        <v>Grid Extension -Papua New Guinea- Step 1</v>
      </c>
      <c r="H126" t="s">
        <v>13</v>
      </c>
      <c r="I126" t="s">
        <v>11</v>
      </c>
      <c r="J126" t="s">
        <v>464</v>
      </c>
      <c r="L126" t="s">
        <v>463</v>
      </c>
      <c r="M126" t="str">
        <f t="shared" si="21"/>
        <v>NatGrdExt_PNG_2</v>
      </c>
      <c r="N126" t="str">
        <f t="shared" si="31"/>
        <v>Grid Extension -Papua New Guinea- Step 2</v>
      </c>
      <c r="O126" t="s">
        <v>13</v>
      </c>
      <c r="P126" t="s">
        <v>11</v>
      </c>
      <c r="Q126" t="s">
        <v>464</v>
      </c>
      <c r="S126" t="s">
        <v>463</v>
      </c>
      <c r="T126" t="str">
        <f t="shared" si="22"/>
        <v>NatGrdExt_PNG_3</v>
      </c>
      <c r="U126" t="str">
        <f t="shared" si="32"/>
        <v>Grid Extension -Papua New Guinea- Step 3</v>
      </c>
      <c r="V126" t="s">
        <v>13</v>
      </c>
      <c r="W126" t="s">
        <v>11</v>
      </c>
      <c r="X126" t="s">
        <v>464</v>
      </c>
      <c r="Z126" t="s">
        <v>463</v>
      </c>
      <c r="AA126" t="str">
        <f t="shared" si="23"/>
        <v>NatGrdExt_PNG_4</v>
      </c>
      <c r="AB126" t="str">
        <f t="shared" si="33"/>
        <v>Grid Extension -Papua New Guinea- Step 4</v>
      </c>
      <c r="AC126" t="s">
        <v>13</v>
      </c>
      <c r="AD126" t="s">
        <v>11</v>
      </c>
      <c r="AE126" t="s">
        <v>464</v>
      </c>
      <c r="AG126" t="s">
        <v>463</v>
      </c>
      <c r="AH126" t="str">
        <f t="shared" si="24"/>
        <v>NatGrdExt_PNG_5</v>
      </c>
      <c r="AI126" t="str">
        <f t="shared" si="34"/>
        <v>Grid Extension -Papua New Guinea- Step 5</v>
      </c>
      <c r="AJ126" t="s">
        <v>13</v>
      </c>
      <c r="AK126" t="s">
        <v>11</v>
      </c>
      <c r="AL126" t="s">
        <v>464</v>
      </c>
      <c r="AN126" t="s">
        <v>463</v>
      </c>
      <c r="AO126" t="str">
        <f t="shared" si="25"/>
        <v>NatGrdExt_PNG_6</v>
      </c>
      <c r="AP126" t="str">
        <f t="shared" si="35"/>
        <v>Grid Extension -Papua New Guinea- Step 6</v>
      </c>
      <c r="AQ126" t="s">
        <v>13</v>
      </c>
      <c r="AR126" t="s">
        <v>11</v>
      </c>
      <c r="AS126" t="s">
        <v>464</v>
      </c>
      <c r="AU126" t="s">
        <v>463</v>
      </c>
      <c r="AV126" t="str">
        <f t="shared" si="26"/>
        <v>NatGrdExt_PNG_7</v>
      </c>
      <c r="AW126" t="str">
        <f t="shared" si="36"/>
        <v>Grid Extension -Papua New Guinea- Step 7</v>
      </c>
      <c r="AX126" t="s">
        <v>13</v>
      </c>
      <c r="AY126" t="s">
        <v>11</v>
      </c>
      <c r="AZ126" t="s">
        <v>464</v>
      </c>
      <c r="BB126" t="s">
        <v>463</v>
      </c>
      <c r="BC126" t="str">
        <f t="shared" si="27"/>
        <v>NatGrdExt_PNG_8</v>
      </c>
      <c r="BD126" t="str">
        <f t="shared" si="37"/>
        <v>Grid Extension -Papua New Guinea- Step 8</v>
      </c>
      <c r="BE126" t="s">
        <v>13</v>
      </c>
      <c r="BF126" t="s">
        <v>11</v>
      </c>
      <c r="BG126" t="s">
        <v>464</v>
      </c>
      <c r="BI126" t="s">
        <v>463</v>
      </c>
      <c r="BJ126" t="str">
        <f t="shared" si="28"/>
        <v>NatGrdExt_PNG_9</v>
      </c>
      <c r="BK126" t="str">
        <f t="shared" si="38"/>
        <v>Grid Extension -Papua New Guinea- Step 9</v>
      </c>
      <c r="BL126" t="s">
        <v>13</v>
      </c>
      <c r="BM126" t="s">
        <v>11</v>
      </c>
      <c r="BN126" t="s">
        <v>464</v>
      </c>
      <c r="BP126" t="s">
        <v>463</v>
      </c>
      <c r="BQ126" t="str">
        <f t="shared" si="29"/>
        <v>NatGrdExt_PNG_10</v>
      </c>
      <c r="BR126" t="str">
        <f t="shared" si="39"/>
        <v>Grid Extension -Papua New Guinea- Step 10</v>
      </c>
      <c r="BS126" t="s">
        <v>13</v>
      </c>
      <c r="BT126" t="s">
        <v>11</v>
      </c>
      <c r="BU126" t="s">
        <v>464</v>
      </c>
    </row>
    <row r="127" spans="1:73">
      <c r="A127" s="5" t="s">
        <v>616</v>
      </c>
      <c r="B127" s="5" t="s">
        <v>617</v>
      </c>
      <c r="E127" t="s">
        <v>463</v>
      </c>
      <c r="F127" t="str">
        <f t="shared" si="20"/>
        <v>NatGrdExt_POL_1</v>
      </c>
      <c r="G127" t="str">
        <f t="shared" si="30"/>
        <v>Grid Extension -Poland- Step 1</v>
      </c>
      <c r="H127" t="s">
        <v>13</v>
      </c>
      <c r="I127" t="s">
        <v>11</v>
      </c>
      <c r="J127" t="s">
        <v>464</v>
      </c>
      <c r="L127" t="s">
        <v>463</v>
      </c>
      <c r="M127" t="str">
        <f t="shared" si="21"/>
        <v>NatGrdExt_POL_2</v>
      </c>
      <c r="N127" t="str">
        <f t="shared" si="31"/>
        <v>Grid Extension -Poland- Step 2</v>
      </c>
      <c r="O127" t="s">
        <v>13</v>
      </c>
      <c r="P127" t="s">
        <v>11</v>
      </c>
      <c r="Q127" t="s">
        <v>464</v>
      </c>
      <c r="S127" t="s">
        <v>463</v>
      </c>
      <c r="T127" t="str">
        <f t="shared" si="22"/>
        <v>NatGrdExt_POL_3</v>
      </c>
      <c r="U127" t="str">
        <f t="shared" si="32"/>
        <v>Grid Extension -Poland- Step 3</v>
      </c>
      <c r="V127" t="s">
        <v>13</v>
      </c>
      <c r="W127" t="s">
        <v>11</v>
      </c>
      <c r="X127" t="s">
        <v>464</v>
      </c>
      <c r="Z127" t="s">
        <v>463</v>
      </c>
      <c r="AA127" t="str">
        <f t="shared" si="23"/>
        <v>NatGrdExt_POL_4</v>
      </c>
      <c r="AB127" t="str">
        <f t="shared" si="33"/>
        <v>Grid Extension -Poland- Step 4</v>
      </c>
      <c r="AC127" t="s">
        <v>13</v>
      </c>
      <c r="AD127" t="s">
        <v>11</v>
      </c>
      <c r="AE127" t="s">
        <v>464</v>
      </c>
      <c r="AG127" t="s">
        <v>463</v>
      </c>
      <c r="AH127" t="str">
        <f t="shared" si="24"/>
        <v>NatGrdExt_POL_5</v>
      </c>
      <c r="AI127" t="str">
        <f t="shared" si="34"/>
        <v>Grid Extension -Poland- Step 5</v>
      </c>
      <c r="AJ127" t="s">
        <v>13</v>
      </c>
      <c r="AK127" t="s">
        <v>11</v>
      </c>
      <c r="AL127" t="s">
        <v>464</v>
      </c>
      <c r="AN127" t="s">
        <v>463</v>
      </c>
      <c r="AO127" t="str">
        <f t="shared" si="25"/>
        <v>NatGrdExt_POL_6</v>
      </c>
      <c r="AP127" t="str">
        <f t="shared" si="35"/>
        <v>Grid Extension -Poland- Step 6</v>
      </c>
      <c r="AQ127" t="s">
        <v>13</v>
      </c>
      <c r="AR127" t="s">
        <v>11</v>
      </c>
      <c r="AS127" t="s">
        <v>464</v>
      </c>
      <c r="AU127" t="s">
        <v>463</v>
      </c>
      <c r="AV127" t="str">
        <f t="shared" si="26"/>
        <v>NatGrdExt_POL_7</v>
      </c>
      <c r="AW127" t="str">
        <f t="shared" si="36"/>
        <v>Grid Extension -Poland- Step 7</v>
      </c>
      <c r="AX127" t="s">
        <v>13</v>
      </c>
      <c r="AY127" t="s">
        <v>11</v>
      </c>
      <c r="AZ127" t="s">
        <v>464</v>
      </c>
      <c r="BB127" t="s">
        <v>463</v>
      </c>
      <c r="BC127" t="str">
        <f t="shared" si="27"/>
        <v>NatGrdExt_POL_8</v>
      </c>
      <c r="BD127" t="str">
        <f t="shared" si="37"/>
        <v>Grid Extension -Poland- Step 8</v>
      </c>
      <c r="BE127" t="s">
        <v>13</v>
      </c>
      <c r="BF127" t="s">
        <v>11</v>
      </c>
      <c r="BG127" t="s">
        <v>464</v>
      </c>
      <c r="BI127" t="s">
        <v>463</v>
      </c>
      <c r="BJ127" t="str">
        <f t="shared" si="28"/>
        <v>NatGrdExt_POL_9</v>
      </c>
      <c r="BK127" t="str">
        <f t="shared" si="38"/>
        <v>Grid Extension -Poland- Step 9</v>
      </c>
      <c r="BL127" t="s">
        <v>13</v>
      </c>
      <c r="BM127" t="s">
        <v>11</v>
      </c>
      <c r="BN127" t="s">
        <v>464</v>
      </c>
      <c r="BP127" t="s">
        <v>463</v>
      </c>
      <c r="BQ127" t="str">
        <f t="shared" si="29"/>
        <v>NatGrdExt_POL_10</v>
      </c>
      <c r="BR127" t="str">
        <f t="shared" si="39"/>
        <v>Grid Extension -Poland- Step 10</v>
      </c>
      <c r="BS127" t="s">
        <v>13</v>
      </c>
      <c r="BT127" t="s">
        <v>11</v>
      </c>
      <c r="BU127" t="s">
        <v>464</v>
      </c>
    </row>
    <row r="128" spans="1:73">
      <c r="A128" s="5" t="s">
        <v>618</v>
      </c>
      <c r="B128" s="5" t="s">
        <v>619</v>
      </c>
      <c r="E128" t="s">
        <v>463</v>
      </c>
      <c r="F128" t="str">
        <f t="shared" si="20"/>
        <v>NatGrdExt_PRK_1</v>
      </c>
      <c r="G128" t="str">
        <f t="shared" si="30"/>
        <v>Grid Extension -Dem. People^s Rep. Korea- Step 1</v>
      </c>
      <c r="H128" t="s">
        <v>13</v>
      </c>
      <c r="I128" t="s">
        <v>11</v>
      </c>
      <c r="J128" t="s">
        <v>464</v>
      </c>
      <c r="L128" t="s">
        <v>463</v>
      </c>
      <c r="M128" t="str">
        <f t="shared" si="21"/>
        <v>NatGrdExt_PRK_2</v>
      </c>
      <c r="N128" t="str">
        <f t="shared" si="31"/>
        <v>Grid Extension -Dem. People^s Rep. Korea- Step 2</v>
      </c>
      <c r="O128" t="s">
        <v>13</v>
      </c>
      <c r="P128" t="s">
        <v>11</v>
      </c>
      <c r="Q128" t="s">
        <v>464</v>
      </c>
      <c r="S128" t="s">
        <v>463</v>
      </c>
      <c r="T128" t="str">
        <f t="shared" si="22"/>
        <v>NatGrdExt_PRK_3</v>
      </c>
      <c r="U128" t="str">
        <f t="shared" si="32"/>
        <v>Grid Extension -Dem. People^s Rep. Korea- Step 3</v>
      </c>
      <c r="V128" t="s">
        <v>13</v>
      </c>
      <c r="W128" t="s">
        <v>11</v>
      </c>
      <c r="X128" t="s">
        <v>464</v>
      </c>
      <c r="Z128" t="s">
        <v>463</v>
      </c>
      <c r="AA128" t="str">
        <f t="shared" si="23"/>
        <v>NatGrdExt_PRK_4</v>
      </c>
      <c r="AB128" t="str">
        <f t="shared" si="33"/>
        <v>Grid Extension -Dem. People^s Rep. Korea- Step 4</v>
      </c>
      <c r="AC128" t="s">
        <v>13</v>
      </c>
      <c r="AD128" t="s">
        <v>11</v>
      </c>
      <c r="AE128" t="s">
        <v>464</v>
      </c>
      <c r="AG128" t="s">
        <v>463</v>
      </c>
      <c r="AH128" t="str">
        <f t="shared" si="24"/>
        <v>NatGrdExt_PRK_5</v>
      </c>
      <c r="AI128" t="str">
        <f t="shared" si="34"/>
        <v>Grid Extension -Dem. People^s Rep. Korea- Step 5</v>
      </c>
      <c r="AJ128" t="s">
        <v>13</v>
      </c>
      <c r="AK128" t="s">
        <v>11</v>
      </c>
      <c r="AL128" t="s">
        <v>464</v>
      </c>
      <c r="AN128" t="s">
        <v>463</v>
      </c>
      <c r="AO128" t="str">
        <f t="shared" si="25"/>
        <v>NatGrdExt_PRK_6</v>
      </c>
      <c r="AP128" t="str">
        <f t="shared" si="35"/>
        <v>Grid Extension -Dem. People^s Rep. Korea- Step 6</v>
      </c>
      <c r="AQ128" t="s">
        <v>13</v>
      </c>
      <c r="AR128" t="s">
        <v>11</v>
      </c>
      <c r="AS128" t="s">
        <v>464</v>
      </c>
      <c r="AU128" t="s">
        <v>463</v>
      </c>
      <c r="AV128" t="str">
        <f t="shared" si="26"/>
        <v>NatGrdExt_PRK_7</v>
      </c>
      <c r="AW128" t="str">
        <f t="shared" si="36"/>
        <v>Grid Extension -Dem. People^s Rep. Korea- Step 7</v>
      </c>
      <c r="AX128" t="s">
        <v>13</v>
      </c>
      <c r="AY128" t="s">
        <v>11</v>
      </c>
      <c r="AZ128" t="s">
        <v>464</v>
      </c>
      <c r="BB128" t="s">
        <v>463</v>
      </c>
      <c r="BC128" t="str">
        <f t="shared" si="27"/>
        <v>NatGrdExt_PRK_8</v>
      </c>
      <c r="BD128" t="str">
        <f t="shared" si="37"/>
        <v>Grid Extension -Dem. People^s Rep. Korea- Step 8</v>
      </c>
      <c r="BE128" t="s">
        <v>13</v>
      </c>
      <c r="BF128" t="s">
        <v>11</v>
      </c>
      <c r="BG128" t="s">
        <v>464</v>
      </c>
      <c r="BI128" t="s">
        <v>463</v>
      </c>
      <c r="BJ128" t="str">
        <f t="shared" si="28"/>
        <v>NatGrdExt_PRK_9</v>
      </c>
      <c r="BK128" t="str">
        <f t="shared" si="38"/>
        <v>Grid Extension -Dem. People^s Rep. Korea- Step 9</v>
      </c>
      <c r="BL128" t="s">
        <v>13</v>
      </c>
      <c r="BM128" t="s">
        <v>11</v>
      </c>
      <c r="BN128" t="s">
        <v>464</v>
      </c>
      <c r="BP128" t="s">
        <v>463</v>
      </c>
      <c r="BQ128" t="str">
        <f t="shared" si="29"/>
        <v>NatGrdExt_PRK_10</v>
      </c>
      <c r="BR128" t="str">
        <f t="shared" si="39"/>
        <v>Grid Extension -Dem. People^s Rep. Korea- Step 10</v>
      </c>
      <c r="BS128" t="s">
        <v>13</v>
      </c>
      <c r="BT128" t="s">
        <v>11</v>
      </c>
      <c r="BU128" t="s">
        <v>464</v>
      </c>
    </row>
    <row r="129" spans="1:73">
      <c r="A129" s="5" t="s">
        <v>620</v>
      </c>
      <c r="B129" s="5" t="s">
        <v>621</v>
      </c>
      <c r="E129" t="s">
        <v>463</v>
      </c>
      <c r="F129" t="str">
        <f t="shared" si="20"/>
        <v>NatGrdExt_PRT_1</v>
      </c>
      <c r="G129" t="str">
        <f t="shared" si="30"/>
        <v>Grid Extension -Portugal- Step 1</v>
      </c>
      <c r="H129" t="s">
        <v>13</v>
      </c>
      <c r="I129" t="s">
        <v>11</v>
      </c>
      <c r="J129" t="s">
        <v>464</v>
      </c>
      <c r="L129" t="s">
        <v>463</v>
      </c>
      <c r="M129" t="str">
        <f t="shared" si="21"/>
        <v>NatGrdExt_PRT_2</v>
      </c>
      <c r="N129" t="str">
        <f t="shared" si="31"/>
        <v>Grid Extension -Portugal- Step 2</v>
      </c>
      <c r="O129" t="s">
        <v>13</v>
      </c>
      <c r="P129" t="s">
        <v>11</v>
      </c>
      <c r="Q129" t="s">
        <v>464</v>
      </c>
      <c r="S129" t="s">
        <v>463</v>
      </c>
      <c r="T129" t="str">
        <f t="shared" si="22"/>
        <v>NatGrdExt_PRT_3</v>
      </c>
      <c r="U129" t="str">
        <f t="shared" si="32"/>
        <v>Grid Extension -Portugal- Step 3</v>
      </c>
      <c r="V129" t="s">
        <v>13</v>
      </c>
      <c r="W129" t="s">
        <v>11</v>
      </c>
      <c r="X129" t="s">
        <v>464</v>
      </c>
      <c r="Z129" t="s">
        <v>463</v>
      </c>
      <c r="AA129" t="str">
        <f t="shared" si="23"/>
        <v>NatGrdExt_PRT_4</v>
      </c>
      <c r="AB129" t="str">
        <f t="shared" si="33"/>
        <v>Grid Extension -Portugal- Step 4</v>
      </c>
      <c r="AC129" t="s">
        <v>13</v>
      </c>
      <c r="AD129" t="s">
        <v>11</v>
      </c>
      <c r="AE129" t="s">
        <v>464</v>
      </c>
      <c r="AG129" t="s">
        <v>463</v>
      </c>
      <c r="AH129" t="str">
        <f t="shared" si="24"/>
        <v>NatGrdExt_PRT_5</v>
      </c>
      <c r="AI129" t="str">
        <f t="shared" si="34"/>
        <v>Grid Extension -Portugal- Step 5</v>
      </c>
      <c r="AJ129" t="s">
        <v>13</v>
      </c>
      <c r="AK129" t="s">
        <v>11</v>
      </c>
      <c r="AL129" t="s">
        <v>464</v>
      </c>
      <c r="AN129" t="s">
        <v>463</v>
      </c>
      <c r="AO129" t="str">
        <f t="shared" si="25"/>
        <v>NatGrdExt_PRT_6</v>
      </c>
      <c r="AP129" t="str">
        <f t="shared" si="35"/>
        <v>Grid Extension -Portugal- Step 6</v>
      </c>
      <c r="AQ129" t="s">
        <v>13</v>
      </c>
      <c r="AR129" t="s">
        <v>11</v>
      </c>
      <c r="AS129" t="s">
        <v>464</v>
      </c>
      <c r="AU129" t="s">
        <v>463</v>
      </c>
      <c r="AV129" t="str">
        <f t="shared" si="26"/>
        <v>NatGrdExt_PRT_7</v>
      </c>
      <c r="AW129" t="str">
        <f t="shared" si="36"/>
        <v>Grid Extension -Portugal- Step 7</v>
      </c>
      <c r="AX129" t="s">
        <v>13</v>
      </c>
      <c r="AY129" t="s">
        <v>11</v>
      </c>
      <c r="AZ129" t="s">
        <v>464</v>
      </c>
      <c r="BB129" t="s">
        <v>463</v>
      </c>
      <c r="BC129" t="str">
        <f t="shared" si="27"/>
        <v>NatGrdExt_PRT_8</v>
      </c>
      <c r="BD129" t="str">
        <f t="shared" si="37"/>
        <v>Grid Extension -Portugal- Step 8</v>
      </c>
      <c r="BE129" t="s">
        <v>13</v>
      </c>
      <c r="BF129" t="s">
        <v>11</v>
      </c>
      <c r="BG129" t="s">
        <v>464</v>
      </c>
      <c r="BI129" t="s">
        <v>463</v>
      </c>
      <c r="BJ129" t="str">
        <f t="shared" si="28"/>
        <v>NatGrdExt_PRT_9</v>
      </c>
      <c r="BK129" t="str">
        <f t="shared" si="38"/>
        <v>Grid Extension -Portugal- Step 9</v>
      </c>
      <c r="BL129" t="s">
        <v>13</v>
      </c>
      <c r="BM129" t="s">
        <v>11</v>
      </c>
      <c r="BN129" t="s">
        <v>464</v>
      </c>
      <c r="BP129" t="s">
        <v>463</v>
      </c>
      <c r="BQ129" t="str">
        <f t="shared" si="29"/>
        <v>NatGrdExt_PRT_10</v>
      </c>
      <c r="BR129" t="str">
        <f t="shared" si="39"/>
        <v>Grid Extension -Portugal- Step 10</v>
      </c>
      <c r="BS129" t="s">
        <v>13</v>
      </c>
      <c r="BT129" t="s">
        <v>11</v>
      </c>
      <c r="BU129" t="s">
        <v>464</v>
      </c>
    </row>
    <row r="130" spans="1:73">
      <c r="A130" s="5" t="s">
        <v>622</v>
      </c>
      <c r="B130" s="5" t="s">
        <v>623</v>
      </c>
      <c r="E130" t="s">
        <v>463</v>
      </c>
      <c r="F130" t="str">
        <f t="shared" si="20"/>
        <v>NatGrdExt_PRY_1</v>
      </c>
      <c r="G130" t="str">
        <f t="shared" si="30"/>
        <v>Grid Extension -Paraguay- Step 1</v>
      </c>
      <c r="H130" t="s">
        <v>13</v>
      </c>
      <c r="I130" t="s">
        <v>11</v>
      </c>
      <c r="J130" t="s">
        <v>464</v>
      </c>
      <c r="L130" t="s">
        <v>463</v>
      </c>
      <c r="M130" t="str">
        <f t="shared" si="21"/>
        <v>NatGrdExt_PRY_2</v>
      </c>
      <c r="N130" t="str">
        <f t="shared" si="31"/>
        <v>Grid Extension -Paraguay- Step 2</v>
      </c>
      <c r="O130" t="s">
        <v>13</v>
      </c>
      <c r="P130" t="s">
        <v>11</v>
      </c>
      <c r="Q130" t="s">
        <v>464</v>
      </c>
      <c r="S130" t="s">
        <v>463</v>
      </c>
      <c r="T130" t="str">
        <f t="shared" si="22"/>
        <v>NatGrdExt_PRY_3</v>
      </c>
      <c r="U130" t="str">
        <f t="shared" si="32"/>
        <v>Grid Extension -Paraguay- Step 3</v>
      </c>
      <c r="V130" t="s">
        <v>13</v>
      </c>
      <c r="W130" t="s">
        <v>11</v>
      </c>
      <c r="X130" t="s">
        <v>464</v>
      </c>
      <c r="Z130" t="s">
        <v>463</v>
      </c>
      <c r="AA130" t="str">
        <f t="shared" si="23"/>
        <v>NatGrdExt_PRY_4</v>
      </c>
      <c r="AB130" t="str">
        <f t="shared" si="33"/>
        <v>Grid Extension -Paraguay- Step 4</v>
      </c>
      <c r="AC130" t="s">
        <v>13</v>
      </c>
      <c r="AD130" t="s">
        <v>11</v>
      </c>
      <c r="AE130" t="s">
        <v>464</v>
      </c>
      <c r="AG130" t="s">
        <v>463</v>
      </c>
      <c r="AH130" t="str">
        <f t="shared" si="24"/>
        <v>NatGrdExt_PRY_5</v>
      </c>
      <c r="AI130" t="str">
        <f t="shared" si="34"/>
        <v>Grid Extension -Paraguay- Step 5</v>
      </c>
      <c r="AJ130" t="s">
        <v>13</v>
      </c>
      <c r="AK130" t="s">
        <v>11</v>
      </c>
      <c r="AL130" t="s">
        <v>464</v>
      </c>
      <c r="AN130" t="s">
        <v>463</v>
      </c>
      <c r="AO130" t="str">
        <f t="shared" si="25"/>
        <v>NatGrdExt_PRY_6</v>
      </c>
      <c r="AP130" t="str">
        <f t="shared" si="35"/>
        <v>Grid Extension -Paraguay- Step 6</v>
      </c>
      <c r="AQ130" t="s">
        <v>13</v>
      </c>
      <c r="AR130" t="s">
        <v>11</v>
      </c>
      <c r="AS130" t="s">
        <v>464</v>
      </c>
      <c r="AU130" t="s">
        <v>463</v>
      </c>
      <c r="AV130" t="str">
        <f t="shared" si="26"/>
        <v>NatGrdExt_PRY_7</v>
      </c>
      <c r="AW130" t="str">
        <f t="shared" si="36"/>
        <v>Grid Extension -Paraguay- Step 7</v>
      </c>
      <c r="AX130" t="s">
        <v>13</v>
      </c>
      <c r="AY130" t="s">
        <v>11</v>
      </c>
      <c r="AZ130" t="s">
        <v>464</v>
      </c>
      <c r="BB130" t="s">
        <v>463</v>
      </c>
      <c r="BC130" t="str">
        <f t="shared" si="27"/>
        <v>NatGrdExt_PRY_8</v>
      </c>
      <c r="BD130" t="str">
        <f t="shared" si="37"/>
        <v>Grid Extension -Paraguay- Step 8</v>
      </c>
      <c r="BE130" t="s">
        <v>13</v>
      </c>
      <c r="BF130" t="s">
        <v>11</v>
      </c>
      <c r="BG130" t="s">
        <v>464</v>
      </c>
      <c r="BI130" t="s">
        <v>463</v>
      </c>
      <c r="BJ130" t="str">
        <f t="shared" si="28"/>
        <v>NatGrdExt_PRY_9</v>
      </c>
      <c r="BK130" t="str">
        <f t="shared" si="38"/>
        <v>Grid Extension -Paraguay- Step 9</v>
      </c>
      <c r="BL130" t="s">
        <v>13</v>
      </c>
      <c r="BM130" t="s">
        <v>11</v>
      </c>
      <c r="BN130" t="s">
        <v>464</v>
      </c>
      <c r="BP130" t="s">
        <v>463</v>
      </c>
      <c r="BQ130" t="str">
        <f t="shared" si="29"/>
        <v>NatGrdExt_PRY_10</v>
      </c>
      <c r="BR130" t="str">
        <f t="shared" si="39"/>
        <v>Grid Extension -Paraguay- Step 10</v>
      </c>
      <c r="BS130" t="s">
        <v>13</v>
      </c>
      <c r="BT130" t="s">
        <v>11</v>
      </c>
      <c r="BU130" t="s">
        <v>464</v>
      </c>
    </row>
    <row r="131" spans="1:73">
      <c r="A131" s="5" t="s">
        <v>624</v>
      </c>
      <c r="B131" s="5" t="s">
        <v>625</v>
      </c>
      <c r="E131" t="s">
        <v>463</v>
      </c>
      <c r="F131" t="str">
        <f t="shared" si="20"/>
        <v>NatGrdExt_PSE_1</v>
      </c>
      <c r="G131" t="str">
        <f t="shared" si="30"/>
        <v>Grid Extension -Palestine- Step 1</v>
      </c>
      <c r="H131" t="s">
        <v>13</v>
      </c>
      <c r="I131" t="s">
        <v>11</v>
      </c>
      <c r="J131" t="s">
        <v>464</v>
      </c>
      <c r="L131" t="s">
        <v>463</v>
      </c>
      <c r="M131" t="str">
        <f t="shared" si="21"/>
        <v>NatGrdExt_PSE_2</v>
      </c>
      <c r="N131" t="str">
        <f t="shared" si="31"/>
        <v>Grid Extension -Palestine- Step 2</v>
      </c>
      <c r="O131" t="s">
        <v>13</v>
      </c>
      <c r="P131" t="s">
        <v>11</v>
      </c>
      <c r="Q131" t="s">
        <v>464</v>
      </c>
      <c r="S131" t="s">
        <v>463</v>
      </c>
      <c r="T131" t="str">
        <f t="shared" si="22"/>
        <v>NatGrdExt_PSE_3</v>
      </c>
      <c r="U131" t="str">
        <f t="shared" si="32"/>
        <v>Grid Extension -Palestine- Step 3</v>
      </c>
      <c r="V131" t="s">
        <v>13</v>
      </c>
      <c r="W131" t="s">
        <v>11</v>
      </c>
      <c r="X131" t="s">
        <v>464</v>
      </c>
      <c r="Z131" t="s">
        <v>463</v>
      </c>
      <c r="AA131" t="str">
        <f t="shared" si="23"/>
        <v>NatGrdExt_PSE_4</v>
      </c>
      <c r="AB131" t="str">
        <f t="shared" si="33"/>
        <v>Grid Extension -Palestine- Step 4</v>
      </c>
      <c r="AC131" t="s">
        <v>13</v>
      </c>
      <c r="AD131" t="s">
        <v>11</v>
      </c>
      <c r="AE131" t="s">
        <v>464</v>
      </c>
      <c r="AG131" t="s">
        <v>463</v>
      </c>
      <c r="AH131" t="str">
        <f t="shared" si="24"/>
        <v>NatGrdExt_PSE_5</v>
      </c>
      <c r="AI131" t="str">
        <f t="shared" si="34"/>
        <v>Grid Extension -Palestine- Step 5</v>
      </c>
      <c r="AJ131" t="s">
        <v>13</v>
      </c>
      <c r="AK131" t="s">
        <v>11</v>
      </c>
      <c r="AL131" t="s">
        <v>464</v>
      </c>
      <c r="AN131" t="s">
        <v>463</v>
      </c>
      <c r="AO131" t="str">
        <f t="shared" si="25"/>
        <v>NatGrdExt_PSE_6</v>
      </c>
      <c r="AP131" t="str">
        <f t="shared" si="35"/>
        <v>Grid Extension -Palestine- Step 6</v>
      </c>
      <c r="AQ131" t="s">
        <v>13</v>
      </c>
      <c r="AR131" t="s">
        <v>11</v>
      </c>
      <c r="AS131" t="s">
        <v>464</v>
      </c>
      <c r="AU131" t="s">
        <v>463</v>
      </c>
      <c r="AV131" t="str">
        <f t="shared" si="26"/>
        <v>NatGrdExt_PSE_7</v>
      </c>
      <c r="AW131" t="str">
        <f t="shared" si="36"/>
        <v>Grid Extension -Palestine- Step 7</v>
      </c>
      <c r="AX131" t="s">
        <v>13</v>
      </c>
      <c r="AY131" t="s">
        <v>11</v>
      </c>
      <c r="AZ131" t="s">
        <v>464</v>
      </c>
      <c r="BB131" t="s">
        <v>463</v>
      </c>
      <c r="BC131" t="str">
        <f t="shared" si="27"/>
        <v>NatGrdExt_PSE_8</v>
      </c>
      <c r="BD131" t="str">
        <f t="shared" si="37"/>
        <v>Grid Extension -Palestine- Step 8</v>
      </c>
      <c r="BE131" t="s">
        <v>13</v>
      </c>
      <c r="BF131" t="s">
        <v>11</v>
      </c>
      <c r="BG131" t="s">
        <v>464</v>
      </c>
      <c r="BI131" t="s">
        <v>463</v>
      </c>
      <c r="BJ131" t="str">
        <f t="shared" si="28"/>
        <v>NatGrdExt_PSE_9</v>
      </c>
      <c r="BK131" t="str">
        <f t="shared" si="38"/>
        <v>Grid Extension -Palestine- Step 9</v>
      </c>
      <c r="BL131" t="s">
        <v>13</v>
      </c>
      <c r="BM131" t="s">
        <v>11</v>
      </c>
      <c r="BN131" t="s">
        <v>464</v>
      </c>
      <c r="BP131" t="s">
        <v>463</v>
      </c>
      <c r="BQ131" t="str">
        <f t="shared" si="29"/>
        <v>NatGrdExt_PSE_10</v>
      </c>
      <c r="BR131" t="str">
        <f t="shared" si="39"/>
        <v>Grid Extension -Palestine- Step 10</v>
      </c>
      <c r="BS131" t="s">
        <v>13</v>
      </c>
      <c r="BT131" t="s">
        <v>11</v>
      </c>
      <c r="BU131" t="s">
        <v>464</v>
      </c>
    </row>
    <row r="132" spans="1:73">
      <c r="A132" s="5" t="s">
        <v>626</v>
      </c>
      <c r="B132" s="5" t="s">
        <v>627</v>
      </c>
      <c r="E132" t="s">
        <v>463</v>
      </c>
      <c r="F132" t="str">
        <f t="shared" si="20"/>
        <v>NatGrdExt_QAT_1</v>
      </c>
      <c r="G132" t="str">
        <f t="shared" si="30"/>
        <v>Grid Extension -Qatar- Step 1</v>
      </c>
      <c r="H132" t="s">
        <v>13</v>
      </c>
      <c r="I132" t="s">
        <v>11</v>
      </c>
      <c r="J132" t="s">
        <v>464</v>
      </c>
      <c r="L132" t="s">
        <v>463</v>
      </c>
      <c r="M132" t="str">
        <f t="shared" si="21"/>
        <v>NatGrdExt_QAT_2</v>
      </c>
      <c r="N132" t="str">
        <f t="shared" si="31"/>
        <v>Grid Extension -Qatar- Step 2</v>
      </c>
      <c r="O132" t="s">
        <v>13</v>
      </c>
      <c r="P132" t="s">
        <v>11</v>
      </c>
      <c r="Q132" t="s">
        <v>464</v>
      </c>
      <c r="S132" t="s">
        <v>463</v>
      </c>
      <c r="T132" t="str">
        <f t="shared" si="22"/>
        <v>NatGrdExt_QAT_3</v>
      </c>
      <c r="U132" t="str">
        <f t="shared" si="32"/>
        <v>Grid Extension -Qatar- Step 3</v>
      </c>
      <c r="V132" t="s">
        <v>13</v>
      </c>
      <c r="W132" t="s">
        <v>11</v>
      </c>
      <c r="X132" t="s">
        <v>464</v>
      </c>
      <c r="Z132" t="s">
        <v>463</v>
      </c>
      <c r="AA132" t="str">
        <f t="shared" si="23"/>
        <v>NatGrdExt_QAT_4</v>
      </c>
      <c r="AB132" t="str">
        <f t="shared" si="33"/>
        <v>Grid Extension -Qatar- Step 4</v>
      </c>
      <c r="AC132" t="s">
        <v>13</v>
      </c>
      <c r="AD132" t="s">
        <v>11</v>
      </c>
      <c r="AE132" t="s">
        <v>464</v>
      </c>
      <c r="AG132" t="s">
        <v>463</v>
      </c>
      <c r="AH132" t="str">
        <f t="shared" si="24"/>
        <v>NatGrdExt_QAT_5</v>
      </c>
      <c r="AI132" t="str">
        <f t="shared" si="34"/>
        <v>Grid Extension -Qatar- Step 5</v>
      </c>
      <c r="AJ132" t="s">
        <v>13</v>
      </c>
      <c r="AK132" t="s">
        <v>11</v>
      </c>
      <c r="AL132" t="s">
        <v>464</v>
      </c>
      <c r="AN132" t="s">
        <v>463</v>
      </c>
      <c r="AO132" t="str">
        <f t="shared" si="25"/>
        <v>NatGrdExt_QAT_6</v>
      </c>
      <c r="AP132" t="str">
        <f t="shared" si="35"/>
        <v>Grid Extension -Qatar- Step 6</v>
      </c>
      <c r="AQ132" t="s">
        <v>13</v>
      </c>
      <c r="AR132" t="s">
        <v>11</v>
      </c>
      <c r="AS132" t="s">
        <v>464</v>
      </c>
      <c r="AU132" t="s">
        <v>463</v>
      </c>
      <c r="AV132" t="str">
        <f t="shared" si="26"/>
        <v>NatGrdExt_QAT_7</v>
      </c>
      <c r="AW132" t="str">
        <f t="shared" si="36"/>
        <v>Grid Extension -Qatar- Step 7</v>
      </c>
      <c r="AX132" t="s">
        <v>13</v>
      </c>
      <c r="AY132" t="s">
        <v>11</v>
      </c>
      <c r="AZ132" t="s">
        <v>464</v>
      </c>
      <c r="BB132" t="s">
        <v>463</v>
      </c>
      <c r="BC132" t="str">
        <f t="shared" si="27"/>
        <v>NatGrdExt_QAT_8</v>
      </c>
      <c r="BD132" t="str">
        <f t="shared" si="37"/>
        <v>Grid Extension -Qatar- Step 8</v>
      </c>
      <c r="BE132" t="s">
        <v>13</v>
      </c>
      <c r="BF132" t="s">
        <v>11</v>
      </c>
      <c r="BG132" t="s">
        <v>464</v>
      </c>
      <c r="BI132" t="s">
        <v>463</v>
      </c>
      <c r="BJ132" t="str">
        <f t="shared" si="28"/>
        <v>NatGrdExt_QAT_9</v>
      </c>
      <c r="BK132" t="str">
        <f t="shared" si="38"/>
        <v>Grid Extension -Qatar- Step 9</v>
      </c>
      <c r="BL132" t="s">
        <v>13</v>
      </c>
      <c r="BM132" t="s">
        <v>11</v>
      </c>
      <c r="BN132" t="s">
        <v>464</v>
      </c>
      <c r="BP132" t="s">
        <v>463</v>
      </c>
      <c r="BQ132" t="str">
        <f t="shared" si="29"/>
        <v>NatGrdExt_QAT_10</v>
      </c>
      <c r="BR132" t="str">
        <f t="shared" si="39"/>
        <v>Grid Extension -Qatar- Step 10</v>
      </c>
      <c r="BS132" t="s">
        <v>13</v>
      </c>
      <c r="BT132" t="s">
        <v>11</v>
      </c>
      <c r="BU132" t="s">
        <v>464</v>
      </c>
    </row>
    <row r="133" spans="1:73">
      <c r="A133" s="5" t="s">
        <v>628</v>
      </c>
      <c r="B133" s="5" t="s">
        <v>629</v>
      </c>
      <c r="E133" t="s">
        <v>463</v>
      </c>
      <c r="F133" t="str">
        <f t="shared" ref="F133:F172" si="40">"NatGrdExt_"&amp;$A133&amp;"_"&amp;G$1</f>
        <v>NatGrdExt_ROU_1</v>
      </c>
      <c r="G133" t="str">
        <f t="shared" si="30"/>
        <v>Grid Extension -Romania- Step 1</v>
      </c>
      <c r="H133" t="s">
        <v>13</v>
      </c>
      <c r="I133" t="s">
        <v>11</v>
      </c>
      <c r="J133" t="s">
        <v>464</v>
      </c>
      <c r="L133" t="s">
        <v>463</v>
      </c>
      <c r="M133" t="str">
        <f t="shared" ref="M133:M172" si="41">"NatGrdExt_"&amp;$A133&amp;"_"&amp;N$1</f>
        <v>NatGrdExt_ROU_2</v>
      </c>
      <c r="N133" t="str">
        <f t="shared" si="31"/>
        <v>Grid Extension -Romania- Step 2</v>
      </c>
      <c r="O133" t="s">
        <v>13</v>
      </c>
      <c r="P133" t="s">
        <v>11</v>
      </c>
      <c r="Q133" t="s">
        <v>464</v>
      </c>
      <c r="S133" t="s">
        <v>463</v>
      </c>
      <c r="T133" t="str">
        <f t="shared" ref="T133:T172" si="42">"NatGrdExt_"&amp;$A133&amp;"_"&amp;U$1</f>
        <v>NatGrdExt_ROU_3</v>
      </c>
      <c r="U133" t="str">
        <f t="shared" si="32"/>
        <v>Grid Extension -Romania- Step 3</v>
      </c>
      <c r="V133" t="s">
        <v>13</v>
      </c>
      <c r="W133" t="s">
        <v>11</v>
      </c>
      <c r="X133" t="s">
        <v>464</v>
      </c>
      <c r="Z133" t="s">
        <v>463</v>
      </c>
      <c r="AA133" t="str">
        <f t="shared" ref="AA133:AA172" si="43">"NatGrdExt_"&amp;$A133&amp;"_"&amp;AB$1</f>
        <v>NatGrdExt_ROU_4</v>
      </c>
      <c r="AB133" t="str">
        <f t="shared" si="33"/>
        <v>Grid Extension -Romania- Step 4</v>
      </c>
      <c r="AC133" t="s">
        <v>13</v>
      </c>
      <c r="AD133" t="s">
        <v>11</v>
      </c>
      <c r="AE133" t="s">
        <v>464</v>
      </c>
      <c r="AG133" t="s">
        <v>463</v>
      </c>
      <c r="AH133" t="str">
        <f t="shared" ref="AH133:AH172" si="44">"NatGrdExt_"&amp;$A133&amp;"_"&amp;AI$1</f>
        <v>NatGrdExt_ROU_5</v>
      </c>
      <c r="AI133" t="str">
        <f t="shared" si="34"/>
        <v>Grid Extension -Romania- Step 5</v>
      </c>
      <c r="AJ133" t="s">
        <v>13</v>
      </c>
      <c r="AK133" t="s">
        <v>11</v>
      </c>
      <c r="AL133" t="s">
        <v>464</v>
      </c>
      <c r="AN133" t="s">
        <v>463</v>
      </c>
      <c r="AO133" t="str">
        <f t="shared" ref="AO133:AO172" si="45">"NatGrdExt_"&amp;$A133&amp;"_"&amp;AP$1</f>
        <v>NatGrdExt_ROU_6</v>
      </c>
      <c r="AP133" t="str">
        <f t="shared" si="35"/>
        <v>Grid Extension -Romania- Step 6</v>
      </c>
      <c r="AQ133" t="s">
        <v>13</v>
      </c>
      <c r="AR133" t="s">
        <v>11</v>
      </c>
      <c r="AS133" t="s">
        <v>464</v>
      </c>
      <c r="AU133" t="s">
        <v>463</v>
      </c>
      <c r="AV133" t="str">
        <f t="shared" ref="AV133:AV172" si="46">"NatGrdExt_"&amp;$A133&amp;"_"&amp;AW$1</f>
        <v>NatGrdExt_ROU_7</v>
      </c>
      <c r="AW133" t="str">
        <f t="shared" si="36"/>
        <v>Grid Extension -Romania- Step 7</v>
      </c>
      <c r="AX133" t="s">
        <v>13</v>
      </c>
      <c r="AY133" t="s">
        <v>11</v>
      </c>
      <c r="AZ133" t="s">
        <v>464</v>
      </c>
      <c r="BB133" t="s">
        <v>463</v>
      </c>
      <c r="BC133" t="str">
        <f t="shared" ref="BC133:BC172" si="47">"NatGrdExt_"&amp;$A133&amp;"_"&amp;BD$1</f>
        <v>NatGrdExt_ROU_8</v>
      </c>
      <c r="BD133" t="str">
        <f t="shared" si="37"/>
        <v>Grid Extension -Romania- Step 8</v>
      </c>
      <c r="BE133" t="s">
        <v>13</v>
      </c>
      <c r="BF133" t="s">
        <v>11</v>
      </c>
      <c r="BG133" t="s">
        <v>464</v>
      </c>
      <c r="BI133" t="s">
        <v>463</v>
      </c>
      <c r="BJ133" t="str">
        <f t="shared" ref="BJ133:BJ172" si="48">"NatGrdExt_"&amp;$A133&amp;"_"&amp;BK$1</f>
        <v>NatGrdExt_ROU_9</v>
      </c>
      <c r="BK133" t="str">
        <f t="shared" si="38"/>
        <v>Grid Extension -Romania- Step 9</v>
      </c>
      <c r="BL133" t="s">
        <v>13</v>
      </c>
      <c r="BM133" t="s">
        <v>11</v>
      </c>
      <c r="BN133" t="s">
        <v>464</v>
      </c>
      <c r="BP133" t="s">
        <v>463</v>
      </c>
      <c r="BQ133" t="str">
        <f t="shared" ref="BQ133:BQ172" si="49">"NatGrdExt_"&amp;$A133&amp;"_"&amp;BR$1</f>
        <v>NatGrdExt_ROU_10</v>
      </c>
      <c r="BR133" t="str">
        <f t="shared" si="39"/>
        <v>Grid Extension -Romania- Step 10</v>
      </c>
      <c r="BS133" t="s">
        <v>13</v>
      </c>
      <c r="BT133" t="s">
        <v>11</v>
      </c>
      <c r="BU133" t="s">
        <v>464</v>
      </c>
    </row>
    <row r="134" spans="1:73">
      <c r="A134" s="5" t="s">
        <v>63</v>
      </c>
      <c r="B134" s="5" t="s">
        <v>123</v>
      </c>
      <c r="E134" t="s">
        <v>463</v>
      </c>
      <c r="F134" t="str">
        <f t="shared" si="40"/>
        <v>NatGrdExt_RUS_1</v>
      </c>
      <c r="G134" t="str">
        <f t="shared" si="30"/>
        <v>Grid Extension -Russia- Step 1</v>
      </c>
      <c r="H134" t="s">
        <v>13</v>
      </c>
      <c r="I134" t="s">
        <v>11</v>
      </c>
      <c r="J134" t="s">
        <v>464</v>
      </c>
      <c r="L134" t="s">
        <v>463</v>
      </c>
      <c r="M134" t="str">
        <f t="shared" si="41"/>
        <v>NatGrdExt_RUS_2</v>
      </c>
      <c r="N134" t="str">
        <f t="shared" si="31"/>
        <v>Grid Extension -Russia- Step 2</v>
      </c>
      <c r="O134" t="s">
        <v>13</v>
      </c>
      <c r="P134" t="s">
        <v>11</v>
      </c>
      <c r="Q134" t="s">
        <v>464</v>
      </c>
      <c r="S134" t="s">
        <v>463</v>
      </c>
      <c r="T134" t="str">
        <f t="shared" si="42"/>
        <v>NatGrdExt_RUS_3</v>
      </c>
      <c r="U134" t="str">
        <f t="shared" si="32"/>
        <v>Grid Extension -Russia- Step 3</v>
      </c>
      <c r="V134" t="s">
        <v>13</v>
      </c>
      <c r="W134" t="s">
        <v>11</v>
      </c>
      <c r="X134" t="s">
        <v>464</v>
      </c>
      <c r="Z134" t="s">
        <v>463</v>
      </c>
      <c r="AA134" t="str">
        <f t="shared" si="43"/>
        <v>NatGrdExt_RUS_4</v>
      </c>
      <c r="AB134" t="str">
        <f t="shared" si="33"/>
        <v>Grid Extension -Russia- Step 4</v>
      </c>
      <c r="AC134" t="s">
        <v>13</v>
      </c>
      <c r="AD134" t="s">
        <v>11</v>
      </c>
      <c r="AE134" t="s">
        <v>464</v>
      </c>
      <c r="AG134" t="s">
        <v>463</v>
      </c>
      <c r="AH134" t="str">
        <f t="shared" si="44"/>
        <v>NatGrdExt_RUS_5</v>
      </c>
      <c r="AI134" t="str">
        <f t="shared" si="34"/>
        <v>Grid Extension -Russia- Step 5</v>
      </c>
      <c r="AJ134" t="s">
        <v>13</v>
      </c>
      <c r="AK134" t="s">
        <v>11</v>
      </c>
      <c r="AL134" t="s">
        <v>464</v>
      </c>
      <c r="AN134" t="s">
        <v>463</v>
      </c>
      <c r="AO134" t="str">
        <f t="shared" si="45"/>
        <v>NatGrdExt_RUS_6</v>
      </c>
      <c r="AP134" t="str">
        <f t="shared" si="35"/>
        <v>Grid Extension -Russia- Step 6</v>
      </c>
      <c r="AQ134" t="s">
        <v>13</v>
      </c>
      <c r="AR134" t="s">
        <v>11</v>
      </c>
      <c r="AS134" t="s">
        <v>464</v>
      </c>
      <c r="AU134" t="s">
        <v>463</v>
      </c>
      <c r="AV134" t="str">
        <f t="shared" si="46"/>
        <v>NatGrdExt_RUS_7</v>
      </c>
      <c r="AW134" t="str">
        <f t="shared" si="36"/>
        <v>Grid Extension -Russia- Step 7</v>
      </c>
      <c r="AX134" t="s">
        <v>13</v>
      </c>
      <c r="AY134" t="s">
        <v>11</v>
      </c>
      <c r="AZ134" t="s">
        <v>464</v>
      </c>
      <c r="BB134" t="s">
        <v>463</v>
      </c>
      <c r="BC134" t="str">
        <f t="shared" si="47"/>
        <v>NatGrdExt_RUS_8</v>
      </c>
      <c r="BD134" t="str">
        <f t="shared" si="37"/>
        <v>Grid Extension -Russia- Step 8</v>
      </c>
      <c r="BE134" t="s">
        <v>13</v>
      </c>
      <c r="BF134" t="s">
        <v>11</v>
      </c>
      <c r="BG134" t="s">
        <v>464</v>
      </c>
      <c r="BI134" t="s">
        <v>463</v>
      </c>
      <c r="BJ134" t="str">
        <f t="shared" si="48"/>
        <v>NatGrdExt_RUS_9</v>
      </c>
      <c r="BK134" t="str">
        <f t="shared" si="38"/>
        <v>Grid Extension -Russia- Step 9</v>
      </c>
      <c r="BL134" t="s">
        <v>13</v>
      </c>
      <c r="BM134" t="s">
        <v>11</v>
      </c>
      <c r="BN134" t="s">
        <v>464</v>
      </c>
      <c r="BP134" t="s">
        <v>463</v>
      </c>
      <c r="BQ134" t="str">
        <f t="shared" si="49"/>
        <v>NatGrdExt_RUS_10</v>
      </c>
      <c r="BR134" t="str">
        <f t="shared" si="39"/>
        <v>Grid Extension -Russia- Step 10</v>
      </c>
      <c r="BS134" t="s">
        <v>13</v>
      </c>
      <c r="BT134" t="s">
        <v>11</v>
      </c>
      <c r="BU134" t="s">
        <v>464</v>
      </c>
    </row>
    <row r="135" spans="1:73">
      <c r="A135" s="5" t="s">
        <v>64</v>
      </c>
      <c r="B135" s="5" t="s">
        <v>124</v>
      </c>
      <c r="E135" t="s">
        <v>463</v>
      </c>
      <c r="F135" t="str">
        <f t="shared" si="40"/>
        <v>NatGrdExt_RWA_1</v>
      </c>
      <c r="G135" t="str">
        <f t="shared" ref="G135:G172" si="50">"Grid Extension -"&amp;$B135&amp;"- Step "&amp;G$1</f>
        <v>Grid Extension -Rwanda- Step 1</v>
      </c>
      <c r="H135" t="s">
        <v>13</v>
      </c>
      <c r="I135" t="s">
        <v>11</v>
      </c>
      <c r="J135" t="s">
        <v>464</v>
      </c>
      <c r="L135" t="s">
        <v>463</v>
      </c>
      <c r="M135" t="str">
        <f t="shared" si="41"/>
        <v>NatGrdExt_RWA_2</v>
      </c>
      <c r="N135" t="str">
        <f t="shared" ref="N135:N172" si="51">"Grid Extension -"&amp;$B135&amp;"- Step "&amp;N$1</f>
        <v>Grid Extension -Rwanda- Step 2</v>
      </c>
      <c r="O135" t="s">
        <v>13</v>
      </c>
      <c r="P135" t="s">
        <v>11</v>
      </c>
      <c r="Q135" t="s">
        <v>464</v>
      </c>
      <c r="S135" t="s">
        <v>463</v>
      </c>
      <c r="T135" t="str">
        <f t="shared" si="42"/>
        <v>NatGrdExt_RWA_3</v>
      </c>
      <c r="U135" t="str">
        <f t="shared" ref="U135:U172" si="52">"Grid Extension -"&amp;$B135&amp;"- Step "&amp;U$1</f>
        <v>Grid Extension -Rwanda- Step 3</v>
      </c>
      <c r="V135" t="s">
        <v>13</v>
      </c>
      <c r="W135" t="s">
        <v>11</v>
      </c>
      <c r="X135" t="s">
        <v>464</v>
      </c>
      <c r="Z135" t="s">
        <v>463</v>
      </c>
      <c r="AA135" t="str">
        <f t="shared" si="43"/>
        <v>NatGrdExt_RWA_4</v>
      </c>
      <c r="AB135" t="str">
        <f t="shared" ref="AB135:AB172" si="53">"Grid Extension -"&amp;$B135&amp;"- Step "&amp;AB$1</f>
        <v>Grid Extension -Rwanda- Step 4</v>
      </c>
      <c r="AC135" t="s">
        <v>13</v>
      </c>
      <c r="AD135" t="s">
        <v>11</v>
      </c>
      <c r="AE135" t="s">
        <v>464</v>
      </c>
      <c r="AG135" t="s">
        <v>463</v>
      </c>
      <c r="AH135" t="str">
        <f t="shared" si="44"/>
        <v>NatGrdExt_RWA_5</v>
      </c>
      <c r="AI135" t="str">
        <f t="shared" ref="AI135:AI172" si="54">"Grid Extension -"&amp;$B135&amp;"- Step "&amp;AI$1</f>
        <v>Grid Extension -Rwanda- Step 5</v>
      </c>
      <c r="AJ135" t="s">
        <v>13</v>
      </c>
      <c r="AK135" t="s">
        <v>11</v>
      </c>
      <c r="AL135" t="s">
        <v>464</v>
      </c>
      <c r="AN135" t="s">
        <v>463</v>
      </c>
      <c r="AO135" t="str">
        <f t="shared" si="45"/>
        <v>NatGrdExt_RWA_6</v>
      </c>
      <c r="AP135" t="str">
        <f t="shared" ref="AP135:AP172" si="55">"Grid Extension -"&amp;$B135&amp;"- Step "&amp;AP$1</f>
        <v>Grid Extension -Rwanda- Step 6</v>
      </c>
      <c r="AQ135" t="s">
        <v>13</v>
      </c>
      <c r="AR135" t="s">
        <v>11</v>
      </c>
      <c r="AS135" t="s">
        <v>464</v>
      </c>
      <c r="AU135" t="s">
        <v>463</v>
      </c>
      <c r="AV135" t="str">
        <f t="shared" si="46"/>
        <v>NatGrdExt_RWA_7</v>
      </c>
      <c r="AW135" t="str">
        <f t="shared" ref="AW135:AW172" si="56">"Grid Extension -"&amp;$B135&amp;"- Step "&amp;AW$1</f>
        <v>Grid Extension -Rwanda- Step 7</v>
      </c>
      <c r="AX135" t="s">
        <v>13</v>
      </c>
      <c r="AY135" t="s">
        <v>11</v>
      </c>
      <c r="AZ135" t="s">
        <v>464</v>
      </c>
      <c r="BB135" t="s">
        <v>463</v>
      </c>
      <c r="BC135" t="str">
        <f t="shared" si="47"/>
        <v>NatGrdExt_RWA_8</v>
      </c>
      <c r="BD135" t="str">
        <f t="shared" ref="BD135:BD172" si="57">"Grid Extension -"&amp;$B135&amp;"- Step "&amp;BD$1</f>
        <v>Grid Extension -Rwanda- Step 8</v>
      </c>
      <c r="BE135" t="s">
        <v>13</v>
      </c>
      <c r="BF135" t="s">
        <v>11</v>
      </c>
      <c r="BG135" t="s">
        <v>464</v>
      </c>
      <c r="BI135" t="s">
        <v>463</v>
      </c>
      <c r="BJ135" t="str">
        <f t="shared" si="48"/>
        <v>NatGrdExt_RWA_9</v>
      </c>
      <c r="BK135" t="str">
        <f t="shared" ref="BK135:BK172" si="58">"Grid Extension -"&amp;$B135&amp;"- Step "&amp;BK$1</f>
        <v>Grid Extension -Rwanda- Step 9</v>
      </c>
      <c r="BL135" t="s">
        <v>13</v>
      </c>
      <c r="BM135" t="s">
        <v>11</v>
      </c>
      <c r="BN135" t="s">
        <v>464</v>
      </c>
      <c r="BP135" t="s">
        <v>463</v>
      </c>
      <c r="BQ135" t="str">
        <f t="shared" si="49"/>
        <v>NatGrdExt_RWA_10</v>
      </c>
      <c r="BR135" t="str">
        <f t="shared" ref="BR135:BR172" si="59">"Grid Extension -"&amp;$B135&amp;"- Step "&amp;BR$1</f>
        <v>Grid Extension -Rwanda- Step 10</v>
      </c>
      <c r="BS135" t="s">
        <v>13</v>
      </c>
      <c r="BT135" t="s">
        <v>11</v>
      </c>
      <c r="BU135" t="s">
        <v>464</v>
      </c>
    </row>
    <row r="136" spans="1:73">
      <c r="A136" s="5" t="s">
        <v>630</v>
      </c>
      <c r="B136" s="5" t="s">
        <v>631</v>
      </c>
      <c r="E136" t="s">
        <v>463</v>
      </c>
      <c r="F136" t="str">
        <f t="shared" si="40"/>
        <v>NatGrdExt_SAU_1</v>
      </c>
      <c r="G136" t="str">
        <f t="shared" si="50"/>
        <v>Grid Extension -Saudi Arabia- Step 1</v>
      </c>
      <c r="H136" t="s">
        <v>13</v>
      </c>
      <c r="I136" t="s">
        <v>11</v>
      </c>
      <c r="J136" t="s">
        <v>464</v>
      </c>
      <c r="L136" t="s">
        <v>463</v>
      </c>
      <c r="M136" t="str">
        <f t="shared" si="41"/>
        <v>NatGrdExt_SAU_2</v>
      </c>
      <c r="N136" t="str">
        <f t="shared" si="51"/>
        <v>Grid Extension -Saudi Arabia- Step 2</v>
      </c>
      <c r="O136" t="s">
        <v>13</v>
      </c>
      <c r="P136" t="s">
        <v>11</v>
      </c>
      <c r="Q136" t="s">
        <v>464</v>
      </c>
      <c r="S136" t="s">
        <v>463</v>
      </c>
      <c r="T136" t="str">
        <f t="shared" si="42"/>
        <v>NatGrdExt_SAU_3</v>
      </c>
      <c r="U136" t="str">
        <f t="shared" si="52"/>
        <v>Grid Extension -Saudi Arabia- Step 3</v>
      </c>
      <c r="V136" t="s">
        <v>13</v>
      </c>
      <c r="W136" t="s">
        <v>11</v>
      </c>
      <c r="X136" t="s">
        <v>464</v>
      </c>
      <c r="Z136" t="s">
        <v>463</v>
      </c>
      <c r="AA136" t="str">
        <f t="shared" si="43"/>
        <v>NatGrdExt_SAU_4</v>
      </c>
      <c r="AB136" t="str">
        <f t="shared" si="53"/>
        <v>Grid Extension -Saudi Arabia- Step 4</v>
      </c>
      <c r="AC136" t="s">
        <v>13</v>
      </c>
      <c r="AD136" t="s">
        <v>11</v>
      </c>
      <c r="AE136" t="s">
        <v>464</v>
      </c>
      <c r="AG136" t="s">
        <v>463</v>
      </c>
      <c r="AH136" t="str">
        <f t="shared" si="44"/>
        <v>NatGrdExt_SAU_5</v>
      </c>
      <c r="AI136" t="str">
        <f t="shared" si="54"/>
        <v>Grid Extension -Saudi Arabia- Step 5</v>
      </c>
      <c r="AJ136" t="s">
        <v>13</v>
      </c>
      <c r="AK136" t="s">
        <v>11</v>
      </c>
      <c r="AL136" t="s">
        <v>464</v>
      </c>
      <c r="AN136" t="s">
        <v>463</v>
      </c>
      <c r="AO136" t="str">
        <f t="shared" si="45"/>
        <v>NatGrdExt_SAU_6</v>
      </c>
      <c r="AP136" t="str">
        <f t="shared" si="55"/>
        <v>Grid Extension -Saudi Arabia- Step 6</v>
      </c>
      <c r="AQ136" t="s">
        <v>13</v>
      </c>
      <c r="AR136" t="s">
        <v>11</v>
      </c>
      <c r="AS136" t="s">
        <v>464</v>
      </c>
      <c r="AU136" t="s">
        <v>463</v>
      </c>
      <c r="AV136" t="str">
        <f t="shared" si="46"/>
        <v>NatGrdExt_SAU_7</v>
      </c>
      <c r="AW136" t="str">
        <f t="shared" si="56"/>
        <v>Grid Extension -Saudi Arabia- Step 7</v>
      </c>
      <c r="AX136" t="s">
        <v>13</v>
      </c>
      <c r="AY136" t="s">
        <v>11</v>
      </c>
      <c r="AZ136" t="s">
        <v>464</v>
      </c>
      <c r="BB136" t="s">
        <v>463</v>
      </c>
      <c r="BC136" t="str">
        <f t="shared" si="47"/>
        <v>NatGrdExt_SAU_8</v>
      </c>
      <c r="BD136" t="str">
        <f t="shared" si="57"/>
        <v>Grid Extension -Saudi Arabia- Step 8</v>
      </c>
      <c r="BE136" t="s">
        <v>13</v>
      </c>
      <c r="BF136" t="s">
        <v>11</v>
      </c>
      <c r="BG136" t="s">
        <v>464</v>
      </c>
      <c r="BI136" t="s">
        <v>463</v>
      </c>
      <c r="BJ136" t="str">
        <f t="shared" si="48"/>
        <v>NatGrdExt_SAU_9</v>
      </c>
      <c r="BK136" t="str">
        <f t="shared" si="58"/>
        <v>Grid Extension -Saudi Arabia- Step 9</v>
      </c>
      <c r="BL136" t="s">
        <v>13</v>
      </c>
      <c r="BM136" t="s">
        <v>11</v>
      </c>
      <c r="BN136" t="s">
        <v>464</v>
      </c>
      <c r="BP136" t="s">
        <v>463</v>
      </c>
      <c r="BQ136" t="str">
        <f t="shared" si="49"/>
        <v>NatGrdExt_SAU_10</v>
      </c>
      <c r="BR136" t="str">
        <f t="shared" si="59"/>
        <v>Grid Extension -Saudi Arabia- Step 10</v>
      </c>
      <c r="BS136" t="s">
        <v>13</v>
      </c>
      <c r="BT136" t="s">
        <v>11</v>
      </c>
      <c r="BU136" t="s">
        <v>464</v>
      </c>
    </row>
    <row r="137" spans="1:73">
      <c r="A137" s="5" t="s">
        <v>65</v>
      </c>
      <c r="B137" s="5" t="s">
        <v>125</v>
      </c>
      <c r="E137" t="s">
        <v>463</v>
      </c>
      <c r="F137" t="str">
        <f t="shared" si="40"/>
        <v>NatGrdExt_SEN_1</v>
      </c>
      <c r="G137" t="str">
        <f t="shared" si="50"/>
        <v>Grid Extension -Senegal- Step 1</v>
      </c>
      <c r="H137" t="s">
        <v>13</v>
      </c>
      <c r="I137" t="s">
        <v>11</v>
      </c>
      <c r="J137" t="s">
        <v>464</v>
      </c>
      <c r="L137" t="s">
        <v>463</v>
      </c>
      <c r="M137" t="str">
        <f t="shared" si="41"/>
        <v>NatGrdExt_SEN_2</v>
      </c>
      <c r="N137" t="str">
        <f t="shared" si="51"/>
        <v>Grid Extension -Senegal- Step 2</v>
      </c>
      <c r="O137" t="s">
        <v>13</v>
      </c>
      <c r="P137" t="s">
        <v>11</v>
      </c>
      <c r="Q137" t="s">
        <v>464</v>
      </c>
      <c r="S137" t="s">
        <v>463</v>
      </c>
      <c r="T137" t="str">
        <f t="shared" si="42"/>
        <v>NatGrdExt_SEN_3</v>
      </c>
      <c r="U137" t="str">
        <f t="shared" si="52"/>
        <v>Grid Extension -Senegal- Step 3</v>
      </c>
      <c r="V137" t="s">
        <v>13</v>
      </c>
      <c r="W137" t="s">
        <v>11</v>
      </c>
      <c r="X137" t="s">
        <v>464</v>
      </c>
      <c r="Z137" t="s">
        <v>463</v>
      </c>
      <c r="AA137" t="str">
        <f t="shared" si="43"/>
        <v>NatGrdExt_SEN_4</v>
      </c>
      <c r="AB137" t="str">
        <f t="shared" si="53"/>
        <v>Grid Extension -Senegal- Step 4</v>
      </c>
      <c r="AC137" t="s">
        <v>13</v>
      </c>
      <c r="AD137" t="s">
        <v>11</v>
      </c>
      <c r="AE137" t="s">
        <v>464</v>
      </c>
      <c r="AG137" t="s">
        <v>463</v>
      </c>
      <c r="AH137" t="str">
        <f t="shared" si="44"/>
        <v>NatGrdExt_SEN_5</v>
      </c>
      <c r="AI137" t="str">
        <f t="shared" si="54"/>
        <v>Grid Extension -Senegal- Step 5</v>
      </c>
      <c r="AJ137" t="s">
        <v>13</v>
      </c>
      <c r="AK137" t="s">
        <v>11</v>
      </c>
      <c r="AL137" t="s">
        <v>464</v>
      </c>
      <c r="AN137" t="s">
        <v>463</v>
      </c>
      <c r="AO137" t="str">
        <f t="shared" si="45"/>
        <v>NatGrdExt_SEN_6</v>
      </c>
      <c r="AP137" t="str">
        <f t="shared" si="55"/>
        <v>Grid Extension -Senegal- Step 6</v>
      </c>
      <c r="AQ137" t="s">
        <v>13</v>
      </c>
      <c r="AR137" t="s">
        <v>11</v>
      </c>
      <c r="AS137" t="s">
        <v>464</v>
      </c>
      <c r="AU137" t="s">
        <v>463</v>
      </c>
      <c r="AV137" t="str">
        <f t="shared" si="46"/>
        <v>NatGrdExt_SEN_7</v>
      </c>
      <c r="AW137" t="str">
        <f t="shared" si="56"/>
        <v>Grid Extension -Senegal- Step 7</v>
      </c>
      <c r="AX137" t="s">
        <v>13</v>
      </c>
      <c r="AY137" t="s">
        <v>11</v>
      </c>
      <c r="AZ137" t="s">
        <v>464</v>
      </c>
      <c r="BB137" t="s">
        <v>463</v>
      </c>
      <c r="BC137" t="str">
        <f t="shared" si="47"/>
        <v>NatGrdExt_SEN_8</v>
      </c>
      <c r="BD137" t="str">
        <f t="shared" si="57"/>
        <v>Grid Extension -Senegal- Step 8</v>
      </c>
      <c r="BE137" t="s">
        <v>13</v>
      </c>
      <c r="BF137" t="s">
        <v>11</v>
      </c>
      <c r="BG137" t="s">
        <v>464</v>
      </c>
      <c r="BI137" t="s">
        <v>463</v>
      </c>
      <c r="BJ137" t="str">
        <f t="shared" si="48"/>
        <v>NatGrdExt_SEN_9</v>
      </c>
      <c r="BK137" t="str">
        <f t="shared" si="58"/>
        <v>Grid Extension -Senegal- Step 9</v>
      </c>
      <c r="BL137" t="s">
        <v>13</v>
      </c>
      <c r="BM137" t="s">
        <v>11</v>
      </c>
      <c r="BN137" t="s">
        <v>464</v>
      </c>
      <c r="BP137" t="s">
        <v>463</v>
      </c>
      <c r="BQ137" t="str">
        <f t="shared" si="49"/>
        <v>NatGrdExt_SEN_10</v>
      </c>
      <c r="BR137" t="str">
        <f t="shared" si="59"/>
        <v>Grid Extension -Senegal- Step 10</v>
      </c>
      <c r="BS137" t="s">
        <v>13</v>
      </c>
      <c r="BT137" t="s">
        <v>11</v>
      </c>
      <c r="BU137" t="s">
        <v>464</v>
      </c>
    </row>
    <row r="138" spans="1:73">
      <c r="A138" s="5" t="s">
        <v>66</v>
      </c>
      <c r="B138" s="5" t="s">
        <v>126</v>
      </c>
      <c r="E138" t="s">
        <v>463</v>
      </c>
      <c r="F138" t="str">
        <f t="shared" si="40"/>
        <v>NatGrdExt_SLE_1</v>
      </c>
      <c r="G138" t="str">
        <f t="shared" si="50"/>
        <v>Grid Extension -Sierra Leone- Step 1</v>
      </c>
      <c r="H138" t="s">
        <v>13</v>
      </c>
      <c r="I138" t="s">
        <v>11</v>
      </c>
      <c r="J138" t="s">
        <v>464</v>
      </c>
      <c r="L138" t="s">
        <v>463</v>
      </c>
      <c r="M138" t="str">
        <f t="shared" si="41"/>
        <v>NatGrdExt_SLE_2</v>
      </c>
      <c r="N138" t="str">
        <f t="shared" si="51"/>
        <v>Grid Extension -Sierra Leone- Step 2</v>
      </c>
      <c r="O138" t="s">
        <v>13</v>
      </c>
      <c r="P138" t="s">
        <v>11</v>
      </c>
      <c r="Q138" t="s">
        <v>464</v>
      </c>
      <c r="S138" t="s">
        <v>463</v>
      </c>
      <c r="T138" t="str">
        <f t="shared" si="42"/>
        <v>NatGrdExt_SLE_3</v>
      </c>
      <c r="U138" t="str">
        <f t="shared" si="52"/>
        <v>Grid Extension -Sierra Leone- Step 3</v>
      </c>
      <c r="V138" t="s">
        <v>13</v>
      </c>
      <c r="W138" t="s">
        <v>11</v>
      </c>
      <c r="X138" t="s">
        <v>464</v>
      </c>
      <c r="Z138" t="s">
        <v>463</v>
      </c>
      <c r="AA138" t="str">
        <f t="shared" si="43"/>
        <v>NatGrdExt_SLE_4</v>
      </c>
      <c r="AB138" t="str">
        <f t="shared" si="53"/>
        <v>Grid Extension -Sierra Leone- Step 4</v>
      </c>
      <c r="AC138" t="s">
        <v>13</v>
      </c>
      <c r="AD138" t="s">
        <v>11</v>
      </c>
      <c r="AE138" t="s">
        <v>464</v>
      </c>
      <c r="AG138" t="s">
        <v>463</v>
      </c>
      <c r="AH138" t="str">
        <f t="shared" si="44"/>
        <v>NatGrdExt_SLE_5</v>
      </c>
      <c r="AI138" t="str">
        <f t="shared" si="54"/>
        <v>Grid Extension -Sierra Leone- Step 5</v>
      </c>
      <c r="AJ138" t="s">
        <v>13</v>
      </c>
      <c r="AK138" t="s">
        <v>11</v>
      </c>
      <c r="AL138" t="s">
        <v>464</v>
      </c>
      <c r="AN138" t="s">
        <v>463</v>
      </c>
      <c r="AO138" t="str">
        <f t="shared" si="45"/>
        <v>NatGrdExt_SLE_6</v>
      </c>
      <c r="AP138" t="str">
        <f t="shared" si="55"/>
        <v>Grid Extension -Sierra Leone- Step 6</v>
      </c>
      <c r="AQ138" t="s">
        <v>13</v>
      </c>
      <c r="AR138" t="s">
        <v>11</v>
      </c>
      <c r="AS138" t="s">
        <v>464</v>
      </c>
      <c r="AU138" t="s">
        <v>463</v>
      </c>
      <c r="AV138" t="str">
        <f t="shared" si="46"/>
        <v>NatGrdExt_SLE_7</v>
      </c>
      <c r="AW138" t="str">
        <f t="shared" si="56"/>
        <v>Grid Extension -Sierra Leone- Step 7</v>
      </c>
      <c r="AX138" t="s">
        <v>13</v>
      </c>
      <c r="AY138" t="s">
        <v>11</v>
      </c>
      <c r="AZ138" t="s">
        <v>464</v>
      </c>
      <c r="BB138" t="s">
        <v>463</v>
      </c>
      <c r="BC138" t="str">
        <f t="shared" si="47"/>
        <v>NatGrdExt_SLE_8</v>
      </c>
      <c r="BD138" t="str">
        <f t="shared" si="57"/>
        <v>Grid Extension -Sierra Leone- Step 8</v>
      </c>
      <c r="BE138" t="s">
        <v>13</v>
      </c>
      <c r="BF138" t="s">
        <v>11</v>
      </c>
      <c r="BG138" t="s">
        <v>464</v>
      </c>
      <c r="BI138" t="s">
        <v>463</v>
      </c>
      <c r="BJ138" t="str">
        <f t="shared" si="48"/>
        <v>NatGrdExt_SLE_9</v>
      </c>
      <c r="BK138" t="str">
        <f t="shared" si="58"/>
        <v>Grid Extension -Sierra Leone- Step 9</v>
      </c>
      <c r="BL138" t="s">
        <v>13</v>
      </c>
      <c r="BM138" t="s">
        <v>11</v>
      </c>
      <c r="BN138" t="s">
        <v>464</v>
      </c>
      <c r="BP138" t="s">
        <v>463</v>
      </c>
      <c r="BQ138" t="str">
        <f t="shared" si="49"/>
        <v>NatGrdExt_SLE_10</v>
      </c>
      <c r="BR138" t="str">
        <f t="shared" si="59"/>
        <v>Grid Extension -Sierra Leone- Step 10</v>
      </c>
      <c r="BS138" t="s">
        <v>13</v>
      </c>
      <c r="BT138" t="s">
        <v>11</v>
      </c>
      <c r="BU138" t="s">
        <v>464</v>
      </c>
    </row>
    <row r="139" spans="1:73">
      <c r="A139" s="5" t="s">
        <v>67</v>
      </c>
      <c r="B139" s="5" t="s">
        <v>127</v>
      </c>
      <c r="E139" t="s">
        <v>463</v>
      </c>
      <c r="F139" t="str">
        <f t="shared" si="40"/>
        <v>NatGrdExt_SLV_1</v>
      </c>
      <c r="G139" t="str">
        <f t="shared" si="50"/>
        <v>Grid Extension -El Salvador- Step 1</v>
      </c>
      <c r="H139" t="s">
        <v>13</v>
      </c>
      <c r="I139" t="s">
        <v>11</v>
      </c>
      <c r="J139" t="s">
        <v>464</v>
      </c>
      <c r="L139" t="s">
        <v>463</v>
      </c>
      <c r="M139" t="str">
        <f t="shared" si="41"/>
        <v>NatGrdExt_SLV_2</v>
      </c>
      <c r="N139" t="str">
        <f t="shared" si="51"/>
        <v>Grid Extension -El Salvador- Step 2</v>
      </c>
      <c r="O139" t="s">
        <v>13</v>
      </c>
      <c r="P139" t="s">
        <v>11</v>
      </c>
      <c r="Q139" t="s">
        <v>464</v>
      </c>
      <c r="S139" t="s">
        <v>463</v>
      </c>
      <c r="T139" t="str">
        <f t="shared" si="42"/>
        <v>NatGrdExt_SLV_3</v>
      </c>
      <c r="U139" t="str">
        <f t="shared" si="52"/>
        <v>Grid Extension -El Salvador- Step 3</v>
      </c>
      <c r="V139" t="s">
        <v>13</v>
      </c>
      <c r="W139" t="s">
        <v>11</v>
      </c>
      <c r="X139" t="s">
        <v>464</v>
      </c>
      <c r="Z139" t="s">
        <v>463</v>
      </c>
      <c r="AA139" t="str">
        <f t="shared" si="43"/>
        <v>NatGrdExt_SLV_4</v>
      </c>
      <c r="AB139" t="str">
        <f t="shared" si="53"/>
        <v>Grid Extension -El Salvador- Step 4</v>
      </c>
      <c r="AC139" t="s">
        <v>13</v>
      </c>
      <c r="AD139" t="s">
        <v>11</v>
      </c>
      <c r="AE139" t="s">
        <v>464</v>
      </c>
      <c r="AG139" t="s">
        <v>463</v>
      </c>
      <c r="AH139" t="str">
        <f t="shared" si="44"/>
        <v>NatGrdExt_SLV_5</v>
      </c>
      <c r="AI139" t="str">
        <f t="shared" si="54"/>
        <v>Grid Extension -El Salvador- Step 5</v>
      </c>
      <c r="AJ139" t="s">
        <v>13</v>
      </c>
      <c r="AK139" t="s">
        <v>11</v>
      </c>
      <c r="AL139" t="s">
        <v>464</v>
      </c>
      <c r="AN139" t="s">
        <v>463</v>
      </c>
      <c r="AO139" t="str">
        <f t="shared" si="45"/>
        <v>NatGrdExt_SLV_6</v>
      </c>
      <c r="AP139" t="str">
        <f t="shared" si="55"/>
        <v>Grid Extension -El Salvador- Step 6</v>
      </c>
      <c r="AQ139" t="s">
        <v>13</v>
      </c>
      <c r="AR139" t="s">
        <v>11</v>
      </c>
      <c r="AS139" t="s">
        <v>464</v>
      </c>
      <c r="AU139" t="s">
        <v>463</v>
      </c>
      <c r="AV139" t="str">
        <f t="shared" si="46"/>
        <v>NatGrdExt_SLV_7</v>
      </c>
      <c r="AW139" t="str">
        <f t="shared" si="56"/>
        <v>Grid Extension -El Salvador- Step 7</v>
      </c>
      <c r="AX139" t="s">
        <v>13</v>
      </c>
      <c r="AY139" t="s">
        <v>11</v>
      </c>
      <c r="AZ139" t="s">
        <v>464</v>
      </c>
      <c r="BB139" t="s">
        <v>463</v>
      </c>
      <c r="BC139" t="str">
        <f t="shared" si="47"/>
        <v>NatGrdExt_SLV_8</v>
      </c>
      <c r="BD139" t="str">
        <f t="shared" si="57"/>
        <v>Grid Extension -El Salvador- Step 8</v>
      </c>
      <c r="BE139" t="s">
        <v>13</v>
      </c>
      <c r="BF139" t="s">
        <v>11</v>
      </c>
      <c r="BG139" t="s">
        <v>464</v>
      </c>
      <c r="BI139" t="s">
        <v>463</v>
      </c>
      <c r="BJ139" t="str">
        <f t="shared" si="48"/>
        <v>NatGrdExt_SLV_9</v>
      </c>
      <c r="BK139" t="str">
        <f t="shared" si="58"/>
        <v>Grid Extension -El Salvador- Step 9</v>
      </c>
      <c r="BL139" t="s">
        <v>13</v>
      </c>
      <c r="BM139" t="s">
        <v>11</v>
      </c>
      <c r="BN139" t="s">
        <v>464</v>
      </c>
      <c r="BP139" t="s">
        <v>463</v>
      </c>
      <c r="BQ139" t="str">
        <f t="shared" si="49"/>
        <v>NatGrdExt_SLV_10</v>
      </c>
      <c r="BR139" t="str">
        <f t="shared" si="59"/>
        <v>Grid Extension -El Salvador- Step 10</v>
      </c>
      <c r="BS139" t="s">
        <v>13</v>
      </c>
      <c r="BT139" t="s">
        <v>11</v>
      </c>
      <c r="BU139" t="s">
        <v>464</v>
      </c>
    </row>
    <row r="140" spans="1:73">
      <c r="A140" s="5" t="s">
        <v>632</v>
      </c>
      <c r="B140" s="5" t="s">
        <v>633</v>
      </c>
      <c r="E140" t="s">
        <v>463</v>
      </c>
      <c r="F140" t="str">
        <f t="shared" si="40"/>
        <v>NatGrdExt_SOM_1</v>
      </c>
      <c r="G140" t="str">
        <f t="shared" si="50"/>
        <v>Grid Extension -Somalia- Step 1</v>
      </c>
      <c r="H140" t="s">
        <v>13</v>
      </c>
      <c r="I140" t="s">
        <v>11</v>
      </c>
      <c r="J140" t="s">
        <v>464</v>
      </c>
      <c r="L140" t="s">
        <v>463</v>
      </c>
      <c r="M140" t="str">
        <f t="shared" si="41"/>
        <v>NatGrdExt_SOM_2</v>
      </c>
      <c r="N140" t="str">
        <f t="shared" si="51"/>
        <v>Grid Extension -Somalia- Step 2</v>
      </c>
      <c r="O140" t="s">
        <v>13</v>
      </c>
      <c r="P140" t="s">
        <v>11</v>
      </c>
      <c r="Q140" t="s">
        <v>464</v>
      </c>
      <c r="S140" t="s">
        <v>463</v>
      </c>
      <c r="T140" t="str">
        <f t="shared" si="42"/>
        <v>NatGrdExt_SOM_3</v>
      </c>
      <c r="U140" t="str">
        <f t="shared" si="52"/>
        <v>Grid Extension -Somalia- Step 3</v>
      </c>
      <c r="V140" t="s">
        <v>13</v>
      </c>
      <c r="W140" t="s">
        <v>11</v>
      </c>
      <c r="X140" t="s">
        <v>464</v>
      </c>
      <c r="Z140" t="s">
        <v>463</v>
      </c>
      <c r="AA140" t="str">
        <f t="shared" si="43"/>
        <v>NatGrdExt_SOM_4</v>
      </c>
      <c r="AB140" t="str">
        <f t="shared" si="53"/>
        <v>Grid Extension -Somalia- Step 4</v>
      </c>
      <c r="AC140" t="s">
        <v>13</v>
      </c>
      <c r="AD140" t="s">
        <v>11</v>
      </c>
      <c r="AE140" t="s">
        <v>464</v>
      </c>
      <c r="AG140" t="s">
        <v>463</v>
      </c>
      <c r="AH140" t="str">
        <f t="shared" si="44"/>
        <v>NatGrdExt_SOM_5</v>
      </c>
      <c r="AI140" t="str">
        <f t="shared" si="54"/>
        <v>Grid Extension -Somalia- Step 5</v>
      </c>
      <c r="AJ140" t="s">
        <v>13</v>
      </c>
      <c r="AK140" t="s">
        <v>11</v>
      </c>
      <c r="AL140" t="s">
        <v>464</v>
      </c>
      <c r="AN140" t="s">
        <v>463</v>
      </c>
      <c r="AO140" t="str">
        <f t="shared" si="45"/>
        <v>NatGrdExt_SOM_6</v>
      </c>
      <c r="AP140" t="str">
        <f t="shared" si="55"/>
        <v>Grid Extension -Somalia- Step 6</v>
      </c>
      <c r="AQ140" t="s">
        <v>13</v>
      </c>
      <c r="AR140" t="s">
        <v>11</v>
      </c>
      <c r="AS140" t="s">
        <v>464</v>
      </c>
      <c r="AU140" t="s">
        <v>463</v>
      </c>
      <c r="AV140" t="str">
        <f t="shared" si="46"/>
        <v>NatGrdExt_SOM_7</v>
      </c>
      <c r="AW140" t="str">
        <f t="shared" si="56"/>
        <v>Grid Extension -Somalia- Step 7</v>
      </c>
      <c r="AX140" t="s">
        <v>13</v>
      </c>
      <c r="AY140" t="s">
        <v>11</v>
      </c>
      <c r="AZ140" t="s">
        <v>464</v>
      </c>
      <c r="BB140" t="s">
        <v>463</v>
      </c>
      <c r="BC140" t="str">
        <f t="shared" si="47"/>
        <v>NatGrdExt_SOM_8</v>
      </c>
      <c r="BD140" t="str">
        <f t="shared" si="57"/>
        <v>Grid Extension -Somalia- Step 8</v>
      </c>
      <c r="BE140" t="s">
        <v>13</v>
      </c>
      <c r="BF140" t="s">
        <v>11</v>
      </c>
      <c r="BG140" t="s">
        <v>464</v>
      </c>
      <c r="BI140" t="s">
        <v>463</v>
      </c>
      <c r="BJ140" t="str">
        <f t="shared" si="48"/>
        <v>NatGrdExt_SOM_9</v>
      </c>
      <c r="BK140" t="str">
        <f t="shared" si="58"/>
        <v>Grid Extension -Somalia- Step 9</v>
      </c>
      <c r="BL140" t="s">
        <v>13</v>
      </c>
      <c r="BM140" t="s">
        <v>11</v>
      </c>
      <c r="BN140" t="s">
        <v>464</v>
      </c>
      <c r="BP140" t="s">
        <v>463</v>
      </c>
      <c r="BQ140" t="str">
        <f t="shared" si="49"/>
        <v>NatGrdExt_SOM_10</v>
      </c>
      <c r="BR140" t="str">
        <f t="shared" si="59"/>
        <v>Grid Extension -Somalia- Step 10</v>
      </c>
      <c r="BS140" t="s">
        <v>13</v>
      </c>
      <c r="BT140" t="s">
        <v>11</v>
      </c>
      <c r="BU140" t="s">
        <v>464</v>
      </c>
    </row>
    <row r="141" spans="1:73">
      <c r="A141" s="5" t="s">
        <v>634</v>
      </c>
      <c r="B141" s="5" t="s">
        <v>635</v>
      </c>
      <c r="E141" t="s">
        <v>463</v>
      </c>
      <c r="F141" t="str">
        <f t="shared" si="40"/>
        <v>NatGrdExt_SRB_1</v>
      </c>
      <c r="G141" t="str">
        <f t="shared" si="50"/>
        <v>Grid Extension -Serbia- Step 1</v>
      </c>
      <c r="H141" t="s">
        <v>13</v>
      </c>
      <c r="I141" t="s">
        <v>11</v>
      </c>
      <c r="J141" t="s">
        <v>464</v>
      </c>
      <c r="L141" t="s">
        <v>463</v>
      </c>
      <c r="M141" t="str">
        <f t="shared" si="41"/>
        <v>NatGrdExt_SRB_2</v>
      </c>
      <c r="N141" t="str">
        <f t="shared" si="51"/>
        <v>Grid Extension -Serbia- Step 2</v>
      </c>
      <c r="O141" t="s">
        <v>13</v>
      </c>
      <c r="P141" t="s">
        <v>11</v>
      </c>
      <c r="Q141" t="s">
        <v>464</v>
      </c>
      <c r="S141" t="s">
        <v>463</v>
      </c>
      <c r="T141" t="str">
        <f t="shared" si="42"/>
        <v>NatGrdExt_SRB_3</v>
      </c>
      <c r="U141" t="str">
        <f t="shared" si="52"/>
        <v>Grid Extension -Serbia- Step 3</v>
      </c>
      <c r="V141" t="s">
        <v>13</v>
      </c>
      <c r="W141" t="s">
        <v>11</v>
      </c>
      <c r="X141" t="s">
        <v>464</v>
      </c>
      <c r="Z141" t="s">
        <v>463</v>
      </c>
      <c r="AA141" t="str">
        <f t="shared" si="43"/>
        <v>NatGrdExt_SRB_4</v>
      </c>
      <c r="AB141" t="str">
        <f t="shared" si="53"/>
        <v>Grid Extension -Serbia- Step 4</v>
      </c>
      <c r="AC141" t="s">
        <v>13</v>
      </c>
      <c r="AD141" t="s">
        <v>11</v>
      </c>
      <c r="AE141" t="s">
        <v>464</v>
      </c>
      <c r="AG141" t="s">
        <v>463</v>
      </c>
      <c r="AH141" t="str">
        <f t="shared" si="44"/>
        <v>NatGrdExt_SRB_5</v>
      </c>
      <c r="AI141" t="str">
        <f t="shared" si="54"/>
        <v>Grid Extension -Serbia- Step 5</v>
      </c>
      <c r="AJ141" t="s">
        <v>13</v>
      </c>
      <c r="AK141" t="s">
        <v>11</v>
      </c>
      <c r="AL141" t="s">
        <v>464</v>
      </c>
      <c r="AN141" t="s">
        <v>463</v>
      </c>
      <c r="AO141" t="str">
        <f t="shared" si="45"/>
        <v>NatGrdExt_SRB_6</v>
      </c>
      <c r="AP141" t="str">
        <f t="shared" si="55"/>
        <v>Grid Extension -Serbia- Step 6</v>
      </c>
      <c r="AQ141" t="s">
        <v>13</v>
      </c>
      <c r="AR141" t="s">
        <v>11</v>
      </c>
      <c r="AS141" t="s">
        <v>464</v>
      </c>
      <c r="AU141" t="s">
        <v>463</v>
      </c>
      <c r="AV141" t="str">
        <f t="shared" si="46"/>
        <v>NatGrdExt_SRB_7</v>
      </c>
      <c r="AW141" t="str">
        <f t="shared" si="56"/>
        <v>Grid Extension -Serbia- Step 7</v>
      </c>
      <c r="AX141" t="s">
        <v>13</v>
      </c>
      <c r="AY141" t="s">
        <v>11</v>
      </c>
      <c r="AZ141" t="s">
        <v>464</v>
      </c>
      <c r="BB141" t="s">
        <v>463</v>
      </c>
      <c r="BC141" t="str">
        <f t="shared" si="47"/>
        <v>NatGrdExt_SRB_8</v>
      </c>
      <c r="BD141" t="str">
        <f t="shared" si="57"/>
        <v>Grid Extension -Serbia- Step 8</v>
      </c>
      <c r="BE141" t="s">
        <v>13</v>
      </c>
      <c r="BF141" t="s">
        <v>11</v>
      </c>
      <c r="BG141" t="s">
        <v>464</v>
      </c>
      <c r="BI141" t="s">
        <v>463</v>
      </c>
      <c r="BJ141" t="str">
        <f t="shared" si="48"/>
        <v>NatGrdExt_SRB_9</v>
      </c>
      <c r="BK141" t="str">
        <f t="shared" si="58"/>
        <v>Grid Extension -Serbia- Step 9</v>
      </c>
      <c r="BL141" t="s">
        <v>13</v>
      </c>
      <c r="BM141" t="s">
        <v>11</v>
      </c>
      <c r="BN141" t="s">
        <v>464</v>
      </c>
      <c r="BP141" t="s">
        <v>463</v>
      </c>
      <c r="BQ141" t="str">
        <f t="shared" si="49"/>
        <v>NatGrdExt_SRB_10</v>
      </c>
      <c r="BR141" t="str">
        <f t="shared" si="59"/>
        <v>Grid Extension -Serbia- Step 10</v>
      </c>
      <c r="BS141" t="s">
        <v>13</v>
      </c>
      <c r="BT141" t="s">
        <v>11</v>
      </c>
      <c r="BU141" t="s">
        <v>464</v>
      </c>
    </row>
    <row r="142" spans="1:73">
      <c r="A142" s="5" t="s">
        <v>636</v>
      </c>
      <c r="B142" s="5" t="s">
        <v>637</v>
      </c>
      <c r="E142" t="s">
        <v>463</v>
      </c>
      <c r="F142" t="str">
        <f t="shared" si="40"/>
        <v>NatGrdExt_SSD_1</v>
      </c>
      <c r="G142" t="str">
        <f t="shared" si="50"/>
        <v>Grid Extension -South Sudan- Step 1</v>
      </c>
      <c r="H142" t="s">
        <v>13</v>
      </c>
      <c r="I142" t="s">
        <v>11</v>
      </c>
      <c r="J142" t="s">
        <v>464</v>
      </c>
      <c r="L142" t="s">
        <v>463</v>
      </c>
      <c r="M142" t="str">
        <f t="shared" si="41"/>
        <v>NatGrdExt_SSD_2</v>
      </c>
      <c r="N142" t="str">
        <f t="shared" si="51"/>
        <v>Grid Extension -South Sudan- Step 2</v>
      </c>
      <c r="O142" t="s">
        <v>13</v>
      </c>
      <c r="P142" t="s">
        <v>11</v>
      </c>
      <c r="Q142" t="s">
        <v>464</v>
      </c>
      <c r="S142" t="s">
        <v>463</v>
      </c>
      <c r="T142" t="str">
        <f t="shared" si="42"/>
        <v>NatGrdExt_SSD_3</v>
      </c>
      <c r="U142" t="str">
        <f t="shared" si="52"/>
        <v>Grid Extension -South Sudan- Step 3</v>
      </c>
      <c r="V142" t="s">
        <v>13</v>
      </c>
      <c r="W142" t="s">
        <v>11</v>
      </c>
      <c r="X142" t="s">
        <v>464</v>
      </c>
      <c r="Z142" t="s">
        <v>463</v>
      </c>
      <c r="AA142" t="str">
        <f t="shared" si="43"/>
        <v>NatGrdExt_SSD_4</v>
      </c>
      <c r="AB142" t="str">
        <f t="shared" si="53"/>
        <v>Grid Extension -South Sudan- Step 4</v>
      </c>
      <c r="AC142" t="s">
        <v>13</v>
      </c>
      <c r="AD142" t="s">
        <v>11</v>
      </c>
      <c r="AE142" t="s">
        <v>464</v>
      </c>
      <c r="AG142" t="s">
        <v>463</v>
      </c>
      <c r="AH142" t="str">
        <f t="shared" si="44"/>
        <v>NatGrdExt_SSD_5</v>
      </c>
      <c r="AI142" t="str">
        <f t="shared" si="54"/>
        <v>Grid Extension -South Sudan- Step 5</v>
      </c>
      <c r="AJ142" t="s">
        <v>13</v>
      </c>
      <c r="AK142" t="s">
        <v>11</v>
      </c>
      <c r="AL142" t="s">
        <v>464</v>
      </c>
      <c r="AN142" t="s">
        <v>463</v>
      </c>
      <c r="AO142" t="str">
        <f t="shared" si="45"/>
        <v>NatGrdExt_SSD_6</v>
      </c>
      <c r="AP142" t="str">
        <f t="shared" si="55"/>
        <v>Grid Extension -South Sudan- Step 6</v>
      </c>
      <c r="AQ142" t="s">
        <v>13</v>
      </c>
      <c r="AR142" t="s">
        <v>11</v>
      </c>
      <c r="AS142" t="s">
        <v>464</v>
      </c>
      <c r="AU142" t="s">
        <v>463</v>
      </c>
      <c r="AV142" t="str">
        <f t="shared" si="46"/>
        <v>NatGrdExt_SSD_7</v>
      </c>
      <c r="AW142" t="str">
        <f t="shared" si="56"/>
        <v>Grid Extension -South Sudan- Step 7</v>
      </c>
      <c r="AX142" t="s">
        <v>13</v>
      </c>
      <c r="AY142" t="s">
        <v>11</v>
      </c>
      <c r="AZ142" t="s">
        <v>464</v>
      </c>
      <c r="BB142" t="s">
        <v>463</v>
      </c>
      <c r="BC142" t="str">
        <f t="shared" si="47"/>
        <v>NatGrdExt_SSD_8</v>
      </c>
      <c r="BD142" t="str">
        <f t="shared" si="57"/>
        <v>Grid Extension -South Sudan- Step 8</v>
      </c>
      <c r="BE142" t="s">
        <v>13</v>
      </c>
      <c r="BF142" t="s">
        <v>11</v>
      </c>
      <c r="BG142" t="s">
        <v>464</v>
      </c>
      <c r="BI142" t="s">
        <v>463</v>
      </c>
      <c r="BJ142" t="str">
        <f t="shared" si="48"/>
        <v>NatGrdExt_SSD_9</v>
      </c>
      <c r="BK142" t="str">
        <f t="shared" si="58"/>
        <v>Grid Extension -South Sudan- Step 9</v>
      </c>
      <c r="BL142" t="s">
        <v>13</v>
      </c>
      <c r="BM142" t="s">
        <v>11</v>
      </c>
      <c r="BN142" t="s">
        <v>464</v>
      </c>
      <c r="BP142" t="s">
        <v>463</v>
      </c>
      <c r="BQ142" t="str">
        <f t="shared" si="49"/>
        <v>NatGrdExt_SSD_10</v>
      </c>
      <c r="BR142" t="str">
        <f t="shared" si="59"/>
        <v>Grid Extension -South Sudan- Step 10</v>
      </c>
      <c r="BS142" t="s">
        <v>13</v>
      </c>
      <c r="BT142" t="s">
        <v>11</v>
      </c>
      <c r="BU142" t="s">
        <v>464</v>
      </c>
    </row>
    <row r="143" spans="1:73">
      <c r="A143" s="5" t="s">
        <v>68</v>
      </c>
      <c r="B143" s="5" t="s">
        <v>128</v>
      </c>
      <c r="E143" t="s">
        <v>463</v>
      </c>
      <c r="F143" t="str">
        <f t="shared" si="40"/>
        <v>NatGrdExt_SUR_1</v>
      </c>
      <c r="G143" t="str">
        <f t="shared" si="50"/>
        <v>Grid Extension -Suriname- Step 1</v>
      </c>
      <c r="H143" t="s">
        <v>13</v>
      </c>
      <c r="I143" t="s">
        <v>11</v>
      </c>
      <c r="J143" t="s">
        <v>464</v>
      </c>
      <c r="L143" t="s">
        <v>463</v>
      </c>
      <c r="M143" t="str">
        <f t="shared" si="41"/>
        <v>NatGrdExt_SUR_2</v>
      </c>
      <c r="N143" t="str">
        <f t="shared" si="51"/>
        <v>Grid Extension -Suriname- Step 2</v>
      </c>
      <c r="O143" t="s">
        <v>13</v>
      </c>
      <c r="P143" t="s">
        <v>11</v>
      </c>
      <c r="Q143" t="s">
        <v>464</v>
      </c>
      <c r="S143" t="s">
        <v>463</v>
      </c>
      <c r="T143" t="str">
        <f t="shared" si="42"/>
        <v>NatGrdExt_SUR_3</v>
      </c>
      <c r="U143" t="str">
        <f t="shared" si="52"/>
        <v>Grid Extension -Suriname- Step 3</v>
      </c>
      <c r="V143" t="s">
        <v>13</v>
      </c>
      <c r="W143" t="s">
        <v>11</v>
      </c>
      <c r="X143" t="s">
        <v>464</v>
      </c>
      <c r="Z143" t="s">
        <v>463</v>
      </c>
      <c r="AA143" t="str">
        <f t="shared" si="43"/>
        <v>NatGrdExt_SUR_4</v>
      </c>
      <c r="AB143" t="str">
        <f t="shared" si="53"/>
        <v>Grid Extension -Suriname- Step 4</v>
      </c>
      <c r="AC143" t="s">
        <v>13</v>
      </c>
      <c r="AD143" t="s">
        <v>11</v>
      </c>
      <c r="AE143" t="s">
        <v>464</v>
      </c>
      <c r="AG143" t="s">
        <v>463</v>
      </c>
      <c r="AH143" t="str">
        <f t="shared" si="44"/>
        <v>NatGrdExt_SUR_5</v>
      </c>
      <c r="AI143" t="str">
        <f t="shared" si="54"/>
        <v>Grid Extension -Suriname- Step 5</v>
      </c>
      <c r="AJ143" t="s">
        <v>13</v>
      </c>
      <c r="AK143" t="s">
        <v>11</v>
      </c>
      <c r="AL143" t="s">
        <v>464</v>
      </c>
      <c r="AN143" t="s">
        <v>463</v>
      </c>
      <c r="AO143" t="str">
        <f t="shared" si="45"/>
        <v>NatGrdExt_SUR_6</v>
      </c>
      <c r="AP143" t="str">
        <f t="shared" si="55"/>
        <v>Grid Extension -Suriname- Step 6</v>
      </c>
      <c r="AQ143" t="s">
        <v>13</v>
      </c>
      <c r="AR143" t="s">
        <v>11</v>
      </c>
      <c r="AS143" t="s">
        <v>464</v>
      </c>
      <c r="AU143" t="s">
        <v>463</v>
      </c>
      <c r="AV143" t="str">
        <f t="shared" si="46"/>
        <v>NatGrdExt_SUR_7</v>
      </c>
      <c r="AW143" t="str">
        <f t="shared" si="56"/>
        <v>Grid Extension -Suriname- Step 7</v>
      </c>
      <c r="AX143" t="s">
        <v>13</v>
      </c>
      <c r="AY143" t="s">
        <v>11</v>
      </c>
      <c r="AZ143" t="s">
        <v>464</v>
      </c>
      <c r="BB143" t="s">
        <v>463</v>
      </c>
      <c r="BC143" t="str">
        <f t="shared" si="47"/>
        <v>NatGrdExt_SUR_8</v>
      </c>
      <c r="BD143" t="str">
        <f t="shared" si="57"/>
        <v>Grid Extension -Suriname- Step 8</v>
      </c>
      <c r="BE143" t="s">
        <v>13</v>
      </c>
      <c r="BF143" t="s">
        <v>11</v>
      </c>
      <c r="BG143" t="s">
        <v>464</v>
      </c>
      <c r="BI143" t="s">
        <v>463</v>
      </c>
      <c r="BJ143" t="str">
        <f t="shared" si="48"/>
        <v>NatGrdExt_SUR_9</v>
      </c>
      <c r="BK143" t="str">
        <f t="shared" si="58"/>
        <v>Grid Extension -Suriname- Step 9</v>
      </c>
      <c r="BL143" t="s">
        <v>13</v>
      </c>
      <c r="BM143" t="s">
        <v>11</v>
      </c>
      <c r="BN143" t="s">
        <v>464</v>
      </c>
      <c r="BP143" t="s">
        <v>463</v>
      </c>
      <c r="BQ143" t="str">
        <f t="shared" si="49"/>
        <v>NatGrdExt_SUR_10</v>
      </c>
      <c r="BR143" t="str">
        <f t="shared" si="59"/>
        <v>Grid Extension -Suriname- Step 10</v>
      </c>
      <c r="BS143" t="s">
        <v>13</v>
      </c>
      <c r="BT143" t="s">
        <v>11</v>
      </c>
      <c r="BU143" t="s">
        <v>464</v>
      </c>
    </row>
    <row r="144" spans="1:73">
      <c r="A144" s="5" t="s">
        <v>638</v>
      </c>
      <c r="B144" s="5" t="s">
        <v>639</v>
      </c>
      <c r="E144" t="s">
        <v>463</v>
      </c>
      <c r="F144" t="str">
        <f t="shared" si="40"/>
        <v>NatGrdExt_SVK_1</v>
      </c>
      <c r="G144" t="str">
        <f t="shared" si="50"/>
        <v>Grid Extension -Slovak Republic- Step 1</v>
      </c>
      <c r="H144" t="s">
        <v>13</v>
      </c>
      <c r="I144" t="s">
        <v>11</v>
      </c>
      <c r="J144" t="s">
        <v>464</v>
      </c>
      <c r="L144" t="s">
        <v>463</v>
      </c>
      <c r="M144" t="str">
        <f t="shared" si="41"/>
        <v>NatGrdExt_SVK_2</v>
      </c>
      <c r="N144" t="str">
        <f t="shared" si="51"/>
        <v>Grid Extension -Slovak Republic- Step 2</v>
      </c>
      <c r="O144" t="s">
        <v>13</v>
      </c>
      <c r="P144" t="s">
        <v>11</v>
      </c>
      <c r="Q144" t="s">
        <v>464</v>
      </c>
      <c r="S144" t="s">
        <v>463</v>
      </c>
      <c r="T144" t="str">
        <f t="shared" si="42"/>
        <v>NatGrdExt_SVK_3</v>
      </c>
      <c r="U144" t="str">
        <f t="shared" si="52"/>
        <v>Grid Extension -Slovak Republic- Step 3</v>
      </c>
      <c r="V144" t="s">
        <v>13</v>
      </c>
      <c r="W144" t="s">
        <v>11</v>
      </c>
      <c r="X144" t="s">
        <v>464</v>
      </c>
      <c r="Z144" t="s">
        <v>463</v>
      </c>
      <c r="AA144" t="str">
        <f t="shared" si="43"/>
        <v>NatGrdExt_SVK_4</v>
      </c>
      <c r="AB144" t="str">
        <f t="shared" si="53"/>
        <v>Grid Extension -Slovak Republic- Step 4</v>
      </c>
      <c r="AC144" t="s">
        <v>13</v>
      </c>
      <c r="AD144" t="s">
        <v>11</v>
      </c>
      <c r="AE144" t="s">
        <v>464</v>
      </c>
      <c r="AG144" t="s">
        <v>463</v>
      </c>
      <c r="AH144" t="str">
        <f t="shared" si="44"/>
        <v>NatGrdExt_SVK_5</v>
      </c>
      <c r="AI144" t="str">
        <f t="shared" si="54"/>
        <v>Grid Extension -Slovak Republic- Step 5</v>
      </c>
      <c r="AJ144" t="s">
        <v>13</v>
      </c>
      <c r="AK144" t="s">
        <v>11</v>
      </c>
      <c r="AL144" t="s">
        <v>464</v>
      </c>
      <c r="AN144" t="s">
        <v>463</v>
      </c>
      <c r="AO144" t="str">
        <f t="shared" si="45"/>
        <v>NatGrdExt_SVK_6</v>
      </c>
      <c r="AP144" t="str">
        <f t="shared" si="55"/>
        <v>Grid Extension -Slovak Republic- Step 6</v>
      </c>
      <c r="AQ144" t="s">
        <v>13</v>
      </c>
      <c r="AR144" t="s">
        <v>11</v>
      </c>
      <c r="AS144" t="s">
        <v>464</v>
      </c>
      <c r="AU144" t="s">
        <v>463</v>
      </c>
      <c r="AV144" t="str">
        <f t="shared" si="46"/>
        <v>NatGrdExt_SVK_7</v>
      </c>
      <c r="AW144" t="str">
        <f t="shared" si="56"/>
        <v>Grid Extension -Slovak Republic- Step 7</v>
      </c>
      <c r="AX144" t="s">
        <v>13</v>
      </c>
      <c r="AY144" t="s">
        <v>11</v>
      </c>
      <c r="AZ144" t="s">
        <v>464</v>
      </c>
      <c r="BB144" t="s">
        <v>463</v>
      </c>
      <c r="BC144" t="str">
        <f t="shared" si="47"/>
        <v>NatGrdExt_SVK_8</v>
      </c>
      <c r="BD144" t="str">
        <f t="shared" si="57"/>
        <v>Grid Extension -Slovak Republic- Step 8</v>
      </c>
      <c r="BE144" t="s">
        <v>13</v>
      </c>
      <c r="BF144" t="s">
        <v>11</v>
      </c>
      <c r="BG144" t="s">
        <v>464</v>
      </c>
      <c r="BI144" t="s">
        <v>463</v>
      </c>
      <c r="BJ144" t="str">
        <f t="shared" si="48"/>
        <v>NatGrdExt_SVK_9</v>
      </c>
      <c r="BK144" t="str">
        <f t="shared" si="58"/>
        <v>Grid Extension -Slovak Republic- Step 9</v>
      </c>
      <c r="BL144" t="s">
        <v>13</v>
      </c>
      <c r="BM144" t="s">
        <v>11</v>
      </c>
      <c r="BN144" t="s">
        <v>464</v>
      </c>
      <c r="BP144" t="s">
        <v>463</v>
      </c>
      <c r="BQ144" t="str">
        <f t="shared" si="49"/>
        <v>NatGrdExt_SVK_10</v>
      </c>
      <c r="BR144" t="str">
        <f t="shared" si="59"/>
        <v>Grid Extension -Slovak Republic- Step 10</v>
      </c>
      <c r="BS144" t="s">
        <v>13</v>
      </c>
      <c r="BT144" t="s">
        <v>11</v>
      </c>
      <c r="BU144" t="s">
        <v>464</v>
      </c>
    </row>
    <row r="145" spans="1:73">
      <c r="A145" s="5" t="s">
        <v>640</v>
      </c>
      <c r="B145" s="5" t="s">
        <v>641</v>
      </c>
      <c r="E145" t="s">
        <v>463</v>
      </c>
      <c r="F145" t="str">
        <f t="shared" si="40"/>
        <v>NatGrdExt_SVN_1</v>
      </c>
      <c r="G145" t="str">
        <f t="shared" si="50"/>
        <v>Grid Extension -Slovenia- Step 1</v>
      </c>
      <c r="H145" t="s">
        <v>13</v>
      </c>
      <c r="I145" t="s">
        <v>11</v>
      </c>
      <c r="J145" t="s">
        <v>464</v>
      </c>
      <c r="L145" t="s">
        <v>463</v>
      </c>
      <c r="M145" t="str">
        <f t="shared" si="41"/>
        <v>NatGrdExt_SVN_2</v>
      </c>
      <c r="N145" t="str">
        <f t="shared" si="51"/>
        <v>Grid Extension -Slovenia- Step 2</v>
      </c>
      <c r="O145" t="s">
        <v>13</v>
      </c>
      <c r="P145" t="s">
        <v>11</v>
      </c>
      <c r="Q145" t="s">
        <v>464</v>
      </c>
      <c r="S145" t="s">
        <v>463</v>
      </c>
      <c r="T145" t="str">
        <f t="shared" si="42"/>
        <v>NatGrdExt_SVN_3</v>
      </c>
      <c r="U145" t="str">
        <f t="shared" si="52"/>
        <v>Grid Extension -Slovenia- Step 3</v>
      </c>
      <c r="V145" t="s">
        <v>13</v>
      </c>
      <c r="W145" t="s">
        <v>11</v>
      </c>
      <c r="X145" t="s">
        <v>464</v>
      </c>
      <c r="Z145" t="s">
        <v>463</v>
      </c>
      <c r="AA145" t="str">
        <f t="shared" si="43"/>
        <v>NatGrdExt_SVN_4</v>
      </c>
      <c r="AB145" t="str">
        <f t="shared" si="53"/>
        <v>Grid Extension -Slovenia- Step 4</v>
      </c>
      <c r="AC145" t="s">
        <v>13</v>
      </c>
      <c r="AD145" t="s">
        <v>11</v>
      </c>
      <c r="AE145" t="s">
        <v>464</v>
      </c>
      <c r="AG145" t="s">
        <v>463</v>
      </c>
      <c r="AH145" t="str">
        <f t="shared" si="44"/>
        <v>NatGrdExt_SVN_5</v>
      </c>
      <c r="AI145" t="str">
        <f t="shared" si="54"/>
        <v>Grid Extension -Slovenia- Step 5</v>
      </c>
      <c r="AJ145" t="s">
        <v>13</v>
      </c>
      <c r="AK145" t="s">
        <v>11</v>
      </c>
      <c r="AL145" t="s">
        <v>464</v>
      </c>
      <c r="AN145" t="s">
        <v>463</v>
      </c>
      <c r="AO145" t="str">
        <f t="shared" si="45"/>
        <v>NatGrdExt_SVN_6</v>
      </c>
      <c r="AP145" t="str">
        <f t="shared" si="55"/>
        <v>Grid Extension -Slovenia- Step 6</v>
      </c>
      <c r="AQ145" t="s">
        <v>13</v>
      </c>
      <c r="AR145" t="s">
        <v>11</v>
      </c>
      <c r="AS145" t="s">
        <v>464</v>
      </c>
      <c r="AU145" t="s">
        <v>463</v>
      </c>
      <c r="AV145" t="str">
        <f t="shared" si="46"/>
        <v>NatGrdExt_SVN_7</v>
      </c>
      <c r="AW145" t="str">
        <f t="shared" si="56"/>
        <v>Grid Extension -Slovenia- Step 7</v>
      </c>
      <c r="AX145" t="s">
        <v>13</v>
      </c>
      <c r="AY145" t="s">
        <v>11</v>
      </c>
      <c r="AZ145" t="s">
        <v>464</v>
      </c>
      <c r="BB145" t="s">
        <v>463</v>
      </c>
      <c r="BC145" t="str">
        <f t="shared" si="47"/>
        <v>NatGrdExt_SVN_8</v>
      </c>
      <c r="BD145" t="str">
        <f t="shared" si="57"/>
        <v>Grid Extension -Slovenia- Step 8</v>
      </c>
      <c r="BE145" t="s">
        <v>13</v>
      </c>
      <c r="BF145" t="s">
        <v>11</v>
      </c>
      <c r="BG145" t="s">
        <v>464</v>
      </c>
      <c r="BI145" t="s">
        <v>463</v>
      </c>
      <c r="BJ145" t="str">
        <f t="shared" si="48"/>
        <v>NatGrdExt_SVN_9</v>
      </c>
      <c r="BK145" t="str">
        <f t="shared" si="58"/>
        <v>Grid Extension -Slovenia- Step 9</v>
      </c>
      <c r="BL145" t="s">
        <v>13</v>
      </c>
      <c r="BM145" t="s">
        <v>11</v>
      </c>
      <c r="BN145" t="s">
        <v>464</v>
      </c>
      <c r="BP145" t="s">
        <v>463</v>
      </c>
      <c r="BQ145" t="str">
        <f t="shared" si="49"/>
        <v>NatGrdExt_SVN_10</v>
      </c>
      <c r="BR145" t="str">
        <f t="shared" si="59"/>
        <v>Grid Extension -Slovenia- Step 10</v>
      </c>
      <c r="BS145" t="s">
        <v>13</v>
      </c>
      <c r="BT145" t="s">
        <v>11</v>
      </c>
      <c r="BU145" t="s">
        <v>464</v>
      </c>
    </row>
    <row r="146" spans="1:73">
      <c r="A146" s="5" t="s">
        <v>642</v>
      </c>
      <c r="B146" s="5" t="s">
        <v>643</v>
      </c>
      <c r="E146" t="s">
        <v>463</v>
      </c>
      <c r="F146" t="str">
        <f t="shared" si="40"/>
        <v>NatGrdExt_SWE_1</v>
      </c>
      <c r="G146" t="str">
        <f t="shared" si="50"/>
        <v>Grid Extension -Sweden- Step 1</v>
      </c>
      <c r="H146" t="s">
        <v>13</v>
      </c>
      <c r="I146" t="s">
        <v>11</v>
      </c>
      <c r="J146" t="s">
        <v>464</v>
      </c>
      <c r="L146" t="s">
        <v>463</v>
      </c>
      <c r="M146" t="str">
        <f t="shared" si="41"/>
        <v>NatGrdExt_SWE_2</v>
      </c>
      <c r="N146" t="str">
        <f t="shared" si="51"/>
        <v>Grid Extension -Sweden- Step 2</v>
      </c>
      <c r="O146" t="s">
        <v>13</v>
      </c>
      <c r="P146" t="s">
        <v>11</v>
      </c>
      <c r="Q146" t="s">
        <v>464</v>
      </c>
      <c r="S146" t="s">
        <v>463</v>
      </c>
      <c r="T146" t="str">
        <f t="shared" si="42"/>
        <v>NatGrdExt_SWE_3</v>
      </c>
      <c r="U146" t="str">
        <f t="shared" si="52"/>
        <v>Grid Extension -Sweden- Step 3</v>
      </c>
      <c r="V146" t="s">
        <v>13</v>
      </c>
      <c r="W146" t="s">
        <v>11</v>
      </c>
      <c r="X146" t="s">
        <v>464</v>
      </c>
      <c r="Z146" t="s">
        <v>463</v>
      </c>
      <c r="AA146" t="str">
        <f t="shared" si="43"/>
        <v>NatGrdExt_SWE_4</v>
      </c>
      <c r="AB146" t="str">
        <f t="shared" si="53"/>
        <v>Grid Extension -Sweden- Step 4</v>
      </c>
      <c r="AC146" t="s">
        <v>13</v>
      </c>
      <c r="AD146" t="s">
        <v>11</v>
      </c>
      <c r="AE146" t="s">
        <v>464</v>
      </c>
      <c r="AG146" t="s">
        <v>463</v>
      </c>
      <c r="AH146" t="str">
        <f t="shared" si="44"/>
        <v>NatGrdExt_SWE_5</v>
      </c>
      <c r="AI146" t="str">
        <f t="shared" si="54"/>
        <v>Grid Extension -Sweden- Step 5</v>
      </c>
      <c r="AJ146" t="s">
        <v>13</v>
      </c>
      <c r="AK146" t="s">
        <v>11</v>
      </c>
      <c r="AL146" t="s">
        <v>464</v>
      </c>
      <c r="AN146" t="s">
        <v>463</v>
      </c>
      <c r="AO146" t="str">
        <f t="shared" si="45"/>
        <v>NatGrdExt_SWE_6</v>
      </c>
      <c r="AP146" t="str">
        <f t="shared" si="55"/>
        <v>Grid Extension -Sweden- Step 6</v>
      </c>
      <c r="AQ146" t="s">
        <v>13</v>
      </c>
      <c r="AR146" t="s">
        <v>11</v>
      </c>
      <c r="AS146" t="s">
        <v>464</v>
      </c>
      <c r="AU146" t="s">
        <v>463</v>
      </c>
      <c r="AV146" t="str">
        <f t="shared" si="46"/>
        <v>NatGrdExt_SWE_7</v>
      </c>
      <c r="AW146" t="str">
        <f t="shared" si="56"/>
        <v>Grid Extension -Sweden- Step 7</v>
      </c>
      <c r="AX146" t="s">
        <v>13</v>
      </c>
      <c r="AY146" t="s">
        <v>11</v>
      </c>
      <c r="AZ146" t="s">
        <v>464</v>
      </c>
      <c r="BB146" t="s">
        <v>463</v>
      </c>
      <c r="BC146" t="str">
        <f t="shared" si="47"/>
        <v>NatGrdExt_SWE_8</v>
      </c>
      <c r="BD146" t="str">
        <f t="shared" si="57"/>
        <v>Grid Extension -Sweden- Step 8</v>
      </c>
      <c r="BE146" t="s">
        <v>13</v>
      </c>
      <c r="BF146" t="s">
        <v>11</v>
      </c>
      <c r="BG146" t="s">
        <v>464</v>
      </c>
      <c r="BI146" t="s">
        <v>463</v>
      </c>
      <c r="BJ146" t="str">
        <f t="shared" si="48"/>
        <v>NatGrdExt_SWE_9</v>
      </c>
      <c r="BK146" t="str">
        <f t="shared" si="58"/>
        <v>Grid Extension -Sweden- Step 9</v>
      </c>
      <c r="BL146" t="s">
        <v>13</v>
      </c>
      <c r="BM146" t="s">
        <v>11</v>
      </c>
      <c r="BN146" t="s">
        <v>464</v>
      </c>
      <c r="BP146" t="s">
        <v>463</v>
      </c>
      <c r="BQ146" t="str">
        <f t="shared" si="49"/>
        <v>NatGrdExt_SWE_10</v>
      </c>
      <c r="BR146" t="str">
        <f t="shared" si="59"/>
        <v>Grid Extension -Sweden- Step 10</v>
      </c>
      <c r="BS146" t="s">
        <v>13</v>
      </c>
      <c r="BT146" t="s">
        <v>11</v>
      </c>
      <c r="BU146" t="s">
        <v>464</v>
      </c>
    </row>
    <row r="147" spans="1:73">
      <c r="A147" s="5" t="s">
        <v>644</v>
      </c>
      <c r="B147" s="5" t="s">
        <v>645</v>
      </c>
      <c r="E147" t="s">
        <v>463</v>
      </c>
      <c r="F147" t="str">
        <f t="shared" si="40"/>
        <v>NatGrdExt_SWZ_1</v>
      </c>
      <c r="G147" t="str">
        <f t="shared" si="50"/>
        <v>Grid Extension -Swaziland- Step 1</v>
      </c>
      <c r="H147" t="s">
        <v>13</v>
      </c>
      <c r="I147" t="s">
        <v>11</v>
      </c>
      <c r="J147" t="s">
        <v>464</v>
      </c>
      <c r="L147" t="s">
        <v>463</v>
      </c>
      <c r="M147" t="str">
        <f t="shared" si="41"/>
        <v>NatGrdExt_SWZ_2</v>
      </c>
      <c r="N147" t="str">
        <f t="shared" si="51"/>
        <v>Grid Extension -Swaziland- Step 2</v>
      </c>
      <c r="O147" t="s">
        <v>13</v>
      </c>
      <c r="P147" t="s">
        <v>11</v>
      </c>
      <c r="Q147" t="s">
        <v>464</v>
      </c>
      <c r="S147" t="s">
        <v>463</v>
      </c>
      <c r="T147" t="str">
        <f t="shared" si="42"/>
        <v>NatGrdExt_SWZ_3</v>
      </c>
      <c r="U147" t="str">
        <f t="shared" si="52"/>
        <v>Grid Extension -Swaziland- Step 3</v>
      </c>
      <c r="V147" t="s">
        <v>13</v>
      </c>
      <c r="W147" t="s">
        <v>11</v>
      </c>
      <c r="X147" t="s">
        <v>464</v>
      </c>
      <c r="Z147" t="s">
        <v>463</v>
      </c>
      <c r="AA147" t="str">
        <f t="shared" si="43"/>
        <v>NatGrdExt_SWZ_4</v>
      </c>
      <c r="AB147" t="str">
        <f t="shared" si="53"/>
        <v>Grid Extension -Swaziland- Step 4</v>
      </c>
      <c r="AC147" t="s">
        <v>13</v>
      </c>
      <c r="AD147" t="s">
        <v>11</v>
      </c>
      <c r="AE147" t="s">
        <v>464</v>
      </c>
      <c r="AG147" t="s">
        <v>463</v>
      </c>
      <c r="AH147" t="str">
        <f t="shared" si="44"/>
        <v>NatGrdExt_SWZ_5</v>
      </c>
      <c r="AI147" t="str">
        <f t="shared" si="54"/>
        <v>Grid Extension -Swaziland- Step 5</v>
      </c>
      <c r="AJ147" t="s">
        <v>13</v>
      </c>
      <c r="AK147" t="s">
        <v>11</v>
      </c>
      <c r="AL147" t="s">
        <v>464</v>
      </c>
      <c r="AN147" t="s">
        <v>463</v>
      </c>
      <c r="AO147" t="str">
        <f t="shared" si="45"/>
        <v>NatGrdExt_SWZ_6</v>
      </c>
      <c r="AP147" t="str">
        <f t="shared" si="55"/>
        <v>Grid Extension -Swaziland- Step 6</v>
      </c>
      <c r="AQ147" t="s">
        <v>13</v>
      </c>
      <c r="AR147" t="s">
        <v>11</v>
      </c>
      <c r="AS147" t="s">
        <v>464</v>
      </c>
      <c r="AU147" t="s">
        <v>463</v>
      </c>
      <c r="AV147" t="str">
        <f t="shared" si="46"/>
        <v>NatGrdExt_SWZ_7</v>
      </c>
      <c r="AW147" t="str">
        <f t="shared" si="56"/>
        <v>Grid Extension -Swaziland- Step 7</v>
      </c>
      <c r="AX147" t="s">
        <v>13</v>
      </c>
      <c r="AY147" t="s">
        <v>11</v>
      </c>
      <c r="AZ147" t="s">
        <v>464</v>
      </c>
      <c r="BB147" t="s">
        <v>463</v>
      </c>
      <c r="BC147" t="str">
        <f t="shared" si="47"/>
        <v>NatGrdExt_SWZ_8</v>
      </c>
      <c r="BD147" t="str">
        <f t="shared" si="57"/>
        <v>Grid Extension -Swaziland- Step 8</v>
      </c>
      <c r="BE147" t="s">
        <v>13</v>
      </c>
      <c r="BF147" t="s">
        <v>11</v>
      </c>
      <c r="BG147" t="s">
        <v>464</v>
      </c>
      <c r="BI147" t="s">
        <v>463</v>
      </c>
      <c r="BJ147" t="str">
        <f t="shared" si="48"/>
        <v>NatGrdExt_SWZ_9</v>
      </c>
      <c r="BK147" t="str">
        <f t="shared" si="58"/>
        <v>Grid Extension -Swaziland- Step 9</v>
      </c>
      <c r="BL147" t="s">
        <v>13</v>
      </c>
      <c r="BM147" t="s">
        <v>11</v>
      </c>
      <c r="BN147" t="s">
        <v>464</v>
      </c>
      <c r="BP147" t="s">
        <v>463</v>
      </c>
      <c r="BQ147" t="str">
        <f t="shared" si="49"/>
        <v>NatGrdExt_SWZ_10</v>
      </c>
      <c r="BR147" t="str">
        <f t="shared" si="59"/>
        <v>Grid Extension -Swaziland- Step 10</v>
      </c>
      <c r="BS147" t="s">
        <v>13</v>
      </c>
      <c r="BT147" t="s">
        <v>11</v>
      </c>
      <c r="BU147" t="s">
        <v>464</v>
      </c>
    </row>
    <row r="148" spans="1:73">
      <c r="A148" s="5" t="s">
        <v>646</v>
      </c>
      <c r="B148" s="5" t="s">
        <v>647</v>
      </c>
      <c r="E148" t="s">
        <v>463</v>
      </c>
      <c r="F148" t="str">
        <f t="shared" si="40"/>
        <v>NatGrdExt_SYR_1</v>
      </c>
      <c r="G148" t="str">
        <f t="shared" si="50"/>
        <v>Grid Extension -Syrian Arab Republic- Step 1</v>
      </c>
      <c r="H148" t="s">
        <v>13</v>
      </c>
      <c r="I148" t="s">
        <v>11</v>
      </c>
      <c r="J148" t="s">
        <v>464</v>
      </c>
      <c r="L148" t="s">
        <v>463</v>
      </c>
      <c r="M148" t="str">
        <f t="shared" si="41"/>
        <v>NatGrdExt_SYR_2</v>
      </c>
      <c r="N148" t="str">
        <f t="shared" si="51"/>
        <v>Grid Extension -Syrian Arab Republic- Step 2</v>
      </c>
      <c r="O148" t="s">
        <v>13</v>
      </c>
      <c r="P148" t="s">
        <v>11</v>
      </c>
      <c r="Q148" t="s">
        <v>464</v>
      </c>
      <c r="S148" t="s">
        <v>463</v>
      </c>
      <c r="T148" t="str">
        <f t="shared" si="42"/>
        <v>NatGrdExt_SYR_3</v>
      </c>
      <c r="U148" t="str">
        <f t="shared" si="52"/>
        <v>Grid Extension -Syrian Arab Republic- Step 3</v>
      </c>
      <c r="V148" t="s">
        <v>13</v>
      </c>
      <c r="W148" t="s">
        <v>11</v>
      </c>
      <c r="X148" t="s">
        <v>464</v>
      </c>
      <c r="Z148" t="s">
        <v>463</v>
      </c>
      <c r="AA148" t="str">
        <f t="shared" si="43"/>
        <v>NatGrdExt_SYR_4</v>
      </c>
      <c r="AB148" t="str">
        <f t="shared" si="53"/>
        <v>Grid Extension -Syrian Arab Republic- Step 4</v>
      </c>
      <c r="AC148" t="s">
        <v>13</v>
      </c>
      <c r="AD148" t="s">
        <v>11</v>
      </c>
      <c r="AE148" t="s">
        <v>464</v>
      </c>
      <c r="AG148" t="s">
        <v>463</v>
      </c>
      <c r="AH148" t="str">
        <f t="shared" si="44"/>
        <v>NatGrdExt_SYR_5</v>
      </c>
      <c r="AI148" t="str">
        <f t="shared" si="54"/>
        <v>Grid Extension -Syrian Arab Republic- Step 5</v>
      </c>
      <c r="AJ148" t="s">
        <v>13</v>
      </c>
      <c r="AK148" t="s">
        <v>11</v>
      </c>
      <c r="AL148" t="s">
        <v>464</v>
      </c>
      <c r="AN148" t="s">
        <v>463</v>
      </c>
      <c r="AO148" t="str">
        <f t="shared" si="45"/>
        <v>NatGrdExt_SYR_6</v>
      </c>
      <c r="AP148" t="str">
        <f t="shared" si="55"/>
        <v>Grid Extension -Syrian Arab Republic- Step 6</v>
      </c>
      <c r="AQ148" t="s">
        <v>13</v>
      </c>
      <c r="AR148" t="s">
        <v>11</v>
      </c>
      <c r="AS148" t="s">
        <v>464</v>
      </c>
      <c r="AU148" t="s">
        <v>463</v>
      </c>
      <c r="AV148" t="str">
        <f t="shared" si="46"/>
        <v>NatGrdExt_SYR_7</v>
      </c>
      <c r="AW148" t="str">
        <f t="shared" si="56"/>
        <v>Grid Extension -Syrian Arab Republic- Step 7</v>
      </c>
      <c r="AX148" t="s">
        <v>13</v>
      </c>
      <c r="AY148" t="s">
        <v>11</v>
      </c>
      <c r="AZ148" t="s">
        <v>464</v>
      </c>
      <c r="BB148" t="s">
        <v>463</v>
      </c>
      <c r="BC148" t="str">
        <f t="shared" si="47"/>
        <v>NatGrdExt_SYR_8</v>
      </c>
      <c r="BD148" t="str">
        <f t="shared" si="57"/>
        <v>Grid Extension -Syrian Arab Republic- Step 8</v>
      </c>
      <c r="BE148" t="s">
        <v>13</v>
      </c>
      <c r="BF148" t="s">
        <v>11</v>
      </c>
      <c r="BG148" t="s">
        <v>464</v>
      </c>
      <c r="BI148" t="s">
        <v>463</v>
      </c>
      <c r="BJ148" t="str">
        <f t="shared" si="48"/>
        <v>NatGrdExt_SYR_9</v>
      </c>
      <c r="BK148" t="str">
        <f t="shared" si="58"/>
        <v>Grid Extension -Syrian Arab Republic- Step 9</v>
      </c>
      <c r="BL148" t="s">
        <v>13</v>
      </c>
      <c r="BM148" t="s">
        <v>11</v>
      </c>
      <c r="BN148" t="s">
        <v>464</v>
      </c>
      <c r="BP148" t="s">
        <v>463</v>
      </c>
      <c r="BQ148" t="str">
        <f t="shared" si="49"/>
        <v>NatGrdExt_SYR_10</v>
      </c>
      <c r="BR148" t="str">
        <f t="shared" si="59"/>
        <v>Grid Extension -Syrian Arab Republic- Step 10</v>
      </c>
      <c r="BS148" t="s">
        <v>13</v>
      </c>
      <c r="BT148" t="s">
        <v>11</v>
      </c>
      <c r="BU148" t="s">
        <v>464</v>
      </c>
    </row>
    <row r="149" spans="1:73">
      <c r="A149" s="5" t="s">
        <v>648</v>
      </c>
      <c r="B149" s="5" t="s">
        <v>649</v>
      </c>
      <c r="E149" t="s">
        <v>463</v>
      </c>
      <c r="F149" t="str">
        <f t="shared" si="40"/>
        <v>NatGrdExt_TCD_1</v>
      </c>
      <c r="G149" t="str">
        <f t="shared" si="50"/>
        <v>Grid Extension -Chad- Step 1</v>
      </c>
      <c r="H149" t="s">
        <v>13</v>
      </c>
      <c r="I149" t="s">
        <v>11</v>
      </c>
      <c r="J149" t="s">
        <v>464</v>
      </c>
      <c r="L149" t="s">
        <v>463</v>
      </c>
      <c r="M149" t="str">
        <f t="shared" si="41"/>
        <v>NatGrdExt_TCD_2</v>
      </c>
      <c r="N149" t="str">
        <f t="shared" si="51"/>
        <v>Grid Extension -Chad- Step 2</v>
      </c>
      <c r="O149" t="s">
        <v>13</v>
      </c>
      <c r="P149" t="s">
        <v>11</v>
      </c>
      <c r="Q149" t="s">
        <v>464</v>
      </c>
      <c r="S149" t="s">
        <v>463</v>
      </c>
      <c r="T149" t="str">
        <f t="shared" si="42"/>
        <v>NatGrdExt_TCD_3</v>
      </c>
      <c r="U149" t="str">
        <f t="shared" si="52"/>
        <v>Grid Extension -Chad- Step 3</v>
      </c>
      <c r="V149" t="s">
        <v>13</v>
      </c>
      <c r="W149" t="s">
        <v>11</v>
      </c>
      <c r="X149" t="s">
        <v>464</v>
      </c>
      <c r="Z149" t="s">
        <v>463</v>
      </c>
      <c r="AA149" t="str">
        <f t="shared" si="43"/>
        <v>NatGrdExt_TCD_4</v>
      </c>
      <c r="AB149" t="str">
        <f t="shared" si="53"/>
        <v>Grid Extension -Chad- Step 4</v>
      </c>
      <c r="AC149" t="s">
        <v>13</v>
      </c>
      <c r="AD149" t="s">
        <v>11</v>
      </c>
      <c r="AE149" t="s">
        <v>464</v>
      </c>
      <c r="AG149" t="s">
        <v>463</v>
      </c>
      <c r="AH149" t="str">
        <f t="shared" si="44"/>
        <v>NatGrdExt_TCD_5</v>
      </c>
      <c r="AI149" t="str">
        <f t="shared" si="54"/>
        <v>Grid Extension -Chad- Step 5</v>
      </c>
      <c r="AJ149" t="s">
        <v>13</v>
      </c>
      <c r="AK149" t="s">
        <v>11</v>
      </c>
      <c r="AL149" t="s">
        <v>464</v>
      </c>
      <c r="AN149" t="s">
        <v>463</v>
      </c>
      <c r="AO149" t="str">
        <f t="shared" si="45"/>
        <v>NatGrdExt_TCD_6</v>
      </c>
      <c r="AP149" t="str">
        <f t="shared" si="55"/>
        <v>Grid Extension -Chad- Step 6</v>
      </c>
      <c r="AQ149" t="s">
        <v>13</v>
      </c>
      <c r="AR149" t="s">
        <v>11</v>
      </c>
      <c r="AS149" t="s">
        <v>464</v>
      </c>
      <c r="AU149" t="s">
        <v>463</v>
      </c>
      <c r="AV149" t="str">
        <f t="shared" si="46"/>
        <v>NatGrdExt_TCD_7</v>
      </c>
      <c r="AW149" t="str">
        <f t="shared" si="56"/>
        <v>Grid Extension -Chad- Step 7</v>
      </c>
      <c r="AX149" t="s">
        <v>13</v>
      </c>
      <c r="AY149" t="s">
        <v>11</v>
      </c>
      <c r="AZ149" t="s">
        <v>464</v>
      </c>
      <c r="BB149" t="s">
        <v>463</v>
      </c>
      <c r="BC149" t="str">
        <f t="shared" si="47"/>
        <v>NatGrdExt_TCD_8</v>
      </c>
      <c r="BD149" t="str">
        <f t="shared" si="57"/>
        <v>Grid Extension -Chad- Step 8</v>
      </c>
      <c r="BE149" t="s">
        <v>13</v>
      </c>
      <c r="BF149" t="s">
        <v>11</v>
      </c>
      <c r="BG149" t="s">
        <v>464</v>
      </c>
      <c r="BI149" t="s">
        <v>463</v>
      </c>
      <c r="BJ149" t="str">
        <f t="shared" si="48"/>
        <v>NatGrdExt_TCD_9</v>
      </c>
      <c r="BK149" t="str">
        <f t="shared" si="58"/>
        <v>Grid Extension -Chad- Step 9</v>
      </c>
      <c r="BL149" t="s">
        <v>13</v>
      </c>
      <c r="BM149" t="s">
        <v>11</v>
      </c>
      <c r="BN149" t="s">
        <v>464</v>
      </c>
      <c r="BP149" t="s">
        <v>463</v>
      </c>
      <c r="BQ149" t="str">
        <f t="shared" si="49"/>
        <v>NatGrdExt_TCD_10</v>
      </c>
      <c r="BR149" t="str">
        <f t="shared" si="59"/>
        <v>Grid Extension -Chad- Step 10</v>
      </c>
      <c r="BS149" t="s">
        <v>13</v>
      </c>
      <c r="BT149" t="s">
        <v>11</v>
      </c>
      <c r="BU149" t="s">
        <v>464</v>
      </c>
    </row>
    <row r="150" spans="1:73">
      <c r="A150" s="5" t="s">
        <v>650</v>
      </c>
      <c r="B150" s="5" t="s">
        <v>651</v>
      </c>
      <c r="E150" t="s">
        <v>463</v>
      </c>
      <c r="F150" t="str">
        <f t="shared" si="40"/>
        <v>NatGrdExt_TGO_1</v>
      </c>
      <c r="G150" t="str">
        <f t="shared" si="50"/>
        <v>Grid Extension -Togo- Step 1</v>
      </c>
      <c r="H150" t="s">
        <v>13</v>
      </c>
      <c r="I150" t="s">
        <v>11</v>
      </c>
      <c r="J150" t="s">
        <v>464</v>
      </c>
      <c r="L150" t="s">
        <v>463</v>
      </c>
      <c r="M150" t="str">
        <f t="shared" si="41"/>
        <v>NatGrdExt_TGO_2</v>
      </c>
      <c r="N150" t="str">
        <f t="shared" si="51"/>
        <v>Grid Extension -Togo- Step 2</v>
      </c>
      <c r="O150" t="s">
        <v>13</v>
      </c>
      <c r="P150" t="s">
        <v>11</v>
      </c>
      <c r="Q150" t="s">
        <v>464</v>
      </c>
      <c r="S150" t="s">
        <v>463</v>
      </c>
      <c r="T150" t="str">
        <f t="shared" si="42"/>
        <v>NatGrdExt_TGO_3</v>
      </c>
      <c r="U150" t="str">
        <f t="shared" si="52"/>
        <v>Grid Extension -Togo- Step 3</v>
      </c>
      <c r="V150" t="s">
        <v>13</v>
      </c>
      <c r="W150" t="s">
        <v>11</v>
      </c>
      <c r="X150" t="s">
        <v>464</v>
      </c>
      <c r="Z150" t="s">
        <v>463</v>
      </c>
      <c r="AA150" t="str">
        <f t="shared" si="43"/>
        <v>NatGrdExt_TGO_4</v>
      </c>
      <c r="AB150" t="str">
        <f t="shared" si="53"/>
        <v>Grid Extension -Togo- Step 4</v>
      </c>
      <c r="AC150" t="s">
        <v>13</v>
      </c>
      <c r="AD150" t="s">
        <v>11</v>
      </c>
      <c r="AE150" t="s">
        <v>464</v>
      </c>
      <c r="AG150" t="s">
        <v>463</v>
      </c>
      <c r="AH150" t="str">
        <f t="shared" si="44"/>
        <v>NatGrdExt_TGO_5</v>
      </c>
      <c r="AI150" t="str">
        <f t="shared" si="54"/>
        <v>Grid Extension -Togo- Step 5</v>
      </c>
      <c r="AJ150" t="s">
        <v>13</v>
      </c>
      <c r="AK150" t="s">
        <v>11</v>
      </c>
      <c r="AL150" t="s">
        <v>464</v>
      </c>
      <c r="AN150" t="s">
        <v>463</v>
      </c>
      <c r="AO150" t="str">
        <f t="shared" si="45"/>
        <v>NatGrdExt_TGO_6</v>
      </c>
      <c r="AP150" t="str">
        <f t="shared" si="55"/>
        <v>Grid Extension -Togo- Step 6</v>
      </c>
      <c r="AQ150" t="s">
        <v>13</v>
      </c>
      <c r="AR150" t="s">
        <v>11</v>
      </c>
      <c r="AS150" t="s">
        <v>464</v>
      </c>
      <c r="AU150" t="s">
        <v>463</v>
      </c>
      <c r="AV150" t="str">
        <f t="shared" si="46"/>
        <v>NatGrdExt_TGO_7</v>
      </c>
      <c r="AW150" t="str">
        <f t="shared" si="56"/>
        <v>Grid Extension -Togo- Step 7</v>
      </c>
      <c r="AX150" t="s">
        <v>13</v>
      </c>
      <c r="AY150" t="s">
        <v>11</v>
      </c>
      <c r="AZ150" t="s">
        <v>464</v>
      </c>
      <c r="BB150" t="s">
        <v>463</v>
      </c>
      <c r="BC150" t="str">
        <f t="shared" si="47"/>
        <v>NatGrdExt_TGO_8</v>
      </c>
      <c r="BD150" t="str">
        <f t="shared" si="57"/>
        <v>Grid Extension -Togo- Step 8</v>
      </c>
      <c r="BE150" t="s">
        <v>13</v>
      </c>
      <c r="BF150" t="s">
        <v>11</v>
      </c>
      <c r="BG150" t="s">
        <v>464</v>
      </c>
      <c r="BI150" t="s">
        <v>463</v>
      </c>
      <c r="BJ150" t="str">
        <f t="shared" si="48"/>
        <v>NatGrdExt_TGO_9</v>
      </c>
      <c r="BK150" t="str">
        <f t="shared" si="58"/>
        <v>Grid Extension -Togo- Step 9</v>
      </c>
      <c r="BL150" t="s">
        <v>13</v>
      </c>
      <c r="BM150" t="s">
        <v>11</v>
      </c>
      <c r="BN150" t="s">
        <v>464</v>
      </c>
      <c r="BP150" t="s">
        <v>463</v>
      </c>
      <c r="BQ150" t="str">
        <f t="shared" si="49"/>
        <v>NatGrdExt_TGO_10</v>
      </c>
      <c r="BR150" t="str">
        <f t="shared" si="59"/>
        <v>Grid Extension -Togo- Step 10</v>
      </c>
      <c r="BS150" t="s">
        <v>13</v>
      </c>
      <c r="BT150" t="s">
        <v>11</v>
      </c>
      <c r="BU150" t="s">
        <v>464</v>
      </c>
    </row>
    <row r="151" spans="1:73">
      <c r="A151" s="5" t="s">
        <v>652</v>
      </c>
      <c r="B151" s="5" t="s">
        <v>653</v>
      </c>
      <c r="E151" t="s">
        <v>463</v>
      </c>
      <c r="F151" t="str">
        <f t="shared" si="40"/>
        <v>NatGrdExt_THA_1</v>
      </c>
      <c r="G151" t="str">
        <f t="shared" si="50"/>
        <v>Grid Extension -Thailand- Step 1</v>
      </c>
      <c r="H151" t="s">
        <v>13</v>
      </c>
      <c r="I151" t="s">
        <v>11</v>
      </c>
      <c r="J151" t="s">
        <v>464</v>
      </c>
      <c r="L151" t="s">
        <v>463</v>
      </c>
      <c r="M151" t="str">
        <f t="shared" si="41"/>
        <v>NatGrdExt_THA_2</v>
      </c>
      <c r="N151" t="str">
        <f t="shared" si="51"/>
        <v>Grid Extension -Thailand- Step 2</v>
      </c>
      <c r="O151" t="s">
        <v>13</v>
      </c>
      <c r="P151" t="s">
        <v>11</v>
      </c>
      <c r="Q151" t="s">
        <v>464</v>
      </c>
      <c r="S151" t="s">
        <v>463</v>
      </c>
      <c r="T151" t="str">
        <f t="shared" si="42"/>
        <v>NatGrdExt_THA_3</v>
      </c>
      <c r="U151" t="str">
        <f t="shared" si="52"/>
        <v>Grid Extension -Thailand- Step 3</v>
      </c>
      <c r="V151" t="s">
        <v>13</v>
      </c>
      <c r="W151" t="s">
        <v>11</v>
      </c>
      <c r="X151" t="s">
        <v>464</v>
      </c>
      <c r="Z151" t="s">
        <v>463</v>
      </c>
      <c r="AA151" t="str">
        <f t="shared" si="43"/>
        <v>NatGrdExt_THA_4</v>
      </c>
      <c r="AB151" t="str">
        <f t="shared" si="53"/>
        <v>Grid Extension -Thailand- Step 4</v>
      </c>
      <c r="AC151" t="s">
        <v>13</v>
      </c>
      <c r="AD151" t="s">
        <v>11</v>
      </c>
      <c r="AE151" t="s">
        <v>464</v>
      </c>
      <c r="AG151" t="s">
        <v>463</v>
      </c>
      <c r="AH151" t="str">
        <f t="shared" si="44"/>
        <v>NatGrdExt_THA_5</v>
      </c>
      <c r="AI151" t="str">
        <f t="shared" si="54"/>
        <v>Grid Extension -Thailand- Step 5</v>
      </c>
      <c r="AJ151" t="s">
        <v>13</v>
      </c>
      <c r="AK151" t="s">
        <v>11</v>
      </c>
      <c r="AL151" t="s">
        <v>464</v>
      </c>
      <c r="AN151" t="s">
        <v>463</v>
      </c>
      <c r="AO151" t="str">
        <f t="shared" si="45"/>
        <v>NatGrdExt_THA_6</v>
      </c>
      <c r="AP151" t="str">
        <f t="shared" si="55"/>
        <v>Grid Extension -Thailand- Step 6</v>
      </c>
      <c r="AQ151" t="s">
        <v>13</v>
      </c>
      <c r="AR151" t="s">
        <v>11</v>
      </c>
      <c r="AS151" t="s">
        <v>464</v>
      </c>
      <c r="AU151" t="s">
        <v>463</v>
      </c>
      <c r="AV151" t="str">
        <f t="shared" si="46"/>
        <v>NatGrdExt_THA_7</v>
      </c>
      <c r="AW151" t="str">
        <f t="shared" si="56"/>
        <v>Grid Extension -Thailand- Step 7</v>
      </c>
      <c r="AX151" t="s">
        <v>13</v>
      </c>
      <c r="AY151" t="s">
        <v>11</v>
      </c>
      <c r="AZ151" t="s">
        <v>464</v>
      </c>
      <c r="BB151" t="s">
        <v>463</v>
      </c>
      <c r="BC151" t="str">
        <f t="shared" si="47"/>
        <v>NatGrdExt_THA_8</v>
      </c>
      <c r="BD151" t="str">
        <f t="shared" si="57"/>
        <v>Grid Extension -Thailand- Step 8</v>
      </c>
      <c r="BE151" t="s">
        <v>13</v>
      </c>
      <c r="BF151" t="s">
        <v>11</v>
      </c>
      <c r="BG151" t="s">
        <v>464</v>
      </c>
      <c r="BI151" t="s">
        <v>463</v>
      </c>
      <c r="BJ151" t="str">
        <f t="shared" si="48"/>
        <v>NatGrdExt_THA_9</v>
      </c>
      <c r="BK151" t="str">
        <f t="shared" si="58"/>
        <v>Grid Extension -Thailand- Step 9</v>
      </c>
      <c r="BL151" t="s">
        <v>13</v>
      </c>
      <c r="BM151" t="s">
        <v>11</v>
      </c>
      <c r="BN151" t="s">
        <v>464</v>
      </c>
      <c r="BP151" t="s">
        <v>463</v>
      </c>
      <c r="BQ151" t="str">
        <f t="shared" si="49"/>
        <v>NatGrdExt_THA_10</v>
      </c>
      <c r="BR151" t="str">
        <f t="shared" si="59"/>
        <v>Grid Extension -Thailand- Step 10</v>
      </c>
      <c r="BS151" t="s">
        <v>13</v>
      </c>
      <c r="BT151" t="s">
        <v>11</v>
      </c>
      <c r="BU151" t="s">
        <v>464</v>
      </c>
    </row>
    <row r="152" spans="1:73">
      <c r="A152" s="5" t="s">
        <v>69</v>
      </c>
      <c r="B152" s="5" t="s">
        <v>129</v>
      </c>
      <c r="E152" t="s">
        <v>463</v>
      </c>
      <c r="F152" t="str">
        <f t="shared" si="40"/>
        <v>NatGrdExt_TJK_1</v>
      </c>
      <c r="G152" t="str">
        <f t="shared" si="50"/>
        <v>Grid Extension -Tajikistan- Step 1</v>
      </c>
      <c r="H152" t="s">
        <v>13</v>
      </c>
      <c r="I152" t="s">
        <v>11</v>
      </c>
      <c r="J152" t="s">
        <v>464</v>
      </c>
      <c r="L152" t="s">
        <v>463</v>
      </c>
      <c r="M152" t="str">
        <f t="shared" si="41"/>
        <v>NatGrdExt_TJK_2</v>
      </c>
      <c r="N152" t="str">
        <f t="shared" si="51"/>
        <v>Grid Extension -Tajikistan- Step 2</v>
      </c>
      <c r="O152" t="s">
        <v>13</v>
      </c>
      <c r="P152" t="s">
        <v>11</v>
      </c>
      <c r="Q152" t="s">
        <v>464</v>
      </c>
      <c r="S152" t="s">
        <v>463</v>
      </c>
      <c r="T152" t="str">
        <f t="shared" si="42"/>
        <v>NatGrdExt_TJK_3</v>
      </c>
      <c r="U152" t="str">
        <f t="shared" si="52"/>
        <v>Grid Extension -Tajikistan- Step 3</v>
      </c>
      <c r="V152" t="s">
        <v>13</v>
      </c>
      <c r="W152" t="s">
        <v>11</v>
      </c>
      <c r="X152" t="s">
        <v>464</v>
      </c>
      <c r="Z152" t="s">
        <v>463</v>
      </c>
      <c r="AA152" t="str">
        <f t="shared" si="43"/>
        <v>NatGrdExt_TJK_4</v>
      </c>
      <c r="AB152" t="str">
        <f t="shared" si="53"/>
        <v>Grid Extension -Tajikistan- Step 4</v>
      </c>
      <c r="AC152" t="s">
        <v>13</v>
      </c>
      <c r="AD152" t="s">
        <v>11</v>
      </c>
      <c r="AE152" t="s">
        <v>464</v>
      </c>
      <c r="AG152" t="s">
        <v>463</v>
      </c>
      <c r="AH152" t="str">
        <f t="shared" si="44"/>
        <v>NatGrdExt_TJK_5</v>
      </c>
      <c r="AI152" t="str">
        <f t="shared" si="54"/>
        <v>Grid Extension -Tajikistan- Step 5</v>
      </c>
      <c r="AJ152" t="s">
        <v>13</v>
      </c>
      <c r="AK152" t="s">
        <v>11</v>
      </c>
      <c r="AL152" t="s">
        <v>464</v>
      </c>
      <c r="AN152" t="s">
        <v>463</v>
      </c>
      <c r="AO152" t="str">
        <f t="shared" si="45"/>
        <v>NatGrdExt_TJK_6</v>
      </c>
      <c r="AP152" t="str">
        <f t="shared" si="55"/>
        <v>Grid Extension -Tajikistan- Step 6</v>
      </c>
      <c r="AQ152" t="s">
        <v>13</v>
      </c>
      <c r="AR152" t="s">
        <v>11</v>
      </c>
      <c r="AS152" t="s">
        <v>464</v>
      </c>
      <c r="AU152" t="s">
        <v>463</v>
      </c>
      <c r="AV152" t="str">
        <f t="shared" si="46"/>
        <v>NatGrdExt_TJK_7</v>
      </c>
      <c r="AW152" t="str">
        <f t="shared" si="56"/>
        <v>Grid Extension -Tajikistan- Step 7</v>
      </c>
      <c r="AX152" t="s">
        <v>13</v>
      </c>
      <c r="AY152" t="s">
        <v>11</v>
      </c>
      <c r="AZ152" t="s">
        <v>464</v>
      </c>
      <c r="BB152" t="s">
        <v>463</v>
      </c>
      <c r="BC152" t="str">
        <f t="shared" si="47"/>
        <v>NatGrdExt_TJK_8</v>
      </c>
      <c r="BD152" t="str">
        <f t="shared" si="57"/>
        <v>Grid Extension -Tajikistan- Step 8</v>
      </c>
      <c r="BE152" t="s">
        <v>13</v>
      </c>
      <c r="BF152" t="s">
        <v>11</v>
      </c>
      <c r="BG152" t="s">
        <v>464</v>
      </c>
      <c r="BI152" t="s">
        <v>463</v>
      </c>
      <c r="BJ152" t="str">
        <f t="shared" si="48"/>
        <v>NatGrdExt_TJK_9</v>
      </c>
      <c r="BK152" t="str">
        <f t="shared" si="58"/>
        <v>Grid Extension -Tajikistan- Step 9</v>
      </c>
      <c r="BL152" t="s">
        <v>13</v>
      </c>
      <c r="BM152" t="s">
        <v>11</v>
      </c>
      <c r="BN152" t="s">
        <v>464</v>
      </c>
      <c r="BP152" t="s">
        <v>463</v>
      </c>
      <c r="BQ152" t="str">
        <f t="shared" si="49"/>
        <v>NatGrdExt_TJK_10</v>
      </c>
      <c r="BR152" t="str">
        <f t="shared" si="59"/>
        <v>Grid Extension -Tajikistan- Step 10</v>
      </c>
      <c r="BS152" t="s">
        <v>13</v>
      </c>
      <c r="BT152" t="s">
        <v>11</v>
      </c>
      <c r="BU152" t="s">
        <v>464</v>
      </c>
    </row>
    <row r="153" spans="1:73">
      <c r="A153" s="5" t="s">
        <v>654</v>
      </c>
      <c r="B153" s="5" t="s">
        <v>655</v>
      </c>
      <c r="E153" t="s">
        <v>463</v>
      </c>
      <c r="F153" t="str">
        <f t="shared" si="40"/>
        <v>NatGrdExt_TKM_1</v>
      </c>
      <c r="G153" t="str">
        <f t="shared" si="50"/>
        <v>Grid Extension -Turkmenistan- Step 1</v>
      </c>
      <c r="H153" t="s">
        <v>13</v>
      </c>
      <c r="I153" t="s">
        <v>11</v>
      </c>
      <c r="J153" t="s">
        <v>464</v>
      </c>
      <c r="L153" t="s">
        <v>463</v>
      </c>
      <c r="M153" t="str">
        <f t="shared" si="41"/>
        <v>NatGrdExt_TKM_2</v>
      </c>
      <c r="N153" t="str">
        <f t="shared" si="51"/>
        <v>Grid Extension -Turkmenistan- Step 2</v>
      </c>
      <c r="O153" t="s">
        <v>13</v>
      </c>
      <c r="P153" t="s">
        <v>11</v>
      </c>
      <c r="Q153" t="s">
        <v>464</v>
      </c>
      <c r="S153" t="s">
        <v>463</v>
      </c>
      <c r="T153" t="str">
        <f t="shared" si="42"/>
        <v>NatGrdExt_TKM_3</v>
      </c>
      <c r="U153" t="str">
        <f t="shared" si="52"/>
        <v>Grid Extension -Turkmenistan- Step 3</v>
      </c>
      <c r="V153" t="s">
        <v>13</v>
      </c>
      <c r="W153" t="s">
        <v>11</v>
      </c>
      <c r="X153" t="s">
        <v>464</v>
      </c>
      <c r="Z153" t="s">
        <v>463</v>
      </c>
      <c r="AA153" t="str">
        <f t="shared" si="43"/>
        <v>NatGrdExt_TKM_4</v>
      </c>
      <c r="AB153" t="str">
        <f t="shared" si="53"/>
        <v>Grid Extension -Turkmenistan- Step 4</v>
      </c>
      <c r="AC153" t="s">
        <v>13</v>
      </c>
      <c r="AD153" t="s">
        <v>11</v>
      </c>
      <c r="AE153" t="s">
        <v>464</v>
      </c>
      <c r="AG153" t="s">
        <v>463</v>
      </c>
      <c r="AH153" t="str">
        <f t="shared" si="44"/>
        <v>NatGrdExt_TKM_5</v>
      </c>
      <c r="AI153" t="str">
        <f t="shared" si="54"/>
        <v>Grid Extension -Turkmenistan- Step 5</v>
      </c>
      <c r="AJ153" t="s">
        <v>13</v>
      </c>
      <c r="AK153" t="s">
        <v>11</v>
      </c>
      <c r="AL153" t="s">
        <v>464</v>
      </c>
      <c r="AN153" t="s">
        <v>463</v>
      </c>
      <c r="AO153" t="str">
        <f t="shared" si="45"/>
        <v>NatGrdExt_TKM_6</v>
      </c>
      <c r="AP153" t="str">
        <f t="shared" si="55"/>
        <v>Grid Extension -Turkmenistan- Step 6</v>
      </c>
      <c r="AQ153" t="s">
        <v>13</v>
      </c>
      <c r="AR153" t="s">
        <v>11</v>
      </c>
      <c r="AS153" t="s">
        <v>464</v>
      </c>
      <c r="AU153" t="s">
        <v>463</v>
      </c>
      <c r="AV153" t="str">
        <f t="shared" si="46"/>
        <v>NatGrdExt_TKM_7</v>
      </c>
      <c r="AW153" t="str">
        <f t="shared" si="56"/>
        <v>Grid Extension -Turkmenistan- Step 7</v>
      </c>
      <c r="AX153" t="s">
        <v>13</v>
      </c>
      <c r="AY153" t="s">
        <v>11</v>
      </c>
      <c r="AZ153" t="s">
        <v>464</v>
      </c>
      <c r="BB153" t="s">
        <v>463</v>
      </c>
      <c r="BC153" t="str">
        <f t="shared" si="47"/>
        <v>NatGrdExt_TKM_8</v>
      </c>
      <c r="BD153" t="str">
        <f t="shared" si="57"/>
        <v>Grid Extension -Turkmenistan- Step 8</v>
      </c>
      <c r="BE153" t="s">
        <v>13</v>
      </c>
      <c r="BF153" t="s">
        <v>11</v>
      </c>
      <c r="BG153" t="s">
        <v>464</v>
      </c>
      <c r="BI153" t="s">
        <v>463</v>
      </c>
      <c r="BJ153" t="str">
        <f t="shared" si="48"/>
        <v>NatGrdExt_TKM_9</v>
      </c>
      <c r="BK153" t="str">
        <f t="shared" si="58"/>
        <v>Grid Extension -Turkmenistan- Step 9</v>
      </c>
      <c r="BL153" t="s">
        <v>13</v>
      </c>
      <c r="BM153" t="s">
        <v>11</v>
      </c>
      <c r="BN153" t="s">
        <v>464</v>
      </c>
      <c r="BP153" t="s">
        <v>463</v>
      </c>
      <c r="BQ153" t="str">
        <f t="shared" si="49"/>
        <v>NatGrdExt_TKM_10</v>
      </c>
      <c r="BR153" t="str">
        <f t="shared" si="59"/>
        <v>Grid Extension -Turkmenistan- Step 10</v>
      </c>
      <c r="BS153" t="s">
        <v>13</v>
      </c>
      <c r="BT153" t="s">
        <v>11</v>
      </c>
      <c r="BU153" t="s">
        <v>464</v>
      </c>
    </row>
    <row r="154" spans="1:73">
      <c r="A154" s="5" t="s">
        <v>656</v>
      </c>
      <c r="B154" s="5" t="s">
        <v>657</v>
      </c>
      <c r="E154" t="s">
        <v>463</v>
      </c>
      <c r="F154" t="str">
        <f t="shared" si="40"/>
        <v>NatGrdExt_TLS_1</v>
      </c>
      <c r="G154" t="str">
        <f t="shared" si="50"/>
        <v>Grid Extension -Timor-Leste- Step 1</v>
      </c>
      <c r="H154" t="s">
        <v>13</v>
      </c>
      <c r="I154" t="s">
        <v>11</v>
      </c>
      <c r="J154" t="s">
        <v>464</v>
      </c>
      <c r="L154" t="s">
        <v>463</v>
      </c>
      <c r="M154" t="str">
        <f t="shared" si="41"/>
        <v>NatGrdExt_TLS_2</v>
      </c>
      <c r="N154" t="str">
        <f t="shared" si="51"/>
        <v>Grid Extension -Timor-Leste- Step 2</v>
      </c>
      <c r="O154" t="s">
        <v>13</v>
      </c>
      <c r="P154" t="s">
        <v>11</v>
      </c>
      <c r="Q154" t="s">
        <v>464</v>
      </c>
      <c r="S154" t="s">
        <v>463</v>
      </c>
      <c r="T154" t="str">
        <f t="shared" si="42"/>
        <v>NatGrdExt_TLS_3</v>
      </c>
      <c r="U154" t="str">
        <f t="shared" si="52"/>
        <v>Grid Extension -Timor-Leste- Step 3</v>
      </c>
      <c r="V154" t="s">
        <v>13</v>
      </c>
      <c r="W154" t="s">
        <v>11</v>
      </c>
      <c r="X154" t="s">
        <v>464</v>
      </c>
      <c r="Z154" t="s">
        <v>463</v>
      </c>
      <c r="AA154" t="str">
        <f t="shared" si="43"/>
        <v>NatGrdExt_TLS_4</v>
      </c>
      <c r="AB154" t="str">
        <f t="shared" si="53"/>
        <v>Grid Extension -Timor-Leste- Step 4</v>
      </c>
      <c r="AC154" t="s">
        <v>13</v>
      </c>
      <c r="AD154" t="s">
        <v>11</v>
      </c>
      <c r="AE154" t="s">
        <v>464</v>
      </c>
      <c r="AG154" t="s">
        <v>463</v>
      </c>
      <c r="AH154" t="str">
        <f t="shared" si="44"/>
        <v>NatGrdExt_TLS_5</v>
      </c>
      <c r="AI154" t="str">
        <f t="shared" si="54"/>
        <v>Grid Extension -Timor-Leste- Step 5</v>
      </c>
      <c r="AJ154" t="s">
        <v>13</v>
      </c>
      <c r="AK154" t="s">
        <v>11</v>
      </c>
      <c r="AL154" t="s">
        <v>464</v>
      </c>
      <c r="AN154" t="s">
        <v>463</v>
      </c>
      <c r="AO154" t="str">
        <f t="shared" si="45"/>
        <v>NatGrdExt_TLS_6</v>
      </c>
      <c r="AP154" t="str">
        <f t="shared" si="55"/>
        <v>Grid Extension -Timor-Leste- Step 6</v>
      </c>
      <c r="AQ154" t="s">
        <v>13</v>
      </c>
      <c r="AR154" t="s">
        <v>11</v>
      </c>
      <c r="AS154" t="s">
        <v>464</v>
      </c>
      <c r="AU154" t="s">
        <v>463</v>
      </c>
      <c r="AV154" t="str">
        <f t="shared" si="46"/>
        <v>NatGrdExt_TLS_7</v>
      </c>
      <c r="AW154" t="str">
        <f t="shared" si="56"/>
        <v>Grid Extension -Timor-Leste- Step 7</v>
      </c>
      <c r="AX154" t="s">
        <v>13</v>
      </c>
      <c r="AY154" t="s">
        <v>11</v>
      </c>
      <c r="AZ154" t="s">
        <v>464</v>
      </c>
      <c r="BB154" t="s">
        <v>463</v>
      </c>
      <c r="BC154" t="str">
        <f t="shared" si="47"/>
        <v>NatGrdExt_TLS_8</v>
      </c>
      <c r="BD154" t="str">
        <f t="shared" si="57"/>
        <v>Grid Extension -Timor-Leste- Step 8</v>
      </c>
      <c r="BE154" t="s">
        <v>13</v>
      </c>
      <c r="BF154" t="s">
        <v>11</v>
      </c>
      <c r="BG154" t="s">
        <v>464</v>
      </c>
      <c r="BI154" t="s">
        <v>463</v>
      </c>
      <c r="BJ154" t="str">
        <f t="shared" si="48"/>
        <v>NatGrdExt_TLS_9</v>
      </c>
      <c r="BK154" t="str">
        <f t="shared" si="58"/>
        <v>Grid Extension -Timor-Leste- Step 9</v>
      </c>
      <c r="BL154" t="s">
        <v>13</v>
      </c>
      <c r="BM154" t="s">
        <v>11</v>
      </c>
      <c r="BN154" t="s">
        <v>464</v>
      </c>
      <c r="BP154" t="s">
        <v>463</v>
      </c>
      <c r="BQ154" t="str">
        <f t="shared" si="49"/>
        <v>NatGrdExt_TLS_10</v>
      </c>
      <c r="BR154" t="str">
        <f t="shared" si="59"/>
        <v>Grid Extension -Timor-Leste- Step 10</v>
      </c>
      <c r="BS154" t="s">
        <v>13</v>
      </c>
      <c r="BT154" t="s">
        <v>11</v>
      </c>
      <c r="BU154" t="s">
        <v>464</v>
      </c>
    </row>
    <row r="155" spans="1:73">
      <c r="A155" s="5" t="s">
        <v>658</v>
      </c>
      <c r="B155" s="5" t="s">
        <v>659</v>
      </c>
      <c r="E155" t="s">
        <v>463</v>
      </c>
      <c r="F155" t="str">
        <f t="shared" si="40"/>
        <v>NatGrdExt_TON_1</v>
      </c>
      <c r="G155" t="str">
        <f t="shared" si="50"/>
        <v>Grid Extension -Tonga- Step 1</v>
      </c>
      <c r="H155" t="s">
        <v>13</v>
      </c>
      <c r="I155" t="s">
        <v>11</v>
      </c>
      <c r="J155" t="s">
        <v>464</v>
      </c>
      <c r="L155" t="s">
        <v>463</v>
      </c>
      <c r="M155" t="str">
        <f t="shared" si="41"/>
        <v>NatGrdExt_TON_2</v>
      </c>
      <c r="N155" t="str">
        <f t="shared" si="51"/>
        <v>Grid Extension -Tonga- Step 2</v>
      </c>
      <c r="O155" t="s">
        <v>13</v>
      </c>
      <c r="P155" t="s">
        <v>11</v>
      </c>
      <c r="Q155" t="s">
        <v>464</v>
      </c>
      <c r="S155" t="s">
        <v>463</v>
      </c>
      <c r="T155" t="str">
        <f t="shared" si="42"/>
        <v>NatGrdExt_TON_3</v>
      </c>
      <c r="U155" t="str">
        <f t="shared" si="52"/>
        <v>Grid Extension -Tonga- Step 3</v>
      </c>
      <c r="V155" t="s">
        <v>13</v>
      </c>
      <c r="W155" t="s">
        <v>11</v>
      </c>
      <c r="X155" t="s">
        <v>464</v>
      </c>
      <c r="Z155" t="s">
        <v>463</v>
      </c>
      <c r="AA155" t="str">
        <f t="shared" si="43"/>
        <v>NatGrdExt_TON_4</v>
      </c>
      <c r="AB155" t="str">
        <f t="shared" si="53"/>
        <v>Grid Extension -Tonga- Step 4</v>
      </c>
      <c r="AC155" t="s">
        <v>13</v>
      </c>
      <c r="AD155" t="s">
        <v>11</v>
      </c>
      <c r="AE155" t="s">
        <v>464</v>
      </c>
      <c r="AG155" t="s">
        <v>463</v>
      </c>
      <c r="AH155" t="str">
        <f t="shared" si="44"/>
        <v>NatGrdExt_TON_5</v>
      </c>
      <c r="AI155" t="str">
        <f t="shared" si="54"/>
        <v>Grid Extension -Tonga- Step 5</v>
      </c>
      <c r="AJ155" t="s">
        <v>13</v>
      </c>
      <c r="AK155" t="s">
        <v>11</v>
      </c>
      <c r="AL155" t="s">
        <v>464</v>
      </c>
      <c r="AN155" t="s">
        <v>463</v>
      </c>
      <c r="AO155" t="str">
        <f t="shared" si="45"/>
        <v>NatGrdExt_TON_6</v>
      </c>
      <c r="AP155" t="str">
        <f t="shared" si="55"/>
        <v>Grid Extension -Tonga- Step 6</v>
      </c>
      <c r="AQ155" t="s">
        <v>13</v>
      </c>
      <c r="AR155" t="s">
        <v>11</v>
      </c>
      <c r="AS155" t="s">
        <v>464</v>
      </c>
      <c r="AU155" t="s">
        <v>463</v>
      </c>
      <c r="AV155" t="str">
        <f t="shared" si="46"/>
        <v>NatGrdExt_TON_7</v>
      </c>
      <c r="AW155" t="str">
        <f t="shared" si="56"/>
        <v>Grid Extension -Tonga- Step 7</v>
      </c>
      <c r="AX155" t="s">
        <v>13</v>
      </c>
      <c r="AY155" t="s">
        <v>11</v>
      </c>
      <c r="AZ155" t="s">
        <v>464</v>
      </c>
      <c r="BB155" t="s">
        <v>463</v>
      </c>
      <c r="BC155" t="str">
        <f t="shared" si="47"/>
        <v>NatGrdExt_TON_8</v>
      </c>
      <c r="BD155" t="str">
        <f t="shared" si="57"/>
        <v>Grid Extension -Tonga- Step 8</v>
      </c>
      <c r="BE155" t="s">
        <v>13</v>
      </c>
      <c r="BF155" t="s">
        <v>11</v>
      </c>
      <c r="BG155" t="s">
        <v>464</v>
      </c>
      <c r="BI155" t="s">
        <v>463</v>
      </c>
      <c r="BJ155" t="str">
        <f t="shared" si="48"/>
        <v>NatGrdExt_TON_9</v>
      </c>
      <c r="BK155" t="str">
        <f t="shared" si="58"/>
        <v>Grid Extension -Tonga- Step 9</v>
      </c>
      <c r="BL155" t="s">
        <v>13</v>
      </c>
      <c r="BM155" t="s">
        <v>11</v>
      </c>
      <c r="BN155" t="s">
        <v>464</v>
      </c>
      <c r="BP155" t="s">
        <v>463</v>
      </c>
      <c r="BQ155" t="str">
        <f t="shared" si="49"/>
        <v>NatGrdExt_TON_10</v>
      </c>
      <c r="BR155" t="str">
        <f t="shared" si="59"/>
        <v>Grid Extension -Tonga- Step 10</v>
      </c>
      <c r="BS155" t="s">
        <v>13</v>
      </c>
      <c r="BT155" t="s">
        <v>11</v>
      </c>
      <c r="BU155" t="s">
        <v>464</v>
      </c>
    </row>
    <row r="156" spans="1:73">
      <c r="A156" s="5" t="s">
        <v>660</v>
      </c>
      <c r="B156" s="5" t="s">
        <v>661</v>
      </c>
      <c r="E156" t="s">
        <v>463</v>
      </c>
      <c r="F156" t="str">
        <f t="shared" si="40"/>
        <v>NatGrdExt_TTO_1</v>
      </c>
      <c r="G156" t="str">
        <f t="shared" si="50"/>
        <v>Grid Extension -Trinidad and Tobago- Step 1</v>
      </c>
      <c r="H156" t="s">
        <v>13</v>
      </c>
      <c r="I156" t="s">
        <v>11</v>
      </c>
      <c r="J156" t="s">
        <v>464</v>
      </c>
      <c r="L156" t="s">
        <v>463</v>
      </c>
      <c r="M156" t="str">
        <f t="shared" si="41"/>
        <v>NatGrdExt_TTO_2</v>
      </c>
      <c r="N156" t="str">
        <f t="shared" si="51"/>
        <v>Grid Extension -Trinidad and Tobago- Step 2</v>
      </c>
      <c r="O156" t="s">
        <v>13</v>
      </c>
      <c r="P156" t="s">
        <v>11</v>
      </c>
      <c r="Q156" t="s">
        <v>464</v>
      </c>
      <c r="S156" t="s">
        <v>463</v>
      </c>
      <c r="T156" t="str">
        <f t="shared" si="42"/>
        <v>NatGrdExt_TTO_3</v>
      </c>
      <c r="U156" t="str">
        <f t="shared" si="52"/>
        <v>Grid Extension -Trinidad and Tobago- Step 3</v>
      </c>
      <c r="V156" t="s">
        <v>13</v>
      </c>
      <c r="W156" t="s">
        <v>11</v>
      </c>
      <c r="X156" t="s">
        <v>464</v>
      </c>
      <c r="Z156" t="s">
        <v>463</v>
      </c>
      <c r="AA156" t="str">
        <f t="shared" si="43"/>
        <v>NatGrdExt_TTO_4</v>
      </c>
      <c r="AB156" t="str">
        <f t="shared" si="53"/>
        <v>Grid Extension -Trinidad and Tobago- Step 4</v>
      </c>
      <c r="AC156" t="s">
        <v>13</v>
      </c>
      <c r="AD156" t="s">
        <v>11</v>
      </c>
      <c r="AE156" t="s">
        <v>464</v>
      </c>
      <c r="AG156" t="s">
        <v>463</v>
      </c>
      <c r="AH156" t="str">
        <f t="shared" si="44"/>
        <v>NatGrdExt_TTO_5</v>
      </c>
      <c r="AI156" t="str">
        <f t="shared" si="54"/>
        <v>Grid Extension -Trinidad and Tobago- Step 5</v>
      </c>
      <c r="AJ156" t="s">
        <v>13</v>
      </c>
      <c r="AK156" t="s">
        <v>11</v>
      </c>
      <c r="AL156" t="s">
        <v>464</v>
      </c>
      <c r="AN156" t="s">
        <v>463</v>
      </c>
      <c r="AO156" t="str">
        <f t="shared" si="45"/>
        <v>NatGrdExt_TTO_6</v>
      </c>
      <c r="AP156" t="str">
        <f t="shared" si="55"/>
        <v>Grid Extension -Trinidad and Tobago- Step 6</v>
      </c>
      <c r="AQ156" t="s">
        <v>13</v>
      </c>
      <c r="AR156" t="s">
        <v>11</v>
      </c>
      <c r="AS156" t="s">
        <v>464</v>
      </c>
      <c r="AU156" t="s">
        <v>463</v>
      </c>
      <c r="AV156" t="str">
        <f t="shared" si="46"/>
        <v>NatGrdExt_TTO_7</v>
      </c>
      <c r="AW156" t="str">
        <f t="shared" si="56"/>
        <v>Grid Extension -Trinidad and Tobago- Step 7</v>
      </c>
      <c r="AX156" t="s">
        <v>13</v>
      </c>
      <c r="AY156" t="s">
        <v>11</v>
      </c>
      <c r="AZ156" t="s">
        <v>464</v>
      </c>
      <c r="BB156" t="s">
        <v>463</v>
      </c>
      <c r="BC156" t="str">
        <f t="shared" si="47"/>
        <v>NatGrdExt_TTO_8</v>
      </c>
      <c r="BD156" t="str">
        <f t="shared" si="57"/>
        <v>Grid Extension -Trinidad and Tobago- Step 8</v>
      </c>
      <c r="BE156" t="s">
        <v>13</v>
      </c>
      <c r="BF156" t="s">
        <v>11</v>
      </c>
      <c r="BG156" t="s">
        <v>464</v>
      </c>
      <c r="BI156" t="s">
        <v>463</v>
      </c>
      <c r="BJ156" t="str">
        <f t="shared" si="48"/>
        <v>NatGrdExt_TTO_9</v>
      </c>
      <c r="BK156" t="str">
        <f t="shared" si="58"/>
        <v>Grid Extension -Trinidad and Tobago- Step 9</v>
      </c>
      <c r="BL156" t="s">
        <v>13</v>
      </c>
      <c r="BM156" t="s">
        <v>11</v>
      </c>
      <c r="BN156" t="s">
        <v>464</v>
      </c>
      <c r="BP156" t="s">
        <v>463</v>
      </c>
      <c r="BQ156" t="str">
        <f t="shared" si="49"/>
        <v>NatGrdExt_TTO_10</v>
      </c>
      <c r="BR156" t="str">
        <f t="shared" si="59"/>
        <v>Grid Extension -Trinidad and Tobago- Step 10</v>
      </c>
      <c r="BS156" t="s">
        <v>13</v>
      </c>
      <c r="BT156" t="s">
        <v>11</v>
      </c>
      <c r="BU156" t="s">
        <v>464</v>
      </c>
    </row>
    <row r="157" spans="1:73">
      <c r="A157" s="5" t="s">
        <v>662</v>
      </c>
      <c r="B157" s="5" t="s">
        <v>663</v>
      </c>
      <c r="E157" t="s">
        <v>463</v>
      </c>
      <c r="F157" t="str">
        <f t="shared" si="40"/>
        <v>NatGrdExt_TUN_1</v>
      </c>
      <c r="G157" t="str">
        <f t="shared" si="50"/>
        <v>Grid Extension -Tunisia- Step 1</v>
      </c>
      <c r="H157" t="s">
        <v>13</v>
      </c>
      <c r="I157" t="s">
        <v>11</v>
      </c>
      <c r="J157" t="s">
        <v>464</v>
      </c>
      <c r="L157" t="s">
        <v>463</v>
      </c>
      <c r="M157" t="str">
        <f t="shared" si="41"/>
        <v>NatGrdExt_TUN_2</v>
      </c>
      <c r="N157" t="str">
        <f t="shared" si="51"/>
        <v>Grid Extension -Tunisia- Step 2</v>
      </c>
      <c r="O157" t="s">
        <v>13</v>
      </c>
      <c r="P157" t="s">
        <v>11</v>
      </c>
      <c r="Q157" t="s">
        <v>464</v>
      </c>
      <c r="S157" t="s">
        <v>463</v>
      </c>
      <c r="T157" t="str">
        <f t="shared" si="42"/>
        <v>NatGrdExt_TUN_3</v>
      </c>
      <c r="U157" t="str">
        <f t="shared" si="52"/>
        <v>Grid Extension -Tunisia- Step 3</v>
      </c>
      <c r="V157" t="s">
        <v>13</v>
      </c>
      <c r="W157" t="s">
        <v>11</v>
      </c>
      <c r="X157" t="s">
        <v>464</v>
      </c>
      <c r="Z157" t="s">
        <v>463</v>
      </c>
      <c r="AA157" t="str">
        <f t="shared" si="43"/>
        <v>NatGrdExt_TUN_4</v>
      </c>
      <c r="AB157" t="str">
        <f t="shared" si="53"/>
        <v>Grid Extension -Tunisia- Step 4</v>
      </c>
      <c r="AC157" t="s">
        <v>13</v>
      </c>
      <c r="AD157" t="s">
        <v>11</v>
      </c>
      <c r="AE157" t="s">
        <v>464</v>
      </c>
      <c r="AG157" t="s">
        <v>463</v>
      </c>
      <c r="AH157" t="str">
        <f t="shared" si="44"/>
        <v>NatGrdExt_TUN_5</v>
      </c>
      <c r="AI157" t="str">
        <f t="shared" si="54"/>
        <v>Grid Extension -Tunisia- Step 5</v>
      </c>
      <c r="AJ157" t="s">
        <v>13</v>
      </c>
      <c r="AK157" t="s">
        <v>11</v>
      </c>
      <c r="AL157" t="s">
        <v>464</v>
      </c>
      <c r="AN157" t="s">
        <v>463</v>
      </c>
      <c r="AO157" t="str">
        <f t="shared" si="45"/>
        <v>NatGrdExt_TUN_6</v>
      </c>
      <c r="AP157" t="str">
        <f t="shared" si="55"/>
        <v>Grid Extension -Tunisia- Step 6</v>
      </c>
      <c r="AQ157" t="s">
        <v>13</v>
      </c>
      <c r="AR157" t="s">
        <v>11</v>
      </c>
      <c r="AS157" t="s">
        <v>464</v>
      </c>
      <c r="AU157" t="s">
        <v>463</v>
      </c>
      <c r="AV157" t="str">
        <f t="shared" si="46"/>
        <v>NatGrdExt_TUN_7</v>
      </c>
      <c r="AW157" t="str">
        <f t="shared" si="56"/>
        <v>Grid Extension -Tunisia- Step 7</v>
      </c>
      <c r="AX157" t="s">
        <v>13</v>
      </c>
      <c r="AY157" t="s">
        <v>11</v>
      </c>
      <c r="AZ157" t="s">
        <v>464</v>
      </c>
      <c r="BB157" t="s">
        <v>463</v>
      </c>
      <c r="BC157" t="str">
        <f t="shared" si="47"/>
        <v>NatGrdExt_TUN_8</v>
      </c>
      <c r="BD157" t="str">
        <f t="shared" si="57"/>
        <v>Grid Extension -Tunisia- Step 8</v>
      </c>
      <c r="BE157" t="s">
        <v>13</v>
      </c>
      <c r="BF157" t="s">
        <v>11</v>
      </c>
      <c r="BG157" t="s">
        <v>464</v>
      </c>
      <c r="BI157" t="s">
        <v>463</v>
      </c>
      <c r="BJ157" t="str">
        <f t="shared" si="48"/>
        <v>NatGrdExt_TUN_9</v>
      </c>
      <c r="BK157" t="str">
        <f t="shared" si="58"/>
        <v>Grid Extension -Tunisia- Step 9</v>
      </c>
      <c r="BL157" t="s">
        <v>13</v>
      </c>
      <c r="BM157" t="s">
        <v>11</v>
      </c>
      <c r="BN157" t="s">
        <v>464</v>
      </c>
      <c r="BP157" t="s">
        <v>463</v>
      </c>
      <c r="BQ157" t="str">
        <f t="shared" si="49"/>
        <v>NatGrdExt_TUN_10</v>
      </c>
      <c r="BR157" t="str">
        <f t="shared" si="59"/>
        <v>Grid Extension -Tunisia- Step 10</v>
      </c>
      <c r="BS157" t="s">
        <v>13</v>
      </c>
      <c r="BT157" t="s">
        <v>11</v>
      </c>
      <c r="BU157" t="s">
        <v>464</v>
      </c>
    </row>
    <row r="158" spans="1:73">
      <c r="A158" s="5" t="s">
        <v>664</v>
      </c>
      <c r="B158" s="5" t="s">
        <v>665</v>
      </c>
      <c r="E158" t="s">
        <v>463</v>
      </c>
      <c r="F158" t="str">
        <f t="shared" si="40"/>
        <v>NatGrdExt_TUR_1</v>
      </c>
      <c r="G158" t="str">
        <f t="shared" si="50"/>
        <v>Grid Extension -Turkey- Step 1</v>
      </c>
      <c r="H158" t="s">
        <v>13</v>
      </c>
      <c r="I158" t="s">
        <v>11</v>
      </c>
      <c r="J158" t="s">
        <v>464</v>
      </c>
      <c r="L158" t="s">
        <v>463</v>
      </c>
      <c r="M158" t="str">
        <f t="shared" si="41"/>
        <v>NatGrdExt_TUR_2</v>
      </c>
      <c r="N158" t="str">
        <f t="shared" si="51"/>
        <v>Grid Extension -Turkey- Step 2</v>
      </c>
      <c r="O158" t="s">
        <v>13</v>
      </c>
      <c r="P158" t="s">
        <v>11</v>
      </c>
      <c r="Q158" t="s">
        <v>464</v>
      </c>
      <c r="S158" t="s">
        <v>463</v>
      </c>
      <c r="T158" t="str">
        <f t="shared" si="42"/>
        <v>NatGrdExt_TUR_3</v>
      </c>
      <c r="U158" t="str">
        <f t="shared" si="52"/>
        <v>Grid Extension -Turkey- Step 3</v>
      </c>
      <c r="V158" t="s">
        <v>13</v>
      </c>
      <c r="W158" t="s">
        <v>11</v>
      </c>
      <c r="X158" t="s">
        <v>464</v>
      </c>
      <c r="Z158" t="s">
        <v>463</v>
      </c>
      <c r="AA158" t="str">
        <f t="shared" si="43"/>
        <v>NatGrdExt_TUR_4</v>
      </c>
      <c r="AB158" t="str">
        <f t="shared" si="53"/>
        <v>Grid Extension -Turkey- Step 4</v>
      </c>
      <c r="AC158" t="s">
        <v>13</v>
      </c>
      <c r="AD158" t="s">
        <v>11</v>
      </c>
      <c r="AE158" t="s">
        <v>464</v>
      </c>
      <c r="AG158" t="s">
        <v>463</v>
      </c>
      <c r="AH158" t="str">
        <f t="shared" si="44"/>
        <v>NatGrdExt_TUR_5</v>
      </c>
      <c r="AI158" t="str">
        <f t="shared" si="54"/>
        <v>Grid Extension -Turkey- Step 5</v>
      </c>
      <c r="AJ158" t="s">
        <v>13</v>
      </c>
      <c r="AK158" t="s">
        <v>11</v>
      </c>
      <c r="AL158" t="s">
        <v>464</v>
      </c>
      <c r="AN158" t="s">
        <v>463</v>
      </c>
      <c r="AO158" t="str">
        <f t="shared" si="45"/>
        <v>NatGrdExt_TUR_6</v>
      </c>
      <c r="AP158" t="str">
        <f t="shared" si="55"/>
        <v>Grid Extension -Turkey- Step 6</v>
      </c>
      <c r="AQ158" t="s">
        <v>13</v>
      </c>
      <c r="AR158" t="s">
        <v>11</v>
      </c>
      <c r="AS158" t="s">
        <v>464</v>
      </c>
      <c r="AU158" t="s">
        <v>463</v>
      </c>
      <c r="AV158" t="str">
        <f t="shared" si="46"/>
        <v>NatGrdExt_TUR_7</v>
      </c>
      <c r="AW158" t="str">
        <f t="shared" si="56"/>
        <v>Grid Extension -Turkey- Step 7</v>
      </c>
      <c r="AX158" t="s">
        <v>13</v>
      </c>
      <c r="AY158" t="s">
        <v>11</v>
      </c>
      <c r="AZ158" t="s">
        <v>464</v>
      </c>
      <c r="BB158" t="s">
        <v>463</v>
      </c>
      <c r="BC158" t="str">
        <f t="shared" si="47"/>
        <v>NatGrdExt_TUR_8</v>
      </c>
      <c r="BD158" t="str">
        <f t="shared" si="57"/>
        <v>Grid Extension -Turkey- Step 8</v>
      </c>
      <c r="BE158" t="s">
        <v>13</v>
      </c>
      <c r="BF158" t="s">
        <v>11</v>
      </c>
      <c r="BG158" t="s">
        <v>464</v>
      </c>
      <c r="BI158" t="s">
        <v>463</v>
      </c>
      <c r="BJ158" t="str">
        <f t="shared" si="48"/>
        <v>NatGrdExt_TUR_9</v>
      </c>
      <c r="BK158" t="str">
        <f t="shared" si="58"/>
        <v>Grid Extension -Turkey- Step 9</v>
      </c>
      <c r="BL158" t="s">
        <v>13</v>
      </c>
      <c r="BM158" t="s">
        <v>11</v>
      </c>
      <c r="BN158" t="s">
        <v>464</v>
      </c>
      <c r="BP158" t="s">
        <v>463</v>
      </c>
      <c r="BQ158" t="str">
        <f t="shared" si="49"/>
        <v>NatGrdExt_TUR_10</v>
      </c>
      <c r="BR158" t="str">
        <f t="shared" si="59"/>
        <v>Grid Extension -Turkey- Step 10</v>
      </c>
      <c r="BS158" t="s">
        <v>13</v>
      </c>
      <c r="BT158" t="s">
        <v>11</v>
      </c>
      <c r="BU158" t="s">
        <v>464</v>
      </c>
    </row>
    <row r="159" spans="1:73">
      <c r="A159" s="5" t="s">
        <v>666</v>
      </c>
      <c r="B159" s="5" t="s">
        <v>667</v>
      </c>
      <c r="E159" t="s">
        <v>463</v>
      </c>
      <c r="F159" t="str">
        <f t="shared" si="40"/>
        <v>NatGrdExt_TWN_1</v>
      </c>
      <c r="G159" t="str">
        <f t="shared" si="50"/>
        <v>Grid Extension -Taiwan- Step 1</v>
      </c>
      <c r="H159" t="s">
        <v>13</v>
      </c>
      <c r="I159" t="s">
        <v>11</v>
      </c>
      <c r="J159" t="s">
        <v>464</v>
      </c>
      <c r="L159" t="s">
        <v>463</v>
      </c>
      <c r="M159" t="str">
        <f t="shared" si="41"/>
        <v>NatGrdExt_TWN_2</v>
      </c>
      <c r="N159" t="str">
        <f t="shared" si="51"/>
        <v>Grid Extension -Taiwan- Step 2</v>
      </c>
      <c r="O159" t="s">
        <v>13</v>
      </c>
      <c r="P159" t="s">
        <v>11</v>
      </c>
      <c r="Q159" t="s">
        <v>464</v>
      </c>
      <c r="S159" t="s">
        <v>463</v>
      </c>
      <c r="T159" t="str">
        <f t="shared" si="42"/>
        <v>NatGrdExt_TWN_3</v>
      </c>
      <c r="U159" t="str">
        <f t="shared" si="52"/>
        <v>Grid Extension -Taiwan- Step 3</v>
      </c>
      <c r="V159" t="s">
        <v>13</v>
      </c>
      <c r="W159" t="s">
        <v>11</v>
      </c>
      <c r="X159" t="s">
        <v>464</v>
      </c>
      <c r="Z159" t="s">
        <v>463</v>
      </c>
      <c r="AA159" t="str">
        <f t="shared" si="43"/>
        <v>NatGrdExt_TWN_4</v>
      </c>
      <c r="AB159" t="str">
        <f t="shared" si="53"/>
        <v>Grid Extension -Taiwan- Step 4</v>
      </c>
      <c r="AC159" t="s">
        <v>13</v>
      </c>
      <c r="AD159" t="s">
        <v>11</v>
      </c>
      <c r="AE159" t="s">
        <v>464</v>
      </c>
      <c r="AG159" t="s">
        <v>463</v>
      </c>
      <c r="AH159" t="str">
        <f t="shared" si="44"/>
        <v>NatGrdExt_TWN_5</v>
      </c>
      <c r="AI159" t="str">
        <f t="shared" si="54"/>
        <v>Grid Extension -Taiwan- Step 5</v>
      </c>
      <c r="AJ159" t="s">
        <v>13</v>
      </c>
      <c r="AK159" t="s">
        <v>11</v>
      </c>
      <c r="AL159" t="s">
        <v>464</v>
      </c>
      <c r="AN159" t="s">
        <v>463</v>
      </c>
      <c r="AO159" t="str">
        <f t="shared" si="45"/>
        <v>NatGrdExt_TWN_6</v>
      </c>
      <c r="AP159" t="str">
        <f t="shared" si="55"/>
        <v>Grid Extension -Taiwan- Step 6</v>
      </c>
      <c r="AQ159" t="s">
        <v>13</v>
      </c>
      <c r="AR159" t="s">
        <v>11</v>
      </c>
      <c r="AS159" t="s">
        <v>464</v>
      </c>
      <c r="AU159" t="s">
        <v>463</v>
      </c>
      <c r="AV159" t="str">
        <f t="shared" si="46"/>
        <v>NatGrdExt_TWN_7</v>
      </c>
      <c r="AW159" t="str">
        <f t="shared" si="56"/>
        <v>Grid Extension -Taiwan- Step 7</v>
      </c>
      <c r="AX159" t="s">
        <v>13</v>
      </c>
      <c r="AY159" t="s">
        <v>11</v>
      </c>
      <c r="AZ159" t="s">
        <v>464</v>
      </c>
      <c r="BB159" t="s">
        <v>463</v>
      </c>
      <c r="BC159" t="str">
        <f t="shared" si="47"/>
        <v>NatGrdExt_TWN_8</v>
      </c>
      <c r="BD159" t="str">
        <f t="shared" si="57"/>
        <v>Grid Extension -Taiwan- Step 8</v>
      </c>
      <c r="BE159" t="s">
        <v>13</v>
      </c>
      <c r="BF159" t="s">
        <v>11</v>
      </c>
      <c r="BG159" t="s">
        <v>464</v>
      </c>
      <c r="BI159" t="s">
        <v>463</v>
      </c>
      <c r="BJ159" t="str">
        <f t="shared" si="48"/>
        <v>NatGrdExt_TWN_9</v>
      </c>
      <c r="BK159" t="str">
        <f t="shared" si="58"/>
        <v>Grid Extension -Taiwan- Step 9</v>
      </c>
      <c r="BL159" t="s">
        <v>13</v>
      </c>
      <c r="BM159" t="s">
        <v>11</v>
      </c>
      <c r="BN159" t="s">
        <v>464</v>
      </c>
      <c r="BP159" t="s">
        <v>463</v>
      </c>
      <c r="BQ159" t="str">
        <f t="shared" si="49"/>
        <v>NatGrdExt_TWN_10</v>
      </c>
      <c r="BR159" t="str">
        <f t="shared" si="59"/>
        <v>Grid Extension -Taiwan- Step 10</v>
      </c>
      <c r="BS159" t="s">
        <v>13</v>
      </c>
      <c r="BT159" t="s">
        <v>11</v>
      </c>
      <c r="BU159" t="s">
        <v>464</v>
      </c>
    </row>
    <row r="160" spans="1:73">
      <c r="A160" s="5" t="s">
        <v>70</v>
      </c>
      <c r="B160" s="5" t="s">
        <v>130</v>
      </c>
      <c r="E160" t="s">
        <v>463</v>
      </c>
      <c r="F160" t="str">
        <f t="shared" si="40"/>
        <v>NatGrdExt_TZA_1</v>
      </c>
      <c r="G160" t="str">
        <f t="shared" si="50"/>
        <v>Grid Extension -Tanzania- Step 1</v>
      </c>
      <c r="H160" t="s">
        <v>13</v>
      </c>
      <c r="I160" t="s">
        <v>11</v>
      </c>
      <c r="J160" t="s">
        <v>464</v>
      </c>
      <c r="L160" t="s">
        <v>463</v>
      </c>
      <c r="M160" t="str">
        <f t="shared" si="41"/>
        <v>NatGrdExt_TZA_2</v>
      </c>
      <c r="N160" t="str">
        <f t="shared" si="51"/>
        <v>Grid Extension -Tanzania- Step 2</v>
      </c>
      <c r="O160" t="s">
        <v>13</v>
      </c>
      <c r="P160" t="s">
        <v>11</v>
      </c>
      <c r="Q160" t="s">
        <v>464</v>
      </c>
      <c r="S160" t="s">
        <v>463</v>
      </c>
      <c r="T160" t="str">
        <f t="shared" si="42"/>
        <v>NatGrdExt_TZA_3</v>
      </c>
      <c r="U160" t="str">
        <f t="shared" si="52"/>
        <v>Grid Extension -Tanzania- Step 3</v>
      </c>
      <c r="V160" t="s">
        <v>13</v>
      </c>
      <c r="W160" t="s">
        <v>11</v>
      </c>
      <c r="X160" t="s">
        <v>464</v>
      </c>
      <c r="Z160" t="s">
        <v>463</v>
      </c>
      <c r="AA160" t="str">
        <f t="shared" si="43"/>
        <v>NatGrdExt_TZA_4</v>
      </c>
      <c r="AB160" t="str">
        <f t="shared" si="53"/>
        <v>Grid Extension -Tanzania- Step 4</v>
      </c>
      <c r="AC160" t="s">
        <v>13</v>
      </c>
      <c r="AD160" t="s">
        <v>11</v>
      </c>
      <c r="AE160" t="s">
        <v>464</v>
      </c>
      <c r="AG160" t="s">
        <v>463</v>
      </c>
      <c r="AH160" t="str">
        <f t="shared" si="44"/>
        <v>NatGrdExt_TZA_5</v>
      </c>
      <c r="AI160" t="str">
        <f t="shared" si="54"/>
        <v>Grid Extension -Tanzania- Step 5</v>
      </c>
      <c r="AJ160" t="s">
        <v>13</v>
      </c>
      <c r="AK160" t="s">
        <v>11</v>
      </c>
      <c r="AL160" t="s">
        <v>464</v>
      </c>
      <c r="AN160" t="s">
        <v>463</v>
      </c>
      <c r="AO160" t="str">
        <f t="shared" si="45"/>
        <v>NatGrdExt_TZA_6</v>
      </c>
      <c r="AP160" t="str">
        <f t="shared" si="55"/>
        <v>Grid Extension -Tanzania- Step 6</v>
      </c>
      <c r="AQ160" t="s">
        <v>13</v>
      </c>
      <c r="AR160" t="s">
        <v>11</v>
      </c>
      <c r="AS160" t="s">
        <v>464</v>
      </c>
      <c r="AU160" t="s">
        <v>463</v>
      </c>
      <c r="AV160" t="str">
        <f t="shared" si="46"/>
        <v>NatGrdExt_TZA_7</v>
      </c>
      <c r="AW160" t="str">
        <f t="shared" si="56"/>
        <v>Grid Extension -Tanzania- Step 7</v>
      </c>
      <c r="AX160" t="s">
        <v>13</v>
      </c>
      <c r="AY160" t="s">
        <v>11</v>
      </c>
      <c r="AZ160" t="s">
        <v>464</v>
      </c>
      <c r="BB160" t="s">
        <v>463</v>
      </c>
      <c r="BC160" t="str">
        <f t="shared" si="47"/>
        <v>NatGrdExt_TZA_8</v>
      </c>
      <c r="BD160" t="str">
        <f t="shared" si="57"/>
        <v>Grid Extension -Tanzania- Step 8</v>
      </c>
      <c r="BE160" t="s">
        <v>13</v>
      </c>
      <c r="BF160" t="s">
        <v>11</v>
      </c>
      <c r="BG160" t="s">
        <v>464</v>
      </c>
      <c r="BI160" t="s">
        <v>463</v>
      </c>
      <c r="BJ160" t="str">
        <f t="shared" si="48"/>
        <v>NatGrdExt_TZA_9</v>
      </c>
      <c r="BK160" t="str">
        <f t="shared" si="58"/>
        <v>Grid Extension -Tanzania- Step 9</v>
      </c>
      <c r="BL160" t="s">
        <v>13</v>
      </c>
      <c r="BM160" t="s">
        <v>11</v>
      </c>
      <c r="BN160" t="s">
        <v>464</v>
      </c>
      <c r="BP160" t="s">
        <v>463</v>
      </c>
      <c r="BQ160" t="str">
        <f t="shared" si="49"/>
        <v>NatGrdExt_TZA_10</v>
      </c>
      <c r="BR160" t="str">
        <f t="shared" si="59"/>
        <v>Grid Extension -Tanzania- Step 10</v>
      </c>
      <c r="BS160" t="s">
        <v>13</v>
      </c>
      <c r="BT160" t="s">
        <v>11</v>
      </c>
      <c r="BU160" t="s">
        <v>464</v>
      </c>
    </row>
    <row r="161" spans="1:73">
      <c r="A161" s="5" t="s">
        <v>71</v>
      </c>
      <c r="B161" s="5" t="s">
        <v>131</v>
      </c>
      <c r="E161" t="s">
        <v>463</v>
      </c>
      <c r="F161" t="str">
        <f t="shared" si="40"/>
        <v>NatGrdExt_UGA_1</v>
      </c>
      <c r="G161" t="str">
        <f t="shared" si="50"/>
        <v>Grid Extension -Uganda- Step 1</v>
      </c>
      <c r="H161" t="s">
        <v>13</v>
      </c>
      <c r="I161" t="s">
        <v>11</v>
      </c>
      <c r="J161" t="s">
        <v>464</v>
      </c>
      <c r="L161" t="s">
        <v>463</v>
      </c>
      <c r="M161" t="str">
        <f t="shared" si="41"/>
        <v>NatGrdExt_UGA_2</v>
      </c>
      <c r="N161" t="str">
        <f t="shared" si="51"/>
        <v>Grid Extension -Uganda- Step 2</v>
      </c>
      <c r="O161" t="s">
        <v>13</v>
      </c>
      <c r="P161" t="s">
        <v>11</v>
      </c>
      <c r="Q161" t="s">
        <v>464</v>
      </c>
      <c r="S161" t="s">
        <v>463</v>
      </c>
      <c r="T161" t="str">
        <f t="shared" si="42"/>
        <v>NatGrdExt_UGA_3</v>
      </c>
      <c r="U161" t="str">
        <f t="shared" si="52"/>
        <v>Grid Extension -Uganda- Step 3</v>
      </c>
      <c r="V161" t="s">
        <v>13</v>
      </c>
      <c r="W161" t="s">
        <v>11</v>
      </c>
      <c r="X161" t="s">
        <v>464</v>
      </c>
      <c r="Z161" t="s">
        <v>463</v>
      </c>
      <c r="AA161" t="str">
        <f t="shared" si="43"/>
        <v>NatGrdExt_UGA_4</v>
      </c>
      <c r="AB161" t="str">
        <f t="shared" si="53"/>
        <v>Grid Extension -Uganda- Step 4</v>
      </c>
      <c r="AC161" t="s">
        <v>13</v>
      </c>
      <c r="AD161" t="s">
        <v>11</v>
      </c>
      <c r="AE161" t="s">
        <v>464</v>
      </c>
      <c r="AG161" t="s">
        <v>463</v>
      </c>
      <c r="AH161" t="str">
        <f t="shared" si="44"/>
        <v>NatGrdExt_UGA_5</v>
      </c>
      <c r="AI161" t="str">
        <f t="shared" si="54"/>
        <v>Grid Extension -Uganda- Step 5</v>
      </c>
      <c r="AJ161" t="s">
        <v>13</v>
      </c>
      <c r="AK161" t="s">
        <v>11</v>
      </c>
      <c r="AL161" t="s">
        <v>464</v>
      </c>
      <c r="AN161" t="s">
        <v>463</v>
      </c>
      <c r="AO161" t="str">
        <f t="shared" si="45"/>
        <v>NatGrdExt_UGA_6</v>
      </c>
      <c r="AP161" t="str">
        <f t="shared" si="55"/>
        <v>Grid Extension -Uganda- Step 6</v>
      </c>
      <c r="AQ161" t="s">
        <v>13</v>
      </c>
      <c r="AR161" t="s">
        <v>11</v>
      </c>
      <c r="AS161" t="s">
        <v>464</v>
      </c>
      <c r="AU161" t="s">
        <v>463</v>
      </c>
      <c r="AV161" t="str">
        <f t="shared" si="46"/>
        <v>NatGrdExt_UGA_7</v>
      </c>
      <c r="AW161" t="str">
        <f t="shared" si="56"/>
        <v>Grid Extension -Uganda- Step 7</v>
      </c>
      <c r="AX161" t="s">
        <v>13</v>
      </c>
      <c r="AY161" t="s">
        <v>11</v>
      </c>
      <c r="AZ161" t="s">
        <v>464</v>
      </c>
      <c r="BB161" t="s">
        <v>463</v>
      </c>
      <c r="BC161" t="str">
        <f t="shared" si="47"/>
        <v>NatGrdExt_UGA_8</v>
      </c>
      <c r="BD161" t="str">
        <f t="shared" si="57"/>
        <v>Grid Extension -Uganda- Step 8</v>
      </c>
      <c r="BE161" t="s">
        <v>13</v>
      </c>
      <c r="BF161" t="s">
        <v>11</v>
      </c>
      <c r="BG161" t="s">
        <v>464</v>
      </c>
      <c r="BI161" t="s">
        <v>463</v>
      </c>
      <c r="BJ161" t="str">
        <f t="shared" si="48"/>
        <v>NatGrdExt_UGA_9</v>
      </c>
      <c r="BK161" t="str">
        <f t="shared" si="58"/>
        <v>Grid Extension -Uganda- Step 9</v>
      </c>
      <c r="BL161" t="s">
        <v>13</v>
      </c>
      <c r="BM161" t="s">
        <v>11</v>
      </c>
      <c r="BN161" t="s">
        <v>464</v>
      </c>
      <c r="BP161" t="s">
        <v>463</v>
      </c>
      <c r="BQ161" t="str">
        <f t="shared" si="49"/>
        <v>NatGrdExt_UGA_10</v>
      </c>
      <c r="BR161" t="str">
        <f t="shared" si="59"/>
        <v>Grid Extension -Uganda- Step 10</v>
      </c>
      <c r="BS161" t="s">
        <v>13</v>
      </c>
      <c r="BT161" t="s">
        <v>11</v>
      </c>
      <c r="BU161" t="s">
        <v>464</v>
      </c>
    </row>
    <row r="162" spans="1:73">
      <c r="A162" s="5" t="s">
        <v>668</v>
      </c>
      <c r="B162" s="5" t="s">
        <v>669</v>
      </c>
      <c r="E162" t="s">
        <v>463</v>
      </c>
      <c r="F162" t="str">
        <f t="shared" si="40"/>
        <v>NatGrdExt_UKR_1</v>
      </c>
      <c r="G162" t="str">
        <f t="shared" si="50"/>
        <v>Grid Extension -Ukraine- Step 1</v>
      </c>
      <c r="H162" t="s">
        <v>13</v>
      </c>
      <c r="I162" t="s">
        <v>11</v>
      </c>
      <c r="J162" t="s">
        <v>464</v>
      </c>
      <c r="L162" t="s">
        <v>463</v>
      </c>
      <c r="M162" t="str">
        <f t="shared" si="41"/>
        <v>NatGrdExt_UKR_2</v>
      </c>
      <c r="N162" t="str">
        <f t="shared" si="51"/>
        <v>Grid Extension -Ukraine- Step 2</v>
      </c>
      <c r="O162" t="s">
        <v>13</v>
      </c>
      <c r="P162" t="s">
        <v>11</v>
      </c>
      <c r="Q162" t="s">
        <v>464</v>
      </c>
      <c r="S162" t="s">
        <v>463</v>
      </c>
      <c r="T162" t="str">
        <f t="shared" si="42"/>
        <v>NatGrdExt_UKR_3</v>
      </c>
      <c r="U162" t="str">
        <f t="shared" si="52"/>
        <v>Grid Extension -Ukraine- Step 3</v>
      </c>
      <c r="V162" t="s">
        <v>13</v>
      </c>
      <c r="W162" t="s">
        <v>11</v>
      </c>
      <c r="X162" t="s">
        <v>464</v>
      </c>
      <c r="Z162" t="s">
        <v>463</v>
      </c>
      <c r="AA162" t="str">
        <f t="shared" si="43"/>
        <v>NatGrdExt_UKR_4</v>
      </c>
      <c r="AB162" t="str">
        <f t="shared" si="53"/>
        <v>Grid Extension -Ukraine- Step 4</v>
      </c>
      <c r="AC162" t="s">
        <v>13</v>
      </c>
      <c r="AD162" t="s">
        <v>11</v>
      </c>
      <c r="AE162" t="s">
        <v>464</v>
      </c>
      <c r="AG162" t="s">
        <v>463</v>
      </c>
      <c r="AH162" t="str">
        <f t="shared" si="44"/>
        <v>NatGrdExt_UKR_5</v>
      </c>
      <c r="AI162" t="str">
        <f t="shared" si="54"/>
        <v>Grid Extension -Ukraine- Step 5</v>
      </c>
      <c r="AJ162" t="s">
        <v>13</v>
      </c>
      <c r="AK162" t="s">
        <v>11</v>
      </c>
      <c r="AL162" t="s">
        <v>464</v>
      </c>
      <c r="AN162" t="s">
        <v>463</v>
      </c>
      <c r="AO162" t="str">
        <f t="shared" si="45"/>
        <v>NatGrdExt_UKR_6</v>
      </c>
      <c r="AP162" t="str">
        <f t="shared" si="55"/>
        <v>Grid Extension -Ukraine- Step 6</v>
      </c>
      <c r="AQ162" t="s">
        <v>13</v>
      </c>
      <c r="AR162" t="s">
        <v>11</v>
      </c>
      <c r="AS162" t="s">
        <v>464</v>
      </c>
      <c r="AU162" t="s">
        <v>463</v>
      </c>
      <c r="AV162" t="str">
        <f t="shared" si="46"/>
        <v>NatGrdExt_UKR_7</v>
      </c>
      <c r="AW162" t="str">
        <f t="shared" si="56"/>
        <v>Grid Extension -Ukraine- Step 7</v>
      </c>
      <c r="AX162" t="s">
        <v>13</v>
      </c>
      <c r="AY162" t="s">
        <v>11</v>
      </c>
      <c r="AZ162" t="s">
        <v>464</v>
      </c>
      <c r="BB162" t="s">
        <v>463</v>
      </c>
      <c r="BC162" t="str">
        <f t="shared" si="47"/>
        <v>NatGrdExt_UKR_8</v>
      </c>
      <c r="BD162" t="str">
        <f t="shared" si="57"/>
        <v>Grid Extension -Ukraine- Step 8</v>
      </c>
      <c r="BE162" t="s">
        <v>13</v>
      </c>
      <c r="BF162" t="s">
        <v>11</v>
      </c>
      <c r="BG162" t="s">
        <v>464</v>
      </c>
      <c r="BI162" t="s">
        <v>463</v>
      </c>
      <c r="BJ162" t="str">
        <f t="shared" si="48"/>
        <v>NatGrdExt_UKR_9</v>
      </c>
      <c r="BK162" t="str">
        <f t="shared" si="58"/>
        <v>Grid Extension -Ukraine- Step 9</v>
      </c>
      <c r="BL162" t="s">
        <v>13</v>
      </c>
      <c r="BM162" t="s">
        <v>11</v>
      </c>
      <c r="BN162" t="s">
        <v>464</v>
      </c>
      <c r="BP162" t="s">
        <v>463</v>
      </c>
      <c r="BQ162" t="str">
        <f t="shared" si="49"/>
        <v>NatGrdExt_UKR_10</v>
      </c>
      <c r="BR162" t="str">
        <f t="shared" si="59"/>
        <v>Grid Extension -Ukraine- Step 10</v>
      </c>
      <c r="BS162" t="s">
        <v>13</v>
      </c>
      <c r="BT162" t="s">
        <v>11</v>
      </c>
      <c r="BU162" t="s">
        <v>464</v>
      </c>
    </row>
    <row r="163" spans="1:73">
      <c r="A163" s="5" t="s">
        <v>670</v>
      </c>
      <c r="B163" s="5" t="s">
        <v>671</v>
      </c>
      <c r="E163" t="s">
        <v>463</v>
      </c>
      <c r="F163" t="str">
        <f t="shared" si="40"/>
        <v>NatGrdExt_URY_1</v>
      </c>
      <c r="G163" t="str">
        <f t="shared" si="50"/>
        <v>Grid Extension -Uruguay- Step 1</v>
      </c>
      <c r="H163" t="s">
        <v>13</v>
      </c>
      <c r="I163" t="s">
        <v>11</v>
      </c>
      <c r="J163" t="s">
        <v>464</v>
      </c>
      <c r="L163" t="s">
        <v>463</v>
      </c>
      <c r="M163" t="str">
        <f t="shared" si="41"/>
        <v>NatGrdExt_URY_2</v>
      </c>
      <c r="N163" t="str">
        <f t="shared" si="51"/>
        <v>Grid Extension -Uruguay- Step 2</v>
      </c>
      <c r="O163" t="s">
        <v>13</v>
      </c>
      <c r="P163" t="s">
        <v>11</v>
      </c>
      <c r="Q163" t="s">
        <v>464</v>
      </c>
      <c r="S163" t="s">
        <v>463</v>
      </c>
      <c r="T163" t="str">
        <f t="shared" si="42"/>
        <v>NatGrdExt_URY_3</v>
      </c>
      <c r="U163" t="str">
        <f t="shared" si="52"/>
        <v>Grid Extension -Uruguay- Step 3</v>
      </c>
      <c r="V163" t="s">
        <v>13</v>
      </c>
      <c r="W163" t="s">
        <v>11</v>
      </c>
      <c r="X163" t="s">
        <v>464</v>
      </c>
      <c r="Z163" t="s">
        <v>463</v>
      </c>
      <c r="AA163" t="str">
        <f t="shared" si="43"/>
        <v>NatGrdExt_URY_4</v>
      </c>
      <c r="AB163" t="str">
        <f t="shared" si="53"/>
        <v>Grid Extension -Uruguay- Step 4</v>
      </c>
      <c r="AC163" t="s">
        <v>13</v>
      </c>
      <c r="AD163" t="s">
        <v>11</v>
      </c>
      <c r="AE163" t="s">
        <v>464</v>
      </c>
      <c r="AG163" t="s">
        <v>463</v>
      </c>
      <c r="AH163" t="str">
        <f t="shared" si="44"/>
        <v>NatGrdExt_URY_5</v>
      </c>
      <c r="AI163" t="str">
        <f t="shared" si="54"/>
        <v>Grid Extension -Uruguay- Step 5</v>
      </c>
      <c r="AJ163" t="s">
        <v>13</v>
      </c>
      <c r="AK163" t="s">
        <v>11</v>
      </c>
      <c r="AL163" t="s">
        <v>464</v>
      </c>
      <c r="AN163" t="s">
        <v>463</v>
      </c>
      <c r="AO163" t="str">
        <f t="shared" si="45"/>
        <v>NatGrdExt_URY_6</v>
      </c>
      <c r="AP163" t="str">
        <f t="shared" si="55"/>
        <v>Grid Extension -Uruguay- Step 6</v>
      </c>
      <c r="AQ163" t="s">
        <v>13</v>
      </c>
      <c r="AR163" t="s">
        <v>11</v>
      </c>
      <c r="AS163" t="s">
        <v>464</v>
      </c>
      <c r="AU163" t="s">
        <v>463</v>
      </c>
      <c r="AV163" t="str">
        <f t="shared" si="46"/>
        <v>NatGrdExt_URY_7</v>
      </c>
      <c r="AW163" t="str">
        <f t="shared" si="56"/>
        <v>Grid Extension -Uruguay- Step 7</v>
      </c>
      <c r="AX163" t="s">
        <v>13</v>
      </c>
      <c r="AY163" t="s">
        <v>11</v>
      </c>
      <c r="AZ163" t="s">
        <v>464</v>
      </c>
      <c r="BB163" t="s">
        <v>463</v>
      </c>
      <c r="BC163" t="str">
        <f t="shared" si="47"/>
        <v>NatGrdExt_URY_8</v>
      </c>
      <c r="BD163" t="str">
        <f t="shared" si="57"/>
        <v>Grid Extension -Uruguay- Step 8</v>
      </c>
      <c r="BE163" t="s">
        <v>13</v>
      </c>
      <c r="BF163" t="s">
        <v>11</v>
      </c>
      <c r="BG163" t="s">
        <v>464</v>
      </c>
      <c r="BI163" t="s">
        <v>463</v>
      </c>
      <c r="BJ163" t="str">
        <f t="shared" si="48"/>
        <v>NatGrdExt_URY_9</v>
      </c>
      <c r="BK163" t="str">
        <f t="shared" si="58"/>
        <v>Grid Extension -Uruguay- Step 9</v>
      </c>
      <c r="BL163" t="s">
        <v>13</v>
      </c>
      <c r="BM163" t="s">
        <v>11</v>
      </c>
      <c r="BN163" t="s">
        <v>464</v>
      </c>
      <c r="BP163" t="s">
        <v>463</v>
      </c>
      <c r="BQ163" t="str">
        <f t="shared" si="49"/>
        <v>NatGrdExt_URY_10</v>
      </c>
      <c r="BR163" t="str">
        <f t="shared" si="59"/>
        <v>Grid Extension -Uruguay- Step 10</v>
      </c>
      <c r="BS163" t="s">
        <v>13</v>
      </c>
      <c r="BT163" t="s">
        <v>11</v>
      </c>
      <c r="BU163" t="s">
        <v>464</v>
      </c>
    </row>
    <row r="164" spans="1:73">
      <c r="A164" s="5" t="s">
        <v>672</v>
      </c>
      <c r="B164" s="5" t="s">
        <v>673</v>
      </c>
      <c r="E164" t="s">
        <v>463</v>
      </c>
      <c r="F164" t="str">
        <f t="shared" si="40"/>
        <v>NatGrdExt_USA_1</v>
      </c>
      <c r="G164" t="str">
        <f t="shared" si="50"/>
        <v>Grid Extension -United States- Step 1</v>
      </c>
      <c r="H164" t="s">
        <v>13</v>
      </c>
      <c r="I164" t="s">
        <v>11</v>
      </c>
      <c r="J164" t="s">
        <v>464</v>
      </c>
      <c r="L164" t="s">
        <v>463</v>
      </c>
      <c r="M164" t="str">
        <f t="shared" si="41"/>
        <v>NatGrdExt_USA_2</v>
      </c>
      <c r="N164" t="str">
        <f t="shared" si="51"/>
        <v>Grid Extension -United States- Step 2</v>
      </c>
      <c r="O164" t="s">
        <v>13</v>
      </c>
      <c r="P164" t="s">
        <v>11</v>
      </c>
      <c r="Q164" t="s">
        <v>464</v>
      </c>
      <c r="S164" t="s">
        <v>463</v>
      </c>
      <c r="T164" t="str">
        <f t="shared" si="42"/>
        <v>NatGrdExt_USA_3</v>
      </c>
      <c r="U164" t="str">
        <f t="shared" si="52"/>
        <v>Grid Extension -United States- Step 3</v>
      </c>
      <c r="V164" t="s">
        <v>13</v>
      </c>
      <c r="W164" t="s">
        <v>11</v>
      </c>
      <c r="X164" t="s">
        <v>464</v>
      </c>
      <c r="Z164" t="s">
        <v>463</v>
      </c>
      <c r="AA164" t="str">
        <f t="shared" si="43"/>
        <v>NatGrdExt_USA_4</v>
      </c>
      <c r="AB164" t="str">
        <f t="shared" si="53"/>
        <v>Grid Extension -United States- Step 4</v>
      </c>
      <c r="AC164" t="s">
        <v>13</v>
      </c>
      <c r="AD164" t="s">
        <v>11</v>
      </c>
      <c r="AE164" t="s">
        <v>464</v>
      </c>
      <c r="AG164" t="s">
        <v>463</v>
      </c>
      <c r="AH164" t="str">
        <f t="shared" si="44"/>
        <v>NatGrdExt_USA_5</v>
      </c>
      <c r="AI164" t="str">
        <f t="shared" si="54"/>
        <v>Grid Extension -United States- Step 5</v>
      </c>
      <c r="AJ164" t="s">
        <v>13</v>
      </c>
      <c r="AK164" t="s">
        <v>11</v>
      </c>
      <c r="AL164" t="s">
        <v>464</v>
      </c>
      <c r="AN164" t="s">
        <v>463</v>
      </c>
      <c r="AO164" t="str">
        <f t="shared" si="45"/>
        <v>NatGrdExt_USA_6</v>
      </c>
      <c r="AP164" t="str">
        <f t="shared" si="55"/>
        <v>Grid Extension -United States- Step 6</v>
      </c>
      <c r="AQ164" t="s">
        <v>13</v>
      </c>
      <c r="AR164" t="s">
        <v>11</v>
      </c>
      <c r="AS164" t="s">
        <v>464</v>
      </c>
      <c r="AU164" t="s">
        <v>463</v>
      </c>
      <c r="AV164" t="str">
        <f t="shared" si="46"/>
        <v>NatGrdExt_USA_7</v>
      </c>
      <c r="AW164" t="str">
        <f t="shared" si="56"/>
        <v>Grid Extension -United States- Step 7</v>
      </c>
      <c r="AX164" t="s">
        <v>13</v>
      </c>
      <c r="AY164" t="s">
        <v>11</v>
      </c>
      <c r="AZ164" t="s">
        <v>464</v>
      </c>
      <c r="BB164" t="s">
        <v>463</v>
      </c>
      <c r="BC164" t="str">
        <f t="shared" si="47"/>
        <v>NatGrdExt_USA_8</v>
      </c>
      <c r="BD164" t="str">
        <f t="shared" si="57"/>
        <v>Grid Extension -United States- Step 8</v>
      </c>
      <c r="BE164" t="s">
        <v>13</v>
      </c>
      <c r="BF164" t="s">
        <v>11</v>
      </c>
      <c r="BG164" t="s">
        <v>464</v>
      </c>
      <c r="BI164" t="s">
        <v>463</v>
      </c>
      <c r="BJ164" t="str">
        <f t="shared" si="48"/>
        <v>NatGrdExt_USA_9</v>
      </c>
      <c r="BK164" t="str">
        <f t="shared" si="58"/>
        <v>Grid Extension -United States- Step 9</v>
      </c>
      <c r="BL164" t="s">
        <v>13</v>
      </c>
      <c r="BM164" t="s">
        <v>11</v>
      </c>
      <c r="BN164" t="s">
        <v>464</v>
      </c>
      <c r="BP164" t="s">
        <v>463</v>
      </c>
      <c r="BQ164" t="str">
        <f t="shared" si="49"/>
        <v>NatGrdExt_USA_10</v>
      </c>
      <c r="BR164" t="str">
        <f t="shared" si="59"/>
        <v>Grid Extension -United States- Step 10</v>
      </c>
      <c r="BS164" t="s">
        <v>13</v>
      </c>
      <c r="BT164" t="s">
        <v>11</v>
      </c>
      <c r="BU164" t="s">
        <v>464</v>
      </c>
    </row>
    <row r="165" spans="1:73">
      <c r="A165" s="5" t="s">
        <v>674</v>
      </c>
      <c r="B165" s="5" t="s">
        <v>675</v>
      </c>
      <c r="E165" t="s">
        <v>463</v>
      </c>
      <c r="F165" t="str">
        <f t="shared" si="40"/>
        <v>NatGrdExt_UZB_1</v>
      </c>
      <c r="G165" t="str">
        <f t="shared" si="50"/>
        <v>Grid Extension -Uzbekistan- Step 1</v>
      </c>
      <c r="H165" t="s">
        <v>13</v>
      </c>
      <c r="I165" t="s">
        <v>11</v>
      </c>
      <c r="J165" t="s">
        <v>464</v>
      </c>
      <c r="L165" t="s">
        <v>463</v>
      </c>
      <c r="M165" t="str">
        <f t="shared" si="41"/>
        <v>NatGrdExt_UZB_2</v>
      </c>
      <c r="N165" t="str">
        <f t="shared" si="51"/>
        <v>Grid Extension -Uzbekistan- Step 2</v>
      </c>
      <c r="O165" t="s">
        <v>13</v>
      </c>
      <c r="P165" t="s">
        <v>11</v>
      </c>
      <c r="Q165" t="s">
        <v>464</v>
      </c>
      <c r="S165" t="s">
        <v>463</v>
      </c>
      <c r="T165" t="str">
        <f t="shared" si="42"/>
        <v>NatGrdExt_UZB_3</v>
      </c>
      <c r="U165" t="str">
        <f t="shared" si="52"/>
        <v>Grid Extension -Uzbekistan- Step 3</v>
      </c>
      <c r="V165" t="s">
        <v>13</v>
      </c>
      <c r="W165" t="s">
        <v>11</v>
      </c>
      <c r="X165" t="s">
        <v>464</v>
      </c>
      <c r="Z165" t="s">
        <v>463</v>
      </c>
      <c r="AA165" t="str">
        <f t="shared" si="43"/>
        <v>NatGrdExt_UZB_4</v>
      </c>
      <c r="AB165" t="str">
        <f t="shared" si="53"/>
        <v>Grid Extension -Uzbekistan- Step 4</v>
      </c>
      <c r="AC165" t="s">
        <v>13</v>
      </c>
      <c r="AD165" t="s">
        <v>11</v>
      </c>
      <c r="AE165" t="s">
        <v>464</v>
      </c>
      <c r="AG165" t="s">
        <v>463</v>
      </c>
      <c r="AH165" t="str">
        <f t="shared" si="44"/>
        <v>NatGrdExt_UZB_5</v>
      </c>
      <c r="AI165" t="str">
        <f t="shared" si="54"/>
        <v>Grid Extension -Uzbekistan- Step 5</v>
      </c>
      <c r="AJ165" t="s">
        <v>13</v>
      </c>
      <c r="AK165" t="s">
        <v>11</v>
      </c>
      <c r="AL165" t="s">
        <v>464</v>
      </c>
      <c r="AN165" t="s">
        <v>463</v>
      </c>
      <c r="AO165" t="str">
        <f t="shared" si="45"/>
        <v>NatGrdExt_UZB_6</v>
      </c>
      <c r="AP165" t="str">
        <f t="shared" si="55"/>
        <v>Grid Extension -Uzbekistan- Step 6</v>
      </c>
      <c r="AQ165" t="s">
        <v>13</v>
      </c>
      <c r="AR165" t="s">
        <v>11</v>
      </c>
      <c r="AS165" t="s">
        <v>464</v>
      </c>
      <c r="AU165" t="s">
        <v>463</v>
      </c>
      <c r="AV165" t="str">
        <f t="shared" si="46"/>
        <v>NatGrdExt_UZB_7</v>
      </c>
      <c r="AW165" t="str">
        <f t="shared" si="56"/>
        <v>Grid Extension -Uzbekistan- Step 7</v>
      </c>
      <c r="AX165" t="s">
        <v>13</v>
      </c>
      <c r="AY165" t="s">
        <v>11</v>
      </c>
      <c r="AZ165" t="s">
        <v>464</v>
      </c>
      <c r="BB165" t="s">
        <v>463</v>
      </c>
      <c r="BC165" t="str">
        <f t="shared" si="47"/>
        <v>NatGrdExt_UZB_8</v>
      </c>
      <c r="BD165" t="str">
        <f t="shared" si="57"/>
        <v>Grid Extension -Uzbekistan- Step 8</v>
      </c>
      <c r="BE165" t="s">
        <v>13</v>
      </c>
      <c r="BF165" t="s">
        <v>11</v>
      </c>
      <c r="BG165" t="s">
        <v>464</v>
      </c>
      <c r="BI165" t="s">
        <v>463</v>
      </c>
      <c r="BJ165" t="str">
        <f t="shared" si="48"/>
        <v>NatGrdExt_UZB_9</v>
      </c>
      <c r="BK165" t="str">
        <f t="shared" si="58"/>
        <v>Grid Extension -Uzbekistan- Step 9</v>
      </c>
      <c r="BL165" t="s">
        <v>13</v>
      </c>
      <c r="BM165" t="s">
        <v>11</v>
      </c>
      <c r="BN165" t="s">
        <v>464</v>
      </c>
      <c r="BP165" t="s">
        <v>463</v>
      </c>
      <c r="BQ165" t="str">
        <f t="shared" si="49"/>
        <v>NatGrdExt_UZB_10</v>
      </c>
      <c r="BR165" t="str">
        <f t="shared" si="59"/>
        <v>Grid Extension -Uzbekistan- Step 10</v>
      </c>
      <c r="BS165" t="s">
        <v>13</v>
      </c>
      <c r="BT165" t="s">
        <v>11</v>
      </c>
      <c r="BU165" t="s">
        <v>464</v>
      </c>
    </row>
    <row r="166" spans="1:73">
      <c r="A166" s="5" t="s">
        <v>72</v>
      </c>
      <c r="B166" s="5" t="s">
        <v>132</v>
      </c>
      <c r="E166" t="s">
        <v>463</v>
      </c>
      <c r="F166" t="str">
        <f t="shared" si="40"/>
        <v>NatGrdExt_VEN_1</v>
      </c>
      <c r="G166" t="str">
        <f t="shared" si="50"/>
        <v>Grid Extension -Venezuela- Step 1</v>
      </c>
      <c r="H166" t="s">
        <v>13</v>
      </c>
      <c r="I166" t="s">
        <v>11</v>
      </c>
      <c r="J166" t="s">
        <v>464</v>
      </c>
      <c r="L166" t="s">
        <v>463</v>
      </c>
      <c r="M166" t="str">
        <f t="shared" si="41"/>
        <v>NatGrdExt_VEN_2</v>
      </c>
      <c r="N166" t="str">
        <f t="shared" si="51"/>
        <v>Grid Extension -Venezuela- Step 2</v>
      </c>
      <c r="O166" t="s">
        <v>13</v>
      </c>
      <c r="P166" t="s">
        <v>11</v>
      </c>
      <c r="Q166" t="s">
        <v>464</v>
      </c>
      <c r="S166" t="s">
        <v>463</v>
      </c>
      <c r="T166" t="str">
        <f t="shared" si="42"/>
        <v>NatGrdExt_VEN_3</v>
      </c>
      <c r="U166" t="str">
        <f t="shared" si="52"/>
        <v>Grid Extension -Venezuela- Step 3</v>
      </c>
      <c r="V166" t="s">
        <v>13</v>
      </c>
      <c r="W166" t="s">
        <v>11</v>
      </c>
      <c r="X166" t="s">
        <v>464</v>
      </c>
      <c r="Z166" t="s">
        <v>463</v>
      </c>
      <c r="AA166" t="str">
        <f t="shared" si="43"/>
        <v>NatGrdExt_VEN_4</v>
      </c>
      <c r="AB166" t="str">
        <f t="shared" si="53"/>
        <v>Grid Extension -Venezuela- Step 4</v>
      </c>
      <c r="AC166" t="s">
        <v>13</v>
      </c>
      <c r="AD166" t="s">
        <v>11</v>
      </c>
      <c r="AE166" t="s">
        <v>464</v>
      </c>
      <c r="AG166" t="s">
        <v>463</v>
      </c>
      <c r="AH166" t="str">
        <f t="shared" si="44"/>
        <v>NatGrdExt_VEN_5</v>
      </c>
      <c r="AI166" t="str">
        <f t="shared" si="54"/>
        <v>Grid Extension -Venezuela- Step 5</v>
      </c>
      <c r="AJ166" t="s">
        <v>13</v>
      </c>
      <c r="AK166" t="s">
        <v>11</v>
      </c>
      <c r="AL166" t="s">
        <v>464</v>
      </c>
      <c r="AN166" t="s">
        <v>463</v>
      </c>
      <c r="AO166" t="str">
        <f t="shared" si="45"/>
        <v>NatGrdExt_VEN_6</v>
      </c>
      <c r="AP166" t="str">
        <f t="shared" si="55"/>
        <v>Grid Extension -Venezuela- Step 6</v>
      </c>
      <c r="AQ166" t="s">
        <v>13</v>
      </c>
      <c r="AR166" t="s">
        <v>11</v>
      </c>
      <c r="AS166" t="s">
        <v>464</v>
      </c>
      <c r="AU166" t="s">
        <v>463</v>
      </c>
      <c r="AV166" t="str">
        <f t="shared" si="46"/>
        <v>NatGrdExt_VEN_7</v>
      </c>
      <c r="AW166" t="str">
        <f t="shared" si="56"/>
        <v>Grid Extension -Venezuela- Step 7</v>
      </c>
      <c r="AX166" t="s">
        <v>13</v>
      </c>
      <c r="AY166" t="s">
        <v>11</v>
      </c>
      <c r="AZ166" t="s">
        <v>464</v>
      </c>
      <c r="BB166" t="s">
        <v>463</v>
      </c>
      <c r="BC166" t="str">
        <f t="shared" si="47"/>
        <v>NatGrdExt_VEN_8</v>
      </c>
      <c r="BD166" t="str">
        <f t="shared" si="57"/>
        <v>Grid Extension -Venezuela- Step 8</v>
      </c>
      <c r="BE166" t="s">
        <v>13</v>
      </c>
      <c r="BF166" t="s">
        <v>11</v>
      </c>
      <c r="BG166" t="s">
        <v>464</v>
      </c>
      <c r="BI166" t="s">
        <v>463</v>
      </c>
      <c r="BJ166" t="str">
        <f t="shared" si="48"/>
        <v>NatGrdExt_VEN_9</v>
      </c>
      <c r="BK166" t="str">
        <f t="shared" si="58"/>
        <v>Grid Extension -Venezuela- Step 9</v>
      </c>
      <c r="BL166" t="s">
        <v>13</v>
      </c>
      <c r="BM166" t="s">
        <v>11</v>
      </c>
      <c r="BN166" t="s">
        <v>464</v>
      </c>
      <c r="BP166" t="s">
        <v>463</v>
      </c>
      <c r="BQ166" t="str">
        <f t="shared" si="49"/>
        <v>NatGrdExt_VEN_10</v>
      </c>
      <c r="BR166" t="str">
        <f t="shared" si="59"/>
        <v>Grid Extension -Venezuela- Step 10</v>
      </c>
      <c r="BS166" t="s">
        <v>13</v>
      </c>
      <c r="BT166" t="s">
        <v>11</v>
      </c>
      <c r="BU166" t="s">
        <v>464</v>
      </c>
    </row>
    <row r="167" spans="1:73">
      <c r="A167" s="5" t="s">
        <v>676</v>
      </c>
      <c r="B167" s="5" t="s">
        <v>677</v>
      </c>
      <c r="E167" t="s">
        <v>463</v>
      </c>
      <c r="F167" t="str">
        <f t="shared" si="40"/>
        <v>NatGrdExt_VNM_1</v>
      </c>
      <c r="G167" t="str">
        <f t="shared" si="50"/>
        <v>Grid Extension -Vietnam- Step 1</v>
      </c>
      <c r="H167" t="s">
        <v>13</v>
      </c>
      <c r="I167" t="s">
        <v>11</v>
      </c>
      <c r="J167" t="s">
        <v>464</v>
      </c>
      <c r="L167" t="s">
        <v>463</v>
      </c>
      <c r="M167" t="str">
        <f t="shared" si="41"/>
        <v>NatGrdExt_VNM_2</v>
      </c>
      <c r="N167" t="str">
        <f t="shared" si="51"/>
        <v>Grid Extension -Vietnam- Step 2</v>
      </c>
      <c r="O167" t="s">
        <v>13</v>
      </c>
      <c r="P167" t="s">
        <v>11</v>
      </c>
      <c r="Q167" t="s">
        <v>464</v>
      </c>
      <c r="S167" t="s">
        <v>463</v>
      </c>
      <c r="T167" t="str">
        <f t="shared" si="42"/>
        <v>NatGrdExt_VNM_3</v>
      </c>
      <c r="U167" t="str">
        <f t="shared" si="52"/>
        <v>Grid Extension -Vietnam- Step 3</v>
      </c>
      <c r="V167" t="s">
        <v>13</v>
      </c>
      <c r="W167" t="s">
        <v>11</v>
      </c>
      <c r="X167" t="s">
        <v>464</v>
      </c>
      <c r="Z167" t="s">
        <v>463</v>
      </c>
      <c r="AA167" t="str">
        <f t="shared" si="43"/>
        <v>NatGrdExt_VNM_4</v>
      </c>
      <c r="AB167" t="str">
        <f t="shared" si="53"/>
        <v>Grid Extension -Vietnam- Step 4</v>
      </c>
      <c r="AC167" t="s">
        <v>13</v>
      </c>
      <c r="AD167" t="s">
        <v>11</v>
      </c>
      <c r="AE167" t="s">
        <v>464</v>
      </c>
      <c r="AG167" t="s">
        <v>463</v>
      </c>
      <c r="AH167" t="str">
        <f t="shared" si="44"/>
        <v>NatGrdExt_VNM_5</v>
      </c>
      <c r="AI167" t="str">
        <f t="shared" si="54"/>
        <v>Grid Extension -Vietnam- Step 5</v>
      </c>
      <c r="AJ167" t="s">
        <v>13</v>
      </c>
      <c r="AK167" t="s">
        <v>11</v>
      </c>
      <c r="AL167" t="s">
        <v>464</v>
      </c>
      <c r="AN167" t="s">
        <v>463</v>
      </c>
      <c r="AO167" t="str">
        <f t="shared" si="45"/>
        <v>NatGrdExt_VNM_6</v>
      </c>
      <c r="AP167" t="str">
        <f t="shared" si="55"/>
        <v>Grid Extension -Vietnam- Step 6</v>
      </c>
      <c r="AQ167" t="s">
        <v>13</v>
      </c>
      <c r="AR167" t="s">
        <v>11</v>
      </c>
      <c r="AS167" t="s">
        <v>464</v>
      </c>
      <c r="AU167" t="s">
        <v>463</v>
      </c>
      <c r="AV167" t="str">
        <f t="shared" si="46"/>
        <v>NatGrdExt_VNM_7</v>
      </c>
      <c r="AW167" t="str">
        <f t="shared" si="56"/>
        <v>Grid Extension -Vietnam- Step 7</v>
      </c>
      <c r="AX167" t="s">
        <v>13</v>
      </c>
      <c r="AY167" t="s">
        <v>11</v>
      </c>
      <c r="AZ167" t="s">
        <v>464</v>
      </c>
      <c r="BB167" t="s">
        <v>463</v>
      </c>
      <c r="BC167" t="str">
        <f t="shared" si="47"/>
        <v>NatGrdExt_VNM_8</v>
      </c>
      <c r="BD167" t="str">
        <f t="shared" si="57"/>
        <v>Grid Extension -Vietnam- Step 8</v>
      </c>
      <c r="BE167" t="s">
        <v>13</v>
      </c>
      <c r="BF167" t="s">
        <v>11</v>
      </c>
      <c r="BG167" t="s">
        <v>464</v>
      </c>
      <c r="BI167" t="s">
        <v>463</v>
      </c>
      <c r="BJ167" t="str">
        <f t="shared" si="48"/>
        <v>NatGrdExt_VNM_9</v>
      </c>
      <c r="BK167" t="str">
        <f t="shared" si="58"/>
        <v>Grid Extension -Vietnam- Step 9</v>
      </c>
      <c r="BL167" t="s">
        <v>13</v>
      </c>
      <c r="BM167" t="s">
        <v>11</v>
      </c>
      <c r="BN167" t="s">
        <v>464</v>
      </c>
      <c r="BP167" t="s">
        <v>463</v>
      </c>
      <c r="BQ167" t="str">
        <f t="shared" si="49"/>
        <v>NatGrdExt_VNM_10</v>
      </c>
      <c r="BR167" t="str">
        <f t="shared" si="59"/>
        <v>Grid Extension -Vietnam- Step 10</v>
      </c>
      <c r="BS167" t="s">
        <v>13</v>
      </c>
      <c r="BT167" t="s">
        <v>11</v>
      </c>
      <c r="BU167" t="s">
        <v>464</v>
      </c>
    </row>
    <row r="168" spans="1:73">
      <c r="A168" s="5" t="s">
        <v>678</v>
      </c>
      <c r="B168" s="5" t="s">
        <v>679</v>
      </c>
      <c r="E168" t="s">
        <v>463</v>
      </c>
      <c r="F168" t="str">
        <f t="shared" si="40"/>
        <v>NatGrdExt_VUT_1</v>
      </c>
      <c r="G168" t="str">
        <f t="shared" si="50"/>
        <v>Grid Extension -Vanuatu- Step 1</v>
      </c>
      <c r="H168" t="s">
        <v>13</v>
      </c>
      <c r="I168" t="s">
        <v>11</v>
      </c>
      <c r="J168" t="s">
        <v>464</v>
      </c>
      <c r="L168" t="s">
        <v>463</v>
      </c>
      <c r="M168" t="str">
        <f t="shared" si="41"/>
        <v>NatGrdExt_VUT_2</v>
      </c>
      <c r="N168" t="str">
        <f t="shared" si="51"/>
        <v>Grid Extension -Vanuatu- Step 2</v>
      </c>
      <c r="O168" t="s">
        <v>13</v>
      </c>
      <c r="P168" t="s">
        <v>11</v>
      </c>
      <c r="Q168" t="s">
        <v>464</v>
      </c>
      <c r="S168" t="s">
        <v>463</v>
      </c>
      <c r="T168" t="str">
        <f t="shared" si="42"/>
        <v>NatGrdExt_VUT_3</v>
      </c>
      <c r="U168" t="str">
        <f t="shared" si="52"/>
        <v>Grid Extension -Vanuatu- Step 3</v>
      </c>
      <c r="V168" t="s">
        <v>13</v>
      </c>
      <c r="W168" t="s">
        <v>11</v>
      </c>
      <c r="X168" t="s">
        <v>464</v>
      </c>
      <c r="Z168" t="s">
        <v>463</v>
      </c>
      <c r="AA168" t="str">
        <f t="shared" si="43"/>
        <v>NatGrdExt_VUT_4</v>
      </c>
      <c r="AB168" t="str">
        <f t="shared" si="53"/>
        <v>Grid Extension -Vanuatu- Step 4</v>
      </c>
      <c r="AC168" t="s">
        <v>13</v>
      </c>
      <c r="AD168" t="s">
        <v>11</v>
      </c>
      <c r="AE168" t="s">
        <v>464</v>
      </c>
      <c r="AG168" t="s">
        <v>463</v>
      </c>
      <c r="AH168" t="str">
        <f t="shared" si="44"/>
        <v>NatGrdExt_VUT_5</v>
      </c>
      <c r="AI168" t="str">
        <f t="shared" si="54"/>
        <v>Grid Extension -Vanuatu- Step 5</v>
      </c>
      <c r="AJ168" t="s">
        <v>13</v>
      </c>
      <c r="AK168" t="s">
        <v>11</v>
      </c>
      <c r="AL168" t="s">
        <v>464</v>
      </c>
      <c r="AN168" t="s">
        <v>463</v>
      </c>
      <c r="AO168" t="str">
        <f t="shared" si="45"/>
        <v>NatGrdExt_VUT_6</v>
      </c>
      <c r="AP168" t="str">
        <f t="shared" si="55"/>
        <v>Grid Extension -Vanuatu- Step 6</v>
      </c>
      <c r="AQ168" t="s">
        <v>13</v>
      </c>
      <c r="AR168" t="s">
        <v>11</v>
      </c>
      <c r="AS168" t="s">
        <v>464</v>
      </c>
      <c r="AU168" t="s">
        <v>463</v>
      </c>
      <c r="AV168" t="str">
        <f t="shared" si="46"/>
        <v>NatGrdExt_VUT_7</v>
      </c>
      <c r="AW168" t="str">
        <f t="shared" si="56"/>
        <v>Grid Extension -Vanuatu- Step 7</v>
      </c>
      <c r="AX168" t="s">
        <v>13</v>
      </c>
      <c r="AY168" t="s">
        <v>11</v>
      </c>
      <c r="AZ168" t="s">
        <v>464</v>
      </c>
      <c r="BB168" t="s">
        <v>463</v>
      </c>
      <c r="BC168" t="str">
        <f t="shared" si="47"/>
        <v>NatGrdExt_VUT_8</v>
      </c>
      <c r="BD168" t="str">
        <f t="shared" si="57"/>
        <v>Grid Extension -Vanuatu- Step 8</v>
      </c>
      <c r="BE168" t="s">
        <v>13</v>
      </c>
      <c r="BF168" t="s">
        <v>11</v>
      </c>
      <c r="BG168" t="s">
        <v>464</v>
      </c>
      <c r="BI168" t="s">
        <v>463</v>
      </c>
      <c r="BJ168" t="str">
        <f t="shared" si="48"/>
        <v>NatGrdExt_VUT_9</v>
      </c>
      <c r="BK168" t="str">
        <f t="shared" si="58"/>
        <v>Grid Extension -Vanuatu- Step 9</v>
      </c>
      <c r="BL168" t="s">
        <v>13</v>
      </c>
      <c r="BM168" t="s">
        <v>11</v>
      </c>
      <c r="BN168" t="s">
        <v>464</v>
      </c>
      <c r="BP168" t="s">
        <v>463</v>
      </c>
      <c r="BQ168" t="str">
        <f t="shared" si="49"/>
        <v>NatGrdExt_VUT_10</v>
      </c>
      <c r="BR168" t="str">
        <f t="shared" si="59"/>
        <v>Grid Extension -Vanuatu- Step 10</v>
      </c>
      <c r="BS168" t="s">
        <v>13</v>
      </c>
      <c r="BT168" t="s">
        <v>11</v>
      </c>
      <c r="BU168" t="s">
        <v>464</v>
      </c>
    </row>
    <row r="169" spans="1:73">
      <c r="A169" s="5" t="s">
        <v>680</v>
      </c>
      <c r="B169" s="5" t="s">
        <v>681</v>
      </c>
      <c r="E169" t="s">
        <v>463</v>
      </c>
      <c r="F169" t="str">
        <f t="shared" si="40"/>
        <v>NatGrdExt_YEM_1</v>
      </c>
      <c r="G169" t="str">
        <f t="shared" si="50"/>
        <v>Grid Extension -Yemen- Step 1</v>
      </c>
      <c r="H169" t="s">
        <v>13</v>
      </c>
      <c r="I169" t="s">
        <v>11</v>
      </c>
      <c r="J169" t="s">
        <v>464</v>
      </c>
      <c r="L169" t="s">
        <v>463</v>
      </c>
      <c r="M169" t="str">
        <f t="shared" si="41"/>
        <v>NatGrdExt_YEM_2</v>
      </c>
      <c r="N169" t="str">
        <f t="shared" si="51"/>
        <v>Grid Extension -Yemen- Step 2</v>
      </c>
      <c r="O169" t="s">
        <v>13</v>
      </c>
      <c r="P169" t="s">
        <v>11</v>
      </c>
      <c r="Q169" t="s">
        <v>464</v>
      </c>
      <c r="S169" t="s">
        <v>463</v>
      </c>
      <c r="T169" t="str">
        <f t="shared" si="42"/>
        <v>NatGrdExt_YEM_3</v>
      </c>
      <c r="U169" t="str">
        <f t="shared" si="52"/>
        <v>Grid Extension -Yemen- Step 3</v>
      </c>
      <c r="V169" t="s">
        <v>13</v>
      </c>
      <c r="W169" t="s">
        <v>11</v>
      </c>
      <c r="X169" t="s">
        <v>464</v>
      </c>
      <c r="Z169" t="s">
        <v>463</v>
      </c>
      <c r="AA169" t="str">
        <f t="shared" si="43"/>
        <v>NatGrdExt_YEM_4</v>
      </c>
      <c r="AB169" t="str">
        <f t="shared" si="53"/>
        <v>Grid Extension -Yemen- Step 4</v>
      </c>
      <c r="AC169" t="s">
        <v>13</v>
      </c>
      <c r="AD169" t="s">
        <v>11</v>
      </c>
      <c r="AE169" t="s">
        <v>464</v>
      </c>
      <c r="AG169" t="s">
        <v>463</v>
      </c>
      <c r="AH169" t="str">
        <f t="shared" si="44"/>
        <v>NatGrdExt_YEM_5</v>
      </c>
      <c r="AI169" t="str">
        <f t="shared" si="54"/>
        <v>Grid Extension -Yemen- Step 5</v>
      </c>
      <c r="AJ169" t="s">
        <v>13</v>
      </c>
      <c r="AK169" t="s">
        <v>11</v>
      </c>
      <c r="AL169" t="s">
        <v>464</v>
      </c>
      <c r="AN169" t="s">
        <v>463</v>
      </c>
      <c r="AO169" t="str">
        <f t="shared" si="45"/>
        <v>NatGrdExt_YEM_6</v>
      </c>
      <c r="AP169" t="str">
        <f t="shared" si="55"/>
        <v>Grid Extension -Yemen- Step 6</v>
      </c>
      <c r="AQ169" t="s">
        <v>13</v>
      </c>
      <c r="AR169" t="s">
        <v>11</v>
      </c>
      <c r="AS169" t="s">
        <v>464</v>
      </c>
      <c r="AU169" t="s">
        <v>463</v>
      </c>
      <c r="AV169" t="str">
        <f t="shared" si="46"/>
        <v>NatGrdExt_YEM_7</v>
      </c>
      <c r="AW169" t="str">
        <f t="shared" si="56"/>
        <v>Grid Extension -Yemen- Step 7</v>
      </c>
      <c r="AX169" t="s">
        <v>13</v>
      </c>
      <c r="AY169" t="s">
        <v>11</v>
      </c>
      <c r="AZ169" t="s">
        <v>464</v>
      </c>
      <c r="BB169" t="s">
        <v>463</v>
      </c>
      <c r="BC169" t="str">
        <f t="shared" si="47"/>
        <v>NatGrdExt_YEM_8</v>
      </c>
      <c r="BD169" t="str">
        <f t="shared" si="57"/>
        <v>Grid Extension -Yemen- Step 8</v>
      </c>
      <c r="BE169" t="s">
        <v>13</v>
      </c>
      <c r="BF169" t="s">
        <v>11</v>
      </c>
      <c r="BG169" t="s">
        <v>464</v>
      </c>
      <c r="BI169" t="s">
        <v>463</v>
      </c>
      <c r="BJ169" t="str">
        <f t="shared" si="48"/>
        <v>NatGrdExt_YEM_9</v>
      </c>
      <c r="BK169" t="str">
        <f t="shared" si="58"/>
        <v>Grid Extension -Yemen- Step 9</v>
      </c>
      <c r="BL169" t="s">
        <v>13</v>
      </c>
      <c r="BM169" t="s">
        <v>11</v>
      </c>
      <c r="BN169" t="s">
        <v>464</v>
      </c>
      <c r="BP169" t="s">
        <v>463</v>
      </c>
      <c r="BQ169" t="str">
        <f t="shared" si="49"/>
        <v>NatGrdExt_YEM_10</v>
      </c>
      <c r="BR169" t="str">
        <f t="shared" si="59"/>
        <v>Grid Extension -Yemen- Step 10</v>
      </c>
      <c r="BS169" t="s">
        <v>13</v>
      </c>
      <c r="BT169" t="s">
        <v>11</v>
      </c>
      <c r="BU169" t="s">
        <v>464</v>
      </c>
    </row>
    <row r="170" spans="1:73">
      <c r="A170" s="5" t="s">
        <v>682</v>
      </c>
      <c r="B170" s="5" t="s">
        <v>683</v>
      </c>
      <c r="E170" t="s">
        <v>463</v>
      </c>
      <c r="F170" t="str">
        <f t="shared" si="40"/>
        <v>NatGrdExt_ZAF_1</v>
      </c>
      <c r="G170" t="str">
        <f t="shared" si="50"/>
        <v>Grid Extension -South Africa- Step 1</v>
      </c>
      <c r="H170" t="s">
        <v>13</v>
      </c>
      <c r="I170" t="s">
        <v>11</v>
      </c>
      <c r="J170" t="s">
        <v>464</v>
      </c>
      <c r="L170" t="s">
        <v>463</v>
      </c>
      <c r="M170" t="str">
        <f t="shared" si="41"/>
        <v>NatGrdExt_ZAF_2</v>
      </c>
      <c r="N170" t="str">
        <f t="shared" si="51"/>
        <v>Grid Extension -South Africa- Step 2</v>
      </c>
      <c r="O170" t="s">
        <v>13</v>
      </c>
      <c r="P170" t="s">
        <v>11</v>
      </c>
      <c r="Q170" t="s">
        <v>464</v>
      </c>
      <c r="S170" t="s">
        <v>463</v>
      </c>
      <c r="T170" t="str">
        <f t="shared" si="42"/>
        <v>NatGrdExt_ZAF_3</v>
      </c>
      <c r="U170" t="str">
        <f t="shared" si="52"/>
        <v>Grid Extension -South Africa- Step 3</v>
      </c>
      <c r="V170" t="s">
        <v>13</v>
      </c>
      <c r="W170" t="s">
        <v>11</v>
      </c>
      <c r="X170" t="s">
        <v>464</v>
      </c>
      <c r="Z170" t="s">
        <v>463</v>
      </c>
      <c r="AA170" t="str">
        <f t="shared" si="43"/>
        <v>NatGrdExt_ZAF_4</v>
      </c>
      <c r="AB170" t="str">
        <f t="shared" si="53"/>
        <v>Grid Extension -South Africa- Step 4</v>
      </c>
      <c r="AC170" t="s">
        <v>13</v>
      </c>
      <c r="AD170" t="s">
        <v>11</v>
      </c>
      <c r="AE170" t="s">
        <v>464</v>
      </c>
      <c r="AG170" t="s">
        <v>463</v>
      </c>
      <c r="AH170" t="str">
        <f t="shared" si="44"/>
        <v>NatGrdExt_ZAF_5</v>
      </c>
      <c r="AI170" t="str">
        <f t="shared" si="54"/>
        <v>Grid Extension -South Africa- Step 5</v>
      </c>
      <c r="AJ170" t="s">
        <v>13</v>
      </c>
      <c r="AK170" t="s">
        <v>11</v>
      </c>
      <c r="AL170" t="s">
        <v>464</v>
      </c>
      <c r="AN170" t="s">
        <v>463</v>
      </c>
      <c r="AO170" t="str">
        <f t="shared" si="45"/>
        <v>NatGrdExt_ZAF_6</v>
      </c>
      <c r="AP170" t="str">
        <f t="shared" si="55"/>
        <v>Grid Extension -South Africa- Step 6</v>
      </c>
      <c r="AQ170" t="s">
        <v>13</v>
      </c>
      <c r="AR170" t="s">
        <v>11</v>
      </c>
      <c r="AS170" t="s">
        <v>464</v>
      </c>
      <c r="AU170" t="s">
        <v>463</v>
      </c>
      <c r="AV170" t="str">
        <f t="shared" si="46"/>
        <v>NatGrdExt_ZAF_7</v>
      </c>
      <c r="AW170" t="str">
        <f t="shared" si="56"/>
        <v>Grid Extension -South Africa- Step 7</v>
      </c>
      <c r="AX170" t="s">
        <v>13</v>
      </c>
      <c r="AY170" t="s">
        <v>11</v>
      </c>
      <c r="AZ170" t="s">
        <v>464</v>
      </c>
      <c r="BB170" t="s">
        <v>463</v>
      </c>
      <c r="BC170" t="str">
        <f t="shared" si="47"/>
        <v>NatGrdExt_ZAF_8</v>
      </c>
      <c r="BD170" t="str">
        <f t="shared" si="57"/>
        <v>Grid Extension -South Africa- Step 8</v>
      </c>
      <c r="BE170" t="s">
        <v>13</v>
      </c>
      <c r="BF170" t="s">
        <v>11</v>
      </c>
      <c r="BG170" t="s">
        <v>464</v>
      </c>
      <c r="BI170" t="s">
        <v>463</v>
      </c>
      <c r="BJ170" t="str">
        <f t="shared" si="48"/>
        <v>NatGrdExt_ZAF_9</v>
      </c>
      <c r="BK170" t="str">
        <f t="shared" si="58"/>
        <v>Grid Extension -South Africa- Step 9</v>
      </c>
      <c r="BL170" t="s">
        <v>13</v>
      </c>
      <c r="BM170" t="s">
        <v>11</v>
      </c>
      <c r="BN170" t="s">
        <v>464</v>
      </c>
      <c r="BP170" t="s">
        <v>463</v>
      </c>
      <c r="BQ170" t="str">
        <f t="shared" si="49"/>
        <v>NatGrdExt_ZAF_10</v>
      </c>
      <c r="BR170" t="str">
        <f t="shared" si="59"/>
        <v>Grid Extension -South Africa- Step 10</v>
      </c>
      <c r="BS170" t="s">
        <v>13</v>
      </c>
      <c r="BT170" t="s">
        <v>11</v>
      </c>
      <c r="BU170" t="s">
        <v>464</v>
      </c>
    </row>
    <row r="171" spans="1:73">
      <c r="A171" s="5" t="s">
        <v>73</v>
      </c>
      <c r="B171" s="5" t="s">
        <v>133</v>
      </c>
      <c r="E171" t="s">
        <v>463</v>
      </c>
      <c r="F171" t="str">
        <f t="shared" si="40"/>
        <v>NatGrdExt_ZMB_1</v>
      </c>
      <c r="G171" t="str">
        <f t="shared" si="50"/>
        <v>Grid Extension -Zambia- Step 1</v>
      </c>
      <c r="H171" t="s">
        <v>13</v>
      </c>
      <c r="I171" t="s">
        <v>11</v>
      </c>
      <c r="J171" t="s">
        <v>464</v>
      </c>
      <c r="L171" t="s">
        <v>463</v>
      </c>
      <c r="M171" t="str">
        <f t="shared" si="41"/>
        <v>NatGrdExt_ZMB_2</v>
      </c>
      <c r="N171" t="str">
        <f t="shared" si="51"/>
        <v>Grid Extension -Zambia- Step 2</v>
      </c>
      <c r="O171" t="s">
        <v>13</v>
      </c>
      <c r="P171" t="s">
        <v>11</v>
      </c>
      <c r="Q171" t="s">
        <v>464</v>
      </c>
      <c r="S171" t="s">
        <v>463</v>
      </c>
      <c r="T171" t="str">
        <f t="shared" si="42"/>
        <v>NatGrdExt_ZMB_3</v>
      </c>
      <c r="U171" t="str">
        <f t="shared" si="52"/>
        <v>Grid Extension -Zambia- Step 3</v>
      </c>
      <c r="V171" t="s">
        <v>13</v>
      </c>
      <c r="W171" t="s">
        <v>11</v>
      </c>
      <c r="X171" t="s">
        <v>464</v>
      </c>
      <c r="Z171" t="s">
        <v>463</v>
      </c>
      <c r="AA171" t="str">
        <f t="shared" si="43"/>
        <v>NatGrdExt_ZMB_4</v>
      </c>
      <c r="AB171" t="str">
        <f t="shared" si="53"/>
        <v>Grid Extension -Zambia- Step 4</v>
      </c>
      <c r="AC171" t="s">
        <v>13</v>
      </c>
      <c r="AD171" t="s">
        <v>11</v>
      </c>
      <c r="AE171" t="s">
        <v>464</v>
      </c>
      <c r="AG171" t="s">
        <v>463</v>
      </c>
      <c r="AH171" t="str">
        <f t="shared" si="44"/>
        <v>NatGrdExt_ZMB_5</v>
      </c>
      <c r="AI171" t="str">
        <f t="shared" si="54"/>
        <v>Grid Extension -Zambia- Step 5</v>
      </c>
      <c r="AJ171" t="s">
        <v>13</v>
      </c>
      <c r="AK171" t="s">
        <v>11</v>
      </c>
      <c r="AL171" t="s">
        <v>464</v>
      </c>
      <c r="AN171" t="s">
        <v>463</v>
      </c>
      <c r="AO171" t="str">
        <f t="shared" si="45"/>
        <v>NatGrdExt_ZMB_6</v>
      </c>
      <c r="AP171" t="str">
        <f t="shared" si="55"/>
        <v>Grid Extension -Zambia- Step 6</v>
      </c>
      <c r="AQ171" t="s">
        <v>13</v>
      </c>
      <c r="AR171" t="s">
        <v>11</v>
      </c>
      <c r="AS171" t="s">
        <v>464</v>
      </c>
      <c r="AU171" t="s">
        <v>463</v>
      </c>
      <c r="AV171" t="str">
        <f t="shared" si="46"/>
        <v>NatGrdExt_ZMB_7</v>
      </c>
      <c r="AW171" t="str">
        <f t="shared" si="56"/>
        <v>Grid Extension -Zambia- Step 7</v>
      </c>
      <c r="AX171" t="s">
        <v>13</v>
      </c>
      <c r="AY171" t="s">
        <v>11</v>
      </c>
      <c r="AZ171" t="s">
        <v>464</v>
      </c>
      <c r="BB171" t="s">
        <v>463</v>
      </c>
      <c r="BC171" t="str">
        <f t="shared" si="47"/>
        <v>NatGrdExt_ZMB_8</v>
      </c>
      <c r="BD171" t="str">
        <f t="shared" si="57"/>
        <v>Grid Extension -Zambia- Step 8</v>
      </c>
      <c r="BE171" t="s">
        <v>13</v>
      </c>
      <c r="BF171" t="s">
        <v>11</v>
      </c>
      <c r="BG171" t="s">
        <v>464</v>
      </c>
      <c r="BI171" t="s">
        <v>463</v>
      </c>
      <c r="BJ171" t="str">
        <f t="shared" si="48"/>
        <v>NatGrdExt_ZMB_9</v>
      </c>
      <c r="BK171" t="str">
        <f t="shared" si="58"/>
        <v>Grid Extension -Zambia- Step 9</v>
      </c>
      <c r="BL171" t="s">
        <v>13</v>
      </c>
      <c r="BM171" t="s">
        <v>11</v>
      </c>
      <c r="BN171" t="s">
        <v>464</v>
      </c>
      <c r="BP171" t="s">
        <v>463</v>
      </c>
      <c r="BQ171" t="str">
        <f t="shared" si="49"/>
        <v>NatGrdExt_ZMB_10</v>
      </c>
      <c r="BR171" t="str">
        <f t="shared" si="59"/>
        <v>Grid Extension -Zambia- Step 10</v>
      </c>
      <c r="BS171" t="s">
        <v>13</v>
      </c>
      <c r="BT171" t="s">
        <v>11</v>
      </c>
      <c r="BU171" t="s">
        <v>464</v>
      </c>
    </row>
    <row r="172" spans="1:73">
      <c r="A172" s="5" t="s">
        <v>74</v>
      </c>
      <c r="B172" s="5" t="s">
        <v>134</v>
      </c>
      <c r="E172" t="s">
        <v>463</v>
      </c>
      <c r="F172" t="str">
        <f t="shared" si="40"/>
        <v>NatGrdExt_ZWE_1</v>
      </c>
      <c r="G172" t="str">
        <f t="shared" si="50"/>
        <v>Grid Extension -Zimbabwe- Step 1</v>
      </c>
      <c r="H172" t="s">
        <v>13</v>
      </c>
      <c r="I172" t="s">
        <v>11</v>
      </c>
      <c r="J172" t="s">
        <v>464</v>
      </c>
      <c r="L172" t="s">
        <v>463</v>
      </c>
      <c r="M172" t="str">
        <f t="shared" si="41"/>
        <v>NatGrdExt_ZWE_2</v>
      </c>
      <c r="N172" t="str">
        <f t="shared" si="51"/>
        <v>Grid Extension -Zimbabwe- Step 2</v>
      </c>
      <c r="O172" t="s">
        <v>13</v>
      </c>
      <c r="P172" t="s">
        <v>11</v>
      </c>
      <c r="Q172" t="s">
        <v>464</v>
      </c>
      <c r="S172" t="s">
        <v>463</v>
      </c>
      <c r="T172" t="str">
        <f t="shared" si="42"/>
        <v>NatGrdExt_ZWE_3</v>
      </c>
      <c r="U172" t="str">
        <f t="shared" si="52"/>
        <v>Grid Extension -Zimbabwe- Step 3</v>
      </c>
      <c r="V172" t="s">
        <v>13</v>
      </c>
      <c r="W172" t="s">
        <v>11</v>
      </c>
      <c r="X172" t="s">
        <v>464</v>
      </c>
      <c r="Z172" t="s">
        <v>463</v>
      </c>
      <c r="AA172" t="str">
        <f t="shared" si="43"/>
        <v>NatGrdExt_ZWE_4</v>
      </c>
      <c r="AB172" t="str">
        <f t="shared" si="53"/>
        <v>Grid Extension -Zimbabwe- Step 4</v>
      </c>
      <c r="AC172" t="s">
        <v>13</v>
      </c>
      <c r="AD172" t="s">
        <v>11</v>
      </c>
      <c r="AE172" t="s">
        <v>464</v>
      </c>
      <c r="AG172" t="s">
        <v>463</v>
      </c>
      <c r="AH172" t="str">
        <f t="shared" si="44"/>
        <v>NatGrdExt_ZWE_5</v>
      </c>
      <c r="AI172" t="str">
        <f t="shared" si="54"/>
        <v>Grid Extension -Zimbabwe- Step 5</v>
      </c>
      <c r="AJ172" t="s">
        <v>13</v>
      </c>
      <c r="AK172" t="s">
        <v>11</v>
      </c>
      <c r="AL172" t="s">
        <v>464</v>
      </c>
      <c r="AN172" t="s">
        <v>463</v>
      </c>
      <c r="AO172" t="str">
        <f t="shared" si="45"/>
        <v>NatGrdExt_ZWE_6</v>
      </c>
      <c r="AP172" t="str">
        <f t="shared" si="55"/>
        <v>Grid Extension -Zimbabwe- Step 6</v>
      </c>
      <c r="AQ172" t="s">
        <v>13</v>
      </c>
      <c r="AR172" t="s">
        <v>11</v>
      </c>
      <c r="AS172" t="s">
        <v>464</v>
      </c>
      <c r="AU172" t="s">
        <v>463</v>
      </c>
      <c r="AV172" t="str">
        <f t="shared" si="46"/>
        <v>NatGrdExt_ZWE_7</v>
      </c>
      <c r="AW172" t="str">
        <f t="shared" si="56"/>
        <v>Grid Extension -Zimbabwe- Step 7</v>
      </c>
      <c r="AX172" t="s">
        <v>13</v>
      </c>
      <c r="AY172" t="s">
        <v>11</v>
      </c>
      <c r="AZ172" t="s">
        <v>464</v>
      </c>
      <c r="BB172" t="s">
        <v>463</v>
      </c>
      <c r="BC172" t="str">
        <f t="shared" si="47"/>
        <v>NatGrdExt_ZWE_8</v>
      </c>
      <c r="BD172" t="str">
        <f t="shared" si="57"/>
        <v>Grid Extension -Zimbabwe- Step 8</v>
      </c>
      <c r="BE172" t="s">
        <v>13</v>
      </c>
      <c r="BF172" t="s">
        <v>11</v>
      </c>
      <c r="BG172" t="s">
        <v>464</v>
      </c>
      <c r="BI172" t="s">
        <v>463</v>
      </c>
      <c r="BJ172" t="str">
        <f t="shared" si="48"/>
        <v>NatGrdExt_ZWE_9</v>
      </c>
      <c r="BK172" t="str">
        <f t="shared" si="58"/>
        <v>Grid Extension -Zimbabwe- Step 9</v>
      </c>
      <c r="BL172" t="s">
        <v>13</v>
      </c>
      <c r="BM172" t="s">
        <v>11</v>
      </c>
      <c r="BN172" t="s">
        <v>464</v>
      </c>
      <c r="BP172" t="s">
        <v>463</v>
      </c>
      <c r="BQ172" t="str">
        <f t="shared" si="49"/>
        <v>NatGrdExt_ZWE_10</v>
      </c>
      <c r="BR172" t="str">
        <f t="shared" si="59"/>
        <v>Grid Extension -Zimbabwe- Step 10</v>
      </c>
      <c r="BS172" t="s">
        <v>13</v>
      </c>
      <c r="BT172" t="s">
        <v>11</v>
      </c>
      <c r="BU172" t="s">
        <v>464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122A-2BF6-447B-BA66-3AC3C01DF05B}">
  <dimension ref="A1:B53"/>
  <sheetViews>
    <sheetView workbookViewId="0">
      <selection activeCell="A2" sqref="A2"/>
    </sheetView>
  </sheetViews>
  <sheetFormatPr defaultRowHeight="14.25"/>
  <sheetData>
    <row r="1" spans="1:2">
      <c r="A1" t="s">
        <v>135</v>
      </c>
    </row>
    <row r="3" spans="1:2">
      <c r="A3" t="s">
        <v>136</v>
      </c>
    </row>
    <row r="4" spans="1:2">
      <c r="A4" t="s">
        <v>137</v>
      </c>
      <c r="B4" t="s">
        <v>138</v>
      </c>
    </row>
    <row r="5" spans="1:2">
      <c r="A5" t="s">
        <v>139</v>
      </c>
      <c r="B5" t="s">
        <v>140</v>
      </c>
    </row>
    <row r="6" spans="1:2">
      <c r="A6" t="s">
        <v>689</v>
      </c>
      <c r="B6" t="s">
        <v>690</v>
      </c>
    </row>
    <row r="7" spans="1:2">
      <c r="A7" t="s">
        <v>141</v>
      </c>
      <c r="B7" t="s">
        <v>142</v>
      </c>
    </row>
    <row r="9" spans="1:2">
      <c r="A9" t="s">
        <v>143</v>
      </c>
    </row>
    <row r="10" spans="1:2">
      <c r="A10" t="s">
        <v>144</v>
      </c>
      <c r="B10" t="s">
        <v>145</v>
      </c>
    </row>
    <row r="11" spans="1:2">
      <c r="A11" t="s">
        <v>146</v>
      </c>
      <c r="B11" t="s">
        <v>147</v>
      </c>
    </row>
    <row r="12" spans="1:2">
      <c r="A12" t="s">
        <v>148</v>
      </c>
      <c r="B12" t="s">
        <v>149</v>
      </c>
    </row>
    <row r="13" spans="1:2">
      <c r="A13" t="s">
        <v>150</v>
      </c>
      <c r="B13" t="s">
        <v>151</v>
      </c>
    </row>
    <row r="14" spans="1:2">
      <c r="A14" t="s">
        <v>152</v>
      </c>
      <c r="B14" t="s">
        <v>153</v>
      </c>
    </row>
    <row r="16" spans="1:2">
      <c r="A16" t="s">
        <v>691</v>
      </c>
    </row>
    <row r="17" spans="1:2">
      <c r="A17" t="s">
        <v>692</v>
      </c>
      <c r="B17" t="s">
        <v>693</v>
      </c>
    </row>
    <row r="18" spans="1:2">
      <c r="A18" t="s">
        <v>694</v>
      </c>
      <c r="B18" t="s">
        <v>695</v>
      </c>
    </row>
    <row r="19" spans="1:2">
      <c r="A19" t="s">
        <v>696</v>
      </c>
      <c r="B19" t="s">
        <v>697</v>
      </c>
    </row>
    <row r="20" spans="1:2">
      <c r="A20" t="s">
        <v>698</v>
      </c>
      <c r="B20" t="s">
        <v>699</v>
      </c>
    </row>
    <row r="21" spans="1:2">
      <c r="A21" t="s">
        <v>700</v>
      </c>
      <c r="B21" t="s">
        <v>701</v>
      </c>
    </row>
    <row r="23" spans="1:2">
      <c r="A23" t="s">
        <v>702</v>
      </c>
    </row>
    <row r="24" spans="1:2">
      <c r="A24" t="s">
        <v>703</v>
      </c>
      <c r="B24" t="s">
        <v>704</v>
      </c>
    </row>
    <row r="25" spans="1:2">
      <c r="A25" t="s">
        <v>705</v>
      </c>
      <c r="B25" t="s">
        <v>706</v>
      </c>
    </row>
    <row r="26" spans="1:2">
      <c r="A26" t="s">
        <v>707</v>
      </c>
      <c r="B26" t="s">
        <v>708</v>
      </c>
    </row>
    <row r="27" spans="1:2">
      <c r="A27" t="s">
        <v>709</v>
      </c>
      <c r="B27" t="s">
        <v>710</v>
      </c>
    </row>
    <row r="28" spans="1:2">
      <c r="A28" t="s">
        <v>711</v>
      </c>
      <c r="B28" t="s">
        <v>712</v>
      </c>
    </row>
    <row r="29" spans="1:2">
      <c r="A29" t="s">
        <v>713</v>
      </c>
      <c r="B29" t="s">
        <v>714</v>
      </c>
    </row>
    <row r="30" spans="1:2">
      <c r="A30" t="s">
        <v>715</v>
      </c>
      <c r="B30" t="s">
        <v>716</v>
      </c>
    </row>
    <row r="31" spans="1:2">
      <c r="A31" t="s">
        <v>717</v>
      </c>
      <c r="B31" t="s">
        <v>718</v>
      </c>
    </row>
    <row r="32" spans="1:2">
      <c r="A32" t="s">
        <v>719</v>
      </c>
      <c r="B32" t="s">
        <v>720</v>
      </c>
    </row>
    <row r="33" spans="1:2">
      <c r="A33" t="s">
        <v>721</v>
      </c>
      <c r="B33" t="s">
        <v>722</v>
      </c>
    </row>
    <row r="35" spans="1:2">
      <c r="A35" t="s">
        <v>154</v>
      </c>
    </row>
    <row r="36" spans="1:2">
      <c r="A36" t="s">
        <v>155</v>
      </c>
      <c r="B36" t="s">
        <v>723</v>
      </c>
    </row>
    <row r="37" spans="1:2">
      <c r="A37" t="s">
        <v>156</v>
      </c>
      <c r="B37" t="s">
        <v>724</v>
      </c>
    </row>
    <row r="38" spans="1:2">
      <c r="A38" t="s">
        <v>157</v>
      </c>
      <c r="B38" t="s">
        <v>158</v>
      </c>
    </row>
    <row r="40" spans="1:2">
      <c r="A40" t="s">
        <v>159</v>
      </c>
    </row>
    <row r="41" spans="1:2">
      <c r="A41" t="s">
        <v>160</v>
      </c>
      <c r="B41" t="s">
        <v>161</v>
      </c>
    </row>
    <row r="42" spans="1:2">
      <c r="A42" t="s">
        <v>162</v>
      </c>
      <c r="B42" t="s">
        <v>163</v>
      </c>
    </row>
    <row r="44" spans="1:2">
      <c r="A44" t="s">
        <v>164</v>
      </c>
    </row>
    <row r="45" spans="1:2">
      <c r="A45" t="s">
        <v>165</v>
      </c>
      <c r="B45" t="s">
        <v>166</v>
      </c>
    </row>
    <row r="46" spans="1:2">
      <c r="A46" t="s">
        <v>167</v>
      </c>
      <c r="B46" t="s">
        <v>168</v>
      </c>
    </row>
    <row r="47" spans="1:2">
      <c r="A47" t="s">
        <v>169</v>
      </c>
      <c r="B47" t="s">
        <v>170</v>
      </c>
    </row>
    <row r="49" spans="1:2">
      <c r="A49" t="s">
        <v>171</v>
      </c>
    </row>
    <row r="50" spans="1:2">
      <c r="A50" t="s">
        <v>172</v>
      </c>
      <c r="B50" t="s">
        <v>173</v>
      </c>
    </row>
    <row r="51" spans="1:2">
      <c r="A51" t="s">
        <v>174</v>
      </c>
      <c r="B51" t="s">
        <v>175</v>
      </c>
    </row>
    <row r="52" spans="1:2">
      <c r="A52" t="s">
        <v>176</v>
      </c>
      <c r="B52" t="s">
        <v>725</v>
      </c>
    </row>
    <row r="53" spans="1:2">
      <c r="A53" t="s">
        <v>177</v>
      </c>
      <c r="B53" t="s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B189-DFD3-42DE-94CE-D70395ADF2EE}">
  <dimension ref="B3:N208"/>
  <sheetViews>
    <sheetView workbookViewId="0">
      <selection activeCell="J6" sqref="J6"/>
    </sheetView>
  </sheetViews>
  <sheetFormatPr defaultRowHeight="14.25"/>
  <cols>
    <col min="2" max="2" width="15.73046875" bestFit="1" customWidth="1"/>
    <col min="3" max="3" width="7.6640625" bestFit="1" customWidth="1"/>
    <col min="4" max="4" width="8.86328125" bestFit="1" customWidth="1"/>
    <col min="5" max="5" width="7.3984375" bestFit="1" customWidth="1"/>
    <col min="6" max="6" width="15.59765625" bestFit="1" customWidth="1"/>
    <col min="8" max="8" width="9.53125" bestFit="1" customWidth="1"/>
    <col min="9" max="9" width="15.73046875" bestFit="1" customWidth="1"/>
    <col min="10" max="10" width="24.33203125" bestFit="1" customWidth="1"/>
    <col min="11" max="11" width="11.265625" bestFit="1" customWidth="1"/>
    <col min="12" max="12" width="10.53125" bestFit="1" customWidth="1"/>
    <col min="13" max="13" width="11.3984375" bestFit="1" customWidth="1"/>
    <col min="14" max="14" width="6.53125" bestFit="1" customWidth="1"/>
  </cols>
  <sheetData>
    <row r="3" spans="2:14">
      <c r="B3" t="s">
        <v>1</v>
      </c>
      <c r="H3" t="s">
        <v>0</v>
      </c>
    </row>
    <row r="4" spans="2:14">
      <c r="B4" t="s">
        <v>3</v>
      </c>
      <c r="C4" t="s">
        <v>450</v>
      </c>
      <c r="D4" t="s">
        <v>9</v>
      </c>
      <c r="E4" t="s">
        <v>10</v>
      </c>
      <c r="F4" t="s">
        <v>14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</row>
    <row r="5" spans="2:14">
      <c r="B5" t="str">
        <f>SupplyCurves_High!A2</f>
        <v>EN_Hydro_BRA_T1</v>
      </c>
      <c r="C5" t="s">
        <v>451</v>
      </c>
      <c r="D5" t="s">
        <v>76</v>
      </c>
      <c r="E5">
        <f>SupplyCurves_High!F2</f>
        <v>13.2</v>
      </c>
      <c r="F5">
        <f>SupplyCurves_High!H2</f>
        <v>0</v>
      </c>
      <c r="H5" t="s">
        <v>452</v>
      </c>
      <c r="I5" t="str">
        <f>B5</f>
        <v>EN_Hydro_BRA_T1</v>
      </c>
      <c r="J5" t="str">
        <f>SupplyCurves_High!C2&amp;" -- "&amp;SupplyCurves_High!E2&amp;" -- "&amp;SupplyCurves_High!K2</f>
        <v>Brazil -- T1 -- $0.04-0.06/kWh</v>
      </c>
      <c r="K5" t="s">
        <v>11</v>
      </c>
      <c r="L5" t="s">
        <v>13</v>
      </c>
      <c r="M5" t="s">
        <v>75</v>
      </c>
      <c r="N5" t="s">
        <v>12</v>
      </c>
    </row>
    <row r="6" spans="2:14">
      <c r="B6" t="str">
        <f>SupplyCurves_High!A3</f>
        <v>EN_Hydro_BRA_T2</v>
      </c>
      <c r="C6" t="s">
        <v>451</v>
      </c>
      <c r="D6" t="s">
        <v>76</v>
      </c>
      <c r="E6">
        <f>SupplyCurves_High!F3</f>
        <v>23.1</v>
      </c>
      <c r="F6">
        <f>SupplyCurves_High!H3</f>
        <v>307</v>
      </c>
      <c r="H6" t="s">
        <v>452</v>
      </c>
      <c r="I6" t="str">
        <f t="shared" ref="I6:I69" si="0">B6</f>
        <v>EN_Hydro_BRA_T2</v>
      </c>
      <c r="J6" t="str">
        <f>SupplyCurves_High!C3&amp;" -- "&amp;SupplyCurves_High!E3&amp;" -- "&amp;SupplyCurves_High!K3</f>
        <v>Brazil -- T2 -- $0.06-0.08/kWh</v>
      </c>
      <c r="K6" t="s">
        <v>11</v>
      </c>
      <c r="L6" t="s">
        <v>13</v>
      </c>
      <c r="M6" t="s">
        <v>75</v>
      </c>
      <c r="N6" t="s">
        <v>12</v>
      </c>
    </row>
    <row r="7" spans="2:14">
      <c r="B7" t="str">
        <f>SupplyCurves_High!A4</f>
        <v>EN_Hydro_BRA_T3</v>
      </c>
      <c r="C7" t="s">
        <v>451</v>
      </c>
      <c r="D7" t="s">
        <v>76</v>
      </c>
      <c r="E7">
        <f>SupplyCurves_High!F4</f>
        <v>19.8</v>
      </c>
      <c r="F7">
        <f>SupplyCurves_High!H4</f>
        <v>768</v>
      </c>
      <c r="H7" t="s">
        <v>452</v>
      </c>
      <c r="I7" t="str">
        <f t="shared" si="0"/>
        <v>EN_Hydro_BRA_T3</v>
      </c>
      <c r="J7" t="str">
        <f>SupplyCurves_High!C4&amp;" -- "&amp;SupplyCurves_High!E4&amp;" -- "&amp;SupplyCurves_High!K4</f>
        <v>Brazil -- T3 -- $0.08-0.10/kWh</v>
      </c>
      <c r="K7" t="s">
        <v>11</v>
      </c>
      <c r="L7" t="s">
        <v>13</v>
      </c>
      <c r="M7" t="s">
        <v>75</v>
      </c>
      <c r="N7" t="s">
        <v>12</v>
      </c>
    </row>
    <row r="8" spans="2:14">
      <c r="B8" t="str">
        <f>SupplyCurves_High!A5</f>
        <v>EN_Hydro_BRA_T4</v>
      </c>
      <c r="C8" t="s">
        <v>451</v>
      </c>
      <c r="D8" t="s">
        <v>76</v>
      </c>
      <c r="E8">
        <f>SupplyCurves_High!F5</f>
        <v>9.9</v>
      </c>
      <c r="F8">
        <f>SupplyCurves_High!H5</f>
        <v>1383</v>
      </c>
      <c r="H8" t="s">
        <v>452</v>
      </c>
      <c r="I8" t="str">
        <f t="shared" si="0"/>
        <v>EN_Hydro_BRA_T4</v>
      </c>
      <c r="J8" t="str">
        <f>SupplyCurves_High!C5&amp;" -- "&amp;SupplyCurves_High!E5&amp;" -- "&amp;SupplyCurves_High!K5</f>
        <v>Brazil -- T4 -- $0.10-0.14/kWh</v>
      </c>
      <c r="K8" t="s">
        <v>11</v>
      </c>
      <c r="L8" t="s">
        <v>13</v>
      </c>
      <c r="M8" t="s">
        <v>75</v>
      </c>
      <c r="N8" t="s">
        <v>12</v>
      </c>
    </row>
    <row r="9" spans="2:14">
      <c r="B9" t="str">
        <f>SupplyCurves_High!A6</f>
        <v>EN_Hydro_RUS_T1</v>
      </c>
      <c r="C9" t="s">
        <v>451</v>
      </c>
      <c r="D9" t="s">
        <v>76</v>
      </c>
      <c r="E9">
        <f>SupplyCurves_High!F6</f>
        <v>17.100000000000001</v>
      </c>
      <c r="F9">
        <f>SupplyCurves_High!H6</f>
        <v>0</v>
      </c>
      <c r="H9" t="s">
        <v>452</v>
      </c>
      <c r="I9" t="str">
        <f t="shared" si="0"/>
        <v>EN_Hydro_RUS_T1</v>
      </c>
      <c r="J9" t="str">
        <f>SupplyCurves_High!C6&amp;" -- "&amp;SupplyCurves_High!E6&amp;" -- "&amp;SupplyCurves_High!K6</f>
        <v>Russia -- T1 -- $0.04-0.06/kWh</v>
      </c>
      <c r="K9" t="s">
        <v>11</v>
      </c>
      <c r="L9" t="s">
        <v>13</v>
      </c>
      <c r="M9" t="s">
        <v>75</v>
      </c>
      <c r="N9" t="s">
        <v>12</v>
      </c>
    </row>
    <row r="10" spans="2:14">
      <c r="B10" t="str">
        <f>SupplyCurves_High!A7</f>
        <v>EN_Hydro_RUS_T2</v>
      </c>
      <c r="C10" t="s">
        <v>451</v>
      </c>
      <c r="D10" t="s">
        <v>76</v>
      </c>
      <c r="E10">
        <f>SupplyCurves_High!F7</f>
        <v>29.925000000000001</v>
      </c>
      <c r="F10">
        <f>SupplyCurves_High!H7</f>
        <v>286</v>
      </c>
      <c r="H10" t="s">
        <v>452</v>
      </c>
      <c r="I10" t="str">
        <f t="shared" si="0"/>
        <v>EN_Hydro_RUS_T2</v>
      </c>
      <c r="J10" t="str">
        <f>SupplyCurves_High!C7&amp;" -- "&amp;SupplyCurves_High!E7&amp;" -- "&amp;SupplyCurves_High!K7</f>
        <v>Russia -- T2 -- $0.06-0.08/kWh</v>
      </c>
      <c r="K10" t="s">
        <v>11</v>
      </c>
      <c r="L10" t="s">
        <v>13</v>
      </c>
      <c r="M10" t="s">
        <v>75</v>
      </c>
      <c r="N10" t="s">
        <v>12</v>
      </c>
    </row>
    <row r="11" spans="2:14">
      <c r="B11" t="str">
        <f>SupplyCurves_High!A8</f>
        <v>EN_Hydro_RUS_T3</v>
      </c>
      <c r="C11" t="s">
        <v>451</v>
      </c>
      <c r="D11" t="s">
        <v>76</v>
      </c>
      <c r="E11">
        <f>SupplyCurves_High!F8</f>
        <v>25.65</v>
      </c>
      <c r="F11">
        <f>SupplyCurves_High!H8</f>
        <v>715</v>
      </c>
      <c r="H11" t="s">
        <v>452</v>
      </c>
      <c r="I11" t="str">
        <f t="shared" si="0"/>
        <v>EN_Hydro_RUS_T3</v>
      </c>
      <c r="J11" t="str">
        <f>SupplyCurves_High!C8&amp;" -- "&amp;SupplyCurves_High!E8&amp;" -- "&amp;SupplyCurves_High!K8</f>
        <v>Russia -- T3 -- $0.08-0.10/kWh</v>
      </c>
      <c r="K11" t="s">
        <v>11</v>
      </c>
      <c r="L11" t="s">
        <v>13</v>
      </c>
      <c r="M11" t="s">
        <v>75</v>
      </c>
      <c r="N11" t="s">
        <v>12</v>
      </c>
    </row>
    <row r="12" spans="2:14">
      <c r="B12" t="str">
        <f>SupplyCurves_High!A9</f>
        <v>EN_Hydro_RUS_T4</v>
      </c>
      <c r="C12" t="s">
        <v>451</v>
      </c>
      <c r="D12" t="s">
        <v>76</v>
      </c>
      <c r="E12">
        <f>SupplyCurves_High!F9</f>
        <v>12.824999999999999</v>
      </c>
      <c r="F12">
        <f>SupplyCurves_High!H9</f>
        <v>1287</v>
      </c>
      <c r="H12" t="s">
        <v>452</v>
      </c>
      <c r="I12" t="str">
        <f t="shared" si="0"/>
        <v>EN_Hydro_RUS_T4</v>
      </c>
      <c r="J12" t="str">
        <f>SupplyCurves_High!C9&amp;" -- "&amp;SupplyCurves_High!E9&amp;" -- "&amp;SupplyCurves_High!K9</f>
        <v>Russia -- T4 -- $0.10-0.14/kWh</v>
      </c>
      <c r="K12" t="s">
        <v>11</v>
      </c>
      <c r="L12" t="s">
        <v>13</v>
      </c>
      <c r="M12" t="s">
        <v>75</v>
      </c>
      <c r="N12" t="s">
        <v>12</v>
      </c>
    </row>
    <row r="13" spans="2:14">
      <c r="B13" t="str">
        <f>SupplyCurves_High!A10</f>
        <v>EN_Hydro_CAN_T1</v>
      </c>
      <c r="C13" t="s">
        <v>451</v>
      </c>
      <c r="D13" t="s">
        <v>76</v>
      </c>
      <c r="E13">
        <f>SupplyCurves_High!F10</f>
        <v>6.1</v>
      </c>
      <c r="F13">
        <f>SupplyCurves_High!H10</f>
        <v>0</v>
      </c>
      <c r="H13" t="s">
        <v>452</v>
      </c>
      <c r="I13" t="str">
        <f t="shared" si="0"/>
        <v>EN_Hydro_CAN_T1</v>
      </c>
      <c r="J13" t="str">
        <f>SupplyCurves_High!C10&amp;" -- "&amp;SupplyCurves_High!E10&amp;" -- "&amp;SupplyCurves_High!K10</f>
        <v>Canada -- T1 -- $0.04-0.06/kWh</v>
      </c>
      <c r="K13" t="s">
        <v>11</v>
      </c>
      <c r="L13" t="s">
        <v>13</v>
      </c>
      <c r="M13" t="s">
        <v>75</v>
      </c>
      <c r="N13" t="s">
        <v>12</v>
      </c>
    </row>
    <row r="14" spans="2:14">
      <c r="B14" t="str">
        <f>SupplyCurves_High!A11</f>
        <v>EN_Hydro_CAN_T2</v>
      </c>
      <c r="C14" t="s">
        <v>451</v>
      </c>
      <c r="D14" t="s">
        <v>76</v>
      </c>
      <c r="E14">
        <f>SupplyCurves_High!F11</f>
        <v>10.675000000000001</v>
      </c>
      <c r="F14">
        <f>SupplyCurves_High!H11</f>
        <v>285</v>
      </c>
      <c r="H14" t="s">
        <v>452</v>
      </c>
      <c r="I14" t="str">
        <f t="shared" si="0"/>
        <v>EN_Hydro_CAN_T2</v>
      </c>
      <c r="J14" t="str">
        <f>SupplyCurves_High!C11&amp;" -- "&amp;SupplyCurves_High!E11&amp;" -- "&amp;SupplyCurves_High!K11</f>
        <v>Canada -- T2 -- $0.06-0.08/kWh</v>
      </c>
      <c r="K14" t="s">
        <v>11</v>
      </c>
      <c r="L14" t="s">
        <v>13</v>
      </c>
      <c r="M14" t="s">
        <v>75</v>
      </c>
      <c r="N14" t="s">
        <v>12</v>
      </c>
    </row>
    <row r="15" spans="2:14">
      <c r="B15" t="str">
        <f>SupplyCurves_High!A12</f>
        <v>EN_Hydro_CAN_T3</v>
      </c>
      <c r="C15" t="s">
        <v>451</v>
      </c>
      <c r="D15" t="s">
        <v>76</v>
      </c>
      <c r="E15">
        <f>SupplyCurves_High!F12</f>
        <v>9.15</v>
      </c>
      <c r="F15">
        <f>SupplyCurves_High!H12</f>
        <v>713</v>
      </c>
      <c r="H15" t="s">
        <v>452</v>
      </c>
      <c r="I15" t="str">
        <f t="shared" si="0"/>
        <v>EN_Hydro_CAN_T3</v>
      </c>
      <c r="J15" t="str">
        <f>SupplyCurves_High!C12&amp;" -- "&amp;SupplyCurves_High!E12&amp;" -- "&amp;SupplyCurves_High!K12</f>
        <v>Canada -- T3 -- $0.08-0.10/kWh</v>
      </c>
      <c r="K15" t="s">
        <v>11</v>
      </c>
      <c r="L15" t="s">
        <v>13</v>
      </c>
      <c r="M15" t="s">
        <v>75</v>
      </c>
      <c r="N15" t="s">
        <v>12</v>
      </c>
    </row>
    <row r="16" spans="2:14">
      <c r="B16" t="str">
        <f>SupplyCurves_High!A13</f>
        <v>EN_Hydro_CAN_T4</v>
      </c>
      <c r="C16" t="s">
        <v>451</v>
      </c>
      <c r="D16" t="s">
        <v>76</v>
      </c>
      <c r="E16">
        <f>SupplyCurves_High!F13</f>
        <v>4.5750000000000002</v>
      </c>
      <c r="F16">
        <f>SupplyCurves_High!H13</f>
        <v>1284</v>
      </c>
      <c r="H16" t="s">
        <v>452</v>
      </c>
      <c r="I16" t="str">
        <f t="shared" si="0"/>
        <v>EN_Hydro_CAN_T4</v>
      </c>
      <c r="J16" t="str">
        <f>SupplyCurves_High!C13&amp;" -- "&amp;SupplyCurves_High!E13&amp;" -- "&amp;SupplyCurves_High!K13</f>
        <v>Canada -- T4 -- $0.10-0.14/kWh</v>
      </c>
      <c r="K16" t="s">
        <v>11</v>
      </c>
      <c r="L16" t="s">
        <v>13</v>
      </c>
      <c r="M16" t="s">
        <v>75</v>
      </c>
      <c r="N16" t="s">
        <v>12</v>
      </c>
    </row>
    <row r="17" spans="2:14">
      <c r="B17" t="str">
        <f>SupplyCurves_High!A14</f>
        <v>EN_Hydro_IND_T1</v>
      </c>
      <c r="C17" t="s">
        <v>451</v>
      </c>
      <c r="D17" t="s">
        <v>76</v>
      </c>
      <c r="E17">
        <f>SupplyCurves_High!F14</f>
        <v>4.5999999999999996</v>
      </c>
      <c r="F17">
        <f>SupplyCurves_High!H14</f>
        <v>0</v>
      </c>
      <c r="H17" t="s">
        <v>452</v>
      </c>
      <c r="I17" t="str">
        <f t="shared" si="0"/>
        <v>EN_Hydro_IND_T1</v>
      </c>
      <c r="J17" t="str">
        <f>SupplyCurves_High!C14&amp;" -- "&amp;SupplyCurves_High!E14&amp;" -- "&amp;SupplyCurves_High!K14</f>
        <v>India -- T1 -- $0.04-0.06/kWh</v>
      </c>
      <c r="K17" t="s">
        <v>11</v>
      </c>
      <c r="L17" t="s">
        <v>13</v>
      </c>
      <c r="M17" t="s">
        <v>75</v>
      </c>
      <c r="N17" t="s">
        <v>12</v>
      </c>
    </row>
    <row r="18" spans="2:14">
      <c r="B18" t="str">
        <f>SupplyCurves_High!A15</f>
        <v>EN_Hydro_IND_T2</v>
      </c>
      <c r="C18" t="s">
        <v>451</v>
      </c>
      <c r="D18" t="s">
        <v>76</v>
      </c>
      <c r="E18">
        <f>SupplyCurves_High!F15</f>
        <v>8.0500000000000007</v>
      </c>
      <c r="F18">
        <f>SupplyCurves_High!H15</f>
        <v>259</v>
      </c>
      <c r="H18" t="s">
        <v>452</v>
      </c>
      <c r="I18" t="str">
        <f t="shared" si="0"/>
        <v>EN_Hydro_IND_T2</v>
      </c>
      <c r="J18" t="str">
        <f>SupplyCurves_High!C15&amp;" -- "&amp;SupplyCurves_High!E15&amp;" -- "&amp;SupplyCurves_High!K15</f>
        <v>India -- T2 -- $0.06-0.08/kWh</v>
      </c>
      <c r="K18" t="s">
        <v>11</v>
      </c>
      <c r="L18" t="s">
        <v>13</v>
      </c>
      <c r="M18" t="s">
        <v>75</v>
      </c>
      <c r="N18" t="s">
        <v>12</v>
      </c>
    </row>
    <row r="19" spans="2:14">
      <c r="B19" t="str">
        <f>SupplyCurves_High!A16</f>
        <v>EN_Hydro_IND_T3</v>
      </c>
      <c r="C19" t="s">
        <v>451</v>
      </c>
      <c r="D19" t="s">
        <v>76</v>
      </c>
      <c r="E19">
        <f>SupplyCurves_High!F16</f>
        <v>6.9</v>
      </c>
      <c r="F19">
        <f>SupplyCurves_High!H16</f>
        <v>646</v>
      </c>
      <c r="H19" t="s">
        <v>452</v>
      </c>
      <c r="I19" t="str">
        <f t="shared" si="0"/>
        <v>EN_Hydro_IND_T3</v>
      </c>
      <c r="J19" t="str">
        <f>SupplyCurves_High!C16&amp;" -- "&amp;SupplyCurves_High!E16&amp;" -- "&amp;SupplyCurves_High!K16</f>
        <v>India -- T3 -- $0.08-0.10/kWh</v>
      </c>
      <c r="K19" t="s">
        <v>11</v>
      </c>
      <c r="L19" t="s">
        <v>13</v>
      </c>
      <c r="M19" t="s">
        <v>75</v>
      </c>
      <c r="N19" t="s">
        <v>12</v>
      </c>
    </row>
    <row r="20" spans="2:14">
      <c r="B20" t="str">
        <f>SupplyCurves_High!A17</f>
        <v>EN_Hydro_IND_T4</v>
      </c>
      <c r="C20" t="s">
        <v>451</v>
      </c>
      <c r="D20" t="s">
        <v>76</v>
      </c>
      <c r="E20">
        <f>SupplyCurves_High!F17</f>
        <v>3.45</v>
      </c>
      <c r="F20">
        <f>SupplyCurves_High!H17</f>
        <v>1163</v>
      </c>
      <c r="H20" t="s">
        <v>452</v>
      </c>
      <c r="I20" t="str">
        <f t="shared" si="0"/>
        <v>EN_Hydro_IND_T4</v>
      </c>
      <c r="J20" t="str">
        <f>SupplyCurves_High!C17&amp;" -- "&amp;SupplyCurves_High!E17&amp;" -- "&amp;SupplyCurves_High!K17</f>
        <v>India -- T4 -- $0.10-0.14/kWh</v>
      </c>
      <c r="K20" t="s">
        <v>11</v>
      </c>
      <c r="L20" t="s">
        <v>13</v>
      </c>
      <c r="M20" t="s">
        <v>75</v>
      </c>
      <c r="N20" t="s">
        <v>12</v>
      </c>
    </row>
    <row r="21" spans="2:14">
      <c r="B21" t="str">
        <f>SupplyCurves_High!A18</f>
        <v>EN_Hydro_COD_T1</v>
      </c>
      <c r="C21" t="s">
        <v>451</v>
      </c>
      <c r="D21" t="s">
        <v>76</v>
      </c>
      <c r="E21">
        <f>SupplyCurves_High!F18</f>
        <v>13.16</v>
      </c>
      <c r="F21">
        <f>SupplyCurves_High!H18</f>
        <v>0</v>
      </c>
      <c r="H21" t="s">
        <v>452</v>
      </c>
      <c r="I21" t="str">
        <f t="shared" si="0"/>
        <v>EN_Hydro_COD_T1</v>
      </c>
      <c r="J21" t="str">
        <f>SupplyCurves_High!C18&amp;" -- "&amp;SupplyCurves_High!E18&amp;" -- "&amp;SupplyCurves_High!K18</f>
        <v>DR Congo -- T1 -- $0.04-0.06/kWh</v>
      </c>
      <c r="K21" t="s">
        <v>11</v>
      </c>
      <c r="L21" t="s">
        <v>13</v>
      </c>
      <c r="M21" t="s">
        <v>75</v>
      </c>
      <c r="N21" t="s">
        <v>12</v>
      </c>
    </row>
    <row r="22" spans="2:14">
      <c r="B22" t="str">
        <f>SupplyCurves_High!A19</f>
        <v>EN_Hydro_COD_T2</v>
      </c>
      <c r="C22" t="s">
        <v>451</v>
      </c>
      <c r="D22" t="s">
        <v>76</v>
      </c>
      <c r="E22">
        <f>SupplyCurves_High!F19</f>
        <v>23.03</v>
      </c>
      <c r="F22">
        <f>SupplyCurves_High!H19</f>
        <v>269</v>
      </c>
      <c r="H22" t="s">
        <v>452</v>
      </c>
      <c r="I22" t="str">
        <f t="shared" si="0"/>
        <v>EN_Hydro_COD_T2</v>
      </c>
      <c r="J22" t="str">
        <f>SupplyCurves_High!C19&amp;" -- "&amp;SupplyCurves_High!E19&amp;" -- "&amp;SupplyCurves_High!K19</f>
        <v>DR Congo -- T2 -- $0.06-0.08/kWh</v>
      </c>
      <c r="K22" t="s">
        <v>11</v>
      </c>
      <c r="L22" t="s">
        <v>13</v>
      </c>
      <c r="M22" t="s">
        <v>75</v>
      </c>
      <c r="N22" t="s">
        <v>12</v>
      </c>
    </row>
    <row r="23" spans="2:14">
      <c r="B23" t="str">
        <f>SupplyCurves_High!A20</f>
        <v>EN_Hydro_COD_T3</v>
      </c>
      <c r="C23" t="s">
        <v>451</v>
      </c>
      <c r="D23" t="s">
        <v>76</v>
      </c>
      <c r="E23">
        <f>SupplyCurves_High!F20</f>
        <v>19.739999999999998</v>
      </c>
      <c r="F23">
        <f>SupplyCurves_High!H20</f>
        <v>672</v>
      </c>
      <c r="H23" t="s">
        <v>452</v>
      </c>
      <c r="I23" t="str">
        <f t="shared" si="0"/>
        <v>EN_Hydro_COD_T3</v>
      </c>
      <c r="J23" t="str">
        <f>SupplyCurves_High!C20&amp;" -- "&amp;SupplyCurves_High!E20&amp;" -- "&amp;SupplyCurves_High!K20</f>
        <v>DR Congo -- T3 -- $0.08-0.10/kWh</v>
      </c>
      <c r="K23" t="s">
        <v>11</v>
      </c>
      <c r="L23" t="s">
        <v>13</v>
      </c>
      <c r="M23" t="s">
        <v>75</v>
      </c>
      <c r="N23" t="s">
        <v>12</v>
      </c>
    </row>
    <row r="24" spans="2:14">
      <c r="B24" t="str">
        <f>SupplyCurves_High!A21</f>
        <v>EN_Hydro_COD_T4</v>
      </c>
      <c r="C24" t="s">
        <v>451</v>
      </c>
      <c r="D24" t="s">
        <v>76</v>
      </c>
      <c r="E24">
        <f>SupplyCurves_High!F21</f>
        <v>9.8699999999999992</v>
      </c>
      <c r="F24">
        <f>SupplyCurves_High!H21</f>
        <v>1210</v>
      </c>
      <c r="H24" t="s">
        <v>452</v>
      </c>
      <c r="I24" t="str">
        <f t="shared" si="0"/>
        <v>EN_Hydro_COD_T4</v>
      </c>
      <c r="J24" t="str">
        <f>SupplyCurves_High!C21&amp;" -- "&amp;SupplyCurves_High!E21&amp;" -- "&amp;SupplyCurves_High!K21</f>
        <v>DR Congo -- T4 -- $0.10-0.14/kWh</v>
      </c>
      <c r="K24" t="s">
        <v>11</v>
      </c>
      <c r="L24" t="s">
        <v>13</v>
      </c>
      <c r="M24" t="s">
        <v>75</v>
      </c>
      <c r="N24" t="s">
        <v>12</v>
      </c>
    </row>
    <row r="25" spans="2:14">
      <c r="B25" t="str">
        <f>SupplyCurves_High!A22</f>
        <v>EN_Hydro_IDN_T1</v>
      </c>
      <c r="C25" t="s">
        <v>451</v>
      </c>
      <c r="D25" t="s">
        <v>76</v>
      </c>
      <c r="E25">
        <f>SupplyCurves_High!F22</f>
        <v>8.6</v>
      </c>
      <c r="F25">
        <f>SupplyCurves_High!H22</f>
        <v>0</v>
      </c>
      <c r="H25" t="s">
        <v>452</v>
      </c>
      <c r="I25" t="str">
        <f t="shared" si="0"/>
        <v>EN_Hydro_IDN_T1</v>
      </c>
      <c r="J25" t="str">
        <f>SupplyCurves_High!C22&amp;" -- "&amp;SupplyCurves_High!E22&amp;" -- "&amp;SupplyCurves_High!K22</f>
        <v>Indonesia -- T1 -- $0.04-0.06/kWh</v>
      </c>
      <c r="K25" t="s">
        <v>11</v>
      </c>
      <c r="L25" t="s">
        <v>13</v>
      </c>
      <c r="M25" t="s">
        <v>75</v>
      </c>
      <c r="N25" t="s">
        <v>12</v>
      </c>
    </row>
    <row r="26" spans="2:14">
      <c r="B26" t="str">
        <f>SupplyCurves_High!A23</f>
        <v>EN_Hydro_IDN_T2</v>
      </c>
      <c r="C26" t="s">
        <v>451</v>
      </c>
      <c r="D26" t="s">
        <v>76</v>
      </c>
      <c r="E26">
        <f>SupplyCurves_High!F23</f>
        <v>15.05</v>
      </c>
      <c r="F26">
        <f>SupplyCurves_High!H23</f>
        <v>286</v>
      </c>
      <c r="H26" t="s">
        <v>452</v>
      </c>
      <c r="I26" t="str">
        <f t="shared" si="0"/>
        <v>EN_Hydro_IDN_T2</v>
      </c>
      <c r="J26" t="str">
        <f>SupplyCurves_High!C23&amp;" -- "&amp;SupplyCurves_High!E23&amp;" -- "&amp;SupplyCurves_High!K23</f>
        <v>Indonesia -- T2 -- $0.06-0.08/kWh</v>
      </c>
      <c r="K26" t="s">
        <v>11</v>
      </c>
      <c r="L26" t="s">
        <v>13</v>
      </c>
      <c r="M26" t="s">
        <v>75</v>
      </c>
      <c r="N26" t="s">
        <v>12</v>
      </c>
    </row>
    <row r="27" spans="2:14">
      <c r="B27" t="str">
        <f>SupplyCurves_High!A24</f>
        <v>EN_Hydro_IDN_T3</v>
      </c>
      <c r="C27" t="s">
        <v>451</v>
      </c>
      <c r="D27" t="s">
        <v>76</v>
      </c>
      <c r="E27">
        <f>SupplyCurves_High!F24</f>
        <v>12.9</v>
      </c>
      <c r="F27">
        <f>SupplyCurves_High!H24</f>
        <v>716</v>
      </c>
      <c r="H27" t="s">
        <v>452</v>
      </c>
      <c r="I27" t="str">
        <f t="shared" si="0"/>
        <v>EN_Hydro_IDN_T3</v>
      </c>
      <c r="J27" t="str">
        <f>SupplyCurves_High!C24&amp;" -- "&amp;SupplyCurves_High!E24&amp;" -- "&amp;SupplyCurves_High!K24</f>
        <v>Indonesia -- T3 -- $0.08-0.10/kWh</v>
      </c>
      <c r="K27" t="s">
        <v>11</v>
      </c>
      <c r="L27" t="s">
        <v>13</v>
      </c>
      <c r="M27" t="s">
        <v>75</v>
      </c>
      <c r="N27" t="s">
        <v>12</v>
      </c>
    </row>
    <row r="28" spans="2:14">
      <c r="B28" t="str">
        <f>SupplyCurves_High!A25</f>
        <v>EN_Hydro_IDN_T4</v>
      </c>
      <c r="C28" t="s">
        <v>451</v>
      </c>
      <c r="D28" t="s">
        <v>76</v>
      </c>
      <c r="E28">
        <f>SupplyCurves_High!F25</f>
        <v>6.45</v>
      </c>
      <c r="F28">
        <f>SupplyCurves_High!H25</f>
        <v>1289</v>
      </c>
      <c r="H28" t="s">
        <v>452</v>
      </c>
      <c r="I28" t="str">
        <f t="shared" si="0"/>
        <v>EN_Hydro_IDN_T4</v>
      </c>
      <c r="J28" t="str">
        <f>SupplyCurves_High!C25&amp;" -- "&amp;SupplyCurves_High!E25&amp;" -- "&amp;SupplyCurves_High!K25</f>
        <v>Indonesia -- T4 -- $0.10-0.14/kWh</v>
      </c>
      <c r="K28" t="s">
        <v>11</v>
      </c>
      <c r="L28" t="s">
        <v>13</v>
      </c>
      <c r="M28" t="s">
        <v>75</v>
      </c>
      <c r="N28" t="s">
        <v>12</v>
      </c>
    </row>
    <row r="29" spans="2:14">
      <c r="B29" t="str">
        <f>SupplyCurves_High!A26</f>
        <v>EN_Hydro_PER_T1</v>
      </c>
      <c r="C29" t="s">
        <v>451</v>
      </c>
      <c r="D29" t="s">
        <v>76</v>
      </c>
      <c r="E29">
        <f>SupplyCurves_High!F26</f>
        <v>7.76</v>
      </c>
      <c r="F29">
        <f>SupplyCurves_High!H26</f>
        <v>0</v>
      </c>
      <c r="H29" t="s">
        <v>452</v>
      </c>
      <c r="I29" t="str">
        <f t="shared" si="0"/>
        <v>EN_Hydro_PER_T1</v>
      </c>
      <c r="J29" t="str">
        <f>SupplyCurves_High!C26&amp;" -- "&amp;SupplyCurves_High!E26&amp;" -- "&amp;SupplyCurves_High!K26</f>
        <v>Peru -- T1 -- $0.04-0.06/kWh</v>
      </c>
      <c r="K29" t="s">
        <v>11</v>
      </c>
      <c r="L29" t="s">
        <v>13</v>
      </c>
      <c r="M29" t="s">
        <v>75</v>
      </c>
      <c r="N29" t="s">
        <v>12</v>
      </c>
    </row>
    <row r="30" spans="2:14">
      <c r="B30" t="str">
        <f>SupplyCurves_High!A27</f>
        <v>EN_Hydro_PER_T2</v>
      </c>
      <c r="C30" t="s">
        <v>451</v>
      </c>
      <c r="D30" t="s">
        <v>76</v>
      </c>
      <c r="E30">
        <f>SupplyCurves_High!F27</f>
        <v>13.58</v>
      </c>
      <c r="F30">
        <f>SupplyCurves_High!H27</f>
        <v>307</v>
      </c>
      <c r="H30" t="s">
        <v>452</v>
      </c>
      <c r="I30" t="str">
        <f t="shared" si="0"/>
        <v>EN_Hydro_PER_T2</v>
      </c>
      <c r="J30" t="str">
        <f>SupplyCurves_High!C27&amp;" -- "&amp;SupplyCurves_High!E27&amp;" -- "&amp;SupplyCurves_High!K27</f>
        <v>Peru -- T2 -- $0.06-0.08/kWh</v>
      </c>
      <c r="K30" t="s">
        <v>11</v>
      </c>
      <c r="L30" t="s">
        <v>13</v>
      </c>
      <c r="M30" t="s">
        <v>75</v>
      </c>
      <c r="N30" t="s">
        <v>12</v>
      </c>
    </row>
    <row r="31" spans="2:14">
      <c r="B31" t="str">
        <f>SupplyCurves_High!A28</f>
        <v>EN_Hydro_PER_T3</v>
      </c>
      <c r="C31" t="s">
        <v>451</v>
      </c>
      <c r="D31" t="s">
        <v>76</v>
      </c>
      <c r="E31">
        <f>SupplyCurves_High!F28</f>
        <v>11.64</v>
      </c>
      <c r="F31">
        <f>SupplyCurves_High!H28</f>
        <v>768</v>
      </c>
      <c r="H31" t="s">
        <v>452</v>
      </c>
      <c r="I31" t="str">
        <f t="shared" si="0"/>
        <v>EN_Hydro_PER_T3</v>
      </c>
      <c r="J31" t="str">
        <f>SupplyCurves_High!C28&amp;" -- "&amp;SupplyCurves_High!E28&amp;" -- "&amp;SupplyCurves_High!K28</f>
        <v>Peru -- T3 -- $0.08-0.10/kWh</v>
      </c>
      <c r="K31" t="s">
        <v>11</v>
      </c>
      <c r="L31" t="s">
        <v>13</v>
      </c>
      <c r="M31" t="s">
        <v>75</v>
      </c>
      <c r="N31" t="s">
        <v>12</v>
      </c>
    </row>
    <row r="32" spans="2:14">
      <c r="B32" t="str">
        <f>SupplyCurves_High!A29</f>
        <v>EN_Hydro_PER_T4</v>
      </c>
      <c r="C32" t="s">
        <v>451</v>
      </c>
      <c r="D32" t="s">
        <v>76</v>
      </c>
      <c r="E32">
        <f>SupplyCurves_High!F29</f>
        <v>5.82</v>
      </c>
      <c r="F32">
        <f>SupplyCurves_High!H29</f>
        <v>1383</v>
      </c>
      <c r="H32" t="s">
        <v>452</v>
      </c>
      <c r="I32" t="str">
        <f t="shared" si="0"/>
        <v>EN_Hydro_PER_T4</v>
      </c>
      <c r="J32" t="str">
        <f>SupplyCurves_High!C29&amp;" -- "&amp;SupplyCurves_High!E29&amp;" -- "&amp;SupplyCurves_High!K29</f>
        <v>Peru -- T4 -- $0.10-0.14/kWh</v>
      </c>
      <c r="K32" t="s">
        <v>11</v>
      </c>
      <c r="L32" t="s">
        <v>13</v>
      </c>
      <c r="M32" t="s">
        <v>75</v>
      </c>
      <c r="N32" t="s">
        <v>12</v>
      </c>
    </row>
    <row r="33" spans="2:14">
      <c r="B33" t="str">
        <f>SupplyCurves_High!A30</f>
        <v>EN_Hydro_COL_T1</v>
      </c>
      <c r="C33" t="s">
        <v>451</v>
      </c>
      <c r="D33" t="s">
        <v>76</v>
      </c>
      <c r="E33">
        <f>SupplyCurves_High!F30</f>
        <v>5.72</v>
      </c>
      <c r="F33">
        <f>SupplyCurves_High!H30</f>
        <v>0</v>
      </c>
      <c r="H33" t="s">
        <v>452</v>
      </c>
      <c r="I33" t="str">
        <f t="shared" si="0"/>
        <v>EN_Hydro_COL_T1</v>
      </c>
      <c r="J33" t="str">
        <f>SupplyCurves_High!C30&amp;" -- "&amp;SupplyCurves_High!E30&amp;" -- "&amp;SupplyCurves_High!K30</f>
        <v>Colombia -- T1 -- $0.04-0.06/kWh</v>
      </c>
      <c r="K33" t="s">
        <v>11</v>
      </c>
      <c r="L33" t="s">
        <v>13</v>
      </c>
      <c r="M33" t="s">
        <v>75</v>
      </c>
      <c r="N33" t="s">
        <v>12</v>
      </c>
    </row>
    <row r="34" spans="2:14">
      <c r="B34" t="str">
        <f>SupplyCurves_High!A31</f>
        <v>EN_Hydro_COL_T2</v>
      </c>
      <c r="C34" t="s">
        <v>451</v>
      </c>
      <c r="D34" t="s">
        <v>76</v>
      </c>
      <c r="E34">
        <f>SupplyCurves_High!F31</f>
        <v>10.01</v>
      </c>
      <c r="F34">
        <f>SupplyCurves_High!H31</f>
        <v>307</v>
      </c>
      <c r="H34" t="s">
        <v>452</v>
      </c>
      <c r="I34" t="str">
        <f t="shared" si="0"/>
        <v>EN_Hydro_COL_T2</v>
      </c>
      <c r="J34" t="str">
        <f>SupplyCurves_High!C31&amp;" -- "&amp;SupplyCurves_High!E31&amp;" -- "&amp;SupplyCurves_High!K31</f>
        <v>Colombia -- T2 -- $0.06-0.08/kWh</v>
      </c>
      <c r="K34" t="s">
        <v>11</v>
      </c>
      <c r="L34" t="s">
        <v>13</v>
      </c>
      <c r="M34" t="s">
        <v>75</v>
      </c>
      <c r="N34" t="s">
        <v>12</v>
      </c>
    </row>
    <row r="35" spans="2:14">
      <c r="B35" t="str">
        <f>SupplyCurves_High!A32</f>
        <v>EN_Hydro_COL_T3</v>
      </c>
      <c r="C35" t="s">
        <v>451</v>
      </c>
      <c r="D35" t="s">
        <v>76</v>
      </c>
      <c r="E35">
        <f>SupplyCurves_High!F32</f>
        <v>8.58</v>
      </c>
      <c r="F35">
        <f>SupplyCurves_High!H32</f>
        <v>768</v>
      </c>
      <c r="H35" t="s">
        <v>452</v>
      </c>
      <c r="I35" t="str">
        <f t="shared" si="0"/>
        <v>EN_Hydro_COL_T3</v>
      </c>
      <c r="J35" t="str">
        <f>SupplyCurves_High!C32&amp;" -- "&amp;SupplyCurves_High!E32&amp;" -- "&amp;SupplyCurves_High!K32</f>
        <v>Colombia -- T3 -- $0.08-0.10/kWh</v>
      </c>
      <c r="K35" t="s">
        <v>11</v>
      </c>
      <c r="L35" t="s">
        <v>13</v>
      </c>
      <c r="M35" t="s">
        <v>75</v>
      </c>
      <c r="N35" t="s">
        <v>12</v>
      </c>
    </row>
    <row r="36" spans="2:14">
      <c r="B36" t="str">
        <f>SupplyCurves_High!A33</f>
        <v>EN_Hydro_COL_T4</v>
      </c>
      <c r="C36" t="s">
        <v>451</v>
      </c>
      <c r="D36" t="s">
        <v>76</v>
      </c>
      <c r="E36">
        <f>SupplyCurves_High!F33</f>
        <v>4.29</v>
      </c>
      <c r="F36">
        <f>SupplyCurves_High!H33</f>
        <v>1383</v>
      </c>
      <c r="H36" t="s">
        <v>452</v>
      </c>
      <c r="I36" t="str">
        <f t="shared" si="0"/>
        <v>EN_Hydro_COL_T4</v>
      </c>
      <c r="J36" t="str">
        <f>SupplyCurves_High!C33&amp;" -- "&amp;SupplyCurves_High!E33&amp;" -- "&amp;SupplyCurves_High!K33</f>
        <v>Colombia -- T4 -- $0.10-0.14/kWh</v>
      </c>
      <c r="K36" t="s">
        <v>11</v>
      </c>
      <c r="L36" t="s">
        <v>13</v>
      </c>
      <c r="M36" t="s">
        <v>75</v>
      </c>
      <c r="N36" t="s">
        <v>12</v>
      </c>
    </row>
    <row r="37" spans="2:14">
      <c r="B37" t="str">
        <f>SupplyCurves_High!A34</f>
        <v>EN_Hydro_VEN_T1</v>
      </c>
      <c r="C37" t="s">
        <v>451</v>
      </c>
      <c r="D37" t="s">
        <v>76</v>
      </c>
      <c r="E37">
        <f>SupplyCurves_High!F34</f>
        <v>4.0999999999999996</v>
      </c>
      <c r="F37">
        <f>SupplyCurves_High!H34</f>
        <v>0</v>
      </c>
      <c r="H37" t="s">
        <v>452</v>
      </c>
      <c r="I37" t="str">
        <f t="shared" si="0"/>
        <v>EN_Hydro_VEN_T1</v>
      </c>
      <c r="J37" t="str">
        <f>SupplyCurves_High!C34&amp;" -- "&amp;SupplyCurves_High!E34&amp;" -- "&amp;SupplyCurves_High!K34</f>
        <v>Venezuela -- T1 -- $0.04-0.06/kWh</v>
      </c>
      <c r="K37" t="s">
        <v>11</v>
      </c>
      <c r="L37" t="s">
        <v>13</v>
      </c>
      <c r="M37" t="s">
        <v>75</v>
      </c>
      <c r="N37" t="s">
        <v>12</v>
      </c>
    </row>
    <row r="38" spans="2:14">
      <c r="B38" t="str">
        <f>SupplyCurves_High!A35</f>
        <v>EN_Hydro_VEN_T2</v>
      </c>
      <c r="C38" t="s">
        <v>451</v>
      </c>
      <c r="D38" t="s">
        <v>76</v>
      </c>
      <c r="E38">
        <f>SupplyCurves_High!F35</f>
        <v>7.1749999999999998</v>
      </c>
      <c r="F38">
        <f>SupplyCurves_High!H35</f>
        <v>307</v>
      </c>
      <c r="H38" t="s">
        <v>452</v>
      </c>
      <c r="I38" t="str">
        <f t="shared" si="0"/>
        <v>EN_Hydro_VEN_T2</v>
      </c>
      <c r="J38" t="str">
        <f>SupplyCurves_High!C35&amp;" -- "&amp;SupplyCurves_High!E35&amp;" -- "&amp;SupplyCurves_High!K35</f>
        <v>Venezuela -- T2 -- $0.06-0.08/kWh</v>
      </c>
      <c r="K38" t="s">
        <v>11</v>
      </c>
      <c r="L38" t="s">
        <v>13</v>
      </c>
      <c r="M38" t="s">
        <v>75</v>
      </c>
      <c r="N38" t="s">
        <v>12</v>
      </c>
    </row>
    <row r="39" spans="2:14">
      <c r="B39" t="str">
        <f>SupplyCurves_High!A36</f>
        <v>EN_Hydro_VEN_T3</v>
      </c>
      <c r="C39" t="s">
        <v>451</v>
      </c>
      <c r="D39" t="s">
        <v>76</v>
      </c>
      <c r="E39">
        <f>SupplyCurves_High!F36</f>
        <v>6.15</v>
      </c>
      <c r="F39">
        <f>SupplyCurves_High!H36</f>
        <v>768</v>
      </c>
      <c r="H39" t="s">
        <v>452</v>
      </c>
      <c r="I39" t="str">
        <f t="shared" si="0"/>
        <v>EN_Hydro_VEN_T3</v>
      </c>
      <c r="J39" t="str">
        <f>SupplyCurves_High!C36&amp;" -- "&amp;SupplyCurves_High!E36&amp;" -- "&amp;SupplyCurves_High!K36</f>
        <v>Venezuela -- T3 -- $0.08-0.10/kWh</v>
      </c>
      <c r="K39" t="s">
        <v>11</v>
      </c>
      <c r="L39" t="s">
        <v>13</v>
      </c>
      <c r="M39" t="s">
        <v>75</v>
      </c>
      <c r="N39" t="s">
        <v>12</v>
      </c>
    </row>
    <row r="40" spans="2:14">
      <c r="B40" t="str">
        <f>SupplyCurves_High!A37</f>
        <v>EN_Hydro_VEN_T4</v>
      </c>
      <c r="C40" t="s">
        <v>451</v>
      </c>
      <c r="D40" t="s">
        <v>76</v>
      </c>
      <c r="E40">
        <f>SupplyCurves_High!F37</f>
        <v>3.0750000000000002</v>
      </c>
      <c r="F40">
        <f>SupplyCurves_High!H37</f>
        <v>1383</v>
      </c>
      <c r="H40" t="s">
        <v>452</v>
      </c>
      <c r="I40" t="str">
        <f t="shared" si="0"/>
        <v>EN_Hydro_VEN_T4</v>
      </c>
      <c r="J40" t="str">
        <f>SupplyCurves_High!C37&amp;" -- "&amp;SupplyCurves_High!E37&amp;" -- "&amp;SupplyCurves_High!K37</f>
        <v>Venezuela -- T4 -- $0.10-0.14/kWh</v>
      </c>
      <c r="K40" t="s">
        <v>11</v>
      </c>
      <c r="L40" t="s">
        <v>13</v>
      </c>
      <c r="M40" t="s">
        <v>75</v>
      </c>
      <c r="N40" t="s">
        <v>12</v>
      </c>
    </row>
    <row r="41" spans="2:14">
      <c r="B41" t="str">
        <f>SupplyCurves_High!A38</f>
        <v>EN_Hydro_MMR_T1</v>
      </c>
      <c r="C41" t="s">
        <v>451</v>
      </c>
      <c r="D41" t="s">
        <v>76</v>
      </c>
      <c r="E41">
        <f>SupplyCurves_High!F38</f>
        <v>6.08</v>
      </c>
      <c r="F41">
        <f>SupplyCurves_High!H38</f>
        <v>0</v>
      </c>
      <c r="H41" t="s">
        <v>452</v>
      </c>
      <c r="I41" t="str">
        <f t="shared" si="0"/>
        <v>EN_Hydro_MMR_T1</v>
      </c>
      <c r="J41" t="str">
        <f>SupplyCurves_High!C38&amp;" -- "&amp;SupplyCurves_High!E38&amp;" -- "&amp;SupplyCurves_High!K38</f>
        <v>Myanmar -- T1 -- $0.04-0.06/kWh</v>
      </c>
      <c r="K41" t="s">
        <v>11</v>
      </c>
      <c r="L41" t="s">
        <v>13</v>
      </c>
      <c r="M41" t="s">
        <v>75</v>
      </c>
      <c r="N41" t="s">
        <v>12</v>
      </c>
    </row>
    <row r="42" spans="2:14">
      <c r="B42" t="str">
        <f>SupplyCurves_High!A39</f>
        <v>EN_Hydro_MMR_T2</v>
      </c>
      <c r="C42" t="s">
        <v>451</v>
      </c>
      <c r="D42" t="s">
        <v>76</v>
      </c>
      <c r="E42">
        <f>SupplyCurves_High!F39</f>
        <v>10.64</v>
      </c>
      <c r="F42">
        <f>SupplyCurves_High!H39</f>
        <v>227</v>
      </c>
      <c r="H42" t="s">
        <v>452</v>
      </c>
      <c r="I42" t="str">
        <f t="shared" si="0"/>
        <v>EN_Hydro_MMR_T2</v>
      </c>
      <c r="J42" t="str">
        <f>SupplyCurves_High!C39&amp;" -- "&amp;SupplyCurves_High!E39&amp;" -- "&amp;SupplyCurves_High!K39</f>
        <v>Myanmar -- T2 -- $0.06-0.08/kWh</v>
      </c>
      <c r="K42" t="s">
        <v>11</v>
      </c>
      <c r="L42" t="s">
        <v>13</v>
      </c>
      <c r="M42" t="s">
        <v>75</v>
      </c>
      <c r="N42" t="s">
        <v>12</v>
      </c>
    </row>
    <row r="43" spans="2:14">
      <c r="B43" t="str">
        <f>SupplyCurves_High!A40</f>
        <v>EN_Hydro_MMR_T3</v>
      </c>
      <c r="C43" t="s">
        <v>451</v>
      </c>
      <c r="D43" t="s">
        <v>76</v>
      </c>
      <c r="E43">
        <f>SupplyCurves_High!F40</f>
        <v>9.1199999999999992</v>
      </c>
      <c r="F43">
        <f>SupplyCurves_High!H40</f>
        <v>568</v>
      </c>
      <c r="H43" t="s">
        <v>452</v>
      </c>
      <c r="I43" t="str">
        <f t="shared" si="0"/>
        <v>EN_Hydro_MMR_T3</v>
      </c>
      <c r="J43" t="str">
        <f>SupplyCurves_High!C40&amp;" -- "&amp;SupplyCurves_High!E40&amp;" -- "&amp;SupplyCurves_High!K40</f>
        <v>Myanmar -- T3 -- $0.08-0.10/kWh</v>
      </c>
      <c r="K43" t="s">
        <v>11</v>
      </c>
      <c r="L43" t="s">
        <v>13</v>
      </c>
      <c r="M43" t="s">
        <v>75</v>
      </c>
      <c r="N43" t="s">
        <v>12</v>
      </c>
    </row>
    <row r="44" spans="2:14">
      <c r="B44" t="str">
        <f>SupplyCurves_High!A41</f>
        <v>EN_Hydro_MMR_T4</v>
      </c>
      <c r="C44" t="s">
        <v>451</v>
      </c>
      <c r="D44" t="s">
        <v>76</v>
      </c>
      <c r="E44">
        <f>SupplyCurves_High!F41</f>
        <v>4.5599999999999996</v>
      </c>
      <c r="F44">
        <f>SupplyCurves_High!H41</f>
        <v>1023</v>
      </c>
      <c r="H44" t="s">
        <v>452</v>
      </c>
      <c r="I44" t="str">
        <f t="shared" si="0"/>
        <v>EN_Hydro_MMR_T4</v>
      </c>
      <c r="J44" t="str">
        <f>SupplyCurves_High!C41&amp;" -- "&amp;SupplyCurves_High!E41&amp;" -- "&amp;SupplyCurves_High!K41</f>
        <v>Myanmar -- T4 -- $0.10-0.14/kWh</v>
      </c>
      <c r="K44" t="s">
        <v>11</v>
      </c>
      <c r="L44" t="s">
        <v>13</v>
      </c>
      <c r="M44" t="s">
        <v>75</v>
      </c>
      <c r="N44" t="s">
        <v>12</v>
      </c>
    </row>
    <row r="45" spans="2:14">
      <c r="B45" t="str">
        <f>SupplyCurves_High!A42</f>
        <v>EN_Hydro_NPL_T1</v>
      </c>
      <c r="C45" t="s">
        <v>451</v>
      </c>
      <c r="D45" t="s">
        <v>76</v>
      </c>
      <c r="E45">
        <f>SupplyCurves_High!F42</f>
        <v>5.64</v>
      </c>
      <c r="F45">
        <f>SupplyCurves_High!H42</f>
        <v>0</v>
      </c>
      <c r="H45" t="s">
        <v>452</v>
      </c>
      <c r="I45" t="str">
        <f t="shared" si="0"/>
        <v>EN_Hydro_NPL_T1</v>
      </c>
      <c r="J45" t="str">
        <f>SupplyCurves_High!C42&amp;" -- "&amp;SupplyCurves_High!E42&amp;" -- "&amp;SupplyCurves_High!K42</f>
        <v>Nepal -- T1 -- $0.04-0.06/kWh</v>
      </c>
      <c r="K45" t="s">
        <v>11</v>
      </c>
      <c r="L45" t="s">
        <v>13</v>
      </c>
      <c r="M45" t="s">
        <v>75</v>
      </c>
      <c r="N45" t="s">
        <v>12</v>
      </c>
    </row>
    <row r="46" spans="2:14">
      <c r="B46" t="str">
        <f>SupplyCurves_High!A43</f>
        <v>EN_Hydro_NPL_T2</v>
      </c>
      <c r="C46" t="s">
        <v>451</v>
      </c>
      <c r="D46" t="s">
        <v>76</v>
      </c>
      <c r="E46">
        <f>SupplyCurves_High!F43</f>
        <v>9.8699999999999992</v>
      </c>
      <c r="F46">
        <f>SupplyCurves_High!H43</f>
        <v>259</v>
      </c>
      <c r="H46" t="s">
        <v>452</v>
      </c>
      <c r="I46" t="str">
        <f t="shared" si="0"/>
        <v>EN_Hydro_NPL_T2</v>
      </c>
      <c r="J46" t="str">
        <f>SupplyCurves_High!C43&amp;" -- "&amp;SupplyCurves_High!E43&amp;" -- "&amp;SupplyCurves_High!K43</f>
        <v>Nepal -- T2 -- $0.06-0.08/kWh</v>
      </c>
      <c r="K46" t="s">
        <v>11</v>
      </c>
      <c r="L46" t="s">
        <v>13</v>
      </c>
      <c r="M46" t="s">
        <v>75</v>
      </c>
      <c r="N46" t="s">
        <v>12</v>
      </c>
    </row>
    <row r="47" spans="2:14">
      <c r="B47" t="str">
        <f>SupplyCurves_High!A44</f>
        <v>EN_Hydro_NPL_T3</v>
      </c>
      <c r="C47" t="s">
        <v>451</v>
      </c>
      <c r="D47" t="s">
        <v>76</v>
      </c>
      <c r="E47">
        <f>SupplyCurves_High!F44</f>
        <v>8.4600000000000009</v>
      </c>
      <c r="F47">
        <f>SupplyCurves_High!H44</f>
        <v>646</v>
      </c>
      <c r="H47" t="s">
        <v>452</v>
      </c>
      <c r="I47" t="str">
        <f t="shared" si="0"/>
        <v>EN_Hydro_NPL_T3</v>
      </c>
      <c r="J47" t="str">
        <f>SupplyCurves_High!C44&amp;" -- "&amp;SupplyCurves_High!E44&amp;" -- "&amp;SupplyCurves_High!K44</f>
        <v>Nepal -- T3 -- $0.08-0.10/kWh</v>
      </c>
      <c r="K47" t="s">
        <v>11</v>
      </c>
      <c r="L47" t="s">
        <v>13</v>
      </c>
      <c r="M47" t="s">
        <v>75</v>
      </c>
      <c r="N47" t="s">
        <v>12</v>
      </c>
    </row>
    <row r="48" spans="2:14">
      <c r="B48" t="str">
        <f>SupplyCurves_High!A45</f>
        <v>EN_Hydro_NPL_T4</v>
      </c>
      <c r="C48" t="s">
        <v>451</v>
      </c>
      <c r="D48" t="s">
        <v>76</v>
      </c>
      <c r="E48">
        <f>SupplyCurves_High!F45</f>
        <v>4.2300000000000004</v>
      </c>
      <c r="F48">
        <f>SupplyCurves_High!H45</f>
        <v>1163</v>
      </c>
      <c r="H48" t="s">
        <v>452</v>
      </c>
      <c r="I48" t="str">
        <f t="shared" si="0"/>
        <v>EN_Hydro_NPL_T4</v>
      </c>
      <c r="J48" t="str">
        <f>SupplyCurves_High!C45&amp;" -- "&amp;SupplyCurves_High!E45&amp;" -- "&amp;SupplyCurves_High!K45</f>
        <v>Nepal -- T4 -- $0.10-0.14/kWh</v>
      </c>
      <c r="K48" t="s">
        <v>11</v>
      </c>
      <c r="L48" t="s">
        <v>13</v>
      </c>
      <c r="M48" t="s">
        <v>75</v>
      </c>
      <c r="N48" t="s">
        <v>12</v>
      </c>
    </row>
    <row r="49" spans="2:14">
      <c r="B49" t="str">
        <f>SupplyCurves_High!A46</f>
        <v>EN_Hydro_PAK_T1</v>
      </c>
      <c r="C49" t="s">
        <v>451</v>
      </c>
      <c r="D49" t="s">
        <v>76</v>
      </c>
      <c r="E49">
        <f>SupplyCurves_High!F46</f>
        <v>4</v>
      </c>
      <c r="F49">
        <f>SupplyCurves_High!H46</f>
        <v>0</v>
      </c>
      <c r="H49" t="s">
        <v>452</v>
      </c>
      <c r="I49" t="str">
        <f t="shared" si="0"/>
        <v>EN_Hydro_PAK_T1</v>
      </c>
      <c r="J49" t="str">
        <f>SupplyCurves_High!C46&amp;" -- "&amp;SupplyCurves_High!E46&amp;" -- "&amp;SupplyCurves_High!K46</f>
        <v>Pakistan -- T1 -- $0.04-0.06/kWh</v>
      </c>
      <c r="K49" t="s">
        <v>11</v>
      </c>
      <c r="L49" t="s">
        <v>13</v>
      </c>
      <c r="M49" t="s">
        <v>75</v>
      </c>
      <c r="N49" t="s">
        <v>12</v>
      </c>
    </row>
    <row r="50" spans="2:14">
      <c r="B50" t="str">
        <f>SupplyCurves_High!A47</f>
        <v>EN_Hydro_PAK_T2</v>
      </c>
      <c r="C50" t="s">
        <v>451</v>
      </c>
      <c r="D50" t="s">
        <v>76</v>
      </c>
      <c r="E50">
        <f>SupplyCurves_High!F47</f>
        <v>7</v>
      </c>
      <c r="F50">
        <f>SupplyCurves_High!H47</f>
        <v>259</v>
      </c>
      <c r="H50" t="s">
        <v>452</v>
      </c>
      <c r="I50" t="str">
        <f t="shared" si="0"/>
        <v>EN_Hydro_PAK_T2</v>
      </c>
      <c r="J50" t="str">
        <f>SupplyCurves_High!C47&amp;" -- "&amp;SupplyCurves_High!E47&amp;" -- "&amp;SupplyCurves_High!K47</f>
        <v>Pakistan -- T2 -- $0.06-0.08/kWh</v>
      </c>
      <c r="K50" t="s">
        <v>11</v>
      </c>
      <c r="L50" t="s">
        <v>13</v>
      </c>
      <c r="M50" t="s">
        <v>75</v>
      </c>
      <c r="N50" t="s">
        <v>12</v>
      </c>
    </row>
    <row r="51" spans="2:14">
      <c r="B51" t="str">
        <f>SupplyCurves_High!A48</f>
        <v>EN_Hydro_PAK_T3</v>
      </c>
      <c r="C51" t="s">
        <v>451</v>
      </c>
      <c r="D51" t="s">
        <v>76</v>
      </c>
      <c r="E51">
        <f>SupplyCurves_High!F48</f>
        <v>6</v>
      </c>
      <c r="F51">
        <f>SupplyCurves_High!H48</f>
        <v>646</v>
      </c>
      <c r="H51" t="s">
        <v>452</v>
      </c>
      <c r="I51" t="str">
        <f t="shared" si="0"/>
        <v>EN_Hydro_PAK_T3</v>
      </c>
      <c r="J51" t="str">
        <f>SupplyCurves_High!C48&amp;" -- "&amp;SupplyCurves_High!E48&amp;" -- "&amp;SupplyCurves_High!K48</f>
        <v>Pakistan -- T3 -- $0.08-0.10/kWh</v>
      </c>
      <c r="K51" t="s">
        <v>11</v>
      </c>
      <c r="L51" t="s">
        <v>13</v>
      </c>
      <c r="M51" t="s">
        <v>75</v>
      </c>
      <c r="N51" t="s">
        <v>12</v>
      </c>
    </row>
    <row r="52" spans="2:14">
      <c r="B52" t="str">
        <f>SupplyCurves_High!A49</f>
        <v>EN_Hydro_PAK_T4</v>
      </c>
      <c r="C52" t="s">
        <v>451</v>
      </c>
      <c r="D52" t="s">
        <v>76</v>
      </c>
      <c r="E52">
        <f>SupplyCurves_High!F49</f>
        <v>3</v>
      </c>
      <c r="F52">
        <f>SupplyCurves_High!H49</f>
        <v>1163</v>
      </c>
      <c r="H52" t="s">
        <v>452</v>
      </c>
      <c r="I52" t="str">
        <f t="shared" si="0"/>
        <v>EN_Hydro_PAK_T4</v>
      </c>
      <c r="J52" t="str">
        <f>SupplyCurves_High!C49&amp;" -- "&amp;SupplyCurves_High!E49&amp;" -- "&amp;SupplyCurves_High!K49</f>
        <v>Pakistan -- T4 -- $0.10-0.14/kWh</v>
      </c>
      <c r="K52" t="s">
        <v>11</v>
      </c>
      <c r="L52" t="s">
        <v>13</v>
      </c>
      <c r="M52" t="s">
        <v>75</v>
      </c>
      <c r="N52" t="s">
        <v>12</v>
      </c>
    </row>
    <row r="53" spans="2:14">
      <c r="B53" t="str">
        <f>SupplyCurves_High!A50</f>
        <v>EN_Hydro_ARG_T1</v>
      </c>
      <c r="C53" t="s">
        <v>451</v>
      </c>
      <c r="D53" t="s">
        <v>76</v>
      </c>
      <c r="E53">
        <f>SupplyCurves_High!F50</f>
        <v>3.42</v>
      </c>
      <c r="F53">
        <f>SupplyCurves_High!H50</f>
        <v>0</v>
      </c>
      <c r="H53" t="s">
        <v>452</v>
      </c>
      <c r="I53" t="str">
        <f t="shared" si="0"/>
        <v>EN_Hydro_ARG_T1</v>
      </c>
      <c r="J53" t="str">
        <f>SupplyCurves_High!C50&amp;" -- "&amp;SupplyCurves_High!E50&amp;" -- "&amp;SupplyCurves_High!K50</f>
        <v>Argentina -- T1 -- $0.04-0.06/kWh</v>
      </c>
      <c r="K53" t="s">
        <v>11</v>
      </c>
      <c r="L53" t="s">
        <v>13</v>
      </c>
      <c r="M53" t="s">
        <v>75</v>
      </c>
      <c r="N53" t="s">
        <v>12</v>
      </c>
    </row>
    <row r="54" spans="2:14">
      <c r="B54" t="str">
        <f>SupplyCurves_High!A51</f>
        <v>EN_Hydro_ARG_T2</v>
      </c>
      <c r="C54" t="s">
        <v>451</v>
      </c>
      <c r="D54" t="s">
        <v>76</v>
      </c>
      <c r="E54">
        <f>SupplyCurves_High!F51</f>
        <v>5.9850000000000003</v>
      </c>
      <c r="F54">
        <f>SupplyCurves_High!H51</f>
        <v>307</v>
      </c>
      <c r="H54" t="s">
        <v>452</v>
      </c>
      <c r="I54" t="str">
        <f t="shared" si="0"/>
        <v>EN_Hydro_ARG_T2</v>
      </c>
      <c r="J54" t="str">
        <f>SupplyCurves_High!C51&amp;" -- "&amp;SupplyCurves_High!E51&amp;" -- "&amp;SupplyCurves_High!K51</f>
        <v>Argentina -- T2 -- $0.06-0.08/kWh</v>
      </c>
      <c r="K54" t="s">
        <v>11</v>
      </c>
      <c r="L54" t="s">
        <v>13</v>
      </c>
      <c r="M54" t="s">
        <v>75</v>
      </c>
      <c r="N54" t="s">
        <v>12</v>
      </c>
    </row>
    <row r="55" spans="2:14">
      <c r="B55" t="str">
        <f>SupplyCurves_High!A52</f>
        <v>EN_Hydro_ARG_T3</v>
      </c>
      <c r="C55" t="s">
        <v>451</v>
      </c>
      <c r="D55" t="s">
        <v>76</v>
      </c>
      <c r="E55">
        <f>SupplyCurves_High!F52</f>
        <v>5.13</v>
      </c>
      <c r="F55">
        <f>SupplyCurves_High!H52</f>
        <v>768</v>
      </c>
      <c r="H55" t="s">
        <v>452</v>
      </c>
      <c r="I55" t="str">
        <f t="shared" si="0"/>
        <v>EN_Hydro_ARG_T3</v>
      </c>
      <c r="J55" t="str">
        <f>SupplyCurves_High!C52&amp;" -- "&amp;SupplyCurves_High!E52&amp;" -- "&amp;SupplyCurves_High!K52</f>
        <v>Argentina -- T3 -- $0.08-0.10/kWh</v>
      </c>
      <c r="K55" t="s">
        <v>11</v>
      </c>
      <c r="L55" t="s">
        <v>13</v>
      </c>
      <c r="M55" t="s">
        <v>75</v>
      </c>
      <c r="N55" t="s">
        <v>12</v>
      </c>
    </row>
    <row r="56" spans="2:14">
      <c r="B56" t="str">
        <f>SupplyCurves_High!A53</f>
        <v>EN_Hydro_ARG_T4</v>
      </c>
      <c r="C56" t="s">
        <v>451</v>
      </c>
      <c r="D56" t="s">
        <v>76</v>
      </c>
      <c r="E56">
        <f>SupplyCurves_High!F53</f>
        <v>2.5649999999999999</v>
      </c>
      <c r="F56">
        <f>SupplyCurves_High!H53</f>
        <v>1383</v>
      </c>
      <c r="H56" t="s">
        <v>452</v>
      </c>
      <c r="I56" t="str">
        <f t="shared" si="0"/>
        <v>EN_Hydro_ARG_T4</v>
      </c>
      <c r="J56" t="str">
        <f>SupplyCurves_High!C53&amp;" -- "&amp;SupplyCurves_High!E53&amp;" -- "&amp;SupplyCurves_High!K53</f>
        <v>Argentina -- T4 -- $0.10-0.14/kWh</v>
      </c>
      <c r="K56" t="s">
        <v>11</v>
      </c>
      <c r="L56" t="s">
        <v>13</v>
      </c>
      <c r="M56" t="s">
        <v>75</v>
      </c>
      <c r="N56" t="s">
        <v>12</v>
      </c>
    </row>
    <row r="57" spans="2:14">
      <c r="B57" t="str">
        <f>SupplyCurves_High!A54</f>
        <v>EN_Hydro_MEX_T1</v>
      </c>
      <c r="C57" t="s">
        <v>451</v>
      </c>
      <c r="D57" t="s">
        <v>76</v>
      </c>
      <c r="E57">
        <f>SupplyCurves_High!F54</f>
        <v>2.4</v>
      </c>
      <c r="F57">
        <f>SupplyCurves_High!H54</f>
        <v>0</v>
      </c>
      <c r="H57" t="s">
        <v>452</v>
      </c>
      <c r="I57" t="str">
        <f t="shared" si="0"/>
        <v>EN_Hydro_MEX_T1</v>
      </c>
      <c r="J57" t="str">
        <f>SupplyCurves_High!C54&amp;" -- "&amp;SupplyCurves_High!E54&amp;" -- "&amp;SupplyCurves_High!K54</f>
        <v>Mexico -- T1 -- $0.04-0.06/kWh</v>
      </c>
      <c r="K57" t="s">
        <v>11</v>
      </c>
      <c r="L57" t="s">
        <v>13</v>
      </c>
      <c r="M57" t="s">
        <v>75</v>
      </c>
      <c r="N57" t="s">
        <v>12</v>
      </c>
    </row>
    <row r="58" spans="2:14">
      <c r="B58" t="str">
        <f>SupplyCurves_High!A55</f>
        <v>EN_Hydro_MEX_T2</v>
      </c>
      <c r="C58" t="s">
        <v>451</v>
      </c>
      <c r="D58" t="s">
        <v>76</v>
      </c>
      <c r="E58">
        <f>SupplyCurves_High!F55</f>
        <v>4.2</v>
      </c>
      <c r="F58">
        <f>SupplyCurves_High!H55</f>
        <v>307</v>
      </c>
      <c r="H58" t="s">
        <v>452</v>
      </c>
      <c r="I58" t="str">
        <f t="shared" si="0"/>
        <v>EN_Hydro_MEX_T2</v>
      </c>
      <c r="J58" t="str">
        <f>SupplyCurves_High!C55&amp;" -- "&amp;SupplyCurves_High!E55&amp;" -- "&amp;SupplyCurves_High!K55</f>
        <v>Mexico -- T2 -- $0.06-0.08/kWh</v>
      </c>
      <c r="K58" t="s">
        <v>11</v>
      </c>
      <c r="L58" t="s">
        <v>13</v>
      </c>
      <c r="M58" t="s">
        <v>75</v>
      </c>
      <c r="N58" t="s">
        <v>12</v>
      </c>
    </row>
    <row r="59" spans="2:14">
      <c r="B59" t="str">
        <f>SupplyCurves_High!A56</f>
        <v>EN_Hydro_MEX_T3</v>
      </c>
      <c r="C59" t="s">
        <v>451</v>
      </c>
      <c r="D59" t="s">
        <v>76</v>
      </c>
      <c r="E59">
        <f>SupplyCurves_High!F56</f>
        <v>3.6</v>
      </c>
      <c r="F59">
        <f>SupplyCurves_High!H56</f>
        <v>768</v>
      </c>
      <c r="H59" t="s">
        <v>452</v>
      </c>
      <c r="I59" t="str">
        <f t="shared" si="0"/>
        <v>EN_Hydro_MEX_T3</v>
      </c>
      <c r="J59" t="str">
        <f>SupplyCurves_High!C56&amp;" -- "&amp;SupplyCurves_High!E56&amp;" -- "&amp;SupplyCurves_High!K56</f>
        <v>Mexico -- T3 -- $0.08-0.10/kWh</v>
      </c>
      <c r="K59" t="s">
        <v>11</v>
      </c>
      <c r="L59" t="s">
        <v>13</v>
      </c>
      <c r="M59" t="s">
        <v>75</v>
      </c>
      <c r="N59" t="s">
        <v>12</v>
      </c>
    </row>
    <row r="60" spans="2:14">
      <c r="B60" t="str">
        <f>SupplyCurves_High!A57</f>
        <v>EN_Hydro_MEX_T4</v>
      </c>
      <c r="C60" t="s">
        <v>451</v>
      </c>
      <c r="D60" t="s">
        <v>76</v>
      </c>
      <c r="E60">
        <f>SupplyCurves_High!F57</f>
        <v>1.8</v>
      </c>
      <c r="F60">
        <f>SupplyCurves_High!H57</f>
        <v>1383</v>
      </c>
      <c r="H60" t="s">
        <v>452</v>
      </c>
      <c r="I60" t="str">
        <f t="shared" si="0"/>
        <v>EN_Hydro_MEX_T4</v>
      </c>
      <c r="J60" t="str">
        <f>SupplyCurves_High!C57&amp;" -- "&amp;SupplyCurves_High!E57&amp;" -- "&amp;SupplyCurves_High!K57</f>
        <v>Mexico -- T4 -- $0.10-0.14/kWh</v>
      </c>
      <c r="K60" t="s">
        <v>11</v>
      </c>
      <c r="L60" t="s">
        <v>13</v>
      </c>
      <c r="M60" t="s">
        <v>75</v>
      </c>
      <c r="N60" t="s">
        <v>12</v>
      </c>
    </row>
    <row r="61" spans="2:14">
      <c r="B61" t="str">
        <f>SupplyCurves_High!A58</f>
        <v>EN_Hydro_ETH_T1</v>
      </c>
      <c r="C61" t="s">
        <v>451</v>
      </c>
      <c r="D61" t="s">
        <v>76</v>
      </c>
      <c r="E61">
        <f>SupplyCurves_High!F58</f>
        <v>2.5</v>
      </c>
      <c r="F61">
        <f>SupplyCurves_High!H58</f>
        <v>0</v>
      </c>
      <c r="H61" t="s">
        <v>452</v>
      </c>
      <c r="I61" t="str">
        <f t="shared" si="0"/>
        <v>EN_Hydro_ETH_T1</v>
      </c>
      <c r="J61" t="str">
        <f>SupplyCurves_High!C58&amp;" -- "&amp;SupplyCurves_High!E58&amp;" -- "&amp;SupplyCurves_High!K58</f>
        <v>Ethiopia -- T1 -- $0.04-0.06/kWh</v>
      </c>
      <c r="K61" t="s">
        <v>11</v>
      </c>
      <c r="L61" t="s">
        <v>13</v>
      </c>
      <c r="M61" t="s">
        <v>75</v>
      </c>
      <c r="N61" t="s">
        <v>12</v>
      </c>
    </row>
    <row r="62" spans="2:14">
      <c r="B62" t="str">
        <f>SupplyCurves_High!A59</f>
        <v>EN_Hydro_ETH_T2</v>
      </c>
      <c r="C62" t="s">
        <v>451</v>
      </c>
      <c r="D62" t="s">
        <v>76</v>
      </c>
      <c r="E62">
        <f>SupplyCurves_High!F59</f>
        <v>4.375</v>
      </c>
      <c r="F62">
        <f>SupplyCurves_High!H59</f>
        <v>269</v>
      </c>
      <c r="H62" t="s">
        <v>452</v>
      </c>
      <c r="I62" t="str">
        <f t="shared" si="0"/>
        <v>EN_Hydro_ETH_T2</v>
      </c>
      <c r="J62" t="str">
        <f>SupplyCurves_High!C59&amp;" -- "&amp;SupplyCurves_High!E59&amp;" -- "&amp;SupplyCurves_High!K59</f>
        <v>Ethiopia -- T2 -- $0.06-0.08/kWh</v>
      </c>
      <c r="K62" t="s">
        <v>11</v>
      </c>
      <c r="L62" t="s">
        <v>13</v>
      </c>
      <c r="M62" t="s">
        <v>75</v>
      </c>
      <c r="N62" t="s">
        <v>12</v>
      </c>
    </row>
    <row r="63" spans="2:14">
      <c r="B63" t="str">
        <f>SupplyCurves_High!A60</f>
        <v>EN_Hydro_ETH_T3</v>
      </c>
      <c r="C63" t="s">
        <v>451</v>
      </c>
      <c r="D63" t="s">
        <v>76</v>
      </c>
      <c r="E63">
        <f>SupplyCurves_High!F60</f>
        <v>3.75</v>
      </c>
      <c r="F63">
        <f>SupplyCurves_High!H60</f>
        <v>672</v>
      </c>
      <c r="H63" t="s">
        <v>452</v>
      </c>
      <c r="I63" t="str">
        <f t="shared" si="0"/>
        <v>EN_Hydro_ETH_T3</v>
      </c>
      <c r="J63" t="str">
        <f>SupplyCurves_High!C60&amp;" -- "&amp;SupplyCurves_High!E60&amp;" -- "&amp;SupplyCurves_High!K60</f>
        <v>Ethiopia -- T3 -- $0.08-0.10/kWh</v>
      </c>
      <c r="K63" t="s">
        <v>11</v>
      </c>
      <c r="L63" t="s">
        <v>13</v>
      </c>
      <c r="M63" t="s">
        <v>75</v>
      </c>
      <c r="N63" t="s">
        <v>12</v>
      </c>
    </row>
    <row r="64" spans="2:14">
      <c r="B64" t="str">
        <f>SupplyCurves_High!A61</f>
        <v>EN_Hydro_ETH_T4</v>
      </c>
      <c r="C64" t="s">
        <v>451</v>
      </c>
      <c r="D64" t="s">
        <v>76</v>
      </c>
      <c r="E64">
        <f>SupplyCurves_High!F61</f>
        <v>1.875</v>
      </c>
      <c r="F64">
        <f>SupplyCurves_High!H61</f>
        <v>1210</v>
      </c>
      <c r="H64" t="s">
        <v>452</v>
      </c>
      <c r="I64" t="str">
        <f t="shared" si="0"/>
        <v>EN_Hydro_ETH_T4</v>
      </c>
      <c r="J64" t="str">
        <f>SupplyCurves_High!C61&amp;" -- "&amp;SupplyCurves_High!E61&amp;" -- "&amp;SupplyCurves_High!K61</f>
        <v>Ethiopia -- T4 -- $0.10-0.14/kWh</v>
      </c>
      <c r="K64" t="s">
        <v>11</v>
      </c>
      <c r="L64" t="s">
        <v>13</v>
      </c>
      <c r="M64" t="s">
        <v>75</v>
      </c>
      <c r="N64" t="s">
        <v>12</v>
      </c>
    </row>
    <row r="65" spans="2:14">
      <c r="B65" t="str">
        <f>SupplyCurves_High!A62</f>
        <v>EN_Hydro_BOL_T1</v>
      </c>
      <c r="C65" t="s">
        <v>451</v>
      </c>
      <c r="D65" t="s">
        <v>76</v>
      </c>
      <c r="E65">
        <f>SupplyCurves_High!F62</f>
        <v>3.04</v>
      </c>
      <c r="F65">
        <f>SupplyCurves_High!H62</f>
        <v>0</v>
      </c>
      <c r="H65" t="s">
        <v>452</v>
      </c>
      <c r="I65" t="str">
        <f t="shared" si="0"/>
        <v>EN_Hydro_BOL_T1</v>
      </c>
      <c r="J65" t="str">
        <f>SupplyCurves_High!C62&amp;" -- "&amp;SupplyCurves_High!E62&amp;" -- "&amp;SupplyCurves_High!K62</f>
        <v>Bolivia -- T1 -- $0.04-0.06/kWh</v>
      </c>
      <c r="K65" t="s">
        <v>11</v>
      </c>
      <c r="L65" t="s">
        <v>13</v>
      </c>
      <c r="M65" t="s">
        <v>75</v>
      </c>
      <c r="N65" t="s">
        <v>12</v>
      </c>
    </row>
    <row r="66" spans="2:14">
      <c r="B66" t="str">
        <f>SupplyCurves_High!A63</f>
        <v>EN_Hydro_BOL_T2</v>
      </c>
      <c r="C66" t="s">
        <v>451</v>
      </c>
      <c r="D66" t="s">
        <v>76</v>
      </c>
      <c r="E66">
        <f>SupplyCurves_High!F63</f>
        <v>5.32</v>
      </c>
      <c r="F66">
        <f>SupplyCurves_High!H63</f>
        <v>307</v>
      </c>
      <c r="H66" t="s">
        <v>452</v>
      </c>
      <c r="I66" t="str">
        <f t="shared" si="0"/>
        <v>EN_Hydro_BOL_T2</v>
      </c>
      <c r="J66" t="str">
        <f>SupplyCurves_High!C63&amp;" -- "&amp;SupplyCurves_High!E63&amp;" -- "&amp;SupplyCurves_High!K63</f>
        <v>Bolivia -- T2 -- $0.06-0.08/kWh</v>
      </c>
      <c r="K66" t="s">
        <v>11</v>
      </c>
      <c r="L66" t="s">
        <v>13</v>
      </c>
      <c r="M66" t="s">
        <v>75</v>
      </c>
      <c r="N66" t="s">
        <v>12</v>
      </c>
    </row>
    <row r="67" spans="2:14">
      <c r="B67" t="str">
        <f>SupplyCurves_High!A64</f>
        <v>EN_Hydro_BOL_T3</v>
      </c>
      <c r="C67" t="s">
        <v>451</v>
      </c>
      <c r="D67" t="s">
        <v>76</v>
      </c>
      <c r="E67">
        <f>SupplyCurves_High!F64</f>
        <v>4.5599999999999996</v>
      </c>
      <c r="F67">
        <f>SupplyCurves_High!H64</f>
        <v>768</v>
      </c>
      <c r="H67" t="s">
        <v>452</v>
      </c>
      <c r="I67" t="str">
        <f t="shared" si="0"/>
        <v>EN_Hydro_BOL_T3</v>
      </c>
      <c r="J67" t="str">
        <f>SupplyCurves_High!C64&amp;" -- "&amp;SupplyCurves_High!E64&amp;" -- "&amp;SupplyCurves_High!K64</f>
        <v>Bolivia -- T3 -- $0.08-0.10/kWh</v>
      </c>
      <c r="K67" t="s">
        <v>11</v>
      </c>
      <c r="L67" t="s">
        <v>13</v>
      </c>
      <c r="M67" t="s">
        <v>75</v>
      </c>
      <c r="N67" t="s">
        <v>12</v>
      </c>
    </row>
    <row r="68" spans="2:14">
      <c r="B68" t="str">
        <f>SupplyCurves_High!A65</f>
        <v>EN_Hydro_BOL_T4</v>
      </c>
      <c r="C68" t="s">
        <v>451</v>
      </c>
      <c r="D68" t="s">
        <v>76</v>
      </c>
      <c r="E68">
        <f>SupplyCurves_High!F65</f>
        <v>2.2799999999999998</v>
      </c>
      <c r="F68">
        <f>SupplyCurves_High!H65</f>
        <v>1383</v>
      </c>
      <c r="H68" t="s">
        <v>452</v>
      </c>
      <c r="I68" t="str">
        <f t="shared" si="0"/>
        <v>EN_Hydro_BOL_T4</v>
      </c>
      <c r="J68" t="str">
        <f>SupplyCurves_High!C65&amp;" -- "&amp;SupplyCurves_High!E65&amp;" -- "&amp;SupplyCurves_High!K65</f>
        <v>Bolivia -- T4 -- $0.10-0.14/kWh</v>
      </c>
      <c r="K68" t="s">
        <v>11</v>
      </c>
      <c r="L68" t="s">
        <v>13</v>
      </c>
      <c r="M68" t="s">
        <v>75</v>
      </c>
      <c r="N68" t="s">
        <v>12</v>
      </c>
    </row>
    <row r="69" spans="2:14">
      <c r="B69" t="str">
        <f>SupplyCurves_High!A66</f>
        <v>EN_Hydro_ECU_T1</v>
      </c>
      <c r="C69" t="s">
        <v>451</v>
      </c>
      <c r="D69" t="s">
        <v>76</v>
      </c>
      <c r="E69">
        <f>SupplyCurves_High!F66</f>
        <v>2.2000000000000002</v>
      </c>
      <c r="F69">
        <f>SupplyCurves_High!H66</f>
        <v>0</v>
      </c>
      <c r="H69" t="s">
        <v>452</v>
      </c>
      <c r="I69" t="str">
        <f t="shared" si="0"/>
        <v>EN_Hydro_ECU_T1</v>
      </c>
      <c r="J69" t="str">
        <f>SupplyCurves_High!C66&amp;" -- "&amp;SupplyCurves_High!E66&amp;" -- "&amp;SupplyCurves_High!K66</f>
        <v>Ecuador -- T1 -- $0.04-0.06/kWh</v>
      </c>
      <c r="K69" t="s">
        <v>11</v>
      </c>
      <c r="L69" t="s">
        <v>13</v>
      </c>
      <c r="M69" t="s">
        <v>75</v>
      </c>
      <c r="N69" t="s">
        <v>12</v>
      </c>
    </row>
    <row r="70" spans="2:14">
      <c r="B70" t="str">
        <f>SupplyCurves_High!A67</f>
        <v>EN_Hydro_ECU_T2</v>
      </c>
      <c r="C70" t="s">
        <v>451</v>
      </c>
      <c r="D70" t="s">
        <v>76</v>
      </c>
      <c r="E70">
        <f>SupplyCurves_High!F67</f>
        <v>3.85</v>
      </c>
      <c r="F70">
        <f>SupplyCurves_High!H67</f>
        <v>307</v>
      </c>
      <c r="H70" t="s">
        <v>452</v>
      </c>
      <c r="I70" t="str">
        <f t="shared" ref="I70:I133" si="1">B70</f>
        <v>EN_Hydro_ECU_T2</v>
      </c>
      <c r="J70" t="str">
        <f>SupplyCurves_High!C67&amp;" -- "&amp;SupplyCurves_High!E67&amp;" -- "&amp;SupplyCurves_High!K67</f>
        <v>Ecuador -- T2 -- $0.06-0.08/kWh</v>
      </c>
      <c r="K70" t="s">
        <v>11</v>
      </c>
      <c r="L70" t="s">
        <v>13</v>
      </c>
      <c r="M70" t="s">
        <v>75</v>
      </c>
      <c r="N70" t="s">
        <v>12</v>
      </c>
    </row>
    <row r="71" spans="2:14">
      <c r="B71" t="str">
        <f>SupplyCurves_High!A68</f>
        <v>EN_Hydro_ECU_T3</v>
      </c>
      <c r="C71" t="s">
        <v>451</v>
      </c>
      <c r="D71" t="s">
        <v>76</v>
      </c>
      <c r="E71">
        <f>SupplyCurves_High!F68</f>
        <v>3.3</v>
      </c>
      <c r="F71">
        <f>SupplyCurves_High!H68</f>
        <v>768</v>
      </c>
      <c r="H71" t="s">
        <v>452</v>
      </c>
      <c r="I71" t="str">
        <f t="shared" si="1"/>
        <v>EN_Hydro_ECU_T3</v>
      </c>
      <c r="J71" t="str">
        <f>SupplyCurves_High!C68&amp;" -- "&amp;SupplyCurves_High!E68&amp;" -- "&amp;SupplyCurves_High!K68</f>
        <v>Ecuador -- T3 -- $0.08-0.10/kWh</v>
      </c>
      <c r="K71" t="s">
        <v>11</v>
      </c>
      <c r="L71" t="s">
        <v>13</v>
      </c>
      <c r="M71" t="s">
        <v>75</v>
      </c>
      <c r="N71" t="s">
        <v>12</v>
      </c>
    </row>
    <row r="72" spans="2:14">
      <c r="B72" t="str">
        <f>SupplyCurves_High!A69</f>
        <v>EN_Hydro_ECU_T4</v>
      </c>
      <c r="C72" t="s">
        <v>451</v>
      </c>
      <c r="D72" t="s">
        <v>76</v>
      </c>
      <c r="E72">
        <f>SupplyCurves_High!F69</f>
        <v>1.65</v>
      </c>
      <c r="F72">
        <f>SupplyCurves_High!H69</f>
        <v>1383</v>
      </c>
      <c r="H72" t="s">
        <v>452</v>
      </c>
      <c r="I72" t="str">
        <f t="shared" si="1"/>
        <v>EN_Hydro_ECU_T4</v>
      </c>
      <c r="J72" t="str">
        <f>SupplyCurves_High!C69&amp;" -- "&amp;SupplyCurves_High!E69&amp;" -- "&amp;SupplyCurves_High!K69</f>
        <v>Ecuador -- T4 -- $0.10-0.14/kWh</v>
      </c>
      <c r="K72" t="s">
        <v>11</v>
      </c>
      <c r="L72" t="s">
        <v>13</v>
      </c>
      <c r="M72" t="s">
        <v>75</v>
      </c>
      <c r="N72" t="s">
        <v>12</v>
      </c>
    </row>
    <row r="73" spans="2:14">
      <c r="B73" t="str">
        <f>SupplyCurves_High!A70</f>
        <v>EN_Hydro_LAO_T1</v>
      </c>
      <c r="C73" t="s">
        <v>451</v>
      </c>
      <c r="D73" t="s">
        <v>76</v>
      </c>
      <c r="E73">
        <f>SupplyCurves_High!F70</f>
        <v>0.96</v>
      </c>
      <c r="F73">
        <f>SupplyCurves_High!H70</f>
        <v>0</v>
      </c>
      <c r="H73" t="s">
        <v>452</v>
      </c>
      <c r="I73" t="str">
        <f t="shared" si="1"/>
        <v>EN_Hydro_LAO_T1</v>
      </c>
      <c r="J73" t="str">
        <f>SupplyCurves_High!C70&amp;" -- "&amp;SupplyCurves_High!E70&amp;" -- "&amp;SupplyCurves_High!K70</f>
        <v>Laos -- T1 -- $0.04-0.06/kWh</v>
      </c>
      <c r="K73" t="s">
        <v>11</v>
      </c>
      <c r="L73" t="s">
        <v>13</v>
      </c>
      <c r="M73" t="s">
        <v>75</v>
      </c>
      <c r="N73" t="s">
        <v>12</v>
      </c>
    </row>
    <row r="74" spans="2:14">
      <c r="B74" t="str">
        <f>SupplyCurves_High!A71</f>
        <v>EN_Hydro_LAO_T2</v>
      </c>
      <c r="C74" t="s">
        <v>451</v>
      </c>
      <c r="D74" t="s">
        <v>76</v>
      </c>
      <c r="E74">
        <f>SupplyCurves_High!F71</f>
        <v>1.68</v>
      </c>
      <c r="F74">
        <f>SupplyCurves_High!H71</f>
        <v>227</v>
      </c>
      <c r="H74" t="s">
        <v>452</v>
      </c>
      <c r="I74" t="str">
        <f t="shared" si="1"/>
        <v>EN_Hydro_LAO_T2</v>
      </c>
      <c r="J74" t="str">
        <f>SupplyCurves_High!C71&amp;" -- "&amp;SupplyCurves_High!E71&amp;" -- "&amp;SupplyCurves_High!K71</f>
        <v>Laos -- T2 -- $0.06-0.08/kWh</v>
      </c>
      <c r="K74" t="s">
        <v>11</v>
      </c>
      <c r="L74" t="s">
        <v>13</v>
      </c>
      <c r="M74" t="s">
        <v>75</v>
      </c>
      <c r="N74" t="s">
        <v>12</v>
      </c>
    </row>
    <row r="75" spans="2:14">
      <c r="B75" t="str">
        <f>SupplyCurves_High!A72</f>
        <v>EN_Hydro_LAO_T3</v>
      </c>
      <c r="C75" t="s">
        <v>451</v>
      </c>
      <c r="D75" t="s">
        <v>76</v>
      </c>
      <c r="E75">
        <f>SupplyCurves_High!F72</f>
        <v>1.44</v>
      </c>
      <c r="F75">
        <f>SupplyCurves_High!H72</f>
        <v>568</v>
      </c>
      <c r="H75" t="s">
        <v>452</v>
      </c>
      <c r="I75" t="str">
        <f t="shared" si="1"/>
        <v>EN_Hydro_LAO_T3</v>
      </c>
      <c r="J75" t="str">
        <f>SupplyCurves_High!C72&amp;" -- "&amp;SupplyCurves_High!E72&amp;" -- "&amp;SupplyCurves_High!K72</f>
        <v>Laos -- T3 -- $0.08-0.10/kWh</v>
      </c>
      <c r="K75" t="s">
        <v>11</v>
      </c>
      <c r="L75" t="s">
        <v>13</v>
      </c>
      <c r="M75" t="s">
        <v>75</v>
      </c>
      <c r="N75" t="s">
        <v>12</v>
      </c>
    </row>
    <row r="76" spans="2:14">
      <c r="B76" t="str">
        <f>SupplyCurves_High!A73</f>
        <v>EN_Hydro_LAO_T4</v>
      </c>
      <c r="C76" t="s">
        <v>451</v>
      </c>
      <c r="D76" t="s">
        <v>76</v>
      </c>
      <c r="E76">
        <f>SupplyCurves_High!F73</f>
        <v>0.72</v>
      </c>
      <c r="F76">
        <f>SupplyCurves_High!H73</f>
        <v>1023</v>
      </c>
      <c r="H76" t="s">
        <v>452</v>
      </c>
      <c r="I76" t="str">
        <f t="shared" si="1"/>
        <v>EN_Hydro_LAO_T4</v>
      </c>
      <c r="J76" t="str">
        <f>SupplyCurves_High!C73&amp;" -- "&amp;SupplyCurves_High!E73&amp;" -- "&amp;SupplyCurves_High!K73</f>
        <v>Laos -- T4 -- $0.10-0.14/kWh</v>
      </c>
      <c r="K76" t="s">
        <v>11</v>
      </c>
      <c r="L76" t="s">
        <v>13</v>
      </c>
      <c r="M76" t="s">
        <v>75</v>
      </c>
      <c r="N76" t="s">
        <v>12</v>
      </c>
    </row>
    <row r="77" spans="2:14">
      <c r="B77" t="str">
        <f>SupplyCurves_High!A74</f>
        <v>EN_Hydro_NGA_T1</v>
      </c>
      <c r="C77" t="s">
        <v>451</v>
      </c>
      <c r="D77" t="s">
        <v>76</v>
      </c>
      <c r="E77">
        <f>SupplyCurves_High!F74</f>
        <v>1.9</v>
      </c>
      <c r="F77">
        <f>SupplyCurves_High!H74</f>
        <v>0</v>
      </c>
      <c r="H77" t="s">
        <v>452</v>
      </c>
      <c r="I77" t="str">
        <f t="shared" si="1"/>
        <v>EN_Hydro_NGA_T1</v>
      </c>
      <c r="J77" t="str">
        <f>SupplyCurves_High!C74&amp;" -- "&amp;SupplyCurves_High!E74&amp;" -- "&amp;SupplyCurves_High!K74</f>
        <v>Nigeria -- T1 -- $0.04-0.06/kWh</v>
      </c>
      <c r="K77" t="s">
        <v>11</v>
      </c>
      <c r="L77" t="s">
        <v>13</v>
      </c>
      <c r="M77" t="s">
        <v>75</v>
      </c>
      <c r="N77" t="s">
        <v>12</v>
      </c>
    </row>
    <row r="78" spans="2:14">
      <c r="B78" t="str">
        <f>SupplyCurves_High!A75</f>
        <v>EN_Hydro_NGA_T2</v>
      </c>
      <c r="C78" t="s">
        <v>451</v>
      </c>
      <c r="D78" t="s">
        <v>76</v>
      </c>
      <c r="E78">
        <f>SupplyCurves_High!F75</f>
        <v>3.3250000000000002</v>
      </c>
      <c r="F78">
        <f>SupplyCurves_High!H75</f>
        <v>269</v>
      </c>
      <c r="H78" t="s">
        <v>452</v>
      </c>
      <c r="I78" t="str">
        <f t="shared" si="1"/>
        <v>EN_Hydro_NGA_T2</v>
      </c>
      <c r="J78" t="str">
        <f>SupplyCurves_High!C75&amp;" -- "&amp;SupplyCurves_High!E75&amp;" -- "&amp;SupplyCurves_High!K75</f>
        <v>Nigeria -- T2 -- $0.06-0.08/kWh</v>
      </c>
      <c r="K78" t="s">
        <v>11</v>
      </c>
      <c r="L78" t="s">
        <v>13</v>
      </c>
      <c r="M78" t="s">
        <v>75</v>
      </c>
      <c r="N78" t="s">
        <v>12</v>
      </c>
    </row>
    <row r="79" spans="2:14">
      <c r="B79" t="str">
        <f>SupplyCurves_High!A76</f>
        <v>EN_Hydro_NGA_T3</v>
      </c>
      <c r="C79" t="s">
        <v>451</v>
      </c>
      <c r="D79" t="s">
        <v>76</v>
      </c>
      <c r="E79">
        <f>SupplyCurves_High!F76</f>
        <v>2.85</v>
      </c>
      <c r="F79">
        <f>SupplyCurves_High!H76</f>
        <v>672</v>
      </c>
      <c r="H79" t="s">
        <v>452</v>
      </c>
      <c r="I79" t="str">
        <f t="shared" si="1"/>
        <v>EN_Hydro_NGA_T3</v>
      </c>
      <c r="J79" t="str">
        <f>SupplyCurves_High!C76&amp;" -- "&amp;SupplyCurves_High!E76&amp;" -- "&amp;SupplyCurves_High!K76</f>
        <v>Nigeria -- T3 -- $0.08-0.10/kWh</v>
      </c>
      <c r="K79" t="s">
        <v>11</v>
      </c>
      <c r="L79" t="s">
        <v>13</v>
      </c>
      <c r="M79" t="s">
        <v>75</v>
      </c>
      <c r="N79" t="s">
        <v>12</v>
      </c>
    </row>
    <row r="80" spans="2:14">
      <c r="B80" t="str">
        <f>SupplyCurves_High!A77</f>
        <v>EN_Hydro_NGA_T4</v>
      </c>
      <c r="C80" t="s">
        <v>451</v>
      </c>
      <c r="D80" t="s">
        <v>76</v>
      </c>
      <c r="E80">
        <f>SupplyCurves_High!F77</f>
        <v>1.425</v>
      </c>
      <c r="F80">
        <f>SupplyCurves_High!H77</f>
        <v>1210</v>
      </c>
      <c r="H80" t="s">
        <v>452</v>
      </c>
      <c r="I80" t="str">
        <f t="shared" si="1"/>
        <v>EN_Hydro_NGA_T4</v>
      </c>
      <c r="J80" t="str">
        <f>SupplyCurves_High!C77&amp;" -- "&amp;SupplyCurves_High!E77&amp;" -- "&amp;SupplyCurves_High!K77</f>
        <v>Nigeria -- T4 -- $0.10-0.14/kWh</v>
      </c>
      <c r="K80" t="s">
        <v>11</v>
      </c>
      <c r="L80" t="s">
        <v>13</v>
      </c>
      <c r="M80" t="s">
        <v>75</v>
      </c>
      <c r="N80" t="s">
        <v>12</v>
      </c>
    </row>
    <row r="81" spans="2:14">
      <c r="B81" t="str">
        <f>SupplyCurves_High!A78</f>
        <v>EN_Hydro_PHL_T1</v>
      </c>
      <c r="C81" t="s">
        <v>451</v>
      </c>
      <c r="D81" t="s">
        <v>76</v>
      </c>
      <c r="E81">
        <f>SupplyCurves_High!F78</f>
        <v>1.44</v>
      </c>
      <c r="F81">
        <f>SupplyCurves_High!H78</f>
        <v>0</v>
      </c>
      <c r="H81" t="s">
        <v>452</v>
      </c>
      <c r="I81" t="str">
        <f t="shared" si="1"/>
        <v>EN_Hydro_PHL_T1</v>
      </c>
      <c r="J81" t="str">
        <f>SupplyCurves_High!C78&amp;" -- "&amp;SupplyCurves_High!E78&amp;" -- "&amp;SupplyCurves_High!K78</f>
        <v>Philippines -- T1 -- $0.04-0.06/kWh</v>
      </c>
      <c r="K81" t="s">
        <v>11</v>
      </c>
      <c r="L81" t="s">
        <v>13</v>
      </c>
      <c r="M81" t="s">
        <v>75</v>
      </c>
      <c r="N81" t="s">
        <v>12</v>
      </c>
    </row>
    <row r="82" spans="2:14">
      <c r="B82" t="str">
        <f>SupplyCurves_High!A79</f>
        <v>EN_Hydro_PHL_T2</v>
      </c>
      <c r="C82" t="s">
        <v>451</v>
      </c>
      <c r="D82" t="s">
        <v>76</v>
      </c>
      <c r="E82">
        <f>SupplyCurves_High!F79</f>
        <v>2.52</v>
      </c>
      <c r="F82">
        <f>SupplyCurves_High!H79</f>
        <v>286</v>
      </c>
      <c r="H82" t="s">
        <v>452</v>
      </c>
      <c r="I82" t="str">
        <f t="shared" si="1"/>
        <v>EN_Hydro_PHL_T2</v>
      </c>
      <c r="J82" t="str">
        <f>SupplyCurves_High!C79&amp;" -- "&amp;SupplyCurves_High!E79&amp;" -- "&amp;SupplyCurves_High!K79</f>
        <v>Philippines -- T2 -- $0.06-0.08/kWh</v>
      </c>
      <c r="K82" t="s">
        <v>11</v>
      </c>
      <c r="L82" t="s">
        <v>13</v>
      </c>
      <c r="M82" t="s">
        <v>75</v>
      </c>
      <c r="N82" t="s">
        <v>12</v>
      </c>
    </row>
    <row r="83" spans="2:14">
      <c r="B83" t="str">
        <f>SupplyCurves_High!A80</f>
        <v>EN_Hydro_PHL_T3</v>
      </c>
      <c r="C83" t="s">
        <v>451</v>
      </c>
      <c r="D83" t="s">
        <v>76</v>
      </c>
      <c r="E83">
        <f>SupplyCurves_High!F80</f>
        <v>2.16</v>
      </c>
      <c r="F83">
        <f>SupplyCurves_High!H80</f>
        <v>716</v>
      </c>
      <c r="H83" t="s">
        <v>452</v>
      </c>
      <c r="I83" t="str">
        <f t="shared" si="1"/>
        <v>EN_Hydro_PHL_T3</v>
      </c>
      <c r="J83" t="str">
        <f>SupplyCurves_High!C80&amp;" -- "&amp;SupplyCurves_High!E80&amp;" -- "&amp;SupplyCurves_High!K80</f>
        <v>Philippines -- T3 -- $0.08-0.10/kWh</v>
      </c>
      <c r="K83" t="s">
        <v>11</v>
      </c>
      <c r="L83" t="s">
        <v>13</v>
      </c>
      <c r="M83" t="s">
        <v>75</v>
      </c>
      <c r="N83" t="s">
        <v>12</v>
      </c>
    </row>
    <row r="84" spans="2:14">
      <c r="B84" t="str">
        <f>SupplyCurves_High!A81</f>
        <v>EN_Hydro_PHL_T4</v>
      </c>
      <c r="C84" t="s">
        <v>451</v>
      </c>
      <c r="D84" t="s">
        <v>76</v>
      </c>
      <c r="E84">
        <f>SupplyCurves_High!F81</f>
        <v>1.08</v>
      </c>
      <c r="F84">
        <f>SupplyCurves_High!H81</f>
        <v>1289</v>
      </c>
      <c r="H84" t="s">
        <v>452</v>
      </c>
      <c r="I84" t="str">
        <f t="shared" si="1"/>
        <v>EN_Hydro_PHL_T4</v>
      </c>
      <c r="J84" t="str">
        <f>SupplyCurves_High!C81&amp;" -- "&amp;SupplyCurves_High!E81&amp;" -- "&amp;SupplyCurves_High!K81</f>
        <v>Philippines -- T4 -- $0.10-0.14/kWh</v>
      </c>
      <c r="K84" t="s">
        <v>11</v>
      </c>
      <c r="L84" t="s">
        <v>13</v>
      </c>
      <c r="M84" t="s">
        <v>75</v>
      </c>
      <c r="N84" t="s">
        <v>12</v>
      </c>
    </row>
    <row r="85" spans="2:14">
      <c r="B85" t="str">
        <f>SupplyCurves_High!A82</f>
        <v>EN_Hydro_CMR_T1</v>
      </c>
      <c r="C85" t="s">
        <v>451</v>
      </c>
      <c r="D85" t="s">
        <v>76</v>
      </c>
      <c r="E85">
        <f>SupplyCurves_High!F82</f>
        <v>1.92</v>
      </c>
      <c r="F85">
        <f>SupplyCurves_High!H82</f>
        <v>0</v>
      </c>
      <c r="H85" t="s">
        <v>452</v>
      </c>
      <c r="I85" t="str">
        <f t="shared" si="1"/>
        <v>EN_Hydro_CMR_T1</v>
      </c>
      <c r="J85" t="str">
        <f>SupplyCurves_High!C82&amp;" -- "&amp;SupplyCurves_High!E82&amp;" -- "&amp;SupplyCurves_High!K82</f>
        <v>Cameroon -- T1 -- $0.04-0.06/kWh</v>
      </c>
      <c r="K85" t="s">
        <v>11</v>
      </c>
      <c r="L85" t="s">
        <v>13</v>
      </c>
      <c r="M85" t="s">
        <v>75</v>
      </c>
      <c r="N85" t="s">
        <v>12</v>
      </c>
    </row>
    <row r="86" spans="2:14">
      <c r="B86" t="str">
        <f>SupplyCurves_High!A83</f>
        <v>EN_Hydro_CMR_T2</v>
      </c>
      <c r="C86" t="s">
        <v>451</v>
      </c>
      <c r="D86" t="s">
        <v>76</v>
      </c>
      <c r="E86">
        <f>SupplyCurves_High!F83</f>
        <v>3.36</v>
      </c>
      <c r="F86">
        <f>SupplyCurves_High!H83</f>
        <v>269</v>
      </c>
      <c r="H86" t="s">
        <v>452</v>
      </c>
      <c r="I86" t="str">
        <f t="shared" si="1"/>
        <v>EN_Hydro_CMR_T2</v>
      </c>
      <c r="J86" t="str">
        <f>SupplyCurves_High!C83&amp;" -- "&amp;SupplyCurves_High!E83&amp;" -- "&amp;SupplyCurves_High!K83</f>
        <v>Cameroon -- T2 -- $0.06-0.08/kWh</v>
      </c>
      <c r="K86" t="s">
        <v>11</v>
      </c>
      <c r="L86" t="s">
        <v>13</v>
      </c>
      <c r="M86" t="s">
        <v>75</v>
      </c>
      <c r="N86" t="s">
        <v>12</v>
      </c>
    </row>
    <row r="87" spans="2:14">
      <c r="B87" t="str">
        <f>SupplyCurves_High!A84</f>
        <v>EN_Hydro_CMR_T3</v>
      </c>
      <c r="C87" t="s">
        <v>451</v>
      </c>
      <c r="D87" t="s">
        <v>76</v>
      </c>
      <c r="E87">
        <f>SupplyCurves_High!F84</f>
        <v>2.88</v>
      </c>
      <c r="F87">
        <f>SupplyCurves_High!H84</f>
        <v>672</v>
      </c>
      <c r="H87" t="s">
        <v>452</v>
      </c>
      <c r="I87" t="str">
        <f t="shared" si="1"/>
        <v>EN_Hydro_CMR_T3</v>
      </c>
      <c r="J87" t="str">
        <f>SupplyCurves_High!C84&amp;" -- "&amp;SupplyCurves_High!E84&amp;" -- "&amp;SupplyCurves_High!K84</f>
        <v>Cameroon -- T3 -- $0.08-0.10/kWh</v>
      </c>
      <c r="K87" t="s">
        <v>11</v>
      </c>
      <c r="L87" t="s">
        <v>13</v>
      </c>
      <c r="M87" t="s">
        <v>75</v>
      </c>
      <c r="N87" t="s">
        <v>12</v>
      </c>
    </row>
    <row r="88" spans="2:14">
      <c r="B88" t="str">
        <f>SupplyCurves_High!A85</f>
        <v>EN_Hydro_CMR_T4</v>
      </c>
      <c r="C88" t="s">
        <v>451</v>
      </c>
      <c r="D88" t="s">
        <v>76</v>
      </c>
      <c r="E88">
        <f>SupplyCurves_High!F85</f>
        <v>1.44</v>
      </c>
      <c r="F88">
        <f>SupplyCurves_High!H85</f>
        <v>1210</v>
      </c>
      <c r="H88" t="s">
        <v>452</v>
      </c>
      <c r="I88" t="str">
        <f t="shared" si="1"/>
        <v>EN_Hydro_CMR_T4</v>
      </c>
      <c r="J88" t="str">
        <f>SupplyCurves_High!C85&amp;" -- "&amp;SupplyCurves_High!E85&amp;" -- "&amp;SupplyCurves_High!K85</f>
        <v>Cameroon -- T4 -- $0.10-0.14/kWh</v>
      </c>
      <c r="K88" t="s">
        <v>11</v>
      </c>
      <c r="L88" t="s">
        <v>13</v>
      </c>
      <c r="M88" t="s">
        <v>75</v>
      </c>
      <c r="N88" t="s">
        <v>12</v>
      </c>
    </row>
    <row r="89" spans="2:14">
      <c r="B89" t="str">
        <f>SupplyCurves_High!A86</f>
        <v>EN_Hydro_AGO_T1</v>
      </c>
      <c r="C89" t="s">
        <v>451</v>
      </c>
      <c r="D89" t="s">
        <v>76</v>
      </c>
      <c r="E89">
        <f>SupplyCurves_High!F86</f>
        <v>1.4</v>
      </c>
      <c r="F89">
        <f>SupplyCurves_High!H86</f>
        <v>0</v>
      </c>
      <c r="H89" t="s">
        <v>452</v>
      </c>
      <c r="I89" t="str">
        <f t="shared" si="1"/>
        <v>EN_Hydro_AGO_T1</v>
      </c>
      <c r="J89" t="str">
        <f>SupplyCurves_High!C86&amp;" -- "&amp;SupplyCurves_High!E86&amp;" -- "&amp;SupplyCurves_High!K86</f>
        <v>Angola -- T1 -- $0.04-0.06/kWh</v>
      </c>
      <c r="K89" t="s">
        <v>11</v>
      </c>
      <c r="L89" t="s">
        <v>13</v>
      </c>
      <c r="M89" t="s">
        <v>75</v>
      </c>
      <c r="N89" t="s">
        <v>12</v>
      </c>
    </row>
    <row r="90" spans="2:14">
      <c r="B90" t="str">
        <f>SupplyCurves_High!A87</f>
        <v>EN_Hydro_AGO_T2</v>
      </c>
      <c r="C90" t="s">
        <v>451</v>
      </c>
      <c r="D90" t="s">
        <v>76</v>
      </c>
      <c r="E90">
        <f>SupplyCurves_High!F87</f>
        <v>2.4500000000000002</v>
      </c>
      <c r="F90">
        <f>SupplyCurves_High!H87</f>
        <v>269</v>
      </c>
      <c r="H90" t="s">
        <v>452</v>
      </c>
      <c r="I90" t="str">
        <f t="shared" si="1"/>
        <v>EN_Hydro_AGO_T2</v>
      </c>
      <c r="J90" t="str">
        <f>SupplyCurves_High!C87&amp;" -- "&amp;SupplyCurves_High!E87&amp;" -- "&amp;SupplyCurves_High!K87</f>
        <v>Angola -- T2 -- $0.06-0.08/kWh</v>
      </c>
      <c r="K90" t="s">
        <v>11</v>
      </c>
      <c r="L90" t="s">
        <v>13</v>
      </c>
      <c r="M90" t="s">
        <v>75</v>
      </c>
      <c r="N90" t="s">
        <v>12</v>
      </c>
    </row>
    <row r="91" spans="2:14">
      <c r="B91" t="str">
        <f>SupplyCurves_High!A88</f>
        <v>EN_Hydro_AGO_T3</v>
      </c>
      <c r="C91" t="s">
        <v>451</v>
      </c>
      <c r="D91" t="s">
        <v>76</v>
      </c>
      <c r="E91">
        <f>SupplyCurves_High!F88</f>
        <v>2.1</v>
      </c>
      <c r="F91">
        <f>SupplyCurves_High!H88</f>
        <v>672</v>
      </c>
      <c r="H91" t="s">
        <v>452</v>
      </c>
      <c r="I91" t="str">
        <f t="shared" si="1"/>
        <v>EN_Hydro_AGO_T3</v>
      </c>
      <c r="J91" t="str">
        <f>SupplyCurves_High!C88&amp;" -- "&amp;SupplyCurves_High!E88&amp;" -- "&amp;SupplyCurves_High!K88</f>
        <v>Angola -- T3 -- $0.08-0.10/kWh</v>
      </c>
      <c r="K91" t="s">
        <v>11</v>
      </c>
      <c r="L91" t="s">
        <v>13</v>
      </c>
      <c r="M91" t="s">
        <v>75</v>
      </c>
      <c r="N91" t="s">
        <v>12</v>
      </c>
    </row>
    <row r="92" spans="2:14">
      <c r="B92" t="str">
        <f>SupplyCurves_High!A89</f>
        <v>EN_Hydro_AGO_T4</v>
      </c>
      <c r="C92" t="s">
        <v>451</v>
      </c>
      <c r="D92" t="s">
        <v>76</v>
      </c>
      <c r="E92">
        <f>SupplyCurves_High!F89</f>
        <v>1.05</v>
      </c>
      <c r="F92">
        <f>SupplyCurves_High!H89</f>
        <v>1210</v>
      </c>
      <c r="H92" t="s">
        <v>452</v>
      </c>
      <c r="I92" t="str">
        <f t="shared" si="1"/>
        <v>EN_Hydro_AGO_T4</v>
      </c>
      <c r="J92" t="str">
        <f>SupplyCurves_High!C89&amp;" -- "&amp;SupplyCurves_High!E89&amp;" -- "&amp;SupplyCurves_High!K89</f>
        <v>Angola -- T4 -- $0.10-0.14/kWh</v>
      </c>
      <c r="K92" t="s">
        <v>11</v>
      </c>
      <c r="L92" t="s">
        <v>13</v>
      </c>
      <c r="M92" t="s">
        <v>75</v>
      </c>
      <c r="N92" t="s">
        <v>12</v>
      </c>
    </row>
    <row r="93" spans="2:14">
      <c r="B93" t="str">
        <f>SupplyCurves_High!A90</f>
        <v>EN_Hydro_TZA_T1</v>
      </c>
      <c r="C93" t="s">
        <v>451</v>
      </c>
      <c r="D93" t="s">
        <v>76</v>
      </c>
      <c r="E93">
        <f>SupplyCurves_High!F90</f>
        <v>1.68</v>
      </c>
      <c r="F93">
        <f>SupplyCurves_High!H90</f>
        <v>0</v>
      </c>
      <c r="H93" t="s">
        <v>452</v>
      </c>
      <c r="I93" t="str">
        <f t="shared" si="1"/>
        <v>EN_Hydro_TZA_T1</v>
      </c>
      <c r="J93" t="str">
        <f>SupplyCurves_High!C90&amp;" -- "&amp;SupplyCurves_High!E90&amp;" -- "&amp;SupplyCurves_High!K90</f>
        <v>Tanzania -- T1 -- $0.04-0.06/kWh</v>
      </c>
      <c r="K93" t="s">
        <v>11</v>
      </c>
      <c r="L93" t="s">
        <v>13</v>
      </c>
      <c r="M93" t="s">
        <v>75</v>
      </c>
      <c r="N93" t="s">
        <v>12</v>
      </c>
    </row>
    <row r="94" spans="2:14">
      <c r="B94" t="str">
        <f>SupplyCurves_High!A91</f>
        <v>EN_Hydro_TZA_T2</v>
      </c>
      <c r="C94" t="s">
        <v>451</v>
      </c>
      <c r="D94" t="s">
        <v>76</v>
      </c>
      <c r="E94">
        <f>SupplyCurves_High!F91</f>
        <v>2.94</v>
      </c>
      <c r="F94">
        <f>SupplyCurves_High!H91</f>
        <v>269</v>
      </c>
      <c r="H94" t="s">
        <v>452</v>
      </c>
      <c r="I94" t="str">
        <f t="shared" si="1"/>
        <v>EN_Hydro_TZA_T2</v>
      </c>
      <c r="J94" t="str">
        <f>SupplyCurves_High!C91&amp;" -- "&amp;SupplyCurves_High!E91&amp;" -- "&amp;SupplyCurves_High!K91</f>
        <v>Tanzania -- T2 -- $0.06-0.08/kWh</v>
      </c>
      <c r="K94" t="s">
        <v>11</v>
      </c>
      <c r="L94" t="s">
        <v>13</v>
      </c>
      <c r="M94" t="s">
        <v>75</v>
      </c>
      <c r="N94" t="s">
        <v>12</v>
      </c>
    </row>
    <row r="95" spans="2:14">
      <c r="B95" t="str">
        <f>SupplyCurves_High!A92</f>
        <v>EN_Hydro_TZA_T3</v>
      </c>
      <c r="C95" t="s">
        <v>451</v>
      </c>
      <c r="D95" t="s">
        <v>76</v>
      </c>
      <c r="E95">
        <f>SupplyCurves_High!F92</f>
        <v>2.52</v>
      </c>
      <c r="F95">
        <f>SupplyCurves_High!H92</f>
        <v>672</v>
      </c>
      <c r="H95" t="s">
        <v>452</v>
      </c>
      <c r="I95" t="str">
        <f t="shared" si="1"/>
        <v>EN_Hydro_TZA_T3</v>
      </c>
      <c r="J95" t="str">
        <f>SupplyCurves_High!C92&amp;" -- "&amp;SupplyCurves_High!E92&amp;" -- "&amp;SupplyCurves_High!K92</f>
        <v>Tanzania -- T3 -- $0.08-0.10/kWh</v>
      </c>
      <c r="K95" t="s">
        <v>11</v>
      </c>
      <c r="L95" t="s">
        <v>13</v>
      </c>
      <c r="M95" t="s">
        <v>75</v>
      </c>
      <c r="N95" t="s">
        <v>12</v>
      </c>
    </row>
    <row r="96" spans="2:14">
      <c r="B96" t="str">
        <f>SupplyCurves_High!A93</f>
        <v>EN_Hydro_TZA_T4</v>
      </c>
      <c r="C96" t="s">
        <v>451</v>
      </c>
      <c r="D96" t="s">
        <v>76</v>
      </c>
      <c r="E96">
        <f>SupplyCurves_High!F93</f>
        <v>1.26</v>
      </c>
      <c r="F96">
        <f>SupplyCurves_High!H93</f>
        <v>1210</v>
      </c>
      <c r="H96" t="s">
        <v>452</v>
      </c>
      <c r="I96" t="str">
        <f t="shared" si="1"/>
        <v>EN_Hydro_TZA_T4</v>
      </c>
      <c r="J96" t="str">
        <f>SupplyCurves_High!C93&amp;" -- "&amp;SupplyCurves_High!E93&amp;" -- "&amp;SupplyCurves_High!K93</f>
        <v>Tanzania -- T4 -- $0.10-0.14/kWh</v>
      </c>
      <c r="K96" t="s">
        <v>11</v>
      </c>
      <c r="L96" t="s">
        <v>13</v>
      </c>
      <c r="M96" t="s">
        <v>75</v>
      </c>
      <c r="N96" t="s">
        <v>12</v>
      </c>
    </row>
    <row r="97" spans="2:14">
      <c r="B97" t="str">
        <f>SupplyCurves_High!A94</f>
        <v>EN_Hydro_MOZ_T1</v>
      </c>
      <c r="C97" t="s">
        <v>451</v>
      </c>
      <c r="D97" t="s">
        <v>76</v>
      </c>
      <c r="E97">
        <f>SupplyCurves_High!F94</f>
        <v>1.36</v>
      </c>
      <c r="F97">
        <f>SupplyCurves_High!H94</f>
        <v>0</v>
      </c>
      <c r="H97" t="s">
        <v>452</v>
      </c>
      <c r="I97" t="str">
        <f t="shared" si="1"/>
        <v>EN_Hydro_MOZ_T1</v>
      </c>
      <c r="J97" t="str">
        <f>SupplyCurves_High!C94&amp;" -- "&amp;SupplyCurves_High!E94&amp;" -- "&amp;SupplyCurves_High!K94</f>
        <v>Mozambique -- T1 -- $0.04-0.06/kWh</v>
      </c>
      <c r="K97" t="s">
        <v>11</v>
      </c>
      <c r="L97" t="s">
        <v>13</v>
      </c>
      <c r="M97" t="s">
        <v>75</v>
      </c>
      <c r="N97" t="s">
        <v>12</v>
      </c>
    </row>
    <row r="98" spans="2:14">
      <c r="B98" t="str">
        <f>SupplyCurves_High!A95</f>
        <v>EN_Hydro_MOZ_T2</v>
      </c>
      <c r="C98" t="s">
        <v>451</v>
      </c>
      <c r="D98" t="s">
        <v>76</v>
      </c>
      <c r="E98">
        <f>SupplyCurves_High!F95</f>
        <v>2.38</v>
      </c>
      <c r="F98">
        <f>SupplyCurves_High!H95</f>
        <v>269</v>
      </c>
      <c r="H98" t="s">
        <v>452</v>
      </c>
      <c r="I98" t="str">
        <f t="shared" si="1"/>
        <v>EN_Hydro_MOZ_T2</v>
      </c>
      <c r="J98" t="str">
        <f>SupplyCurves_High!C95&amp;" -- "&amp;SupplyCurves_High!E95&amp;" -- "&amp;SupplyCurves_High!K95</f>
        <v>Mozambique -- T2 -- $0.06-0.08/kWh</v>
      </c>
      <c r="K98" t="s">
        <v>11</v>
      </c>
      <c r="L98" t="s">
        <v>13</v>
      </c>
      <c r="M98" t="s">
        <v>75</v>
      </c>
      <c r="N98" t="s">
        <v>12</v>
      </c>
    </row>
    <row r="99" spans="2:14">
      <c r="B99" t="str">
        <f>SupplyCurves_High!A96</f>
        <v>EN_Hydro_MOZ_T3</v>
      </c>
      <c r="C99" t="s">
        <v>451</v>
      </c>
      <c r="D99" t="s">
        <v>76</v>
      </c>
      <c r="E99">
        <f>SupplyCurves_High!F96</f>
        <v>2.04</v>
      </c>
      <c r="F99">
        <f>SupplyCurves_High!H96</f>
        <v>672</v>
      </c>
      <c r="H99" t="s">
        <v>452</v>
      </c>
      <c r="I99" t="str">
        <f t="shared" si="1"/>
        <v>EN_Hydro_MOZ_T3</v>
      </c>
      <c r="J99" t="str">
        <f>SupplyCurves_High!C96&amp;" -- "&amp;SupplyCurves_High!E96&amp;" -- "&amp;SupplyCurves_High!K96</f>
        <v>Mozambique -- T3 -- $0.08-0.10/kWh</v>
      </c>
      <c r="K99" t="s">
        <v>11</v>
      </c>
      <c r="L99" t="s">
        <v>13</v>
      </c>
      <c r="M99" t="s">
        <v>75</v>
      </c>
      <c r="N99" t="s">
        <v>12</v>
      </c>
    </row>
    <row r="100" spans="2:14">
      <c r="B100" t="str">
        <f>SupplyCurves_High!A97</f>
        <v>EN_Hydro_MOZ_T4</v>
      </c>
      <c r="C100" t="s">
        <v>451</v>
      </c>
      <c r="D100" t="s">
        <v>76</v>
      </c>
      <c r="E100">
        <f>SupplyCurves_High!F97</f>
        <v>1.02</v>
      </c>
      <c r="F100">
        <f>SupplyCurves_High!H97</f>
        <v>1210</v>
      </c>
      <c r="H100" t="s">
        <v>452</v>
      </c>
      <c r="I100" t="str">
        <f t="shared" si="1"/>
        <v>EN_Hydro_MOZ_T4</v>
      </c>
      <c r="J100" t="str">
        <f>SupplyCurves_High!C97&amp;" -- "&amp;SupplyCurves_High!E97&amp;" -- "&amp;SupplyCurves_High!K97</f>
        <v>Mozambique -- T4 -- $0.10-0.14/kWh</v>
      </c>
      <c r="K100" t="s">
        <v>11</v>
      </c>
      <c r="L100" t="s">
        <v>13</v>
      </c>
      <c r="M100" t="s">
        <v>75</v>
      </c>
      <c r="N100" t="s">
        <v>12</v>
      </c>
    </row>
    <row r="101" spans="2:14">
      <c r="B101" t="str">
        <f>SupplyCurves_High!A98</f>
        <v>EN_Hydro_ZMB_T1</v>
      </c>
      <c r="C101" t="s">
        <v>451</v>
      </c>
      <c r="D101" t="s">
        <v>76</v>
      </c>
      <c r="E101">
        <f>SupplyCurves_High!F98</f>
        <v>1.02</v>
      </c>
      <c r="F101">
        <f>SupplyCurves_High!H98</f>
        <v>0</v>
      </c>
      <c r="H101" t="s">
        <v>452</v>
      </c>
      <c r="I101" t="str">
        <f t="shared" si="1"/>
        <v>EN_Hydro_ZMB_T1</v>
      </c>
      <c r="J101" t="str">
        <f>SupplyCurves_High!C98&amp;" -- "&amp;SupplyCurves_High!E98&amp;" -- "&amp;SupplyCurves_High!K98</f>
        <v>Zambia -- T1 -- $0.04-0.06/kWh</v>
      </c>
      <c r="K101" t="s">
        <v>11</v>
      </c>
      <c r="L101" t="s">
        <v>13</v>
      </c>
      <c r="M101" t="s">
        <v>75</v>
      </c>
      <c r="N101" t="s">
        <v>12</v>
      </c>
    </row>
    <row r="102" spans="2:14">
      <c r="B102" t="str">
        <f>SupplyCurves_High!A99</f>
        <v>EN_Hydro_ZMB_T2</v>
      </c>
      <c r="C102" t="s">
        <v>451</v>
      </c>
      <c r="D102" t="s">
        <v>76</v>
      </c>
      <c r="E102">
        <f>SupplyCurves_High!F99</f>
        <v>1.7849999999999999</v>
      </c>
      <c r="F102">
        <f>SupplyCurves_High!H99</f>
        <v>269</v>
      </c>
      <c r="H102" t="s">
        <v>452</v>
      </c>
      <c r="I102" t="str">
        <f t="shared" si="1"/>
        <v>EN_Hydro_ZMB_T2</v>
      </c>
      <c r="J102" t="str">
        <f>SupplyCurves_High!C99&amp;" -- "&amp;SupplyCurves_High!E99&amp;" -- "&amp;SupplyCurves_High!K99</f>
        <v>Zambia -- T2 -- $0.06-0.08/kWh</v>
      </c>
      <c r="K102" t="s">
        <v>11</v>
      </c>
      <c r="L102" t="s">
        <v>13</v>
      </c>
      <c r="M102" t="s">
        <v>75</v>
      </c>
      <c r="N102" t="s">
        <v>12</v>
      </c>
    </row>
    <row r="103" spans="2:14">
      <c r="B103" t="str">
        <f>SupplyCurves_High!A100</f>
        <v>EN_Hydro_ZMB_T3</v>
      </c>
      <c r="C103" t="s">
        <v>451</v>
      </c>
      <c r="D103" t="s">
        <v>76</v>
      </c>
      <c r="E103">
        <f>SupplyCurves_High!F100</f>
        <v>1.53</v>
      </c>
      <c r="F103">
        <f>SupplyCurves_High!H100</f>
        <v>672</v>
      </c>
      <c r="H103" t="s">
        <v>452</v>
      </c>
      <c r="I103" t="str">
        <f t="shared" si="1"/>
        <v>EN_Hydro_ZMB_T3</v>
      </c>
      <c r="J103" t="str">
        <f>SupplyCurves_High!C100&amp;" -- "&amp;SupplyCurves_High!E100&amp;" -- "&amp;SupplyCurves_High!K100</f>
        <v>Zambia -- T3 -- $0.08-0.10/kWh</v>
      </c>
      <c r="K103" t="s">
        <v>11</v>
      </c>
      <c r="L103" t="s">
        <v>13</v>
      </c>
      <c r="M103" t="s">
        <v>75</v>
      </c>
      <c r="N103" t="s">
        <v>12</v>
      </c>
    </row>
    <row r="104" spans="2:14">
      <c r="B104" t="str">
        <f>SupplyCurves_High!A101</f>
        <v>EN_Hydro_ZMB_T4</v>
      </c>
      <c r="C104" t="s">
        <v>451</v>
      </c>
      <c r="D104" t="s">
        <v>76</v>
      </c>
      <c r="E104">
        <f>SupplyCurves_High!F101</f>
        <v>0.76500000000000001</v>
      </c>
      <c r="F104">
        <f>SupplyCurves_High!H101</f>
        <v>1210</v>
      </c>
      <c r="H104" t="s">
        <v>452</v>
      </c>
      <c r="I104" t="str">
        <f t="shared" si="1"/>
        <v>EN_Hydro_ZMB_T4</v>
      </c>
      <c r="J104" t="str">
        <f>SupplyCurves_High!C101&amp;" -- "&amp;SupplyCurves_High!E101&amp;" -- "&amp;SupplyCurves_High!K101</f>
        <v>Zambia -- T4 -- $0.10-0.14/kWh</v>
      </c>
      <c r="K104" t="s">
        <v>11</v>
      </c>
      <c r="L104" t="s">
        <v>13</v>
      </c>
      <c r="M104" t="s">
        <v>75</v>
      </c>
      <c r="N104" t="s">
        <v>12</v>
      </c>
    </row>
    <row r="105" spans="2:14">
      <c r="B105" t="str">
        <f>SupplyCurves_High!A102</f>
        <v>EN_Hydro_CHL_T1</v>
      </c>
      <c r="C105" t="s">
        <v>451</v>
      </c>
      <c r="D105" t="s">
        <v>76</v>
      </c>
      <c r="E105">
        <f>SupplyCurves_High!F102</f>
        <v>0.1</v>
      </c>
      <c r="F105">
        <f>SupplyCurves_High!H102</f>
        <v>0</v>
      </c>
      <c r="H105" t="s">
        <v>452</v>
      </c>
      <c r="I105" t="str">
        <f t="shared" si="1"/>
        <v>EN_Hydro_CHL_T1</v>
      </c>
      <c r="J105" t="str">
        <f>SupplyCurves_High!C102&amp;" -- "&amp;SupplyCurves_High!E102&amp;" -- "&amp;SupplyCurves_High!K102</f>
        <v>Chile -- T1 -- $0.04-0.06/kWh</v>
      </c>
      <c r="K105" t="s">
        <v>11</v>
      </c>
      <c r="L105" t="s">
        <v>13</v>
      </c>
      <c r="M105" t="s">
        <v>75</v>
      </c>
      <c r="N105" t="s">
        <v>12</v>
      </c>
    </row>
    <row r="106" spans="2:14">
      <c r="B106" t="str">
        <f>SupplyCurves_High!A103</f>
        <v>EN_Hydro_CHL_T2</v>
      </c>
      <c r="C106" t="s">
        <v>451</v>
      </c>
      <c r="D106" t="s">
        <v>76</v>
      </c>
      <c r="E106">
        <f>SupplyCurves_High!F103</f>
        <v>0.17499999999999999</v>
      </c>
      <c r="F106">
        <f>SupplyCurves_High!H103</f>
        <v>307</v>
      </c>
      <c r="H106" t="s">
        <v>452</v>
      </c>
      <c r="I106" t="str">
        <f t="shared" si="1"/>
        <v>EN_Hydro_CHL_T2</v>
      </c>
      <c r="J106" t="str">
        <f>SupplyCurves_High!C103&amp;" -- "&amp;SupplyCurves_High!E103&amp;" -- "&amp;SupplyCurves_High!K103</f>
        <v>Chile -- T2 -- $0.06-0.08/kWh</v>
      </c>
      <c r="K106" t="s">
        <v>11</v>
      </c>
      <c r="L106" t="s">
        <v>13</v>
      </c>
      <c r="M106" t="s">
        <v>75</v>
      </c>
      <c r="N106" t="s">
        <v>12</v>
      </c>
    </row>
    <row r="107" spans="2:14">
      <c r="B107" t="str">
        <f>SupplyCurves_High!A104</f>
        <v>EN_Hydro_CHL_T3</v>
      </c>
      <c r="C107" t="s">
        <v>451</v>
      </c>
      <c r="D107" t="s">
        <v>76</v>
      </c>
      <c r="E107">
        <f>SupplyCurves_High!F104</f>
        <v>0.15</v>
      </c>
      <c r="F107">
        <f>SupplyCurves_High!H104</f>
        <v>768</v>
      </c>
      <c r="H107" t="s">
        <v>452</v>
      </c>
      <c r="I107" t="str">
        <f t="shared" si="1"/>
        <v>EN_Hydro_CHL_T3</v>
      </c>
      <c r="J107" t="str">
        <f>SupplyCurves_High!C104&amp;" -- "&amp;SupplyCurves_High!E104&amp;" -- "&amp;SupplyCurves_High!K104</f>
        <v>Chile -- T3 -- $0.08-0.10/kWh</v>
      </c>
      <c r="K107" t="s">
        <v>11</v>
      </c>
      <c r="L107" t="s">
        <v>13</v>
      </c>
      <c r="M107" t="s">
        <v>75</v>
      </c>
      <c r="N107" t="s">
        <v>12</v>
      </c>
    </row>
    <row r="108" spans="2:14">
      <c r="B108" t="str">
        <f>SupplyCurves_High!A105</f>
        <v>EN_Hydro_CHL_T4</v>
      </c>
      <c r="C108" t="s">
        <v>451</v>
      </c>
      <c r="D108" t="s">
        <v>76</v>
      </c>
      <c r="E108">
        <f>SupplyCurves_High!F105</f>
        <v>7.4999999999999997E-2</v>
      </c>
      <c r="F108">
        <f>SupplyCurves_High!H105</f>
        <v>1383</v>
      </c>
      <c r="H108" t="s">
        <v>452</v>
      </c>
      <c r="I108" t="str">
        <f t="shared" si="1"/>
        <v>EN_Hydro_CHL_T4</v>
      </c>
      <c r="J108" t="str">
        <f>SupplyCurves_High!C105&amp;" -- "&amp;SupplyCurves_High!E105&amp;" -- "&amp;SupplyCurves_High!K105</f>
        <v>Chile -- T4 -- $0.10-0.14/kWh</v>
      </c>
      <c r="K108" t="s">
        <v>11</v>
      </c>
      <c r="L108" t="s">
        <v>13</v>
      </c>
      <c r="M108" t="s">
        <v>75</v>
      </c>
      <c r="N108" t="s">
        <v>12</v>
      </c>
    </row>
    <row r="109" spans="2:14">
      <c r="B109" t="str">
        <f>SupplyCurves_High!A106</f>
        <v>EN_Hydro_BTN_T1</v>
      </c>
      <c r="C109" t="s">
        <v>451</v>
      </c>
      <c r="D109" t="s">
        <v>76</v>
      </c>
      <c r="E109">
        <f>SupplyCurves_High!F106</f>
        <v>1.1000000000000001</v>
      </c>
      <c r="F109">
        <f>SupplyCurves_High!H106</f>
        <v>0</v>
      </c>
      <c r="H109" t="s">
        <v>452</v>
      </c>
      <c r="I109" t="str">
        <f t="shared" si="1"/>
        <v>EN_Hydro_BTN_T1</v>
      </c>
      <c r="J109" t="str">
        <f>SupplyCurves_High!C106&amp;" -- "&amp;SupplyCurves_High!E106&amp;" -- "&amp;SupplyCurves_High!K106</f>
        <v>Bhutan -- T1 -- $0.04-0.06/kWh</v>
      </c>
      <c r="K109" t="s">
        <v>11</v>
      </c>
      <c r="L109" t="s">
        <v>13</v>
      </c>
      <c r="M109" t="s">
        <v>75</v>
      </c>
      <c r="N109" t="s">
        <v>12</v>
      </c>
    </row>
    <row r="110" spans="2:14">
      <c r="B110" t="str">
        <f>SupplyCurves_High!A107</f>
        <v>EN_Hydro_BTN_T2</v>
      </c>
      <c r="C110" t="s">
        <v>451</v>
      </c>
      <c r="D110" t="s">
        <v>76</v>
      </c>
      <c r="E110">
        <f>SupplyCurves_High!F107</f>
        <v>1.925</v>
      </c>
      <c r="F110">
        <f>SupplyCurves_High!H107</f>
        <v>259</v>
      </c>
      <c r="H110" t="s">
        <v>452</v>
      </c>
      <c r="I110" t="str">
        <f t="shared" si="1"/>
        <v>EN_Hydro_BTN_T2</v>
      </c>
      <c r="J110" t="str">
        <f>SupplyCurves_High!C107&amp;" -- "&amp;SupplyCurves_High!E107&amp;" -- "&amp;SupplyCurves_High!K107</f>
        <v>Bhutan -- T2 -- $0.06-0.08/kWh</v>
      </c>
      <c r="K110" t="s">
        <v>11</v>
      </c>
      <c r="L110" t="s">
        <v>13</v>
      </c>
      <c r="M110" t="s">
        <v>75</v>
      </c>
      <c r="N110" t="s">
        <v>12</v>
      </c>
    </row>
    <row r="111" spans="2:14">
      <c r="B111" t="str">
        <f>SupplyCurves_High!A108</f>
        <v>EN_Hydro_BTN_T3</v>
      </c>
      <c r="C111" t="s">
        <v>451</v>
      </c>
      <c r="D111" t="s">
        <v>76</v>
      </c>
      <c r="E111">
        <f>SupplyCurves_High!F108</f>
        <v>1.65</v>
      </c>
      <c r="F111">
        <f>SupplyCurves_High!H108</f>
        <v>646</v>
      </c>
      <c r="H111" t="s">
        <v>452</v>
      </c>
      <c r="I111" t="str">
        <f t="shared" si="1"/>
        <v>EN_Hydro_BTN_T3</v>
      </c>
      <c r="J111" t="str">
        <f>SupplyCurves_High!C108&amp;" -- "&amp;SupplyCurves_High!E108&amp;" -- "&amp;SupplyCurves_High!K108</f>
        <v>Bhutan -- T3 -- $0.08-0.10/kWh</v>
      </c>
      <c r="K111" t="s">
        <v>11</v>
      </c>
      <c r="L111" t="s">
        <v>13</v>
      </c>
      <c r="M111" t="s">
        <v>75</v>
      </c>
      <c r="N111" t="s">
        <v>12</v>
      </c>
    </row>
    <row r="112" spans="2:14">
      <c r="B112" t="str">
        <f>SupplyCurves_High!A109</f>
        <v>EN_Hydro_BTN_T4</v>
      </c>
      <c r="C112" t="s">
        <v>451</v>
      </c>
      <c r="D112" t="s">
        <v>76</v>
      </c>
      <c r="E112">
        <f>SupplyCurves_High!F109</f>
        <v>0.82499999999999996</v>
      </c>
      <c r="F112">
        <f>SupplyCurves_High!H109</f>
        <v>1163</v>
      </c>
      <c r="H112" t="s">
        <v>452</v>
      </c>
      <c r="I112" t="str">
        <f t="shared" si="1"/>
        <v>EN_Hydro_BTN_T4</v>
      </c>
      <c r="J112" t="str">
        <f>SupplyCurves_High!C109&amp;" -- "&amp;SupplyCurves_High!E109&amp;" -- "&amp;SupplyCurves_High!K109</f>
        <v>Bhutan -- T4 -- $0.10-0.14/kWh</v>
      </c>
      <c r="K112" t="s">
        <v>11</v>
      </c>
      <c r="L112" t="s">
        <v>13</v>
      </c>
      <c r="M112" t="s">
        <v>75</v>
      </c>
      <c r="N112" t="s">
        <v>12</v>
      </c>
    </row>
    <row r="113" spans="2:14">
      <c r="B113" t="str">
        <f>SupplyCurves_High!A110</f>
        <v>EN_Hydro_UGA_T1</v>
      </c>
      <c r="C113" t="s">
        <v>451</v>
      </c>
      <c r="D113" t="s">
        <v>76</v>
      </c>
      <c r="E113">
        <f>SupplyCurves_High!F110</f>
        <v>1.18</v>
      </c>
      <c r="F113">
        <f>SupplyCurves_High!H110</f>
        <v>0</v>
      </c>
      <c r="H113" t="s">
        <v>452</v>
      </c>
      <c r="I113" t="str">
        <f t="shared" si="1"/>
        <v>EN_Hydro_UGA_T1</v>
      </c>
      <c r="J113" t="str">
        <f>SupplyCurves_High!C110&amp;" -- "&amp;SupplyCurves_High!E110&amp;" -- "&amp;SupplyCurves_High!K110</f>
        <v>Uganda -- T1 -- $0.04-0.06/kWh</v>
      </c>
      <c r="K113" t="s">
        <v>11</v>
      </c>
      <c r="L113" t="s">
        <v>13</v>
      </c>
      <c r="M113" t="s">
        <v>75</v>
      </c>
      <c r="N113" t="s">
        <v>12</v>
      </c>
    </row>
    <row r="114" spans="2:14">
      <c r="B114" t="str">
        <f>SupplyCurves_High!A111</f>
        <v>EN_Hydro_UGA_T2</v>
      </c>
      <c r="C114" t="s">
        <v>451</v>
      </c>
      <c r="D114" t="s">
        <v>76</v>
      </c>
      <c r="E114">
        <f>SupplyCurves_High!F111</f>
        <v>2.0649999999999999</v>
      </c>
      <c r="F114">
        <f>SupplyCurves_High!H111</f>
        <v>269</v>
      </c>
      <c r="H114" t="s">
        <v>452</v>
      </c>
      <c r="I114" t="str">
        <f t="shared" si="1"/>
        <v>EN_Hydro_UGA_T2</v>
      </c>
      <c r="J114" t="str">
        <f>SupplyCurves_High!C111&amp;" -- "&amp;SupplyCurves_High!E111&amp;" -- "&amp;SupplyCurves_High!K111</f>
        <v>Uganda -- T2 -- $0.06-0.08/kWh</v>
      </c>
      <c r="K114" t="s">
        <v>11</v>
      </c>
      <c r="L114" t="s">
        <v>13</v>
      </c>
      <c r="M114" t="s">
        <v>75</v>
      </c>
      <c r="N114" t="s">
        <v>12</v>
      </c>
    </row>
    <row r="115" spans="2:14">
      <c r="B115" t="str">
        <f>SupplyCurves_High!A112</f>
        <v>EN_Hydro_UGA_T3</v>
      </c>
      <c r="C115" t="s">
        <v>451</v>
      </c>
      <c r="D115" t="s">
        <v>76</v>
      </c>
      <c r="E115">
        <f>SupplyCurves_High!F112</f>
        <v>1.77</v>
      </c>
      <c r="F115">
        <f>SupplyCurves_High!H112</f>
        <v>672</v>
      </c>
      <c r="H115" t="s">
        <v>452</v>
      </c>
      <c r="I115" t="str">
        <f t="shared" si="1"/>
        <v>EN_Hydro_UGA_T3</v>
      </c>
      <c r="J115" t="str">
        <f>SupplyCurves_High!C112&amp;" -- "&amp;SupplyCurves_High!E112&amp;" -- "&amp;SupplyCurves_High!K112</f>
        <v>Uganda -- T3 -- $0.08-0.10/kWh</v>
      </c>
      <c r="K115" t="s">
        <v>11</v>
      </c>
      <c r="L115" t="s">
        <v>13</v>
      </c>
      <c r="M115" t="s">
        <v>75</v>
      </c>
      <c r="N115" t="s">
        <v>12</v>
      </c>
    </row>
    <row r="116" spans="2:14">
      <c r="B116" t="str">
        <f>SupplyCurves_High!A113</f>
        <v>EN_Hydro_UGA_T4</v>
      </c>
      <c r="C116" t="s">
        <v>451</v>
      </c>
      <c r="D116" t="s">
        <v>76</v>
      </c>
      <c r="E116">
        <f>SupplyCurves_High!F113</f>
        <v>0.88500000000000001</v>
      </c>
      <c r="F116">
        <f>SupplyCurves_High!H113</f>
        <v>1210</v>
      </c>
      <c r="H116" t="s">
        <v>452</v>
      </c>
      <c r="I116" t="str">
        <f t="shared" si="1"/>
        <v>EN_Hydro_UGA_T4</v>
      </c>
      <c r="J116" t="str">
        <f>SupplyCurves_High!C113&amp;" -- "&amp;SupplyCurves_High!E113&amp;" -- "&amp;SupplyCurves_High!K113</f>
        <v>Uganda -- T4 -- $0.10-0.14/kWh</v>
      </c>
      <c r="K116" t="s">
        <v>11</v>
      </c>
      <c r="L116" t="s">
        <v>13</v>
      </c>
      <c r="M116" t="s">
        <v>75</v>
      </c>
      <c r="N116" t="s">
        <v>12</v>
      </c>
    </row>
    <row r="117" spans="2:14">
      <c r="B117" t="str">
        <f>SupplyCurves_High!A114</f>
        <v>EN_Hydro_PNG_T1</v>
      </c>
      <c r="C117" t="s">
        <v>451</v>
      </c>
      <c r="D117" t="s">
        <v>76</v>
      </c>
      <c r="E117">
        <f>SupplyCurves_High!F114</f>
        <v>1.1599999999999999</v>
      </c>
      <c r="F117">
        <f>SupplyCurves_High!H114</f>
        <v>0</v>
      </c>
      <c r="H117" t="s">
        <v>452</v>
      </c>
      <c r="I117" t="str">
        <f t="shared" si="1"/>
        <v>EN_Hydro_PNG_T1</v>
      </c>
      <c r="J117" t="str">
        <f>SupplyCurves_High!C114&amp;" -- "&amp;SupplyCurves_High!E114&amp;" -- "&amp;SupplyCurves_High!K114</f>
        <v>Papua New Guinea -- T1 -- $0.04-0.06/kWh</v>
      </c>
      <c r="K117" t="s">
        <v>11</v>
      </c>
      <c r="L117" t="s">
        <v>13</v>
      </c>
      <c r="M117" t="s">
        <v>75</v>
      </c>
      <c r="N117" t="s">
        <v>12</v>
      </c>
    </row>
    <row r="118" spans="2:14">
      <c r="B118" t="str">
        <f>SupplyCurves_High!A115</f>
        <v>EN_Hydro_PNG_T2</v>
      </c>
      <c r="C118" t="s">
        <v>451</v>
      </c>
      <c r="D118" t="s">
        <v>76</v>
      </c>
      <c r="E118">
        <f>SupplyCurves_High!F115</f>
        <v>2.0299999999999998</v>
      </c>
      <c r="F118">
        <f>SupplyCurves_High!H115</f>
        <v>286</v>
      </c>
      <c r="H118" t="s">
        <v>452</v>
      </c>
      <c r="I118" t="str">
        <f t="shared" si="1"/>
        <v>EN_Hydro_PNG_T2</v>
      </c>
      <c r="J118" t="str">
        <f>SupplyCurves_High!C115&amp;" -- "&amp;SupplyCurves_High!E115&amp;" -- "&amp;SupplyCurves_High!K115</f>
        <v>Papua New Guinea -- T2 -- $0.06-0.08/kWh</v>
      </c>
      <c r="K118" t="s">
        <v>11</v>
      </c>
      <c r="L118" t="s">
        <v>13</v>
      </c>
      <c r="M118" t="s">
        <v>75</v>
      </c>
      <c r="N118" t="s">
        <v>12</v>
      </c>
    </row>
    <row r="119" spans="2:14">
      <c r="B119" t="str">
        <f>SupplyCurves_High!A116</f>
        <v>EN_Hydro_PNG_T3</v>
      </c>
      <c r="C119" t="s">
        <v>451</v>
      </c>
      <c r="D119" t="s">
        <v>76</v>
      </c>
      <c r="E119">
        <f>SupplyCurves_High!F116</f>
        <v>1.74</v>
      </c>
      <c r="F119">
        <f>SupplyCurves_High!H116</f>
        <v>716</v>
      </c>
      <c r="H119" t="s">
        <v>452</v>
      </c>
      <c r="I119" t="str">
        <f t="shared" si="1"/>
        <v>EN_Hydro_PNG_T3</v>
      </c>
      <c r="J119" t="str">
        <f>SupplyCurves_High!C116&amp;" -- "&amp;SupplyCurves_High!E116&amp;" -- "&amp;SupplyCurves_High!K116</f>
        <v>Papua New Guinea -- T3 -- $0.08-0.10/kWh</v>
      </c>
      <c r="K119" t="s">
        <v>11</v>
      </c>
      <c r="L119" t="s">
        <v>13</v>
      </c>
      <c r="M119" t="s">
        <v>75</v>
      </c>
      <c r="N119" t="s">
        <v>12</v>
      </c>
    </row>
    <row r="120" spans="2:14">
      <c r="B120" t="str">
        <f>SupplyCurves_High!A117</f>
        <v>EN_Hydro_PNG_T4</v>
      </c>
      <c r="C120" t="s">
        <v>451</v>
      </c>
      <c r="D120" t="s">
        <v>76</v>
      </c>
      <c r="E120">
        <f>SupplyCurves_High!F117</f>
        <v>0.87</v>
      </c>
      <c r="F120">
        <f>SupplyCurves_High!H117</f>
        <v>1289</v>
      </c>
      <c r="H120" t="s">
        <v>452</v>
      </c>
      <c r="I120" t="str">
        <f t="shared" si="1"/>
        <v>EN_Hydro_PNG_T4</v>
      </c>
      <c r="J120" t="str">
        <f>SupplyCurves_High!C117&amp;" -- "&amp;SupplyCurves_High!E117&amp;" -- "&amp;SupplyCurves_High!K117</f>
        <v>Papua New Guinea -- T4 -- $0.10-0.14/kWh</v>
      </c>
      <c r="K120" t="s">
        <v>11</v>
      </c>
      <c r="L120" t="s">
        <v>13</v>
      </c>
      <c r="M120" t="s">
        <v>75</v>
      </c>
      <c r="N120" t="s">
        <v>12</v>
      </c>
    </row>
    <row r="121" spans="2:14">
      <c r="B121" t="str">
        <f>SupplyCurves_High!A118</f>
        <v>EN_Hydro_TJK_T1</v>
      </c>
      <c r="C121" t="s">
        <v>451</v>
      </c>
      <c r="D121" t="s">
        <v>76</v>
      </c>
      <c r="E121">
        <f>SupplyCurves_High!F118</f>
        <v>0.04</v>
      </c>
      <c r="F121">
        <f>SupplyCurves_High!H118</f>
        <v>0</v>
      </c>
      <c r="H121" t="s">
        <v>452</v>
      </c>
      <c r="I121" t="str">
        <f t="shared" si="1"/>
        <v>EN_Hydro_TJK_T1</v>
      </c>
      <c r="J121" t="str">
        <f>SupplyCurves_High!C118&amp;" -- "&amp;SupplyCurves_High!E118&amp;" -- "&amp;SupplyCurves_High!K118</f>
        <v>Tajikistan -- T1 -- $0.04-0.06/kWh</v>
      </c>
      <c r="K121" t="s">
        <v>11</v>
      </c>
      <c r="L121" t="s">
        <v>13</v>
      </c>
      <c r="M121" t="s">
        <v>75</v>
      </c>
      <c r="N121" t="s">
        <v>12</v>
      </c>
    </row>
    <row r="122" spans="2:14">
      <c r="B122" t="str">
        <f>SupplyCurves_High!A119</f>
        <v>EN_Hydro_TJK_T2</v>
      </c>
      <c r="C122" t="s">
        <v>451</v>
      </c>
      <c r="D122" t="s">
        <v>76</v>
      </c>
      <c r="E122">
        <f>SupplyCurves_High!F119</f>
        <v>7.0000000000000007E-2</v>
      </c>
      <c r="F122">
        <f>SupplyCurves_High!H119</f>
        <v>286</v>
      </c>
      <c r="H122" t="s">
        <v>452</v>
      </c>
      <c r="I122" t="str">
        <f t="shared" si="1"/>
        <v>EN_Hydro_TJK_T2</v>
      </c>
      <c r="J122" t="str">
        <f>SupplyCurves_High!C119&amp;" -- "&amp;SupplyCurves_High!E119&amp;" -- "&amp;SupplyCurves_High!K119</f>
        <v>Tajikistan -- T2 -- $0.06-0.08/kWh</v>
      </c>
      <c r="K122" t="s">
        <v>11</v>
      </c>
      <c r="L122" t="s">
        <v>13</v>
      </c>
      <c r="M122" t="s">
        <v>75</v>
      </c>
      <c r="N122" t="s">
        <v>12</v>
      </c>
    </row>
    <row r="123" spans="2:14">
      <c r="B123" t="str">
        <f>SupplyCurves_High!A120</f>
        <v>EN_Hydro_TJK_T3</v>
      </c>
      <c r="C123" t="s">
        <v>451</v>
      </c>
      <c r="D123" t="s">
        <v>76</v>
      </c>
      <c r="E123">
        <f>SupplyCurves_High!F120</f>
        <v>0.06</v>
      </c>
      <c r="F123">
        <f>SupplyCurves_High!H120</f>
        <v>715</v>
      </c>
      <c r="H123" t="s">
        <v>452</v>
      </c>
      <c r="I123" t="str">
        <f t="shared" si="1"/>
        <v>EN_Hydro_TJK_T3</v>
      </c>
      <c r="J123" t="str">
        <f>SupplyCurves_High!C120&amp;" -- "&amp;SupplyCurves_High!E120&amp;" -- "&amp;SupplyCurves_High!K120</f>
        <v>Tajikistan -- T3 -- $0.08-0.10/kWh</v>
      </c>
      <c r="K123" t="s">
        <v>11</v>
      </c>
      <c r="L123" t="s">
        <v>13</v>
      </c>
      <c r="M123" t="s">
        <v>75</v>
      </c>
      <c r="N123" t="s">
        <v>12</v>
      </c>
    </row>
    <row r="124" spans="2:14">
      <c r="B124" t="str">
        <f>SupplyCurves_High!A121</f>
        <v>EN_Hydro_TJK_T4</v>
      </c>
      <c r="C124" t="s">
        <v>451</v>
      </c>
      <c r="D124" t="s">
        <v>76</v>
      </c>
      <c r="E124">
        <f>SupplyCurves_High!F121</f>
        <v>0.03</v>
      </c>
      <c r="F124">
        <f>SupplyCurves_High!H121</f>
        <v>1287</v>
      </c>
      <c r="H124" t="s">
        <v>452</v>
      </c>
      <c r="I124" t="str">
        <f t="shared" si="1"/>
        <v>EN_Hydro_TJK_T4</v>
      </c>
      <c r="J124" t="str">
        <f>SupplyCurves_High!C121&amp;" -- "&amp;SupplyCurves_High!E121&amp;" -- "&amp;SupplyCurves_High!K121</f>
        <v>Tajikistan -- T4 -- $0.10-0.14/kWh</v>
      </c>
      <c r="K124" t="s">
        <v>11</v>
      </c>
      <c r="L124" t="s">
        <v>13</v>
      </c>
      <c r="M124" t="s">
        <v>75</v>
      </c>
      <c r="N124" t="s">
        <v>12</v>
      </c>
    </row>
    <row r="125" spans="2:14">
      <c r="B125" t="str">
        <f>SupplyCurves_High!A122</f>
        <v>EN_Hydro_ZWE_T1</v>
      </c>
      <c r="C125" t="s">
        <v>451</v>
      </c>
      <c r="D125" t="s">
        <v>76</v>
      </c>
      <c r="E125">
        <f>SupplyCurves_High!F122</f>
        <v>0.72</v>
      </c>
      <c r="F125">
        <f>SupplyCurves_High!H122</f>
        <v>0</v>
      </c>
      <c r="H125" t="s">
        <v>452</v>
      </c>
      <c r="I125" t="str">
        <f t="shared" si="1"/>
        <v>EN_Hydro_ZWE_T1</v>
      </c>
      <c r="J125" t="str">
        <f>SupplyCurves_High!C122&amp;" -- "&amp;SupplyCurves_High!E122&amp;" -- "&amp;SupplyCurves_High!K122</f>
        <v>Zimbabwe -- T1 -- $0.04-0.06/kWh</v>
      </c>
      <c r="K125" t="s">
        <v>11</v>
      </c>
      <c r="L125" t="s">
        <v>13</v>
      </c>
      <c r="M125" t="s">
        <v>75</v>
      </c>
      <c r="N125" t="s">
        <v>12</v>
      </c>
    </row>
    <row r="126" spans="2:14">
      <c r="B126" t="str">
        <f>SupplyCurves_High!A123</f>
        <v>EN_Hydro_ZWE_T2</v>
      </c>
      <c r="C126" t="s">
        <v>451</v>
      </c>
      <c r="D126" t="s">
        <v>76</v>
      </c>
      <c r="E126">
        <f>SupplyCurves_High!F123</f>
        <v>1.26</v>
      </c>
      <c r="F126">
        <f>SupplyCurves_High!H123</f>
        <v>269</v>
      </c>
      <c r="H126" t="s">
        <v>452</v>
      </c>
      <c r="I126" t="str">
        <f t="shared" si="1"/>
        <v>EN_Hydro_ZWE_T2</v>
      </c>
      <c r="J126" t="str">
        <f>SupplyCurves_High!C123&amp;" -- "&amp;SupplyCurves_High!E123&amp;" -- "&amp;SupplyCurves_High!K123</f>
        <v>Zimbabwe -- T2 -- $0.06-0.08/kWh</v>
      </c>
      <c r="K126" t="s">
        <v>11</v>
      </c>
      <c r="L126" t="s">
        <v>13</v>
      </c>
      <c r="M126" t="s">
        <v>75</v>
      </c>
      <c r="N126" t="s">
        <v>12</v>
      </c>
    </row>
    <row r="127" spans="2:14">
      <c r="B127" t="str">
        <f>SupplyCurves_High!A124</f>
        <v>EN_Hydro_ZWE_T3</v>
      </c>
      <c r="C127" t="s">
        <v>451</v>
      </c>
      <c r="D127" t="s">
        <v>76</v>
      </c>
      <c r="E127">
        <f>SupplyCurves_High!F124</f>
        <v>1.08</v>
      </c>
      <c r="F127">
        <f>SupplyCurves_High!H124</f>
        <v>672</v>
      </c>
      <c r="H127" t="s">
        <v>452</v>
      </c>
      <c r="I127" t="str">
        <f t="shared" si="1"/>
        <v>EN_Hydro_ZWE_T3</v>
      </c>
      <c r="J127" t="str">
        <f>SupplyCurves_High!C124&amp;" -- "&amp;SupplyCurves_High!E124&amp;" -- "&amp;SupplyCurves_High!K124</f>
        <v>Zimbabwe -- T3 -- $0.08-0.10/kWh</v>
      </c>
      <c r="K127" t="s">
        <v>11</v>
      </c>
      <c r="L127" t="s">
        <v>13</v>
      </c>
      <c r="M127" t="s">
        <v>75</v>
      </c>
      <c r="N127" t="s">
        <v>12</v>
      </c>
    </row>
    <row r="128" spans="2:14">
      <c r="B128" t="str">
        <f>SupplyCurves_High!A125</f>
        <v>EN_Hydro_ZWE_T4</v>
      </c>
      <c r="C128" t="s">
        <v>451</v>
      </c>
      <c r="D128" t="s">
        <v>76</v>
      </c>
      <c r="E128">
        <f>SupplyCurves_High!F125</f>
        <v>0.54</v>
      </c>
      <c r="F128">
        <f>SupplyCurves_High!H125</f>
        <v>1210</v>
      </c>
      <c r="H128" t="s">
        <v>452</v>
      </c>
      <c r="I128" t="str">
        <f t="shared" si="1"/>
        <v>EN_Hydro_ZWE_T4</v>
      </c>
      <c r="J128" t="str">
        <f>SupplyCurves_High!C125&amp;" -- "&amp;SupplyCurves_High!E125&amp;" -- "&amp;SupplyCurves_High!K125</f>
        <v>Zimbabwe -- T4 -- $0.10-0.14/kWh</v>
      </c>
      <c r="K128" t="s">
        <v>11</v>
      </c>
      <c r="L128" t="s">
        <v>13</v>
      </c>
      <c r="M128" t="s">
        <v>75</v>
      </c>
      <c r="N128" t="s">
        <v>12</v>
      </c>
    </row>
    <row r="129" spans="2:14">
      <c r="B129" t="str">
        <f>SupplyCurves_High!A126</f>
        <v>EN_Hydro_KGZ_T1</v>
      </c>
      <c r="C129" t="s">
        <v>451</v>
      </c>
      <c r="D129" t="s">
        <v>76</v>
      </c>
      <c r="E129">
        <f>SupplyCurves_High!F126</f>
        <v>0.4</v>
      </c>
      <c r="F129">
        <f>SupplyCurves_High!H126</f>
        <v>0</v>
      </c>
      <c r="H129" t="s">
        <v>452</v>
      </c>
      <c r="I129" t="str">
        <f t="shared" si="1"/>
        <v>EN_Hydro_KGZ_T1</v>
      </c>
      <c r="J129" t="str">
        <f>SupplyCurves_High!C126&amp;" -- "&amp;SupplyCurves_High!E126&amp;" -- "&amp;SupplyCurves_High!K126</f>
        <v>Kyrgyzstan -- T1 -- $0.04-0.06/kWh</v>
      </c>
      <c r="K129" t="s">
        <v>11</v>
      </c>
      <c r="L129" t="s">
        <v>13</v>
      </c>
      <c r="M129" t="s">
        <v>75</v>
      </c>
      <c r="N129" t="s">
        <v>12</v>
      </c>
    </row>
    <row r="130" spans="2:14">
      <c r="B130" t="str">
        <f>SupplyCurves_High!A127</f>
        <v>EN_Hydro_KGZ_T2</v>
      </c>
      <c r="C130" t="s">
        <v>451</v>
      </c>
      <c r="D130" t="s">
        <v>76</v>
      </c>
      <c r="E130">
        <f>SupplyCurves_High!F127</f>
        <v>0.7</v>
      </c>
      <c r="F130">
        <f>SupplyCurves_High!H127</f>
        <v>286</v>
      </c>
      <c r="H130" t="s">
        <v>452</v>
      </c>
      <c r="I130" t="str">
        <f t="shared" si="1"/>
        <v>EN_Hydro_KGZ_T2</v>
      </c>
      <c r="J130" t="str">
        <f>SupplyCurves_High!C127&amp;" -- "&amp;SupplyCurves_High!E127&amp;" -- "&amp;SupplyCurves_High!K127</f>
        <v>Kyrgyzstan -- T2 -- $0.06-0.08/kWh</v>
      </c>
      <c r="K130" t="s">
        <v>11</v>
      </c>
      <c r="L130" t="s">
        <v>13</v>
      </c>
      <c r="M130" t="s">
        <v>75</v>
      </c>
      <c r="N130" t="s">
        <v>12</v>
      </c>
    </row>
    <row r="131" spans="2:14">
      <c r="B131" t="str">
        <f>SupplyCurves_High!A128</f>
        <v>EN_Hydro_KGZ_T3</v>
      </c>
      <c r="C131" t="s">
        <v>451</v>
      </c>
      <c r="D131" t="s">
        <v>76</v>
      </c>
      <c r="E131">
        <f>SupplyCurves_High!F128</f>
        <v>0.6</v>
      </c>
      <c r="F131">
        <f>SupplyCurves_High!H128</f>
        <v>715</v>
      </c>
      <c r="H131" t="s">
        <v>452</v>
      </c>
      <c r="I131" t="str">
        <f t="shared" si="1"/>
        <v>EN_Hydro_KGZ_T3</v>
      </c>
      <c r="J131" t="str">
        <f>SupplyCurves_High!C128&amp;" -- "&amp;SupplyCurves_High!E128&amp;" -- "&amp;SupplyCurves_High!K128</f>
        <v>Kyrgyzstan -- T3 -- $0.08-0.10/kWh</v>
      </c>
      <c r="K131" t="s">
        <v>11</v>
      </c>
      <c r="L131" t="s">
        <v>13</v>
      </c>
      <c r="M131" t="s">
        <v>75</v>
      </c>
      <c r="N131" t="s">
        <v>12</v>
      </c>
    </row>
    <row r="132" spans="2:14">
      <c r="B132" t="str">
        <f>SupplyCurves_High!A129</f>
        <v>EN_Hydro_KGZ_T4</v>
      </c>
      <c r="C132" t="s">
        <v>451</v>
      </c>
      <c r="D132" t="s">
        <v>76</v>
      </c>
      <c r="E132">
        <f>SupplyCurves_High!F129</f>
        <v>0.3</v>
      </c>
      <c r="F132">
        <f>SupplyCurves_High!H129</f>
        <v>1287</v>
      </c>
      <c r="H132" t="s">
        <v>452</v>
      </c>
      <c r="I132" t="str">
        <f t="shared" si="1"/>
        <v>EN_Hydro_KGZ_T4</v>
      </c>
      <c r="J132" t="str">
        <f>SupplyCurves_High!C129&amp;" -- "&amp;SupplyCurves_High!E129&amp;" -- "&amp;SupplyCurves_High!K129</f>
        <v>Kyrgyzstan -- T4 -- $0.10-0.14/kWh</v>
      </c>
      <c r="K132" t="s">
        <v>11</v>
      </c>
      <c r="L132" t="s">
        <v>13</v>
      </c>
      <c r="M132" t="s">
        <v>75</v>
      </c>
      <c r="N132" t="s">
        <v>12</v>
      </c>
    </row>
    <row r="133" spans="2:14">
      <c r="B133" t="str">
        <f>SupplyCurves_High!A130</f>
        <v>EN_Hydro_KEN_T1</v>
      </c>
      <c r="C133" t="s">
        <v>451</v>
      </c>
      <c r="D133" t="s">
        <v>76</v>
      </c>
      <c r="E133">
        <f>SupplyCurves_High!F130</f>
        <v>0.8</v>
      </c>
      <c r="F133">
        <f>SupplyCurves_High!H130</f>
        <v>0</v>
      </c>
      <c r="H133" t="s">
        <v>452</v>
      </c>
      <c r="I133" t="str">
        <f t="shared" si="1"/>
        <v>EN_Hydro_KEN_T1</v>
      </c>
      <c r="J133" t="str">
        <f>SupplyCurves_High!C130&amp;" -- "&amp;SupplyCurves_High!E130&amp;" -- "&amp;SupplyCurves_High!K130</f>
        <v>Kenya -- T1 -- $0.04-0.06/kWh</v>
      </c>
      <c r="K133" t="s">
        <v>11</v>
      </c>
      <c r="L133" t="s">
        <v>13</v>
      </c>
      <c r="M133" t="s">
        <v>75</v>
      </c>
      <c r="N133" t="s">
        <v>12</v>
      </c>
    </row>
    <row r="134" spans="2:14">
      <c r="B134" t="str">
        <f>SupplyCurves_High!A131</f>
        <v>EN_Hydro_KEN_T2</v>
      </c>
      <c r="C134" t="s">
        <v>451</v>
      </c>
      <c r="D134" t="s">
        <v>76</v>
      </c>
      <c r="E134">
        <f>SupplyCurves_High!F131</f>
        <v>1.4</v>
      </c>
      <c r="F134">
        <f>SupplyCurves_High!H131</f>
        <v>269</v>
      </c>
      <c r="H134" t="s">
        <v>452</v>
      </c>
      <c r="I134" t="str">
        <f t="shared" ref="I134:I197" si="2">B134</f>
        <v>EN_Hydro_KEN_T2</v>
      </c>
      <c r="J134" t="str">
        <f>SupplyCurves_High!C131&amp;" -- "&amp;SupplyCurves_High!E131&amp;" -- "&amp;SupplyCurves_High!K131</f>
        <v>Kenya -- T2 -- $0.06-0.08/kWh</v>
      </c>
      <c r="K134" t="s">
        <v>11</v>
      </c>
      <c r="L134" t="s">
        <v>13</v>
      </c>
      <c r="M134" t="s">
        <v>75</v>
      </c>
      <c r="N134" t="s">
        <v>12</v>
      </c>
    </row>
    <row r="135" spans="2:14">
      <c r="B135" t="str">
        <f>SupplyCurves_High!A132</f>
        <v>EN_Hydro_KEN_T3</v>
      </c>
      <c r="C135" t="s">
        <v>451</v>
      </c>
      <c r="D135" t="s">
        <v>76</v>
      </c>
      <c r="E135">
        <f>SupplyCurves_High!F132</f>
        <v>1.2</v>
      </c>
      <c r="F135">
        <f>SupplyCurves_High!H132</f>
        <v>672</v>
      </c>
      <c r="H135" t="s">
        <v>452</v>
      </c>
      <c r="I135" t="str">
        <f t="shared" si="2"/>
        <v>EN_Hydro_KEN_T3</v>
      </c>
      <c r="J135" t="str">
        <f>SupplyCurves_High!C132&amp;" -- "&amp;SupplyCurves_High!E132&amp;" -- "&amp;SupplyCurves_High!K132</f>
        <v>Kenya -- T3 -- $0.08-0.10/kWh</v>
      </c>
      <c r="K135" t="s">
        <v>11</v>
      </c>
      <c r="L135" t="s">
        <v>13</v>
      </c>
      <c r="M135" t="s">
        <v>75</v>
      </c>
      <c r="N135" t="s">
        <v>12</v>
      </c>
    </row>
    <row r="136" spans="2:14">
      <c r="B136" t="str">
        <f>SupplyCurves_High!A133</f>
        <v>EN_Hydro_KEN_T4</v>
      </c>
      <c r="C136" t="s">
        <v>451</v>
      </c>
      <c r="D136" t="s">
        <v>76</v>
      </c>
      <c r="E136">
        <f>SupplyCurves_High!F133</f>
        <v>0.6</v>
      </c>
      <c r="F136">
        <f>SupplyCurves_High!H133</f>
        <v>1210</v>
      </c>
      <c r="H136" t="s">
        <v>452</v>
      </c>
      <c r="I136" t="str">
        <f t="shared" si="2"/>
        <v>EN_Hydro_KEN_T4</v>
      </c>
      <c r="J136" t="str">
        <f>SupplyCurves_High!C133&amp;" -- "&amp;SupplyCurves_High!E133&amp;" -- "&amp;SupplyCurves_High!K133</f>
        <v>Kenya -- T4 -- $0.10-0.14/kWh</v>
      </c>
      <c r="K136" t="s">
        <v>11</v>
      </c>
      <c r="L136" t="s">
        <v>13</v>
      </c>
      <c r="M136" t="s">
        <v>75</v>
      </c>
      <c r="N136" t="s">
        <v>12</v>
      </c>
    </row>
    <row r="137" spans="2:14">
      <c r="B137" t="str">
        <f>SupplyCurves_High!A134</f>
        <v>EN_Hydro_KHM_T1</v>
      </c>
      <c r="C137" t="s">
        <v>451</v>
      </c>
      <c r="D137" t="s">
        <v>76</v>
      </c>
      <c r="E137">
        <f>SupplyCurves_High!F134</f>
        <v>0.1</v>
      </c>
      <c r="F137">
        <f>SupplyCurves_High!H134</f>
        <v>0</v>
      </c>
      <c r="H137" t="s">
        <v>452</v>
      </c>
      <c r="I137" t="str">
        <f t="shared" si="2"/>
        <v>EN_Hydro_KHM_T1</v>
      </c>
      <c r="J137" t="str">
        <f>SupplyCurves_High!C134&amp;" -- "&amp;SupplyCurves_High!E134&amp;" -- "&amp;SupplyCurves_High!K134</f>
        <v>Cambodia -- T1 -- $0.04-0.06/kWh</v>
      </c>
      <c r="K137" t="s">
        <v>11</v>
      </c>
      <c r="L137" t="s">
        <v>13</v>
      </c>
      <c r="M137" t="s">
        <v>75</v>
      </c>
      <c r="N137" t="s">
        <v>12</v>
      </c>
    </row>
    <row r="138" spans="2:14">
      <c r="B138" t="str">
        <f>SupplyCurves_High!A135</f>
        <v>EN_Hydro_KHM_T2</v>
      </c>
      <c r="C138" t="s">
        <v>451</v>
      </c>
      <c r="D138" t="s">
        <v>76</v>
      </c>
      <c r="E138">
        <f>SupplyCurves_High!F135</f>
        <v>0.17499999999999999</v>
      </c>
      <c r="F138">
        <f>SupplyCurves_High!H135</f>
        <v>227</v>
      </c>
      <c r="H138" t="s">
        <v>452</v>
      </c>
      <c r="I138" t="str">
        <f t="shared" si="2"/>
        <v>EN_Hydro_KHM_T2</v>
      </c>
      <c r="J138" t="str">
        <f>SupplyCurves_High!C135&amp;" -- "&amp;SupplyCurves_High!E135&amp;" -- "&amp;SupplyCurves_High!K135</f>
        <v>Cambodia -- T2 -- $0.06-0.08/kWh</v>
      </c>
      <c r="K138" t="s">
        <v>11</v>
      </c>
      <c r="L138" t="s">
        <v>13</v>
      </c>
      <c r="M138" t="s">
        <v>75</v>
      </c>
      <c r="N138" t="s">
        <v>12</v>
      </c>
    </row>
    <row r="139" spans="2:14">
      <c r="B139" t="str">
        <f>SupplyCurves_High!A136</f>
        <v>EN_Hydro_KHM_T3</v>
      </c>
      <c r="C139" t="s">
        <v>451</v>
      </c>
      <c r="D139" t="s">
        <v>76</v>
      </c>
      <c r="E139">
        <f>SupplyCurves_High!F136</f>
        <v>0.15</v>
      </c>
      <c r="F139">
        <f>SupplyCurves_High!H136</f>
        <v>568</v>
      </c>
      <c r="H139" t="s">
        <v>452</v>
      </c>
      <c r="I139" t="str">
        <f t="shared" si="2"/>
        <v>EN_Hydro_KHM_T3</v>
      </c>
      <c r="J139" t="str">
        <f>SupplyCurves_High!C136&amp;" -- "&amp;SupplyCurves_High!E136&amp;" -- "&amp;SupplyCurves_High!K136</f>
        <v>Cambodia -- T3 -- $0.08-0.10/kWh</v>
      </c>
      <c r="K139" t="s">
        <v>11</v>
      </c>
      <c r="L139" t="s">
        <v>13</v>
      </c>
      <c r="M139" t="s">
        <v>75</v>
      </c>
      <c r="N139" t="s">
        <v>12</v>
      </c>
    </row>
    <row r="140" spans="2:14">
      <c r="B140" t="str">
        <f>SupplyCurves_High!A137</f>
        <v>EN_Hydro_KHM_T4</v>
      </c>
      <c r="C140" t="s">
        <v>451</v>
      </c>
      <c r="D140" t="s">
        <v>76</v>
      </c>
      <c r="E140">
        <f>SupplyCurves_High!F137</f>
        <v>7.4999999999999997E-2</v>
      </c>
      <c r="F140">
        <f>SupplyCurves_High!H137</f>
        <v>1023</v>
      </c>
      <c r="H140" t="s">
        <v>452</v>
      </c>
      <c r="I140" t="str">
        <f t="shared" si="2"/>
        <v>EN_Hydro_KHM_T4</v>
      </c>
      <c r="J140" t="str">
        <f>SupplyCurves_High!C137&amp;" -- "&amp;SupplyCurves_High!E137&amp;" -- "&amp;SupplyCurves_High!K137</f>
        <v>Cambodia -- T4 -- $0.10-0.14/kWh</v>
      </c>
      <c r="K140" t="s">
        <v>11</v>
      </c>
      <c r="L140" t="s">
        <v>13</v>
      </c>
      <c r="M140" t="s">
        <v>75</v>
      </c>
      <c r="N140" t="s">
        <v>12</v>
      </c>
    </row>
    <row r="141" spans="2:14">
      <c r="B141" t="str">
        <f>SupplyCurves_High!A138</f>
        <v>EN_Hydro_GUY_T1</v>
      </c>
      <c r="C141" t="s">
        <v>451</v>
      </c>
      <c r="D141" t="s">
        <v>76</v>
      </c>
      <c r="E141">
        <f>SupplyCurves_High!F138</f>
        <v>0.48</v>
      </c>
      <c r="F141">
        <f>SupplyCurves_High!H138</f>
        <v>0</v>
      </c>
      <c r="H141" t="s">
        <v>452</v>
      </c>
      <c r="I141" t="str">
        <f t="shared" si="2"/>
        <v>EN_Hydro_GUY_T1</v>
      </c>
      <c r="J141" t="str">
        <f>SupplyCurves_High!C138&amp;" -- "&amp;SupplyCurves_High!E138&amp;" -- "&amp;SupplyCurves_High!K138</f>
        <v>Guyana -- T1 -- $0.04-0.06/kWh</v>
      </c>
      <c r="K141" t="s">
        <v>11</v>
      </c>
      <c r="L141" t="s">
        <v>13</v>
      </c>
      <c r="M141" t="s">
        <v>75</v>
      </c>
      <c r="N141" t="s">
        <v>12</v>
      </c>
    </row>
    <row r="142" spans="2:14">
      <c r="B142" t="str">
        <f>SupplyCurves_High!A139</f>
        <v>EN_Hydro_GUY_T2</v>
      </c>
      <c r="C142" t="s">
        <v>451</v>
      </c>
      <c r="D142" t="s">
        <v>76</v>
      </c>
      <c r="E142">
        <f>SupplyCurves_High!F139</f>
        <v>0.84</v>
      </c>
      <c r="F142">
        <f>SupplyCurves_High!H139</f>
        <v>307</v>
      </c>
      <c r="H142" t="s">
        <v>452</v>
      </c>
      <c r="I142" t="str">
        <f t="shared" si="2"/>
        <v>EN_Hydro_GUY_T2</v>
      </c>
      <c r="J142" t="str">
        <f>SupplyCurves_High!C139&amp;" -- "&amp;SupplyCurves_High!E139&amp;" -- "&amp;SupplyCurves_High!K139</f>
        <v>Guyana -- T2 -- $0.06-0.08/kWh</v>
      </c>
      <c r="K142" t="s">
        <v>11</v>
      </c>
      <c r="L142" t="s">
        <v>13</v>
      </c>
      <c r="M142" t="s">
        <v>75</v>
      </c>
      <c r="N142" t="s">
        <v>12</v>
      </c>
    </row>
    <row r="143" spans="2:14">
      <c r="B143" t="str">
        <f>SupplyCurves_High!A140</f>
        <v>EN_Hydro_GUY_T3</v>
      </c>
      <c r="C143" t="s">
        <v>451</v>
      </c>
      <c r="D143" t="s">
        <v>76</v>
      </c>
      <c r="E143">
        <f>SupplyCurves_High!F140</f>
        <v>0.72</v>
      </c>
      <c r="F143">
        <f>SupplyCurves_High!H140</f>
        <v>768</v>
      </c>
      <c r="H143" t="s">
        <v>452</v>
      </c>
      <c r="I143" t="str">
        <f t="shared" si="2"/>
        <v>EN_Hydro_GUY_T3</v>
      </c>
      <c r="J143" t="str">
        <f>SupplyCurves_High!C140&amp;" -- "&amp;SupplyCurves_High!E140&amp;" -- "&amp;SupplyCurves_High!K140</f>
        <v>Guyana -- T3 -- $0.08-0.10/kWh</v>
      </c>
      <c r="K143" t="s">
        <v>11</v>
      </c>
      <c r="L143" t="s">
        <v>13</v>
      </c>
      <c r="M143" t="s">
        <v>75</v>
      </c>
      <c r="N143" t="s">
        <v>12</v>
      </c>
    </row>
    <row r="144" spans="2:14">
      <c r="B144" t="str">
        <f>SupplyCurves_High!A141</f>
        <v>EN_Hydro_GUY_T4</v>
      </c>
      <c r="C144" t="s">
        <v>451</v>
      </c>
      <c r="D144" t="s">
        <v>76</v>
      </c>
      <c r="E144">
        <f>SupplyCurves_High!F141</f>
        <v>0.36</v>
      </c>
      <c r="F144">
        <f>SupplyCurves_High!H141</f>
        <v>1383</v>
      </c>
      <c r="H144" t="s">
        <v>452</v>
      </c>
      <c r="I144" t="str">
        <f t="shared" si="2"/>
        <v>EN_Hydro_GUY_T4</v>
      </c>
      <c r="J144" t="str">
        <f>SupplyCurves_High!C141&amp;" -- "&amp;SupplyCurves_High!E141&amp;" -- "&amp;SupplyCurves_High!K141</f>
        <v>Guyana -- T4 -- $0.10-0.14/kWh</v>
      </c>
      <c r="K144" t="s">
        <v>11</v>
      </c>
      <c r="L144" t="s">
        <v>13</v>
      </c>
      <c r="M144" t="s">
        <v>75</v>
      </c>
      <c r="N144" t="s">
        <v>12</v>
      </c>
    </row>
    <row r="145" spans="2:14">
      <c r="B145" t="str">
        <f>SupplyCurves_High!A142</f>
        <v>EN_Hydro_AFG_T1</v>
      </c>
      <c r="C145" t="s">
        <v>451</v>
      </c>
      <c r="D145" t="s">
        <v>76</v>
      </c>
      <c r="E145">
        <f>SupplyCurves_High!F142</f>
        <v>0.4</v>
      </c>
      <c r="F145">
        <f>SupplyCurves_High!H142</f>
        <v>0</v>
      </c>
      <c r="H145" t="s">
        <v>452</v>
      </c>
      <c r="I145" t="str">
        <f t="shared" si="2"/>
        <v>EN_Hydro_AFG_T1</v>
      </c>
      <c r="J145" t="str">
        <f>SupplyCurves_High!C142&amp;" -- "&amp;SupplyCurves_High!E142&amp;" -- "&amp;SupplyCurves_High!K142</f>
        <v>Afghanistan -- T1 -- $0.04-0.06/kWh</v>
      </c>
      <c r="K145" t="s">
        <v>11</v>
      </c>
      <c r="L145" t="s">
        <v>13</v>
      </c>
      <c r="M145" t="s">
        <v>75</v>
      </c>
      <c r="N145" t="s">
        <v>12</v>
      </c>
    </row>
    <row r="146" spans="2:14">
      <c r="B146" t="str">
        <f>SupplyCurves_High!A143</f>
        <v>EN_Hydro_AFG_T2</v>
      </c>
      <c r="C146" t="s">
        <v>451</v>
      </c>
      <c r="D146" t="s">
        <v>76</v>
      </c>
      <c r="E146">
        <f>SupplyCurves_High!F143</f>
        <v>0.7</v>
      </c>
      <c r="F146">
        <f>SupplyCurves_High!H143</f>
        <v>259</v>
      </c>
      <c r="H146" t="s">
        <v>452</v>
      </c>
      <c r="I146" t="str">
        <f t="shared" si="2"/>
        <v>EN_Hydro_AFG_T2</v>
      </c>
      <c r="J146" t="str">
        <f>SupplyCurves_High!C143&amp;" -- "&amp;SupplyCurves_High!E143&amp;" -- "&amp;SupplyCurves_High!K143</f>
        <v>Afghanistan -- T2 -- $0.06-0.08/kWh</v>
      </c>
      <c r="K146" t="s">
        <v>11</v>
      </c>
      <c r="L146" t="s">
        <v>13</v>
      </c>
      <c r="M146" t="s">
        <v>75</v>
      </c>
      <c r="N146" t="s">
        <v>12</v>
      </c>
    </row>
    <row r="147" spans="2:14">
      <c r="B147" t="str">
        <f>SupplyCurves_High!A144</f>
        <v>EN_Hydro_AFG_T3</v>
      </c>
      <c r="C147" t="s">
        <v>451</v>
      </c>
      <c r="D147" t="s">
        <v>76</v>
      </c>
      <c r="E147">
        <f>SupplyCurves_High!F144</f>
        <v>0.6</v>
      </c>
      <c r="F147">
        <f>SupplyCurves_High!H144</f>
        <v>646</v>
      </c>
      <c r="H147" t="s">
        <v>452</v>
      </c>
      <c r="I147" t="str">
        <f t="shared" si="2"/>
        <v>EN_Hydro_AFG_T3</v>
      </c>
      <c r="J147" t="str">
        <f>SupplyCurves_High!C144&amp;" -- "&amp;SupplyCurves_High!E144&amp;" -- "&amp;SupplyCurves_High!K144</f>
        <v>Afghanistan -- T3 -- $0.08-0.10/kWh</v>
      </c>
      <c r="K147" t="s">
        <v>11</v>
      </c>
      <c r="L147" t="s">
        <v>13</v>
      </c>
      <c r="M147" t="s">
        <v>75</v>
      </c>
      <c r="N147" t="s">
        <v>12</v>
      </c>
    </row>
    <row r="148" spans="2:14">
      <c r="B148" t="str">
        <f>SupplyCurves_High!A145</f>
        <v>EN_Hydro_AFG_T4</v>
      </c>
      <c r="C148" t="s">
        <v>451</v>
      </c>
      <c r="D148" t="s">
        <v>76</v>
      </c>
      <c r="E148">
        <f>SupplyCurves_High!F145</f>
        <v>0.3</v>
      </c>
      <c r="F148">
        <f>SupplyCurves_High!H145</f>
        <v>1163</v>
      </c>
      <c r="H148" t="s">
        <v>452</v>
      </c>
      <c r="I148" t="str">
        <f t="shared" si="2"/>
        <v>EN_Hydro_AFG_T4</v>
      </c>
      <c r="J148" t="str">
        <f>SupplyCurves_High!C145&amp;" -- "&amp;SupplyCurves_High!E145&amp;" -- "&amp;SupplyCurves_High!K145</f>
        <v>Afghanistan -- T4 -- $0.10-0.14/kWh</v>
      </c>
      <c r="K148" t="s">
        <v>11</v>
      </c>
      <c r="L148" t="s">
        <v>13</v>
      </c>
      <c r="M148" t="s">
        <v>75</v>
      </c>
      <c r="N148" t="s">
        <v>12</v>
      </c>
    </row>
    <row r="149" spans="2:14">
      <c r="B149" t="str">
        <f>SupplyCurves_High!A146</f>
        <v>EN_Hydro_COG_T1</v>
      </c>
      <c r="C149" t="s">
        <v>451</v>
      </c>
      <c r="D149" t="s">
        <v>76</v>
      </c>
      <c r="E149">
        <f>SupplyCurves_High!F146</f>
        <v>0.44</v>
      </c>
      <c r="F149">
        <f>SupplyCurves_High!H146</f>
        <v>0</v>
      </c>
      <c r="H149" t="s">
        <v>452</v>
      </c>
      <c r="I149" t="str">
        <f t="shared" si="2"/>
        <v>EN_Hydro_COG_T1</v>
      </c>
      <c r="J149" t="str">
        <f>SupplyCurves_High!C146&amp;" -- "&amp;SupplyCurves_High!E146&amp;" -- "&amp;SupplyCurves_High!K146</f>
        <v>Congo -- T1 -- $0.04-0.06/kWh</v>
      </c>
      <c r="K149" t="s">
        <v>11</v>
      </c>
      <c r="L149" t="s">
        <v>13</v>
      </c>
      <c r="M149" t="s">
        <v>75</v>
      </c>
      <c r="N149" t="s">
        <v>12</v>
      </c>
    </row>
    <row r="150" spans="2:14">
      <c r="B150" t="str">
        <f>SupplyCurves_High!A147</f>
        <v>EN_Hydro_COG_T2</v>
      </c>
      <c r="C150" t="s">
        <v>451</v>
      </c>
      <c r="D150" t="s">
        <v>76</v>
      </c>
      <c r="E150">
        <f>SupplyCurves_High!F147</f>
        <v>0.77</v>
      </c>
      <c r="F150">
        <f>SupplyCurves_High!H147</f>
        <v>269</v>
      </c>
      <c r="H150" t="s">
        <v>452</v>
      </c>
      <c r="I150" t="str">
        <f t="shared" si="2"/>
        <v>EN_Hydro_COG_T2</v>
      </c>
      <c r="J150" t="str">
        <f>SupplyCurves_High!C147&amp;" -- "&amp;SupplyCurves_High!E147&amp;" -- "&amp;SupplyCurves_High!K147</f>
        <v>Congo -- T2 -- $0.06-0.08/kWh</v>
      </c>
      <c r="K150" t="s">
        <v>11</v>
      </c>
      <c r="L150" t="s">
        <v>13</v>
      </c>
      <c r="M150" t="s">
        <v>75</v>
      </c>
      <c r="N150" t="s">
        <v>12</v>
      </c>
    </row>
    <row r="151" spans="2:14">
      <c r="B151" t="str">
        <f>SupplyCurves_High!A148</f>
        <v>EN_Hydro_COG_T3</v>
      </c>
      <c r="C151" t="s">
        <v>451</v>
      </c>
      <c r="D151" t="s">
        <v>76</v>
      </c>
      <c r="E151">
        <f>SupplyCurves_High!F148</f>
        <v>0.66</v>
      </c>
      <c r="F151">
        <f>SupplyCurves_High!H148</f>
        <v>672</v>
      </c>
      <c r="H151" t="s">
        <v>452</v>
      </c>
      <c r="I151" t="str">
        <f t="shared" si="2"/>
        <v>EN_Hydro_COG_T3</v>
      </c>
      <c r="J151" t="str">
        <f>SupplyCurves_High!C148&amp;" -- "&amp;SupplyCurves_High!E148&amp;" -- "&amp;SupplyCurves_High!K148</f>
        <v>Congo -- T3 -- $0.08-0.10/kWh</v>
      </c>
      <c r="K151" t="s">
        <v>11</v>
      </c>
      <c r="L151" t="s">
        <v>13</v>
      </c>
      <c r="M151" t="s">
        <v>75</v>
      </c>
      <c r="N151" t="s">
        <v>12</v>
      </c>
    </row>
    <row r="152" spans="2:14">
      <c r="B152" t="str">
        <f>SupplyCurves_High!A149</f>
        <v>EN_Hydro_COG_T4</v>
      </c>
      <c r="C152" t="s">
        <v>451</v>
      </c>
      <c r="D152" t="s">
        <v>76</v>
      </c>
      <c r="E152">
        <f>SupplyCurves_High!F149</f>
        <v>0.33</v>
      </c>
      <c r="F152">
        <f>SupplyCurves_High!H149</f>
        <v>1210</v>
      </c>
      <c r="H152" t="s">
        <v>452</v>
      </c>
      <c r="I152" t="str">
        <f t="shared" si="2"/>
        <v>EN_Hydro_COG_T4</v>
      </c>
      <c r="J152" t="str">
        <f>SupplyCurves_High!C149&amp;" -- "&amp;SupplyCurves_High!E149&amp;" -- "&amp;SupplyCurves_High!K149</f>
        <v>Congo -- T4 -- $0.10-0.14/kWh</v>
      </c>
      <c r="K152" t="s">
        <v>11</v>
      </c>
      <c r="L152" t="s">
        <v>13</v>
      </c>
      <c r="M152" t="s">
        <v>75</v>
      </c>
      <c r="N152" t="s">
        <v>12</v>
      </c>
    </row>
    <row r="153" spans="2:14">
      <c r="B153" t="str">
        <f>SupplyCurves_High!A150</f>
        <v>EN_Hydro_GIN_T1</v>
      </c>
      <c r="C153" t="s">
        <v>451</v>
      </c>
      <c r="D153" t="s">
        <v>76</v>
      </c>
      <c r="E153">
        <f>SupplyCurves_High!F150</f>
        <v>0.4</v>
      </c>
      <c r="F153">
        <f>SupplyCurves_High!H150</f>
        <v>0</v>
      </c>
      <c r="H153" t="s">
        <v>452</v>
      </c>
      <c r="I153" t="str">
        <f t="shared" si="2"/>
        <v>EN_Hydro_GIN_T1</v>
      </c>
      <c r="J153" t="str">
        <f>SupplyCurves_High!C150&amp;" -- "&amp;SupplyCurves_High!E150&amp;" -- "&amp;SupplyCurves_High!K150</f>
        <v>Guinea -- T1 -- $0.04-0.06/kWh</v>
      </c>
      <c r="K153" t="s">
        <v>11</v>
      </c>
      <c r="L153" t="s">
        <v>13</v>
      </c>
      <c r="M153" t="s">
        <v>75</v>
      </c>
      <c r="N153" t="s">
        <v>12</v>
      </c>
    </row>
    <row r="154" spans="2:14">
      <c r="B154" t="str">
        <f>SupplyCurves_High!A151</f>
        <v>EN_Hydro_GIN_T2</v>
      </c>
      <c r="C154" t="s">
        <v>451</v>
      </c>
      <c r="D154" t="s">
        <v>76</v>
      </c>
      <c r="E154">
        <f>SupplyCurves_High!F151</f>
        <v>0.7</v>
      </c>
      <c r="F154">
        <f>SupplyCurves_High!H151</f>
        <v>269</v>
      </c>
      <c r="H154" t="s">
        <v>452</v>
      </c>
      <c r="I154" t="str">
        <f t="shared" si="2"/>
        <v>EN_Hydro_GIN_T2</v>
      </c>
      <c r="J154" t="str">
        <f>SupplyCurves_High!C151&amp;" -- "&amp;SupplyCurves_High!E151&amp;" -- "&amp;SupplyCurves_High!K151</f>
        <v>Guinea -- T2 -- $0.06-0.08/kWh</v>
      </c>
      <c r="K154" t="s">
        <v>11</v>
      </c>
      <c r="L154" t="s">
        <v>13</v>
      </c>
      <c r="M154" t="s">
        <v>75</v>
      </c>
      <c r="N154" t="s">
        <v>12</v>
      </c>
    </row>
    <row r="155" spans="2:14">
      <c r="B155" t="str">
        <f>SupplyCurves_High!A152</f>
        <v>EN_Hydro_GIN_T3</v>
      </c>
      <c r="C155" t="s">
        <v>451</v>
      </c>
      <c r="D155" t="s">
        <v>76</v>
      </c>
      <c r="E155">
        <f>SupplyCurves_High!F152</f>
        <v>0.6</v>
      </c>
      <c r="F155">
        <f>SupplyCurves_High!H152</f>
        <v>672</v>
      </c>
      <c r="H155" t="s">
        <v>452</v>
      </c>
      <c r="I155" t="str">
        <f t="shared" si="2"/>
        <v>EN_Hydro_GIN_T3</v>
      </c>
      <c r="J155" t="str">
        <f>SupplyCurves_High!C152&amp;" -- "&amp;SupplyCurves_High!E152&amp;" -- "&amp;SupplyCurves_High!K152</f>
        <v>Guinea -- T3 -- $0.08-0.10/kWh</v>
      </c>
      <c r="K155" t="s">
        <v>11</v>
      </c>
      <c r="L155" t="s">
        <v>13</v>
      </c>
      <c r="M155" t="s">
        <v>75</v>
      </c>
      <c r="N155" t="s">
        <v>12</v>
      </c>
    </row>
    <row r="156" spans="2:14">
      <c r="B156" t="str">
        <f>SupplyCurves_High!A153</f>
        <v>EN_Hydro_GIN_T4</v>
      </c>
      <c r="C156" t="s">
        <v>451</v>
      </c>
      <c r="D156" t="s">
        <v>76</v>
      </c>
      <c r="E156">
        <f>SupplyCurves_High!F153</f>
        <v>0.3</v>
      </c>
      <c r="F156">
        <f>SupplyCurves_High!H153</f>
        <v>1210</v>
      </c>
      <c r="H156" t="s">
        <v>452</v>
      </c>
      <c r="I156" t="str">
        <f t="shared" si="2"/>
        <v>EN_Hydro_GIN_T4</v>
      </c>
      <c r="J156" t="str">
        <f>SupplyCurves_High!C153&amp;" -- "&amp;SupplyCurves_High!E153&amp;" -- "&amp;SupplyCurves_High!K153</f>
        <v>Guinea -- T4 -- $0.10-0.14/kWh</v>
      </c>
      <c r="K156" t="s">
        <v>11</v>
      </c>
      <c r="L156" t="s">
        <v>13</v>
      </c>
      <c r="M156" t="s">
        <v>75</v>
      </c>
      <c r="N156" t="s">
        <v>12</v>
      </c>
    </row>
    <row r="157" spans="2:14">
      <c r="B157" t="str">
        <f>SupplyCurves_High!A154</f>
        <v>EN_Hydro_GAB_T1</v>
      </c>
      <c r="C157" t="s">
        <v>451</v>
      </c>
      <c r="D157" t="s">
        <v>76</v>
      </c>
      <c r="E157">
        <f>SupplyCurves_High!F154</f>
        <v>0.34</v>
      </c>
      <c r="F157">
        <f>SupplyCurves_High!H154</f>
        <v>0</v>
      </c>
      <c r="H157" t="s">
        <v>452</v>
      </c>
      <c r="I157" t="str">
        <f t="shared" si="2"/>
        <v>EN_Hydro_GAB_T1</v>
      </c>
      <c r="J157" t="str">
        <f>SupplyCurves_High!C154&amp;" -- "&amp;SupplyCurves_High!E154&amp;" -- "&amp;SupplyCurves_High!K154</f>
        <v>Gabon -- T1 -- $0.04-0.06/kWh</v>
      </c>
      <c r="K157" t="s">
        <v>11</v>
      </c>
      <c r="L157" t="s">
        <v>13</v>
      </c>
      <c r="M157" t="s">
        <v>75</v>
      </c>
      <c r="N157" t="s">
        <v>12</v>
      </c>
    </row>
    <row r="158" spans="2:14">
      <c r="B158" t="str">
        <f>SupplyCurves_High!A155</f>
        <v>EN_Hydro_GAB_T2</v>
      </c>
      <c r="C158" t="s">
        <v>451</v>
      </c>
      <c r="D158" t="s">
        <v>76</v>
      </c>
      <c r="E158">
        <f>SupplyCurves_High!F155</f>
        <v>0.59499999999999997</v>
      </c>
      <c r="F158">
        <f>SupplyCurves_High!H155</f>
        <v>269</v>
      </c>
      <c r="H158" t="s">
        <v>452</v>
      </c>
      <c r="I158" t="str">
        <f t="shared" si="2"/>
        <v>EN_Hydro_GAB_T2</v>
      </c>
      <c r="J158" t="str">
        <f>SupplyCurves_High!C155&amp;" -- "&amp;SupplyCurves_High!E155&amp;" -- "&amp;SupplyCurves_High!K155</f>
        <v>Gabon -- T2 -- $0.06-0.08/kWh</v>
      </c>
      <c r="K158" t="s">
        <v>11</v>
      </c>
      <c r="L158" t="s">
        <v>13</v>
      </c>
      <c r="M158" t="s">
        <v>75</v>
      </c>
      <c r="N158" t="s">
        <v>12</v>
      </c>
    </row>
    <row r="159" spans="2:14">
      <c r="B159" t="str">
        <f>SupplyCurves_High!A156</f>
        <v>EN_Hydro_GAB_T3</v>
      </c>
      <c r="C159" t="s">
        <v>451</v>
      </c>
      <c r="D159" t="s">
        <v>76</v>
      </c>
      <c r="E159">
        <f>SupplyCurves_High!F156</f>
        <v>0.51</v>
      </c>
      <c r="F159">
        <f>SupplyCurves_High!H156</f>
        <v>672</v>
      </c>
      <c r="H159" t="s">
        <v>452</v>
      </c>
      <c r="I159" t="str">
        <f t="shared" si="2"/>
        <v>EN_Hydro_GAB_T3</v>
      </c>
      <c r="J159" t="str">
        <f>SupplyCurves_High!C156&amp;" -- "&amp;SupplyCurves_High!E156&amp;" -- "&amp;SupplyCurves_High!K156</f>
        <v>Gabon -- T3 -- $0.08-0.10/kWh</v>
      </c>
      <c r="K159" t="s">
        <v>11</v>
      </c>
      <c r="L159" t="s">
        <v>13</v>
      </c>
      <c r="M159" t="s">
        <v>75</v>
      </c>
      <c r="N159" t="s">
        <v>12</v>
      </c>
    </row>
    <row r="160" spans="2:14">
      <c r="B160" t="str">
        <f>SupplyCurves_High!A157</f>
        <v>EN_Hydro_GAB_T4</v>
      </c>
      <c r="C160" t="s">
        <v>451</v>
      </c>
      <c r="D160" t="s">
        <v>76</v>
      </c>
      <c r="E160">
        <f>SupplyCurves_High!F157</f>
        <v>0.255</v>
      </c>
      <c r="F160">
        <f>SupplyCurves_High!H157</f>
        <v>1210</v>
      </c>
      <c r="H160" t="s">
        <v>452</v>
      </c>
      <c r="I160" t="str">
        <f t="shared" si="2"/>
        <v>EN_Hydro_GAB_T4</v>
      </c>
      <c r="J160" t="str">
        <f>SupplyCurves_High!C157&amp;" -- "&amp;SupplyCurves_High!E157&amp;" -- "&amp;SupplyCurves_High!K157</f>
        <v>Gabon -- T4 -- $0.10-0.14/kWh</v>
      </c>
      <c r="K160" t="s">
        <v>11</v>
      </c>
      <c r="L160" t="s">
        <v>13</v>
      </c>
      <c r="M160" t="s">
        <v>75</v>
      </c>
      <c r="N160" t="s">
        <v>12</v>
      </c>
    </row>
    <row r="161" spans="2:14">
      <c r="B161" t="str">
        <f>SupplyCurves_High!A158</f>
        <v>EN_Hydro_SDN_T1</v>
      </c>
      <c r="C161" t="s">
        <v>451</v>
      </c>
      <c r="D161" t="s">
        <v>76</v>
      </c>
      <c r="E161">
        <f>SupplyCurves_High!F158</f>
        <v>0.04</v>
      </c>
      <c r="F161">
        <f>SupplyCurves_High!H158</f>
        <v>0</v>
      </c>
      <c r="H161" t="s">
        <v>452</v>
      </c>
      <c r="I161" t="str">
        <f t="shared" si="2"/>
        <v>EN_Hydro_SDN_T1</v>
      </c>
      <c r="J161" t="str">
        <f>SupplyCurves_High!C158&amp;" -- "&amp;SupplyCurves_High!E158&amp;" -- "&amp;SupplyCurves_High!K158</f>
        <v>Sudan -- T1 -- $0.04-0.06/kWh</v>
      </c>
      <c r="K161" t="s">
        <v>11</v>
      </c>
      <c r="L161" t="s">
        <v>13</v>
      </c>
      <c r="M161" t="s">
        <v>75</v>
      </c>
      <c r="N161" t="s">
        <v>12</v>
      </c>
    </row>
    <row r="162" spans="2:14">
      <c r="B162" t="str">
        <f>SupplyCurves_High!A159</f>
        <v>EN_Hydro_SDN_T2</v>
      </c>
      <c r="C162" t="s">
        <v>451</v>
      </c>
      <c r="D162" t="s">
        <v>76</v>
      </c>
      <c r="E162">
        <f>SupplyCurves_High!F159</f>
        <v>7.0000000000000007E-2</v>
      </c>
      <c r="F162">
        <f>SupplyCurves_High!H159</f>
        <v>269</v>
      </c>
      <c r="H162" t="s">
        <v>452</v>
      </c>
      <c r="I162" t="str">
        <f t="shared" si="2"/>
        <v>EN_Hydro_SDN_T2</v>
      </c>
      <c r="J162" t="str">
        <f>SupplyCurves_High!C159&amp;" -- "&amp;SupplyCurves_High!E159&amp;" -- "&amp;SupplyCurves_High!K159</f>
        <v>Sudan -- T2 -- $0.06-0.08/kWh</v>
      </c>
      <c r="K162" t="s">
        <v>11</v>
      </c>
      <c r="L162" t="s">
        <v>13</v>
      </c>
      <c r="M162" t="s">
        <v>75</v>
      </c>
      <c r="N162" t="s">
        <v>12</v>
      </c>
    </row>
    <row r="163" spans="2:14">
      <c r="B163" t="str">
        <f>SupplyCurves_High!A160</f>
        <v>EN_Hydro_SDN_T3</v>
      </c>
      <c r="C163" t="s">
        <v>451</v>
      </c>
      <c r="D163" t="s">
        <v>76</v>
      </c>
      <c r="E163">
        <f>SupplyCurves_High!F160</f>
        <v>0.06</v>
      </c>
      <c r="F163">
        <f>SupplyCurves_High!H160</f>
        <v>672</v>
      </c>
      <c r="H163" t="s">
        <v>452</v>
      </c>
      <c r="I163" t="str">
        <f t="shared" si="2"/>
        <v>EN_Hydro_SDN_T3</v>
      </c>
      <c r="J163" t="str">
        <f>SupplyCurves_High!C160&amp;" -- "&amp;SupplyCurves_High!E160&amp;" -- "&amp;SupplyCurves_High!K160</f>
        <v>Sudan -- T3 -- $0.08-0.10/kWh</v>
      </c>
      <c r="K163" t="s">
        <v>11</v>
      </c>
      <c r="L163" t="s">
        <v>13</v>
      </c>
      <c r="M163" t="s">
        <v>75</v>
      </c>
      <c r="N163" t="s">
        <v>12</v>
      </c>
    </row>
    <row r="164" spans="2:14">
      <c r="B164" t="str">
        <f>SupplyCurves_High!A161</f>
        <v>EN_Hydro_SDN_T4</v>
      </c>
      <c r="C164" t="s">
        <v>451</v>
      </c>
      <c r="D164" t="s">
        <v>76</v>
      </c>
      <c r="E164">
        <f>SupplyCurves_High!F161</f>
        <v>0.03</v>
      </c>
      <c r="F164">
        <f>SupplyCurves_High!H161</f>
        <v>1210</v>
      </c>
      <c r="H164" t="s">
        <v>452</v>
      </c>
      <c r="I164" t="str">
        <f t="shared" si="2"/>
        <v>EN_Hydro_SDN_T4</v>
      </c>
      <c r="J164" t="str">
        <f>SupplyCurves_High!C161&amp;" -- "&amp;SupplyCurves_High!E161&amp;" -- "&amp;SupplyCurves_High!K161</f>
        <v>Sudan -- T4 -- $0.10-0.14/kWh</v>
      </c>
      <c r="K164" t="s">
        <v>11</v>
      </c>
      <c r="L164" t="s">
        <v>13</v>
      </c>
      <c r="M164" t="s">
        <v>75</v>
      </c>
      <c r="N164" t="s">
        <v>12</v>
      </c>
    </row>
    <row r="165" spans="2:14">
      <c r="B165" t="str">
        <f>SupplyCurves_High!A162</f>
        <v>EN_Hydro_GTM_T1</v>
      </c>
      <c r="C165" t="s">
        <v>451</v>
      </c>
      <c r="D165" t="s">
        <v>76</v>
      </c>
      <c r="E165">
        <f>SupplyCurves_High!F162</f>
        <v>0.18</v>
      </c>
      <c r="F165">
        <f>SupplyCurves_High!H162</f>
        <v>0</v>
      </c>
      <c r="H165" t="s">
        <v>452</v>
      </c>
      <c r="I165" t="str">
        <f t="shared" si="2"/>
        <v>EN_Hydro_GTM_T1</v>
      </c>
      <c r="J165" t="str">
        <f>SupplyCurves_High!C162&amp;" -- "&amp;SupplyCurves_High!E162&amp;" -- "&amp;SupplyCurves_High!K162</f>
        <v>Guatemala -- T1 -- $0.04-0.06/kWh</v>
      </c>
      <c r="K165" t="s">
        <v>11</v>
      </c>
      <c r="L165" t="s">
        <v>13</v>
      </c>
      <c r="M165" t="s">
        <v>75</v>
      </c>
      <c r="N165" t="s">
        <v>12</v>
      </c>
    </row>
    <row r="166" spans="2:14">
      <c r="B166" t="str">
        <f>SupplyCurves_High!A163</f>
        <v>EN_Hydro_GTM_T2</v>
      </c>
      <c r="C166" t="s">
        <v>451</v>
      </c>
      <c r="D166" t="s">
        <v>76</v>
      </c>
      <c r="E166">
        <f>SupplyCurves_High!F163</f>
        <v>0.315</v>
      </c>
      <c r="F166">
        <f>SupplyCurves_High!H163</f>
        <v>307</v>
      </c>
      <c r="H166" t="s">
        <v>452</v>
      </c>
      <c r="I166" t="str">
        <f t="shared" si="2"/>
        <v>EN_Hydro_GTM_T2</v>
      </c>
      <c r="J166" t="str">
        <f>SupplyCurves_High!C163&amp;" -- "&amp;SupplyCurves_High!E163&amp;" -- "&amp;SupplyCurves_High!K163</f>
        <v>Guatemala -- T2 -- $0.06-0.08/kWh</v>
      </c>
      <c r="K166" t="s">
        <v>11</v>
      </c>
      <c r="L166" t="s">
        <v>13</v>
      </c>
      <c r="M166" t="s">
        <v>75</v>
      </c>
      <c r="N166" t="s">
        <v>12</v>
      </c>
    </row>
    <row r="167" spans="2:14">
      <c r="B167" t="str">
        <f>SupplyCurves_High!A164</f>
        <v>EN_Hydro_GTM_T3</v>
      </c>
      <c r="C167" t="s">
        <v>451</v>
      </c>
      <c r="D167" t="s">
        <v>76</v>
      </c>
      <c r="E167">
        <f>SupplyCurves_High!F164</f>
        <v>0.27</v>
      </c>
      <c r="F167">
        <f>SupplyCurves_High!H164</f>
        <v>768</v>
      </c>
      <c r="H167" t="s">
        <v>452</v>
      </c>
      <c r="I167" t="str">
        <f t="shared" si="2"/>
        <v>EN_Hydro_GTM_T3</v>
      </c>
      <c r="J167" t="str">
        <f>SupplyCurves_High!C164&amp;" -- "&amp;SupplyCurves_High!E164&amp;" -- "&amp;SupplyCurves_High!K164</f>
        <v>Guatemala -- T3 -- $0.08-0.10/kWh</v>
      </c>
      <c r="K167" t="s">
        <v>11</v>
      </c>
      <c r="L167" t="s">
        <v>13</v>
      </c>
      <c r="M167" t="s">
        <v>75</v>
      </c>
      <c r="N167" t="s">
        <v>12</v>
      </c>
    </row>
    <row r="168" spans="2:14">
      <c r="B168" t="str">
        <f>SupplyCurves_High!A165</f>
        <v>EN_Hydro_GTM_T4</v>
      </c>
      <c r="C168" t="s">
        <v>451</v>
      </c>
      <c r="D168" t="s">
        <v>76</v>
      </c>
      <c r="E168">
        <f>SupplyCurves_High!F165</f>
        <v>0.13500000000000001</v>
      </c>
      <c r="F168">
        <f>SupplyCurves_High!H165</f>
        <v>1383</v>
      </c>
      <c r="H168" t="s">
        <v>452</v>
      </c>
      <c r="I168" t="str">
        <f t="shared" si="2"/>
        <v>EN_Hydro_GTM_T4</v>
      </c>
      <c r="J168" t="str">
        <f>SupplyCurves_High!C165&amp;" -- "&amp;SupplyCurves_High!E165&amp;" -- "&amp;SupplyCurves_High!K165</f>
        <v>Guatemala -- T4 -- $0.10-0.14/kWh</v>
      </c>
      <c r="K168" t="s">
        <v>11</v>
      </c>
      <c r="L168" t="s">
        <v>13</v>
      </c>
      <c r="M168" t="s">
        <v>75</v>
      </c>
      <c r="N168" t="s">
        <v>12</v>
      </c>
    </row>
    <row r="169" spans="2:14">
      <c r="B169" t="str">
        <f>SupplyCurves_High!A166</f>
        <v>EN_Hydro_SUR_T1</v>
      </c>
      <c r="C169" t="s">
        <v>451</v>
      </c>
      <c r="D169" t="s">
        <v>76</v>
      </c>
      <c r="E169">
        <f>SupplyCurves_High!F166</f>
        <v>0.34</v>
      </c>
      <c r="F169">
        <f>SupplyCurves_High!H166</f>
        <v>0</v>
      </c>
      <c r="H169" t="s">
        <v>452</v>
      </c>
      <c r="I169" t="str">
        <f t="shared" si="2"/>
        <v>EN_Hydro_SUR_T1</v>
      </c>
      <c r="J169" t="str">
        <f>SupplyCurves_High!C166&amp;" -- "&amp;SupplyCurves_High!E166&amp;" -- "&amp;SupplyCurves_High!K166</f>
        <v>Suriname -- T1 -- $0.04-0.06/kWh</v>
      </c>
      <c r="K169" t="s">
        <v>11</v>
      </c>
      <c r="L169" t="s">
        <v>13</v>
      </c>
      <c r="M169" t="s">
        <v>75</v>
      </c>
      <c r="N169" t="s">
        <v>12</v>
      </c>
    </row>
    <row r="170" spans="2:14">
      <c r="B170" t="str">
        <f>SupplyCurves_High!A167</f>
        <v>EN_Hydro_SUR_T2</v>
      </c>
      <c r="C170" t="s">
        <v>451</v>
      </c>
      <c r="D170" t="s">
        <v>76</v>
      </c>
      <c r="E170">
        <f>SupplyCurves_High!F167</f>
        <v>0.59499999999999997</v>
      </c>
      <c r="F170">
        <f>SupplyCurves_High!H167</f>
        <v>307</v>
      </c>
      <c r="H170" t="s">
        <v>452</v>
      </c>
      <c r="I170" t="str">
        <f t="shared" si="2"/>
        <v>EN_Hydro_SUR_T2</v>
      </c>
      <c r="J170" t="str">
        <f>SupplyCurves_High!C167&amp;" -- "&amp;SupplyCurves_High!E167&amp;" -- "&amp;SupplyCurves_High!K167</f>
        <v>Suriname -- T2 -- $0.06-0.08/kWh</v>
      </c>
      <c r="K170" t="s">
        <v>11</v>
      </c>
      <c r="L170" t="s">
        <v>13</v>
      </c>
      <c r="M170" t="s">
        <v>75</v>
      </c>
      <c r="N170" t="s">
        <v>12</v>
      </c>
    </row>
    <row r="171" spans="2:14">
      <c r="B171" t="str">
        <f>SupplyCurves_High!A168</f>
        <v>EN_Hydro_SUR_T3</v>
      </c>
      <c r="C171" t="s">
        <v>451</v>
      </c>
      <c r="D171" t="s">
        <v>76</v>
      </c>
      <c r="E171">
        <f>SupplyCurves_High!F168</f>
        <v>0.51</v>
      </c>
      <c r="F171">
        <f>SupplyCurves_High!H168</f>
        <v>768</v>
      </c>
      <c r="H171" t="s">
        <v>452</v>
      </c>
      <c r="I171" t="str">
        <f t="shared" si="2"/>
        <v>EN_Hydro_SUR_T3</v>
      </c>
      <c r="J171" t="str">
        <f>SupplyCurves_High!C168&amp;" -- "&amp;SupplyCurves_High!E168&amp;" -- "&amp;SupplyCurves_High!K168</f>
        <v>Suriname -- T3 -- $0.08-0.10/kWh</v>
      </c>
      <c r="K171" t="s">
        <v>11</v>
      </c>
      <c r="L171" t="s">
        <v>13</v>
      </c>
      <c r="M171" t="s">
        <v>75</v>
      </c>
      <c r="N171" t="s">
        <v>12</v>
      </c>
    </row>
    <row r="172" spans="2:14">
      <c r="B172" t="str">
        <f>SupplyCurves_High!A169</f>
        <v>EN_Hydro_SUR_T4</v>
      </c>
      <c r="C172" t="s">
        <v>451</v>
      </c>
      <c r="D172" t="s">
        <v>76</v>
      </c>
      <c r="E172">
        <f>SupplyCurves_High!F169</f>
        <v>0.255</v>
      </c>
      <c r="F172">
        <f>SupplyCurves_High!H169</f>
        <v>1383</v>
      </c>
      <c r="H172" t="s">
        <v>452</v>
      </c>
      <c r="I172" t="str">
        <f t="shared" si="2"/>
        <v>EN_Hydro_SUR_T4</v>
      </c>
      <c r="J172" t="str">
        <f>SupplyCurves_High!C169&amp;" -- "&amp;SupplyCurves_High!E169&amp;" -- "&amp;SupplyCurves_High!K169</f>
        <v>Suriname -- T4 -- $0.10-0.14/kWh</v>
      </c>
      <c r="K172" t="s">
        <v>11</v>
      </c>
      <c r="L172" t="s">
        <v>13</v>
      </c>
      <c r="M172" t="s">
        <v>75</v>
      </c>
      <c r="N172" t="s">
        <v>12</v>
      </c>
    </row>
    <row r="173" spans="2:14">
      <c r="B173" t="str">
        <f>SupplyCurves_High!A170</f>
        <v>EN_Hydro_MDG_T1</v>
      </c>
      <c r="C173" t="s">
        <v>451</v>
      </c>
      <c r="D173" t="s">
        <v>76</v>
      </c>
      <c r="E173">
        <f>SupplyCurves_High!F170</f>
        <v>0.28000000000000003</v>
      </c>
      <c r="F173">
        <f>SupplyCurves_High!H170</f>
        <v>0</v>
      </c>
      <c r="H173" t="s">
        <v>452</v>
      </c>
      <c r="I173" t="str">
        <f t="shared" si="2"/>
        <v>EN_Hydro_MDG_T1</v>
      </c>
      <c r="J173" t="str">
        <f>SupplyCurves_High!C170&amp;" -- "&amp;SupplyCurves_High!E170&amp;" -- "&amp;SupplyCurves_High!K170</f>
        <v>Madagascar -- T1 -- $0.04-0.06/kWh</v>
      </c>
      <c r="K173" t="s">
        <v>11</v>
      </c>
      <c r="L173" t="s">
        <v>13</v>
      </c>
      <c r="M173" t="s">
        <v>75</v>
      </c>
      <c r="N173" t="s">
        <v>12</v>
      </c>
    </row>
    <row r="174" spans="2:14">
      <c r="B174" t="str">
        <f>SupplyCurves_High!A171</f>
        <v>EN_Hydro_MDG_T2</v>
      </c>
      <c r="C174" t="s">
        <v>451</v>
      </c>
      <c r="D174" t="s">
        <v>76</v>
      </c>
      <c r="E174">
        <f>SupplyCurves_High!F171</f>
        <v>0.49</v>
      </c>
      <c r="F174">
        <f>SupplyCurves_High!H171</f>
        <v>269</v>
      </c>
      <c r="H174" t="s">
        <v>452</v>
      </c>
      <c r="I174" t="str">
        <f t="shared" si="2"/>
        <v>EN_Hydro_MDG_T2</v>
      </c>
      <c r="J174" t="str">
        <f>SupplyCurves_High!C171&amp;" -- "&amp;SupplyCurves_High!E171&amp;" -- "&amp;SupplyCurves_High!K171</f>
        <v>Madagascar -- T2 -- $0.06-0.08/kWh</v>
      </c>
      <c r="K174" t="s">
        <v>11</v>
      </c>
      <c r="L174" t="s">
        <v>13</v>
      </c>
      <c r="M174" t="s">
        <v>75</v>
      </c>
      <c r="N174" t="s">
        <v>12</v>
      </c>
    </row>
    <row r="175" spans="2:14">
      <c r="B175" t="str">
        <f>SupplyCurves_High!A172</f>
        <v>EN_Hydro_MDG_T3</v>
      </c>
      <c r="C175" t="s">
        <v>451</v>
      </c>
      <c r="D175" t="s">
        <v>76</v>
      </c>
      <c r="E175">
        <f>SupplyCurves_High!F172</f>
        <v>0.42</v>
      </c>
      <c r="F175">
        <f>SupplyCurves_High!H172</f>
        <v>672</v>
      </c>
      <c r="H175" t="s">
        <v>452</v>
      </c>
      <c r="I175" t="str">
        <f t="shared" si="2"/>
        <v>EN_Hydro_MDG_T3</v>
      </c>
      <c r="J175" t="str">
        <f>SupplyCurves_High!C172&amp;" -- "&amp;SupplyCurves_High!E172&amp;" -- "&amp;SupplyCurves_High!K172</f>
        <v>Madagascar -- T3 -- $0.08-0.10/kWh</v>
      </c>
      <c r="K175" t="s">
        <v>11</v>
      </c>
      <c r="L175" t="s">
        <v>13</v>
      </c>
      <c r="M175" t="s">
        <v>75</v>
      </c>
      <c r="N175" t="s">
        <v>12</v>
      </c>
    </row>
    <row r="176" spans="2:14">
      <c r="B176" t="str">
        <f>SupplyCurves_High!A173</f>
        <v>EN_Hydro_MDG_T4</v>
      </c>
      <c r="C176" t="s">
        <v>451</v>
      </c>
      <c r="D176" t="s">
        <v>76</v>
      </c>
      <c r="E176">
        <f>SupplyCurves_High!F173</f>
        <v>0.21</v>
      </c>
      <c r="F176">
        <f>SupplyCurves_High!H173</f>
        <v>1210</v>
      </c>
      <c r="H176" t="s">
        <v>452</v>
      </c>
      <c r="I176" t="str">
        <f t="shared" si="2"/>
        <v>EN_Hydro_MDG_T4</v>
      </c>
      <c r="J176" t="str">
        <f>SupplyCurves_High!C173&amp;" -- "&amp;SupplyCurves_High!E173&amp;" -- "&amp;SupplyCurves_High!K173</f>
        <v>Madagascar -- T4 -- $0.10-0.14/kWh</v>
      </c>
      <c r="K176" t="s">
        <v>11</v>
      </c>
      <c r="L176" t="s">
        <v>13</v>
      </c>
      <c r="M176" t="s">
        <v>75</v>
      </c>
      <c r="N176" t="s">
        <v>12</v>
      </c>
    </row>
    <row r="177" spans="2:14">
      <c r="B177" t="str">
        <f>SupplyCurves_High!A174</f>
        <v>EN_Hydro_HND_T1</v>
      </c>
      <c r="C177" t="s">
        <v>451</v>
      </c>
      <c r="D177" t="s">
        <v>76</v>
      </c>
      <c r="E177">
        <f>SupplyCurves_High!F174</f>
        <v>0.12</v>
      </c>
      <c r="F177">
        <f>SupplyCurves_High!H174</f>
        <v>0</v>
      </c>
      <c r="H177" t="s">
        <v>452</v>
      </c>
      <c r="I177" t="str">
        <f t="shared" si="2"/>
        <v>EN_Hydro_HND_T1</v>
      </c>
      <c r="J177" t="str">
        <f>SupplyCurves_High!C174&amp;" -- "&amp;SupplyCurves_High!E174&amp;" -- "&amp;SupplyCurves_High!K174</f>
        <v>Honduras -- T1 -- $0.04-0.06/kWh</v>
      </c>
      <c r="K177" t="s">
        <v>11</v>
      </c>
      <c r="L177" t="s">
        <v>13</v>
      </c>
      <c r="M177" t="s">
        <v>75</v>
      </c>
      <c r="N177" t="s">
        <v>12</v>
      </c>
    </row>
    <row r="178" spans="2:14">
      <c r="B178" t="str">
        <f>SupplyCurves_High!A175</f>
        <v>EN_Hydro_HND_T2</v>
      </c>
      <c r="C178" t="s">
        <v>451</v>
      </c>
      <c r="D178" t="s">
        <v>76</v>
      </c>
      <c r="E178">
        <f>SupplyCurves_High!F175</f>
        <v>0.21</v>
      </c>
      <c r="F178">
        <f>SupplyCurves_High!H175</f>
        <v>307</v>
      </c>
      <c r="H178" t="s">
        <v>452</v>
      </c>
      <c r="I178" t="str">
        <f t="shared" si="2"/>
        <v>EN_Hydro_HND_T2</v>
      </c>
      <c r="J178" t="str">
        <f>SupplyCurves_High!C175&amp;" -- "&amp;SupplyCurves_High!E175&amp;" -- "&amp;SupplyCurves_High!K175</f>
        <v>Honduras -- T2 -- $0.06-0.08/kWh</v>
      </c>
      <c r="K178" t="s">
        <v>11</v>
      </c>
      <c r="L178" t="s">
        <v>13</v>
      </c>
      <c r="M178" t="s">
        <v>75</v>
      </c>
      <c r="N178" t="s">
        <v>12</v>
      </c>
    </row>
    <row r="179" spans="2:14">
      <c r="B179" t="str">
        <f>SupplyCurves_High!A176</f>
        <v>EN_Hydro_HND_T3</v>
      </c>
      <c r="C179" t="s">
        <v>451</v>
      </c>
      <c r="D179" t="s">
        <v>76</v>
      </c>
      <c r="E179">
        <f>SupplyCurves_High!F176</f>
        <v>0.18</v>
      </c>
      <c r="F179">
        <f>SupplyCurves_High!H176</f>
        <v>768</v>
      </c>
      <c r="H179" t="s">
        <v>452</v>
      </c>
      <c r="I179" t="str">
        <f t="shared" si="2"/>
        <v>EN_Hydro_HND_T3</v>
      </c>
      <c r="J179" t="str">
        <f>SupplyCurves_High!C176&amp;" -- "&amp;SupplyCurves_High!E176&amp;" -- "&amp;SupplyCurves_High!K176</f>
        <v>Honduras -- T3 -- $0.08-0.10/kWh</v>
      </c>
      <c r="K179" t="s">
        <v>11</v>
      </c>
      <c r="L179" t="s">
        <v>13</v>
      </c>
      <c r="M179" t="s">
        <v>75</v>
      </c>
      <c r="N179" t="s">
        <v>12</v>
      </c>
    </row>
    <row r="180" spans="2:14">
      <c r="B180" t="str">
        <f>SupplyCurves_High!A177</f>
        <v>EN_Hydro_HND_T4</v>
      </c>
      <c r="C180" t="s">
        <v>451</v>
      </c>
      <c r="D180" t="s">
        <v>76</v>
      </c>
      <c r="E180">
        <f>SupplyCurves_High!F177</f>
        <v>0.09</v>
      </c>
      <c r="F180">
        <f>SupplyCurves_High!H177</f>
        <v>1383</v>
      </c>
      <c r="H180" t="s">
        <v>452</v>
      </c>
      <c r="I180" t="str">
        <f t="shared" si="2"/>
        <v>EN_Hydro_HND_T4</v>
      </c>
      <c r="J180" t="str">
        <f>SupplyCurves_High!C177&amp;" -- "&amp;SupplyCurves_High!E177&amp;" -- "&amp;SupplyCurves_High!K177</f>
        <v>Honduras -- T4 -- $0.10-0.14/kWh</v>
      </c>
      <c r="K180" t="s">
        <v>11</v>
      </c>
      <c r="L180" t="s">
        <v>13</v>
      </c>
      <c r="M180" t="s">
        <v>75</v>
      </c>
      <c r="N180" t="s">
        <v>12</v>
      </c>
    </row>
    <row r="181" spans="2:14">
      <c r="B181" t="str">
        <f>SupplyCurves_High!A178</f>
        <v>EN_Hydro_CIV_T1</v>
      </c>
      <c r="C181" t="s">
        <v>451</v>
      </c>
      <c r="D181" t="s">
        <v>76</v>
      </c>
      <c r="E181">
        <f>SupplyCurves_High!F178</f>
        <v>0.04</v>
      </c>
      <c r="F181">
        <f>SupplyCurves_High!H178</f>
        <v>0</v>
      </c>
      <c r="H181" t="s">
        <v>452</v>
      </c>
      <c r="I181" t="str">
        <f t="shared" si="2"/>
        <v>EN_Hydro_CIV_T1</v>
      </c>
      <c r="J181" t="str">
        <f>SupplyCurves_High!C178&amp;" -- "&amp;SupplyCurves_High!E178&amp;" -- "&amp;SupplyCurves_High!K178</f>
        <v>Cote d'Ivoire -- T1 -- $0.04-0.06/kWh</v>
      </c>
      <c r="K181" t="s">
        <v>11</v>
      </c>
      <c r="L181" t="s">
        <v>13</v>
      </c>
      <c r="M181" t="s">
        <v>75</v>
      </c>
      <c r="N181" t="s">
        <v>12</v>
      </c>
    </row>
    <row r="182" spans="2:14">
      <c r="B182" t="str">
        <f>SupplyCurves_High!A179</f>
        <v>EN_Hydro_CIV_T2</v>
      </c>
      <c r="C182" t="s">
        <v>451</v>
      </c>
      <c r="D182" t="s">
        <v>76</v>
      </c>
      <c r="E182">
        <f>SupplyCurves_High!F179</f>
        <v>7.0000000000000007E-2</v>
      </c>
      <c r="F182">
        <f>SupplyCurves_High!H179</f>
        <v>269</v>
      </c>
      <c r="H182" t="s">
        <v>452</v>
      </c>
      <c r="I182" t="str">
        <f t="shared" si="2"/>
        <v>EN_Hydro_CIV_T2</v>
      </c>
      <c r="J182" t="str">
        <f>SupplyCurves_High!C179&amp;" -- "&amp;SupplyCurves_High!E179&amp;" -- "&amp;SupplyCurves_High!K179</f>
        <v>Cote d'Ivoire -- T2 -- $0.06-0.08/kWh</v>
      </c>
      <c r="K182" t="s">
        <v>11</v>
      </c>
      <c r="L182" t="s">
        <v>13</v>
      </c>
      <c r="M182" t="s">
        <v>75</v>
      </c>
      <c r="N182" t="s">
        <v>12</v>
      </c>
    </row>
    <row r="183" spans="2:14">
      <c r="B183" t="str">
        <f>SupplyCurves_High!A180</f>
        <v>EN_Hydro_CIV_T3</v>
      </c>
      <c r="C183" t="s">
        <v>451</v>
      </c>
      <c r="D183" t="s">
        <v>76</v>
      </c>
      <c r="E183">
        <f>SupplyCurves_High!F180</f>
        <v>0.06</v>
      </c>
      <c r="F183">
        <f>SupplyCurves_High!H180</f>
        <v>672</v>
      </c>
      <c r="H183" t="s">
        <v>452</v>
      </c>
      <c r="I183" t="str">
        <f t="shared" si="2"/>
        <v>EN_Hydro_CIV_T3</v>
      </c>
      <c r="J183" t="str">
        <f>SupplyCurves_High!C180&amp;" -- "&amp;SupplyCurves_High!E180&amp;" -- "&amp;SupplyCurves_High!K180</f>
        <v>Cote d'Ivoire -- T3 -- $0.08-0.10/kWh</v>
      </c>
      <c r="K183" t="s">
        <v>11</v>
      </c>
      <c r="L183" t="s">
        <v>13</v>
      </c>
      <c r="M183" t="s">
        <v>75</v>
      </c>
      <c r="N183" t="s">
        <v>12</v>
      </c>
    </row>
    <row r="184" spans="2:14">
      <c r="B184" t="str">
        <f>SupplyCurves_High!A181</f>
        <v>EN_Hydro_CIV_T4</v>
      </c>
      <c r="C184" t="s">
        <v>451</v>
      </c>
      <c r="D184" t="s">
        <v>76</v>
      </c>
      <c r="E184">
        <f>SupplyCurves_High!F181</f>
        <v>0.03</v>
      </c>
      <c r="F184">
        <f>SupplyCurves_High!H181</f>
        <v>1210</v>
      </c>
      <c r="H184" t="s">
        <v>452</v>
      </c>
      <c r="I184" t="str">
        <f t="shared" si="2"/>
        <v>EN_Hydro_CIV_T4</v>
      </c>
      <c r="J184" t="str">
        <f>SupplyCurves_High!C181&amp;" -- "&amp;SupplyCurves_High!E181&amp;" -- "&amp;SupplyCurves_High!K181</f>
        <v>Cote d'Ivoire -- T4 -- $0.10-0.14/kWh</v>
      </c>
      <c r="K184" t="s">
        <v>11</v>
      </c>
      <c r="L184" t="s">
        <v>13</v>
      </c>
      <c r="M184" t="s">
        <v>75</v>
      </c>
      <c r="N184" t="s">
        <v>12</v>
      </c>
    </row>
    <row r="185" spans="2:14">
      <c r="B185" t="str">
        <f>SupplyCurves_High!A182</f>
        <v>EN_Hydro_CAF_T1</v>
      </c>
      <c r="C185" t="s">
        <v>451</v>
      </c>
      <c r="D185" t="s">
        <v>76</v>
      </c>
      <c r="E185">
        <f>SupplyCurves_High!F182</f>
        <v>0.24</v>
      </c>
      <c r="F185">
        <f>SupplyCurves_High!H182</f>
        <v>0</v>
      </c>
      <c r="H185" t="s">
        <v>452</v>
      </c>
      <c r="I185" t="str">
        <f t="shared" si="2"/>
        <v>EN_Hydro_CAF_T1</v>
      </c>
      <c r="J185" t="str">
        <f>SupplyCurves_High!C182&amp;" -- "&amp;SupplyCurves_High!E182&amp;" -- "&amp;SupplyCurves_High!K182</f>
        <v>Central African Republic -- T1 -- $0.04-0.06/kWh</v>
      </c>
      <c r="K185" t="s">
        <v>11</v>
      </c>
      <c r="L185" t="s">
        <v>13</v>
      </c>
      <c r="M185" t="s">
        <v>75</v>
      </c>
      <c r="N185" t="s">
        <v>12</v>
      </c>
    </row>
    <row r="186" spans="2:14">
      <c r="B186" t="str">
        <f>SupplyCurves_High!A183</f>
        <v>EN_Hydro_CAF_T2</v>
      </c>
      <c r="C186" t="s">
        <v>451</v>
      </c>
      <c r="D186" t="s">
        <v>76</v>
      </c>
      <c r="E186">
        <f>SupplyCurves_High!F183</f>
        <v>0.42</v>
      </c>
      <c r="F186">
        <f>SupplyCurves_High!H183</f>
        <v>269</v>
      </c>
      <c r="H186" t="s">
        <v>452</v>
      </c>
      <c r="I186" t="str">
        <f t="shared" si="2"/>
        <v>EN_Hydro_CAF_T2</v>
      </c>
      <c r="J186" t="str">
        <f>SupplyCurves_High!C183&amp;" -- "&amp;SupplyCurves_High!E183&amp;" -- "&amp;SupplyCurves_High!K183</f>
        <v>Central African Republic -- T2 -- $0.06-0.08/kWh</v>
      </c>
      <c r="K186" t="s">
        <v>11</v>
      </c>
      <c r="L186" t="s">
        <v>13</v>
      </c>
      <c r="M186" t="s">
        <v>75</v>
      </c>
      <c r="N186" t="s">
        <v>12</v>
      </c>
    </row>
    <row r="187" spans="2:14">
      <c r="B187" t="str">
        <f>SupplyCurves_High!A184</f>
        <v>EN_Hydro_CAF_T3</v>
      </c>
      <c r="C187" t="s">
        <v>451</v>
      </c>
      <c r="D187" t="s">
        <v>76</v>
      </c>
      <c r="E187">
        <f>SupplyCurves_High!F184</f>
        <v>0.36</v>
      </c>
      <c r="F187">
        <f>SupplyCurves_High!H184</f>
        <v>672</v>
      </c>
      <c r="H187" t="s">
        <v>452</v>
      </c>
      <c r="I187" t="str">
        <f t="shared" si="2"/>
        <v>EN_Hydro_CAF_T3</v>
      </c>
      <c r="J187" t="str">
        <f>SupplyCurves_High!C184&amp;" -- "&amp;SupplyCurves_High!E184&amp;" -- "&amp;SupplyCurves_High!K184</f>
        <v>Central African Republic -- T3 -- $0.08-0.10/kWh</v>
      </c>
      <c r="K187" t="s">
        <v>11</v>
      </c>
      <c r="L187" t="s">
        <v>13</v>
      </c>
      <c r="M187" t="s">
        <v>75</v>
      </c>
      <c r="N187" t="s">
        <v>12</v>
      </c>
    </row>
    <row r="188" spans="2:14">
      <c r="B188" t="str">
        <f>SupplyCurves_High!A185</f>
        <v>EN_Hydro_CAF_T4</v>
      </c>
      <c r="C188" t="s">
        <v>451</v>
      </c>
      <c r="D188" t="s">
        <v>76</v>
      </c>
      <c r="E188">
        <f>SupplyCurves_High!F185</f>
        <v>0.18</v>
      </c>
      <c r="F188">
        <f>SupplyCurves_High!H185</f>
        <v>1210</v>
      </c>
      <c r="H188" t="s">
        <v>452</v>
      </c>
      <c r="I188" t="str">
        <f t="shared" si="2"/>
        <v>EN_Hydro_CAF_T4</v>
      </c>
      <c r="J188" t="str">
        <f>SupplyCurves_High!C185&amp;" -- "&amp;SupplyCurves_High!E185&amp;" -- "&amp;SupplyCurves_High!K185</f>
        <v>Central African Republic -- T4 -- $0.10-0.14/kWh</v>
      </c>
      <c r="K188" t="s">
        <v>11</v>
      </c>
      <c r="L188" t="s">
        <v>13</v>
      </c>
      <c r="M188" t="s">
        <v>75</v>
      </c>
      <c r="N188" t="s">
        <v>12</v>
      </c>
    </row>
    <row r="189" spans="2:14">
      <c r="B189" t="str">
        <f>SupplyCurves_High!A186</f>
        <v>EN_Hydro_NIC_T1</v>
      </c>
      <c r="C189" t="s">
        <v>451</v>
      </c>
      <c r="D189" t="s">
        <v>76</v>
      </c>
      <c r="E189">
        <f>SupplyCurves_High!F186</f>
        <v>0.14000000000000001</v>
      </c>
      <c r="F189">
        <f>SupplyCurves_High!H186</f>
        <v>0</v>
      </c>
      <c r="H189" t="s">
        <v>452</v>
      </c>
      <c r="I189" t="str">
        <f t="shared" si="2"/>
        <v>EN_Hydro_NIC_T1</v>
      </c>
      <c r="J189" t="str">
        <f>SupplyCurves_High!C186&amp;" -- "&amp;SupplyCurves_High!E186&amp;" -- "&amp;SupplyCurves_High!K186</f>
        <v>Nicaragua -- T1 -- $0.04-0.06/kWh</v>
      </c>
      <c r="K189" t="s">
        <v>11</v>
      </c>
      <c r="L189" t="s">
        <v>13</v>
      </c>
      <c r="M189" t="s">
        <v>75</v>
      </c>
      <c r="N189" t="s">
        <v>12</v>
      </c>
    </row>
    <row r="190" spans="2:14">
      <c r="B190" t="str">
        <f>SupplyCurves_High!A187</f>
        <v>EN_Hydro_NIC_T2</v>
      </c>
      <c r="C190" t="s">
        <v>451</v>
      </c>
      <c r="D190" t="s">
        <v>76</v>
      </c>
      <c r="E190">
        <f>SupplyCurves_High!F187</f>
        <v>0.245</v>
      </c>
      <c r="F190">
        <f>SupplyCurves_High!H187</f>
        <v>307</v>
      </c>
      <c r="H190" t="s">
        <v>452</v>
      </c>
      <c r="I190" t="str">
        <f t="shared" si="2"/>
        <v>EN_Hydro_NIC_T2</v>
      </c>
      <c r="J190" t="str">
        <f>SupplyCurves_High!C187&amp;" -- "&amp;SupplyCurves_High!E187&amp;" -- "&amp;SupplyCurves_High!K187</f>
        <v>Nicaragua -- T2 -- $0.06-0.08/kWh</v>
      </c>
      <c r="K190" t="s">
        <v>11</v>
      </c>
      <c r="L190" t="s">
        <v>13</v>
      </c>
      <c r="M190" t="s">
        <v>75</v>
      </c>
      <c r="N190" t="s">
        <v>12</v>
      </c>
    </row>
    <row r="191" spans="2:14">
      <c r="B191" t="str">
        <f>SupplyCurves_High!A188</f>
        <v>EN_Hydro_NIC_T3</v>
      </c>
      <c r="C191" t="s">
        <v>451</v>
      </c>
      <c r="D191" t="s">
        <v>76</v>
      </c>
      <c r="E191">
        <f>SupplyCurves_High!F188</f>
        <v>0.21</v>
      </c>
      <c r="F191">
        <f>SupplyCurves_High!H188</f>
        <v>768</v>
      </c>
      <c r="H191" t="s">
        <v>452</v>
      </c>
      <c r="I191" t="str">
        <f t="shared" si="2"/>
        <v>EN_Hydro_NIC_T3</v>
      </c>
      <c r="J191" t="str">
        <f>SupplyCurves_High!C188&amp;" -- "&amp;SupplyCurves_High!E188&amp;" -- "&amp;SupplyCurves_High!K188</f>
        <v>Nicaragua -- T3 -- $0.08-0.10/kWh</v>
      </c>
      <c r="K191" t="s">
        <v>11</v>
      </c>
      <c r="L191" t="s">
        <v>13</v>
      </c>
      <c r="M191" t="s">
        <v>75</v>
      </c>
      <c r="N191" t="s">
        <v>12</v>
      </c>
    </row>
    <row r="192" spans="2:14">
      <c r="B192" t="str">
        <f>SupplyCurves_High!A189</f>
        <v>EN_Hydro_NIC_T4</v>
      </c>
      <c r="C192" t="s">
        <v>451</v>
      </c>
      <c r="D192" t="s">
        <v>76</v>
      </c>
      <c r="E192">
        <f>SupplyCurves_High!F189</f>
        <v>0.105</v>
      </c>
      <c r="F192">
        <f>SupplyCurves_High!H189</f>
        <v>1383</v>
      </c>
      <c r="H192" t="s">
        <v>452</v>
      </c>
      <c r="I192" t="str">
        <f t="shared" si="2"/>
        <v>EN_Hydro_NIC_T4</v>
      </c>
      <c r="J192" t="str">
        <f>SupplyCurves_High!C189&amp;" -- "&amp;SupplyCurves_High!E189&amp;" -- "&amp;SupplyCurves_High!K189</f>
        <v>Nicaragua -- T4 -- $0.10-0.14/kWh</v>
      </c>
      <c r="K192" t="s">
        <v>11</v>
      </c>
      <c r="L192" t="s">
        <v>13</v>
      </c>
      <c r="M192" t="s">
        <v>75</v>
      </c>
      <c r="N192" t="s">
        <v>12</v>
      </c>
    </row>
    <row r="193" spans="2:14">
      <c r="B193" t="str">
        <f>SupplyCurves_High!A190</f>
        <v>EN_Hydro_SLE_T1</v>
      </c>
      <c r="C193" t="s">
        <v>451</v>
      </c>
      <c r="D193" t="s">
        <v>76</v>
      </c>
      <c r="E193">
        <f>SupplyCurves_High!F190</f>
        <v>0.16</v>
      </c>
      <c r="F193">
        <f>SupplyCurves_High!H190</f>
        <v>0</v>
      </c>
      <c r="H193" t="s">
        <v>452</v>
      </c>
      <c r="I193" t="str">
        <f t="shared" si="2"/>
        <v>EN_Hydro_SLE_T1</v>
      </c>
      <c r="J193" t="str">
        <f>SupplyCurves_High!C190&amp;" -- "&amp;SupplyCurves_High!E190&amp;" -- "&amp;SupplyCurves_High!K190</f>
        <v>Sierra Leone -- T1 -- $0.04-0.06/kWh</v>
      </c>
      <c r="K193" t="s">
        <v>11</v>
      </c>
      <c r="L193" t="s">
        <v>13</v>
      </c>
      <c r="M193" t="s">
        <v>75</v>
      </c>
      <c r="N193" t="s">
        <v>12</v>
      </c>
    </row>
    <row r="194" spans="2:14">
      <c r="B194" t="str">
        <f>SupplyCurves_High!A191</f>
        <v>EN_Hydro_SLE_T2</v>
      </c>
      <c r="C194" t="s">
        <v>451</v>
      </c>
      <c r="D194" t="s">
        <v>76</v>
      </c>
      <c r="E194">
        <f>SupplyCurves_High!F191</f>
        <v>0.28000000000000003</v>
      </c>
      <c r="F194">
        <f>SupplyCurves_High!H191</f>
        <v>269</v>
      </c>
      <c r="H194" t="s">
        <v>452</v>
      </c>
      <c r="I194" t="str">
        <f t="shared" si="2"/>
        <v>EN_Hydro_SLE_T2</v>
      </c>
      <c r="J194" t="str">
        <f>SupplyCurves_High!C191&amp;" -- "&amp;SupplyCurves_High!E191&amp;" -- "&amp;SupplyCurves_High!K191</f>
        <v>Sierra Leone -- T2 -- $0.06-0.08/kWh</v>
      </c>
      <c r="K194" t="s">
        <v>11</v>
      </c>
      <c r="L194" t="s">
        <v>13</v>
      </c>
      <c r="M194" t="s">
        <v>75</v>
      </c>
      <c r="N194" t="s">
        <v>12</v>
      </c>
    </row>
    <row r="195" spans="2:14">
      <c r="B195" t="str">
        <f>SupplyCurves_High!A192</f>
        <v>EN_Hydro_SLE_T3</v>
      </c>
      <c r="C195" t="s">
        <v>451</v>
      </c>
      <c r="D195" t="s">
        <v>76</v>
      </c>
      <c r="E195">
        <f>SupplyCurves_High!F192</f>
        <v>0.24</v>
      </c>
      <c r="F195">
        <f>SupplyCurves_High!H192</f>
        <v>672</v>
      </c>
      <c r="H195" t="s">
        <v>452</v>
      </c>
      <c r="I195" t="str">
        <f t="shared" si="2"/>
        <v>EN_Hydro_SLE_T3</v>
      </c>
      <c r="J195" t="str">
        <f>SupplyCurves_High!C192&amp;" -- "&amp;SupplyCurves_High!E192&amp;" -- "&amp;SupplyCurves_High!K192</f>
        <v>Sierra Leone -- T3 -- $0.08-0.10/kWh</v>
      </c>
      <c r="K195" t="s">
        <v>11</v>
      </c>
      <c r="L195" t="s">
        <v>13</v>
      </c>
      <c r="M195" t="s">
        <v>75</v>
      </c>
      <c r="N195" t="s">
        <v>12</v>
      </c>
    </row>
    <row r="196" spans="2:14">
      <c r="B196" t="str">
        <f>SupplyCurves_High!A193</f>
        <v>EN_Hydro_SLE_T4</v>
      </c>
      <c r="C196" t="s">
        <v>451</v>
      </c>
      <c r="D196" t="s">
        <v>76</v>
      </c>
      <c r="E196">
        <f>SupplyCurves_High!F193</f>
        <v>0.12</v>
      </c>
      <c r="F196">
        <f>SupplyCurves_High!H193</f>
        <v>1210</v>
      </c>
      <c r="H196" t="s">
        <v>452</v>
      </c>
      <c r="I196" t="str">
        <f t="shared" si="2"/>
        <v>EN_Hydro_SLE_T4</v>
      </c>
      <c r="J196" t="str">
        <f>SupplyCurves_High!C193&amp;" -- "&amp;SupplyCurves_High!E193&amp;" -- "&amp;SupplyCurves_High!K193</f>
        <v>Sierra Leone -- T4 -- $0.10-0.14/kWh</v>
      </c>
      <c r="K196" t="s">
        <v>11</v>
      </c>
      <c r="L196" t="s">
        <v>13</v>
      </c>
      <c r="M196" t="s">
        <v>75</v>
      </c>
      <c r="N196" t="s">
        <v>12</v>
      </c>
    </row>
    <row r="197" spans="2:14">
      <c r="B197" t="str">
        <f>SupplyCurves_High!A194</f>
        <v>EN_Hydro_MWI_T1</v>
      </c>
      <c r="C197" t="s">
        <v>451</v>
      </c>
      <c r="D197" t="s">
        <v>76</v>
      </c>
      <c r="E197">
        <f>SupplyCurves_High!F194</f>
        <v>0.1</v>
      </c>
      <c r="F197">
        <f>SupplyCurves_High!H194</f>
        <v>0</v>
      </c>
      <c r="H197" t="s">
        <v>452</v>
      </c>
      <c r="I197" t="str">
        <f t="shared" si="2"/>
        <v>EN_Hydro_MWI_T1</v>
      </c>
      <c r="J197" t="str">
        <f>SupplyCurves_High!C194&amp;" -- "&amp;SupplyCurves_High!E194&amp;" -- "&amp;SupplyCurves_High!K194</f>
        <v>Malawi -- T1 -- $0.04-0.06/kWh</v>
      </c>
      <c r="K197" t="s">
        <v>11</v>
      </c>
      <c r="L197" t="s">
        <v>13</v>
      </c>
      <c r="M197" t="s">
        <v>75</v>
      </c>
      <c r="N197" t="s">
        <v>12</v>
      </c>
    </row>
    <row r="198" spans="2:14">
      <c r="B198" t="str">
        <f>SupplyCurves_High!A195</f>
        <v>EN_Hydro_MWI_T2</v>
      </c>
      <c r="C198" t="s">
        <v>451</v>
      </c>
      <c r="D198" t="s">
        <v>76</v>
      </c>
      <c r="E198">
        <f>SupplyCurves_High!F195</f>
        <v>0.17499999999999999</v>
      </c>
      <c r="F198">
        <f>SupplyCurves_High!H195</f>
        <v>269</v>
      </c>
      <c r="H198" t="s">
        <v>452</v>
      </c>
      <c r="I198" t="str">
        <f t="shared" ref="I198:I208" si="3">B198</f>
        <v>EN_Hydro_MWI_T2</v>
      </c>
      <c r="J198" t="str">
        <f>SupplyCurves_High!C195&amp;" -- "&amp;SupplyCurves_High!E195&amp;" -- "&amp;SupplyCurves_High!K195</f>
        <v>Malawi -- T2 -- $0.06-0.08/kWh</v>
      </c>
      <c r="K198" t="s">
        <v>11</v>
      </c>
      <c r="L198" t="s">
        <v>13</v>
      </c>
      <c r="M198" t="s">
        <v>75</v>
      </c>
      <c r="N198" t="s">
        <v>12</v>
      </c>
    </row>
    <row r="199" spans="2:14">
      <c r="B199" t="str">
        <f>SupplyCurves_High!A196</f>
        <v>EN_Hydro_MWI_T3</v>
      </c>
      <c r="C199" t="s">
        <v>451</v>
      </c>
      <c r="D199" t="s">
        <v>76</v>
      </c>
      <c r="E199">
        <f>SupplyCurves_High!F196</f>
        <v>0.15</v>
      </c>
      <c r="F199">
        <f>SupplyCurves_High!H196</f>
        <v>672</v>
      </c>
      <c r="H199" t="s">
        <v>452</v>
      </c>
      <c r="I199" t="str">
        <f t="shared" si="3"/>
        <v>EN_Hydro_MWI_T3</v>
      </c>
      <c r="J199" t="str">
        <f>SupplyCurves_High!C196&amp;" -- "&amp;SupplyCurves_High!E196&amp;" -- "&amp;SupplyCurves_High!K196</f>
        <v>Malawi -- T3 -- $0.08-0.10/kWh</v>
      </c>
      <c r="K199" t="s">
        <v>11</v>
      </c>
      <c r="L199" t="s">
        <v>13</v>
      </c>
      <c r="M199" t="s">
        <v>75</v>
      </c>
      <c r="N199" t="s">
        <v>12</v>
      </c>
    </row>
    <row r="200" spans="2:14">
      <c r="B200" t="str">
        <f>SupplyCurves_High!A197</f>
        <v>EN_Hydro_MWI_T4</v>
      </c>
      <c r="C200" t="s">
        <v>451</v>
      </c>
      <c r="D200" t="s">
        <v>76</v>
      </c>
      <c r="E200">
        <f>SupplyCurves_High!F197</f>
        <v>7.4999999999999997E-2</v>
      </c>
      <c r="F200">
        <f>SupplyCurves_High!H197</f>
        <v>1210</v>
      </c>
      <c r="H200" t="s">
        <v>452</v>
      </c>
      <c r="I200" t="str">
        <f t="shared" si="3"/>
        <v>EN_Hydro_MWI_T4</v>
      </c>
      <c r="J200" t="str">
        <f>SupplyCurves_High!C197&amp;" -- "&amp;SupplyCurves_High!E197&amp;" -- "&amp;SupplyCurves_High!K197</f>
        <v>Malawi -- T4 -- $0.10-0.14/kWh</v>
      </c>
      <c r="K200" t="s">
        <v>11</v>
      </c>
      <c r="L200" t="s">
        <v>13</v>
      </c>
      <c r="M200" t="s">
        <v>75</v>
      </c>
      <c r="N200" t="s">
        <v>12</v>
      </c>
    </row>
    <row r="201" spans="2:14">
      <c r="B201" t="str">
        <f>SupplyCurves_High!A198</f>
        <v>EN_Hydro_MNG_T1</v>
      </c>
      <c r="C201" t="s">
        <v>451</v>
      </c>
      <c r="D201" t="s">
        <v>76</v>
      </c>
      <c r="E201">
        <f>SupplyCurves_High!F198</f>
        <v>0.16</v>
      </c>
      <c r="F201">
        <f>SupplyCurves_High!H198</f>
        <v>0</v>
      </c>
      <c r="H201" t="s">
        <v>452</v>
      </c>
      <c r="I201" t="str">
        <f t="shared" si="3"/>
        <v>EN_Hydro_MNG_T1</v>
      </c>
      <c r="J201" t="str">
        <f>SupplyCurves_High!C198&amp;" -- "&amp;SupplyCurves_High!E198&amp;" -- "&amp;SupplyCurves_High!K198</f>
        <v>Mongolia -- T1 -- $0.04-0.06/kWh</v>
      </c>
      <c r="K201" t="s">
        <v>11</v>
      </c>
      <c r="L201" t="s">
        <v>13</v>
      </c>
      <c r="M201" t="s">
        <v>75</v>
      </c>
      <c r="N201" t="s">
        <v>12</v>
      </c>
    </row>
    <row r="202" spans="2:14">
      <c r="B202" t="str">
        <f>SupplyCurves_High!A199</f>
        <v>EN_Hydro_MNG_T2</v>
      </c>
      <c r="C202" t="s">
        <v>451</v>
      </c>
      <c r="D202" t="s">
        <v>76</v>
      </c>
      <c r="E202">
        <f>SupplyCurves_High!F199</f>
        <v>0.28000000000000003</v>
      </c>
      <c r="F202">
        <f>SupplyCurves_High!H199</f>
        <v>227</v>
      </c>
      <c r="H202" t="s">
        <v>452</v>
      </c>
      <c r="I202" t="str">
        <f t="shared" si="3"/>
        <v>EN_Hydro_MNG_T2</v>
      </c>
      <c r="J202" t="str">
        <f>SupplyCurves_High!C199&amp;" -- "&amp;SupplyCurves_High!E199&amp;" -- "&amp;SupplyCurves_High!K199</f>
        <v>Mongolia -- T2 -- $0.06-0.08/kWh</v>
      </c>
      <c r="K202" t="s">
        <v>11</v>
      </c>
      <c r="L202" t="s">
        <v>13</v>
      </c>
      <c r="M202" t="s">
        <v>75</v>
      </c>
      <c r="N202" t="s">
        <v>12</v>
      </c>
    </row>
    <row r="203" spans="2:14">
      <c r="B203" t="str">
        <f>SupplyCurves_High!A200</f>
        <v>EN_Hydro_MNG_T3</v>
      </c>
      <c r="C203" t="s">
        <v>451</v>
      </c>
      <c r="D203" t="s">
        <v>76</v>
      </c>
      <c r="E203">
        <f>SupplyCurves_High!F200</f>
        <v>0.24</v>
      </c>
      <c r="F203">
        <f>SupplyCurves_High!H200</f>
        <v>568</v>
      </c>
      <c r="H203" t="s">
        <v>452</v>
      </c>
      <c r="I203" t="str">
        <f t="shared" si="3"/>
        <v>EN_Hydro_MNG_T3</v>
      </c>
      <c r="J203" t="str">
        <f>SupplyCurves_High!C200&amp;" -- "&amp;SupplyCurves_High!E200&amp;" -- "&amp;SupplyCurves_High!K200</f>
        <v>Mongolia -- T3 -- $0.08-0.10/kWh</v>
      </c>
      <c r="K203" t="s">
        <v>11</v>
      </c>
      <c r="L203" t="s">
        <v>13</v>
      </c>
      <c r="M203" t="s">
        <v>75</v>
      </c>
      <c r="N203" t="s">
        <v>12</v>
      </c>
    </row>
    <row r="204" spans="2:14">
      <c r="B204" t="str">
        <f>SupplyCurves_High!A201</f>
        <v>EN_Hydro_MNG_T4</v>
      </c>
      <c r="C204" t="s">
        <v>451</v>
      </c>
      <c r="D204" t="s">
        <v>76</v>
      </c>
      <c r="E204">
        <f>SupplyCurves_High!F201</f>
        <v>0.12</v>
      </c>
      <c r="F204">
        <f>SupplyCurves_High!H201</f>
        <v>1023</v>
      </c>
      <c r="H204" t="s">
        <v>452</v>
      </c>
      <c r="I204" t="str">
        <f t="shared" si="3"/>
        <v>EN_Hydro_MNG_T4</v>
      </c>
      <c r="J204" t="str">
        <f>SupplyCurves_High!C201&amp;" -- "&amp;SupplyCurves_High!E201&amp;" -- "&amp;SupplyCurves_High!K201</f>
        <v>Mongolia -- T4 -- $0.10-0.14/kWh</v>
      </c>
      <c r="K204" t="s">
        <v>11</v>
      </c>
      <c r="L204" t="s">
        <v>13</v>
      </c>
      <c r="M204" t="s">
        <v>75</v>
      </c>
      <c r="N204" t="s">
        <v>12</v>
      </c>
    </row>
    <row r="205" spans="2:14">
      <c r="B205" t="str">
        <f>SupplyCurves_High!A202</f>
        <v>EN_Hydro_MLI_T1</v>
      </c>
      <c r="C205" t="s">
        <v>451</v>
      </c>
      <c r="D205" t="s">
        <v>76</v>
      </c>
      <c r="E205">
        <f>SupplyCurves_High!F202</f>
        <v>0.12</v>
      </c>
      <c r="F205">
        <f>SupplyCurves_High!H202</f>
        <v>0</v>
      </c>
      <c r="H205" t="s">
        <v>452</v>
      </c>
      <c r="I205" t="str">
        <f t="shared" si="3"/>
        <v>EN_Hydro_MLI_T1</v>
      </c>
      <c r="J205" t="str">
        <f>SupplyCurves_High!C202&amp;" -- "&amp;SupplyCurves_High!E202&amp;" -- "&amp;SupplyCurves_High!K202</f>
        <v>Mali -- T1 -- $0.04-0.06/kWh</v>
      </c>
      <c r="K205" t="s">
        <v>11</v>
      </c>
      <c r="L205" t="s">
        <v>13</v>
      </c>
      <c r="M205" t="s">
        <v>75</v>
      </c>
      <c r="N205" t="s">
        <v>12</v>
      </c>
    </row>
    <row r="206" spans="2:14">
      <c r="B206" t="str">
        <f>SupplyCurves_High!A203</f>
        <v>EN_Hydro_MLI_T2</v>
      </c>
      <c r="C206" t="s">
        <v>451</v>
      </c>
      <c r="D206" t="s">
        <v>76</v>
      </c>
      <c r="E206">
        <f>SupplyCurves_High!F203</f>
        <v>0.21</v>
      </c>
      <c r="F206">
        <f>SupplyCurves_High!H203</f>
        <v>269</v>
      </c>
      <c r="H206" t="s">
        <v>452</v>
      </c>
      <c r="I206" t="str">
        <f t="shared" si="3"/>
        <v>EN_Hydro_MLI_T2</v>
      </c>
      <c r="J206" t="str">
        <f>SupplyCurves_High!C203&amp;" -- "&amp;SupplyCurves_High!E203&amp;" -- "&amp;SupplyCurves_High!K203</f>
        <v>Mali -- T2 -- $0.06-0.08/kWh</v>
      </c>
      <c r="K206" t="s">
        <v>11</v>
      </c>
      <c r="L206" t="s">
        <v>13</v>
      </c>
      <c r="M206" t="s">
        <v>75</v>
      </c>
      <c r="N206" t="s">
        <v>12</v>
      </c>
    </row>
    <row r="207" spans="2:14">
      <c r="B207" t="str">
        <f>SupplyCurves_High!A204</f>
        <v>EN_Hydro_MLI_T3</v>
      </c>
      <c r="C207" t="s">
        <v>451</v>
      </c>
      <c r="D207" t="s">
        <v>76</v>
      </c>
      <c r="E207">
        <f>SupplyCurves_High!F204</f>
        <v>0.18</v>
      </c>
      <c r="F207">
        <f>SupplyCurves_High!H204</f>
        <v>672</v>
      </c>
      <c r="H207" t="s">
        <v>452</v>
      </c>
      <c r="I207" t="str">
        <f t="shared" si="3"/>
        <v>EN_Hydro_MLI_T3</v>
      </c>
      <c r="J207" t="str">
        <f>SupplyCurves_High!C204&amp;" -- "&amp;SupplyCurves_High!E204&amp;" -- "&amp;SupplyCurves_High!K204</f>
        <v>Mali -- T3 -- $0.08-0.10/kWh</v>
      </c>
      <c r="K207" t="s">
        <v>11</v>
      </c>
      <c r="L207" t="s">
        <v>13</v>
      </c>
      <c r="M207" t="s">
        <v>75</v>
      </c>
      <c r="N207" t="s">
        <v>12</v>
      </c>
    </row>
    <row r="208" spans="2:14">
      <c r="B208" t="str">
        <f>SupplyCurves_High!A205</f>
        <v>EN_Hydro_MLI_T4</v>
      </c>
      <c r="C208" t="s">
        <v>451</v>
      </c>
      <c r="D208" t="s">
        <v>76</v>
      </c>
      <c r="E208">
        <f>SupplyCurves_High!F205</f>
        <v>0.09</v>
      </c>
      <c r="F208">
        <f>SupplyCurves_High!H205</f>
        <v>1210</v>
      </c>
      <c r="H208" t="s">
        <v>452</v>
      </c>
      <c r="I208" t="str">
        <f t="shared" si="3"/>
        <v>EN_Hydro_MLI_T4</v>
      </c>
      <c r="J208" t="str">
        <f>SupplyCurves_High!C205&amp;" -- "&amp;SupplyCurves_High!E205&amp;" -- "&amp;SupplyCurves_High!K205</f>
        <v>Mali -- T4 -- $0.10-0.14/kWh</v>
      </c>
      <c r="K208" t="s">
        <v>11</v>
      </c>
      <c r="L208" t="s">
        <v>13</v>
      </c>
      <c r="M208" t="s">
        <v>75</v>
      </c>
      <c r="N208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D511-3115-4501-AE4E-D019BE649F6E}">
  <dimension ref="A1:K205"/>
  <sheetViews>
    <sheetView workbookViewId="0"/>
  </sheetViews>
  <sheetFormatPr defaultRowHeight="14.25"/>
  <cols>
    <col min="1" max="1" width="16.9296875" bestFit="1" customWidth="1"/>
    <col min="2" max="2" width="5.1328125" bestFit="1" customWidth="1"/>
    <col min="3" max="3" width="19.796875" bestFit="1" customWidth="1"/>
    <col min="4" max="4" width="6.33203125" bestFit="1" customWidth="1"/>
    <col min="5" max="5" width="7.19921875" bestFit="1" customWidth="1"/>
    <col min="6" max="6" width="11.9296875" bestFit="1" customWidth="1"/>
    <col min="7" max="7" width="12.3984375" bestFit="1" customWidth="1"/>
    <col min="8" max="8" width="26.796875" bestFit="1" customWidth="1"/>
    <col min="9" max="9" width="24.265625" bestFit="1" customWidth="1"/>
    <col min="10" max="10" width="13.6640625" bestFit="1" customWidth="1"/>
  </cols>
  <sheetData>
    <row r="1" spans="1:11">
      <c r="A1" s="1" t="s">
        <v>77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684</v>
      </c>
      <c r="K1" t="s">
        <v>187</v>
      </c>
    </row>
    <row r="2" spans="1:11">
      <c r="A2" t="s">
        <v>188</v>
      </c>
      <c r="B2" t="s">
        <v>22</v>
      </c>
      <c r="C2" t="s">
        <v>85</v>
      </c>
      <c r="D2" t="s">
        <v>189</v>
      </c>
      <c r="E2" t="s">
        <v>190</v>
      </c>
      <c r="F2">
        <v>4.25</v>
      </c>
      <c r="G2">
        <v>4250</v>
      </c>
      <c r="H2">
        <v>0</v>
      </c>
      <c r="I2">
        <v>2767</v>
      </c>
      <c r="J2">
        <v>3074</v>
      </c>
      <c r="K2" t="s">
        <v>685</v>
      </c>
    </row>
    <row r="3" spans="1:11">
      <c r="A3" t="s">
        <v>191</v>
      </c>
      <c r="B3" t="s">
        <v>22</v>
      </c>
      <c r="C3" t="s">
        <v>85</v>
      </c>
      <c r="D3" t="s">
        <v>189</v>
      </c>
      <c r="E3" t="s">
        <v>192</v>
      </c>
      <c r="F3">
        <v>6.8</v>
      </c>
      <c r="G3">
        <v>6800</v>
      </c>
      <c r="H3">
        <v>307</v>
      </c>
      <c r="I3">
        <v>3074</v>
      </c>
      <c r="J3">
        <v>3074</v>
      </c>
      <c r="K3" t="s">
        <v>686</v>
      </c>
    </row>
    <row r="4" spans="1:11">
      <c r="A4" t="s">
        <v>193</v>
      </c>
      <c r="B4" t="s">
        <v>22</v>
      </c>
      <c r="C4" t="s">
        <v>85</v>
      </c>
      <c r="D4" t="s">
        <v>189</v>
      </c>
      <c r="E4" t="s">
        <v>194</v>
      </c>
      <c r="F4">
        <v>4.25</v>
      </c>
      <c r="G4">
        <v>4250</v>
      </c>
      <c r="H4">
        <v>768</v>
      </c>
      <c r="I4">
        <v>3535</v>
      </c>
      <c r="J4">
        <v>3074</v>
      </c>
      <c r="K4" t="s">
        <v>687</v>
      </c>
    </row>
    <row r="5" spans="1:11">
      <c r="A5" t="s">
        <v>195</v>
      </c>
      <c r="B5" t="s">
        <v>22</v>
      </c>
      <c r="C5" t="s">
        <v>85</v>
      </c>
      <c r="D5" t="s">
        <v>189</v>
      </c>
      <c r="E5" t="s">
        <v>196</v>
      </c>
      <c r="F5">
        <v>1.7</v>
      </c>
      <c r="G5">
        <v>1700</v>
      </c>
      <c r="H5">
        <v>1383</v>
      </c>
      <c r="I5">
        <v>4150</v>
      </c>
      <c r="J5">
        <v>3074</v>
      </c>
      <c r="K5" t="s">
        <v>688</v>
      </c>
    </row>
    <row r="6" spans="1:11">
      <c r="A6" t="s">
        <v>197</v>
      </c>
      <c r="B6" t="s">
        <v>63</v>
      </c>
      <c r="C6" t="s">
        <v>123</v>
      </c>
      <c r="D6" t="s">
        <v>198</v>
      </c>
      <c r="E6" t="s">
        <v>190</v>
      </c>
      <c r="F6">
        <v>11.75</v>
      </c>
      <c r="G6">
        <v>11750</v>
      </c>
      <c r="H6">
        <v>0</v>
      </c>
      <c r="I6">
        <v>2574</v>
      </c>
      <c r="J6">
        <v>2860</v>
      </c>
      <c r="K6" t="s">
        <v>685</v>
      </c>
    </row>
    <row r="7" spans="1:11">
      <c r="A7" t="s">
        <v>199</v>
      </c>
      <c r="B7" t="s">
        <v>63</v>
      </c>
      <c r="C7" t="s">
        <v>123</v>
      </c>
      <c r="D7" t="s">
        <v>198</v>
      </c>
      <c r="E7" t="s">
        <v>192</v>
      </c>
      <c r="F7">
        <v>18.8</v>
      </c>
      <c r="G7">
        <v>18800</v>
      </c>
      <c r="H7">
        <v>286</v>
      </c>
      <c r="I7">
        <v>2860</v>
      </c>
      <c r="J7">
        <v>2860</v>
      </c>
      <c r="K7" t="s">
        <v>686</v>
      </c>
    </row>
    <row r="8" spans="1:11">
      <c r="A8" t="s">
        <v>200</v>
      </c>
      <c r="B8" t="s">
        <v>63</v>
      </c>
      <c r="C8" t="s">
        <v>123</v>
      </c>
      <c r="D8" t="s">
        <v>198</v>
      </c>
      <c r="E8" t="s">
        <v>194</v>
      </c>
      <c r="F8">
        <v>11.75</v>
      </c>
      <c r="G8">
        <v>11750</v>
      </c>
      <c r="H8">
        <v>715</v>
      </c>
      <c r="I8">
        <v>3289</v>
      </c>
      <c r="J8">
        <v>2860</v>
      </c>
      <c r="K8" t="s">
        <v>687</v>
      </c>
    </row>
    <row r="9" spans="1:11">
      <c r="A9" t="s">
        <v>201</v>
      </c>
      <c r="B9" t="s">
        <v>63</v>
      </c>
      <c r="C9" t="s">
        <v>123</v>
      </c>
      <c r="D9" t="s">
        <v>198</v>
      </c>
      <c r="E9" t="s">
        <v>196</v>
      </c>
      <c r="F9">
        <v>4.7</v>
      </c>
      <c r="G9">
        <v>4700</v>
      </c>
      <c r="H9">
        <v>1287</v>
      </c>
      <c r="I9">
        <v>3861</v>
      </c>
      <c r="J9">
        <v>2860</v>
      </c>
      <c r="K9" t="s">
        <v>688</v>
      </c>
    </row>
    <row r="10" spans="1:11">
      <c r="A10" t="s">
        <v>202</v>
      </c>
      <c r="B10" t="s">
        <v>40</v>
      </c>
      <c r="C10" t="s">
        <v>102</v>
      </c>
      <c r="D10" t="s">
        <v>203</v>
      </c>
      <c r="E10" t="s">
        <v>190</v>
      </c>
      <c r="F10">
        <v>0.5</v>
      </c>
      <c r="G10">
        <v>500</v>
      </c>
      <c r="H10">
        <v>0</v>
      </c>
      <c r="I10">
        <v>2327</v>
      </c>
      <c r="J10">
        <v>2585</v>
      </c>
      <c r="K10" t="s">
        <v>685</v>
      </c>
    </row>
    <row r="11" spans="1:11">
      <c r="A11" t="s">
        <v>204</v>
      </c>
      <c r="B11" t="s">
        <v>40</v>
      </c>
      <c r="C11" t="s">
        <v>102</v>
      </c>
      <c r="D11" t="s">
        <v>203</v>
      </c>
      <c r="E11" t="s">
        <v>192</v>
      </c>
      <c r="F11">
        <v>0.8</v>
      </c>
      <c r="G11">
        <v>800</v>
      </c>
      <c r="H11">
        <v>259</v>
      </c>
      <c r="I11">
        <v>2585</v>
      </c>
      <c r="J11">
        <v>2585</v>
      </c>
      <c r="K11" t="s">
        <v>686</v>
      </c>
    </row>
    <row r="12" spans="1:11">
      <c r="A12" t="s">
        <v>205</v>
      </c>
      <c r="B12" t="s">
        <v>40</v>
      </c>
      <c r="C12" t="s">
        <v>102</v>
      </c>
      <c r="D12" t="s">
        <v>203</v>
      </c>
      <c r="E12" t="s">
        <v>194</v>
      </c>
      <c r="F12">
        <v>0.5</v>
      </c>
      <c r="G12">
        <v>500</v>
      </c>
      <c r="H12">
        <v>646</v>
      </c>
      <c r="I12">
        <v>2973</v>
      </c>
      <c r="J12">
        <v>2585</v>
      </c>
      <c r="K12" t="s">
        <v>687</v>
      </c>
    </row>
    <row r="13" spans="1:11">
      <c r="A13" t="s">
        <v>206</v>
      </c>
      <c r="B13" t="s">
        <v>40</v>
      </c>
      <c r="C13" t="s">
        <v>102</v>
      </c>
      <c r="D13" t="s">
        <v>203</v>
      </c>
      <c r="E13" t="s">
        <v>196</v>
      </c>
      <c r="F13">
        <v>0.2</v>
      </c>
      <c r="G13">
        <v>200</v>
      </c>
      <c r="H13">
        <v>1163</v>
      </c>
      <c r="I13">
        <v>3490</v>
      </c>
      <c r="J13">
        <v>2585</v>
      </c>
      <c r="K13" t="s">
        <v>688</v>
      </c>
    </row>
    <row r="14" spans="1:11">
      <c r="A14" t="s">
        <v>207</v>
      </c>
      <c r="B14" t="s">
        <v>28</v>
      </c>
      <c r="C14" t="s">
        <v>208</v>
      </c>
      <c r="D14" t="s">
        <v>209</v>
      </c>
      <c r="E14" t="s">
        <v>190</v>
      </c>
      <c r="F14">
        <v>11.625</v>
      </c>
      <c r="G14">
        <v>11625</v>
      </c>
      <c r="H14">
        <v>0</v>
      </c>
      <c r="I14">
        <v>2420</v>
      </c>
      <c r="J14">
        <v>2689</v>
      </c>
      <c r="K14" t="s">
        <v>685</v>
      </c>
    </row>
    <row r="15" spans="1:11">
      <c r="A15" t="s">
        <v>210</v>
      </c>
      <c r="B15" t="s">
        <v>28</v>
      </c>
      <c r="C15" t="s">
        <v>208</v>
      </c>
      <c r="D15" t="s">
        <v>209</v>
      </c>
      <c r="E15" t="s">
        <v>192</v>
      </c>
      <c r="F15">
        <v>18.600000000000001</v>
      </c>
      <c r="G15">
        <v>18600</v>
      </c>
      <c r="H15">
        <v>269</v>
      </c>
      <c r="I15">
        <v>2689</v>
      </c>
      <c r="J15">
        <v>2689</v>
      </c>
      <c r="K15" t="s">
        <v>686</v>
      </c>
    </row>
    <row r="16" spans="1:11">
      <c r="A16" t="s">
        <v>211</v>
      </c>
      <c r="B16" t="s">
        <v>28</v>
      </c>
      <c r="C16" t="s">
        <v>208</v>
      </c>
      <c r="D16" t="s">
        <v>209</v>
      </c>
      <c r="E16" t="s">
        <v>194</v>
      </c>
      <c r="F16">
        <v>11.625</v>
      </c>
      <c r="G16">
        <v>11625</v>
      </c>
      <c r="H16">
        <v>672</v>
      </c>
      <c r="I16">
        <v>3092</v>
      </c>
      <c r="J16">
        <v>2689</v>
      </c>
      <c r="K16" t="s">
        <v>687</v>
      </c>
    </row>
    <row r="17" spans="1:11">
      <c r="A17" t="s">
        <v>212</v>
      </c>
      <c r="B17" t="s">
        <v>28</v>
      </c>
      <c r="C17" t="s">
        <v>208</v>
      </c>
      <c r="D17" t="s">
        <v>209</v>
      </c>
      <c r="E17" t="s">
        <v>196</v>
      </c>
      <c r="F17">
        <v>4.6500000000000004</v>
      </c>
      <c r="G17">
        <v>4650</v>
      </c>
      <c r="H17">
        <v>1210</v>
      </c>
      <c r="I17">
        <v>3630</v>
      </c>
      <c r="J17">
        <v>2689</v>
      </c>
      <c r="K17" t="s">
        <v>688</v>
      </c>
    </row>
    <row r="18" spans="1:11">
      <c r="A18" t="s">
        <v>213</v>
      </c>
      <c r="B18" t="s">
        <v>39</v>
      </c>
      <c r="C18" t="s">
        <v>101</v>
      </c>
      <c r="D18" t="s">
        <v>214</v>
      </c>
      <c r="E18" t="s">
        <v>190</v>
      </c>
      <c r="F18">
        <v>7.25</v>
      </c>
      <c r="G18">
        <v>7250</v>
      </c>
      <c r="H18">
        <v>0</v>
      </c>
      <c r="I18">
        <v>2578</v>
      </c>
      <c r="J18">
        <v>2864</v>
      </c>
      <c r="K18" t="s">
        <v>685</v>
      </c>
    </row>
    <row r="19" spans="1:11">
      <c r="A19" t="s">
        <v>215</v>
      </c>
      <c r="B19" t="s">
        <v>39</v>
      </c>
      <c r="C19" t="s">
        <v>101</v>
      </c>
      <c r="D19" t="s">
        <v>214</v>
      </c>
      <c r="E19" t="s">
        <v>192</v>
      </c>
      <c r="F19">
        <v>11.6</v>
      </c>
      <c r="G19">
        <v>11600</v>
      </c>
      <c r="H19">
        <v>286</v>
      </c>
      <c r="I19">
        <v>2864</v>
      </c>
      <c r="J19">
        <v>2864</v>
      </c>
      <c r="K19" t="s">
        <v>686</v>
      </c>
    </row>
    <row r="20" spans="1:11">
      <c r="A20" t="s">
        <v>216</v>
      </c>
      <c r="B20" t="s">
        <v>39</v>
      </c>
      <c r="C20" t="s">
        <v>101</v>
      </c>
      <c r="D20" t="s">
        <v>214</v>
      </c>
      <c r="E20" t="s">
        <v>194</v>
      </c>
      <c r="F20">
        <v>7.25</v>
      </c>
      <c r="G20">
        <v>7250</v>
      </c>
      <c r="H20">
        <v>716</v>
      </c>
      <c r="I20">
        <v>3294</v>
      </c>
      <c r="J20">
        <v>2864</v>
      </c>
      <c r="K20" t="s">
        <v>687</v>
      </c>
    </row>
    <row r="21" spans="1:11">
      <c r="A21" t="s">
        <v>217</v>
      </c>
      <c r="B21" t="s">
        <v>39</v>
      </c>
      <c r="C21" t="s">
        <v>101</v>
      </c>
      <c r="D21" t="s">
        <v>214</v>
      </c>
      <c r="E21" t="s">
        <v>196</v>
      </c>
      <c r="F21">
        <v>2.9</v>
      </c>
      <c r="G21">
        <v>2900</v>
      </c>
      <c r="H21">
        <v>1289</v>
      </c>
      <c r="I21">
        <v>3867</v>
      </c>
      <c r="J21">
        <v>2864</v>
      </c>
      <c r="K21" t="s">
        <v>688</v>
      </c>
    </row>
    <row r="22" spans="1:11">
      <c r="A22" t="s">
        <v>218</v>
      </c>
      <c r="B22" t="s">
        <v>60</v>
      </c>
      <c r="C22" t="s">
        <v>120</v>
      </c>
      <c r="D22" t="s">
        <v>189</v>
      </c>
      <c r="E22" t="s">
        <v>190</v>
      </c>
      <c r="F22">
        <v>6.625</v>
      </c>
      <c r="G22">
        <v>6625</v>
      </c>
      <c r="H22">
        <v>0</v>
      </c>
      <c r="I22">
        <v>2767</v>
      </c>
      <c r="J22">
        <v>3074</v>
      </c>
      <c r="K22" t="s">
        <v>685</v>
      </c>
    </row>
    <row r="23" spans="1:11">
      <c r="A23" t="s">
        <v>219</v>
      </c>
      <c r="B23" t="s">
        <v>60</v>
      </c>
      <c r="C23" t="s">
        <v>120</v>
      </c>
      <c r="D23" t="s">
        <v>189</v>
      </c>
      <c r="E23" t="s">
        <v>192</v>
      </c>
      <c r="F23">
        <v>10.6</v>
      </c>
      <c r="G23">
        <v>10600</v>
      </c>
      <c r="H23">
        <v>307</v>
      </c>
      <c r="I23">
        <v>3074</v>
      </c>
      <c r="J23">
        <v>3074</v>
      </c>
      <c r="K23" t="s">
        <v>686</v>
      </c>
    </row>
    <row r="24" spans="1:11">
      <c r="A24" t="s">
        <v>220</v>
      </c>
      <c r="B24" t="s">
        <v>60</v>
      </c>
      <c r="C24" t="s">
        <v>120</v>
      </c>
      <c r="D24" t="s">
        <v>189</v>
      </c>
      <c r="E24" t="s">
        <v>194</v>
      </c>
      <c r="F24">
        <v>6.625</v>
      </c>
      <c r="G24">
        <v>6625</v>
      </c>
      <c r="H24">
        <v>768</v>
      </c>
      <c r="I24">
        <v>3535</v>
      </c>
      <c r="J24">
        <v>3074</v>
      </c>
      <c r="K24" t="s">
        <v>687</v>
      </c>
    </row>
    <row r="25" spans="1:11">
      <c r="A25" t="s">
        <v>221</v>
      </c>
      <c r="B25" t="s">
        <v>60</v>
      </c>
      <c r="C25" t="s">
        <v>120</v>
      </c>
      <c r="D25" t="s">
        <v>189</v>
      </c>
      <c r="E25" t="s">
        <v>196</v>
      </c>
      <c r="F25">
        <v>2.65</v>
      </c>
      <c r="G25">
        <v>2650</v>
      </c>
      <c r="H25">
        <v>1383</v>
      </c>
      <c r="I25">
        <v>4150</v>
      </c>
      <c r="J25">
        <v>3074</v>
      </c>
      <c r="K25" t="s">
        <v>688</v>
      </c>
    </row>
    <row r="26" spans="1:11">
      <c r="A26" t="s">
        <v>222</v>
      </c>
      <c r="B26" t="s">
        <v>30</v>
      </c>
      <c r="C26" t="s">
        <v>92</v>
      </c>
      <c r="D26" t="s">
        <v>189</v>
      </c>
      <c r="E26" t="s">
        <v>190</v>
      </c>
      <c r="F26">
        <v>4.3</v>
      </c>
      <c r="G26">
        <v>4300</v>
      </c>
      <c r="H26">
        <v>0</v>
      </c>
      <c r="I26">
        <v>2767</v>
      </c>
      <c r="J26">
        <v>3074</v>
      </c>
      <c r="K26" t="s">
        <v>685</v>
      </c>
    </row>
    <row r="27" spans="1:11">
      <c r="A27" t="s">
        <v>223</v>
      </c>
      <c r="B27" t="s">
        <v>30</v>
      </c>
      <c r="C27" t="s">
        <v>92</v>
      </c>
      <c r="D27" t="s">
        <v>189</v>
      </c>
      <c r="E27" t="s">
        <v>192</v>
      </c>
      <c r="F27">
        <v>6.88</v>
      </c>
      <c r="G27">
        <v>6880</v>
      </c>
      <c r="H27">
        <v>307</v>
      </c>
      <c r="I27">
        <v>3074</v>
      </c>
      <c r="J27">
        <v>3074</v>
      </c>
      <c r="K27" t="s">
        <v>686</v>
      </c>
    </row>
    <row r="28" spans="1:11">
      <c r="A28" t="s">
        <v>224</v>
      </c>
      <c r="B28" t="s">
        <v>30</v>
      </c>
      <c r="C28" t="s">
        <v>92</v>
      </c>
      <c r="D28" t="s">
        <v>189</v>
      </c>
      <c r="E28" t="s">
        <v>194</v>
      </c>
      <c r="F28">
        <v>4.3</v>
      </c>
      <c r="G28">
        <v>4300</v>
      </c>
      <c r="H28">
        <v>768</v>
      </c>
      <c r="I28">
        <v>3535</v>
      </c>
      <c r="J28">
        <v>3074</v>
      </c>
      <c r="K28" t="s">
        <v>687</v>
      </c>
    </row>
    <row r="29" spans="1:11">
      <c r="A29" t="s">
        <v>225</v>
      </c>
      <c r="B29" t="s">
        <v>30</v>
      </c>
      <c r="C29" t="s">
        <v>92</v>
      </c>
      <c r="D29" t="s">
        <v>189</v>
      </c>
      <c r="E29" t="s">
        <v>196</v>
      </c>
      <c r="F29">
        <v>1.72</v>
      </c>
      <c r="G29">
        <v>1720</v>
      </c>
      <c r="H29">
        <v>1383</v>
      </c>
      <c r="I29">
        <v>4150</v>
      </c>
      <c r="J29">
        <v>3074</v>
      </c>
      <c r="K29" t="s">
        <v>688</v>
      </c>
    </row>
    <row r="30" spans="1:11">
      <c r="A30" t="s">
        <v>226</v>
      </c>
      <c r="B30" t="s">
        <v>72</v>
      </c>
      <c r="C30" t="s">
        <v>132</v>
      </c>
      <c r="D30" t="s">
        <v>189</v>
      </c>
      <c r="E30" t="s">
        <v>190</v>
      </c>
      <c r="F30">
        <v>2.5</v>
      </c>
      <c r="G30">
        <v>2500</v>
      </c>
      <c r="H30">
        <v>0</v>
      </c>
      <c r="I30">
        <v>2767</v>
      </c>
      <c r="J30">
        <v>3074</v>
      </c>
      <c r="K30" t="s">
        <v>685</v>
      </c>
    </row>
    <row r="31" spans="1:11">
      <c r="A31" t="s">
        <v>227</v>
      </c>
      <c r="B31" t="s">
        <v>72</v>
      </c>
      <c r="C31" t="s">
        <v>132</v>
      </c>
      <c r="D31" t="s">
        <v>189</v>
      </c>
      <c r="E31" t="s">
        <v>192</v>
      </c>
      <c r="F31">
        <v>4</v>
      </c>
      <c r="G31">
        <v>4000</v>
      </c>
      <c r="H31">
        <v>307</v>
      </c>
      <c r="I31">
        <v>3074</v>
      </c>
      <c r="J31">
        <v>3074</v>
      </c>
      <c r="K31" t="s">
        <v>686</v>
      </c>
    </row>
    <row r="32" spans="1:11">
      <c r="A32" t="s">
        <v>228</v>
      </c>
      <c r="B32" t="s">
        <v>72</v>
      </c>
      <c r="C32" t="s">
        <v>132</v>
      </c>
      <c r="D32" t="s">
        <v>189</v>
      </c>
      <c r="E32" t="s">
        <v>194</v>
      </c>
      <c r="F32">
        <v>2.5</v>
      </c>
      <c r="G32">
        <v>2500</v>
      </c>
      <c r="H32">
        <v>768</v>
      </c>
      <c r="I32">
        <v>3535</v>
      </c>
      <c r="J32">
        <v>3074</v>
      </c>
      <c r="K32" t="s">
        <v>687</v>
      </c>
    </row>
    <row r="33" spans="1:11">
      <c r="A33" t="s">
        <v>229</v>
      </c>
      <c r="B33" t="s">
        <v>72</v>
      </c>
      <c r="C33" t="s">
        <v>132</v>
      </c>
      <c r="D33" t="s">
        <v>189</v>
      </c>
      <c r="E33" t="s">
        <v>196</v>
      </c>
      <c r="F33">
        <v>1</v>
      </c>
      <c r="G33">
        <v>1000</v>
      </c>
      <c r="H33">
        <v>1383</v>
      </c>
      <c r="I33">
        <v>4150</v>
      </c>
      <c r="J33">
        <v>3074</v>
      </c>
      <c r="K33" t="s">
        <v>688</v>
      </c>
    </row>
    <row r="34" spans="1:11">
      <c r="A34" t="s">
        <v>230</v>
      </c>
      <c r="B34" t="s">
        <v>51</v>
      </c>
      <c r="C34" t="s">
        <v>112</v>
      </c>
      <c r="D34" t="s">
        <v>231</v>
      </c>
      <c r="E34" t="s">
        <v>190</v>
      </c>
      <c r="F34">
        <v>5.2</v>
      </c>
      <c r="G34">
        <v>5200</v>
      </c>
      <c r="H34">
        <v>0</v>
      </c>
      <c r="I34">
        <v>2046</v>
      </c>
      <c r="J34">
        <v>2273</v>
      </c>
      <c r="K34" t="s">
        <v>685</v>
      </c>
    </row>
    <row r="35" spans="1:11">
      <c r="A35" t="s">
        <v>232</v>
      </c>
      <c r="B35" t="s">
        <v>51</v>
      </c>
      <c r="C35" t="s">
        <v>112</v>
      </c>
      <c r="D35" t="s">
        <v>231</v>
      </c>
      <c r="E35" t="s">
        <v>192</v>
      </c>
      <c r="F35">
        <v>8.32</v>
      </c>
      <c r="G35">
        <v>8320</v>
      </c>
      <c r="H35">
        <v>227</v>
      </c>
      <c r="I35">
        <v>2273</v>
      </c>
      <c r="J35">
        <v>2273</v>
      </c>
      <c r="K35" t="s">
        <v>686</v>
      </c>
    </row>
    <row r="36" spans="1:11">
      <c r="A36" t="s">
        <v>233</v>
      </c>
      <c r="B36" t="s">
        <v>51</v>
      </c>
      <c r="C36" t="s">
        <v>112</v>
      </c>
      <c r="D36" t="s">
        <v>231</v>
      </c>
      <c r="E36" t="s">
        <v>194</v>
      </c>
      <c r="F36">
        <v>5.2</v>
      </c>
      <c r="G36">
        <v>5200</v>
      </c>
      <c r="H36">
        <v>568</v>
      </c>
      <c r="I36">
        <v>2614</v>
      </c>
      <c r="J36">
        <v>2273</v>
      </c>
      <c r="K36" t="s">
        <v>687</v>
      </c>
    </row>
    <row r="37" spans="1:11">
      <c r="A37" t="s">
        <v>234</v>
      </c>
      <c r="B37" t="s">
        <v>51</v>
      </c>
      <c r="C37" t="s">
        <v>112</v>
      </c>
      <c r="D37" t="s">
        <v>231</v>
      </c>
      <c r="E37" t="s">
        <v>196</v>
      </c>
      <c r="F37">
        <v>2.08</v>
      </c>
      <c r="G37">
        <v>2080</v>
      </c>
      <c r="H37">
        <v>1023</v>
      </c>
      <c r="I37">
        <v>3068</v>
      </c>
      <c r="J37">
        <v>2273</v>
      </c>
      <c r="K37" t="s">
        <v>688</v>
      </c>
    </row>
    <row r="38" spans="1:11">
      <c r="A38" t="s">
        <v>235</v>
      </c>
      <c r="B38" t="s">
        <v>58</v>
      </c>
      <c r="C38" t="s">
        <v>118</v>
      </c>
      <c r="D38" t="s">
        <v>203</v>
      </c>
      <c r="E38" t="s">
        <v>190</v>
      </c>
      <c r="F38">
        <v>4.875</v>
      </c>
      <c r="G38">
        <v>4875</v>
      </c>
      <c r="H38">
        <v>0</v>
      </c>
      <c r="I38">
        <v>2327</v>
      </c>
      <c r="J38">
        <v>2585</v>
      </c>
      <c r="K38" t="s">
        <v>685</v>
      </c>
    </row>
    <row r="39" spans="1:11">
      <c r="A39" t="s">
        <v>236</v>
      </c>
      <c r="B39" t="s">
        <v>58</v>
      </c>
      <c r="C39" t="s">
        <v>118</v>
      </c>
      <c r="D39" t="s">
        <v>203</v>
      </c>
      <c r="E39" t="s">
        <v>192</v>
      </c>
      <c r="F39">
        <v>7.8</v>
      </c>
      <c r="G39">
        <v>7800</v>
      </c>
      <c r="H39">
        <v>259</v>
      </c>
      <c r="I39">
        <v>2585</v>
      </c>
      <c r="J39">
        <v>2585</v>
      </c>
      <c r="K39" t="s">
        <v>686</v>
      </c>
    </row>
    <row r="40" spans="1:11">
      <c r="A40" t="s">
        <v>237</v>
      </c>
      <c r="B40" t="s">
        <v>58</v>
      </c>
      <c r="C40" t="s">
        <v>118</v>
      </c>
      <c r="D40" t="s">
        <v>203</v>
      </c>
      <c r="E40" t="s">
        <v>194</v>
      </c>
      <c r="F40">
        <v>4.875</v>
      </c>
      <c r="G40">
        <v>4875</v>
      </c>
      <c r="H40">
        <v>646</v>
      </c>
      <c r="I40">
        <v>2973</v>
      </c>
      <c r="J40">
        <v>2585</v>
      </c>
      <c r="K40" t="s">
        <v>687</v>
      </c>
    </row>
    <row r="41" spans="1:11">
      <c r="A41" t="s">
        <v>238</v>
      </c>
      <c r="B41" t="s">
        <v>58</v>
      </c>
      <c r="C41" t="s">
        <v>118</v>
      </c>
      <c r="D41" t="s">
        <v>203</v>
      </c>
      <c r="E41" t="s">
        <v>196</v>
      </c>
      <c r="F41">
        <v>1.95</v>
      </c>
      <c r="G41">
        <v>1950</v>
      </c>
      <c r="H41">
        <v>1163</v>
      </c>
      <c r="I41">
        <v>3490</v>
      </c>
      <c r="J41">
        <v>2585</v>
      </c>
      <c r="K41" t="s">
        <v>688</v>
      </c>
    </row>
    <row r="42" spans="1:11">
      <c r="A42" t="s">
        <v>239</v>
      </c>
      <c r="B42" t="s">
        <v>59</v>
      </c>
      <c r="C42" t="s">
        <v>119</v>
      </c>
      <c r="D42" t="s">
        <v>203</v>
      </c>
      <c r="E42" t="s">
        <v>190</v>
      </c>
      <c r="F42">
        <v>2.9</v>
      </c>
      <c r="G42">
        <v>2900</v>
      </c>
      <c r="H42">
        <v>0</v>
      </c>
      <c r="I42">
        <v>2327</v>
      </c>
      <c r="J42">
        <v>2585</v>
      </c>
      <c r="K42" t="s">
        <v>685</v>
      </c>
    </row>
    <row r="43" spans="1:11">
      <c r="A43" t="s">
        <v>240</v>
      </c>
      <c r="B43" t="s">
        <v>59</v>
      </c>
      <c r="C43" t="s">
        <v>119</v>
      </c>
      <c r="D43" t="s">
        <v>203</v>
      </c>
      <c r="E43" t="s">
        <v>192</v>
      </c>
      <c r="F43">
        <v>4.6399999999999997</v>
      </c>
      <c r="G43">
        <v>4640</v>
      </c>
      <c r="H43">
        <v>259</v>
      </c>
      <c r="I43">
        <v>2585</v>
      </c>
      <c r="J43">
        <v>2585</v>
      </c>
      <c r="K43" t="s">
        <v>686</v>
      </c>
    </row>
    <row r="44" spans="1:11">
      <c r="A44" t="s">
        <v>241</v>
      </c>
      <c r="B44" t="s">
        <v>59</v>
      </c>
      <c r="C44" t="s">
        <v>119</v>
      </c>
      <c r="D44" t="s">
        <v>203</v>
      </c>
      <c r="E44" t="s">
        <v>194</v>
      </c>
      <c r="F44">
        <v>2.9</v>
      </c>
      <c r="G44">
        <v>2900</v>
      </c>
      <c r="H44">
        <v>646</v>
      </c>
      <c r="I44">
        <v>2973</v>
      </c>
      <c r="J44">
        <v>2585</v>
      </c>
      <c r="K44" t="s">
        <v>687</v>
      </c>
    </row>
    <row r="45" spans="1:11">
      <c r="A45" t="s">
        <v>242</v>
      </c>
      <c r="B45" t="s">
        <v>59</v>
      </c>
      <c r="C45" t="s">
        <v>119</v>
      </c>
      <c r="D45" t="s">
        <v>203</v>
      </c>
      <c r="E45" t="s">
        <v>196</v>
      </c>
      <c r="F45">
        <v>1.1599999999999999</v>
      </c>
      <c r="G45">
        <v>1160</v>
      </c>
      <c r="H45">
        <v>1163</v>
      </c>
      <c r="I45">
        <v>3490</v>
      </c>
      <c r="J45">
        <v>2585</v>
      </c>
      <c r="K45" t="s">
        <v>688</v>
      </c>
    </row>
    <row r="46" spans="1:11">
      <c r="A46" t="s">
        <v>243</v>
      </c>
      <c r="B46" t="s">
        <v>17</v>
      </c>
      <c r="C46" t="s">
        <v>80</v>
      </c>
      <c r="D46" t="s">
        <v>189</v>
      </c>
      <c r="E46" t="s">
        <v>190</v>
      </c>
      <c r="F46">
        <v>2.2999999999999998</v>
      </c>
      <c r="G46">
        <v>2300</v>
      </c>
      <c r="H46">
        <v>0</v>
      </c>
      <c r="I46">
        <v>2767</v>
      </c>
      <c r="J46">
        <v>3074</v>
      </c>
      <c r="K46" t="s">
        <v>685</v>
      </c>
    </row>
    <row r="47" spans="1:11">
      <c r="A47" t="s">
        <v>244</v>
      </c>
      <c r="B47" t="s">
        <v>17</v>
      </c>
      <c r="C47" t="s">
        <v>80</v>
      </c>
      <c r="D47" t="s">
        <v>189</v>
      </c>
      <c r="E47" t="s">
        <v>192</v>
      </c>
      <c r="F47">
        <v>3.68</v>
      </c>
      <c r="G47">
        <v>3680</v>
      </c>
      <c r="H47">
        <v>307</v>
      </c>
      <c r="I47">
        <v>3074</v>
      </c>
      <c r="J47">
        <v>3074</v>
      </c>
      <c r="K47" t="s">
        <v>686</v>
      </c>
    </row>
    <row r="48" spans="1:11">
      <c r="A48" t="s">
        <v>245</v>
      </c>
      <c r="B48" t="s">
        <v>17</v>
      </c>
      <c r="C48" t="s">
        <v>80</v>
      </c>
      <c r="D48" t="s">
        <v>189</v>
      </c>
      <c r="E48" t="s">
        <v>194</v>
      </c>
      <c r="F48">
        <v>2.2999999999999998</v>
      </c>
      <c r="G48">
        <v>2300</v>
      </c>
      <c r="H48">
        <v>768</v>
      </c>
      <c r="I48">
        <v>3535</v>
      </c>
      <c r="J48">
        <v>3074</v>
      </c>
      <c r="K48" t="s">
        <v>687</v>
      </c>
    </row>
    <row r="49" spans="1:11">
      <c r="A49" t="s">
        <v>246</v>
      </c>
      <c r="B49" t="s">
        <v>17</v>
      </c>
      <c r="C49" t="s">
        <v>80</v>
      </c>
      <c r="D49" t="s">
        <v>189</v>
      </c>
      <c r="E49" t="s">
        <v>196</v>
      </c>
      <c r="F49">
        <v>0.92</v>
      </c>
      <c r="G49">
        <v>920</v>
      </c>
      <c r="H49">
        <v>1383</v>
      </c>
      <c r="I49">
        <v>4150</v>
      </c>
      <c r="J49">
        <v>3074</v>
      </c>
      <c r="K49" t="s">
        <v>688</v>
      </c>
    </row>
    <row r="50" spans="1:11">
      <c r="A50" t="s">
        <v>247</v>
      </c>
      <c r="B50" t="s">
        <v>49</v>
      </c>
      <c r="C50" t="s">
        <v>110</v>
      </c>
      <c r="D50" t="s">
        <v>189</v>
      </c>
      <c r="E50" t="s">
        <v>190</v>
      </c>
      <c r="F50">
        <v>1.25</v>
      </c>
      <c r="G50">
        <v>1250</v>
      </c>
      <c r="H50">
        <v>0</v>
      </c>
      <c r="I50">
        <v>2767</v>
      </c>
      <c r="J50">
        <v>3074</v>
      </c>
      <c r="K50" t="s">
        <v>685</v>
      </c>
    </row>
    <row r="51" spans="1:11">
      <c r="A51" t="s">
        <v>248</v>
      </c>
      <c r="B51" t="s">
        <v>49</v>
      </c>
      <c r="C51" t="s">
        <v>110</v>
      </c>
      <c r="D51" t="s">
        <v>189</v>
      </c>
      <c r="E51" t="s">
        <v>192</v>
      </c>
      <c r="F51">
        <v>2</v>
      </c>
      <c r="G51">
        <v>2000</v>
      </c>
      <c r="H51">
        <v>307</v>
      </c>
      <c r="I51">
        <v>3074</v>
      </c>
      <c r="J51">
        <v>3074</v>
      </c>
      <c r="K51" t="s">
        <v>686</v>
      </c>
    </row>
    <row r="52" spans="1:11">
      <c r="A52" t="s">
        <v>249</v>
      </c>
      <c r="B52" t="s">
        <v>49</v>
      </c>
      <c r="C52" t="s">
        <v>110</v>
      </c>
      <c r="D52" t="s">
        <v>189</v>
      </c>
      <c r="E52" t="s">
        <v>194</v>
      </c>
      <c r="F52">
        <v>1.25</v>
      </c>
      <c r="G52">
        <v>1250</v>
      </c>
      <c r="H52">
        <v>768</v>
      </c>
      <c r="I52">
        <v>3535</v>
      </c>
      <c r="J52">
        <v>3074</v>
      </c>
      <c r="K52" t="s">
        <v>687</v>
      </c>
    </row>
    <row r="53" spans="1:11">
      <c r="A53" t="s">
        <v>250</v>
      </c>
      <c r="B53" t="s">
        <v>49</v>
      </c>
      <c r="C53" t="s">
        <v>110</v>
      </c>
      <c r="D53" t="s">
        <v>189</v>
      </c>
      <c r="E53" t="s">
        <v>196</v>
      </c>
      <c r="F53">
        <v>0.5</v>
      </c>
      <c r="G53">
        <v>500</v>
      </c>
      <c r="H53">
        <v>1383</v>
      </c>
      <c r="I53">
        <v>4150</v>
      </c>
      <c r="J53">
        <v>3074</v>
      </c>
      <c r="K53" t="s">
        <v>688</v>
      </c>
    </row>
    <row r="54" spans="1:11">
      <c r="A54" t="s">
        <v>251</v>
      </c>
      <c r="B54" t="s">
        <v>32</v>
      </c>
      <c r="C54" t="s">
        <v>94</v>
      </c>
      <c r="D54" t="s">
        <v>209</v>
      </c>
      <c r="E54" t="s">
        <v>190</v>
      </c>
      <c r="F54">
        <v>1.9</v>
      </c>
      <c r="G54">
        <v>1900</v>
      </c>
      <c r="H54">
        <v>0</v>
      </c>
      <c r="I54">
        <v>2420</v>
      </c>
      <c r="J54">
        <v>2689</v>
      </c>
      <c r="K54" t="s">
        <v>685</v>
      </c>
    </row>
    <row r="55" spans="1:11">
      <c r="A55" t="s">
        <v>252</v>
      </c>
      <c r="B55" t="s">
        <v>32</v>
      </c>
      <c r="C55" t="s">
        <v>94</v>
      </c>
      <c r="D55" t="s">
        <v>209</v>
      </c>
      <c r="E55" t="s">
        <v>192</v>
      </c>
      <c r="F55">
        <v>3.04</v>
      </c>
      <c r="G55">
        <v>3040</v>
      </c>
      <c r="H55">
        <v>269</v>
      </c>
      <c r="I55">
        <v>2689</v>
      </c>
      <c r="J55">
        <v>2689</v>
      </c>
      <c r="K55" t="s">
        <v>686</v>
      </c>
    </row>
    <row r="56" spans="1:11">
      <c r="A56" t="s">
        <v>253</v>
      </c>
      <c r="B56" t="s">
        <v>32</v>
      </c>
      <c r="C56" t="s">
        <v>94</v>
      </c>
      <c r="D56" t="s">
        <v>209</v>
      </c>
      <c r="E56" t="s">
        <v>194</v>
      </c>
      <c r="F56">
        <v>1.9</v>
      </c>
      <c r="G56">
        <v>1900</v>
      </c>
      <c r="H56">
        <v>672</v>
      </c>
      <c r="I56">
        <v>3092</v>
      </c>
      <c r="J56">
        <v>2689</v>
      </c>
      <c r="K56" t="s">
        <v>687</v>
      </c>
    </row>
    <row r="57" spans="1:11">
      <c r="A57" t="s">
        <v>254</v>
      </c>
      <c r="B57" t="s">
        <v>32</v>
      </c>
      <c r="C57" t="s">
        <v>94</v>
      </c>
      <c r="D57" t="s">
        <v>209</v>
      </c>
      <c r="E57" t="s">
        <v>196</v>
      </c>
      <c r="F57">
        <v>0.76</v>
      </c>
      <c r="G57">
        <v>760</v>
      </c>
      <c r="H57">
        <v>1210</v>
      </c>
      <c r="I57">
        <v>3630</v>
      </c>
      <c r="J57">
        <v>2689</v>
      </c>
      <c r="K57" t="s">
        <v>688</v>
      </c>
    </row>
    <row r="58" spans="1:11">
      <c r="A58" t="s">
        <v>255</v>
      </c>
      <c r="B58" t="s">
        <v>21</v>
      </c>
      <c r="C58" t="s">
        <v>84</v>
      </c>
      <c r="D58" t="s">
        <v>189</v>
      </c>
      <c r="E58" t="s">
        <v>190</v>
      </c>
      <c r="F58">
        <v>2.6749999999999998</v>
      </c>
      <c r="G58">
        <v>2675</v>
      </c>
      <c r="H58">
        <v>0</v>
      </c>
      <c r="I58">
        <v>2767</v>
      </c>
      <c r="J58">
        <v>3074</v>
      </c>
      <c r="K58" t="s">
        <v>685</v>
      </c>
    </row>
    <row r="59" spans="1:11">
      <c r="A59" t="s">
        <v>256</v>
      </c>
      <c r="B59" t="s">
        <v>21</v>
      </c>
      <c r="C59" t="s">
        <v>84</v>
      </c>
      <c r="D59" t="s">
        <v>189</v>
      </c>
      <c r="E59" t="s">
        <v>192</v>
      </c>
      <c r="F59">
        <v>4.28</v>
      </c>
      <c r="G59">
        <v>4280</v>
      </c>
      <c r="H59">
        <v>307</v>
      </c>
      <c r="I59">
        <v>3074</v>
      </c>
      <c r="J59">
        <v>3074</v>
      </c>
      <c r="K59" t="s">
        <v>686</v>
      </c>
    </row>
    <row r="60" spans="1:11">
      <c r="A60" t="s">
        <v>257</v>
      </c>
      <c r="B60" t="s">
        <v>21</v>
      </c>
      <c r="C60" t="s">
        <v>84</v>
      </c>
      <c r="D60" t="s">
        <v>189</v>
      </c>
      <c r="E60" t="s">
        <v>194</v>
      </c>
      <c r="F60">
        <v>2.6749999999999998</v>
      </c>
      <c r="G60">
        <v>2675</v>
      </c>
      <c r="H60">
        <v>768</v>
      </c>
      <c r="I60">
        <v>3535</v>
      </c>
      <c r="J60">
        <v>3074</v>
      </c>
      <c r="K60" t="s">
        <v>687</v>
      </c>
    </row>
    <row r="61" spans="1:11">
      <c r="A61" t="s">
        <v>258</v>
      </c>
      <c r="B61" t="s">
        <v>21</v>
      </c>
      <c r="C61" t="s">
        <v>84</v>
      </c>
      <c r="D61" t="s">
        <v>189</v>
      </c>
      <c r="E61" t="s">
        <v>196</v>
      </c>
      <c r="F61">
        <v>1.07</v>
      </c>
      <c r="G61">
        <v>1070</v>
      </c>
      <c r="H61">
        <v>1383</v>
      </c>
      <c r="I61">
        <v>4150</v>
      </c>
      <c r="J61">
        <v>3074</v>
      </c>
      <c r="K61" t="s">
        <v>688</v>
      </c>
    </row>
    <row r="62" spans="1:11">
      <c r="A62" t="s">
        <v>259</v>
      </c>
      <c r="B62" t="s">
        <v>31</v>
      </c>
      <c r="C62" t="s">
        <v>93</v>
      </c>
      <c r="D62" t="s">
        <v>189</v>
      </c>
      <c r="E62" t="s">
        <v>190</v>
      </c>
      <c r="F62">
        <v>1.7</v>
      </c>
      <c r="G62">
        <v>1700</v>
      </c>
      <c r="H62">
        <v>0</v>
      </c>
      <c r="I62">
        <v>2767</v>
      </c>
      <c r="J62">
        <v>3074</v>
      </c>
      <c r="K62" t="s">
        <v>685</v>
      </c>
    </row>
    <row r="63" spans="1:11">
      <c r="A63" t="s">
        <v>260</v>
      </c>
      <c r="B63" t="s">
        <v>31</v>
      </c>
      <c r="C63" t="s">
        <v>93</v>
      </c>
      <c r="D63" t="s">
        <v>189</v>
      </c>
      <c r="E63" t="s">
        <v>192</v>
      </c>
      <c r="F63">
        <v>2.72</v>
      </c>
      <c r="G63">
        <v>2720</v>
      </c>
      <c r="H63">
        <v>307</v>
      </c>
      <c r="I63">
        <v>3074</v>
      </c>
      <c r="J63">
        <v>3074</v>
      </c>
      <c r="K63" t="s">
        <v>686</v>
      </c>
    </row>
    <row r="64" spans="1:11">
      <c r="A64" t="s">
        <v>261</v>
      </c>
      <c r="B64" t="s">
        <v>31</v>
      </c>
      <c r="C64" t="s">
        <v>93</v>
      </c>
      <c r="D64" t="s">
        <v>189</v>
      </c>
      <c r="E64" t="s">
        <v>194</v>
      </c>
      <c r="F64">
        <v>1.7</v>
      </c>
      <c r="G64">
        <v>1700</v>
      </c>
      <c r="H64">
        <v>768</v>
      </c>
      <c r="I64">
        <v>3535</v>
      </c>
      <c r="J64">
        <v>3074</v>
      </c>
      <c r="K64" t="s">
        <v>687</v>
      </c>
    </row>
    <row r="65" spans="1:11">
      <c r="A65" t="s">
        <v>262</v>
      </c>
      <c r="B65" t="s">
        <v>31</v>
      </c>
      <c r="C65" t="s">
        <v>93</v>
      </c>
      <c r="D65" t="s">
        <v>189</v>
      </c>
      <c r="E65" t="s">
        <v>196</v>
      </c>
      <c r="F65">
        <v>0.68</v>
      </c>
      <c r="G65">
        <v>680</v>
      </c>
      <c r="H65">
        <v>1383</v>
      </c>
      <c r="I65">
        <v>4150</v>
      </c>
      <c r="J65">
        <v>3074</v>
      </c>
      <c r="K65" t="s">
        <v>688</v>
      </c>
    </row>
    <row r="66" spans="1:11">
      <c r="A66" t="s">
        <v>263</v>
      </c>
      <c r="B66" t="s">
        <v>46</v>
      </c>
      <c r="C66" t="s">
        <v>107</v>
      </c>
      <c r="D66" t="s">
        <v>231</v>
      </c>
      <c r="E66" t="s">
        <v>190</v>
      </c>
      <c r="F66">
        <v>0.22500000000000001</v>
      </c>
      <c r="G66">
        <v>225</v>
      </c>
      <c r="H66">
        <v>0</v>
      </c>
      <c r="I66">
        <v>2046</v>
      </c>
      <c r="J66">
        <v>2273</v>
      </c>
      <c r="K66" t="s">
        <v>685</v>
      </c>
    </row>
    <row r="67" spans="1:11">
      <c r="A67" t="s">
        <v>264</v>
      </c>
      <c r="B67" t="s">
        <v>46</v>
      </c>
      <c r="C67" t="s">
        <v>107</v>
      </c>
      <c r="D67" t="s">
        <v>231</v>
      </c>
      <c r="E67" t="s">
        <v>192</v>
      </c>
      <c r="F67">
        <v>0.36</v>
      </c>
      <c r="G67">
        <v>360</v>
      </c>
      <c r="H67">
        <v>227</v>
      </c>
      <c r="I67">
        <v>2273</v>
      </c>
      <c r="J67">
        <v>2273</v>
      </c>
      <c r="K67" t="s">
        <v>686</v>
      </c>
    </row>
    <row r="68" spans="1:11">
      <c r="A68" t="s">
        <v>265</v>
      </c>
      <c r="B68" t="s">
        <v>46</v>
      </c>
      <c r="C68" t="s">
        <v>107</v>
      </c>
      <c r="D68" t="s">
        <v>231</v>
      </c>
      <c r="E68" t="s">
        <v>194</v>
      </c>
      <c r="F68">
        <v>0.22500000000000001</v>
      </c>
      <c r="G68">
        <v>225</v>
      </c>
      <c r="H68">
        <v>568</v>
      </c>
      <c r="I68">
        <v>2614</v>
      </c>
      <c r="J68">
        <v>2273</v>
      </c>
      <c r="K68" t="s">
        <v>687</v>
      </c>
    </row>
    <row r="69" spans="1:11">
      <c r="A69" t="s">
        <v>266</v>
      </c>
      <c r="B69" t="s">
        <v>46</v>
      </c>
      <c r="C69" t="s">
        <v>107</v>
      </c>
      <c r="D69" t="s">
        <v>231</v>
      </c>
      <c r="E69" t="s">
        <v>196</v>
      </c>
      <c r="F69">
        <v>0.09</v>
      </c>
      <c r="G69">
        <v>90</v>
      </c>
      <c r="H69">
        <v>1023</v>
      </c>
      <c r="I69">
        <v>3068</v>
      </c>
      <c r="J69">
        <v>2273</v>
      </c>
      <c r="K69" t="s">
        <v>688</v>
      </c>
    </row>
    <row r="70" spans="1:11">
      <c r="A70" t="s">
        <v>267</v>
      </c>
      <c r="B70" t="s">
        <v>56</v>
      </c>
      <c r="C70" t="s">
        <v>116</v>
      </c>
      <c r="D70" t="s">
        <v>209</v>
      </c>
      <c r="E70" t="s">
        <v>190</v>
      </c>
      <c r="F70">
        <v>1.5</v>
      </c>
      <c r="G70">
        <v>1500</v>
      </c>
      <c r="H70">
        <v>0</v>
      </c>
      <c r="I70">
        <v>2420</v>
      </c>
      <c r="J70">
        <v>2689</v>
      </c>
      <c r="K70" t="s">
        <v>685</v>
      </c>
    </row>
    <row r="71" spans="1:11">
      <c r="A71" t="s">
        <v>268</v>
      </c>
      <c r="B71" t="s">
        <v>56</v>
      </c>
      <c r="C71" t="s">
        <v>116</v>
      </c>
      <c r="D71" t="s">
        <v>209</v>
      </c>
      <c r="E71" t="s">
        <v>192</v>
      </c>
      <c r="F71">
        <v>2.4</v>
      </c>
      <c r="G71">
        <v>2400</v>
      </c>
      <c r="H71">
        <v>269</v>
      </c>
      <c r="I71">
        <v>2689</v>
      </c>
      <c r="J71">
        <v>2689</v>
      </c>
      <c r="K71" t="s">
        <v>686</v>
      </c>
    </row>
    <row r="72" spans="1:11">
      <c r="A72" t="s">
        <v>269</v>
      </c>
      <c r="B72" t="s">
        <v>56</v>
      </c>
      <c r="C72" t="s">
        <v>116</v>
      </c>
      <c r="D72" t="s">
        <v>209</v>
      </c>
      <c r="E72" t="s">
        <v>194</v>
      </c>
      <c r="F72">
        <v>1.5</v>
      </c>
      <c r="G72">
        <v>1500</v>
      </c>
      <c r="H72">
        <v>672</v>
      </c>
      <c r="I72">
        <v>3092</v>
      </c>
      <c r="J72">
        <v>2689</v>
      </c>
      <c r="K72" t="s">
        <v>687</v>
      </c>
    </row>
    <row r="73" spans="1:11">
      <c r="A73" t="s">
        <v>270</v>
      </c>
      <c r="B73" t="s">
        <v>56</v>
      </c>
      <c r="C73" t="s">
        <v>116</v>
      </c>
      <c r="D73" t="s">
        <v>209</v>
      </c>
      <c r="E73" t="s">
        <v>196</v>
      </c>
      <c r="F73">
        <v>0.6</v>
      </c>
      <c r="G73">
        <v>600</v>
      </c>
      <c r="H73">
        <v>1210</v>
      </c>
      <c r="I73">
        <v>3630</v>
      </c>
      <c r="J73">
        <v>2689</v>
      </c>
      <c r="K73" t="s">
        <v>688</v>
      </c>
    </row>
    <row r="74" spans="1:11">
      <c r="A74" t="s">
        <v>271</v>
      </c>
      <c r="B74" t="s">
        <v>61</v>
      </c>
      <c r="C74" t="s">
        <v>121</v>
      </c>
      <c r="D74" t="s">
        <v>214</v>
      </c>
      <c r="E74" t="s">
        <v>190</v>
      </c>
      <c r="F74">
        <v>1.0249999999999999</v>
      </c>
      <c r="G74">
        <v>1025</v>
      </c>
      <c r="H74">
        <v>0</v>
      </c>
      <c r="I74">
        <v>2578</v>
      </c>
      <c r="J74">
        <v>2864</v>
      </c>
      <c r="K74" t="s">
        <v>685</v>
      </c>
    </row>
    <row r="75" spans="1:11">
      <c r="A75" t="s">
        <v>272</v>
      </c>
      <c r="B75" t="s">
        <v>61</v>
      </c>
      <c r="C75" t="s">
        <v>121</v>
      </c>
      <c r="D75" t="s">
        <v>214</v>
      </c>
      <c r="E75" t="s">
        <v>192</v>
      </c>
      <c r="F75">
        <v>1.64</v>
      </c>
      <c r="G75">
        <v>1640</v>
      </c>
      <c r="H75">
        <v>286</v>
      </c>
      <c r="I75">
        <v>2864</v>
      </c>
      <c r="J75">
        <v>2864</v>
      </c>
      <c r="K75" t="s">
        <v>686</v>
      </c>
    </row>
    <row r="76" spans="1:11">
      <c r="A76" t="s">
        <v>273</v>
      </c>
      <c r="B76" t="s">
        <v>61</v>
      </c>
      <c r="C76" t="s">
        <v>121</v>
      </c>
      <c r="D76" t="s">
        <v>214</v>
      </c>
      <c r="E76" t="s">
        <v>194</v>
      </c>
      <c r="F76">
        <v>1.0249999999999999</v>
      </c>
      <c r="G76">
        <v>1025</v>
      </c>
      <c r="H76">
        <v>716</v>
      </c>
      <c r="I76">
        <v>3294</v>
      </c>
      <c r="J76">
        <v>2864</v>
      </c>
      <c r="K76" t="s">
        <v>687</v>
      </c>
    </row>
    <row r="77" spans="1:11">
      <c r="A77" t="s">
        <v>274</v>
      </c>
      <c r="B77" t="s">
        <v>61</v>
      </c>
      <c r="C77" t="s">
        <v>121</v>
      </c>
      <c r="D77" t="s">
        <v>214</v>
      </c>
      <c r="E77" t="s">
        <v>196</v>
      </c>
      <c r="F77">
        <v>0.41</v>
      </c>
      <c r="G77">
        <v>410</v>
      </c>
      <c r="H77">
        <v>1289</v>
      </c>
      <c r="I77">
        <v>3867</v>
      </c>
      <c r="J77">
        <v>2864</v>
      </c>
      <c r="K77" t="s">
        <v>688</v>
      </c>
    </row>
    <row r="78" spans="1:11">
      <c r="A78" t="s">
        <v>275</v>
      </c>
      <c r="B78" t="s">
        <v>27</v>
      </c>
      <c r="C78" t="s">
        <v>91</v>
      </c>
      <c r="D78" t="s">
        <v>209</v>
      </c>
      <c r="E78" t="s">
        <v>190</v>
      </c>
      <c r="F78">
        <v>1.65</v>
      </c>
      <c r="G78">
        <v>1650</v>
      </c>
      <c r="H78">
        <v>0</v>
      </c>
      <c r="I78">
        <v>2420</v>
      </c>
      <c r="J78">
        <v>2689</v>
      </c>
      <c r="K78" t="s">
        <v>685</v>
      </c>
    </row>
    <row r="79" spans="1:11">
      <c r="A79" t="s">
        <v>276</v>
      </c>
      <c r="B79" t="s">
        <v>27</v>
      </c>
      <c r="C79" t="s">
        <v>91</v>
      </c>
      <c r="D79" t="s">
        <v>209</v>
      </c>
      <c r="E79" t="s">
        <v>192</v>
      </c>
      <c r="F79">
        <v>2.64</v>
      </c>
      <c r="G79">
        <v>2640</v>
      </c>
      <c r="H79">
        <v>269</v>
      </c>
      <c r="I79">
        <v>2689</v>
      </c>
      <c r="J79">
        <v>2689</v>
      </c>
      <c r="K79" t="s">
        <v>686</v>
      </c>
    </row>
    <row r="80" spans="1:11">
      <c r="A80" t="s">
        <v>277</v>
      </c>
      <c r="B80" t="s">
        <v>27</v>
      </c>
      <c r="C80" t="s">
        <v>91</v>
      </c>
      <c r="D80" t="s">
        <v>209</v>
      </c>
      <c r="E80" t="s">
        <v>194</v>
      </c>
      <c r="F80">
        <v>1.65</v>
      </c>
      <c r="G80">
        <v>1650</v>
      </c>
      <c r="H80">
        <v>672</v>
      </c>
      <c r="I80">
        <v>3092</v>
      </c>
      <c r="J80">
        <v>2689</v>
      </c>
      <c r="K80" t="s">
        <v>687</v>
      </c>
    </row>
    <row r="81" spans="1:11">
      <c r="A81" t="s">
        <v>278</v>
      </c>
      <c r="B81" t="s">
        <v>27</v>
      </c>
      <c r="C81" t="s">
        <v>91</v>
      </c>
      <c r="D81" t="s">
        <v>209</v>
      </c>
      <c r="E81" t="s">
        <v>196</v>
      </c>
      <c r="F81">
        <v>0.66</v>
      </c>
      <c r="G81">
        <v>660</v>
      </c>
      <c r="H81">
        <v>1210</v>
      </c>
      <c r="I81">
        <v>3630</v>
      </c>
      <c r="J81">
        <v>2689</v>
      </c>
      <c r="K81" t="s">
        <v>688</v>
      </c>
    </row>
    <row r="82" spans="1:11">
      <c r="A82" t="s">
        <v>279</v>
      </c>
      <c r="B82" t="s">
        <v>16</v>
      </c>
      <c r="C82" t="s">
        <v>79</v>
      </c>
      <c r="D82" t="s">
        <v>209</v>
      </c>
      <c r="E82" t="s">
        <v>190</v>
      </c>
      <c r="F82">
        <v>1.05</v>
      </c>
      <c r="G82">
        <v>1050</v>
      </c>
      <c r="H82">
        <v>0</v>
      </c>
      <c r="I82">
        <v>2420</v>
      </c>
      <c r="J82">
        <v>2689</v>
      </c>
      <c r="K82" t="s">
        <v>685</v>
      </c>
    </row>
    <row r="83" spans="1:11">
      <c r="A83" t="s">
        <v>280</v>
      </c>
      <c r="B83" t="s">
        <v>16</v>
      </c>
      <c r="C83" t="s">
        <v>79</v>
      </c>
      <c r="D83" t="s">
        <v>209</v>
      </c>
      <c r="E83" t="s">
        <v>192</v>
      </c>
      <c r="F83">
        <v>1.68</v>
      </c>
      <c r="G83">
        <v>1680</v>
      </c>
      <c r="H83">
        <v>269</v>
      </c>
      <c r="I83">
        <v>2689</v>
      </c>
      <c r="J83">
        <v>2689</v>
      </c>
      <c r="K83" t="s">
        <v>686</v>
      </c>
    </row>
    <row r="84" spans="1:11">
      <c r="A84" t="s">
        <v>281</v>
      </c>
      <c r="B84" t="s">
        <v>16</v>
      </c>
      <c r="C84" t="s">
        <v>79</v>
      </c>
      <c r="D84" t="s">
        <v>209</v>
      </c>
      <c r="E84" t="s">
        <v>194</v>
      </c>
      <c r="F84">
        <v>1.05</v>
      </c>
      <c r="G84">
        <v>1050</v>
      </c>
      <c r="H84">
        <v>672</v>
      </c>
      <c r="I84">
        <v>3092</v>
      </c>
      <c r="J84">
        <v>2689</v>
      </c>
      <c r="K84" t="s">
        <v>687</v>
      </c>
    </row>
    <row r="85" spans="1:11">
      <c r="A85" t="s">
        <v>282</v>
      </c>
      <c r="B85" t="s">
        <v>16</v>
      </c>
      <c r="C85" t="s">
        <v>79</v>
      </c>
      <c r="D85" t="s">
        <v>209</v>
      </c>
      <c r="E85" t="s">
        <v>196</v>
      </c>
      <c r="F85">
        <v>0.42</v>
      </c>
      <c r="G85">
        <v>420</v>
      </c>
      <c r="H85">
        <v>1210</v>
      </c>
      <c r="I85">
        <v>3630</v>
      </c>
      <c r="J85">
        <v>2689</v>
      </c>
      <c r="K85" t="s">
        <v>688</v>
      </c>
    </row>
    <row r="86" spans="1:11">
      <c r="A86" t="s">
        <v>283</v>
      </c>
      <c r="B86" t="s">
        <v>70</v>
      </c>
      <c r="C86" t="s">
        <v>130</v>
      </c>
      <c r="D86" t="s">
        <v>209</v>
      </c>
      <c r="E86" t="s">
        <v>190</v>
      </c>
      <c r="F86">
        <v>1.45</v>
      </c>
      <c r="G86">
        <v>1450</v>
      </c>
      <c r="H86">
        <v>0</v>
      </c>
      <c r="I86">
        <v>2420</v>
      </c>
      <c r="J86">
        <v>2689</v>
      </c>
      <c r="K86" t="s">
        <v>685</v>
      </c>
    </row>
    <row r="87" spans="1:11">
      <c r="A87" t="s">
        <v>284</v>
      </c>
      <c r="B87" t="s">
        <v>70</v>
      </c>
      <c r="C87" t="s">
        <v>130</v>
      </c>
      <c r="D87" t="s">
        <v>209</v>
      </c>
      <c r="E87" t="s">
        <v>192</v>
      </c>
      <c r="F87">
        <v>2.3199999999999998</v>
      </c>
      <c r="G87">
        <v>2320</v>
      </c>
      <c r="H87">
        <v>269</v>
      </c>
      <c r="I87">
        <v>2689</v>
      </c>
      <c r="J87">
        <v>2689</v>
      </c>
      <c r="K87" t="s">
        <v>686</v>
      </c>
    </row>
    <row r="88" spans="1:11">
      <c r="A88" t="s">
        <v>285</v>
      </c>
      <c r="B88" t="s">
        <v>70</v>
      </c>
      <c r="C88" t="s">
        <v>130</v>
      </c>
      <c r="D88" t="s">
        <v>209</v>
      </c>
      <c r="E88" t="s">
        <v>194</v>
      </c>
      <c r="F88">
        <v>1.45</v>
      </c>
      <c r="G88">
        <v>1450</v>
      </c>
      <c r="H88">
        <v>672</v>
      </c>
      <c r="I88">
        <v>3092</v>
      </c>
      <c r="J88">
        <v>2689</v>
      </c>
      <c r="K88" t="s">
        <v>687</v>
      </c>
    </row>
    <row r="89" spans="1:11">
      <c r="A89" t="s">
        <v>286</v>
      </c>
      <c r="B89" t="s">
        <v>70</v>
      </c>
      <c r="C89" t="s">
        <v>130</v>
      </c>
      <c r="D89" t="s">
        <v>209</v>
      </c>
      <c r="E89" t="s">
        <v>196</v>
      </c>
      <c r="F89">
        <v>0.57999999999999996</v>
      </c>
      <c r="G89">
        <v>580</v>
      </c>
      <c r="H89">
        <v>1210</v>
      </c>
      <c r="I89">
        <v>3630</v>
      </c>
      <c r="J89">
        <v>2689</v>
      </c>
      <c r="K89" t="s">
        <v>688</v>
      </c>
    </row>
    <row r="90" spans="1:11">
      <c r="A90" t="s">
        <v>287</v>
      </c>
      <c r="B90" t="s">
        <v>53</v>
      </c>
      <c r="C90" t="s">
        <v>114</v>
      </c>
      <c r="D90" t="s">
        <v>209</v>
      </c>
      <c r="E90" t="s">
        <v>190</v>
      </c>
      <c r="F90">
        <v>1.075</v>
      </c>
      <c r="G90">
        <v>1075</v>
      </c>
      <c r="H90">
        <v>0</v>
      </c>
      <c r="I90">
        <v>2420</v>
      </c>
      <c r="J90">
        <v>2689</v>
      </c>
      <c r="K90" t="s">
        <v>685</v>
      </c>
    </row>
    <row r="91" spans="1:11">
      <c r="A91" t="s">
        <v>288</v>
      </c>
      <c r="B91" t="s">
        <v>53</v>
      </c>
      <c r="C91" t="s">
        <v>114</v>
      </c>
      <c r="D91" t="s">
        <v>209</v>
      </c>
      <c r="E91" t="s">
        <v>192</v>
      </c>
      <c r="F91">
        <v>1.72</v>
      </c>
      <c r="G91">
        <v>1720</v>
      </c>
      <c r="H91">
        <v>269</v>
      </c>
      <c r="I91">
        <v>2689</v>
      </c>
      <c r="J91">
        <v>2689</v>
      </c>
      <c r="K91" t="s">
        <v>686</v>
      </c>
    </row>
    <row r="92" spans="1:11">
      <c r="A92" t="s">
        <v>289</v>
      </c>
      <c r="B92" t="s">
        <v>53</v>
      </c>
      <c r="C92" t="s">
        <v>114</v>
      </c>
      <c r="D92" t="s">
        <v>209</v>
      </c>
      <c r="E92" t="s">
        <v>194</v>
      </c>
      <c r="F92">
        <v>1.075</v>
      </c>
      <c r="G92">
        <v>1075</v>
      </c>
      <c r="H92">
        <v>672</v>
      </c>
      <c r="I92">
        <v>3092</v>
      </c>
      <c r="J92">
        <v>2689</v>
      </c>
      <c r="K92" t="s">
        <v>687</v>
      </c>
    </row>
    <row r="93" spans="1:11">
      <c r="A93" t="s">
        <v>290</v>
      </c>
      <c r="B93" t="s">
        <v>53</v>
      </c>
      <c r="C93" t="s">
        <v>114</v>
      </c>
      <c r="D93" t="s">
        <v>209</v>
      </c>
      <c r="E93" t="s">
        <v>196</v>
      </c>
      <c r="F93">
        <v>0.43</v>
      </c>
      <c r="G93">
        <v>430</v>
      </c>
      <c r="H93">
        <v>1210</v>
      </c>
      <c r="I93">
        <v>3630</v>
      </c>
      <c r="J93">
        <v>2689</v>
      </c>
      <c r="K93" t="s">
        <v>688</v>
      </c>
    </row>
    <row r="94" spans="1:11">
      <c r="A94" t="s">
        <v>291</v>
      </c>
      <c r="B94" t="s">
        <v>73</v>
      </c>
      <c r="C94" t="s">
        <v>133</v>
      </c>
      <c r="D94" t="s">
        <v>209</v>
      </c>
      <c r="E94" t="s">
        <v>190</v>
      </c>
      <c r="F94">
        <v>0.7</v>
      </c>
      <c r="G94">
        <v>700</v>
      </c>
      <c r="H94">
        <v>0</v>
      </c>
      <c r="I94">
        <v>2420</v>
      </c>
      <c r="J94">
        <v>2689</v>
      </c>
      <c r="K94" t="s">
        <v>685</v>
      </c>
    </row>
    <row r="95" spans="1:11">
      <c r="A95" t="s">
        <v>292</v>
      </c>
      <c r="B95" t="s">
        <v>73</v>
      </c>
      <c r="C95" t="s">
        <v>133</v>
      </c>
      <c r="D95" t="s">
        <v>209</v>
      </c>
      <c r="E95" t="s">
        <v>192</v>
      </c>
      <c r="F95">
        <v>1.1200000000000001</v>
      </c>
      <c r="G95">
        <v>1120</v>
      </c>
      <c r="H95">
        <v>269</v>
      </c>
      <c r="I95">
        <v>2689</v>
      </c>
      <c r="J95">
        <v>2689</v>
      </c>
      <c r="K95" t="s">
        <v>686</v>
      </c>
    </row>
    <row r="96" spans="1:11">
      <c r="A96" t="s">
        <v>293</v>
      </c>
      <c r="B96" t="s">
        <v>73</v>
      </c>
      <c r="C96" t="s">
        <v>133</v>
      </c>
      <c r="D96" t="s">
        <v>209</v>
      </c>
      <c r="E96" t="s">
        <v>194</v>
      </c>
      <c r="F96">
        <v>0.7</v>
      </c>
      <c r="G96">
        <v>700</v>
      </c>
      <c r="H96">
        <v>672</v>
      </c>
      <c r="I96">
        <v>3092</v>
      </c>
      <c r="J96">
        <v>2689</v>
      </c>
      <c r="K96" t="s">
        <v>687</v>
      </c>
    </row>
    <row r="97" spans="1:11">
      <c r="A97" t="s">
        <v>294</v>
      </c>
      <c r="B97" t="s">
        <v>73</v>
      </c>
      <c r="C97" t="s">
        <v>133</v>
      </c>
      <c r="D97" t="s">
        <v>209</v>
      </c>
      <c r="E97" t="s">
        <v>196</v>
      </c>
      <c r="F97">
        <v>0.28000000000000003</v>
      </c>
      <c r="G97">
        <v>280</v>
      </c>
      <c r="H97">
        <v>1210</v>
      </c>
      <c r="I97">
        <v>3630</v>
      </c>
      <c r="J97">
        <v>2689</v>
      </c>
      <c r="K97" t="s">
        <v>688</v>
      </c>
    </row>
    <row r="98" spans="1:11">
      <c r="A98" t="s">
        <v>295</v>
      </c>
      <c r="B98" t="s">
        <v>86</v>
      </c>
      <c r="C98" t="s">
        <v>87</v>
      </c>
      <c r="D98" t="s">
        <v>203</v>
      </c>
      <c r="E98" t="s">
        <v>190</v>
      </c>
      <c r="F98">
        <v>0.85</v>
      </c>
      <c r="G98">
        <v>850</v>
      </c>
      <c r="H98">
        <v>0</v>
      </c>
      <c r="I98">
        <v>2327</v>
      </c>
      <c r="J98">
        <v>2585</v>
      </c>
      <c r="K98" t="s">
        <v>685</v>
      </c>
    </row>
    <row r="99" spans="1:11">
      <c r="A99" t="s">
        <v>296</v>
      </c>
      <c r="B99" t="s">
        <v>86</v>
      </c>
      <c r="C99" t="s">
        <v>87</v>
      </c>
      <c r="D99" t="s">
        <v>203</v>
      </c>
      <c r="E99" t="s">
        <v>192</v>
      </c>
      <c r="F99">
        <v>1.36</v>
      </c>
      <c r="G99">
        <v>1360</v>
      </c>
      <c r="H99">
        <v>259</v>
      </c>
      <c r="I99">
        <v>2585</v>
      </c>
      <c r="J99">
        <v>2585</v>
      </c>
      <c r="K99" t="s">
        <v>686</v>
      </c>
    </row>
    <row r="100" spans="1:11">
      <c r="A100" t="s">
        <v>297</v>
      </c>
      <c r="B100" t="s">
        <v>86</v>
      </c>
      <c r="C100" t="s">
        <v>87</v>
      </c>
      <c r="D100" t="s">
        <v>203</v>
      </c>
      <c r="E100" t="s">
        <v>194</v>
      </c>
      <c r="F100">
        <v>0.85</v>
      </c>
      <c r="G100">
        <v>850</v>
      </c>
      <c r="H100">
        <v>646</v>
      </c>
      <c r="I100">
        <v>2973</v>
      </c>
      <c r="J100">
        <v>2585</v>
      </c>
      <c r="K100" t="s">
        <v>687</v>
      </c>
    </row>
    <row r="101" spans="1:11">
      <c r="A101" t="s">
        <v>298</v>
      </c>
      <c r="B101" t="s">
        <v>86</v>
      </c>
      <c r="C101" t="s">
        <v>87</v>
      </c>
      <c r="D101" t="s">
        <v>203</v>
      </c>
      <c r="E101" t="s">
        <v>196</v>
      </c>
      <c r="F101">
        <v>0.34</v>
      </c>
      <c r="G101">
        <v>340</v>
      </c>
      <c r="H101">
        <v>1163</v>
      </c>
      <c r="I101">
        <v>3490</v>
      </c>
      <c r="J101">
        <v>2585</v>
      </c>
      <c r="K101" t="s">
        <v>688</v>
      </c>
    </row>
    <row r="102" spans="1:11">
      <c r="A102" t="s">
        <v>299</v>
      </c>
      <c r="B102" t="s">
        <v>71</v>
      </c>
      <c r="C102" t="s">
        <v>131</v>
      </c>
      <c r="D102" t="s">
        <v>209</v>
      </c>
      <c r="E102" t="s">
        <v>190</v>
      </c>
      <c r="F102">
        <v>1</v>
      </c>
      <c r="G102">
        <v>1000</v>
      </c>
      <c r="H102">
        <v>0</v>
      </c>
      <c r="I102">
        <v>2420</v>
      </c>
      <c r="J102">
        <v>2689</v>
      </c>
      <c r="K102" t="s">
        <v>685</v>
      </c>
    </row>
    <row r="103" spans="1:11">
      <c r="A103" t="s">
        <v>300</v>
      </c>
      <c r="B103" t="s">
        <v>71</v>
      </c>
      <c r="C103" t="s">
        <v>131</v>
      </c>
      <c r="D103" t="s">
        <v>209</v>
      </c>
      <c r="E103" t="s">
        <v>192</v>
      </c>
      <c r="F103">
        <v>1.6</v>
      </c>
      <c r="G103">
        <v>1600</v>
      </c>
      <c r="H103">
        <v>269</v>
      </c>
      <c r="I103">
        <v>2689</v>
      </c>
      <c r="J103">
        <v>2689</v>
      </c>
      <c r="K103" t="s">
        <v>686</v>
      </c>
    </row>
    <row r="104" spans="1:11">
      <c r="A104" t="s">
        <v>301</v>
      </c>
      <c r="B104" t="s">
        <v>71</v>
      </c>
      <c r="C104" t="s">
        <v>131</v>
      </c>
      <c r="D104" t="s">
        <v>209</v>
      </c>
      <c r="E104" t="s">
        <v>194</v>
      </c>
      <c r="F104">
        <v>1</v>
      </c>
      <c r="G104">
        <v>1000</v>
      </c>
      <c r="H104">
        <v>672</v>
      </c>
      <c r="I104">
        <v>3092</v>
      </c>
      <c r="J104">
        <v>2689</v>
      </c>
      <c r="K104" t="s">
        <v>687</v>
      </c>
    </row>
    <row r="105" spans="1:11">
      <c r="A105" t="s">
        <v>302</v>
      </c>
      <c r="B105" t="s">
        <v>71</v>
      </c>
      <c r="C105" t="s">
        <v>131</v>
      </c>
      <c r="D105" t="s">
        <v>209</v>
      </c>
      <c r="E105" t="s">
        <v>196</v>
      </c>
      <c r="F105">
        <v>0.4</v>
      </c>
      <c r="G105">
        <v>400</v>
      </c>
      <c r="H105">
        <v>1210</v>
      </c>
      <c r="I105">
        <v>3630</v>
      </c>
      <c r="J105">
        <v>2689</v>
      </c>
      <c r="K105" t="s">
        <v>688</v>
      </c>
    </row>
    <row r="106" spans="1:11">
      <c r="A106" t="s">
        <v>303</v>
      </c>
      <c r="B106" t="s">
        <v>62</v>
      </c>
      <c r="C106" t="s">
        <v>122</v>
      </c>
      <c r="D106" t="s">
        <v>214</v>
      </c>
      <c r="E106" t="s">
        <v>190</v>
      </c>
      <c r="F106">
        <v>1</v>
      </c>
      <c r="G106">
        <v>1000</v>
      </c>
      <c r="H106">
        <v>0</v>
      </c>
      <c r="I106">
        <v>2578</v>
      </c>
      <c r="J106">
        <v>2864</v>
      </c>
      <c r="K106" t="s">
        <v>685</v>
      </c>
    </row>
    <row r="107" spans="1:11">
      <c r="A107" t="s">
        <v>304</v>
      </c>
      <c r="B107" t="s">
        <v>62</v>
      </c>
      <c r="C107" t="s">
        <v>122</v>
      </c>
      <c r="D107" t="s">
        <v>214</v>
      </c>
      <c r="E107" t="s">
        <v>192</v>
      </c>
      <c r="F107">
        <v>1.6</v>
      </c>
      <c r="G107">
        <v>1600</v>
      </c>
      <c r="H107">
        <v>286</v>
      </c>
      <c r="I107">
        <v>2864</v>
      </c>
      <c r="J107">
        <v>2864</v>
      </c>
      <c r="K107" t="s">
        <v>686</v>
      </c>
    </row>
    <row r="108" spans="1:11">
      <c r="A108" t="s">
        <v>305</v>
      </c>
      <c r="B108" t="s">
        <v>62</v>
      </c>
      <c r="C108" t="s">
        <v>122</v>
      </c>
      <c r="D108" t="s">
        <v>214</v>
      </c>
      <c r="E108" t="s">
        <v>194</v>
      </c>
      <c r="F108">
        <v>1</v>
      </c>
      <c r="G108">
        <v>1000</v>
      </c>
      <c r="H108">
        <v>716</v>
      </c>
      <c r="I108">
        <v>3294</v>
      </c>
      <c r="J108">
        <v>2864</v>
      </c>
      <c r="K108" t="s">
        <v>687</v>
      </c>
    </row>
    <row r="109" spans="1:11">
      <c r="A109" t="s">
        <v>306</v>
      </c>
      <c r="B109" t="s">
        <v>62</v>
      </c>
      <c r="C109" t="s">
        <v>122</v>
      </c>
      <c r="D109" t="s">
        <v>214</v>
      </c>
      <c r="E109" t="s">
        <v>196</v>
      </c>
      <c r="F109">
        <v>0.4</v>
      </c>
      <c r="G109">
        <v>400</v>
      </c>
      <c r="H109">
        <v>1289</v>
      </c>
      <c r="I109">
        <v>3867</v>
      </c>
      <c r="J109">
        <v>2864</v>
      </c>
      <c r="K109" t="s">
        <v>688</v>
      </c>
    </row>
    <row r="110" spans="1:11">
      <c r="A110" t="s">
        <v>307</v>
      </c>
      <c r="B110" t="s">
        <v>74</v>
      </c>
      <c r="C110" t="s">
        <v>134</v>
      </c>
      <c r="D110" t="s">
        <v>209</v>
      </c>
      <c r="E110" t="s">
        <v>190</v>
      </c>
      <c r="F110">
        <v>0.5</v>
      </c>
      <c r="G110">
        <v>500</v>
      </c>
      <c r="H110">
        <v>0</v>
      </c>
      <c r="I110">
        <v>2420</v>
      </c>
      <c r="J110">
        <v>2689</v>
      </c>
      <c r="K110" t="s">
        <v>685</v>
      </c>
    </row>
    <row r="111" spans="1:11">
      <c r="A111" t="s">
        <v>308</v>
      </c>
      <c r="B111" t="s">
        <v>74</v>
      </c>
      <c r="C111" t="s">
        <v>134</v>
      </c>
      <c r="D111" t="s">
        <v>209</v>
      </c>
      <c r="E111" t="s">
        <v>192</v>
      </c>
      <c r="F111">
        <v>0.8</v>
      </c>
      <c r="G111">
        <v>800</v>
      </c>
      <c r="H111">
        <v>269</v>
      </c>
      <c r="I111">
        <v>2689</v>
      </c>
      <c r="J111">
        <v>2689</v>
      </c>
      <c r="K111" t="s">
        <v>686</v>
      </c>
    </row>
    <row r="112" spans="1:11">
      <c r="A112" t="s">
        <v>309</v>
      </c>
      <c r="B112" t="s">
        <v>74</v>
      </c>
      <c r="C112" t="s">
        <v>134</v>
      </c>
      <c r="D112" t="s">
        <v>209</v>
      </c>
      <c r="E112" t="s">
        <v>194</v>
      </c>
      <c r="F112">
        <v>0.5</v>
      </c>
      <c r="G112">
        <v>500</v>
      </c>
      <c r="H112">
        <v>672</v>
      </c>
      <c r="I112">
        <v>3092</v>
      </c>
      <c r="J112">
        <v>2689</v>
      </c>
      <c r="K112" t="s">
        <v>687</v>
      </c>
    </row>
    <row r="113" spans="1:11">
      <c r="A113" t="s">
        <v>310</v>
      </c>
      <c r="B113" t="s">
        <v>74</v>
      </c>
      <c r="C113" t="s">
        <v>134</v>
      </c>
      <c r="D113" t="s">
        <v>209</v>
      </c>
      <c r="E113" t="s">
        <v>196</v>
      </c>
      <c r="F113">
        <v>0.2</v>
      </c>
      <c r="G113">
        <v>200</v>
      </c>
      <c r="H113">
        <v>1210</v>
      </c>
      <c r="I113">
        <v>3630</v>
      </c>
      <c r="J113">
        <v>2689</v>
      </c>
      <c r="K113" t="s">
        <v>688</v>
      </c>
    </row>
    <row r="114" spans="1:11">
      <c r="A114" t="s">
        <v>311</v>
      </c>
      <c r="B114" t="s">
        <v>44</v>
      </c>
      <c r="C114" t="s">
        <v>312</v>
      </c>
      <c r="D114" t="s">
        <v>198</v>
      </c>
      <c r="E114" t="s">
        <v>190</v>
      </c>
      <c r="F114">
        <v>0.15</v>
      </c>
      <c r="G114">
        <v>150</v>
      </c>
      <c r="H114">
        <v>0</v>
      </c>
      <c r="I114">
        <v>2574</v>
      </c>
      <c r="J114">
        <v>2860</v>
      </c>
      <c r="K114" t="s">
        <v>685</v>
      </c>
    </row>
    <row r="115" spans="1:11">
      <c r="A115" t="s">
        <v>313</v>
      </c>
      <c r="B115" t="s">
        <v>44</v>
      </c>
      <c r="C115" t="s">
        <v>312</v>
      </c>
      <c r="D115" t="s">
        <v>198</v>
      </c>
      <c r="E115" t="s">
        <v>192</v>
      </c>
      <c r="F115">
        <v>0.24</v>
      </c>
      <c r="G115">
        <v>240</v>
      </c>
      <c r="H115">
        <v>286</v>
      </c>
      <c r="I115">
        <v>2860</v>
      </c>
      <c r="J115">
        <v>2860</v>
      </c>
      <c r="K115" t="s">
        <v>686</v>
      </c>
    </row>
    <row r="116" spans="1:11">
      <c r="A116" t="s">
        <v>314</v>
      </c>
      <c r="B116" t="s">
        <v>44</v>
      </c>
      <c r="C116" t="s">
        <v>312</v>
      </c>
      <c r="D116" t="s">
        <v>198</v>
      </c>
      <c r="E116" t="s">
        <v>194</v>
      </c>
      <c r="F116">
        <v>0.15</v>
      </c>
      <c r="G116">
        <v>150</v>
      </c>
      <c r="H116">
        <v>715</v>
      </c>
      <c r="I116">
        <v>3289</v>
      </c>
      <c r="J116">
        <v>2860</v>
      </c>
      <c r="K116" t="s">
        <v>687</v>
      </c>
    </row>
    <row r="117" spans="1:11">
      <c r="A117" t="s">
        <v>315</v>
      </c>
      <c r="B117" t="s">
        <v>44</v>
      </c>
      <c r="C117" t="s">
        <v>312</v>
      </c>
      <c r="D117" t="s">
        <v>198</v>
      </c>
      <c r="E117" t="s">
        <v>196</v>
      </c>
      <c r="F117">
        <v>0.06</v>
      </c>
      <c r="G117">
        <v>60</v>
      </c>
      <c r="H117">
        <v>1287</v>
      </c>
      <c r="I117">
        <v>3861</v>
      </c>
      <c r="J117">
        <v>2860</v>
      </c>
      <c r="K117" t="s">
        <v>688</v>
      </c>
    </row>
    <row r="118" spans="1:11">
      <c r="A118" t="s">
        <v>316</v>
      </c>
      <c r="B118" t="s">
        <v>43</v>
      </c>
      <c r="C118" t="s">
        <v>105</v>
      </c>
      <c r="D118" t="s">
        <v>209</v>
      </c>
      <c r="E118" t="s">
        <v>190</v>
      </c>
      <c r="F118">
        <v>0.65</v>
      </c>
      <c r="G118">
        <v>650</v>
      </c>
      <c r="H118">
        <v>0</v>
      </c>
      <c r="I118">
        <v>2420</v>
      </c>
      <c r="J118">
        <v>2689</v>
      </c>
      <c r="K118" t="s">
        <v>685</v>
      </c>
    </row>
    <row r="119" spans="1:11">
      <c r="A119" t="s">
        <v>317</v>
      </c>
      <c r="B119" t="s">
        <v>43</v>
      </c>
      <c r="C119" t="s">
        <v>105</v>
      </c>
      <c r="D119" t="s">
        <v>209</v>
      </c>
      <c r="E119" t="s">
        <v>192</v>
      </c>
      <c r="F119">
        <v>1.04</v>
      </c>
      <c r="G119">
        <v>1040</v>
      </c>
      <c r="H119">
        <v>269</v>
      </c>
      <c r="I119">
        <v>2689</v>
      </c>
      <c r="J119">
        <v>2689</v>
      </c>
      <c r="K119" t="s">
        <v>686</v>
      </c>
    </row>
    <row r="120" spans="1:11">
      <c r="A120" t="s">
        <v>318</v>
      </c>
      <c r="B120" t="s">
        <v>43</v>
      </c>
      <c r="C120" t="s">
        <v>105</v>
      </c>
      <c r="D120" t="s">
        <v>209</v>
      </c>
      <c r="E120" t="s">
        <v>194</v>
      </c>
      <c r="F120">
        <v>0.65</v>
      </c>
      <c r="G120">
        <v>650</v>
      </c>
      <c r="H120">
        <v>672</v>
      </c>
      <c r="I120">
        <v>3092</v>
      </c>
      <c r="J120">
        <v>2689</v>
      </c>
      <c r="K120" t="s">
        <v>687</v>
      </c>
    </row>
    <row r="121" spans="1:11">
      <c r="A121" t="s">
        <v>319</v>
      </c>
      <c r="B121" t="s">
        <v>43</v>
      </c>
      <c r="C121" t="s">
        <v>105</v>
      </c>
      <c r="D121" t="s">
        <v>209</v>
      </c>
      <c r="E121" t="s">
        <v>196</v>
      </c>
      <c r="F121">
        <v>0.26</v>
      </c>
      <c r="G121">
        <v>260</v>
      </c>
      <c r="H121">
        <v>1210</v>
      </c>
      <c r="I121">
        <v>3630</v>
      </c>
      <c r="J121">
        <v>2689</v>
      </c>
      <c r="K121" t="s">
        <v>688</v>
      </c>
    </row>
    <row r="122" spans="1:11">
      <c r="A122" t="s">
        <v>320</v>
      </c>
      <c r="B122" t="s">
        <v>36</v>
      </c>
      <c r="C122" t="s">
        <v>98</v>
      </c>
      <c r="D122" t="s">
        <v>189</v>
      </c>
      <c r="E122" t="s">
        <v>190</v>
      </c>
      <c r="F122">
        <v>0.42499999999999999</v>
      </c>
      <c r="G122">
        <v>425</v>
      </c>
      <c r="H122">
        <v>0</v>
      </c>
      <c r="I122">
        <v>2767</v>
      </c>
      <c r="J122">
        <v>3074</v>
      </c>
      <c r="K122" t="s">
        <v>685</v>
      </c>
    </row>
    <row r="123" spans="1:11">
      <c r="A123" t="s">
        <v>321</v>
      </c>
      <c r="B123" t="s">
        <v>36</v>
      </c>
      <c r="C123" t="s">
        <v>98</v>
      </c>
      <c r="D123" t="s">
        <v>189</v>
      </c>
      <c r="E123" t="s">
        <v>192</v>
      </c>
      <c r="F123">
        <v>0.68</v>
      </c>
      <c r="G123">
        <v>680</v>
      </c>
      <c r="H123">
        <v>307</v>
      </c>
      <c r="I123">
        <v>3074</v>
      </c>
      <c r="J123">
        <v>3074</v>
      </c>
      <c r="K123" t="s">
        <v>686</v>
      </c>
    </row>
    <row r="124" spans="1:11">
      <c r="A124" t="s">
        <v>322</v>
      </c>
      <c r="B124" t="s">
        <v>36</v>
      </c>
      <c r="C124" t="s">
        <v>98</v>
      </c>
      <c r="D124" t="s">
        <v>189</v>
      </c>
      <c r="E124" t="s">
        <v>194</v>
      </c>
      <c r="F124">
        <v>0.42499999999999999</v>
      </c>
      <c r="G124">
        <v>425</v>
      </c>
      <c r="H124">
        <v>768</v>
      </c>
      <c r="I124">
        <v>3535</v>
      </c>
      <c r="J124">
        <v>3074</v>
      </c>
      <c r="K124" t="s">
        <v>687</v>
      </c>
    </row>
    <row r="125" spans="1:11">
      <c r="A125" t="s">
        <v>323</v>
      </c>
      <c r="B125" t="s">
        <v>36</v>
      </c>
      <c r="C125" t="s">
        <v>98</v>
      </c>
      <c r="D125" t="s">
        <v>189</v>
      </c>
      <c r="E125" t="s">
        <v>196</v>
      </c>
      <c r="F125">
        <v>0.17</v>
      </c>
      <c r="G125">
        <v>170</v>
      </c>
      <c r="H125">
        <v>1383</v>
      </c>
      <c r="I125">
        <v>4150</v>
      </c>
      <c r="J125">
        <v>3074</v>
      </c>
      <c r="K125" t="s">
        <v>688</v>
      </c>
    </row>
    <row r="126" spans="1:11">
      <c r="A126" t="s">
        <v>324</v>
      </c>
      <c r="B126" t="s">
        <v>15</v>
      </c>
      <c r="C126" t="s">
        <v>78</v>
      </c>
      <c r="D126" t="s">
        <v>203</v>
      </c>
      <c r="E126" t="s">
        <v>190</v>
      </c>
      <c r="F126">
        <v>0.32500000000000001</v>
      </c>
      <c r="G126">
        <v>325</v>
      </c>
      <c r="H126">
        <v>0</v>
      </c>
      <c r="I126">
        <v>2327</v>
      </c>
      <c r="J126">
        <v>2585</v>
      </c>
      <c r="K126" t="s">
        <v>685</v>
      </c>
    </row>
    <row r="127" spans="1:11">
      <c r="A127" t="s">
        <v>325</v>
      </c>
      <c r="B127" t="s">
        <v>15</v>
      </c>
      <c r="C127" t="s">
        <v>78</v>
      </c>
      <c r="D127" t="s">
        <v>203</v>
      </c>
      <c r="E127" t="s">
        <v>192</v>
      </c>
      <c r="F127">
        <v>0.52</v>
      </c>
      <c r="G127">
        <v>520</v>
      </c>
      <c r="H127">
        <v>259</v>
      </c>
      <c r="I127">
        <v>2585</v>
      </c>
      <c r="J127">
        <v>2585</v>
      </c>
      <c r="K127" t="s">
        <v>686</v>
      </c>
    </row>
    <row r="128" spans="1:11">
      <c r="A128" t="s">
        <v>326</v>
      </c>
      <c r="B128" t="s">
        <v>15</v>
      </c>
      <c r="C128" t="s">
        <v>78</v>
      </c>
      <c r="D128" t="s">
        <v>203</v>
      </c>
      <c r="E128" t="s">
        <v>194</v>
      </c>
      <c r="F128">
        <v>0.32500000000000001</v>
      </c>
      <c r="G128">
        <v>325</v>
      </c>
      <c r="H128">
        <v>646</v>
      </c>
      <c r="I128">
        <v>2973</v>
      </c>
      <c r="J128">
        <v>2585</v>
      </c>
      <c r="K128" t="s">
        <v>687</v>
      </c>
    </row>
    <row r="129" spans="1:11">
      <c r="A129" t="s">
        <v>327</v>
      </c>
      <c r="B129" t="s">
        <v>15</v>
      </c>
      <c r="C129" t="s">
        <v>78</v>
      </c>
      <c r="D129" t="s">
        <v>203</v>
      </c>
      <c r="E129" t="s">
        <v>196</v>
      </c>
      <c r="F129">
        <v>0.13</v>
      </c>
      <c r="G129">
        <v>130</v>
      </c>
      <c r="H129">
        <v>1163</v>
      </c>
      <c r="I129">
        <v>3490</v>
      </c>
      <c r="J129">
        <v>2585</v>
      </c>
      <c r="K129" t="s">
        <v>688</v>
      </c>
    </row>
    <row r="130" spans="1:11">
      <c r="A130" t="s">
        <v>328</v>
      </c>
      <c r="B130" t="s">
        <v>29</v>
      </c>
      <c r="C130" t="s">
        <v>329</v>
      </c>
      <c r="D130" t="s">
        <v>209</v>
      </c>
      <c r="E130" t="s">
        <v>190</v>
      </c>
      <c r="F130">
        <v>0.375</v>
      </c>
      <c r="G130">
        <v>375</v>
      </c>
      <c r="H130">
        <v>0</v>
      </c>
      <c r="I130">
        <v>2420</v>
      </c>
      <c r="J130">
        <v>2689</v>
      </c>
      <c r="K130" t="s">
        <v>685</v>
      </c>
    </row>
    <row r="131" spans="1:11">
      <c r="A131" t="s">
        <v>330</v>
      </c>
      <c r="B131" t="s">
        <v>29</v>
      </c>
      <c r="C131" t="s">
        <v>329</v>
      </c>
      <c r="D131" t="s">
        <v>209</v>
      </c>
      <c r="E131" t="s">
        <v>192</v>
      </c>
      <c r="F131">
        <v>0.6</v>
      </c>
      <c r="G131">
        <v>600</v>
      </c>
      <c r="H131">
        <v>269</v>
      </c>
      <c r="I131">
        <v>2689</v>
      </c>
      <c r="J131">
        <v>2689</v>
      </c>
      <c r="K131" t="s">
        <v>686</v>
      </c>
    </row>
    <row r="132" spans="1:11">
      <c r="A132" t="s">
        <v>331</v>
      </c>
      <c r="B132" t="s">
        <v>29</v>
      </c>
      <c r="C132" t="s">
        <v>329</v>
      </c>
      <c r="D132" t="s">
        <v>209</v>
      </c>
      <c r="E132" t="s">
        <v>194</v>
      </c>
      <c r="F132">
        <v>0.375</v>
      </c>
      <c r="G132">
        <v>375</v>
      </c>
      <c r="H132">
        <v>672</v>
      </c>
      <c r="I132">
        <v>3092</v>
      </c>
      <c r="J132">
        <v>2689</v>
      </c>
      <c r="K132" t="s">
        <v>687</v>
      </c>
    </row>
    <row r="133" spans="1:11">
      <c r="A133" t="s">
        <v>332</v>
      </c>
      <c r="B133" t="s">
        <v>29</v>
      </c>
      <c r="C133" t="s">
        <v>329</v>
      </c>
      <c r="D133" t="s">
        <v>209</v>
      </c>
      <c r="E133" t="s">
        <v>196</v>
      </c>
      <c r="F133">
        <v>0.15</v>
      </c>
      <c r="G133">
        <v>150</v>
      </c>
      <c r="H133">
        <v>1210</v>
      </c>
      <c r="I133">
        <v>3630</v>
      </c>
      <c r="J133">
        <v>2689</v>
      </c>
      <c r="K133" t="s">
        <v>688</v>
      </c>
    </row>
    <row r="134" spans="1:11">
      <c r="A134" t="s">
        <v>333</v>
      </c>
      <c r="B134" t="s">
        <v>34</v>
      </c>
      <c r="C134" t="s">
        <v>96</v>
      </c>
      <c r="D134" t="s">
        <v>209</v>
      </c>
      <c r="E134" t="s">
        <v>190</v>
      </c>
      <c r="F134">
        <v>0.32500000000000001</v>
      </c>
      <c r="G134">
        <v>325</v>
      </c>
      <c r="H134">
        <v>0</v>
      </c>
      <c r="I134">
        <v>2420</v>
      </c>
      <c r="J134">
        <v>2689</v>
      </c>
      <c r="K134" t="s">
        <v>685</v>
      </c>
    </row>
    <row r="135" spans="1:11">
      <c r="A135" t="s">
        <v>334</v>
      </c>
      <c r="B135" t="s">
        <v>34</v>
      </c>
      <c r="C135" t="s">
        <v>96</v>
      </c>
      <c r="D135" t="s">
        <v>209</v>
      </c>
      <c r="E135" t="s">
        <v>192</v>
      </c>
      <c r="F135">
        <v>0.52</v>
      </c>
      <c r="G135">
        <v>520</v>
      </c>
      <c r="H135">
        <v>269</v>
      </c>
      <c r="I135">
        <v>2689</v>
      </c>
      <c r="J135">
        <v>2689</v>
      </c>
      <c r="K135" t="s">
        <v>686</v>
      </c>
    </row>
    <row r="136" spans="1:11">
      <c r="A136" t="s">
        <v>335</v>
      </c>
      <c r="B136" t="s">
        <v>34</v>
      </c>
      <c r="C136" t="s">
        <v>96</v>
      </c>
      <c r="D136" t="s">
        <v>209</v>
      </c>
      <c r="E136" t="s">
        <v>194</v>
      </c>
      <c r="F136">
        <v>0.32500000000000001</v>
      </c>
      <c r="G136">
        <v>325</v>
      </c>
      <c r="H136">
        <v>672</v>
      </c>
      <c r="I136">
        <v>3092</v>
      </c>
      <c r="J136">
        <v>2689</v>
      </c>
      <c r="K136" t="s">
        <v>687</v>
      </c>
    </row>
    <row r="137" spans="1:11">
      <c r="A137" t="s">
        <v>336</v>
      </c>
      <c r="B137" t="s">
        <v>34</v>
      </c>
      <c r="C137" t="s">
        <v>96</v>
      </c>
      <c r="D137" t="s">
        <v>209</v>
      </c>
      <c r="E137" t="s">
        <v>196</v>
      </c>
      <c r="F137">
        <v>0.13</v>
      </c>
      <c r="G137">
        <v>130</v>
      </c>
      <c r="H137">
        <v>1210</v>
      </c>
      <c r="I137">
        <v>3630</v>
      </c>
      <c r="J137">
        <v>2689</v>
      </c>
      <c r="K137" t="s">
        <v>688</v>
      </c>
    </row>
    <row r="138" spans="1:11">
      <c r="A138" t="s">
        <v>337</v>
      </c>
      <c r="B138" t="s">
        <v>33</v>
      </c>
      <c r="C138" t="s">
        <v>95</v>
      </c>
      <c r="D138" t="s">
        <v>209</v>
      </c>
      <c r="E138" t="s">
        <v>190</v>
      </c>
      <c r="F138">
        <v>0.27500000000000002</v>
      </c>
      <c r="G138">
        <v>275</v>
      </c>
      <c r="H138">
        <v>0</v>
      </c>
      <c r="I138">
        <v>2420</v>
      </c>
      <c r="J138">
        <v>2689</v>
      </c>
      <c r="K138" t="s">
        <v>685</v>
      </c>
    </row>
    <row r="139" spans="1:11">
      <c r="A139" t="s">
        <v>338</v>
      </c>
      <c r="B139" t="s">
        <v>33</v>
      </c>
      <c r="C139" t="s">
        <v>95</v>
      </c>
      <c r="D139" t="s">
        <v>209</v>
      </c>
      <c r="E139" t="s">
        <v>192</v>
      </c>
      <c r="F139">
        <v>0.44</v>
      </c>
      <c r="G139">
        <v>440</v>
      </c>
      <c r="H139">
        <v>269</v>
      </c>
      <c r="I139">
        <v>2689</v>
      </c>
      <c r="J139">
        <v>2689</v>
      </c>
      <c r="K139" t="s">
        <v>686</v>
      </c>
    </row>
    <row r="140" spans="1:11">
      <c r="A140" t="s">
        <v>339</v>
      </c>
      <c r="B140" t="s">
        <v>33</v>
      </c>
      <c r="C140" t="s">
        <v>95</v>
      </c>
      <c r="D140" t="s">
        <v>209</v>
      </c>
      <c r="E140" t="s">
        <v>194</v>
      </c>
      <c r="F140">
        <v>0.27500000000000002</v>
      </c>
      <c r="G140">
        <v>275</v>
      </c>
      <c r="H140">
        <v>672</v>
      </c>
      <c r="I140">
        <v>3092</v>
      </c>
      <c r="J140">
        <v>2689</v>
      </c>
      <c r="K140" t="s">
        <v>687</v>
      </c>
    </row>
    <row r="141" spans="1:11">
      <c r="A141" t="s">
        <v>340</v>
      </c>
      <c r="B141" t="s">
        <v>33</v>
      </c>
      <c r="C141" t="s">
        <v>95</v>
      </c>
      <c r="D141" t="s">
        <v>209</v>
      </c>
      <c r="E141" t="s">
        <v>196</v>
      </c>
      <c r="F141">
        <v>0.11</v>
      </c>
      <c r="G141">
        <v>110</v>
      </c>
      <c r="H141">
        <v>1210</v>
      </c>
      <c r="I141">
        <v>3630</v>
      </c>
      <c r="J141">
        <v>2689</v>
      </c>
      <c r="K141" t="s">
        <v>688</v>
      </c>
    </row>
    <row r="142" spans="1:11">
      <c r="A142" t="s">
        <v>341</v>
      </c>
      <c r="B142" t="s">
        <v>35</v>
      </c>
      <c r="C142" t="s">
        <v>97</v>
      </c>
      <c r="D142" t="s">
        <v>189</v>
      </c>
      <c r="E142" t="s">
        <v>190</v>
      </c>
      <c r="F142">
        <v>7.4999999999999997E-2</v>
      </c>
      <c r="G142">
        <v>75</v>
      </c>
      <c r="H142">
        <v>0</v>
      </c>
      <c r="I142">
        <v>2767</v>
      </c>
      <c r="J142">
        <v>3074</v>
      </c>
      <c r="K142" t="s">
        <v>685</v>
      </c>
    </row>
    <row r="143" spans="1:11">
      <c r="A143" t="s">
        <v>342</v>
      </c>
      <c r="B143" t="s">
        <v>35</v>
      </c>
      <c r="C143" t="s">
        <v>97</v>
      </c>
      <c r="D143" t="s">
        <v>189</v>
      </c>
      <c r="E143" t="s">
        <v>192</v>
      </c>
      <c r="F143">
        <v>0.12</v>
      </c>
      <c r="G143">
        <v>120</v>
      </c>
      <c r="H143">
        <v>307</v>
      </c>
      <c r="I143">
        <v>3074</v>
      </c>
      <c r="J143">
        <v>3074</v>
      </c>
      <c r="K143" t="s">
        <v>686</v>
      </c>
    </row>
    <row r="144" spans="1:11">
      <c r="A144" t="s">
        <v>343</v>
      </c>
      <c r="B144" t="s">
        <v>35</v>
      </c>
      <c r="C144" t="s">
        <v>97</v>
      </c>
      <c r="D144" t="s">
        <v>189</v>
      </c>
      <c r="E144" t="s">
        <v>194</v>
      </c>
      <c r="F144">
        <v>7.4999999999999997E-2</v>
      </c>
      <c r="G144">
        <v>75</v>
      </c>
      <c r="H144">
        <v>768</v>
      </c>
      <c r="I144">
        <v>3535</v>
      </c>
      <c r="J144">
        <v>3074</v>
      </c>
      <c r="K144" t="s">
        <v>687</v>
      </c>
    </row>
    <row r="145" spans="1:11">
      <c r="A145" t="s">
        <v>344</v>
      </c>
      <c r="B145" t="s">
        <v>35</v>
      </c>
      <c r="C145" t="s">
        <v>97</v>
      </c>
      <c r="D145" t="s">
        <v>189</v>
      </c>
      <c r="E145" t="s">
        <v>196</v>
      </c>
      <c r="F145">
        <v>0.03</v>
      </c>
      <c r="G145">
        <v>30</v>
      </c>
      <c r="H145">
        <v>1383</v>
      </c>
      <c r="I145">
        <v>4150</v>
      </c>
      <c r="J145">
        <v>3074</v>
      </c>
      <c r="K145" t="s">
        <v>688</v>
      </c>
    </row>
    <row r="146" spans="1:11">
      <c r="A146" t="s">
        <v>345</v>
      </c>
      <c r="B146" t="s">
        <v>68</v>
      </c>
      <c r="C146" t="s">
        <v>128</v>
      </c>
      <c r="D146" t="s">
        <v>189</v>
      </c>
      <c r="E146" t="s">
        <v>190</v>
      </c>
      <c r="F146">
        <v>0.3</v>
      </c>
      <c r="G146">
        <v>300</v>
      </c>
      <c r="H146">
        <v>0</v>
      </c>
      <c r="I146">
        <v>2767</v>
      </c>
      <c r="J146">
        <v>3074</v>
      </c>
      <c r="K146" t="s">
        <v>685</v>
      </c>
    </row>
    <row r="147" spans="1:11">
      <c r="A147" t="s">
        <v>346</v>
      </c>
      <c r="B147" t="s">
        <v>68</v>
      </c>
      <c r="C147" t="s">
        <v>128</v>
      </c>
      <c r="D147" t="s">
        <v>189</v>
      </c>
      <c r="E147" t="s">
        <v>192</v>
      </c>
      <c r="F147">
        <v>0.48</v>
      </c>
      <c r="G147">
        <v>480</v>
      </c>
      <c r="H147">
        <v>307</v>
      </c>
      <c r="I147">
        <v>3074</v>
      </c>
      <c r="J147">
        <v>3074</v>
      </c>
      <c r="K147" t="s">
        <v>686</v>
      </c>
    </row>
    <row r="148" spans="1:11">
      <c r="A148" t="s">
        <v>347</v>
      </c>
      <c r="B148" t="s">
        <v>68</v>
      </c>
      <c r="C148" t="s">
        <v>128</v>
      </c>
      <c r="D148" t="s">
        <v>189</v>
      </c>
      <c r="E148" t="s">
        <v>194</v>
      </c>
      <c r="F148">
        <v>0.3</v>
      </c>
      <c r="G148">
        <v>300</v>
      </c>
      <c r="H148">
        <v>768</v>
      </c>
      <c r="I148">
        <v>3535</v>
      </c>
      <c r="J148">
        <v>3074</v>
      </c>
      <c r="K148" t="s">
        <v>687</v>
      </c>
    </row>
    <row r="149" spans="1:11">
      <c r="A149" t="s">
        <v>348</v>
      </c>
      <c r="B149" t="s">
        <v>68</v>
      </c>
      <c r="C149" t="s">
        <v>128</v>
      </c>
      <c r="D149" t="s">
        <v>189</v>
      </c>
      <c r="E149" t="s">
        <v>196</v>
      </c>
      <c r="F149">
        <v>0.12</v>
      </c>
      <c r="G149">
        <v>120</v>
      </c>
      <c r="H149">
        <v>1383</v>
      </c>
      <c r="I149">
        <v>4150</v>
      </c>
      <c r="J149">
        <v>3074</v>
      </c>
      <c r="K149" t="s">
        <v>688</v>
      </c>
    </row>
    <row r="150" spans="1:11">
      <c r="A150" t="s">
        <v>349</v>
      </c>
      <c r="B150" t="s">
        <v>48</v>
      </c>
      <c r="C150" t="s">
        <v>109</v>
      </c>
      <c r="D150" t="s">
        <v>209</v>
      </c>
      <c r="E150" t="s">
        <v>190</v>
      </c>
      <c r="F150">
        <v>0.22500000000000001</v>
      </c>
      <c r="G150">
        <v>225</v>
      </c>
      <c r="H150">
        <v>0</v>
      </c>
      <c r="I150">
        <v>2420</v>
      </c>
      <c r="J150">
        <v>2689</v>
      </c>
      <c r="K150" t="s">
        <v>685</v>
      </c>
    </row>
    <row r="151" spans="1:11">
      <c r="A151" t="s">
        <v>350</v>
      </c>
      <c r="B151" t="s">
        <v>48</v>
      </c>
      <c r="C151" t="s">
        <v>109</v>
      </c>
      <c r="D151" t="s">
        <v>209</v>
      </c>
      <c r="E151" t="s">
        <v>192</v>
      </c>
      <c r="F151">
        <v>0.36</v>
      </c>
      <c r="G151">
        <v>360</v>
      </c>
      <c r="H151">
        <v>269</v>
      </c>
      <c r="I151">
        <v>2689</v>
      </c>
      <c r="J151">
        <v>2689</v>
      </c>
      <c r="K151" t="s">
        <v>686</v>
      </c>
    </row>
    <row r="152" spans="1:11">
      <c r="A152" t="s">
        <v>351</v>
      </c>
      <c r="B152" t="s">
        <v>48</v>
      </c>
      <c r="C152" t="s">
        <v>109</v>
      </c>
      <c r="D152" t="s">
        <v>209</v>
      </c>
      <c r="E152" t="s">
        <v>194</v>
      </c>
      <c r="F152">
        <v>0.22500000000000001</v>
      </c>
      <c r="G152">
        <v>225</v>
      </c>
      <c r="H152">
        <v>672</v>
      </c>
      <c r="I152">
        <v>3092</v>
      </c>
      <c r="J152">
        <v>2689</v>
      </c>
      <c r="K152" t="s">
        <v>687</v>
      </c>
    </row>
    <row r="153" spans="1:11">
      <c r="A153" t="s">
        <v>352</v>
      </c>
      <c r="B153" t="s">
        <v>48</v>
      </c>
      <c r="C153" t="s">
        <v>109</v>
      </c>
      <c r="D153" t="s">
        <v>209</v>
      </c>
      <c r="E153" t="s">
        <v>196</v>
      </c>
      <c r="F153">
        <v>0.09</v>
      </c>
      <c r="G153">
        <v>90</v>
      </c>
      <c r="H153">
        <v>1210</v>
      </c>
      <c r="I153">
        <v>3630</v>
      </c>
      <c r="J153">
        <v>2689</v>
      </c>
      <c r="K153" t="s">
        <v>688</v>
      </c>
    </row>
    <row r="154" spans="1:11">
      <c r="A154" t="s">
        <v>353</v>
      </c>
      <c r="B154" t="s">
        <v>37</v>
      </c>
      <c r="C154" t="s">
        <v>99</v>
      </c>
      <c r="D154" t="s">
        <v>189</v>
      </c>
      <c r="E154" t="s">
        <v>190</v>
      </c>
      <c r="F154">
        <v>2.5000000000000001E-2</v>
      </c>
      <c r="G154">
        <v>25</v>
      </c>
      <c r="H154">
        <v>0</v>
      </c>
      <c r="I154">
        <v>2767</v>
      </c>
      <c r="J154">
        <v>3074</v>
      </c>
      <c r="K154" t="s">
        <v>685</v>
      </c>
    </row>
    <row r="155" spans="1:11">
      <c r="A155" t="s">
        <v>354</v>
      </c>
      <c r="B155" t="s">
        <v>37</v>
      </c>
      <c r="C155" t="s">
        <v>99</v>
      </c>
      <c r="D155" t="s">
        <v>189</v>
      </c>
      <c r="E155" t="s">
        <v>192</v>
      </c>
      <c r="F155">
        <v>0.04</v>
      </c>
      <c r="G155">
        <v>40</v>
      </c>
      <c r="H155">
        <v>307</v>
      </c>
      <c r="I155">
        <v>3074</v>
      </c>
      <c r="J155">
        <v>3074</v>
      </c>
      <c r="K155" t="s">
        <v>686</v>
      </c>
    </row>
    <row r="156" spans="1:11">
      <c r="A156" t="s">
        <v>355</v>
      </c>
      <c r="B156" t="s">
        <v>37</v>
      </c>
      <c r="C156" t="s">
        <v>99</v>
      </c>
      <c r="D156" t="s">
        <v>189</v>
      </c>
      <c r="E156" t="s">
        <v>194</v>
      </c>
      <c r="F156">
        <v>2.5000000000000001E-2</v>
      </c>
      <c r="G156">
        <v>25</v>
      </c>
      <c r="H156">
        <v>768</v>
      </c>
      <c r="I156">
        <v>3535</v>
      </c>
      <c r="J156">
        <v>3074</v>
      </c>
      <c r="K156" t="s">
        <v>687</v>
      </c>
    </row>
    <row r="157" spans="1:11">
      <c r="A157" t="s">
        <v>356</v>
      </c>
      <c r="B157" t="s">
        <v>37</v>
      </c>
      <c r="C157" t="s">
        <v>99</v>
      </c>
      <c r="D157" t="s">
        <v>189</v>
      </c>
      <c r="E157" t="s">
        <v>196</v>
      </c>
      <c r="F157">
        <v>0.01</v>
      </c>
      <c r="G157">
        <v>10</v>
      </c>
      <c r="H157">
        <v>1383</v>
      </c>
      <c r="I157">
        <v>4150</v>
      </c>
      <c r="J157">
        <v>3074</v>
      </c>
      <c r="K157" t="s">
        <v>688</v>
      </c>
    </row>
    <row r="158" spans="1:11">
      <c r="A158" t="s">
        <v>357</v>
      </c>
      <c r="B158" t="s">
        <v>23</v>
      </c>
      <c r="C158" t="s">
        <v>88</v>
      </c>
      <c r="D158" t="s">
        <v>209</v>
      </c>
      <c r="E158" t="s">
        <v>190</v>
      </c>
      <c r="F158">
        <v>0.2</v>
      </c>
      <c r="G158">
        <v>200</v>
      </c>
      <c r="H158">
        <v>0</v>
      </c>
      <c r="I158">
        <v>2420</v>
      </c>
      <c r="J158">
        <v>2689</v>
      </c>
      <c r="K158" t="s">
        <v>685</v>
      </c>
    </row>
    <row r="159" spans="1:11">
      <c r="A159" t="s">
        <v>358</v>
      </c>
      <c r="B159" t="s">
        <v>23</v>
      </c>
      <c r="C159" t="s">
        <v>88</v>
      </c>
      <c r="D159" t="s">
        <v>209</v>
      </c>
      <c r="E159" t="s">
        <v>192</v>
      </c>
      <c r="F159">
        <v>0.32</v>
      </c>
      <c r="G159">
        <v>320</v>
      </c>
      <c r="H159">
        <v>269</v>
      </c>
      <c r="I159">
        <v>2689</v>
      </c>
      <c r="J159">
        <v>2689</v>
      </c>
      <c r="K159" t="s">
        <v>686</v>
      </c>
    </row>
    <row r="160" spans="1:11">
      <c r="A160" t="s">
        <v>359</v>
      </c>
      <c r="B160" t="s">
        <v>23</v>
      </c>
      <c r="C160" t="s">
        <v>88</v>
      </c>
      <c r="D160" t="s">
        <v>209</v>
      </c>
      <c r="E160" t="s">
        <v>194</v>
      </c>
      <c r="F160">
        <v>0.2</v>
      </c>
      <c r="G160">
        <v>200</v>
      </c>
      <c r="H160">
        <v>672</v>
      </c>
      <c r="I160">
        <v>3092</v>
      </c>
      <c r="J160">
        <v>2689</v>
      </c>
      <c r="K160" t="s">
        <v>687</v>
      </c>
    </row>
    <row r="161" spans="1:11">
      <c r="A161" t="s">
        <v>360</v>
      </c>
      <c r="B161" t="s">
        <v>23</v>
      </c>
      <c r="C161" t="s">
        <v>88</v>
      </c>
      <c r="D161" t="s">
        <v>209</v>
      </c>
      <c r="E161" t="s">
        <v>196</v>
      </c>
      <c r="F161">
        <v>0.08</v>
      </c>
      <c r="G161">
        <v>80</v>
      </c>
      <c r="H161">
        <v>1210</v>
      </c>
      <c r="I161">
        <v>3630</v>
      </c>
      <c r="J161">
        <v>2689</v>
      </c>
      <c r="K161" t="s">
        <v>688</v>
      </c>
    </row>
    <row r="162" spans="1:11">
      <c r="A162" t="s">
        <v>361</v>
      </c>
      <c r="B162" t="s">
        <v>57</v>
      </c>
      <c r="C162" t="s">
        <v>117</v>
      </c>
      <c r="D162" t="s">
        <v>189</v>
      </c>
      <c r="E162" t="s">
        <v>190</v>
      </c>
      <c r="F162">
        <v>0.125</v>
      </c>
      <c r="G162">
        <v>125</v>
      </c>
      <c r="H162">
        <v>0</v>
      </c>
      <c r="I162">
        <v>2767</v>
      </c>
      <c r="J162">
        <v>3074</v>
      </c>
      <c r="K162" t="s">
        <v>685</v>
      </c>
    </row>
    <row r="163" spans="1:11">
      <c r="A163" t="s">
        <v>362</v>
      </c>
      <c r="B163" t="s">
        <v>57</v>
      </c>
      <c r="C163" t="s">
        <v>117</v>
      </c>
      <c r="D163" t="s">
        <v>189</v>
      </c>
      <c r="E163" t="s">
        <v>192</v>
      </c>
      <c r="F163">
        <v>0.2</v>
      </c>
      <c r="G163">
        <v>200</v>
      </c>
      <c r="H163">
        <v>307</v>
      </c>
      <c r="I163">
        <v>3074</v>
      </c>
      <c r="J163">
        <v>3074</v>
      </c>
      <c r="K163" t="s">
        <v>686</v>
      </c>
    </row>
    <row r="164" spans="1:11">
      <c r="A164" t="s">
        <v>363</v>
      </c>
      <c r="B164" t="s">
        <v>57</v>
      </c>
      <c r="C164" t="s">
        <v>117</v>
      </c>
      <c r="D164" t="s">
        <v>189</v>
      </c>
      <c r="E164" t="s">
        <v>194</v>
      </c>
      <c r="F164">
        <v>0.125</v>
      </c>
      <c r="G164">
        <v>125</v>
      </c>
      <c r="H164">
        <v>768</v>
      </c>
      <c r="I164">
        <v>3535</v>
      </c>
      <c r="J164">
        <v>3074</v>
      </c>
      <c r="K164" t="s">
        <v>687</v>
      </c>
    </row>
    <row r="165" spans="1:11">
      <c r="A165" t="s">
        <v>364</v>
      </c>
      <c r="B165" t="s">
        <v>57</v>
      </c>
      <c r="C165" t="s">
        <v>117</v>
      </c>
      <c r="D165" t="s">
        <v>189</v>
      </c>
      <c r="E165" t="s">
        <v>196</v>
      </c>
      <c r="F165">
        <v>0.05</v>
      </c>
      <c r="G165">
        <v>50</v>
      </c>
      <c r="H165">
        <v>1383</v>
      </c>
      <c r="I165">
        <v>4150</v>
      </c>
      <c r="J165">
        <v>3074</v>
      </c>
      <c r="K165" t="s">
        <v>688</v>
      </c>
    </row>
    <row r="166" spans="1:11">
      <c r="A166" t="s">
        <v>365</v>
      </c>
      <c r="B166" t="s">
        <v>66</v>
      </c>
      <c r="C166" t="s">
        <v>126</v>
      </c>
      <c r="D166" t="s">
        <v>209</v>
      </c>
      <c r="E166" t="s">
        <v>190</v>
      </c>
      <c r="F166">
        <v>0.15</v>
      </c>
      <c r="G166">
        <v>150</v>
      </c>
      <c r="H166">
        <v>0</v>
      </c>
      <c r="I166">
        <v>2420</v>
      </c>
      <c r="J166">
        <v>2689</v>
      </c>
      <c r="K166" t="s">
        <v>685</v>
      </c>
    </row>
    <row r="167" spans="1:11">
      <c r="A167" t="s">
        <v>366</v>
      </c>
      <c r="B167" t="s">
        <v>66</v>
      </c>
      <c r="C167" t="s">
        <v>126</v>
      </c>
      <c r="D167" t="s">
        <v>209</v>
      </c>
      <c r="E167" t="s">
        <v>192</v>
      </c>
      <c r="F167">
        <v>0.24</v>
      </c>
      <c r="G167">
        <v>240</v>
      </c>
      <c r="H167">
        <v>269</v>
      </c>
      <c r="I167">
        <v>2689</v>
      </c>
      <c r="J167">
        <v>2689</v>
      </c>
      <c r="K167" t="s">
        <v>686</v>
      </c>
    </row>
    <row r="168" spans="1:11">
      <c r="A168" t="s">
        <v>367</v>
      </c>
      <c r="B168" t="s">
        <v>66</v>
      </c>
      <c r="C168" t="s">
        <v>126</v>
      </c>
      <c r="D168" t="s">
        <v>209</v>
      </c>
      <c r="E168" t="s">
        <v>194</v>
      </c>
      <c r="F168">
        <v>0.15</v>
      </c>
      <c r="G168">
        <v>150</v>
      </c>
      <c r="H168">
        <v>672</v>
      </c>
      <c r="I168">
        <v>3092</v>
      </c>
      <c r="J168">
        <v>2689</v>
      </c>
      <c r="K168" t="s">
        <v>687</v>
      </c>
    </row>
    <row r="169" spans="1:11">
      <c r="A169" t="s">
        <v>368</v>
      </c>
      <c r="B169" t="s">
        <v>66</v>
      </c>
      <c r="C169" t="s">
        <v>126</v>
      </c>
      <c r="D169" t="s">
        <v>209</v>
      </c>
      <c r="E169" t="s">
        <v>196</v>
      </c>
      <c r="F169">
        <v>0.06</v>
      </c>
      <c r="G169">
        <v>60</v>
      </c>
      <c r="H169">
        <v>1210</v>
      </c>
      <c r="I169">
        <v>3630</v>
      </c>
      <c r="J169">
        <v>2689</v>
      </c>
      <c r="K169" t="s">
        <v>688</v>
      </c>
    </row>
    <row r="170" spans="1:11">
      <c r="A170" t="s">
        <v>369</v>
      </c>
      <c r="B170" t="s">
        <v>54</v>
      </c>
      <c r="C170" t="s">
        <v>115</v>
      </c>
      <c r="D170" t="s">
        <v>209</v>
      </c>
      <c r="E170" t="s">
        <v>190</v>
      </c>
      <c r="F170">
        <v>7.4999999999999997E-2</v>
      </c>
      <c r="G170">
        <v>75</v>
      </c>
      <c r="H170">
        <v>0</v>
      </c>
      <c r="I170">
        <v>2420</v>
      </c>
      <c r="J170">
        <v>2689</v>
      </c>
      <c r="K170" t="s">
        <v>685</v>
      </c>
    </row>
    <row r="171" spans="1:11">
      <c r="A171" t="s">
        <v>370</v>
      </c>
      <c r="B171" t="s">
        <v>54</v>
      </c>
      <c r="C171" t="s">
        <v>115</v>
      </c>
      <c r="D171" t="s">
        <v>209</v>
      </c>
      <c r="E171" t="s">
        <v>192</v>
      </c>
      <c r="F171">
        <v>0.12</v>
      </c>
      <c r="G171">
        <v>120</v>
      </c>
      <c r="H171">
        <v>269</v>
      </c>
      <c r="I171">
        <v>2689</v>
      </c>
      <c r="J171">
        <v>2689</v>
      </c>
      <c r="K171" t="s">
        <v>686</v>
      </c>
    </row>
    <row r="172" spans="1:11">
      <c r="A172" t="s">
        <v>371</v>
      </c>
      <c r="B172" t="s">
        <v>54</v>
      </c>
      <c r="C172" t="s">
        <v>115</v>
      </c>
      <c r="D172" t="s">
        <v>209</v>
      </c>
      <c r="E172" t="s">
        <v>194</v>
      </c>
      <c r="F172">
        <v>7.4999999999999997E-2</v>
      </c>
      <c r="G172">
        <v>75</v>
      </c>
      <c r="H172">
        <v>672</v>
      </c>
      <c r="I172">
        <v>3092</v>
      </c>
      <c r="J172">
        <v>2689</v>
      </c>
      <c r="K172" t="s">
        <v>687</v>
      </c>
    </row>
    <row r="173" spans="1:11">
      <c r="A173" t="s">
        <v>372</v>
      </c>
      <c r="B173" t="s">
        <v>54</v>
      </c>
      <c r="C173" t="s">
        <v>115</v>
      </c>
      <c r="D173" t="s">
        <v>209</v>
      </c>
      <c r="E173" t="s">
        <v>196</v>
      </c>
      <c r="F173">
        <v>0.03</v>
      </c>
      <c r="G173">
        <v>30</v>
      </c>
      <c r="H173">
        <v>1210</v>
      </c>
      <c r="I173">
        <v>3630</v>
      </c>
      <c r="J173">
        <v>2689</v>
      </c>
      <c r="K173" t="s">
        <v>688</v>
      </c>
    </row>
    <row r="174" spans="1:11">
      <c r="A174" t="s">
        <v>373</v>
      </c>
      <c r="B174" t="s">
        <v>52</v>
      </c>
      <c r="C174" t="s">
        <v>113</v>
      </c>
      <c r="D174" t="s">
        <v>231</v>
      </c>
      <c r="E174" t="s">
        <v>190</v>
      </c>
      <c r="F174">
        <v>0.15</v>
      </c>
      <c r="G174">
        <v>150</v>
      </c>
      <c r="H174">
        <v>0</v>
      </c>
      <c r="I174">
        <v>2046</v>
      </c>
      <c r="J174">
        <v>2273</v>
      </c>
      <c r="K174" t="s">
        <v>685</v>
      </c>
    </row>
    <row r="175" spans="1:11">
      <c r="A175" t="s">
        <v>374</v>
      </c>
      <c r="B175" t="s">
        <v>52</v>
      </c>
      <c r="C175" t="s">
        <v>113</v>
      </c>
      <c r="D175" t="s">
        <v>231</v>
      </c>
      <c r="E175" t="s">
        <v>192</v>
      </c>
      <c r="F175">
        <v>0.24</v>
      </c>
      <c r="G175">
        <v>240</v>
      </c>
      <c r="H175">
        <v>227</v>
      </c>
      <c r="I175">
        <v>2273</v>
      </c>
      <c r="J175">
        <v>2273</v>
      </c>
      <c r="K175" t="s">
        <v>686</v>
      </c>
    </row>
    <row r="176" spans="1:11">
      <c r="A176" t="s">
        <v>375</v>
      </c>
      <c r="B176" t="s">
        <v>52</v>
      </c>
      <c r="C176" t="s">
        <v>113</v>
      </c>
      <c r="D176" t="s">
        <v>231</v>
      </c>
      <c r="E176" t="s">
        <v>194</v>
      </c>
      <c r="F176">
        <v>0.15</v>
      </c>
      <c r="G176">
        <v>150</v>
      </c>
      <c r="H176">
        <v>568</v>
      </c>
      <c r="I176">
        <v>2614</v>
      </c>
      <c r="J176">
        <v>2273</v>
      </c>
      <c r="K176" t="s">
        <v>687</v>
      </c>
    </row>
    <row r="177" spans="1:11">
      <c r="A177" t="s">
        <v>376</v>
      </c>
      <c r="B177" t="s">
        <v>52</v>
      </c>
      <c r="C177" t="s">
        <v>113</v>
      </c>
      <c r="D177" t="s">
        <v>231</v>
      </c>
      <c r="E177" t="s">
        <v>196</v>
      </c>
      <c r="F177">
        <v>0.06</v>
      </c>
      <c r="G177">
        <v>60</v>
      </c>
      <c r="H177">
        <v>1023</v>
      </c>
      <c r="I177">
        <v>3068</v>
      </c>
      <c r="J177">
        <v>2273</v>
      </c>
      <c r="K177" t="s">
        <v>688</v>
      </c>
    </row>
    <row r="178" spans="1:11">
      <c r="A178" t="s">
        <v>377</v>
      </c>
      <c r="B178" t="s">
        <v>50</v>
      </c>
      <c r="C178" t="s">
        <v>111</v>
      </c>
      <c r="D178" t="s">
        <v>209</v>
      </c>
      <c r="E178" t="s">
        <v>190</v>
      </c>
      <c r="F178">
        <v>0.1</v>
      </c>
      <c r="G178">
        <v>100</v>
      </c>
      <c r="H178">
        <v>0</v>
      </c>
      <c r="I178">
        <v>2420</v>
      </c>
      <c r="J178">
        <v>2689</v>
      </c>
      <c r="K178" t="s">
        <v>685</v>
      </c>
    </row>
    <row r="179" spans="1:11">
      <c r="A179" t="s">
        <v>378</v>
      </c>
      <c r="B179" t="s">
        <v>50</v>
      </c>
      <c r="C179" t="s">
        <v>111</v>
      </c>
      <c r="D179" t="s">
        <v>209</v>
      </c>
      <c r="E179" t="s">
        <v>192</v>
      </c>
      <c r="F179">
        <v>0.16</v>
      </c>
      <c r="G179">
        <v>160</v>
      </c>
      <c r="H179">
        <v>269</v>
      </c>
      <c r="I179">
        <v>2689</v>
      </c>
      <c r="J179">
        <v>2689</v>
      </c>
      <c r="K179" t="s">
        <v>686</v>
      </c>
    </row>
    <row r="180" spans="1:11">
      <c r="A180" t="s">
        <v>379</v>
      </c>
      <c r="B180" t="s">
        <v>50</v>
      </c>
      <c r="C180" t="s">
        <v>111</v>
      </c>
      <c r="D180" t="s">
        <v>209</v>
      </c>
      <c r="E180" t="s">
        <v>194</v>
      </c>
      <c r="F180">
        <v>0.1</v>
      </c>
      <c r="G180">
        <v>100</v>
      </c>
      <c r="H180">
        <v>672</v>
      </c>
      <c r="I180">
        <v>3092</v>
      </c>
      <c r="J180">
        <v>2689</v>
      </c>
      <c r="K180" t="s">
        <v>687</v>
      </c>
    </row>
    <row r="181" spans="1:11">
      <c r="A181" t="s">
        <v>380</v>
      </c>
      <c r="B181" t="s">
        <v>50</v>
      </c>
      <c r="C181" t="s">
        <v>111</v>
      </c>
      <c r="D181" t="s">
        <v>209</v>
      </c>
      <c r="E181" t="s">
        <v>196</v>
      </c>
      <c r="F181">
        <v>0.04</v>
      </c>
      <c r="G181">
        <v>40</v>
      </c>
      <c r="H181">
        <v>1210</v>
      </c>
      <c r="I181">
        <v>3630</v>
      </c>
      <c r="J181">
        <v>2689</v>
      </c>
      <c r="K181" t="s">
        <v>688</v>
      </c>
    </row>
    <row r="182" spans="1:11">
      <c r="A182" t="s">
        <v>381</v>
      </c>
      <c r="B182" t="s">
        <v>65</v>
      </c>
      <c r="C182" t="s">
        <v>125</v>
      </c>
      <c r="D182" t="s">
        <v>209</v>
      </c>
      <c r="E182" t="s">
        <v>190</v>
      </c>
      <c r="F182">
        <v>2.5000000000000001E-2</v>
      </c>
      <c r="G182">
        <v>25</v>
      </c>
      <c r="H182">
        <v>0</v>
      </c>
      <c r="I182">
        <v>2420</v>
      </c>
      <c r="J182">
        <v>2689</v>
      </c>
      <c r="K182" t="s">
        <v>685</v>
      </c>
    </row>
    <row r="183" spans="1:11">
      <c r="A183" t="s">
        <v>382</v>
      </c>
      <c r="B183" t="s">
        <v>65</v>
      </c>
      <c r="C183" t="s">
        <v>125</v>
      </c>
      <c r="D183" t="s">
        <v>209</v>
      </c>
      <c r="E183" t="s">
        <v>192</v>
      </c>
      <c r="F183">
        <v>0.04</v>
      </c>
      <c r="G183">
        <v>40</v>
      </c>
      <c r="H183">
        <v>269</v>
      </c>
      <c r="I183">
        <v>2689</v>
      </c>
      <c r="J183">
        <v>2689</v>
      </c>
      <c r="K183" t="s">
        <v>686</v>
      </c>
    </row>
    <row r="184" spans="1:11">
      <c r="A184" t="s">
        <v>383</v>
      </c>
      <c r="B184" t="s">
        <v>65</v>
      </c>
      <c r="C184" t="s">
        <v>125</v>
      </c>
      <c r="D184" t="s">
        <v>209</v>
      </c>
      <c r="E184" t="s">
        <v>194</v>
      </c>
      <c r="F184">
        <v>2.5000000000000001E-2</v>
      </c>
      <c r="G184">
        <v>25</v>
      </c>
      <c r="H184">
        <v>672</v>
      </c>
      <c r="I184">
        <v>3092</v>
      </c>
      <c r="J184">
        <v>2689</v>
      </c>
      <c r="K184" t="s">
        <v>687</v>
      </c>
    </row>
    <row r="185" spans="1:11">
      <c r="A185" t="s">
        <v>384</v>
      </c>
      <c r="B185" t="s">
        <v>65</v>
      </c>
      <c r="C185" t="s">
        <v>125</v>
      </c>
      <c r="D185" t="s">
        <v>209</v>
      </c>
      <c r="E185" t="s">
        <v>196</v>
      </c>
      <c r="F185">
        <v>0.01</v>
      </c>
      <c r="G185">
        <v>10</v>
      </c>
      <c r="H185">
        <v>1210</v>
      </c>
      <c r="I185">
        <v>3630</v>
      </c>
      <c r="J185">
        <v>2689</v>
      </c>
      <c r="K185" t="s">
        <v>688</v>
      </c>
    </row>
    <row r="186" spans="1:11">
      <c r="A186" t="s">
        <v>385</v>
      </c>
      <c r="B186" t="s">
        <v>64</v>
      </c>
      <c r="C186" t="s">
        <v>124</v>
      </c>
      <c r="D186" t="s">
        <v>209</v>
      </c>
      <c r="E186" t="s">
        <v>190</v>
      </c>
      <c r="F186">
        <v>0.05</v>
      </c>
      <c r="G186">
        <v>50</v>
      </c>
      <c r="H186">
        <v>0</v>
      </c>
      <c r="I186">
        <v>2420</v>
      </c>
      <c r="J186">
        <v>2689</v>
      </c>
      <c r="K186" t="s">
        <v>685</v>
      </c>
    </row>
    <row r="187" spans="1:11">
      <c r="A187" t="s">
        <v>386</v>
      </c>
      <c r="B187" t="s">
        <v>64</v>
      </c>
      <c r="C187" t="s">
        <v>124</v>
      </c>
      <c r="D187" t="s">
        <v>209</v>
      </c>
      <c r="E187" t="s">
        <v>192</v>
      </c>
      <c r="F187">
        <v>0.08</v>
      </c>
      <c r="G187">
        <v>80</v>
      </c>
      <c r="H187">
        <v>269</v>
      </c>
      <c r="I187">
        <v>2689</v>
      </c>
      <c r="J187">
        <v>2689</v>
      </c>
      <c r="K187" t="s">
        <v>686</v>
      </c>
    </row>
    <row r="188" spans="1:11">
      <c r="A188" t="s">
        <v>387</v>
      </c>
      <c r="B188" t="s">
        <v>64</v>
      </c>
      <c r="C188" t="s">
        <v>124</v>
      </c>
      <c r="D188" t="s">
        <v>209</v>
      </c>
      <c r="E188" t="s">
        <v>194</v>
      </c>
      <c r="F188">
        <v>0.05</v>
      </c>
      <c r="G188">
        <v>50</v>
      </c>
      <c r="H188">
        <v>672</v>
      </c>
      <c r="I188">
        <v>3092</v>
      </c>
      <c r="J188">
        <v>2689</v>
      </c>
      <c r="K188" t="s">
        <v>687</v>
      </c>
    </row>
    <row r="189" spans="1:11">
      <c r="A189" t="s">
        <v>388</v>
      </c>
      <c r="B189" t="s">
        <v>64</v>
      </c>
      <c r="C189" t="s">
        <v>124</v>
      </c>
      <c r="D189" t="s">
        <v>209</v>
      </c>
      <c r="E189" t="s">
        <v>196</v>
      </c>
      <c r="F189">
        <v>0.02</v>
      </c>
      <c r="G189">
        <v>20</v>
      </c>
      <c r="H189">
        <v>1210</v>
      </c>
      <c r="I189">
        <v>3630</v>
      </c>
      <c r="J189">
        <v>2689</v>
      </c>
      <c r="K189" t="s">
        <v>688</v>
      </c>
    </row>
    <row r="190" spans="1:11">
      <c r="A190" t="s">
        <v>389</v>
      </c>
      <c r="B190" t="s">
        <v>47</v>
      </c>
      <c r="C190" t="s">
        <v>108</v>
      </c>
      <c r="D190" t="s">
        <v>209</v>
      </c>
      <c r="E190" t="s">
        <v>190</v>
      </c>
      <c r="F190">
        <v>0.1</v>
      </c>
      <c r="G190">
        <v>100</v>
      </c>
      <c r="H190">
        <v>0</v>
      </c>
      <c r="I190">
        <v>2420</v>
      </c>
      <c r="J190">
        <v>2689</v>
      </c>
      <c r="K190" t="s">
        <v>685</v>
      </c>
    </row>
    <row r="191" spans="1:11">
      <c r="A191" t="s">
        <v>390</v>
      </c>
      <c r="B191" t="s">
        <v>47</v>
      </c>
      <c r="C191" t="s">
        <v>108</v>
      </c>
      <c r="D191" t="s">
        <v>209</v>
      </c>
      <c r="E191" t="s">
        <v>192</v>
      </c>
      <c r="F191">
        <v>0.16</v>
      </c>
      <c r="G191">
        <v>160</v>
      </c>
      <c r="H191">
        <v>269</v>
      </c>
      <c r="I191">
        <v>2689</v>
      </c>
      <c r="J191">
        <v>2689</v>
      </c>
      <c r="K191" t="s">
        <v>686</v>
      </c>
    </row>
    <row r="192" spans="1:11">
      <c r="A192" t="s">
        <v>391</v>
      </c>
      <c r="B192" t="s">
        <v>47</v>
      </c>
      <c r="C192" t="s">
        <v>108</v>
      </c>
      <c r="D192" t="s">
        <v>209</v>
      </c>
      <c r="E192" t="s">
        <v>194</v>
      </c>
      <c r="F192">
        <v>0.1</v>
      </c>
      <c r="G192">
        <v>100</v>
      </c>
      <c r="H192">
        <v>672</v>
      </c>
      <c r="I192">
        <v>3092</v>
      </c>
      <c r="J192">
        <v>2689</v>
      </c>
      <c r="K192" t="s">
        <v>687</v>
      </c>
    </row>
    <row r="193" spans="1:11">
      <c r="A193" t="s">
        <v>392</v>
      </c>
      <c r="B193" t="s">
        <v>47</v>
      </c>
      <c r="C193" t="s">
        <v>108</v>
      </c>
      <c r="D193" t="s">
        <v>209</v>
      </c>
      <c r="E193" t="s">
        <v>196</v>
      </c>
      <c r="F193">
        <v>0.04</v>
      </c>
      <c r="G193">
        <v>40</v>
      </c>
      <c r="H193">
        <v>1210</v>
      </c>
      <c r="I193">
        <v>3630</v>
      </c>
      <c r="J193">
        <v>2689</v>
      </c>
      <c r="K193" t="s">
        <v>688</v>
      </c>
    </row>
    <row r="194" spans="1:11">
      <c r="A194" t="s">
        <v>393</v>
      </c>
      <c r="B194" t="s">
        <v>18</v>
      </c>
      <c r="C194" t="s">
        <v>81</v>
      </c>
      <c r="D194" t="s">
        <v>209</v>
      </c>
      <c r="E194" t="s">
        <v>190</v>
      </c>
      <c r="F194">
        <v>7.4999999999999997E-2</v>
      </c>
      <c r="G194">
        <v>75</v>
      </c>
      <c r="H194">
        <v>0</v>
      </c>
      <c r="I194">
        <v>2420</v>
      </c>
      <c r="J194">
        <v>2689</v>
      </c>
      <c r="K194" t="s">
        <v>685</v>
      </c>
    </row>
    <row r="195" spans="1:11">
      <c r="A195" t="s">
        <v>394</v>
      </c>
      <c r="B195" t="s">
        <v>18</v>
      </c>
      <c r="C195" t="s">
        <v>81</v>
      </c>
      <c r="D195" t="s">
        <v>209</v>
      </c>
      <c r="E195" t="s">
        <v>192</v>
      </c>
      <c r="F195">
        <v>0.12</v>
      </c>
      <c r="G195">
        <v>120</v>
      </c>
      <c r="H195">
        <v>269</v>
      </c>
      <c r="I195">
        <v>2689</v>
      </c>
      <c r="J195">
        <v>2689</v>
      </c>
      <c r="K195" t="s">
        <v>686</v>
      </c>
    </row>
    <row r="196" spans="1:11">
      <c r="A196" t="s">
        <v>395</v>
      </c>
      <c r="B196" t="s">
        <v>18</v>
      </c>
      <c r="C196" t="s">
        <v>81</v>
      </c>
      <c r="D196" t="s">
        <v>209</v>
      </c>
      <c r="E196" t="s">
        <v>194</v>
      </c>
      <c r="F196">
        <v>7.4999999999999997E-2</v>
      </c>
      <c r="G196">
        <v>75</v>
      </c>
      <c r="H196">
        <v>672</v>
      </c>
      <c r="I196">
        <v>3092</v>
      </c>
      <c r="J196">
        <v>2689</v>
      </c>
      <c r="K196" t="s">
        <v>687</v>
      </c>
    </row>
    <row r="197" spans="1:11">
      <c r="A197" t="s">
        <v>396</v>
      </c>
      <c r="B197" t="s">
        <v>18</v>
      </c>
      <c r="C197" t="s">
        <v>81</v>
      </c>
      <c r="D197" t="s">
        <v>209</v>
      </c>
      <c r="E197" t="s">
        <v>196</v>
      </c>
      <c r="F197">
        <v>0.03</v>
      </c>
      <c r="G197">
        <v>30</v>
      </c>
      <c r="H197">
        <v>1210</v>
      </c>
      <c r="I197">
        <v>3630</v>
      </c>
      <c r="J197">
        <v>2689</v>
      </c>
      <c r="K197" t="s">
        <v>688</v>
      </c>
    </row>
    <row r="198" spans="1:11">
      <c r="A198" t="s">
        <v>397</v>
      </c>
      <c r="B198" t="s">
        <v>38</v>
      </c>
      <c r="C198" t="s">
        <v>100</v>
      </c>
      <c r="D198" t="s">
        <v>398</v>
      </c>
      <c r="E198" t="s">
        <v>190</v>
      </c>
      <c r="F198">
        <v>2.5000000000000001E-2</v>
      </c>
      <c r="G198">
        <v>25</v>
      </c>
      <c r="H198">
        <v>0</v>
      </c>
      <c r="I198">
        <v>2477</v>
      </c>
      <c r="J198">
        <v>2752</v>
      </c>
      <c r="K198" t="s">
        <v>685</v>
      </c>
    </row>
    <row r="199" spans="1:11">
      <c r="A199" t="s">
        <v>399</v>
      </c>
      <c r="B199" t="s">
        <v>38</v>
      </c>
      <c r="C199" t="s">
        <v>100</v>
      </c>
      <c r="D199" t="s">
        <v>398</v>
      </c>
      <c r="E199" t="s">
        <v>192</v>
      </c>
      <c r="F199">
        <v>0.04</v>
      </c>
      <c r="G199">
        <v>40</v>
      </c>
      <c r="H199">
        <v>275</v>
      </c>
      <c r="I199">
        <v>2752</v>
      </c>
      <c r="J199">
        <v>2752</v>
      </c>
      <c r="K199" t="s">
        <v>686</v>
      </c>
    </row>
    <row r="200" spans="1:11">
      <c r="A200" t="s">
        <v>400</v>
      </c>
      <c r="B200" t="s">
        <v>38</v>
      </c>
      <c r="C200" t="s">
        <v>100</v>
      </c>
      <c r="D200" t="s">
        <v>398</v>
      </c>
      <c r="E200" t="s">
        <v>194</v>
      </c>
      <c r="F200">
        <v>2.5000000000000001E-2</v>
      </c>
      <c r="G200">
        <v>25</v>
      </c>
      <c r="H200">
        <v>688</v>
      </c>
      <c r="I200">
        <v>3165</v>
      </c>
      <c r="J200">
        <v>2752</v>
      </c>
      <c r="K200" t="s">
        <v>687</v>
      </c>
    </row>
    <row r="201" spans="1:11">
      <c r="A201" t="s">
        <v>401</v>
      </c>
      <c r="B201" t="s">
        <v>38</v>
      </c>
      <c r="C201" t="s">
        <v>100</v>
      </c>
      <c r="D201" t="s">
        <v>398</v>
      </c>
      <c r="E201" t="s">
        <v>196</v>
      </c>
      <c r="F201">
        <v>0.01</v>
      </c>
      <c r="G201">
        <v>10</v>
      </c>
      <c r="H201">
        <v>1238</v>
      </c>
      <c r="I201">
        <v>3715</v>
      </c>
      <c r="J201">
        <v>2752</v>
      </c>
      <c r="K201" t="s">
        <v>688</v>
      </c>
    </row>
    <row r="202" spans="1:11">
      <c r="A202" t="s">
        <v>402</v>
      </c>
      <c r="B202" t="s">
        <v>20</v>
      </c>
      <c r="C202" t="s">
        <v>83</v>
      </c>
      <c r="D202" t="s">
        <v>198</v>
      </c>
      <c r="E202" t="s">
        <v>190</v>
      </c>
      <c r="F202">
        <v>2.5000000000000001E-2</v>
      </c>
      <c r="G202">
        <v>25</v>
      </c>
      <c r="H202">
        <v>0</v>
      </c>
      <c r="I202">
        <v>2574</v>
      </c>
      <c r="J202">
        <v>2860</v>
      </c>
      <c r="K202" t="s">
        <v>685</v>
      </c>
    </row>
    <row r="203" spans="1:11">
      <c r="A203" t="s">
        <v>403</v>
      </c>
      <c r="B203" t="s">
        <v>20</v>
      </c>
      <c r="C203" t="s">
        <v>83</v>
      </c>
      <c r="D203" t="s">
        <v>198</v>
      </c>
      <c r="E203" t="s">
        <v>192</v>
      </c>
      <c r="F203">
        <v>0.04</v>
      </c>
      <c r="G203">
        <v>40</v>
      </c>
      <c r="H203">
        <v>286</v>
      </c>
      <c r="I203">
        <v>2860</v>
      </c>
      <c r="J203">
        <v>2860</v>
      </c>
      <c r="K203" t="s">
        <v>686</v>
      </c>
    </row>
    <row r="204" spans="1:11">
      <c r="A204" t="s">
        <v>404</v>
      </c>
      <c r="B204" t="s">
        <v>20</v>
      </c>
      <c r="C204" t="s">
        <v>83</v>
      </c>
      <c r="D204" t="s">
        <v>198</v>
      </c>
      <c r="E204" t="s">
        <v>194</v>
      </c>
      <c r="F204">
        <v>2.5000000000000001E-2</v>
      </c>
      <c r="G204">
        <v>25</v>
      </c>
      <c r="H204">
        <v>715</v>
      </c>
      <c r="I204">
        <v>3289</v>
      </c>
      <c r="J204">
        <v>2860</v>
      </c>
      <c r="K204" t="s">
        <v>687</v>
      </c>
    </row>
    <row r="205" spans="1:11">
      <c r="A205" t="s">
        <v>405</v>
      </c>
      <c r="B205" t="s">
        <v>20</v>
      </c>
      <c r="C205" t="s">
        <v>83</v>
      </c>
      <c r="D205" t="s">
        <v>198</v>
      </c>
      <c r="E205" t="s">
        <v>196</v>
      </c>
      <c r="F205">
        <v>0.01</v>
      </c>
      <c r="G205">
        <v>10</v>
      </c>
      <c r="H205">
        <v>1287</v>
      </c>
      <c r="I205">
        <v>3861</v>
      </c>
      <c r="J205">
        <v>2860</v>
      </c>
      <c r="K205" t="s">
        <v>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8563-20A1-4C87-AD3C-A6CBE5B4E261}">
  <dimension ref="A1:K245"/>
  <sheetViews>
    <sheetView workbookViewId="0">
      <selection activeCell="G2" sqref="G2"/>
    </sheetView>
  </sheetViews>
  <sheetFormatPr defaultRowHeight="14.25"/>
  <sheetData>
    <row r="1" spans="1:11">
      <c r="A1" s="1" t="s">
        <v>77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684</v>
      </c>
      <c r="K1" t="s">
        <v>187</v>
      </c>
    </row>
    <row r="2" spans="1:11">
      <c r="A2" t="s">
        <v>188</v>
      </c>
      <c r="B2" t="s">
        <v>22</v>
      </c>
      <c r="C2" t="s">
        <v>85</v>
      </c>
      <c r="D2" t="s">
        <v>189</v>
      </c>
      <c r="E2" t="s">
        <v>190</v>
      </c>
      <c r="F2">
        <v>13.2</v>
      </c>
      <c r="G2">
        <v>13200</v>
      </c>
      <c r="H2">
        <v>0</v>
      </c>
      <c r="I2">
        <v>2767</v>
      </c>
      <c r="J2">
        <v>3074</v>
      </c>
      <c r="K2" t="s">
        <v>685</v>
      </c>
    </row>
    <row r="3" spans="1:11">
      <c r="A3" t="s">
        <v>191</v>
      </c>
      <c r="B3" t="s">
        <v>22</v>
      </c>
      <c r="C3" t="s">
        <v>85</v>
      </c>
      <c r="D3" t="s">
        <v>189</v>
      </c>
      <c r="E3" t="s">
        <v>192</v>
      </c>
      <c r="F3">
        <v>23.1</v>
      </c>
      <c r="G3">
        <v>23100</v>
      </c>
      <c r="H3">
        <v>307</v>
      </c>
      <c r="I3">
        <v>3074</v>
      </c>
      <c r="J3">
        <v>3074</v>
      </c>
      <c r="K3" t="s">
        <v>686</v>
      </c>
    </row>
    <row r="4" spans="1:11">
      <c r="A4" t="s">
        <v>193</v>
      </c>
      <c r="B4" t="s">
        <v>22</v>
      </c>
      <c r="C4" t="s">
        <v>85</v>
      </c>
      <c r="D4" t="s">
        <v>189</v>
      </c>
      <c r="E4" t="s">
        <v>194</v>
      </c>
      <c r="F4">
        <v>19.8</v>
      </c>
      <c r="G4">
        <v>19800</v>
      </c>
      <c r="H4">
        <v>768</v>
      </c>
      <c r="I4">
        <v>3535</v>
      </c>
      <c r="J4">
        <v>3074</v>
      </c>
      <c r="K4" t="s">
        <v>687</v>
      </c>
    </row>
    <row r="5" spans="1:11">
      <c r="A5" t="s">
        <v>195</v>
      </c>
      <c r="B5" t="s">
        <v>22</v>
      </c>
      <c r="C5" t="s">
        <v>85</v>
      </c>
      <c r="D5" t="s">
        <v>189</v>
      </c>
      <c r="E5" t="s">
        <v>196</v>
      </c>
      <c r="F5">
        <v>9.9</v>
      </c>
      <c r="G5">
        <v>9900</v>
      </c>
      <c r="H5">
        <v>1383</v>
      </c>
      <c r="I5">
        <v>4150</v>
      </c>
      <c r="J5">
        <v>3074</v>
      </c>
      <c r="K5" t="s">
        <v>688</v>
      </c>
    </row>
    <row r="6" spans="1:11">
      <c r="A6" t="s">
        <v>197</v>
      </c>
      <c r="B6" t="s">
        <v>63</v>
      </c>
      <c r="C6" t="s">
        <v>123</v>
      </c>
      <c r="D6" t="s">
        <v>198</v>
      </c>
      <c r="E6" t="s">
        <v>190</v>
      </c>
      <c r="F6">
        <v>17.100000000000001</v>
      </c>
      <c r="G6">
        <v>17100</v>
      </c>
      <c r="H6">
        <v>0</v>
      </c>
      <c r="I6">
        <v>2574</v>
      </c>
      <c r="J6">
        <v>2860</v>
      </c>
      <c r="K6" t="s">
        <v>685</v>
      </c>
    </row>
    <row r="7" spans="1:11">
      <c r="A7" t="s">
        <v>199</v>
      </c>
      <c r="B7" t="s">
        <v>63</v>
      </c>
      <c r="C7" t="s">
        <v>123</v>
      </c>
      <c r="D7" t="s">
        <v>198</v>
      </c>
      <c r="E7" t="s">
        <v>192</v>
      </c>
      <c r="F7">
        <v>29.925000000000001</v>
      </c>
      <c r="G7">
        <v>29925</v>
      </c>
      <c r="H7">
        <v>286</v>
      </c>
      <c r="I7">
        <v>2860</v>
      </c>
      <c r="J7">
        <v>2860</v>
      </c>
      <c r="K7" t="s">
        <v>686</v>
      </c>
    </row>
    <row r="8" spans="1:11">
      <c r="A8" t="s">
        <v>200</v>
      </c>
      <c r="B8" t="s">
        <v>63</v>
      </c>
      <c r="C8" t="s">
        <v>123</v>
      </c>
      <c r="D8" t="s">
        <v>198</v>
      </c>
      <c r="E8" t="s">
        <v>194</v>
      </c>
      <c r="F8">
        <v>25.65</v>
      </c>
      <c r="G8">
        <v>25650</v>
      </c>
      <c r="H8">
        <v>715</v>
      </c>
      <c r="I8">
        <v>3289</v>
      </c>
      <c r="J8">
        <v>2860</v>
      </c>
      <c r="K8" t="s">
        <v>687</v>
      </c>
    </row>
    <row r="9" spans="1:11">
      <c r="A9" t="s">
        <v>201</v>
      </c>
      <c r="B9" t="s">
        <v>63</v>
      </c>
      <c r="C9" t="s">
        <v>123</v>
      </c>
      <c r="D9" t="s">
        <v>198</v>
      </c>
      <c r="E9" t="s">
        <v>196</v>
      </c>
      <c r="F9">
        <v>12.824999999999999</v>
      </c>
      <c r="G9">
        <v>12825</v>
      </c>
      <c r="H9">
        <v>1287</v>
      </c>
      <c r="I9">
        <v>3861</v>
      </c>
      <c r="J9">
        <v>2860</v>
      </c>
      <c r="K9" t="s">
        <v>688</v>
      </c>
    </row>
    <row r="10" spans="1:11">
      <c r="A10" t="s">
        <v>406</v>
      </c>
      <c r="B10" t="s">
        <v>24</v>
      </c>
      <c r="C10" t="s">
        <v>89</v>
      </c>
      <c r="D10" t="s">
        <v>55</v>
      </c>
      <c r="E10" t="s">
        <v>190</v>
      </c>
      <c r="F10">
        <v>6.1</v>
      </c>
      <c r="G10">
        <v>6100</v>
      </c>
      <c r="H10">
        <v>0</v>
      </c>
      <c r="I10">
        <v>2567</v>
      </c>
      <c r="J10">
        <v>2852</v>
      </c>
      <c r="K10" t="s">
        <v>685</v>
      </c>
    </row>
    <row r="11" spans="1:11">
      <c r="A11" t="s">
        <v>407</v>
      </c>
      <c r="B11" t="s">
        <v>24</v>
      </c>
      <c r="C11" t="s">
        <v>89</v>
      </c>
      <c r="D11" t="s">
        <v>55</v>
      </c>
      <c r="E11" t="s">
        <v>192</v>
      </c>
      <c r="F11">
        <v>10.675000000000001</v>
      </c>
      <c r="G11">
        <v>10675</v>
      </c>
      <c r="H11">
        <v>285</v>
      </c>
      <c r="I11">
        <v>2852</v>
      </c>
      <c r="J11">
        <v>2852</v>
      </c>
      <c r="K11" t="s">
        <v>686</v>
      </c>
    </row>
    <row r="12" spans="1:11">
      <c r="A12" t="s">
        <v>408</v>
      </c>
      <c r="B12" t="s">
        <v>24</v>
      </c>
      <c r="C12" t="s">
        <v>89</v>
      </c>
      <c r="D12" t="s">
        <v>55</v>
      </c>
      <c r="E12" t="s">
        <v>194</v>
      </c>
      <c r="F12">
        <v>9.15</v>
      </c>
      <c r="G12">
        <v>9150</v>
      </c>
      <c r="H12">
        <v>713</v>
      </c>
      <c r="I12">
        <v>3280</v>
      </c>
      <c r="J12">
        <v>2852</v>
      </c>
      <c r="K12" t="s">
        <v>687</v>
      </c>
    </row>
    <row r="13" spans="1:11">
      <c r="A13" t="s">
        <v>409</v>
      </c>
      <c r="B13" t="s">
        <v>24</v>
      </c>
      <c r="C13" t="s">
        <v>89</v>
      </c>
      <c r="D13" t="s">
        <v>55</v>
      </c>
      <c r="E13" t="s">
        <v>196</v>
      </c>
      <c r="F13">
        <v>4.5750000000000002</v>
      </c>
      <c r="G13">
        <v>4575</v>
      </c>
      <c r="H13">
        <v>1284</v>
      </c>
      <c r="I13">
        <v>3851</v>
      </c>
      <c r="J13">
        <v>2852</v>
      </c>
      <c r="K13" t="s">
        <v>688</v>
      </c>
    </row>
    <row r="14" spans="1:11">
      <c r="A14" t="s">
        <v>202</v>
      </c>
      <c r="B14" t="s">
        <v>40</v>
      </c>
      <c r="C14" t="s">
        <v>102</v>
      </c>
      <c r="D14" t="s">
        <v>203</v>
      </c>
      <c r="E14" t="s">
        <v>190</v>
      </c>
      <c r="F14">
        <v>4.5999999999999996</v>
      </c>
      <c r="G14">
        <v>4600</v>
      </c>
      <c r="H14">
        <v>0</v>
      </c>
      <c r="I14">
        <v>2327</v>
      </c>
      <c r="J14">
        <v>2585</v>
      </c>
      <c r="K14" t="s">
        <v>685</v>
      </c>
    </row>
    <row r="15" spans="1:11">
      <c r="A15" t="s">
        <v>204</v>
      </c>
      <c r="B15" t="s">
        <v>40</v>
      </c>
      <c r="C15" t="s">
        <v>102</v>
      </c>
      <c r="D15" t="s">
        <v>203</v>
      </c>
      <c r="E15" t="s">
        <v>192</v>
      </c>
      <c r="F15">
        <v>8.0500000000000007</v>
      </c>
      <c r="G15">
        <v>8050</v>
      </c>
      <c r="H15">
        <v>259</v>
      </c>
      <c r="I15">
        <v>2585</v>
      </c>
      <c r="J15">
        <v>2585</v>
      </c>
      <c r="K15" t="s">
        <v>686</v>
      </c>
    </row>
    <row r="16" spans="1:11">
      <c r="A16" t="s">
        <v>205</v>
      </c>
      <c r="B16" t="s">
        <v>40</v>
      </c>
      <c r="C16" t="s">
        <v>102</v>
      </c>
      <c r="D16" t="s">
        <v>203</v>
      </c>
      <c r="E16" t="s">
        <v>194</v>
      </c>
      <c r="F16">
        <v>6.9</v>
      </c>
      <c r="G16">
        <v>6900</v>
      </c>
      <c r="H16">
        <v>646</v>
      </c>
      <c r="I16">
        <v>2973</v>
      </c>
      <c r="J16">
        <v>2585</v>
      </c>
      <c r="K16" t="s">
        <v>687</v>
      </c>
    </row>
    <row r="17" spans="1:11">
      <c r="A17" t="s">
        <v>206</v>
      </c>
      <c r="B17" t="s">
        <v>40</v>
      </c>
      <c r="C17" t="s">
        <v>102</v>
      </c>
      <c r="D17" t="s">
        <v>203</v>
      </c>
      <c r="E17" t="s">
        <v>196</v>
      </c>
      <c r="F17">
        <v>3.45</v>
      </c>
      <c r="G17">
        <v>3450</v>
      </c>
      <c r="H17">
        <v>1163</v>
      </c>
      <c r="I17">
        <v>3490</v>
      </c>
      <c r="J17">
        <v>2585</v>
      </c>
      <c r="K17" t="s">
        <v>688</v>
      </c>
    </row>
    <row r="18" spans="1:11">
      <c r="A18" t="s">
        <v>207</v>
      </c>
      <c r="B18" t="s">
        <v>28</v>
      </c>
      <c r="C18" t="s">
        <v>208</v>
      </c>
      <c r="D18" t="s">
        <v>209</v>
      </c>
      <c r="E18" t="s">
        <v>190</v>
      </c>
      <c r="F18">
        <v>13.16</v>
      </c>
      <c r="G18">
        <v>13160</v>
      </c>
      <c r="H18">
        <v>0</v>
      </c>
      <c r="I18">
        <v>2420</v>
      </c>
      <c r="J18">
        <v>2689</v>
      </c>
      <c r="K18" t="s">
        <v>685</v>
      </c>
    </row>
    <row r="19" spans="1:11">
      <c r="A19" t="s">
        <v>210</v>
      </c>
      <c r="B19" t="s">
        <v>28</v>
      </c>
      <c r="C19" t="s">
        <v>208</v>
      </c>
      <c r="D19" t="s">
        <v>209</v>
      </c>
      <c r="E19" t="s">
        <v>192</v>
      </c>
      <c r="F19">
        <v>23.03</v>
      </c>
      <c r="G19">
        <v>23030</v>
      </c>
      <c r="H19">
        <v>269</v>
      </c>
      <c r="I19">
        <v>2689</v>
      </c>
      <c r="J19">
        <v>2689</v>
      </c>
      <c r="K19" t="s">
        <v>686</v>
      </c>
    </row>
    <row r="20" spans="1:11">
      <c r="A20" t="s">
        <v>211</v>
      </c>
      <c r="B20" t="s">
        <v>28</v>
      </c>
      <c r="C20" t="s">
        <v>208</v>
      </c>
      <c r="D20" t="s">
        <v>209</v>
      </c>
      <c r="E20" t="s">
        <v>194</v>
      </c>
      <c r="F20">
        <v>19.739999999999998</v>
      </c>
      <c r="G20">
        <v>19740</v>
      </c>
      <c r="H20">
        <v>672</v>
      </c>
      <c r="I20">
        <v>3092</v>
      </c>
      <c r="J20">
        <v>2689</v>
      </c>
      <c r="K20" t="s">
        <v>687</v>
      </c>
    </row>
    <row r="21" spans="1:11">
      <c r="A21" t="s">
        <v>212</v>
      </c>
      <c r="B21" t="s">
        <v>28</v>
      </c>
      <c r="C21" t="s">
        <v>208</v>
      </c>
      <c r="D21" t="s">
        <v>209</v>
      </c>
      <c r="E21" t="s">
        <v>196</v>
      </c>
      <c r="F21">
        <v>9.8699999999999992</v>
      </c>
      <c r="G21">
        <v>9870</v>
      </c>
      <c r="H21">
        <v>1210</v>
      </c>
      <c r="I21">
        <v>3630</v>
      </c>
      <c r="J21">
        <v>2689</v>
      </c>
      <c r="K21" t="s">
        <v>688</v>
      </c>
    </row>
    <row r="22" spans="1:11">
      <c r="A22" t="s">
        <v>213</v>
      </c>
      <c r="B22" t="s">
        <v>39</v>
      </c>
      <c r="C22" t="s">
        <v>101</v>
      </c>
      <c r="D22" t="s">
        <v>214</v>
      </c>
      <c r="E22" t="s">
        <v>190</v>
      </c>
      <c r="F22">
        <v>8.6</v>
      </c>
      <c r="G22">
        <v>8600</v>
      </c>
      <c r="H22">
        <v>0</v>
      </c>
      <c r="I22">
        <v>2578</v>
      </c>
      <c r="J22">
        <v>2864</v>
      </c>
      <c r="K22" t="s">
        <v>685</v>
      </c>
    </row>
    <row r="23" spans="1:11">
      <c r="A23" t="s">
        <v>215</v>
      </c>
      <c r="B23" t="s">
        <v>39</v>
      </c>
      <c r="C23" t="s">
        <v>101</v>
      </c>
      <c r="D23" t="s">
        <v>214</v>
      </c>
      <c r="E23" t="s">
        <v>192</v>
      </c>
      <c r="F23">
        <v>15.05</v>
      </c>
      <c r="G23">
        <v>15050</v>
      </c>
      <c r="H23">
        <v>286</v>
      </c>
      <c r="I23">
        <v>2864</v>
      </c>
      <c r="J23">
        <v>2864</v>
      </c>
      <c r="K23" t="s">
        <v>686</v>
      </c>
    </row>
    <row r="24" spans="1:11">
      <c r="A24" t="s">
        <v>216</v>
      </c>
      <c r="B24" t="s">
        <v>39</v>
      </c>
      <c r="C24" t="s">
        <v>101</v>
      </c>
      <c r="D24" t="s">
        <v>214</v>
      </c>
      <c r="E24" t="s">
        <v>194</v>
      </c>
      <c r="F24">
        <v>12.9</v>
      </c>
      <c r="G24">
        <v>12900</v>
      </c>
      <c r="H24">
        <v>716</v>
      </c>
      <c r="I24">
        <v>3294</v>
      </c>
      <c r="J24">
        <v>2864</v>
      </c>
      <c r="K24" t="s">
        <v>687</v>
      </c>
    </row>
    <row r="25" spans="1:11">
      <c r="A25" t="s">
        <v>217</v>
      </c>
      <c r="B25" t="s">
        <v>39</v>
      </c>
      <c r="C25" t="s">
        <v>101</v>
      </c>
      <c r="D25" t="s">
        <v>214</v>
      </c>
      <c r="E25" t="s">
        <v>196</v>
      </c>
      <c r="F25">
        <v>6.45</v>
      </c>
      <c r="G25">
        <v>6450</v>
      </c>
      <c r="H25">
        <v>1289</v>
      </c>
      <c r="I25">
        <v>3867</v>
      </c>
      <c r="J25">
        <v>2864</v>
      </c>
      <c r="K25" t="s">
        <v>688</v>
      </c>
    </row>
    <row r="26" spans="1:11">
      <c r="A26" t="s">
        <v>218</v>
      </c>
      <c r="B26" t="s">
        <v>60</v>
      </c>
      <c r="C26" t="s">
        <v>120</v>
      </c>
      <c r="D26" t="s">
        <v>189</v>
      </c>
      <c r="E26" t="s">
        <v>190</v>
      </c>
      <c r="F26">
        <v>7.76</v>
      </c>
      <c r="G26">
        <v>7760</v>
      </c>
      <c r="H26">
        <v>0</v>
      </c>
      <c r="I26">
        <v>2767</v>
      </c>
      <c r="J26">
        <v>3074</v>
      </c>
      <c r="K26" t="s">
        <v>685</v>
      </c>
    </row>
    <row r="27" spans="1:11">
      <c r="A27" t="s">
        <v>219</v>
      </c>
      <c r="B27" t="s">
        <v>60</v>
      </c>
      <c r="C27" t="s">
        <v>120</v>
      </c>
      <c r="D27" t="s">
        <v>189</v>
      </c>
      <c r="E27" t="s">
        <v>192</v>
      </c>
      <c r="F27">
        <v>13.58</v>
      </c>
      <c r="G27">
        <v>13580</v>
      </c>
      <c r="H27">
        <v>307</v>
      </c>
      <c r="I27">
        <v>3074</v>
      </c>
      <c r="J27">
        <v>3074</v>
      </c>
      <c r="K27" t="s">
        <v>686</v>
      </c>
    </row>
    <row r="28" spans="1:11">
      <c r="A28" t="s">
        <v>220</v>
      </c>
      <c r="B28" t="s">
        <v>60</v>
      </c>
      <c r="C28" t="s">
        <v>120</v>
      </c>
      <c r="D28" t="s">
        <v>189</v>
      </c>
      <c r="E28" t="s">
        <v>194</v>
      </c>
      <c r="F28">
        <v>11.64</v>
      </c>
      <c r="G28">
        <v>11640</v>
      </c>
      <c r="H28">
        <v>768</v>
      </c>
      <c r="I28">
        <v>3535</v>
      </c>
      <c r="J28">
        <v>3074</v>
      </c>
      <c r="K28" t="s">
        <v>687</v>
      </c>
    </row>
    <row r="29" spans="1:11">
      <c r="A29" t="s">
        <v>221</v>
      </c>
      <c r="B29" t="s">
        <v>60</v>
      </c>
      <c r="C29" t="s">
        <v>120</v>
      </c>
      <c r="D29" t="s">
        <v>189</v>
      </c>
      <c r="E29" t="s">
        <v>196</v>
      </c>
      <c r="F29">
        <v>5.82</v>
      </c>
      <c r="G29">
        <v>5820</v>
      </c>
      <c r="H29">
        <v>1383</v>
      </c>
      <c r="I29">
        <v>4150</v>
      </c>
      <c r="J29">
        <v>3074</v>
      </c>
      <c r="K29" t="s">
        <v>688</v>
      </c>
    </row>
    <row r="30" spans="1:11">
      <c r="A30" t="s">
        <v>222</v>
      </c>
      <c r="B30" t="s">
        <v>30</v>
      </c>
      <c r="C30" t="s">
        <v>92</v>
      </c>
      <c r="D30" t="s">
        <v>189</v>
      </c>
      <c r="E30" t="s">
        <v>190</v>
      </c>
      <c r="F30">
        <v>5.72</v>
      </c>
      <c r="G30">
        <v>5720</v>
      </c>
      <c r="H30">
        <v>0</v>
      </c>
      <c r="I30">
        <v>2767</v>
      </c>
      <c r="J30">
        <v>3074</v>
      </c>
      <c r="K30" t="s">
        <v>685</v>
      </c>
    </row>
    <row r="31" spans="1:11">
      <c r="A31" t="s">
        <v>223</v>
      </c>
      <c r="B31" t="s">
        <v>30</v>
      </c>
      <c r="C31" t="s">
        <v>92</v>
      </c>
      <c r="D31" t="s">
        <v>189</v>
      </c>
      <c r="E31" t="s">
        <v>192</v>
      </c>
      <c r="F31">
        <v>10.01</v>
      </c>
      <c r="G31">
        <v>10010</v>
      </c>
      <c r="H31">
        <v>307</v>
      </c>
      <c r="I31">
        <v>3074</v>
      </c>
      <c r="J31">
        <v>3074</v>
      </c>
      <c r="K31" t="s">
        <v>686</v>
      </c>
    </row>
    <row r="32" spans="1:11">
      <c r="A32" t="s">
        <v>224</v>
      </c>
      <c r="B32" t="s">
        <v>30</v>
      </c>
      <c r="C32" t="s">
        <v>92</v>
      </c>
      <c r="D32" t="s">
        <v>189</v>
      </c>
      <c r="E32" t="s">
        <v>194</v>
      </c>
      <c r="F32">
        <v>8.58</v>
      </c>
      <c r="G32">
        <v>8580</v>
      </c>
      <c r="H32">
        <v>768</v>
      </c>
      <c r="I32">
        <v>3535</v>
      </c>
      <c r="J32">
        <v>3074</v>
      </c>
      <c r="K32" t="s">
        <v>687</v>
      </c>
    </row>
    <row r="33" spans="1:11">
      <c r="A33" t="s">
        <v>225</v>
      </c>
      <c r="B33" t="s">
        <v>30</v>
      </c>
      <c r="C33" t="s">
        <v>92</v>
      </c>
      <c r="D33" t="s">
        <v>189</v>
      </c>
      <c r="E33" t="s">
        <v>196</v>
      </c>
      <c r="F33">
        <v>4.29</v>
      </c>
      <c r="G33">
        <v>4290</v>
      </c>
      <c r="H33">
        <v>1383</v>
      </c>
      <c r="I33">
        <v>4150</v>
      </c>
      <c r="J33">
        <v>3074</v>
      </c>
      <c r="K33" t="s">
        <v>688</v>
      </c>
    </row>
    <row r="34" spans="1:11">
      <c r="A34" t="s">
        <v>226</v>
      </c>
      <c r="B34" t="s">
        <v>72</v>
      </c>
      <c r="C34" t="s">
        <v>132</v>
      </c>
      <c r="D34" t="s">
        <v>189</v>
      </c>
      <c r="E34" t="s">
        <v>190</v>
      </c>
      <c r="F34">
        <v>4.0999999999999996</v>
      </c>
      <c r="G34">
        <v>4100</v>
      </c>
      <c r="H34">
        <v>0</v>
      </c>
      <c r="I34">
        <v>2767</v>
      </c>
      <c r="J34">
        <v>3074</v>
      </c>
      <c r="K34" t="s">
        <v>685</v>
      </c>
    </row>
    <row r="35" spans="1:11">
      <c r="A35" t="s">
        <v>227</v>
      </c>
      <c r="B35" t="s">
        <v>72</v>
      </c>
      <c r="C35" t="s">
        <v>132</v>
      </c>
      <c r="D35" t="s">
        <v>189</v>
      </c>
      <c r="E35" t="s">
        <v>192</v>
      </c>
      <c r="F35">
        <v>7.1749999999999998</v>
      </c>
      <c r="G35">
        <v>7175</v>
      </c>
      <c r="H35">
        <v>307</v>
      </c>
      <c r="I35">
        <v>3074</v>
      </c>
      <c r="J35">
        <v>3074</v>
      </c>
      <c r="K35" t="s">
        <v>686</v>
      </c>
    </row>
    <row r="36" spans="1:11">
      <c r="A36" t="s">
        <v>228</v>
      </c>
      <c r="B36" t="s">
        <v>72</v>
      </c>
      <c r="C36" t="s">
        <v>132</v>
      </c>
      <c r="D36" t="s">
        <v>189</v>
      </c>
      <c r="E36" t="s">
        <v>194</v>
      </c>
      <c r="F36">
        <v>6.15</v>
      </c>
      <c r="G36">
        <v>6150</v>
      </c>
      <c r="H36">
        <v>768</v>
      </c>
      <c r="I36">
        <v>3535</v>
      </c>
      <c r="J36">
        <v>3074</v>
      </c>
      <c r="K36" t="s">
        <v>687</v>
      </c>
    </row>
    <row r="37" spans="1:11">
      <c r="A37" t="s">
        <v>229</v>
      </c>
      <c r="B37" t="s">
        <v>72</v>
      </c>
      <c r="C37" t="s">
        <v>132</v>
      </c>
      <c r="D37" t="s">
        <v>189</v>
      </c>
      <c r="E37" t="s">
        <v>196</v>
      </c>
      <c r="F37">
        <v>3.0750000000000002</v>
      </c>
      <c r="G37">
        <v>3075</v>
      </c>
      <c r="H37">
        <v>1383</v>
      </c>
      <c r="I37">
        <v>4150</v>
      </c>
      <c r="J37">
        <v>3074</v>
      </c>
      <c r="K37" t="s">
        <v>688</v>
      </c>
    </row>
    <row r="38" spans="1:11">
      <c r="A38" t="s">
        <v>230</v>
      </c>
      <c r="B38" t="s">
        <v>51</v>
      </c>
      <c r="C38" t="s">
        <v>112</v>
      </c>
      <c r="D38" t="s">
        <v>231</v>
      </c>
      <c r="E38" t="s">
        <v>190</v>
      </c>
      <c r="F38">
        <v>6.08</v>
      </c>
      <c r="G38">
        <v>6080</v>
      </c>
      <c r="H38">
        <v>0</v>
      </c>
      <c r="I38">
        <v>2046</v>
      </c>
      <c r="J38">
        <v>2273</v>
      </c>
      <c r="K38" t="s">
        <v>685</v>
      </c>
    </row>
    <row r="39" spans="1:11">
      <c r="A39" t="s">
        <v>232</v>
      </c>
      <c r="B39" t="s">
        <v>51</v>
      </c>
      <c r="C39" t="s">
        <v>112</v>
      </c>
      <c r="D39" t="s">
        <v>231</v>
      </c>
      <c r="E39" t="s">
        <v>192</v>
      </c>
      <c r="F39">
        <v>10.64</v>
      </c>
      <c r="G39">
        <v>10640</v>
      </c>
      <c r="H39">
        <v>227</v>
      </c>
      <c r="I39">
        <v>2273</v>
      </c>
      <c r="J39">
        <v>2273</v>
      </c>
      <c r="K39" t="s">
        <v>686</v>
      </c>
    </row>
    <row r="40" spans="1:11">
      <c r="A40" t="s">
        <v>233</v>
      </c>
      <c r="B40" t="s">
        <v>51</v>
      </c>
      <c r="C40" t="s">
        <v>112</v>
      </c>
      <c r="D40" t="s">
        <v>231</v>
      </c>
      <c r="E40" t="s">
        <v>194</v>
      </c>
      <c r="F40">
        <v>9.1199999999999992</v>
      </c>
      <c r="G40">
        <v>9120</v>
      </c>
      <c r="H40">
        <v>568</v>
      </c>
      <c r="I40">
        <v>2614</v>
      </c>
      <c r="J40">
        <v>2273</v>
      </c>
      <c r="K40" t="s">
        <v>687</v>
      </c>
    </row>
    <row r="41" spans="1:11">
      <c r="A41" t="s">
        <v>234</v>
      </c>
      <c r="B41" t="s">
        <v>51</v>
      </c>
      <c r="C41" t="s">
        <v>112</v>
      </c>
      <c r="D41" t="s">
        <v>231</v>
      </c>
      <c r="E41" t="s">
        <v>196</v>
      </c>
      <c r="F41">
        <v>4.5599999999999996</v>
      </c>
      <c r="G41">
        <v>4560</v>
      </c>
      <c r="H41">
        <v>1023</v>
      </c>
      <c r="I41">
        <v>3068</v>
      </c>
      <c r="J41">
        <v>2273</v>
      </c>
      <c r="K41" t="s">
        <v>688</v>
      </c>
    </row>
    <row r="42" spans="1:11">
      <c r="A42" t="s">
        <v>235</v>
      </c>
      <c r="B42" t="s">
        <v>58</v>
      </c>
      <c r="C42" t="s">
        <v>118</v>
      </c>
      <c r="D42" t="s">
        <v>203</v>
      </c>
      <c r="E42" t="s">
        <v>190</v>
      </c>
      <c r="F42">
        <v>5.64</v>
      </c>
      <c r="G42">
        <v>5640</v>
      </c>
      <c r="H42">
        <v>0</v>
      </c>
      <c r="I42">
        <v>2327</v>
      </c>
      <c r="J42">
        <v>2585</v>
      </c>
      <c r="K42" t="s">
        <v>685</v>
      </c>
    </row>
    <row r="43" spans="1:11">
      <c r="A43" t="s">
        <v>236</v>
      </c>
      <c r="B43" t="s">
        <v>58</v>
      </c>
      <c r="C43" t="s">
        <v>118</v>
      </c>
      <c r="D43" t="s">
        <v>203</v>
      </c>
      <c r="E43" t="s">
        <v>192</v>
      </c>
      <c r="F43">
        <v>9.8699999999999992</v>
      </c>
      <c r="G43">
        <v>9870</v>
      </c>
      <c r="H43">
        <v>259</v>
      </c>
      <c r="I43">
        <v>2585</v>
      </c>
      <c r="J43">
        <v>2585</v>
      </c>
      <c r="K43" t="s">
        <v>686</v>
      </c>
    </row>
    <row r="44" spans="1:11">
      <c r="A44" t="s">
        <v>237</v>
      </c>
      <c r="B44" t="s">
        <v>58</v>
      </c>
      <c r="C44" t="s">
        <v>118</v>
      </c>
      <c r="D44" t="s">
        <v>203</v>
      </c>
      <c r="E44" t="s">
        <v>194</v>
      </c>
      <c r="F44">
        <v>8.4600000000000009</v>
      </c>
      <c r="G44">
        <v>8460</v>
      </c>
      <c r="H44">
        <v>646</v>
      </c>
      <c r="I44">
        <v>2973</v>
      </c>
      <c r="J44">
        <v>2585</v>
      </c>
      <c r="K44" t="s">
        <v>687</v>
      </c>
    </row>
    <row r="45" spans="1:11">
      <c r="A45" t="s">
        <v>238</v>
      </c>
      <c r="B45" t="s">
        <v>58</v>
      </c>
      <c r="C45" t="s">
        <v>118</v>
      </c>
      <c r="D45" t="s">
        <v>203</v>
      </c>
      <c r="E45" t="s">
        <v>196</v>
      </c>
      <c r="F45">
        <v>4.2300000000000004</v>
      </c>
      <c r="G45">
        <v>4230</v>
      </c>
      <c r="H45">
        <v>1163</v>
      </c>
      <c r="I45">
        <v>3490</v>
      </c>
      <c r="J45">
        <v>2585</v>
      </c>
      <c r="K45" t="s">
        <v>688</v>
      </c>
    </row>
    <row r="46" spans="1:11">
      <c r="A46" t="s">
        <v>239</v>
      </c>
      <c r="B46" t="s">
        <v>59</v>
      </c>
      <c r="C46" t="s">
        <v>119</v>
      </c>
      <c r="D46" t="s">
        <v>203</v>
      </c>
      <c r="E46" t="s">
        <v>190</v>
      </c>
      <c r="F46">
        <v>4</v>
      </c>
      <c r="G46">
        <v>4000</v>
      </c>
      <c r="H46">
        <v>0</v>
      </c>
      <c r="I46">
        <v>2327</v>
      </c>
      <c r="J46">
        <v>2585</v>
      </c>
      <c r="K46" t="s">
        <v>685</v>
      </c>
    </row>
    <row r="47" spans="1:11">
      <c r="A47" t="s">
        <v>240</v>
      </c>
      <c r="B47" t="s">
        <v>59</v>
      </c>
      <c r="C47" t="s">
        <v>119</v>
      </c>
      <c r="D47" t="s">
        <v>203</v>
      </c>
      <c r="E47" t="s">
        <v>192</v>
      </c>
      <c r="F47">
        <v>7</v>
      </c>
      <c r="G47">
        <v>7000</v>
      </c>
      <c r="H47">
        <v>259</v>
      </c>
      <c r="I47">
        <v>2585</v>
      </c>
      <c r="J47">
        <v>2585</v>
      </c>
      <c r="K47" t="s">
        <v>686</v>
      </c>
    </row>
    <row r="48" spans="1:11">
      <c r="A48" t="s">
        <v>241</v>
      </c>
      <c r="B48" t="s">
        <v>59</v>
      </c>
      <c r="C48" t="s">
        <v>119</v>
      </c>
      <c r="D48" t="s">
        <v>203</v>
      </c>
      <c r="E48" t="s">
        <v>194</v>
      </c>
      <c r="F48">
        <v>6</v>
      </c>
      <c r="G48">
        <v>6000</v>
      </c>
      <c r="H48">
        <v>646</v>
      </c>
      <c r="I48">
        <v>2973</v>
      </c>
      <c r="J48">
        <v>2585</v>
      </c>
      <c r="K48" t="s">
        <v>687</v>
      </c>
    </row>
    <row r="49" spans="1:11">
      <c r="A49" t="s">
        <v>242</v>
      </c>
      <c r="B49" t="s">
        <v>59</v>
      </c>
      <c r="C49" t="s">
        <v>119</v>
      </c>
      <c r="D49" t="s">
        <v>203</v>
      </c>
      <c r="E49" t="s">
        <v>196</v>
      </c>
      <c r="F49">
        <v>3</v>
      </c>
      <c r="G49">
        <v>3000</v>
      </c>
      <c r="H49">
        <v>1163</v>
      </c>
      <c r="I49">
        <v>3490</v>
      </c>
      <c r="J49">
        <v>2585</v>
      </c>
      <c r="K49" t="s">
        <v>688</v>
      </c>
    </row>
    <row r="50" spans="1:11">
      <c r="A50" t="s">
        <v>243</v>
      </c>
      <c r="B50" t="s">
        <v>17</v>
      </c>
      <c r="C50" t="s">
        <v>80</v>
      </c>
      <c r="D50" t="s">
        <v>189</v>
      </c>
      <c r="E50" t="s">
        <v>190</v>
      </c>
      <c r="F50">
        <v>3.42</v>
      </c>
      <c r="G50">
        <v>3420</v>
      </c>
      <c r="H50">
        <v>0</v>
      </c>
      <c r="I50">
        <v>2767</v>
      </c>
      <c r="J50">
        <v>3074</v>
      </c>
      <c r="K50" t="s">
        <v>685</v>
      </c>
    </row>
    <row r="51" spans="1:11">
      <c r="A51" t="s">
        <v>244</v>
      </c>
      <c r="B51" t="s">
        <v>17</v>
      </c>
      <c r="C51" t="s">
        <v>80</v>
      </c>
      <c r="D51" t="s">
        <v>189</v>
      </c>
      <c r="E51" t="s">
        <v>192</v>
      </c>
      <c r="F51">
        <v>5.9850000000000003</v>
      </c>
      <c r="G51">
        <v>5985</v>
      </c>
      <c r="H51">
        <v>307</v>
      </c>
      <c r="I51">
        <v>3074</v>
      </c>
      <c r="J51">
        <v>3074</v>
      </c>
      <c r="K51" t="s">
        <v>686</v>
      </c>
    </row>
    <row r="52" spans="1:11">
      <c r="A52" t="s">
        <v>245</v>
      </c>
      <c r="B52" t="s">
        <v>17</v>
      </c>
      <c r="C52" t="s">
        <v>80</v>
      </c>
      <c r="D52" t="s">
        <v>189</v>
      </c>
      <c r="E52" t="s">
        <v>194</v>
      </c>
      <c r="F52">
        <v>5.13</v>
      </c>
      <c r="G52">
        <v>5130</v>
      </c>
      <c r="H52">
        <v>768</v>
      </c>
      <c r="I52">
        <v>3535</v>
      </c>
      <c r="J52">
        <v>3074</v>
      </c>
      <c r="K52" t="s">
        <v>687</v>
      </c>
    </row>
    <row r="53" spans="1:11">
      <c r="A53" t="s">
        <v>246</v>
      </c>
      <c r="B53" t="s">
        <v>17</v>
      </c>
      <c r="C53" t="s">
        <v>80</v>
      </c>
      <c r="D53" t="s">
        <v>189</v>
      </c>
      <c r="E53" t="s">
        <v>196</v>
      </c>
      <c r="F53">
        <v>2.5649999999999999</v>
      </c>
      <c r="G53">
        <v>2565</v>
      </c>
      <c r="H53">
        <v>1383</v>
      </c>
      <c r="I53">
        <v>4150</v>
      </c>
      <c r="J53">
        <v>3074</v>
      </c>
      <c r="K53" t="s">
        <v>688</v>
      </c>
    </row>
    <row r="54" spans="1:11">
      <c r="A54" t="s">
        <v>247</v>
      </c>
      <c r="B54" t="s">
        <v>49</v>
      </c>
      <c r="C54" t="s">
        <v>110</v>
      </c>
      <c r="D54" t="s">
        <v>189</v>
      </c>
      <c r="E54" t="s">
        <v>190</v>
      </c>
      <c r="F54">
        <v>2.4</v>
      </c>
      <c r="G54">
        <v>2400</v>
      </c>
      <c r="H54">
        <v>0</v>
      </c>
      <c r="I54">
        <v>2767</v>
      </c>
      <c r="J54">
        <v>3074</v>
      </c>
      <c r="K54" t="s">
        <v>685</v>
      </c>
    </row>
    <row r="55" spans="1:11">
      <c r="A55" t="s">
        <v>248</v>
      </c>
      <c r="B55" t="s">
        <v>49</v>
      </c>
      <c r="C55" t="s">
        <v>110</v>
      </c>
      <c r="D55" t="s">
        <v>189</v>
      </c>
      <c r="E55" t="s">
        <v>192</v>
      </c>
      <c r="F55">
        <v>4.2</v>
      </c>
      <c r="G55">
        <v>4200</v>
      </c>
      <c r="H55">
        <v>307</v>
      </c>
      <c r="I55">
        <v>3074</v>
      </c>
      <c r="J55">
        <v>3074</v>
      </c>
      <c r="K55" t="s">
        <v>686</v>
      </c>
    </row>
    <row r="56" spans="1:11">
      <c r="A56" t="s">
        <v>249</v>
      </c>
      <c r="B56" t="s">
        <v>49</v>
      </c>
      <c r="C56" t="s">
        <v>110</v>
      </c>
      <c r="D56" t="s">
        <v>189</v>
      </c>
      <c r="E56" t="s">
        <v>194</v>
      </c>
      <c r="F56">
        <v>3.6</v>
      </c>
      <c r="G56">
        <v>3600</v>
      </c>
      <c r="H56">
        <v>768</v>
      </c>
      <c r="I56">
        <v>3535</v>
      </c>
      <c r="J56">
        <v>3074</v>
      </c>
      <c r="K56" t="s">
        <v>687</v>
      </c>
    </row>
    <row r="57" spans="1:11">
      <c r="A57" t="s">
        <v>250</v>
      </c>
      <c r="B57" t="s">
        <v>49</v>
      </c>
      <c r="C57" t="s">
        <v>110</v>
      </c>
      <c r="D57" t="s">
        <v>189</v>
      </c>
      <c r="E57" t="s">
        <v>196</v>
      </c>
      <c r="F57">
        <v>1.8</v>
      </c>
      <c r="G57">
        <v>1800</v>
      </c>
      <c r="H57">
        <v>1383</v>
      </c>
      <c r="I57">
        <v>4150</v>
      </c>
      <c r="J57">
        <v>3074</v>
      </c>
      <c r="K57" t="s">
        <v>688</v>
      </c>
    </row>
    <row r="58" spans="1:11">
      <c r="A58" t="s">
        <v>251</v>
      </c>
      <c r="B58" t="s">
        <v>32</v>
      </c>
      <c r="C58" t="s">
        <v>94</v>
      </c>
      <c r="D58" t="s">
        <v>209</v>
      </c>
      <c r="E58" t="s">
        <v>190</v>
      </c>
      <c r="F58">
        <v>2.5</v>
      </c>
      <c r="G58">
        <v>2500</v>
      </c>
      <c r="H58">
        <v>0</v>
      </c>
      <c r="I58">
        <v>2420</v>
      </c>
      <c r="J58">
        <v>2689</v>
      </c>
      <c r="K58" t="s">
        <v>685</v>
      </c>
    </row>
    <row r="59" spans="1:11">
      <c r="A59" t="s">
        <v>252</v>
      </c>
      <c r="B59" t="s">
        <v>32</v>
      </c>
      <c r="C59" t="s">
        <v>94</v>
      </c>
      <c r="D59" t="s">
        <v>209</v>
      </c>
      <c r="E59" t="s">
        <v>192</v>
      </c>
      <c r="F59">
        <v>4.375</v>
      </c>
      <c r="G59">
        <v>4375</v>
      </c>
      <c r="H59">
        <v>269</v>
      </c>
      <c r="I59">
        <v>2689</v>
      </c>
      <c r="J59">
        <v>2689</v>
      </c>
      <c r="K59" t="s">
        <v>686</v>
      </c>
    </row>
    <row r="60" spans="1:11">
      <c r="A60" t="s">
        <v>253</v>
      </c>
      <c r="B60" t="s">
        <v>32</v>
      </c>
      <c r="C60" t="s">
        <v>94</v>
      </c>
      <c r="D60" t="s">
        <v>209</v>
      </c>
      <c r="E60" t="s">
        <v>194</v>
      </c>
      <c r="F60">
        <v>3.75</v>
      </c>
      <c r="G60">
        <v>3750</v>
      </c>
      <c r="H60">
        <v>672</v>
      </c>
      <c r="I60">
        <v>3092</v>
      </c>
      <c r="J60">
        <v>2689</v>
      </c>
      <c r="K60" t="s">
        <v>687</v>
      </c>
    </row>
    <row r="61" spans="1:11">
      <c r="A61" t="s">
        <v>254</v>
      </c>
      <c r="B61" t="s">
        <v>32</v>
      </c>
      <c r="C61" t="s">
        <v>94</v>
      </c>
      <c r="D61" t="s">
        <v>209</v>
      </c>
      <c r="E61" t="s">
        <v>196</v>
      </c>
      <c r="F61">
        <v>1.875</v>
      </c>
      <c r="G61">
        <v>1875</v>
      </c>
      <c r="H61">
        <v>1210</v>
      </c>
      <c r="I61">
        <v>3630</v>
      </c>
      <c r="J61">
        <v>2689</v>
      </c>
      <c r="K61" t="s">
        <v>688</v>
      </c>
    </row>
    <row r="62" spans="1:11">
      <c r="A62" t="s">
        <v>255</v>
      </c>
      <c r="B62" t="s">
        <v>21</v>
      </c>
      <c r="C62" t="s">
        <v>84</v>
      </c>
      <c r="D62" t="s">
        <v>189</v>
      </c>
      <c r="E62" t="s">
        <v>190</v>
      </c>
      <c r="F62">
        <v>3.04</v>
      </c>
      <c r="G62">
        <v>3040</v>
      </c>
      <c r="H62">
        <v>0</v>
      </c>
      <c r="I62">
        <v>2767</v>
      </c>
      <c r="J62">
        <v>3074</v>
      </c>
      <c r="K62" t="s">
        <v>685</v>
      </c>
    </row>
    <row r="63" spans="1:11">
      <c r="A63" t="s">
        <v>256</v>
      </c>
      <c r="B63" t="s">
        <v>21</v>
      </c>
      <c r="C63" t="s">
        <v>84</v>
      </c>
      <c r="D63" t="s">
        <v>189</v>
      </c>
      <c r="E63" t="s">
        <v>192</v>
      </c>
      <c r="F63">
        <v>5.32</v>
      </c>
      <c r="G63">
        <v>5320</v>
      </c>
      <c r="H63">
        <v>307</v>
      </c>
      <c r="I63">
        <v>3074</v>
      </c>
      <c r="J63">
        <v>3074</v>
      </c>
      <c r="K63" t="s">
        <v>686</v>
      </c>
    </row>
    <row r="64" spans="1:11">
      <c r="A64" t="s">
        <v>257</v>
      </c>
      <c r="B64" t="s">
        <v>21</v>
      </c>
      <c r="C64" t="s">
        <v>84</v>
      </c>
      <c r="D64" t="s">
        <v>189</v>
      </c>
      <c r="E64" t="s">
        <v>194</v>
      </c>
      <c r="F64">
        <v>4.5599999999999996</v>
      </c>
      <c r="G64">
        <v>4560</v>
      </c>
      <c r="H64">
        <v>768</v>
      </c>
      <c r="I64">
        <v>3535</v>
      </c>
      <c r="J64">
        <v>3074</v>
      </c>
      <c r="K64" t="s">
        <v>687</v>
      </c>
    </row>
    <row r="65" spans="1:11">
      <c r="A65" t="s">
        <v>258</v>
      </c>
      <c r="B65" t="s">
        <v>21</v>
      </c>
      <c r="C65" t="s">
        <v>84</v>
      </c>
      <c r="D65" t="s">
        <v>189</v>
      </c>
      <c r="E65" t="s">
        <v>196</v>
      </c>
      <c r="F65">
        <v>2.2799999999999998</v>
      </c>
      <c r="G65">
        <v>2280</v>
      </c>
      <c r="H65">
        <v>1383</v>
      </c>
      <c r="I65">
        <v>4150</v>
      </c>
      <c r="J65">
        <v>3074</v>
      </c>
      <c r="K65" t="s">
        <v>688</v>
      </c>
    </row>
    <row r="66" spans="1:11">
      <c r="A66" t="s">
        <v>259</v>
      </c>
      <c r="B66" t="s">
        <v>31</v>
      </c>
      <c r="C66" t="s">
        <v>93</v>
      </c>
      <c r="D66" t="s">
        <v>189</v>
      </c>
      <c r="E66" t="s">
        <v>190</v>
      </c>
      <c r="F66">
        <v>2.2000000000000002</v>
      </c>
      <c r="G66">
        <v>2200</v>
      </c>
      <c r="H66">
        <v>0</v>
      </c>
      <c r="I66">
        <v>2767</v>
      </c>
      <c r="J66">
        <v>3074</v>
      </c>
      <c r="K66" t="s">
        <v>685</v>
      </c>
    </row>
    <row r="67" spans="1:11">
      <c r="A67" t="s">
        <v>260</v>
      </c>
      <c r="B67" t="s">
        <v>31</v>
      </c>
      <c r="C67" t="s">
        <v>93</v>
      </c>
      <c r="D67" t="s">
        <v>189</v>
      </c>
      <c r="E67" t="s">
        <v>192</v>
      </c>
      <c r="F67">
        <v>3.85</v>
      </c>
      <c r="G67">
        <v>3850</v>
      </c>
      <c r="H67">
        <v>307</v>
      </c>
      <c r="I67">
        <v>3074</v>
      </c>
      <c r="J67">
        <v>3074</v>
      </c>
      <c r="K67" t="s">
        <v>686</v>
      </c>
    </row>
    <row r="68" spans="1:11">
      <c r="A68" t="s">
        <v>261</v>
      </c>
      <c r="B68" t="s">
        <v>31</v>
      </c>
      <c r="C68" t="s">
        <v>93</v>
      </c>
      <c r="D68" t="s">
        <v>189</v>
      </c>
      <c r="E68" t="s">
        <v>194</v>
      </c>
      <c r="F68">
        <v>3.3</v>
      </c>
      <c r="G68">
        <v>3300</v>
      </c>
      <c r="H68">
        <v>768</v>
      </c>
      <c r="I68">
        <v>3535</v>
      </c>
      <c r="J68">
        <v>3074</v>
      </c>
      <c r="K68" t="s">
        <v>687</v>
      </c>
    </row>
    <row r="69" spans="1:11">
      <c r="A69" t="s">
        <v>262</v>
      </c>
      <c r="B69" t="s">
        <v>31</v>
      </c>
      <c r="C69" t="s">
        <v>93</v>
      </c>
      <c r="D69" t="s">
        <v>189</v>
      </c>
      <c r="E69" t="s">
        <v>196</v>
      </c>
      <c r="F69">
        <v>1.65</v>
      </c>
      <c r="G69">
        <v>1650</v>
      </c>
      <c r="H69">
        <v>1383</v>
      </c>
      <c r="I69">
        <v>4150</v>
      </c>
      <c r="J69">
        <v>3074</v>
      </c>
      <c r="K69" t="s">
        <v>688</v>
      </c>
    </row>
    <row r="70" spans="1:11">
      <c r="A70" t="s">
        <v>263</v>
      </c>
      <c r="B70" t="s">
        <v>46</v>
      </c>
      <c r="C70" t="s">
        <v>107</v>
      </c>
      <c r="D70" t="s">
        <v>231</v>
      </c>
      <c r="E70" t="s">
        <v>190</v>
      </c>
      <c r="F70">
        <v>0.96</v>
      </c>
      <c r="G70">
        <v>960</v>
      </c>
      <c r="H70">
        <v>0</v>
      </c>
      <c r="I70">
        <v>2046</v>
      </c>
      <c r="J70">
        <v>2273</v>
      </c>
      <c r="K70" t="s">
        <v>685</v>
      </c>
    </row>
    <row r="71" spans="1:11">
      <c r="A71" t="s">
        <v>264</v>
      </c>
      <c r="B71" t="s">
        <v>46</v>
      </c>
      <c r="C71" t="s">
        <v>107</v>
      </c>
      <c r="D71" t="s">
        <v>231</v>
      </c>
      <c r="E71" t="s">
        <v>192</v>
      </c>
      <c r="F71">
        <v>1.68</v>
      </c>
      <c r="G71">
        <v>1680</v>
      </c>
      <c r="H71">
        <v>227</v>
      </c>
      <c r="I71">
        <v>2273</v>
      </c>
      <c r="J71">
        <v>2273</v>
      </c>
      <c r="K71" t="s">
        <v>686</v>
      </c>
    </row>
    <row r="72" spans="1:11">
      <c r="A72" t="s">
        <v>265</v>
      </c>
      <c r="B72" t="s">
        <v>46</v>
      </c>
      <c r="C72" t="s">
        <v>107</v>
      </c>
      <c r="D72" t="s">
        <v>231</v>
      </c>
      <c r="E72" t="s">
        <v>194</v>
      </c>
      <c r="F72">
        <v>1.44</v>
      </c>
      <c r="G72">
        <v>1440</v>
      </c>
      <c r="H72">
        <v>568</v>
      </c>
      <c r="I72">
        <v>2614</v>
      </c>
      <c r="J72">
        <v>2273</v>
      </c>
      <c r="K72" t="s">
        <v>687</v>
      </c>
    </row>
    <row r="73" spans="1:11">
      <c r="A73" t="s">
        <v>266</v>
      </c>
      <c r="B73" t="s">
        <v>46</v>
      </c>
      <c r="C73" t="s">
        <v>107</v>
      </c>
      <c r="D73" t="s">
        <v>231</v>
      </c>
      <c r="E73" t="s">
        <v>196</v>
      </c>
      <c r="F73">
        <v>0.72</v>
      </c>
      <c r="G73">
        <v>720</v>
      </c>
      <c r="H73">
        <v>1023</v>
      </c>
      <c r="I73">
        <v>3068</v>
      </c>
      <c r="J73">
        <v>2273</v>
      </c>
      <c r="K73" t="s">
        <v>688</v>
      </c>
    </row>
    <row r="74" spans="1:11">
      <c r="A74" t="s">
        <v>267</v>
      </c>
      <c r="B74" t="s">
        <v>56</v>
      </c>
      <c r="C74" t="s">
        <v>116</v>
      </c>
      <c r="D74" t="s">
        <v>209</v>
      </c>
      <c r="E74" t="s">
        <v>190</v>
      </c>
      <c r="F74">
        <v>1.9</v>
      </c>
      <c r="G74">
        <v>1900</v>
      </c>
      <c r="H74">
        <v>0</v>
      </c>
      <c r="I74">
        <v>2420</v>
      </c>
      <c r="J74">
        <v>2689</v>
      </c>
      <c r="K74" t="s">
        <v>685</v>
      </c>
    </row>
    <row r="75" spans="1:11">
      <c r="A75" t="s">
        <v>268</v>
      </c>
      <c r="B75" t="s">
        <v>56</v>
      </c>
      <c r="C75" t="s">
        <v>116</v>
      </c>
      <c r="D75" t="s">
        <v>209</v>
      </c>
      <c r="E75" t="s">
        <v>192</v>
      </c>
      <c r="F75">
        <v>3.3250000000000002</v>
      </c>
      <c r="G75">
        <v>3325</v>
      </c>
      <c r="H75">
        <v>269</v>
      </c>
      <c r="I75">
        <v>2689</v>
      </c>
      <c r="J75">
        <v>2689</v>
      </c>
      <c r="K75" t="s">
        <v>686</v>
      </c>
    </row>
    <row r="76" spans="1:11">
      <c r="A76" t="s">
        <v>269</v>
      </c>
      <c r="B76" t="s">
        <v>56</v>
      </c>
      <c r="C76" t="s">
        <v>116</v>
      </c>
      <c r="D76" t="s">
        <v>209</v>
      </c>
      <c r="E76" t="s">
        <v>194</v>
      </c>
      <c r="F76">
        <v>2.85</v>
      </c>
      <c r="G76">
        <v>2850</v>
      </c>
      <c r="H76">
        <v>672</v>
      </c>
      <c r="I76">
        <v>3092</v>
      </c>
      <c r="J76">
        <v>2689</v>
      </c>
      <c r="K76" t="s">
        <v>687</v>
      </c>
    </row>
    <row r="77" spans="1:11">
      <c r="A77" t="s">
        <v>270</v>
      </c>
      <c r="B77" t="s">
        <v>56</v>
      </c>
      <c r="C77" t="s">
        <v>116</v>
      </c>
      <c r="D77" t="s">
        <v>209</v>
      </c>
      <c r="E77" t="s">
        <v>196</v>
      </c>
      <c r="F77">
        <v>1.425</v>
      </c>
      <c r="G77">
        <v>1425</v>
      </c>
      <c r="H77">
        <v>1210</v>
      </c>
      <c r="I77">
        <v>3630</v>
      </c>
      <c r="J77">
        <v>2689</v>
      </c>
      <c r="K77" t="s">
        <v>688</v>
      </c>
    </row>
    <row r="78" spans="1:11">
      <c r="A78" t="s">
        <v>271</v>
      </c>
      <c r="B78" t="s">
        <v>61</v>
      </c>
      <c r="C78" t="s">
        <v>121</v>
      </c>
      <c r="D78" t="s">
        <v>214</v>
      </c>
      <c r="E78" t="s">
        <v>190</v>
      </c>
      <c r="F78">
        <v>1.44</v>
      </c>
      <c r="G78">
        <v>1440</v>
      </c>
      <c r="H78">
        <v>0</v>
      </c>
      <c r="I78">
        <v>2578</v>
      </c>
      <c r="J78">
        <v>2864</v>
      </c>
      <c r="K78" t="s">
        <v>685</v>
      </c>
    </row>
    <row r="79" spans="1:11">
      <c r="A79" t="s">
        <v>272</v>
      </c>
      <c r="B79" t="s">
        <v>61</v>
      </c>
      <c r="C79" t="s">
        <v>121</v>
      </c>
      <c r="D79" t="s">
        <v>214</v>
      </c>
      <c r="E79" t="s">
        <v>192</v>
      </c>
      <c r="F79">
        <v>2.52</v>
      </c>
      <c r="G79">
        <v>2520</v>
      </c>
      <c r="H79">
        <v>286</v>
      </c>
      <c r="I79">
        <v>2864</v>
      </c>
      <c r="J79">
        <v>2864</v>
      </c>
      <c r="K79" t="s">
        <v>686</v>
      </c>
    </row>
    <row r="80" spans="1:11">
      <c r="A80" t="s">
        <v>273</v>
      </c>
      <c r="B80" t="s">
        <v>61</v>
      </c>
      <c r="C80" t="s">
        <v>121</v>
      </c>
      <c r="D80" t="s">
        <v>214</v>
      </c>
      <c r="E80" t="s">
        <v>194</v>
      </c>
      <c r="F80">
        <v>2.16</v>
      </c>
      <c r="G80">
        <v>2160</v>
      </c>
      <c r="H80">
        <v>716</v>
      </c>
      <c r="I80">
        <v>3294</v>
      </c>
      <c r="J80">
        <v>2864</v>
      </c>
      <c r="K80" t="s">
        <v>687</v>
      </c>
    </row>
    <row r="81" spans="1:11">
      <c r="A81" t="s">
        <v>274</v>
      </c>
      <c r="B81" t="s">
        <v>61</v>
      </c>
      <c r="C81" t="s">
        <v>121</v>
      </c>
      <c r="D81" t="s">
        <v>214</v>
      </c>
      <c r="E81" t="s">
        <v>196</v>
      </c>
      <c r="F81">
        <v>1.08</v>
      </c>
      <c r="G81">
        <v>1080</v>
      </c>
      <c r="H81">
        <v>1289</v>
      </c>
      <c r="I81">
        <v>3867</v>
      </c>
      <c r="J81">
        <v>2864</v>
      </c>
      <c r="K81" t="s">
        <v>688</v>
      </c>
    </row>
    <row r="82" spans="1:11">
      <c r="A82" t="s">
        <v>275</v>
      </c>
      <c r="B82" t="s">
        <v>27</v>
      </c>
      <c r="C82" t="s">
        <v>91</v>
      </c>
      <c r="D82" t="s">
        <v>209</v>
      </c>
      <c r="E82" t="s">
        <v>190</v>
      </c>
      <c r="F82">
        <v>1.92</v>
      </c>
      <c r="G82">
        <v>1920</v>
      </c>
      <c r="H82">
        <v>0</v>
      </c>
      <c r="I82">
        <v>2420</v>
      </c>
      <c r="J82">
        <v>2689</v>
      </c>
      <c r="K82" t="s">
        <v>685</v>
      </c>
    </row>
    <row r="83" spans="1:11">
      <c r="A83" t="s">
        <v>276</v>
      </c>
      <c r="B83" t="s">
        <v>27</v>
      </c>
      <c r="C83" t="s">
        <v>91</v>
      </c>
      <c r="D83" t="s">
        <v>209</v>
      </c>
      <c r="E83" t="s">
        <v>192</v>
      </c>
      <c r="F83">
        <v>3.36</v>
      </c>
      <c r="G83">
        <v>3360</v>
      </c>
      <c r="H83">
        <v>269</v>
      </c>
      <c r="I83">
        <v>2689</v>
      </c>
      <c r="J83">
        <v>2689</v>
      </c>
      <c r="K83" t="s">
        <v>686</v>
      </c>
    </row>
    <row r="84" spans="1:11">
      <c r="A84" t="s">
        <v>277</v>
      </c>
      <c r="B84" t="s">
        <v>27</v>
      </c>
      <c r="C84" t="s">
        <v>91</v>
      </c>
      <c r="D84" t="s">
        <v>209</v>
      </c>
      <c r="E84" t="s">
        <v>194</v>
      </c>
      <c r="F84">
        <v>2.88</v>
      </c>
      <c r="G84">
        <v>2880</v>
      </c>
      <c r="H84">
        <v>672</v>
      </c>
      <c r="I84">
        <v>3092</v>
      </c>
      <c r="J84">
        <v>2689</v>
      </c>
      <c r="K84" t="s">
        <v>687</v>
      </c>
    </row>
    <row r="85" spans="1:11">
      <c r="A85" t="s">
        <v>278</v>
      </c>
      <c r="B85" t="s">
        <v>27</v>
      </c>
      <c r="C85" t="s">
        <v>91</v>
      </c>
      <c r="D85" t="s">
        <v>209</v>
      </c>
      <c r="E85" t="s">
        <v>196</v>
      </c>
      <c r="F85">
        <v>1.44</v>
      </c>
      <c r="G85">
        <v>1440</v>
      </c>
      <c r="H85">
        <v>1210</v>
      </c>
      <c r="I85">
        <v>3630</v>
      </c>
      <c r="J85">
        <v>2689</v>
      </c>
      <c r="K85" t="s">
        <v>688</v>
      </c>
    </row>
    <row r="86" spans="1:11">
      <c r="A86" t="s">
        <v>279</v>
      </c>
      <c r="B86" t="s">
        <v>16</v>
      </c>
      <c r="C86" t="s">
        <v>79</v>
      </c>
      <c r="D86" t="s">
        <v>209</v>
      </c>
      <c r="E86" t="s">
        <v>190</v>
      </c>
      <c r="F86">
        <v>1.4</v>
      </c>
      <c r="G86">
        <v>1400</v>
      </c>
      <c r="H86">
        <v>0</v>
      </c>
      <c r="I86">
        <v>2420</v>
      </c>
      <c r="J86">
        <v>2689</v>
      </c>
      <c r="K86" t="s">
        <v>685</v>
      </c>
    </row>
    <row r="87" spans="1:11">
      <c r="A87" t="s">
        <v>280</v>
      </c>
      <c r="B87" t="s">
        <v>16</v>
      </c>
      <c r="C87" t="s">
        <v>79</v>
      </c>
      <c r="D87" t="s">
        <v>209</v>
      </c>
      <c r="E87" t="s">
        <v>192</v>
      </c>
      <c r="F87">
        <v>2.4500000000000002</v>
      </c>
      <c r="G87">
        <v>2450</v>
      </c>
      <c r="H87">
        <v>269</v>
      </c>
      <c r="I87">
        <v>2689</v>
      </c>
      <c r="J87">
        <v>2689</v>
      </c>
      <c r="K87" t="s">
        <v>686</v>
      </c>
    </row>
    <row r="88" spans="1:11">
      <c r="A88" t="s">
        <v>281</v>
      </c>
      <c r="B88" t="s">
        <v>16</v>
      </c>
      <c r="C88" t="s">
        <v>79</v>
      </c>
      <c r="D88" t="s">
        <v>209</v>
      </c>
      <c r="E88" t="s">
        <v>194</v>
      </c>
      <c r="F88">
        <v>2.1</v>
      </c>
      <c r="G88">
        <v>2100</v>
      </c>
      <c r="H88">
        <v>672</v>
      </c>
      <c r="I88">
        <v>3092</v>
      </c>
      <c r="J88">
        <v>2689</v>
      </c>
      <c r="K88" t="s">
        <v>687</v>
      </c>
    </row>
    <row r="89" spans="1:11">
      <c r="A89" t="s">
        <v>282</v>
      </c>
      <c r="B89" t="s">
        <v>16</v>
      </c>
      <c r="C89" t="s">
        <v>79</v>
      </c>
      <c r="D89" t="s">
        <v>209</v>
      </c>
      <c r="E89" t="s">
        <v>196</v>
      </c>
      <c r="F89">
        <v>1.05</v>
      </c>
      <c r="G89">
        <v>1050</v>
      </c>
      <c r="H89">
        <v>1210</v>
      </c>
      <c r="I89">
        <v>3630</v>
      </c>
      <c r="J89">
        <v>2689</v>
      </c>
      <c r="K89" t="s">
        <v>688</v>
      </c>
    </row>
    <row r="90" spans="1:11">
      <c r="A90" t="s">
        <v>283</v>
      </c>
      <c r="B90" t="s">
        <v>70</v>
      </c>
      <c r="C90" t="s">
        <v>130</v>
      </c>
      <c r="D90" t="s">
        <v>209</v>
      </c>
      <c r="E90" t="s">
        <v>190</v>
      </c>
      <c r="F90">
        <v>1.68</v>
      </c>
      <c r="G90">
        <v>1680</v>
      </c>
      <c r="H90">
        <v>0</v>
      </c>
      <c r="I90">
        <v>2420</v>
      </c>
      <c r="J90">
        <v>2689</v>
      </c>
      <c r="K90" t="s">
        <v>685</v>
      </c>
    </row>
    <row r="91" spans="1:11">
      <c r="A91" t="s">
        <v>284</v>
      </c>
      <c r="B91" t="s">
        <v>70</v>
      </c>
      <c r="C91" t="s">
        <v>130</v>
      </c>
      <c r="D91" t="s">
        <v>209</v>
      </c>
      <c r="E91" t="s">
        <v>192</v>
      </c>
      <c r="F91">
        <v>2.94</v>
      </c>
      <c r="G91">
        <v>2940</v>
      </c>
      <c r="H91">
        <v>269</v>
      </c>
      <c r="I91">
        <v>2689</v>
      </c>
      <c r="J91">
        <v>2689</v>
      </c>
      <c r="K91" t="s">
        <v>686</v>
      </c>
    </row>
    <row r="92" spans="1:11">
      <c r="A92" t="s">
        <v>285</v>
      </c>
      <c r="B92" t="s">
        <v>70</v>
      </c>
      <c r="C92" t="s">
        <v>130</v>
      </c>
      <c r="D92" t="s">
        <v>209</v>
      </c>
      <c r="E92" t="s">
        <v>194</v>
      </c>
      <c r="F92">
        <v>2.52</v>
      </c>
      <c r="G92">
        <v>2520</v>
      </c>
      <c r="H92">
        <v>672</v>
      </c>
      <c r="I92">
        <v>3092</v>
      </c>
      <c r="J92">
        <v>2689</v>
      </c>
      <c r="K92" t="s">
        <v>687</v>
      </c>
    </row>
    <row r="93" spans="1:11">
      <c r="A93" t="s">
        <v>286</v>
      </c>
      <c r="B93" t="s">
        <v>70</v>
      </c>
      <c r="C93" t="s">
        <v>130</v>
      </c>
      <c r="D93" t="s">
        <v>209</v>
      </c>
      <c r="E93" t="s">
        <v>196</v>
      </c>
      <c r="F93">
        <v>1.26</v>
      </c>
      <c r="G93">
        <v>1260</v>
      </c>
      <c r="H93">
        <v>1210</v>
      </c>
      <c r="I93">
        <v>3630</v>
      </c>
      <c r="J93">
        <v>2689</v>
      </c>
      <c r="K93" t="s">
        <v>688</v>
      </c>
    </row>
    <row r="94" spans="1:11">
      <c r="A94" t="s">
        <v>287</v>
      </c>
      <c r="B94" t="s">
        <v>53</v>
      </c>
      <c r="C94" t="s">
        <v>114</v>
      </c>
      <c r="D94" t="s">
        <v>209</v>
      </c>
      <c r="E94" t="s">
        <v>190</v>
      </c>
      <c r="F94">
        <v>1.36</v>
      </c>
      <c r="G94">
        <v>1360</v>
      </c>
      <c r="H94">
        <v>0</v>
      </c>
      <c r="I94">
        <v>2420</v>
      </c>
      <c r="J94">
        <v>2689</v>
      </c>
      <c r="K94" t="s">
        <v>685</v>
      </c>
    </row>
    <row r="95" spans="1:11">
      <c r="A95" t="s">
        <v>288</v>
      </c>
      <c r="B95" t="s">
        <v>53</v>
      </c>
      <c r="C95" t="s">
        <v>114</v>
      </c>
      <c r="D95" t="s">
        <v>209</v>
      </c>
      <c r="E95" t="s">
        <v>192</v>
      </c>
      <c r="F95">
        <v>2.38</v>
      </c>
      <c r="G95">
        <v>2380</v>
      </c>
      <c r="H95">
        <v>269</v>
      </c>
      <c r="I95">
        <v>2689</v>
      </c>
      <c r="J95">
        <v>2689</v>
      </c>
      <c r="K95" t="s">
        <v>686</v>
      </c>
    </row>
    <row r="96" spans="1:11">
      <c r="A96" t="s">
        <v>289</v>
      </c>
      <c r="B96" t="s">
        <v>53</v>
      </c>
      <c r="C96" t="s">
        <v>114</v>
      </c>
      <c r="D96" t="s">
        <v>209</v>
      </c>
      <c r="E96" t="s">
        <v>194</v>
      </c>
      <c r="F96">
        <v>2.04</v>
      </c>
      <c r="G96">
        <v>2040</v>
      </c>
      <c r="H96">
        <v>672</v>
      </c>
      <c r="I96">
        <v>3092</v>
      </c>
      <c r="J96">
        <v>2689</v>
      </c>
      <c r="K96" t="s">
        <v>687</v>
      </c>
    </row>
    <row r="97" spans="1:11">
      <c r="A97" t="s">
        <v>290</v>
      </c>
      <c r="B97" t="s">
        <v>53</v>
      </c>
      <c r="C97" t="s">
        <v>114</v>
      </c>
      <c r="D97" t="s">
        <v>209</v>
      </c>
      <c r="E97" t="s">
        <v>196</v>
      </c>
      <c r="F97">
        <v>1.02</v>
      </c>
      <c r="G97">
        <v>1020</v>
      </c>
      <c r="H97">
        <v>1210</v>
      </c>
      <c r="I97">
        <v>3630</v>
      </c>
      <c r="J97">
        <v>2689</v>
      </c>
      <c r="K97" t="s">
        <v>688</v>
      </c>
    </row>
    <row r="98" spans="1:11">
      <c r="A98" t="s">
        <v>291</v>
      </c>
      <c r="B98" t="s">
        <v>73</v>
      </c>
      <c r="C98" t="s">
        <v>133</v>
      </c>
      <c r="D98" t="s">
        <v>209</v>
      </c>
      <c r="E98" t="s">
        <v>190</v>
      </c>
      <c r="F98">
        <v>1.02</v>
      </c>
      <c r="G98">
        <v>1020</v>
      </c>
      <c r="H98">
        <v>0</v>
      </c>
      <c r="I98">
        <v>2420</v>
      </c>
      <c r="J98">
        <v>2689</v>
      </c>
      <c r="K98" t="s">
        <v>685</v>
      </c>
    </row>
    <row r="99" spans="1:11">
      <c r="A99" t="s">
        <v>292</v>
      </c>
      <c r="B99" t="s">
        <v>73</v>
      </c>
      <c r="C99" t="s">
        <v>133</v>
      </c>
      <c r="D99" t="s">
        <v>209</v>
      </c>
      <c r="E99" t="s">
        <v>192</v>
      </c>
      <c r="F99">
        <v>1.7849999999999999</v>
      </c>
      <c r="G99">
        <v>1785</v>
      </c>
      <c r="H99">
        <v>269</v>
      </c>
      <c r="I99">
        <v>2689</v>
      </c>
      <c r="J99">
        <v>2689</v>
      </c>
      <c r="K99" t="s">
        <v>686</v>
      </c>
    </row>
    <row r="100" spans="1:11">
      <c r="A100" t="s">
        <v>293</v>
      </c>
      <c r="B100" t="s">
        <v>73</v>
      </c>
      <c r="C100" t="s">
        <v>133</v>
      </c>
      <c r="D100" t="s">
        <v>209</v>
      </c>
      <c r="E100" t="s">
        <v>194</v>
      </c>
      <c r="F100">
        <v>1.53</v>
      </c>
      <c r="G100">
        <v>1530</v>
      </c>
      <c r="H100">
        <v>672</v>
      </c>
      <c r="I100">
        <v>3092</v>
      </c>
      <c r="J100">
        <v>2689</v>
      </c>
      <c r="K100" t="s">
        <v>687</v>
      </c>
    </row>
    <row r="101" spans="1:11">
      <c r="A101" t="s">
        <v>294</v>
      </c>
      <c r="B101" t="s">
        <v>73</v>
      </c>
      <c r="C101" t="s">
        <v>133</v>
      </c>
      <c r="D101" t="s">
        <v>209</v>
      </c>
      <c r="E101" t="s">
        <v>196</v>
      </c>
      <c r="F101">
        <v>0.76500000000000001</v>
      </c>
      <c r="G101">
        <v>765</v>
      </c>
      <c r="H101">
        <v>1210</v>
      </c>
      <c r="I101">
        <v>3630</v>
      </c>
      <c r="J101">
        <v>2689</v>
      </c>
      <c r="K101" t="s">
        <v>688</v>
      </c>
    </row>
    <row r="102" spans="1:11">
      <c r="A102" t="s">
        <v>410</v>
      </c>
      <c r="B102" t="s">
        <v>25</v>
      </c>
      <c r="C102" t="s">
        <v>90</v>
      </c>
      <c r="D102" t="s">
        <v>189</v>
      </c>
      <c r="E102" t="s">
        <v>190</v>
      </c>
      <c r="F102">
        <v>0.1</v>
      </c>
      <c r="G102">
        <v>100</v>
      </c>
      <c r="H102">
        <v>0</v>
      </c>
      <c r="I102">
        <v>2767</v>
      </c>
      <c r="J102">
        <v>3074</v>
      </c>
      <c r="K102" t="s">
        <v>685</v>
      </c>
    </row>
    <row r="103" spans="1:11">
      <c r="A103" t="s">
        <v>411</v>
      </c>
      <c r="B103" t="s">
        <v>25</v>
      </c>
      <c r="C103" t="s">
        <v>90</v>
      </c>
      <c r="D103" t="s">
        <v>189</v>
      </c>
      <c r="E103" t="s">
        <v>192</v>
      </c>
      <c r="F103">
        <v>0.17499999999999999</v>
      </c>
      <c r="G103">
        <v>175</v>
      </c>
      <c r="H103">
        <v>307</v>
      </c>
      <c r="I103">
        <v>3074</v>
      </c>
      <c r="J103">
        <v>3074</v>
      </c>
      <c r="K103" t="s">
        <v>686</v>
      </c>
    </row>
    <row r="104" spans="1:11">
      <c r="A104" t="s">
        <v>412</v>
      </c>
      <c r="B104" t="s">
        <v>25</v>
      </c>
      <c r="C104" t="s">
        <v>90</v>
      </c>
      <c r="D104" t="s">
        <v>189</v>
      </c>
      <c r="E104" t="s">
        <v>194</v>
      </c>
      <c r="F104">
        <v>0.15</v>
      </c>
      <c r="G104">
        <v>150</v>
      </c>
      <c r="H104">
        <v>768</v>
      </c>
      <c r="I104">
        <v>3535</v>
      </c>
      <c r="J104">
        <v>3074</v>
      </c>
      <c r="K104" t="s">
        <v>687</v>
      </c>
    </row>
    <row r="105" spans="1:11">
      <c r="A105" t="s">
        <v>413</v>
      </c>
      <c r="B105" t="s">
        <v>25</v>
      </c>
      <c r="C105" t="s">
        <v>90</v>
      </c>
      <c r="D105" t="s">
        <v>189</v>
      </c>
      <c r="E105" t="s">
        <v>196</v>
      </c>
      <c r="F105">
        <v>7.4999999999999997E-2</v>
      </c>
      <c r="G105">
        <v>75</v>
      </c>
      <c r="H105">
        <v>1383</v>
      </c>
      <c r="I105">
        <v>4150</v>
      </c>
      <c r="J105">
        <v>3074</v>
      </c>
      <c r="K105" t="s">
        <v>688</v>
      </c>
    </row>
    <row r="106" spans="1:11">
      <c r="A106" t="s">
        <v>295</v>
      </c>
      <c r="B106" t="s">
        <v>86</v>
      </c>
      <c r="C106" t="s">
        <v>87</v>
      </c>
      <c r="D106" t="s">
        <v>203</v>
      </c>
      <c r="E106" t="s">
        <v>190</v>
      </c>
      <c r="F106">
        <v>1.1000000000000001</v>
      </c>
      <c r="G106">
        <v>1100</v>
      </c>
      <c r="H106">
        <v>0</v>
      </c>
      <c r="I106">
        <v>2327</v>
      </c>
      <c r="J106">
        <v>2585</v>
      </c>
      <c r="K106" t="s">
        <v>685</v>
      </c>
    </row>
    <row r="107" spans="1:11">
      <c r="A107" t="s">
        <v>296</v>
      </c>
      <c r="B107" t="s">
        <v>86</v>
      </c>
      <c r="C107" t="s">
        <v>87</v>
      </c>
      <c r="D107" t="s">
        <v>203</v>
      </c>
      <c r="E107" t="s">
        <v>192</v>
      </c>
      <c r="F107">
        <v>1.925</v>
      </c>
      <c r="G107">
        <v>1925</v>
      </c>
      <c r="H107">
        <v>259</v>
      </c>
      <c r="I107">
        <v>2585</v>
      </c>
      <c r="J107">
        <v>2585</v>
      </c>
      <c r="K107" t="s">
        <v>686</v>
      </c>
    </row>
    <row r="108" spans="1:11">
      <c r="A108" t="s">
        <v>297</v>
      </c>
      <c r="B108" t="s">
        <v>86</v>
      </c>
      <c r="C108" t="s">
        <v>87</v>
      </c>
      <c r="D108" t="s">
        <v>203</v>
      </c>
      <c r="E108" t="s">
        <v>194</v>
      </c>
      <c r="F108">
        <v>1.65</v>
      </c>
      <c r="G108">
        <v>1650</v>
      </c>
      <c r="H108">
        <v>646</v>
      </c>
      <c r="I108">
        <v>2973</v>
      </c>
      <c r="J108">
        <v>2585</v>
      </c>
      <c r="K108" t="s">
        <v>687</v>
      </c>
    </row>
    <row r="109" spans="1:11">
      <c r="A109" t="s">
        <v>298</v>
      </c>
      <c r="B109" t="s">
        <v>86</v>
      </c>
      <c r="C109" t="s">
        <v>87</v>
      </c>
      <c r="D109" t="s">
        <v>203</v>
      </c>
      <c r="E109" t="s">
        <v>196</v>
      </c>
      <c r="F109">
        <v>0.82499999999999996</v>
      </c>
      <c r="G109">
        <v>825</v>
      </c>
      <c r="H109">
        <v>1163</v>
      </c>
      <c r="I109">
        <v>3490</v>
      </c>
      <c r="J109">
        <v>2585</v>
      </c>
      <c r="K109" t="s">
        <v>688</v>
      </c>
    </row>
    <row r="110" spans="1:11">
      <c r="A110" t="s">
        <v>299</v>
      </c>
      <c r="B110" t="s">
        <v>71</v>
      </c>
      <c r="C110" t="s">
        <v>131</v>
      </c>
      <c r="D110" t="s">
        <v>209</v>
      </c>
      <c r="E110" t="s">
        <v>190</v>
      </c>
      <c r="F110">
        <v>1.18</v>
      </c>
      <c r="G110">
        <v>1180</v>
      </c>
      <c r="H110">
        <v>0</v>
      </c>
      <c r="I110">
        <v>2420</v>
      </c>
      <c r="J110">
        <v>2689</v>
      </c>
      <c r="K110" t="s">
        <v>685</v>
      </c>
    </row>
    <row r="111" spans="1:11">
      <c r="A111" t="s">
        <v>300</v>
      </c>
      <c r="B111" t="s">
        <v>71</v>
      </c>
      <c r="C111" t="s">
        <v>131</v>
      </c>
      <c r="D111" t="s">
        <v>209</v>
      </c>
      <c r="E111" t="s">
        <v>192</v>
      </c>
      <c r="F111">
        <v>2.0649999999999999</v>
      </c>
      <c r="G111">
        <v>2065</v>
      </c>
      <c r="H111">
        <v>269</v>
      </c>
      <c r="I111">
        <v>2689</v>
      </c>
      <c r="J111">
        <v>2689</v>
      </c>
      <c r="K111" t="s">
        <v>686</v>
      </c>
    </row>
    <row r="112" spans="1:11">
      <c r="A112" t="s">
        <v>301</v>
      </c>
      <c r="B112" t="s">
        <v>71</v>
      </c>
      <c r="C112" t="s">
        <v>131</v>
      </c>
      <c r="D112" t="s">
        <v>209</v>
      </c>
      <c r="E112" t="s">
        <v>194</v>
      </c>
      <c r="F112">
        <v>1.77</v>
      </c>
      <c r="G112">
        <v>1770</v>
      </c>
      <c r="H112">
        <v>672</v>
      </c>
      <c r="I112">
        <v>3092</v>
      </c>
      <c r="J112">
        <v>2689</v>
      </c>
      <c r="K112" t="s">
        <v>687</v>
      </c>
    </row>
    <row r="113" spans="1:11">
      <c r="A113" t="s">
        <v>302</v>
      </c>
      <c r="B113" t="s">
        <v>71</v>
      </c>
      <c r="C113" t="s">
        <v>131</v>
      </c>
      <c r="D113" t="s">
        <v>209</v>
      </c>
      <c r="E113" t="s">
        <v>196</v>
      </c>
      <c r="F113">
        <v>0.88500000000000001</v>
      </c>
      <c r="G113">
        <v>885</v>
      </c>
      <c r="H113">
        <v>1210</v>
      </c>
      <c r="I113">
        <v>3630</v>
      </c>
      <c r="J113">
        <v>2689</v>
      </c>
      <c r="K113" t="s">
        <v>688</v>
      </c>
    </row>
    <row r="114" spans="1:11">
      <c r="A114" t="s">
        <v>303</v>
      </c>
      <c r="B114" t="s">
        <v>62</v>
      </c>
      <c r="C114" t="s">
        <v>122</v>
      </c>
      <c r="D114" t="s">
        <v>214</v>
      </c>
      <c r="E114" t="s">
        <v>190</v>
      </c>
      <c r="F114">
        <v>1.1599999999999999</v>
      </c>
      <c r="G114">
        <v>1160</v>
      </c>
      <c r="H114">
        <v>0</v>
      </c>
      <c r="I114">
        <v>2578</v>
      </c>
      <c r="J114">
        <v>2864</v>
      </c>
      <c r="K114" t="s">
        <v>685</v>
      </c>
    </row>
    <row r="115" spans="1:11">
      <c r="A115" t="s">
        <v>304</v>
      </c>
      <c r="B115" t="s">
        <v>62</v>
      </c>
      <c r="C115" t="s">
        <v>122</v>
      </c>
      <c r="D115" t="s">
        <v>214</v>
      </c>
      <c r="E115" t="s">
        <v>192</v>
      </c>
      <c r="F115">
        <v>2.0299999999999998</v>
      </c>
      <c r="G115">
        <v>2030</v>
      </c>
      <c r="H115">
        <v>286</v>
      </c>
      <c r="I115">
        <v>2864</v>
      </c>
      <c r="J115">
        <v>2864</v>
      </c>
      <c r="K115" t="s">
        <v>686</v>
      </c>
    </row>
    <row r="116" spans="1:11">
      <c r="A116" t="s">
        <v>305</v>
      </c>
      <c r="B116" t="s">
        <v>62</v>
      </c>
      <c r="C116" t="s">
        <v>122</v>
      </c>
      <c r="D116" t="s">
        <v>214</v>
      </c>
      <c r="E116" t="s">
        <v>194</v>
      </c>
      <c r="F116">
        <v>1.74</v>
      </c>
      <c r="G116">
        <v>1740</v>
      </c>
      <c r="H116">
        <v>716</v>
      </c>
      <c r="I116">
        <v>3294</v>
      </c>
      <c r="J116">
        <v>2864</v>
      </c>
      <c r="K116" t="s">
        <v>687</v>
      </c>
    </row>
    <row r="117" spans="1:11">
      <c r="A117" t="s">
        <v>306</v>
      </c>
      <c r="B117" t="s">
        <v>62</v>
      </c>
      <c r="C117" t="s">
        <v>122</v>
      </c>
      <c r="D117" t="s">
        <v>214</v>
      </c>
      <c r="E117" t="s">
        <v>196</v>
      </c>
      <c r="F117">
        <v>0.87</v>
      </c>
      <c r="G117">
        <v>870</v>
      </c>
      <c r="H117">
        <v>1289</v>
      </c>
      <c r="I117">
        <v>3867</v>
      </c>
      <c r="J117">
        <v>2864</v>
      </c>
      <c r="K117" t="s">
        <v>688</v>
      </c>
    </row>
    <row r="118" spans="1:11">
      <c r="A118" t="s">
        <v>414</v>
      </c>
      <c r="B118" t="s">
        <v>69</v>
      </c>
      <c r="C118" t="s">
        <v>129</v>
      </c>
      <c r="D118" t="s">
        <v>198</v>
      </c>
      <c r="E118" t="s">
        <v>190</v>
      </c>
      <c r="F118">
        <v>0.04</v>
      </c>
      <c r="G118">
        <v>40</v>
      </c>
      <c r="H118">
        <v>0</v>
      </c>
      <c r="I118">
        <v>2574</v>
      </c>
      <c r="J118">
        <v>2860</v>
      </c>
      <c r="K118" t="s">
        <v>685</v>
      </c>
    </row>
    <row r="119" spans="1:11">
      <c r="A119" t="s">
        <v>415</v>
      </c>
      <c r="B119" t="s">
        <v>69</v>
      </c>
      <c r="C119" t="s">
        <v>129</v>
      </c>
      <c r="D119" t="s">
        <v>198</v>
      </c>
      <c r="E119" t="s">
        <v>192</v>
      </c>
      <c r="F119">
        <v>7.0000000000000007E-2</v>
      </c>
      <c r="G119">
        <v>70</v>
      </c>
      <c r="H119">
        <v>286</v>
      </c>
      <c r="I119">
        <v>2860</v>
      </c>
      <c r="J119">
        <v>2860</v>
      </c>
      <c r="K119" t="s">
        <v>686</v>
      </c>
    </row>
    <row r="120" spans="1:11">
      <c r="A120" t="s">
        <v>416</v>
      </c>
      <c r="B120" t="s">
        <v>69</v>
      </c>
      <c r="C120" t="s">
        <v>129</v>
      </c>
      <c r="D120" t="s">
        <v>198</v>
      </c>
      <c r="E120" t="s">
        <v>194</v>
      </c>
      <c r="F120">
        <v>0.06</v>
      </c>
      <c r="G120">
        <v>60</v>
      </c>
      <c r="H120">
        <v>715</v>
      </c>
      <c r="I120">
        <v>3289</v>
      </c>
      <c r="J120">
        <v>2860</v>
      </c>
      <c r="K120" t="s">
        <v>687</v>
      </c>
    </row>
    <row r="121" spans="1:11">
      <c r="A121" t="s">
        <v>417</v>
      </c>
      <c r="B121" t="s">
        <v>69</v>
      </c>
      <c r="C121" t="s">
        <v>129</v>
      </c>
      <c r="D121" t="s">
        <v>198</v>
      </c>
      <c r="E121" t="s">
        <v>196</v>
      </c>
      <c r="F121">
        <v>0.03</v>
      </c>
      <c r="G121">
        <v>30</v>
      </c>
      <c r="H121">
        <v>1287</v>
      </c>
      <c r="I121">
        <v>3861</v>
      </c>
      <c r="J121">
        <v>2860</v>
      </c>
      <c r="K121" t="s">
        <v>688</v>
      </c>
    </row>
    <row r="122" spans="1:11">
      <c r="A122" t="s">
        <v>307</v>
      </c>
      <c r="B122" t="s">
        <v>74</v>
      </c>
      <c r="C122" t="s">
        <v>134</v>
      </c>
      <c r="D122" t="s">
        <v>209</v>
      </c>
      <c r="E122" t="s">
        <v>190</v>
      </c>
      <c r="F122">
        <v>0.72</v>
      </c>
      <c r="G122">
        <v>720</v>
      </c>
      <c r="H122">
        <v>0</v>
      </c>
      <c r="I122">
        <v>2420</v>
      </c>
      <c r="J122">
        <v>2689</v>
      </c>
      <c r="K122" t="s">
        <v>685</v>
      </c>
    </row>
    <row r="123" spans="1:11">
      <c r="A123" t="s">
        <v>308</v>
      </c>
      <c r="B123" t="s">
        <v>74</v>
      </c>
      <c r="C123" t="s">
        <v>134</v>
      </c>
      <c r="D123" t="s">
        <v>209</v>
      </c>
      <c r="E123" t="s">
        <v>192</v>
      </c>
      <c r="F123">
        <v>1.26</v>
      </c>
      <c r="G123">
        <v>1260</v>
      </c>
      <c r="H123">
        <v>269</v>
      </c>
      <c r="I123">
        <v>2689</v>
      </c>
      <c r="J123">
        <v>2689</v>
      </c>
      <c r="K123" t="s">
        <v>686</v>
      </c>
    </row>
    <row r="124" spans="1:11">
      <c r="A124" t="s">
        <v>309</v>
      </c>
      <c r="B124" t="s">
        <v>74</v>
      </c>
      <c r="C124" t="s">
        <v>134</v>
      </c>
      <c r="D124" t="s">
        <v>209</v>
      </c>
      <c r="E124" t="s">
        <v>194</v>
      </c>
      <c r="F124">
        <v>1.08</v>
      </c>
      <c r="G124">
        <v>1080</v>
      </c>
      <c r="H124">
        <v>672</v>
      </c>
      <c r="I124">
        <v>3092</v>
      </c>
      <c r="J124">
        <v>2689</v>
      </c>
      <c r="K124" t="s">
        <v>687</v>
      </c>
    </row>
    <row r="125" spans="1:11">
      <c r="A125" t="s">
        <v>310</v>
      </c>
      <c r="B125" t="s">
        <v>74</v>
      </c>
      <c r="C125" t="s">
        <v>134</v>
      </c>
      <c r="D125" t="s">
        <v>209</v>
      </c>
      <c r="E125" t="s">
        <v>196</v>
      </c>
      <c r="F125">
        <v>0.54</v>
      </c>
      <c r="G125">
        <v>540</v>
      </c>
      <c r="H125">
        <v>1210</v>
      </c>
      <c r="I125">
        <v>3630</v>
      </c>
      <c r="J125">
        <v>2689</v>
      </c>
      <c r="K125" t="s">
        <v>688</v>
      </c>
    </row>
    <row r="126" spans="1:11">
      <c r="A126" t="s">
        <v>311</v>
      </c>
      <c r="B126" t="s">
        <v>44</v>
      </c>
      <c r="C126" t="s">
        <v>312</v>
      </c>
      <c r="D126" t="s">
        <v>198</v>
      </c>
      <c r="E126" t="s">
        <v>190</v>
      </c>
      <c r="F126">
        <v>0.4</v>
      </c>
      <c r="G126">
        <v>400</v>
      </c>
      <c r="H126">
        <v>0</v>
      </c>
      <c r="I126">
        <v>2574</v>
      </c>
      <c r="J126">
        <v>2860</v>
      </c>
      <c r="K126" t="s">
        <v>685</v>
      </c>
    </row>
    <row r="127" spans="1:11">
      <c r="A127" t="s">
        <v>313</v>
      </c>
      <c r="B127" t="s">
        <v>44</v>
      </c>
      <c r="C127" t="s">
        <v>312</v>
      </c>
      <c r="D127" t="s">
        <v>198</v>
      </c>
      <c r="E127" t="s">
        <v>192</v>
      </c>
      <c r="F127">
        <v>0.7</v>
      </c>
      <c r="G127">
        <v>700</v>
      </c>
      <c r="H127">
        <v>286</v>
      </c>
      <c r="I127">
        <v>2860</v>
      </c>
      <c r="J127">
        <v>2860</v>
      </c>
      <c r="K127" t="s">
        <v>686</v>
      </c>
    </row>
    <row r="128" spans="1:11">
      <c r="A128" t="s">
        <v>314</v>
      </c>
      <c r="B128" t="s">
        <v>44</v>
      </c>
      <c r="C128" t="s">
        <v>312</v>
      </c>
      <c r="D128" t="s">
        <v>198</v>
      </c>
      <c r="E128" t="s">
        <v>194</v>
      </c>
      <c r="F128">
        <v>0.6</v>
      </c>
      <c r="G128">
        <v>600</v>
      </c>
      <c r="H128">
        <v>715</v>
      </c>
      <c r="I128">
        <v>3289</v>
      </c>
      <c r="J128">
        <v>2860</v>
      </c>
      <c r="K128" t="s">
        <v>687</v>
      </c>
    </row>
    <row r="129" spans="1:11">
      <c r="A129" t="s">
        <v>315</v>
      </c>
      <c r="B129" t="s">
        <v>44</v>
      </c>
      <c r="C129" t="s">
        <v>312</v>
      </c>
      <c r="D129" t="s">
        <v>198</v>
      </c>
      <c r="E129" t="s">
        <v>196</v>
      </c>
      <c r="F129">
        <v>0.3</v>
      </c>
      <c r="G129">
        <v>300</v>
      </c>
      <c r="H129">
        <v>1287</v>
      </c>
      <c r="I129">
        <v>3861</v>
      </c>
      <c r="J129">
        <v>2860</v>
      </c>
      <c r="K129" t="s">
        <v>688</v>
      </c>
    </row>
    <row r="130" spans="1:11">
      <c r="A130" t="s">
        <v>316</v>
      </c>
      <c r="B130" t="s">
        <v>43</v>
      </c>
      <c r="C130" t="s">
        <v>105</v>
      </c>
      <c r="D130" t="s">
        <v>209</v>
      </c>
      <c r="E130" t="s">
        <v>190</v>
      </c>
      <c r="F130">
        <v>0.8</v>
      </c>
      <c r="G130">
        <v>800</v>
      </c>
      <c r="H130">
        <v>0</v>
      </c>
      <c r="I130">
        <v>2420</v>
      </c>
      <c r="J130">
        <v>2689</v>
      </c>
      <c r="K130" t="s">
        <v>685</v>
      </c>
    </row>
    <row r="131" spans="1:11">
      <c r="A131" t="s">
        <v>317</v>
      </c>
      <c r="B131" t="s">
        <v>43</v>
      </c>
      <c r="C131" t="s">
        <v>105</v>
      </c>
      <c r="D131" t="s">
        <v>209</v>
      </c>
      <c r="E131" t="s">
        <v>192</v>
      </c>
      <c r="F131">
        <v>1.4</v>
      </c>
      <c r="G131">
        <v>1400</v>
      </c>
      <c r="H131">
        <v>269</v>
      </c>
      <c r="I131">
        <v>2689</v>
      </c>
      <c r="J131">
        <v>2689</v>
      </c>
      <c r="K131" t="s">
        <v>686</v>
      </c>
    </row>
    <row r="132" spans="1:11">
      <c r="A132" t="s">
        <v>318</v>
      </c>
      <c r="B132" t="s">
        <v>43</v>
      </c>
      <c r="C132" t="s">
        <v>105</v>
      </c>
      <c r="D132" t="s">
        <v>209</v>
      </c>
      <c r="E132" t="s">
        <v>194</v>
      </c>
      <c r="F132">
        <v>1.2</v>
      </c>
      <c r="G132">
        <v>1200</v>
      </c>
      <c r="H132">
        <v>672</v>
      </c>
      <c r="I132">
        <v>3092</v>
      </c>
      <c r="J132">
        <v>2689</v>
      </c>
      <c r="K132" t="s">
        <v>687</v>
      </c>
    </row>
    <row r="133" spans="1:11">
      <c r="A133" t="s">
        <v>319</v>
      </c>
      <c r="B133" t="s">
        <v>43</v>
      </c>
      <c r="C133" t="s">
        <v>105</v>
      </c>
      <c r="D133" t="s">
        <v>209</v>
      </c>
      <c r="E133" t="s">
        <v>196</v>
      </c>
      <c r="F133">
        <v>0.6</v>
      </c>
      <c r="G133">
        <v>600</v>
      </c>
      <c r="H133">
        <v>1210</v>
      </c>
      <c r="I133">
        <v>3630</v>
      </c>
      <c r="J133">
        <v>2689</v>
      </c>
      <c r="K133" t="s">
        <v>688</v>
      </c>
    </row>
    <row r="134" spans="1:11">
      <c r="A134" t="s">
        <v>418</v>
      </c>
      <c r="B134" t="s">
        <v>45</v>
      </c>
      <c r="C134" t="s">
        <v>106</v>
      </c>
      <c r="D134" t="s">
        <v>231</v>
      </c>
      <c r="E134" t="s">
        <v>190</v>
      </c>
      <c r="F134">
        <v>0.1</v>
      </c>
      <c r="G134">
        <v>100</v>
      </c>
      <c r="H134">
        <v>0</v>
      </c>
      <c r="I134">
        <v>2046</v>
      </c>
      <c r="J134">
        <v>2273</v>
      </c>
      <c r="K134" t="s">
        <v>685</v>
      </c>
    </row>
    <row r="135" spans="1:11">
      <c r="A135" t="s">
        <v>419</v>
      </c>
      <c r="B135" t="s">
        <v>45</v>
      </c>
      <c r="C135" t="s">
        <v>106</v>
      </c>
      <c r="D135" t="s">
        <v>231</v>
      </c>
      <c r="E135" t="s">
        <v>192</v>
      </c>
      <c r="F135">
        <v>0.17499999999999999</v>
      </c>
      <c r="G135">
        <v>175</v>
      </c>
      <c r="H135">
        <v>227</v>
      </c>
      <c r="I135">
        <v>2273</v>
      </c>
      <c r="J135">
        <v>2273</v>
      </c>
      <c r="K135" t="s">
        <v>686</v>
      </c>
    </row>
    <row r="136" spans="1:11">
      <c r="A136" t="s">
        <v>420</v>
      </c>
      <c r="B136" t="s">
        <v>45</v>
      </c>
      <c r="C136" t="s">
        <v>106</v>
      </c>
      <c r="D136" t="s">
        <v>231</v>
      </c>
      <c r="E136" t="s">
        <v>194</v>
      </c>
      <c r="F136">
        <v>0.15</v>
      </c>
      <c r="G136">
        <v>150</v>
      </c>
      <c r="H136">
        <v>568</v>
      </c>
      <c r="I136">
        <v>2614</v>
      </c>
      <c r="J136">
        <v>2273</v>
      </c>
      <c r="K136" t="s">
        <v>687</v>
      </c>
    </row>
    <row r="137" spans="1:11">
      <c r="A137" t="s">
        <v>421</v>
      </c>
      <c r="B137" t="s">
        <v>45</v>
      </c>
      <c r="C137" t="s">
        <v>106</v>
      </c>
      <c r="D137" t="s">
        <v>231</v>
      </c>
      <c r="E137" t="s">
        <v>196</v>
      </c>
      <c r="F137">
        <v>7.4999999999999997E-2</v>
      </c>
      <c r="G137">
        <v>75</v>
      </c>
      <c r="H137">
        <v>1023</v>
      </c>
      <c r="I137">
        <v>3068</v>
      </c>
      <c r="J137">
        <v>2273</v>
      </c>
      <c r="K137" t="s">
        <v>688</v>
      </c>
    </row>
    <row r="138" spans="1:11">
      <c r="A138" t="s">
        <v>320</v>
      </c>
      <c r="B138" t="s">
        <v>36</v>
      </c>
      <c r="C138" t="s">
        <v>98</v>
      </c>
      <c r="D138" t="s">
        <v>189</v>
      </c>
      <c r="E138" t="s">
        <v>190</v>
      </c>
      <c r="F138">
        <v>0.48</v>
      </c>
      <c r="G138">
        <v>480</v>
      </c>
      <c r="H138">
        <v>0</v>
      </c>
      <c r="I138">
        <v>2767</v>
      </c>
      <c r="J138">
        <v>3074</v>
      </c>
      <c r="K138" t="s">
        <v>685</v>
      </c>
    </row>
    <row r="139" spans="1:11">
      <c r="A139" t="s">
        <v>321</v>
      </c>
      <c r="B139" t="s">
        <v>36</v>
      </c>
      <c r="C139" t="s">
        <v>98</v>
      </c>
      <c r="D139" t="s">
        <v>189</v>
      </c>
      <c r="E139" t="s">
        <v>192</v>
      </c>
      <c r="F139">
        <v>0.84</v>
      </c>
      <c r="G139">
        <v>840</v>
      </c>
      <c r="H139">
        <v>307</v>
      </c>
      <c r="I139">
        <v>3074</v>
      </c>
      <c r="J139">
        <v>3074</v>
      </c>
      <c r="K139" t="s">
        <v>686</v>
      </c>
    </row>
    <row r="140" spans="1:11">
      <c r="A140" t="s">
        <v>322</v>
      </c>
      <c r="B140" t="s">
        <v>36</v>
      </c>
      <c r="C140" t="s">
        <v>98</v>
      </c>
      <c r="D140" t="s">
        <v>189</v>
      </c>
      <c r="E140" t="s">
        <v>194</v>
      </c>
      <c r="F140">
        <v>0.72</v>
      </c>
      <c r="G140">
        <v>720</v>
      </c>
      <c r="H140">
        <v>768</v>
      </c>
      <c r="I140">
        <v>3535</v>
      </c>
      <c r="J140">
        <v>3074</v>
      </c>
      <c r="K140" t="s">
        <v>687</v>
      </c>
    </row>
    <row r="141" spans="1:11">
      <c r="A141" t="s">
        <v>323</v>
      </c>
      <c r="B141" t="s">
        <v>36</v>
      </c>
      <c r="C141" t="s">
        <v>98</v>
      </c>
      <c r="D141" t="s">
        <v>189</v>
      </c>
      <c r="E141" t="s">
        <v>196</v>
      </c>
      <c r="F141">
        <v>0.36</v>
      </c>
      <c r="G141">
        <v>360</v>
      </c>
      <c r="H141">
        <v>1383</v>
      </c>
      <c r="I141">
        <v>4150</v>
      </c>
      <c r="J141">
        <v>3074</v>
      </c>
      <c r="K141" t="s">
        <v>688</v>
      </c>
    </row>
    <row r="142" spans="1:11">
      <c r="A142" t="s">
        <v>324</v>
      </c>
      <c r="B142" t="s">
        <v>15</v>
      </c>
      <c r="C142" t="s">
        <v>78</v>
      </c>
      <c r="D142" t="s">
        <v>203</v>
      </c>
      <c r="E142" t="s">
        <v>190</v>
      </c>
      <c r="F142">
        <v>0.4</v>
      </c>
      <c r="G142">
        <v>400</v>
      </c>
      <c r="H142">
        <v>0</v>
      </c>
      <c r="I142">
        <v>2327</v>
      </c>
      <c r="J142">
        <v>2585</v>
      </c>
      <c r="K142" t="s">
        <v>685</v>
      </c>
    </row>
    <row r="143" spans="1:11">
      <c r="A143" t="s">
        <v>325</v>
      </c>
      <c r="B143" t="s">
        <v>15</v>
      </c>
      <c r="C143" t="s">
        <v>78</v>
      </c>
      <c r="D143" t="s">
        <v>203</v>
      </c>
      <c r="E143" t="s">
        <v>192</v>
      </c>
      <c r="F143">
        <v>0.7</v>
      </c>
      <c r="G143">
        <v>700</v>
      </c>
      <c r="H143">
        <v>259</v>
      </c>
      <c r="I143">
        <v>2585</v>
      </c>
      <c r="J143">
        <v>2585</v>
      </c>
      <c r="K143" t="s">
        <v>686</v>
      </c>
    </row>
    <row r="144" spans="1:11">
      <c r="A144" t="s">
        <v>326</v>
      </c>
      <c r="B144" t="s">
        <v>15</v>
      </c>
      <c r="C144" t="s">
        <v>78</v>
      </c>
      <c r="D144" t="s">
        <v>203</v>
      </c>
      <c r="E144" t="s">
        <v>194</v>
      </c>
      <c r="F144">
        <v>0.6</v>
      </c>
      <c r="G144">
        <v>600</v>
      </c>
      <c r="H144">
        <v>646</v>
      </c>
      <c r="I144">
        <v>2973</v>
      </c>
      <c r="J144">
        <v>2585</v>
      </c>
      <c r="K144" t="s">
        <v>687</v>
      </c>
    </row>
    <row r="145" spans="1:11">
      <c r="A145" t="s">
        <v>327</v>
      </c>
      <c r="B145" t="s">
        <v>15</v>
      </c>
      <c r="C145" t="s">
        <v>78</v>
      </c>
      <c r="D145" t="s">
        <v>203</v>
      </c>
      <c r="E145" t="s">
        <v>196</v>
      </c>
      <c r="F145">
        <v>0.3</v>
      </c>
      <c r="G145">
        <v>300</v>
      </c>
      <c r="H145">
        <v>1163</v>
      </c>
      <c r="I145">
        <v>3490</v>
      </c>
      <c r="J145">
        <v>2585</v>
      </c>
      <c r="K145" t="s">
        <v>688</v>
      </c>
    </row>
    <row r="146" spans="1:11">
      <c r="A146" t="s">
        <v>328</v>
      </c>
      <c r="B146" t="s">
        <v>29</v>
      </c>
      <c r="C146" t="s">
        <v>329</v>
      </c>
      <c r="D146" t="s">
        <v>209</v>
      </c>
      <c r="E146" t="s">
        <v>190</v>
      </c>
      <c r="F146">
        <v>0.44</v>
      </c>
      <c r="G146">
        <v>440</v>
      </c>
      <c r="H146">
        <v>0</v>
      </c>
      <c r="I146">
        <v>2420</v>
      </c>
      <c r="J146">
        <v>2689</v>
      </c>
      <c r="K146" t="s">
        <v>685</v>
      </c>
    </row>
    <row r="147" spans="1:11">
      <c r="A147" t="s">
        <v>330</v>
      </c>
      <c r="B147" t="s">
        <v>29</v>
      </c>
      <c r="C147" t="s">
        <v>329</v>
      </c>
      <c r="D147" t="s">
        <v>209</v>
      </c>
      <c r="E147" t="s">
        <v>192</v>
      </c>
      <c r="F147">
        <v>0.77</v>
      </c>
      <c r="G147">
        <v>770</v>
      </c>
      <c r="H147">
        <v>269</v>
      </c>
      <c r="I147">
        <v>2689</v>
      </c>
      <c r="J147">
        <v>2689</v>
      </c>
      <c r="K147" t="s">
        <v>686</v>
      </c>
    </row>
    <row r="148" spans="1:11">
      <c r="A148" t="s">
        <v>331</v>
      </c>
      <c r="B148" t="s">
        <v>29</v>
      </c>
      <c r="C148" t="s">
        <v>329</v>
      </c>
      <c r="D148" t="s">
        <v>209</v>
      </c>
      <c r="E148" t="s">
        <v>194</v>
      </c>
      <c r="F148">
        <v>0.66</v>
      </c>
      <c r="G148">
        <v>660</v>
      </c>
      <c r="H148">
        <v>672</v>
      </c>
      <c r="I148">
        <v>3092</v>
      </c>
      <c r="J148">
        <v>2689</v>
      </c>
      <c r="K148" t="s">
        <v>687</v>
      </c>
    </row>
    <row r="149" spans="1:11">
      <c r="A149" t="s">
        <v>332</v>
      </c>
      <c r="B149" t="s">
        <v>29</v>
      </c>
      <c r="C149" t="s">
        <v>329</v>
      </c>
      <c r="D149" t="s">
        <v>209</v>
      </c>
      <c r="E149" t="s">
        <v>196</v>
      </c>
      <c r="F149">
        <v>0.33</v>
      </c>
      <c r="G149">
        <v>330</v>
      </c>
      <c r="H149">
        <v>1210</v>
      </c>
      <c r="I149">
        <v>3630</v>
      </c>
      <c r="J149">
        <v>2689</v>
      </c>
      <c r="K149" t="s">
        <v>688</v>
      </c>
    </row>
    <row r="150" spans="1:11">
      <c r="A150" t="s">
        <v>333</v>
      </c>
      <c r="B150" t="s">
        <v>34</v>
      </c>
      <c r="C150" t="s">
        <v>96</v>
      </c>
      <c r="D150" t="s">
        <v>209</v>
      </c>
      <c r="E150" t="s">
        <v>190</v>
      </c>
      <c r="F150">
        <v>0.4</v>
      </c>
      <c r="G150">
        <v>400</v>
      </c>
      <c r="H150">
        <v>0</v>
      </c>
      <c r="I150">
        <v>2420</v>
      </c>
      <c r="J150">
        <v>2689</v>
      </c>
      <c r="K150" t="s">
        <v>685</v>
      </c>
    </row>
    <row r="151" spans="1:11">
      <c r="A151" t="s">
        <v>334</v>
      </c>
      <c r="B151" t="s">
        <v>34</v>
      </c>
      <c r="C151" t="s">
        <v>96</v>
      </c>
      <c r="D151" t="s">
        <v>209</v>
      </c>
      <c r="E151" t="s">
        <v>192</v>
      </c>
      <c r="F151">
        <v>0.7</v>
      </c>
      <c r="G151">
        <v>700</v>
      </c>
      <c r="H151">
        <v>269</v>
      </c>
      <c r="I151">
        <v>2689</v>
      </c>
      <c r="J151">
        <v>2689</v>
      </c>
      <c r="K151" t="s">
        <v>686</v>
      </c>
    </row>
    <row r="152" spans="1:11">
      <c r="A152" t="s">
        <v>335</v>
      </c>
      <c r="B152" t="s">
        <v>34</v>
      </c>
      <c r="C152" t="s">
        <v>96</v>
      </c>
      <c r="D152" t="s">
        <v>209</v>
      </c>
      <c r="E152" t="s">
        <v>194</v>
      </c>
      <c r="F152">
        <v>0.6</v>
      </c>
      <c r="G152">
        <v>600</v>
      </c>
      <c r="H152">
        <v>672</v>
      </c>
      <c r="I152">
        <v>3092</v>
      </c>
      <c r="J152">
        <v>2689</v>
      </c>
      <c r="K152" t="s">
        <v>687</v>
      </c>
    </row>
    <row r="153" spans="1:11">
      <c r="A153" t="s">
        <v>336</v>
      </c>
      <c r="B153" t="s">
        <v>34</v>
      </c>
      <c r="C153" t="s">
        <v>96</v>
      </c>
      <c r="D153" t="s">
        <v>209</v>
      </c>
      <c r="E153" t="s">
        <v>196</v>
      </c>
      <c r="F153">
        <v>0.3</v>
      </c>
      <c r="G153">
        <v>300</v>
      </c>
      <c r="H153">
        <v>1210</v>
      </c>
      <c r="I153">
        <v>3630</v>
      </c>
      <c r="J153">
        <v>2689</v>
      </c>
      <c r="K153" t="s">
        <v>688</v>
      </c>
    </row>
    <row r="154" spans="1:11">
      <c r="A154" t="s">
        <v>337</v>
      </c>
      <c r="B154" t="s">
        <v>33</v>
      </c>
      <c r="C154" t="s">
        <v>95</v>
      </c>
      <c r="D154" t="s">
        <v>209</v>
      </c>
      <c r="E154" t="s">
        <v>190</v>
      </c>
      <c r="F154">
        <v>0.34</v>
      </c>
      <c r="G154">
        <v>340</v>
      </c>
      <c r="H154">
        <v>0</v>
      </c>
      <c r="I154">
        <v>2420</v>
      </c>
      <c r="J154">
        <v>2689</v>
      </c>
      <c r="K154" t="s">
        <v>685</v>
      </c>
    </row>
    <row r="155" spans="1:11">
      <c r="A155" t="s">
        <v>338</v>
      </c>
      <c r="B155" t="s">
        <v>33</v>
      </c>
      <c r="C155" t="s">
        <v>95</v>
      </c>
      <c r="D155" t="s">
        <v>209</v>
      </c>
      <c r="E155" t="s">
        <v>192</v>
      </c>
      <c r="F155">
        <v>0.59499999999999997</v>
      </c>
      <c r="G155">
        <v>595</v>
      </c>
      <c r="H155">
        <v>269</v>
      </c>
      <c r="I155">
        <v>2689</v>
      </c>
      <c r="J155">
        <v>2689</v>
      </c>
      <c r="K155" t="s">
        <v>686</v>
      </c>
    </row>
    <row r="156" spans="1:11">
      <c r="A156" t="s">
        <v>339</v>
      </c>
      <c r="B156" t="s">
        <v>33</v>
      </c>
      <c r="C156" t="s">
        <v>95</v>
      </c>
      <c r="D156" t="s">
        <v>209</v>
      </c>
      <c r="E156" t="s">
        <v>194</v>
      </c>
      <c r="F156">
        <v>0.51</v>
      </c>
      <c r="G156">
        <v>510</v>
      </c>
      <c r="H156">
        <v>672</v>
      </c>
      <c r="I156">
        <v>3092</v>
      </c>
      <c r="J156">
        <v>2689</v>
      </c>
      <c r="K156" t="s">
        <v>687</v>
      </c>
    </row>
    <row r="157" spans="1:11">
      <c r="A157" t="s">
        <v>340</v>
      </c>
      <c r="B157" t="s">
        <v>33</v>
      </c>
      <c r="C157" t="s">
        <v>95</v>
      </c>
      <c r="D157" t="s">
        <v>209</v>
      </c>
      <c r="E157" t="s">
        <v>196</v>
      </c>
      <c r="F157">
        <v>0.255</v>
      </c>
      <c r="G157">
        <v>255</v>
      </c>
      <c r="H157">
        <v>1210</v>
      </c>
      <c r="I157">
        <v>3630</v>
      </c>
      <c r="J157">
        <v>2689</v>
      </c>
      <c r="K157" t="s">
        <v>688</v>
      </c>
    </row>
    <row r="158" spans="1:11">
      <c r="A158" t="s">
        <v>422</v>
      </c>
      <c r="B158" t="s">
        <v>423</v>
      </c>
      <c r="C158" t="s">
        <v>424</v>
      </c>
      <c r="D158" t="s">
        <v>209</v>
      </c>
      <c r="E158" t="s">
        <v>190</v>
      </c>
      <c r="F158">
        <v>0.04</v>
      </c>
      <c r="G158">
        <v>40</v>
      </c>
      <c r="H158">
        <v>0</v>
      </c>
      <c r="I158">
        <v>2420</v>
      </c>
      <c r="J158">
        <v>2689</v>
      </c>
      <c r="K158" t="s">
        <v>685</v>
      </c>
    </row>
    <row r="159" spans="1:11">
      <c r="A159" t="s">
        <v>425</v>
      </c>
      <c r="B159" t="s">
        <v>423</v>
      </c>
      <c r="C159" t="s">
        <v>424</v>
      </c>
      <c r="D159" t="s">
        <v>209</v>
      </c>
      <c r="E159" t="s">
        <v>192</v>
      </c>
      <c r="F159">
        <v>7.0000000000000007E-2</v>
      </c>
      <c r="G159">
        <v>70</v>
      </c>
      <c r="H159">
        <v>269</v>
      </c>
      <c r="I159">
        <v>2689</v>
      </c>
      <c r="J159">
        <v>2689</v>
      </c>
      <c r="K159" t="s">
        <v>686</v>
      </c>
    </row>
    <row r="160" spans="1:11">
      <c r="A160" t="s">
        <v>426</v>
      </c>
      <c r="B160" t="s">
        <v>423</v>
      </c>
      <c r="C160" t="s">
        <v>424</v>
      </c>
      <c r="D160" t="s">
        <v>209</v>
      </c>
      <c r="E160" t="s">
        <v>194</v>
      </c>
      <c r="F160">
        <v>0.06</v>
      </c>
      <c r="G160">
        <v>60</v>
      </c>
      <c r="H160">
        <v>672</v>
      </c>
      <c r="I160">
        <v>3092</v>
      </c>
      <c r="J160">
        <v>2689</v>
      </c>
      <c r="K160" t="s">
        <v>687</v>
      </c>
    </row>
    <row r="161" spans="1:11">
      <c r="A161" t="s">
        <v>427</v>
      </c>
      <c r="B161" t="s">
        <v>423</v>
      </c>
      <c r="C161" t="s">
        <v>424</v>
      </c>
      <c r="D161" t="s">
        <v>209</v>
      </c>
      <c r="E161" t="s">
        <v>196</v>
      </c>
      <c r="F161">
        <v>0.03</v>
      </c>
      <c r="G161">
        <v>30</v>
      </c>
      <c r="H161">
        <v>1210</v>
      </c>
      <c r="I161">
        <v>3630</v>
      </c>
      <c r="J161">
        <v>2689</v>
      </c>
      <c r="K161" t="s">
        <v>688</v>
      </c>
    </row>
    <row r="162" spans="1:11">
      <c r="A162" t="s">
        <v>341</v>
      </c>
      <c r="B162" t="s">
        <v>35</v>
      </c>
      <c r="C162" t="s">
        <v>97</v>
      </c>
      <c r="D162" t="s">
        <v>189</v>
      </c>
      <c r="E162" t="s">
        <v>190</v>
      </c>
      <c r="F162">
        <v>0.18</v>
      </c>
      <c r="G162">
        <v>180</v>
      </c>
      <c r="H162">
        <v>0</v>
      </c>
      <c r="I162">
        <v>2767</v>
      </c>
      <c r="J162">
        <v>3074</v>
      </c>
      <c r="K162" t="s">
        <v>685</v>
      </c>
    </row>
    <row r="163" spans="1:11">
      <c r="A163" t="s">
        <v>342</v>
      </c>
      <c r="B163" t="s">
        <v>35</v>
      </c>
      <c r="C163" t="s">
        <v>97</v>
      </c>
      <c r="D163" t="s">
        <v>189</v>
      </c>
      <c r="E163" t="s">
        <v>192</v>
      </c>
      <c r="F163">
        <v>0.315</v>
      </c>
      <c r="G163">
        <v>315</v>
      </c>
      <c r="H163">
        <v>307</v>
      </c>
      <c r="I163">
        <v>3074</v>
      </c>
      <c r="J163">
        <v>3074</v>
      </c>
      <c r="K163" t="s">
        <v>686</v>
      </c>
    </row>
    <row r="164" spans="1:11">
      <c r="A164" t="s">
        <v>343</v>
      </c>
      <c r="B164" t="s">
        <v>35</v>
      </c>
      <c r="C164" t="s">
        <v>97</v>
      </c>
      <c r="D164" t="s">
        <v>189</v>
      </c>
      <c r="E164" t="s">
        <v>194</v>
      </c>
      <c r="F164">
        <v>0.27</v>
      </c>
      <c r="G164">
        <v>270</v>
      </c>
      <c r="H164">
        <v>768</v>
      </c>
      <c r="I164">
        <v>3535</v>
      </c>
      <c r="J164">
        <v>3074</v>
      </c>
      <c r="K164" t="s">
        <v>687</v>
      </c>
    </row>
    <row r="165" spans="1:11">
      <c r="A165" t="s">
        <v>344</v>
      </c>
      <c r="B165" t="s">
        <v>35</v>
      </c>
      <c r="C165" t="s">
        <v>97</v>
      </c>
      <c r="D165" t="s">
        <v>189</v>
      </c>
      <c r="E165" t="s">
        <v>196</v>
      </c>
      <c r="F165">
        <v>0.13500000000000001</v>
      </c>
      <c r="G165">
        <v>135</v>
      </c>
      <c r="H165">
        <v>1383</v>
      </c>
      <c r="I165">
        <v>4150</v>
      </c>
      <c r="J165">
        <v>3074</v>
      </c>
      <c r="K165" t="s">
        <v>688</v>
      </c>
    </row>
    <row r="166" spans="1:11">
      <c r="A166" t="s">
        <v>345</v>
      </c>
      <c r="B166" t="s">
        <v>68</v>
      </c>
      <c r="C166" t="s">
        <v>128</v>
      </c>
      <c r="D166" t="s">
        <v>189</v>
      </c>
      <c r="E166" t="s">
        <v>190</v>
      </c>
      <c r="F166">
        <v>0.34</v>
      </c>
      <c r="G166">
        <v>340</v>
      </c>
      <c r="H166">
        <v>0</v>
      </c>
      <c r="I166">
        <v>2767</v>
      </c>
      <c r="J166">
        <v>3074</v>
      </c>
      <c r="K166" t="s">
        <v>685</v>
      </c>
    </row>
    <row r="167" spans="1:11">
      <c r="A167" t="s">
        <v>346</v>
      </c>
      <c r="B167" t="s">
        <v>68</v>
      </c>
      <c r="C167" t="s">
        <v>128</v>
      </c>
      <c r="D167" t="s">
        <v>189</v>
      </c>
      <c r="E167" t="s">
        <v>192</v>
      </c>
      <c r="F167">
        <v>0.59499999999999997</v>
      </c>
      <c r="G167">
        <v>595</v>
      </c>
      <c r="H167">
        <v>307</v>
      </c>
      <c r="I167">
        <v>3074</v>
      </c>
      <c r="J167">
        <v>3074</v>
      </c>
      <c r="K167" t="s">
        <v>686</v>
      </c>
    </row>
    <row r="168" spans="1:11">
      <c r="A168" t="s">
        <v>347</v>
      </c>
      <c r="B168" t="s">
        <v>68</v>
      </c>
      <c r="C168" t="s">
        <v>128</v>
      </c>
      <c r="D168" t="s">
        <v>189</v>
      </c>
      <c r="E168" t="s">
        <v>194</v>
      </c>
      <c r="F168">
        <v>0.51</v>
      </c>
      <c r="G168">
        <v>510</v>
      </c>
      <c r="H168">
        <v>768</v>
      </c>
      <c r="I168">
        <v>3535</v>
      </c>
      <c r="J168">
        <v>3074</v>
      </c>
      <c r="K168" t="s">
        <v>687</v>
      </c>
    </row>
    <row r="169" spans="1:11">
      <c r="A169" t="s">
        <v>348</v>
      </c>
      <c r="B169" t="s">
        <v>68</v>
      </c>
      <c r="C169" t="s">
        <v>128</v>
      </c>
      <c r="D169" t="s">
        <v>189</v>
      </c>
      <c r="E169" t="s">
        <v>196</v>
      </c>
      <c r="F169">
        <v>0.255</v>
      </c>
      <c r="G169">
        <v>255</v>
      </c>
      <c r="H169">
        <v>1383</v>
      </c>
      <c r="I169">
        <v>4150</v>
      </c>
      <c r="J169">
        <v>3074</v>
      </c>
      <c r="K169" t="s">
        <v>688</v>
      </c>
    </row>
    <row r="170" spans="1:11">
      <c r="A170" t="s">
        <v>349</v>
      </c>
      <c r="B170" t="s">
        <v>48</v>
      </c>
      <c r="C170" t="s">
        <v>109</v>
      </c>
      <c r="D170" t="s">
        <v>209</v>
      </c>
      <c r="E170" t="s">
        <v>190</v>
      </c>
      <c r="F170">
        <v>0.28000000000000003</v>
      </c>
      <c r="G170">
        <v>280</v>
      </c>
      <c r="H170">
        <v>0</v>
      </c>
      <c r="I170">
        <v>2420</v>
      </c>
      <c r="J170">
        <v>2689</v>
      </c>
      <c r="K170" t="s">
        <v>685</v>
      </c>
    </row>
    <row r="171" spans="1:11">
      <c r="A171" t="s">
        <v>350</v>
      </c>
      <c r="B171" t="s">
        <v>48</v>
      </c>
      <c r="C171" t="s">
        <v>109</v>
      </c>
      <c r="D171" t="s">
        <v>209</v>
      </c>
      <c r="E171" t="s">
        <v>192</v>
      </c>
      <c r="F171">
        <v>0.49</v>
      </c>
      <c r="G171">
        <v>490</v>
      </c>
      <c r="H171">
        <v>269</v>
      </c>
      <c r="I171">
        <v>2689</v>
      </c>
      <c r="J171">
        <v>2689</v>
      </c>
      <c r="K171" t="s">
        <v>686</v>
      </c>
    </row>
    <row r="172" spans="1:11">
      <c r="A172" t="s">
        <v>351</v>
      </c>
      <c r="B172" t="s">
        <v>48</v>
      </c>
      <c r="C172" t="s">
        <v>109</v>
      </c>
      <c r="D172" t="s">
        <v>209</v>
      </c>
      <c r="E172" t="s">
        <v>194</v>
      </c>
      <c r="F172">
        <v>0.42</v>
      </c>
      <c r="G172">
        <v>420</v>
      </c>
      <c r="H172">
        <v>672</v>
      </c>
      <c r="I172">
        <v>3092</v>
      </c>
      <c r="J172">
        <v>2689</v>
      </c>
      <c r="K172" t="s">
        <v>687</v>
      </c>
    </row>
    <row r="173" spans="1:11">
      <c r="A173" t="s">
        <v>352</v>
      </c>
      <c r="B173" t="s">
        <v>48</v>
      </c>
      <c r="C173" t="s">
        <v>109</v>
      </c>
      <c r="D173" t="s">
        <v>209</v>
      </c>
      <c r="E173" t="s">
        <v>196</v>
      </c>
      <c r="F173">
        <v>0.21</v>
      </c>
      <c r="G173">
        <v>210</v>
      </c>
      <c r="H173">
        <v>1210</v>
      </c>
      <c r="I173">
        <v>3630</v>
      </c>
      <c r="J173">
        <v>2689</v>
      </c>
      <c r="K173" t="s">
        <v>688</v>
      </c>
    </row>
    <row r="174" spans="1:11">
      <c r="A174" t="s">
        <v>353</v>
      </c>
      <c r="B174" t="s">
        <v>37</v>
      </c>
      <c r="C174" t="s">
        <v>99</v>
      </c>
      <c r="D174" t="s">
        <v>189</v>
      </c>
      <c r="E174" t="s">
        <v>190</v>
      </c>
      <c r="F174">
        <v>0.12</v>
      </c>
      <c r="G174">
        <v>120</v>
      </c>
      <c r="H174">
        <v>0</v>
      </c>
      <c r="I174">
        <v>2767</v>
      </c>
      <c r="J174">
        <v>3074</v>
      </c>
      <c r="K174" t="s">
        <v>685</v>
      </c>
    </row>
    <row r="175" spans="1:11">
      <c r="A175" t="s">
        <v>354</v>
      </c>
      <c r="B175" t="s">
        <v>37</v>
      </c>
      <c r="C175" t="s">
        <v>99</v>
      </c>
      <c r="D175" t="s">
        <v>189</v>
      </c>
      <c r="E175" t="s">
        <v>192</v>
      </c>
      <c r="F175">
        <v>0.21</v>
      </c>
      <c r="G175">
        <v>210</v>
      </c>
      <c r="H175">
        <v>307</v>
      </c>
      <c r="I175">
        <v>3074</v>
      </c>
      <c r="J175">
        <v>3074</v>
      </c>
      <c r="K175" t="s">
        <v>686</v>
      </c>
    </row>
    <row r="176" spans="1:11">
      <c r="A176" t="s">
        <v>355</v>
      </c>
      <c r="B176" t="s">
        <v>37</v>
      </c>
      <c r="C176" t="s">
        <v>99</v>
      </c>
      <c r="D176" t="s">
        <v>189</v>
      </c>
      <c r="E176" t="s">
        <v>194</v>
      </c>
      <c r="F176">
        <v>0.18</v>
      </c>
      <c r="G176">
        <v>180</v>
      </c>
      <c r="H176">
        <v>768</v>
      </c>
      <c r="I176">
        <v>3535</v>
      </c>
      <c r="J176">
        <v>3074</v>
      </c>
      <c r="K176" t="s">
        <v>687</v>
      </c>
    </row>
    <row r="177" spans="1:11">
      <c r="A177" t="s">
        <v>356</v>
      </c>
      <c r="B177" t="s">
        <v>37</v>
      </c>
      <c r="C177" t="s">
        <v>99</v>
      </c>
      <c r="D177" t="s">
        <v>189</v>
      </c>
      <c r="E177" t="s">
        <v>196</v>
      </c>
      <c r="F177">
        <v>0.09</v>
      </c>
      <c r="G177">
        <v>90</v>
      </c>
      <c r="H177">
        <v>1383</v>
      </c>
      <c r="I177">
        <v>4150</v>
      </c>
      <c r="J177">
        <v>3074</v>
      </c>
      <c r="K177" t="s">
        <v>688</v>
      </c>
    </row>
    <row r="178" spans="1:11">
      <c r="A178" t="s">
        <v>428</v>
      </c>
      <c r="B178" t="s">
        <v>26</v>
      </c>
      <c r="C178" t="s">
        <v>429</v>
      </c>
      <c r="D178" t="s">
        <v>209</v>
      </c>
      <c r="E178" t="s">
        <v>190</v>
      </c>
      <c r="F178">
        <v>0.04</v>
      </c>
      <c r="G178">
        <v>40</v>
      </c>
      <c r="H178">
        <v>0</v>
      </c>
      <c r="I178">
        <v>2420</v>
      </c>
      <c r="J178">
        <v>2689</v>
      </c>
      <c r="K178" t="s">
        <v>685</v>
      </c>
    </row>
    <row r="179" spans="1:11">
      <c r="A179" t="s">
        <v>430</v>
      </c>
      <c r="B179" t="s">
        <v>26</v>
      </c>
      <c r="C179" t="s">
        <v>429</v>
      </c>
      <c r="D179" t="s">
        <v>209</v>
      </c>
      <c r="E179" t="s">
        <v>192</v>
      </c>
      <c r="F179">
        <v>7.0000000000000007E-2</v>
      </c>
      <c r="G179">
        <v>70</v>
      </c>
      <c r="H179">
        <v>269</v>
      </c>
      <c r="I179">
        <v>2689</v>
      </c>
      <c r="J179">
        <v>2689</v>
      </c>
      <c r="K179" t="s">
        <v>686</v>
      </c>
    </row>
    <row r="180" spans="1:11">
      <c r="A180" t="s">
        <v>431</v>
      </c>
      <c r="B180" t="s">
        <v>26</v>
      </c>
      <c r="C180" t="s">
        <v>429</v>
      </c>
      <c r="D180" t="s">
        <v>209</v>
      </c>
      <c r="E180" t="s">
        <v>194</v>
      </c>
      <c r="F180">
        <v>0.06</v>
      </c>
      <c r="G180">
        <v>60</v>
      </c>
      <c r="H180">
        <v>672</v>
      </c>
      <c r="I180">
        <v>3092</v>
      </c>
      <c r="J180">
        <v>2689</v>
      </c>
      <c r="K180" t="s">
        <v>687</v>
      </c>
    </row>
    <row r="181" spans="1:11">
      <c r="A181" t="s">
        <v>432</v>
      </c>
      <c r="B181" t="s">
        <v>26</v>
      </c>
      <c r="C181" t="s">
        <v>429</v>
      </c>
      <c r="D181" t="s">
        <v>209</v>
      </c>
      <c r="E181" t="s">
        <v>196</v>
      </c>
      <c r="F181">
        <v>0.03</v>
      </c>
      <c r="G181">
        <v>30</v>
      </c>
      <c r="H181">
        <v>1210</v>
      </c>
      <c r="I181">
        <v>3630</v>
      </c>
      <c r="J181">
        <v>2689</v>
      </c>
      <c r="K181" t="s">
        <v>688</v>
      </c>
    </row>
    <row r="182" spans="1:11">
      <c r="A182" t="s">
        <v>357</v>
      </c>
      <c r="B182" t="s">
        <v>23</v>
      </c>
      <c r="C182" t="s">
        <v>88</v>
      </c>
      <c r="D182" t="s">
        <v>209</v>
      </c>
      <c r="E182" t="s">
        <v>190</v>
      </c>
      <c r="F182">
        <v>0.24</v>
      </c>
      <c r="G182">
        <v>240</v>
      </c>
      <c r="H182">
        <v>0</v>
      </c>
      <c r="I182">
        <v>2420</v>
      </c>
      <c r="J182">
        <v>2689</v>
      </c>
      <c r="K182" t="s">
        <v>685</v>
      </c>
    </row>
    <row r="183" spans="1:11">
      <c r="A183" t="s">
        <v>358</v>
      </c>
      <c r="B183" t="s">
        <v>23</v>
      </c>
      <c r="C183" t="s">
        <v>88</v>
      </c>
      <c r="D183" t="s">
        <v>209</v>
      </c>
      <c r="E183" t="s">
        <v>192</v>
      </c>
      <c r="F183">
        <v>0.42</v>
      </c>
      <c r="G183">
        <v>420</v>
      </c>
      <c r="H183">
        <v>269</v>
      </c>
      <c r="I183">
        <v>2689</v>
      </c>
      <c r="J183">
        <v>2689</v>
      </c>
      <c r="K183" t="s">
        <v>686</v>
      </c>
    </row>
    <row r="184" spans="1:11">
      <c r="A184" t="s">
        <v>359</v>
      </c>
      <c r="B184" t="s">
        <v>23</v>
      </c>
      <c r="C184" t="s">
        <v>88</v>
      </c>
      <c r="D184" t="s">
        <v>209</v>
      </c>
      <c r="E184" t="s">
        <v>194</v>
      </c>
      <c r="F184">
        <v>0.36</v>
      </c>
      <c r="G184">
        <v>360</v>
      </c>
      <c r="H184">
        <v>672</v>
      </c>
      <c r="I184">
        <v>3092</v>
      </c>
      <c r="J184">
        <v>2689</v>
      </c>
      <c r="K184" t="s">
        <v>687</v>
      </c>
    </row>
    <row r="185" spans="1:11">
      <c r="A185" t="s">
        <v>360</v>
      </c>
      <c r="B185" t="s">
        <v>23</v>
      </c>
      <c r="C185" t="s">
        <v>88</v>
      </c>
      <c r="D185" t="s">
        <v>209</v>
      </c>
      <c r="E185" t="s">
        <v>196</v>
      </c>
      <c r="F185">
        <v>0.18</v>
      </c>
      <c r="G185">
        <v>180</v>
      </c>
      <c r="H185">
        <v>1210</v>
      </c>
      <c r="I185">
        <v>3630</v>
      </c>
      <c r="J185">
        <v>2689</v>
      </c>
      <c r="K185" t="s">
        <v>688</v>
      </c>
    </row>
    <row r="186" spans="1:11">
      <c r="A186" t="s">
        <v>361</v>
      </c>
      <c r="B186" t="s">
        <v>57</v>
      </c>
      <c r="C186" t="s">
        <v>117</v>
      </c>
      <c r="D186" t="s">
        <v>189</v>
      </c>
      <c r="E186" t="s">
        <v>190</v>
      </c>
      <c r="F186">
        <v>0.14000000000000001</v>
      </c>
      <c r="G186">
        <v>140</v>
      </c>
      <c r="H186">
        <v>0</v>
      </c>
      <c r="I186">
        <v>2767</v>
      </c>
      <c r="J186">
        <v>3074</v>
      </c>
      <c r="K186" t="s">
        <v>685</v>
      </c>
    </row>
    <row r="187" spans="1:11">
      <c r="A187" t="s">
        <v>362</v>
      </c>
      <c r="B187" t="s">
        <v>57</v>
      </c>
      <c r="C187" t="s">
        <v>117</v>
      </c>
      <c r="D187" t="s">
        <v>189</v>
      </c>
      <c r="E187" t="s">
        <v>192</v>
      </c>
      <c r="F187">
        <v>0.245</v>
      </c>
      <c r="G187">
        <v>245</v>
      </c>
      <c r="H187">
        <v>307</v>
      </c>
      <c r="I187">
        <v>3074</v>
      </c>
      <c r="J187">
        <v>3074</v>
      </c>
      <c r="K187" t="s">
        <v>686</v>
      </c>
    </row>
    <row r="188" spans="1:11">
      <c r="A188" t="s">
        <v>363</v>
      </c>
      <c r="B188" t="s">
        <v>57</v>
      </c>
      <c r="C188" t="s">
        <v>117</v>
      </c>
      <c r="D188" t="s">
        <v>189</v>
      </c>
      <c r="E188" t="s">
        <v>194</v>
      </c>
      <c r="F188">
        <v>0.21</v>
      </c>
      <c r="G188">
        <v>210</v>
      </c>
      <c r="H188">
        <v>768</v>
      </c>
      <c r="I188">
        <v>3535</v>
      </c>
      <c r="J188">
        <v>3074</v>
      </c>
      <c r="K188" t="s">
        <v>687</v>
      </c>
    </row>
    <row r="189" spans="1:11">
      <c r="A189" t="s">
        <v>364</v>
      </c>
      <c r="B189" t="s">
        <v>57</v>
      </c>
      <c r="C189" t="s">
        <v>117</v>
      </c>
      <c r="D189" t="s">
        <v>189</v>
      </c>
      <c r="E189" t="s">
        <v>196</v>
      </c>
      <c r="F189">
        <v>0.105</v>
      </c>
      <c r="G189">
        <v>105</v>
      </c>
      <c r="H189">
        <v>1383</v>
      </c>
      <c r="I189">
        <v>4150</v>
      </c>
      <c r="J189">
        <v>3074</v>
      </c>
      <c r="K189" t="s">
        <v>688</v>
      </c>
    </row>
    <row r="190" spans="1:11">
      <c r="A190" t="s">
        <v>365</v>
      </c>
      <c r="B190" t="s">
        <v>66</v>
      </c>
      <c r="C190" t="s">
        <v>126</v>
      </c>
      <c r="D190" t="s">
        <v>209</v>
      </c>
      <c r="E190" t="s">
        <v>190</v>
      </c>
      <c r="F190">
        <v>0.16</v>
      </c>
      <c r="G190">
        <v>160</v>
      </c>
      <c r="H190">
        <v>0</v>
      </c>
      <c r="I190">
        <v>2420</v>
      </c>
      <c r="J190">
        <v>2689</v>
      </c>
      <c r="K190" t="s">
        <v>685</v>
      </c>
    </row>
    <row r="191" spans="1:11">
      <c r="A191" t="s">
        <v>366</v>
      </c>
      <c r="B191" t="s">
        <v>66</v>
      </c>
      <c r="C191" t="s">
        <v>126</v>
      </c>
      <c r="D191" t="s">
        <v>209</v>
      </c>
      <c r="E191" t="s">
        <v>192</v>
      </c>
      <c r="F191">
        <v>0.28000000000000003</v>
      </c>
      <c r="G191">
        <v>280</v>
      </c>
      <c r="H191">
        <v>269</v>
      </c>
      <c r="I191">
        <v>2689</v>
      </c>
      <c r="J191">
        <v>2689</v>
      </c>
      <c r="K191" t="s">
        <v>686</v>
      </c>
    </row>
    <row r="192" spans="1:11">
      <c r="A192" t="s">
        <v>367</v>
      </c>
      <c r="B192" t="s">
        <v>66</v>
      </c>
      <c r="C192" t="s">
        <v>126</v>
      </c>
      <c r="D192" t="s">
        <v>209</v>
      </c>
      <c r="E192" t="s">
        <v>194</v>
      </c>
      <c r="F192">
        <v>0.24</v>
      </c>
      <c r="G192">
        <v>240</v>
      </c>
      <c r="H192">
        <v>672</v>
      </c>
      <c r="I192">
        <v>3092</v>
      </c>
      <c r="J192">
        <v>2689</v>
      </c>
      <c r="K192" t="s">
        <v>687</v>
      </c>
    </row>
    <row r="193" spans="1:11">
      <c r="A193" t="s">
        <v>368</v>
      </c>
      <c r="B193" t="s">
        <v>66</v>
      </c>
      <c r="C193" t="s">
        <v>126</v>
      </c>
      <c r="D193" t="s">
        <v>209</v>
      </c>
      <c r="E193" t="s">
        <v>196</v>
      </c>
      <c r="F193">
        <v>0.12</v>
      </c>
      <c r="G193">
        <v>120</v>
      </c>
      <c r="H193">
        <v>1210</v>
      </c>
      <c r="I193">
        <v>3630</v>
      </c>
      <c r="J193">
        <v>2689</v>
      </c>
      <c r="K193" t="s">
        <v>688</v>
      </c>
    </row>
    <row r="194" spans="1:11">
      <c r="A194" t="s">
        <v>369</v>
      </c>
      <c r="B194" t="s">
        <v>54</v>
      </c>
      <c r="C194" t="s">
        <v>115</v>
      </c>
      <c r="D194" t="s">
        <v>209</v>
      </c>
      <c r="E194" t="s">
        <v>190</v>
      </c>
      <c r="F194">
        <v>0.1</v>
      </c>
      <c r="G194">
        <v>100</v>
      </c>
      <c r="H194">
        <v>0</v>
      </c>
      <c r="I194">
        <v>2420</v>
      </c>
      <c r="J194">
        <v>2689</v>
      </c>
      <c r="K194" t="s">
        <v>685</v>
      </c>
    </row>
    <row r="195" spans="1:11">
      <c r="A195" t="s">
        <v>370</v>
      </c>
      <c r="B195" t="s">
        <v>54</v>
      </c>
      <c r="C195" t="s">
        <v>115</v>
      </c>
      <c r="D195" t="s">
        <v>209</v>
      </c>
      <c r="E195" t="s">
        <v>192</v>
      </c>
      <c r="F195">
        <v>0.17499999999999999</v>
      </c>
      <c r="G195">
        <v>175</v>
      </c>
      <c r="H195">
        <v>269</v>
      </c>
      <c r="I195">
        <v>2689</v>
      </c>
      <c r="J195">
        <v>2689</v>
      </c>
      <c r="K195" t="s">
        <v>686</v>
      </c>
    </row>
    <row r="196" spans="1:11">
      <c r="A196" t="s">
        <v>371</v>
      </c>
      <c r="B196" t="s">
        <v>54</v>
      </c>
      <c r="C196" t="s">
        <v>115</v>
      </c>
      <c r="D196" t="s">
        <v>209</v>
      </c>
      <c r="E196" t="s">
        <v>194</v>
      </c>
      <c r="F196">
        <v>0.15</v>
      </c>
      <c r="G196">
        <v>150</v>
      </c>
      <c r="H196">
        <v>672</v>
      </c>
      <c r="I196">
        <v>3092</v>
      </c>
      <c r="J196">
        <v>2689</v>
      </c>
      <c r="K196" t="s">
        <v>687</v>
      </c>
    </row>
    <row r="197" spans="1:11">
      <c r="A197" t="s">
        <v>372</v>
      </c>
      <c r="B197" t="s">
        <v>54</v>
      </c>
      <c r="C197" t="s">
        <v>115</v>
      </c>
      <c r="D197" t="s">
        <v>209</v>
      </c>
      <c r="E197" t="s">
        <v>196</v>
      </c>
      <c r="F197">
        <v>7.4999999999999997E-2</v>
      </c>
      <c r="G197">
        <v>75</v>
      </c>
      <c r="H197">
        <v>1210</v>
      </c>
      <c r="I197">
        <v>3630</v>
      </c>
      <c r="J197">
        <v>2689</v>
      </c>
      <c r="K197" t="s">
        <v>688</v>
      </c>
    </row>
    <row r="198" spans="1:11">
      <c r="A198" t="s">
        <v>373</v>
      </c>
      <c r="B198" t="s">
        <v>52</v>
      </c>
      <c r="C198" t="s">
        <v>113</v>
      </c>
      <c r="D198" t="s">
        <v>231</v>
      </c>
      <c r="E198" t="s">
        <v>190</v>
      </c>
      <c r="F198">
        <v>0.16</v>
      </c>
      <c r="G198">
        <v>160</v>
      </c>
      <c r="H198">
        <v>0</v>
      </c>
      <c r="I198">
        <v>2046</v>
      </c>
      <c r="J198">
        <v>2273</v>
      </c>
      <c r="K198" t="s">
        <v>685</v>
      </c>
    </row>
    <row r="199" spans="1:11">
      <c r="A199" t="s">
        <v>374</v>
      </c>
      <c r="B199" t="s">
        <v>52</v>
      </c>
      <c r="C199" t="s">
        <v>113</v>
      </c>
      <c r="D199" t="s">
        <v>231</v>
      </c>
      <c r="E199" t="s">
        <v>192</v>
      </c>
      <c r="F199">
        <v>0.28000000000000003</v>
      </c>
      <c r="G199">
        <v>280</v>
      </c>
      <c r="H199">
        <v>227</v>
      </c>
      <c r="I199">
        <v>2273</v>
      </c>
      <c r="J199">
        <v>2273</v>
      </c>
      <c r="K199" t="s">
        <v>686</v>
      </c>
    </row>
    <row r="200" spans="1:11">
      <c r="A200" t="s">
        <v>375</v>
      </c>
      <c r="B200" t="s">
        <v>52</v>
      </c>
      <c r="C200" t="s">
        <v>113</v>
      </c>
      <c r="D200" t="s">
        <v>231</v>
      </c>
      <c r="E200" t="s">
        <v>194</v>
      </c>
      <c r="F200">
        <v>0.24</v>
      </c>
      <c r="G200">
        <v>240</v>
      </c>
      <c r="H200">
        <v>568</v>
      </c>
      <c r="I200">
        <v>2614</v>
      </c>
      <c r="J200">
        <v>2273</v>
      </c>
      <c r="K200" t="s">
        <v>687</v>
      </c>
    </row>
    <row r="201" spans="1:11">
      <c r="A201" t="s">
        <v>376</v>
      </c>
      <c r="B201" t="s">
        <v>52</v>
      </c>
      <c r="C201" t="s">
        <v>113</v>
      </c>
      <c r="D201" t="s">
        <v>231</v>
      </c>
      <c r="E201" t="s">
        <v>196</v>
      </c>
      <c r="F201">
        <v>0.12</v>
      </c>
      <c r="G201">
        <v>120</v>
      </c>
      <c r="H201">
        <v>1023</v>
      </c>
      <c r="I201">
        <v>3068</v>
      </c>
      <c r="J201">
        <v>2273</v>
      </c>
      <c r="K201" t="s">
        <v>688</v>
      </c>
    </row>
    <row r="202" spans="1:11">
      <c r="A202" t="s">
        <v>377</v>
      </c>
      <c r="B202" t="s">
        <v>50</v>
      </c>
      <c r="C202" t="s">
        <v>111</v>
      </c>
      <c r="D202" t="s">
        <v>209</v>
      </c>
      <c r="E202" t="s">
        <v>190</v>
      </c>
      <c r="F202">
        <v>0.12</v>
      </c>
      <c r="G202">
        <v>120</v>
      </c>
      <c r="H202">
        <v>0</v>
      </c>
      <c r="I202">
        <v>2420</v>
      </c>
      <c r="J202">
        <v>2689</v>
      </c>
      <c r="K202" t="s">
        <v>685</v>
      </c>
    </row>
    <row r="203" spans="1:11">
      <c r="A203" t="s">
        <v>378</v>
      </c>
      <c r="B203" t="s">
        <v>50</v>
      </c>
      <c r="C203" t="s">
        <v>111</v>
      </c>
      <c r="D203" t="s">
        <v>209</v>
      </c>
      <c r="E203" t="s">
        <v>192</v>
      </c>
      <c r="F203">
        <v>0.21</v>
      </c>
      <c r="G203">
        <v>210</v>
      </c>
      <c r="H203">
        <v>269</v>
      </c>
      <c r="I203">
        <v>2689</v>
      </c>
      <c r="J203">
        <v>2689</v>
      </c>
      <c r="K203" t="s">
        <v>686</v>
      </c>
    </row>
    <row r="204" spans="1:11">
      <c r="A204" t="s">
        <v>379</v>
      </c>
      <c r="B204" t="s">
        <v>50</v>
      </c>
      <c r="C204" t="s">
        <v>111</v>
      </c>
      <c r="D204" t="s">
        <v>209</v>
      </c>
      <c r="E204" t="s">
        <v>194</v>
      </c>
      <c r="F204">
        <v>0.18</v>
      </c>
      <c r="G204">
        <v>180</v>
      </c>
      <c r="H204">
        <v>672</v>
      </c>
      <c r="I204">
        <v>3092</v>
      </c>
      <c r="J204">
        <v>2689</v>
      </c>
      <c r="K204" t="s">
        <v>687</v>
      </c>
    </row>
    <row r="205" spans="1:11">
      <c r="A205" t="s">
        <v>380</v>
      </c>
      <c r="B205" t="s">
        <v>50</v>
      </c>
      <c r="C205" t="s">
        <v>111</v>
      </c>
      <c r="D205" t="s">
        <v>209</v>
      </c>
      <c r="E205" t="s">
        <v>196</v>
      </c>
      <c r="F205">
        <v>0.09</v>
      </c>
      <c r="G205">
        <v>90</v>
      </c>
      <c r="H205">
        <v>1210</v>
      </c>
      <c r="I205">
        <v>3630</v>
      </c>
      <c r="J205">
        <v>2689</v>
      </c>
      <c r="K205" t="s">
        <v>688</v>
      </c>
    </row>
    <row r="206" spans="1:11">
      <c r="A206" t="s">
        <v>433</v>
      </c>
      <c r="B206" t="s">
        <v>67</v>
      </c>
      <c r="C206" t="s">
        <v>127</v>
      </c>
      <c r="D206" t="s">
        <v>189</v>
      </c>
      <c r="E206" t="s">
        <v>190</v>
      </c>
      <c r="F206">
        <v>0.02</v>
      </c>
      <c r="G206">
        <v>20</v>
      </c>
      <c r="H206">
        <v>0</v>
      </c>
      <c r="I206">
        <v>2767</v>
      </c>
      <c r="J206">
        <v>3074</v>
      </c>
      <c r="K206" t="s">
        <v>685</v>
      </c>
    </row>
    <row r="207" spans="1:11">
      <c r="A207" t="s">
        <v>434</v>
      </c>
      <c r="B207" t="s">
        <v>67</v>
      </c>
      <c r="C207" t="s">
        <v>127</v>
      </c>
      <c r="D207" t="s">
        <v>189</v>
      </c>
      <c r="E207" t="s">
        <v>192</v>
      </c>
      <c r="F207">
        <v>3.5000000000000003E-2</v>
      </c>
      <c r="G207">
        <v>35</v>
      </c>
      <c r="H207">
        <v>307</v>
      </c>
      <c r="I207">
        <v>3074</v>
      </c>
      <c r="J207">
        <v>3074</v>
      </c>
      <c r="K207" t="s">
        <v>686</v>
      </c>
    </row>
    <row r="208" spans="1:11">
      <c r="A208" t="s">
        <v>435</v>
      </c>
      <c r="B208" t="s">
        <v>67</v>
      </c>
      <c r="C208" t="s">
        <v>127</v>
      </c>
      <c r="D208" t="s">
        <v>189</v>
      </c>
      <c r="E208" t="s">
        <v>194</v>
      </c>
      <c r="F208">
        <v>0.03</v>
      </c>
      <c r="G208">
        <v>30</v>
      </c>
      <c r="H208">
        <v>768</v>
      </c>
      <c r="I208">
        <v>3535</v>
      </c>
      <c r="J208">
        <v>3074</v>
      </c>
      <c r="K208" t="s">
        <v>687</v>
      </c>
    </row>
    <row r="209" spans="1:11">
      <c r="A209" t="s">
        <v>436</v>
      </c>
      <c r="B209" t="s">
        <v>67</v>
      </c>
      <c r="C209" t="s">
        <v>127</v>
      </c>
      <c r="D209" t="s">
        <v>189</v>
      </c>
      <c r="E209" t="s">
        <v>196</v>
      </c>
      <c r="F209">
        <v>1.4999999999999999E-2</v>
      </c>
      <c r="G209">
        <v>15</v>
      </c>
      <c r="H209">
        <v>1383</v>
      </c>
      <c r="I209">
        <v>4150</v>
      </c>
      <c r="J209">
        <v>3074</v>
      </c>
      <c r="K209" t="s">
        <v>688</v>
      </c>
    </row>
    <row r="210" spans="1:11">
      <c r="A210" t="s">
        <v>381</v>
      </c>
      <c r="B210" t="s">
        <v>65</v>
      </c>
      <c r="C210" t="s">
        <v>125</v>
      </c>
      <c r="D210" t="s">
        <v>209</v>
      </c>
      <c r="E210" t="s">
        <v>190</v>
      </c>
      <c r="F210">
        <v>0.06</v>
      </c>
      <c r="G210">
        <v>60</v>
      </c>
      <c r="H210">
        <v>0</v>
      </c>
      <c r="I210">
        <v>2420</v>
      </c>
      <c r="J210">
        <v>2689</v>
      </c>
      <c r="K210" t="s">
        <v>685</v>
      </c>
    </row>
    <row r="211" spans="1:11">
      <c r="A211" t="s">
        <v>382</v>
      </c>
      <c r="B211" t="s">
        <v>65</v>
      </c>
      <c r="C211" t="s">
        <v>125</v>
      </c>
      <c r="D211" t="s">
        <v>209</v>
      </c>
      <c r="E211" t="s">
        <v>192</v>
      </c>
      <c r="F211">
        <v>0.105</v>
      </c>
      <c r="G211">
        <v>105</v>
      </c>
      <c r="H211">
        <v>269</v>
      </c>
      <c r="I211">
        <v>2689</v>
      </c>
      <c r="J211">
        <v>2689</v>
      </c>
      <c r="K211" t="s">
        <v>686</v>
      </c>
    </row>
    <row r="212" spans="1:11">
      <c r="A212" t="s">
        <v>383</v>
      </c>
      <c r="B212" t="s">
        <v>65</v>
      </c>
      <c r="C212" t="s">
        <v>125</v>
      </c>
      <c r="D212" t="s">
        <v>209</v>
      </c>
      <c r="E212" t="s">
        <v>194</v>
      </c>
      <c r="F212">
        <v>0.09</v>
      </c>
      <c r="G212">
        <v>90</v>
      </c>
      <c r="H212">
        <v>672</v>
      </c>
      <c r="I212">
        <v>3092</v>
      </c>
      <c r="J212">
        <v>2689</v>
      </c>
      <c r="K212" t="s">
        <v>687</v>
      </c>
    </row>
    <row r="213" spans="1:11">
      <c r="A213" t="s">
        <v>384</v>
      </c>
      <c r="B213" t="s">
        <v>65</v>
      </c>
      <c r="C213" t="s">
        <v>125</v>
      </c>
      <c r="D213" t="s">
        <v>209</v>
      </c>
      <c r="E213" t="s">
        <v>196</v>
      </c>
      <c r="F213">
        <v>4.4999999999999998E-2</v>
      </c>
      <c r="G213">
        <v>45</v>
      </c>
      <c r="H213">
        <v>1210</v>
      </c>
      <c r="I213">
        <v>3630</v>
      </c>
      <c r="J213">
        <v>2689</v>
      </c>
      <c r="K213" t="s">
        <v>688</v>
      </c>
    </row>
    <row r="214" spans="1:11">
      <c r="A214" t="s">
        <v>385</v>
      </c>
      <c r="B214" t="s">
        <v>64</v>
      </c>
      <c r="C214" t="s">
        <v>124</v>
      </c>
      <c r="D214" t="s">
        <v>209</v>
      </c>
      <c r="E214" t="s">
        <v>190</v>
      </c>
      <c r="F214">
        <v>0.08</v>
      </c>
      <c r="G214">
        <v>80</v>
      </c>
      <c r="H214">
        <v>0</v>
      </c>
      <c r="I214">
        <v>2420</v>
      </c>
      <c r="J214">
        <v>2689</v>
      </c>
      <c r="K214" t="s">
        <v>685</v>
      </c>
    </row>
    <row r="215" spans="1:11">
      <c r="A215" t="s">
        <v>386</v>
      </c>
      <c r="B215" t="s">
        <v>64</v>
      </c>
      <c r="C215" t="s">
        <v>124</v>
      </c>
      <c r="D215" t="s">
        <v>209</v>
      </c>
      <c r="E215" t="s">
        <v>192</v>
      </c>
      <c r="F215">
        <v>0.14000000000000001</v>
      </c>
      <c r="G215">
        <v>140</v>
      </c>
      <c r="H215">
        <v>269</v>
      </c>
      <c r="I215">
        <v>2689</v>
      </c>
      <c r="J215">
        <v>2689</v>
      </c>
      <c r="K215" t="s">
        <v>686</v>
      </c>
    </row>
    <row r="216" spans="1:11">
      <c r="A216" t="s">
        <v>387</v>
      </c>
      <c r="B216" t="s">
        <v>64</v>
      </c>
      <c r="C216" t="s">
        <v>124</v>
      </c>
      <c r="D216" t="s">
        <v>209</v>
      </c>
      <c r="E216" t="s">
        <v>194</v>
      </c>
      <c r="F216">
        <v>0.12</v>
      </c>
      <c r="G216">
        <v>120</v>
      </c>
      <c r="H216">
        <v>672</v>
      </c>
      <c r="I216">
        <v>3092</v>
      </c>
      <c r="J216">
        <v>2689</v>
      </c>
      <c r="K216" t="s">
        <v>687</v>
      </c>
    </row>
    <row r="217" spans="1:11">
      <c r="A217" t="s">
        <v>388</v>
      </c>
      <c r="B217" t="s">
        <v>64</v>
      </c>
      <c r="C217" t="s">
        <v>124</v>
      </c>
      <c r="D217" t="s">
        <v>209</v>
      </c>
      <c r="E217" t="s">
        <v>196</v>
      </c>
      <c r="F217">
        <v>0.06</v>
      </c>
      <c r="G217">
        <v>60</v>
      </c>
      <c r="H217">
        <v>1210</v>
      </c>
      <c r="I217">
        <v>3630</v>
      </c>
      <c r="J217">
        <v>2689</v>
      </c>
      <c r="K217" t="s">
        <v>688</v>
      </c>
    </row>
    <row r="218" spans="1:11">
      <c r="A218" t="s">
        <v>389</v>
      </c>
      <c r="B218" t="s">
        <v>47</v>
      </c>
      <c r="C218" t="s">
        <v>108</v>
      </c>
      <c r="D218" t="s">
        <v>209</v>
      </c>
      <c r="E218" t="s">
        <v>190</v>
      </c>
      <c r="F218">
        <v>0.1</v>
      </c>
      <c r="G218">
        <v>100</v>
      </c>
      <c r="H218">
        <v>0</v>
      </c>
      <c r="I218">
        <v>2420</v>
      </c>
      <c r="J218">
        <v>2689</v>
      </c>
      <c r="K218" t="s">
        <v>685</v>
      </c>
    </row>
    <row r="219" spans="1:11">
      <c r="A219" t="s">
        <v>390</v>
      </c>
      <c r="B219" t="s">
        <v>47</v>
      </c>
      <c r="C219" t="s">
        <v>108</v>
      </c>
      <c r="D219" t="s">
        <v>209</v>
      </c>
      <c r="E219" t="s">
        <v>192</v>
      </c>
      <c r="F219">
        <v>0.17499999999999999</v>
      </c>
      <c r="G219">
        <v>175</v>
      </c>
      <c r="H219">
        <v>269</v>
      </c>
      <c r="I219">
        <v>2689</v>
      </c>
      <c r="J219">
        <v>2689</v>
      </c>
      <c r="K219" t="s">
        <v>686</v>
      </c>
    </row>
    <row r="220" spans="1:11">
      <c r="A220" t="s">
        <v>391</v>
      </c>
      <c r="B220" t="s">
        <v>47</v>
      </c>
      <c r="C220" t="s">
        <v>108</v>
      </c>
      <c r="D220" t="s">
        <v>209</v>
      </c>
      <c r="E220" t="s">
        <v>194</v>
      </c>
      <c r="F220">
        <v>0.15</v>
      </c>
      <c r="G220">
        <v>150</v>
      </c>
      <c r="H220">
        <v>672</v>
      </c>
      <c r="I220">
        <v>3092</v>
      </c>
      <c r="J220">
        <v>2689</v>
      </c>
      <c r="K220" t="s">
        <v>687</v>
      </c>
    </row>
    <row r="221" spans="1:11">
      <c r="A221" t="s">
        <v>392</v>
      </c>
      <c r="B221" t="s">
        <v>47</v>
      </c>
      <c r="C221" t="s">
        <v>108</v>
      </c>
      <c r="D221" t="s">
        <v>209</v>
      </c>
      <c r="E221" t="s">
        <v>196</v>
      </c>
      <c r="F221">
        <v>7.4999999999999997E-2</v>
      </c>
      <c r="G221">
        <v>75</v>
      </c>
      <c r="H221">
        <v>1210</v>
      </c>
      <c r="I221">
        <v>3630</v>
      </c>
      <c r="J221">
        <v>2689</v>
      </c>
      <c r="K221" t="s">
        <v>688</v>
      </c>
    </row>
    <row r="222" spans="1:11">
      <c r="A222" t="s">
        <v>393</v>
      </c>
      <c r="B222" t="s">
        <v>18</v>
      </c>
      <c r="C222" t="s">
        <v>81</v>
      </c>
      <c r="D222" t="s">
        <v>209</v>
      </c>
      <c r="E222" t="s">
        <v>190</v>
      </c>
      <c r="F222">
        <v>0.08</v>
      </c>
      <c r="G222">
        <v>80</v>
      </c>
      <c r="H222">
        <v>0</v>
      </c>
      <c r="I222">
        <v>2420</v>
      </c>
      <c r="J222">
        <v>2689</v>
      </c>
      <c r="K222" t="s">
        <v>685</v>
      </c>
    </row>
    <row r="223" spans="1:11">
      <c r="A223" t="s">
        <v>394</v>
      </c>
      <c r="B223" t="s">
        <v>18</v>
      </c>
      <c r="C223" t="s">
        <v>81</v>
      </c>
      <c r="D223" t="s">
        <v>209</v>
      </c>
      <c r="E223" t="s">
        <v>192</v>
      </c>
      <c r="F223">
        <v>0.14000000000000001</v>
      </c>
      <c r="G223">
        <v>140</v>
      </c>
      <c r="H223">
        <v>269</v>
      </c>
      <c r="I223">
        <v>2689</v>
      </c>
      <c r="J223">
        <v>2689</v>
      </c>
      <c r="K223" t="s">
        <v>686</v>
      </c>
    </row>
    <row r="224" spans="1:11">
      <c r="A224" t="s">
        <v>395</v>
      </c>
      <c r="B224" t="s">
        <v>18</v>
      </c>
      <c r="C224" t="s">
        <v>81</v>
      </c>
      <c r="D224" t="s">
        <v>209</v>
      </c>
      <c r="E224" t="s">
        <v>194</v>
      </c>
      <c r="F224">
        <v>0.12</v>
      </c>
      <c r="G224">
        <v>120</v>
      </c>
      <c r="H224">
        <v>672</v>
      </c>
      <c r="I224">
        <v>3092</v>
      </c>
      <c r="J224">
        <v>2689</v>
      </c>
      <c r="K224" t="s">
        <v>687</v>
      </c>
    </row>
    <row r="225" spans="1:11">
      <c r="A225" t="s">
        <v>396</v>
      </c>
      <c r="B225" t="s">
        <v>18</v>
      </c>
      <c r="C225" t="s">
        <v>81</v>
      </c>
      <c r="D225" t="s">
        <v>209</v>
      </c>
      <c r="E225" t="s">
        <v>196</v>
      </c>
      <c r="F225">
        <v>0.06</v>
      </c>
      <c r="G225">
        <v>60</v>
      </c>
      <c r="H225">
        <v>1210</v>
      </c>
      <c r="I225">
        <v>3630</v>
      </c>
      <c r="J225">
        <v>2689</v>
      </c>
      <c r="K225" t="s">
        <v>688</v>
      </c>
    </row>
    <row r="226" spans="1:11">
      <c r="A226" t="s">
        <v>397</v>
      </c>
      <c r="B226" t="s">
        <v>38</v>
      </c>
      <c r="C226" t="s">
        <v>100</v>
      </c>
      <c r="D226" t="s">
        <v>398</v>
      </c>
      <c r="E226" t="s">
        <v>190</v>
      </c>
      <c r="F226">
        <v>0.04</v>
      </c>
      <c r="G226">
        <v>40</v>
      </c>
      <c r="H226">
        <v>0</v>
      </c>
      <c r="I226">
        <v>2477</v>
      </c>
      <c r="J226">
        <v>2752</v>
      </c>
      <c r="K226" t="s">
        <v>685</v>
      </c>
    </row>
    <row r="227" spans="1:11">
      <c r="A227" t="s">
        <v>399</v>
      </c>
      <c r="B227" t="s">
        <v>38</v>
      </c>
      <c r="C227" t="s">
        <v>100</v>
      </c>
      <c r="D227" t="s">
        <v>398</v>
      </c>
      <c r="E227" t="s">
        <v>192</v>
      </c>
      <c r="F227">
        <v>7.0000000000000007E-2</v>
      </c>
      <c r="G227">
        <v>70</v>
      </c>
      <c r="H227">
        <v>275</v>
      </c>
      <c r="I227">
        <v>2752</v>
      </c>
      <c r="J227">
        <v>2752</v>
      </c>
      <c r="K227" t="s">
        <v>686</v>
      </c>
    </row>
    <row r="228" spans="1:11">
      <c r="A228" t="s">
        <v>400</v>
      </c>
      <c r="B228" t="s">
        <v>38</v>
      </c>
      <c r="C228" t="s">
        <v>100</v>
      </c>
      <c r="D228" t="s">
        <v>398</v>
      </c>
      <c r="E228" t="s">
        <v>194</v>
      </c>
      <c r="F228">
        <v>0.06</v>
      </c>
      <c r="G228">
        <v>60</v>
      </c>
      <c r="H228">
        <v>688</v>
      </c>
      <c r="I228">
        <v>3165</v>
      </c>
      <c r="J228">
        <v>2752</v>
      </c>
      <c r="K228" t="s">
        <v>687</v>
      </c>
    </row>
    <row r="229" spans="1:11">
      <c r="A229" t="s">
        <v>401</v>
      </c>
      <c r="B229" t="s">
        <v>38</v>
      </c>
      <c r="C229" t="s">
        <v>100</v>
      </c>
      <c r="D229" t="s">
        <v>398</v>
      </c>
      <c r="E229" t="s">
        <v>196</v>
      </c>
      <c r="F229">
        <v>0.03</v>
      </c>
      <c r="G229">
        <v>30</v>
      </c>
      <c r="H229">
        <v>1238</v>
      </c>
      <c r="I229">
        <v>3715</v>
      </c>
      <c r="J229">
        <v>2752</v>
      </c>
      <c r="K229" t="s">
        <v>688</v>
      </c>
    </row>
    <row r="230" spans="1:11">
      <c r="A230" t="s">
        <v>402</v>
      </c>
      <c r="B230" t="s">
        <v>20</v>
      </c>
      <c r="C230" t="s">
        <v>83</v>
      </c>
      <c r="D230" t="s">
        <v>198</v>
      </c>
      <c r="E230" t="s">
        <v>190</v>
      </c>
      <c r="F230">
        <v>0.04</v>
      </c>
      <c r="G230">
        <v>40</v>
      </c>
      <c r="H230">
        <v>0</v>
      </c>
      <c r="I230">
        <v>2574</v>
      </c>
      <c r="J230">
        <v>2860</v>
      </c>
      <c r="K230" t="s">
        <v>685</v>
      </c>
    </row>
    <row r="231" spans="1:11">
      <c r="A231" t="s">
        <v>403</v>
      </c>
      <c r="B231" t="s">
        <v>20</v>
      </c>
      <c r="C231" t="s">
        <v>83</v>
      </c>
      <c r="D231" t="s">
        <v>198</v>
      </c>
      <c r="E231" t="s">
        <v>192</v>
      </c>
      <c r="F231">
        <v>7.0000000000000007E-2</v>
      </c>
      <c r="G231">
        <v>70</v>
      </c>
      <c r="H231">
        <v>286</v>
      </c>
      <c r="I231">
        <v>2860</v>
      </c>
      <c r="J231">
        <v>2860</v>
      </c>
      <c r="K231" t="s">
        <v>686</v>
      </c>
    </row>
    <row r="232" spans="1:11">
      <c r="A232" t="s">
        <v>404</v>
      </c>
      <c r="B232" t="s">
        <v>20</v>
      </c>
      <c r="C232" t="s">
        <v>83</v>
      </c>
      <c r="D232" t="s">
        <v>198</v>
      </c>
      <c r="E232" t="s">
        <v>194</v>
      </c>
      <c r="F232">
        <v>0.06</v>
      </c>
      <c r="G232">
        <v>60</v>
      </c>
      <c r="H232">
        <v>715</v>
      </c>
      <c r="I232">
        <v>3289</v>
      </c>
      <c r="J232">
        <v>2860</v>
      </c>
      <c r="K232" t="s">
        <v>687</v>
      </c>
    </row>
    <row r="233" spans="1:11">
      <c r="A233" t="s">
        <v>405</v>
      </c>
      <c r="B233" t="s">
        <v>20</v>
      </c>
      <c r="C233" t="s">
        <v>83</v>
      </c>
      <c r="D233" t="s">
        <v>198</v>
      </c>
      <c r="E233" t="s">
        <v>196</v>
      </c>
      <c r="F233">
        <v>0.03</v>
      </c>
      <c r="G233">
        <v>30</v>
      </c>
      <c r="H233">
        <v>1287</v>
      </c>
      <c r="I233">
        <v>3861</v>
      </c>
      <c r="J233">
        <v>2860</v>
      </c>
      <c r="K233" t="s">
        <v>688</v>
      </c>
    </row>
    <row r="234" spans="1:11">
      <c r="A234" t="s">
        <v>437</v>
      </c>
      <c r="B234" t="s">
        <v>19</v>
      </c>
      <c r="C234" t="s">
        <v>82</v>
      </c>
      <c r="D234" t="s">
        <v>203</v>
      </c>
      <c r="E234" t="s">
        <v>190</v>
      </c>
      <c r="F234">
        <v>0.02</v>
      </c>
      <c r="G234">
        <v>20</v>
      </c>
      <c r="H234">
        <v>0</v>
      </c>
      <c r="I234">
        <v>2327</v>
      </c>
      <c r="J234">
        <v>2585</v>
      </c>
      <c r="K234" t="s">
        <v>685</v>
      </c>
    </row>
    <row r="235" spans="1:11">
      <c r="A235" t="s">
        <v>438</v>
      </c>
      <c r="B235" t="s">
        <v>19</v>
      </c>
      <c r="C235" t="s">
        <v>82</v>
      </c>
      <c r="D235" t="s">
        <v>203</v>
      </c>
      <c r="E235" t="s">
        <v>192</v>
      </c>
      <c r="F235">
        <v>3.5000000000000003E-2</v>
      </c>
      <c r="G235">
        <v>35</v>
      </c>
      <c r="H235">
        <v>259</v>
      </c>
      <c r="I235">
        <v>2585</v>
      </c>
      <c r="J235">
        <v>2585</v>
      </c>
      <c r="K235" t="s">
        <v>686</v>
      </c>
    </row>
    <row r="236" spans="1:11">
      <c r="A236" t="s">
        <v>439</v>
      </c>
      <c r="B236" t="s">
        <v>19</v>
      </c>
      <c r="C236" t="s">
        <v>82</v>
      </c>
      <c r="D236" t="s">
        <v>203</v>
      </c>
      <c r="E236" t="s">
        <v>194</v>
      </c>
      <c r="F236">
        <v>0.03</v>
      </c>
      <c r="G236">
        <v>30</v>
      </c>
      <c r="H236">
        <v>646</v>
      </c>
      <c r="I236">
        <v>2973</v>
      </c>
      <c r="J236">
        <v>2585</v>
      </c>
      <c r="K236" t="s">
        <v>687</v>
      </c>
    </row>
    <row r="237" spans="1:11">
      <c r="A237" t="s">
        <v>440</v>
      </c>
      <c r="B237" t="s">
        <v>19</v>
      </c>
      <c r="C237" t="s">
        <v>82</v>
      </c>
      <c r="D237" t="s">
        <v>203</v>
      </c>
      <c r="E237" t="s">
        <v>196</v>
      </c>
      <c r="F237">
        <v>1.4999999999999999E-2</v>
      </c>
      <c r="G237">
        <v>15</v>
      </c>
      <c r="H237">
        <v>1163</v>
      </c>
      <c r="I237">
        <v>3490</v>
      </c>
      <c r="J237">
        <v>2585</v>
      </c>
      <c r="K237" t="s">
        <v>688</v>
      </c>
    </row>
    <row r="238" spans="1:11">
      <c r="A238" t="s">
        <v>441</v>
      </c>
      <c r="B238" t="s">
        <v>41</v>
      </c>
      <c r="C238" t="s">
        <v>103</v>
      </c>
      <c r="D238" t="s">
        <v>442</v>
      </c>
      <c r="E238" t="s">
        <v>190</v>
      </c>
      <c r="F238">
        <v>0.02</v>
      </c>
      <c r="G238">
        <v>20</v>
      </c>
      <c r="H238">
        <v>0</v>
      </c>
      <c r="I238">
        <v>2511</v>
      </c>
      <c r="J238">
        <v>2790</v>
      </c>
      <c r="K238" t="s">
        <v>685</v>
      </c>
    </row>
    <row r="239" spans="1:11">
      <c r="A239" t="s">
        <v>443</v>
      </c>
      <c r="B239" t="s">
        <v>41</v>
      </c>
      <c r="C239" t="s">
        <v>103</v>
      </c>
      <c r="D239" t="s">
        <v>442</v>
      </c>
      <c r="E239" t="s">
        <v>192</v>
      </c>
      <c r="F239">
        <v>3.5000000000000003E-2</v>
      </c>
      <c r="G239">
        <v>35</v>
      </c>
      <c r="H239">
        <v>279</v>
      </c>
      <c r="I239">
        <v>2790</v>
      </c>
      <c r="J239">
        <v>2790</v>
      </c>
      <c r="K239" t="s">
        <v>686</v>
      </c>
    </row>
    <row r="240" spans="1:11">
      <c r="A240" t="s">
        <v>444</v>
      </c>
      <c r="B240" t="s">
        <v>41</v>
      </c>
      <c r="C240" t="s">
        <v>103</v>
      </c>
      <c r="D240" t="s">
        <v>442</v>
      </c>
      <c r="E240" t="s">
        <v>194</v>
      </c>
      <c r="F240">
        <v>0.03</v>
      </c>
      <c r="G240">
        <v>30</v>
      </c>
      <c r="H240">
        <v>698</v>
      </c>
      <c r="I240">
        <v>3209</v>
      </c>
      <c r="J240">
        <v>2790</v>
      </c>
      <c r="K240" t="s">
        <v>687</v>
      </c>
    </row>
    <row r="241" spans="1:11">
      <c r="A241" t="s">
        <v>445</v>
      </c>
      <c r="B241" t="s">
        <v>41</v>
      </c>
      <c r="C241" t="s">
        <v>103</v>
      </c>
      <c r="D241" t="s">
        <v>442</v>
      </c>
      <c r="E241" t="s">
        <v>196</v>
      </c>
      <c r="F241">
        <v>1.4999999999999999E-2</v>
      </c>
      <c r="G241">
        <v>15</v>
      </c>
      <c r="H241">
        <v>1256</v>
      </c>
      <c r="I241">
        <v>3767</v>
      </c>
      <c r="J241">
        <v>2790</v>
      </c>
      <c r="K241" t="s">
        <v>688</v>
      </c>
    </row>
    <row r="242" spans="1:11">
      <c r="A242" t="s">
        <v>446</v>
      </c>
      <c r="B242" t="s">
        <v>42</v>
      </c>
      <c r="C242" t="s">
        <v>104</v>
      </c>
      <c r="D242" t="s">
        <v>442</v>
      </c>
      <c r="E242" t="s">
        <v>190</v>
      </c>
      <c r="F242">
        <v>0.02</v>
      </c>
      <c r="G242">
        <v>20</v>
      </c>
      <c r="H242">
        <v>0</v>
      </c>
      <c r="I242">
        <v>2511</v>
      </c>
      <c r="J242">
        <v>2790</v>
      </c>
      <c r="K242" t="s">
        <v>685</v>
      </c>
    </row>
    <row r="243" spans="1:11">
      <c r="A243" t="s">
        <v>447</v>
      </c>
      <c r="B243" t="s">
        <v>42</v>
      </c>
      <c r="C243" t="s">
        <v>104</v>
      </c>
      <c r="D243" t="s">
        <v>442</v>
      </c>
      <c r="E243" t="s">
        <v>192</v>
      </c>
      <c r="F243">
        <v>3.5000000000000003E-2</v>
      </c>
      <c r="G243">
        <v>35</v>
      </c>
      <c r="H243">
        <v>279</v>
      </c>
      <c r="I243">
        <v>2790</v>
      </c>
      <c r="J243">
        <v>2790</v>
      </c>
      <c r="K243" t="s">
        <v>686</v>
      </c>
    </row>
    <row r="244" spans="1:11">
      <c r="A244" t="s">
        <v>448</v>
      </c>
      <c r="B244" t="s">
        <v>42</v>
      </c>
      <c r="C244" t="s">
        <v>104</v>
      </c>
      <c r="D244" t="s">
        <v>442</v>
      </c>
      <c r="E244" t="s">
        <v>194</v>
      </c>
      <c r="F244">
        <v>0.03</v>
      </c>
      <c r="G244">
        <v>30</v>
      </c>
      <c r="H244">
        <v>698</v>
      </c>
      <c r="I244">
        <v>3209</v>
      </c>
      <c r="J244">
        <v>2790</v>
      </c>
      <c r="K244" t="s">
        <v>687</v>
      </c>
    </row>
    <row r="245" spans="1:11">
      <c r="A245" t="s">
        <v>449</v>
      </c>
      <c r="B245" t="s">
        <v>42</v>
      </c>
      <c r="C245" t="s">
        <v>104</v>
      </c>
      <c r="D245" t="s">
        <v>442</v>
      </c>
      <c r="E245" t="s">
        <v>196</v>
      </c>
      <c r="F245">
        <v>1.4999999999999999E-2</v>
      </c>
      <c r="G245">
        <v>15</v>
      </c>
      <c r="H245">
        <v>1256</v>
      </c>
      <c r="I245">
        <v>3767</v>
      </c>
      <c r="J245">
        <v>2790</v>
      </c>
      <c r="K245" t="s">
        <v>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A8C2-A543-4DA5-8C87-7685E1E4D667}">
  <dimension ref="A1:Z1165"/>
  <sheetViews>
    <sheetView workbookViewId="0"/>
  </sheetViews>
  <sheetFormatPr defaultRowHeight="14.25"/>
  <sheetData>
    <row r="1" spans="1:26">
      <c r="A1" t="s">
        <v>0</v>
      </c>
      <c r="I1" t="s">
        <v>1</v>
      </c>
      <c r="P1" t="s">
        <v>0</v>
      </c>
      <c r="X1" t="s">
        <v>1</v>
      </c>
    </row>
    <row r="2" spans="1:2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3</v>
      </c>
      <c r="J2" t="s">
        <v>9</v>
      </c>
      <c r="K2" t="s">
        <v>10</v>
      </c>
      <c r="L2" t="s">
        <v>2949</v>
      </c>
      <c r="M2" t="s">
        <v>2950</v>
      </c>
      <c r="N2" t="s">
        <v>14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X2" t="s">
        <v>3</v>
      </c>
      <c r="Y2" t="s">
        <v>9</v>
      </c>
      <c r="Z2" t="s">
        <v>4426</v>
      </c>
    </row>
    <row r="3" spans="1:26">
      <c r="A3" t="s">
        <v>726</v>
      </c>
      <c r="B3" t="s">
        <v>727</v>
      </c>
      <c r="C3" t="s">
        <v>728</v>
      </c>
      <c r="D3" t="s">
        <v>11</v>
      </c>
      <c r="E3" t="s">
        <v>13</v>
      </c>
      <c r="F3" t="s">
        <v>729</v>
      </c>
      <c r="G3" t="s">
        <v>12</v>
      </c>
      <c r="I3" t="s">
        <v>727</v>
      </c>
      <c r="J3" t="s">
        <v>2951</v>
      </c>
      <c r="K3">
        <v>40.431223749435105</v>
      </c>
      <c r="L3">
        <v>0.24209410007636931</v>
      </c>
      <c r="M3">
        <v>65.286858879200693</v>
      </c>
      <c r="N3">
        <v>71.81554476712077</v>
      </c>
      <c r="P3" t="s">
        <v>726</v>
      </c>
      <c r="Q3" t="s">
        <v>4114</v>
      </c>
      <c r="R3" t="s">
        <v>4115</v>
      </c>
      <c r="S3" t="s">
        <v>11</v>
      </c>
      <c r="T3" t="s">
        <v>13</v>
      </c>
      <c r="U3" t="s">
        <v>75</v>
      </c>
      <c r="V3" t="s">
        <v>12</v>
      </c>
      <c r="X3" t="s">
        <v>4114</v>
      </c>
      <c r="Y3" t="s">
        <v>76</v>
      </c>
      <c r="Z3">
        <v>1</v>
      </c>
    </row>
    <row r="4" spans="1:26">
      <c r="A4" t="s">
        <v>726</v>
      </c>
      <c r="B4" t="s">
        <v>730</v>
      </c>
      <c r="C4" t="s">
        <v>731</v>
      </c>
      <c r="D4" t="s">
        <v>11</v>
      </c>
      <c r="E4" t="s">
        <v>13</v>
      </c>
      <c r="F4" t="s">
        <v>729</v>
      </c>
      <c r="G4" t="s">
        <v>12</v>
      </c>
      <c r="I4" t="s">
        <v>730</v>
      </c>
      <c r="J4" t="s">
        <v>2952</v>
      </c>
      <c r="K4">
        <v>35.885728596692928</v>
      </c>
      <c r="L4">
        <v>0.2432268752779663</v>
      </c>
      <c r="M4">
        <v>131.68483823958567</v>
      </c>
      <c r="N4">
        <v>144.85332206354425</v>
      </c>
      <c r="P4" t="s">
        <v>726</v>
      </c>
      <c r="Q4" t="s">
        <v>4116</v>
      </c>
      <c r="R4" t="s">
        <v>4117</v>
      </c>
      <c r="S4" t="s">
        <v>11</v>
      </c>
      <c r="T4" t="s">
        <v>13</v>
      </c>
      <c r="U4" t="s">
        <v>75</v>
      </c>
      <c r="V4" t="s">
        <v>12</v>
      </c>
      <c r="X4" t="s">
        <v>4116</v>
      </c>
      <c r="Y4" t="s">
        <v>76</v>
      </c>
      <c r="Z4">
        <v>1</v>
      </c>
    </row>
    <row r="5" spans="1:26">
      <c r="A5" t="s">
        <v>726</v>
      </c>
      <c r="B5" t="s">
        <v>732</v>
      </c>
      <c r="C5" t="s">
        <v>733</v>
      </c>
      <c r="D5" t="s">
        <v>11</v>
      </c>
      <c r="E5" t="s">
        <v>13</v>
      </c>
      <c r="F5" t="s">
        <v>729</v>
      </c>
      <c r="G5" t="s">
        <v>12</v>
      </c>
      <c r="I5" t="s">
        <v>732</v>
      </c>
      <c r="J5" t="s">
        <v>2953</v>
      </c>
      <c r="K5">
        <v>1.7986176738143453</v>
      </c>
      <c r="L5">
        <v>0.2813672918229646</v>
      </c>
      <c r="M5">
        <v>196.78469105063289</v>
      </c>
      <c r="N5">
        <v>216.46316015569619</v>
      </c>
      <c r="P5" t="s">
        <v>726</v>
      </c>
      <c r="Q5" t="s">
        <v>4118</v>
      </c>
      <c r="R5" t="s">
        <v>4119</v>
      </c>
      <c r="S5" t="s">
        <v>11</v>
      </c>
      <c r="T5" t="s">
        <v>13</v>
      </c>
      <c r="U5" t="s">
        <v>75</v>
      </c>
      <c r="V5" t="s">
        <v>12</v>
      </c>
      <c r="X5" t="s">
        <v>4118</v>
      </c>
      <c r="Y5" t="s">
        <v>76</v>
      </c>
      <c r="Z5">
        <v>1</v>
      </c>
    </row>
    <row r="6" spans="1:26">
      <c r="A6" t="s">
        <v>726</v>
      </c>
      <c r="B6" t="s">
        <v>734</v>
      </c>
      <c r="C6" t="s">
        <v>733</v>
      </c>
      <c r="D6" t="s">
        <v>11</v>
      </c>
      <c r="E6" t="s">
        <v>13</v>
      </c>
      <c r="F6" t="s">
        <v>729</v>
      </c>
      <c r="G6" t="s">
        <v>12</v>
      </c>
      <c r="I6" t="s">
        <v>734</v>
      </c>
      <c r="J6" t="s">
        <v>2954</v>
      </c>
      <c r="K6">
        <v>26.770469594256248</v>
      </c>
      <c r="L6">
        <v>0.25611272502951909</v>
      </c>
      <c r="M6">
        <v>133.80850091952499</v>
      </c>
      <c r="N6">
        <v>147.1893510114775</v>
      </c>
      <c r="P6" t="s">
        <v>726</v>
      </c>
      <c r="Q6" t="s">
        <v>4120</v>
      </c>
      <c r="R6" t="s">
        <v>4121</v>
      </c>
      <c r="S6" t="s">
        <v>11</v>
      </c>
      <c r="T6" t="s">
        <v>13</v>
      </c>
      <c r="U6" t="s">
        <v>75</v>
      </c>
      <c r="V6" t="s">
        <v>12</v>
      </c>
      <c r="X6" t="s">
        <v>4120</v>
      </c>
      <c r="Y6" t="s">
        <v>76</v>
      </c>
      <c r="Z6">
        <v>1</v>
      </c>
    </row>
    <row r="7" spans="1:26">
      <c r="A7" t="s">
        <v>726</v>
      </c>
      <c r="B7" t="s">
        <v>735</v>
      </c>
      <c r="C7" t="s">
        <v>736</v>
      </c>
      <c r="D7" t="s">
        <v>11</v>
      </c>
      <c r="E7" t="s">
        <v>13</v>
      </c>
      <c r="F7" t="s">
        <v>729</v>
      </c>
      <c r="G7" t="s">
        <v>12</v>
      </c>
      <c r="I7" t="s">
        <v>735</v>
      </c>
      <c r="J7" t="s">
        <v>2955</v>
      </c>
      <c r="K7">
        <v>38.021338123650047</v>
      </c>
      <c r="L7">
        <v>0.28060801991149398</v>
      </c>
      <c r="M7">
        <v>176.44962666543731</v>
      </c>
      <c r="N7">
        <v>194.09458933198104</v>
      </c>
      <c r="P7" t="s">
        <v>726</v>
      </c>
      <c r="Q7" t="s">
        <v>4122</v>
      </c>
      <c r="R7" t="s">
        <v>4123</v>
      </c>
      <c r="S7" t="s">
        <v>11</v>
      </c>
      <c r="T7" t="s">
        <v>13</v>
      </c>
      <c r="U7" t="s">
        <v>75</v>
      </c>
      <c r="V7" t="s">
        <v>12</v>
      </c>
      <c r="X7" t="s">
        <v>4122</v>
      </c>
      <c r="Y7" t="s">
        <v>76</v>
      </c>
      <c r="Z7">
        <v>1</v>
      </c>
    </row>
    <row r="8" spans="1:26">
      <c r="A8" t="s">
        <v>726</v>
      </c>
      <c r="B8" t="s">
        <v>737</v>
      </c>
      <c r="C8" t="s">
        <v>738</v>
      </c>
      <c r="D8" t="s">
        <v>11</v>
      </c>
      <c r="E8" t="s">
        <v>13</v>
      </c>
      <c r="F8" t="s">
        <v>729</v>
      </c>
      <c r="G8" t="s">
        <v>12</v>
      </c>
      <c r="I8" t="s">
        <v>737</v>
      </c>
      <c r="J8" t="s">
        <v>2956</v>
      </c>
      <c r="K8">
        <v>17.571407673498147</v>
      </c>
      <c r="L8">
        <v>0.26265161511858032</v>
      </c>
      <c r="M8">
        <v>164.63720989300131</v>
      </c>
      <c r="N8">
        <v>181.10093088230147</v>
      </c>
      <c r="P8" t="s">
        <v>726</v>
      </c>
      <c r="Q8" t="s">
        <v>4124</v>
      </c>
      <c r="R8" t="s">
        <v>4125</v>
      </c>
      <c r="S8" t="s">
        <v>11</v>
      </c>
      <c r="T8" t="s">
        <v>13</v>
      </c>
      <c r="U8" t="s">
        <v>75</v>
      </c>
      <c r="V8" t="s">
        <v>12</v>
      </c>
      <c r="X8" t="s">
        <v>4124</v>
      </c>
      <c r="Y8" t="s">
        <v>76</v>
      </c>
      <c r="Z8">
        <v>1</v>
      </c>
    </row>
    <row r="9" spans="1:26">
      <c r="A9" t="s">
        <v>726</v>
      </c>
      <c r="B9" t="s">
        <v>739</v>
      </c>
      <c r="C9" t="s">
        <v>740</v>
      </c>
      <c r="D9" t="s">
        <v>11</v>
      </c>
      <c r="E9" t="s">
        <v>13</v>
      </c>
      <c r="F9" t="s">
        <v>729</v>
      </c>
      <c r="G9" t="s">
        <v>12</v>
      </c>
      <c r="I9" t="s">
        <v>739</v>
      </c>
      <c r="J9" t="s">
        <v>2957</v>
      </c>
      <c r="K9">
        <v>0.64743546006144226</v>
      </c>
      <c r="L9">
        <v>0.2314507541427237</v>
      </c>
      <c r="M9">
        <v>104.77460003697264</v>
      </c>
      <c r="N9">
        <v>115.25206004066992</v>
      </c>
      <c r="P9" t="s">
        <v>726</v>
      </c>
      <c r="Q9" t="s">
        <v>4126</v>
      </c>
      <c r="R9" t="s">
        <v>4127</v>
      </c>
      <c r="S9" t="s">
        <v>11</v>
      </c>
      <c r="T9" t="s">
        <v>13</v>
      </c>
      <c r="U9" t="s">
        <v>75</v>
      </c>
      <c r="V9" t="s">
        <v>12</v>
      </c>
      <c r="X9" t="s">
        <v>4126</v>
      </c>
      <c r="Y9" t="s">
        <v>76</v>
      </c>
      <c r="Z9">
        <v>1</v>
      </c>
    </row>
    <row r="10" spans="1:26">
      <c r="A10" t="s">
        <v>726</v>
      </c>
      <c r="B10" t="s">
        <v>741</v>
      </c>
      <c r="C10" t="s">
        <v>742</v>
      </c>
      <c r="D10" t="s">
        <v>11</v>
      </c>
      <c r="E10" t="s">
        <v>13</v>
      </c>
      <c r="F10" t="s">
        <v>729</v>
      </c>
      <c r="G10" t="s">
        <v>12</v>
      </c>
      <c r="I10" t="s">
        <v>741</v>
      </c>
      <c r="J10" t="s">
        <v>2958</v>
      </c>
      <c r="K10">
        <v>94.710936705765562</v>
      </c>
      <c r="L10">
        <v>0.27584856958368509</v>
      </c>
      <c r="M10">
        <v>116.94372505187228</v>
      </c>
      <c r="N10">
        <v>128.63809755705952</v>
      </c>
      <c r="P10" t="s">
        <v>726</v>
      </c>
      <c r="Q10" t="s">
        <v>4128</v>
      </c>
      <c r="R10" t="s">
        <v>4129</v>
      </c>
      <c r="S10" t="s">
        <v>11</v>
      </c>
      <c r="T10" t="s">
        <v>13</v>
      </c>
      <c r="U10" t="s">
        <v>75</v>
      </c>
      <c r="V10" t="s">
        <v>12</v>
      </c>
      <c r="X10" t="s">
        <v>4128</v>
      </c>
      <c r="Y10" t="s">
        <v>76</v>
      </c>
      <c r="Z10">
        <v>1</v>
      </c>
    </row>
    <row r="11" spans="1:26">
      <c r="A11" t="s">
        <v>726</v>
      </c>
      <c r="B11" t="s">
        <v>743</v>
      </c>
      <c r="C11" t="s">
        <v>744</v>
      </c>
      <c r="D11" t="s">
        <v>11</v>
      </c>
      <c r="E11" t="s">
        <v>13</v>
      </c>
      <c r="F11" t="s">
        <v>729</v>
      </c>
      <c r="G11" t="s">
        <v>12</v>
      </c>
      <c r="I11" t="s">
        <v>743</v>
      </c>
      <c r="J11" t="s">
        <v>2959</v>
      </c>
      <c r="K11">
        <v>105.32836201712483</v>
      </c>
      <c r="L11">
        <v>0.2726079606330114</v>
      </c>
      <c r="M11">
        <v>156.77396086335204</v>
      </c>
      <c r="N11">
        <v>172.45135694968727</v>
      </c>
      <c r="P11" t="s">
        <v>726</v>
      </c>
      <c r="Q11" t="s">
        <v>4130</v>
      </c>
      <c r="R11" t="s">
        <v>4131</v>
      </c>
      <c r="S11" t="s">
        <v>11</v>
      </c>
      <c r="T11" t="s">
        <v>13</v>
      </c>
      <c r="U11" t="s">
        <v>75</v>
      </c>
      <c r="V11" t="s">
        <v>12</v>
      </c>
      <c r="X11" t="s">
        <v>4130</v>
      </c>
      <c r="Y11" t="s">
        <v>76</v>
      </c>
      <c r="Z11">
        <v>1</v>
      </c>
    </row>
    <row r="12" spans="1:26">
      <c r="A12" t="s">
        <v>726</v>
      </c>
      <c r="B12" t="s">
        <v>745</v>
      </c>
      <c r="C12" t="s">
        <v>746</v>
      </c>
      <c r="D12" t="s">
        <v>11</v>
      </c>
      <c r="E12" t="s">
        <v>13</v>
      </c>
      <c r="F12" t="s">
        <v>729</v>
      </c>
      <c r="G12" t="s">
        <v>12</v>
      </c>
      <c r="I12" t="s">
        <v>745</v>
      </c>
      <c r="J12" t="s">
        <v>2960</v>
      </c>
      <c r="K12">
        <v>178.27301115356042</v>
      </c>
      <c r="L12">
        <v>0.25693566192099171</v>
      </c>
      <c r="M12">
        <v>141.17778274923552</v>
      </c>
      <c r="N12">
        <v>155.29556102415907</v>
      </c>
      <c r="P12" t="s">
        <v>726</v>
      </c>
      <c r="Q12" t="s">
        <v>4132</v>
      </c>
      <c r="R12" t="s">
        <v>4133</v>
      </c>
      <c r="S12" t="s">
        <v>11</v>
      </c>
      <c r="T12" t="s">
        <v>13</v>
      </c>
      <c r="U12" t="s">
        <v>75</v>
      </c>
      <c r="V12" t="s">
        <v>12</v>
      </c>
      <c r="X12" t="s">
        <v>4132</v>
      </c>
      <c r="Y12" t="s">
        <v>76</v>
      </c>
      <c r="Z12">
        <v>1</v>
      </c>
    </row>
    <row r="13" spans="1:26">
      <c r="A13" t="s">
        <v>726</v>
      </c>
      <c r="B13" t="s">
        <v>747</v>
      </c>
      <c r="C13" t="s">
        <v>748</v>
      </c>
      <c r="D13" t="s">
        <v>11</v>
      </c>
      <c r="E13" t="s">
        <v>13</v>
      </c>
      <c r="F13" t="s">
        <v>729</v>
      </c>
      <c r="G13" t="s">
        <v>12</v>
      </c>
      <c r="I13" t="s">
        <v>747</v>
      </c>
      <c r="J13" t="s">
        <v>2961</v>
      </c>
      <c r="K13">
        <v>129.25790312607631</v>
      </c>
      <c r="L13">
        <v>0.2369353364809143</v>
      </c>
      <c r="M13">
        <v>56.36473138741723</v>
      </c>
      <c r="N13">
        <v>62.001204526158958</v>
      </c>
      <c r="P13" t="s">
        <v>726</v>
      </c>
      <c r="Q13" t="s">
        <v>4134</v>
      </c>
      <c r="R13" t="s">
        <v>4135</v>
      </c>
      <c r="S13" t="s">
        <v>11</v>
      </c>
      <c r="T13" t="s">
        <v>13</v>
      </c>
      <c r="U13" t="s">
        <v>75</v>
      </c>
      <c r="V13" t="s">
        <v>12</v>
      </c>
      <c r="X13" t="s">
        <v>4134</v>
      </c>
      <c r="Y13" t="s">
        <v>76</v>
      </c>
      <c r="Z13">
        <v>1</v>
      </c>
    </row>
    <row r="14" spans="1:26">
      <c r="A14" t="s">
        <v>726</v>
      </c>
      <c r="B14" t="s">
        <v>749</v>
      </c>
      <c r="C14" t="s">
        <v>750</v>
      </c>
      <c r="D14" t="s">
        <v>11</v>
      </c>
      <c r="E14" t="s">
        <v>13</v>
      </c>
      <c r="F14" t="s">
        <v>729</v>
      </c>
      <c r="G14" t="s">
        <v>12</v>
      </c>
      <c r="I14" t="s">
        <v>749</v>
      </c>
      <c r="J14" t="s">
        <v>2962</v>
      </c>
      <c r="K14">
        <v>270.22040482770916</v>
      </c>
      <c r="L14">
        <v>0.23434139873296339</v>
      </c>
      <c r="M14">
        <v>107.54022644920944</v>
      </c>
      <c r="N14">
        <v>118.29424909413039</v>
      </c>
      <c r="P14" t="s">
        <v>726</v>
      </c>
      <c r="Q14" t="s">
        <v>4136</v>
      </c>
      <c r="R14" t="s">
        <v>4137</v>
      </c>
      <c r="S14" t="s">
        <v>11</v>
      </c>
      <c r="T14" t="s">
        <v>13</v>
      </c>
      <c r="U14" t="s">
        <v>75</v>
      </c>
      <c r="V14" t="s">
        <v>12</v>
      </c>
      <c r="X14" t="s">
        <v>4136</v>
      </c>
      <c r="Y14" t="s">
        <v>76</v>
      </c>
      <c r="Z14">
        <v>1</v>
      </c>
    </row>
    <row r="15" spans="1:26">
      <c r="A15" t="s">
        <v>726</v>
      </c>
      <c r="B15" t="s">
        <v>751</v>
      </c>
      <c r="C15" t="s">
        <v>752</v>
      </c>
      <c r="D15" t="s">
        <v>11</v>
      </c>
      <c r="E15" t="s">
        <v>13</v>
      </c>
      <c r="F15" t="s">
        <v>729</v>
      </c>
      <c r="G15" t="s">
        <v>12</v>
      </c>
      <c r="I15" t="s">
        <v>751</v>
      </c>
      <c r="J15" t="s">
        <v>2963</v>
      </c>
      <c r="K15">
        <v>194.86258012317089</v>
      </c>
      <c r="L15">
        <v>0.24619987884319661</v>
      </c>
      <c r="M15">
        <v>242.96090128124376</v>
      </c>
      <c r="N15">
        <v>267.25699140936814</v>
      </c>
      <c r="P15" t="s">
        <v>726</v>
      </c>
      <c r="Q15" t="s">
        <v>4138</v>
      </c>
      <c r="R15" t="s">
        <v>4139</v>
      </c>
      <c r="S15" t="s">
        <v>11</v>
      </c>
      <c r="T15" t="s">
        <v>13</v>
      </c>
      <c r="U15" t="s">
        <v>75</v>
      </c>
      <c r="V15" t="s">
        <v>12</v>
      </c>
      <c r="X15" t="s">
        <v>4138</v>
      </c>
      <c r="Y15" t="s">
        <v>76</v>
      </c>
      <c r="Z15">
        <v>1</v>
      </c>
    </row>
    <row r="16" spans="1:26">
      <c r="A16" t="s">
        <v>726</v>
      </c>
      <c r="B16" t="s">
        <v>753</v>
      </c>
      <c r="C16" t="s">
        <v>752</v>
      </c>
      <c r="D16" t="s">
        <v>11</v>
      </c>
      <c r="E16" t="s">
        <v>13</v>
      </c>
      <c r="F16" t="s">
        <v>729</v>
      </c>
      <c r="G16" t="s">
        <v>12</v>
      </c>
      <c r="I16" t="s">
        <v>753</v>
      </c>
      <c r="J16" t="s">
        <v>2964</v>
      </c>
      <c r="K16">
        <v>284.53564847550399</v>
      </c>
      <c r="L16">
        <v>0.2324697352378651</v>
      </c>
      <c r="M16">
        <v>375.70046485725283</v>
      </c>
      <c r="N16">
        <v>413.27051134297812</v>
      </c>
      <c r="P16" t="s">
        <v>726</v>
      </c>
      <c r="Q16" t="s">
        <v>4140</v>
      </c>
      <c r="R16" t="s">
        <v>4141</v>
      </c>
      <c r="S16" t="s">
        <v>11</v>
      </c>
      <c r="T16" t="s">
        <v>13</v>
      </c>
      <c r="U16" t="s">
        <v>75</v>
      </c>
      <c r="V16" t="s">
        <v>12</v>
      </c>
      <c r="X16" t="s">
        <v>4140</v>
      </c>
      <c r="Y16" t="s">
        <v>76</v>
      </c>
      <c r="Z16">
        <v>1</v>
      </c>
    </row>
    <row r="17" spans="1:26">
      <c r="A17" t="s">
        <v>726</v>
      </c>
      <c r="B17" t="s">
        <v>754</v>
      </c>
      <c r="C17" t="s">
        <v>755</v>
      </c>
      <c r="D17" t="s">
        <v>11</v>
      </c>
      <c r="E17" t="s">
        <v>13</v>
      </c>
      <c r="F17" t="s">
        <v>729</v>
      </c>
      <c r="G17" t="s">
        <v>12</v>
      </c>
      <c r="I17" t="s">
        <v>754</v>
      </c>
      <c r="J17" t="s">
        <v>2965</v>
      </c>
      <c r="K17">
        <v>87.440639523639888</v>
      </c>
      <c r="L17">
        <v>0.19785632512399931</v>
      </c>
      <c r="M17">
        <v>80.225752236268676</v>
      </c>
      <c r="N17">
        <v>88.248327459895549</v>
      </c>
      <c r="P17" t="s">
        <v>726</v>
      </c>
      <c r="Q17" t="s">
        <v>4142</v>
      </c>
      <c r="R17" t="s">
        <v>4143</v>
      </c>
      <c r="S17" t="s">
        <v>11</v>
      </c>
      <c r="T17" t="s">
        <v>13</v>
      </c>
      <c r="U17" t="s">
        <v>75</v>
      </c>
      <c r="V17" t="s">
        <v>12</v>
      </c>
      <c r="X17" t="s">
        <v>4142</v>
      </c>
      <c r="Y17" t="s">
        <v>76</v>
      </c>
      <c r="Z17">
        <v>1</v>
      </c>
    </row>
    <row r="18" spans="1:26">
      <c r="A18" t="s">
        <v>726</v>
      </c>
      <c r="B18" t="s">
        <v>756</v>
      </c>
      <c r="C18" t="s">
        <v>757</v>
      </c>
      <c r="D18" t="s">
        <v>11</v>
      </c>
      <c r="E18" t="s">
        <v>13</v>
      </c>
      <c r="F18" t="s">
        <v>729</v>
      </c>
      <c r="G18" t="s">
        <v>12</v>
      </c>
      <c r="I18" t="s">
        <v>756</v>
      </c>
      <c r="J18" t="s">
        <v>2966</v>
      </c>
      <c r="K18">
        <v>135.01209709891313</v>
      </c>
      <c r="L18">
        <v>0.16776980325947469</v>
      </c>
      <c r="M18">
        <v>77.814292401422165</v>
      </c>
      <c r="N18">
        <v>85.595721641564381</v>
      </c>
      <c r="P18" t="s">
        <v>726</v>
      </c>
      <c r="Q18" t="s">
        <v>4144</v>
      </c>
      <c r="R18" t="s">
        <v>4145</v>
      </c>
      <c r="S18" t="s">
        <v>11</v>
      </c>
      <c r="T18" t="s">
        <v>13</v>
      </c>
      <c r="U18" t="s">
        <v>75</v>
      </c>
      <c r="V18" t="s">
        <v>12</v>
      </c>
      <c r="X18" t="s">
        <v>4144</v>
      </c>
      <c r="Y18" t="s">
        <v>76</v>
      </c>
      <c r="Z18">
        <v>1</v>
      </c>
    </row>
    <row r="19" spans="1:26">
      <c r="A19" t="s">
        <v>726</v>
      </c>
      <c r="B19" t="s">
        <v>758</v>
      </c>
      <c r="C19" t="s">
        <v>759</v>
      </c>
      <c r="D19" t="s">
        <v>11</v>
      </c>
      <c r="E19" t="s">
        <v>13</v>
      </c>
      <c r="F19" t="s">
        <v>729</v>
      </c>
      <c r="G19" t="s">
        <v>12</v>
      </c>
      <c r="I19" t="s">
        <v>758</v>
      </c>
      <c r="J19" t="s">
        <v>2967</v>
      </c>
      <c r="K19">
        <v>272.38591949131165</v>
      </c>
      <c r="L19">
        <v>0.2153017654078466</v>
      </c>
      <c r="M19">
        <v>102.8995704613491</v>
      </c>
      <c r="N19">
        <v>113.18952750748402</v>
      </c>
      <c r="P19" t="s">
        <v>726</v>
      </c>
      <c r="Q19" t="s">
        <v>4146</v>
      </c>
      <c r="R19" t="s">
        <v>4147</v>
      </c>
      <c r="S19" t="s">
        <v>11</v>
      </c>
      <c r="T19" t="s">
        <v>13</v>
      </c>
      <c r="U19" t="s">
        <v>75</v>
      </c>
      <c r="V19" t="s">
        <v>12</v>
      </c>
      <c r="X19" t="s">
        <v>4146</v>
      </c>
      <c r="Y19" t="s">
        <v>76</v>
      </c>
      <c r="Z19">
        <v>1</v>
      </c>
    </row>
    <row r="20" spans="1:26">
      <c r="A20" t="s">
        <v>726</v>
      </c>
      <c r="B20" t="s">
        <v>760</v>
      </c>
      <c r="C20" t="s">
        <v>761</v>
      </c>
      <c r="D20" t="s">
        <v>11</v>
      </c>
      <c r="E20" t="s">
        <v>13</v>
      </c>
      <c r="F20" t="s">
        <v>729</v>
      </c>
      <c r="G20" t="s">
        <v>12</v>
      </c>
      <c r="I20" t="s">
        <v>760</v>
      </c>
      <c r="J20" t="s">
        <v>2968</v>
      </c>
      <c r="K20">
        <v>162.24522162712407</v>
      </c>
      <c r="L20">
        <v>0.22491762877952501</v>
      </c>
      <c r="M20">
        <v>79.334981541019289</v>
      </c>
      <c r="N20">
        <v>87.268479695121229</v>
      </c>
      <c r="P20" t="s">
        <v>726</v>
      </c>
      <c r="Q20" t="s">
        <v>4148</v>
      </c>
      <c r="R20" t="s">
        <v>4149</v>
      </c>
      <c r="S20" t="s">
        <v>11</v>
      </c>
      <c r="T20" t="s">
        <v>13</v>
      </c>
      <c r="U20" t="s">
        <v>75</v>
      </c>
      <c r="V20" t="s">
        <v>12</v>
      </c>
      <c r="X20" t="s">
        <v>4148</v>
      </c>
      <c r="Y20" t="s">
        <v>76</v>
      </c>
      <c r="Z20">
        <v>1</v>
      </c>
    </row>
    <row r="21" spans="1:26">
      <c r="A21" t="s">
        <v>726</v>
      </c>
      <c r="B21" t="s">
        <v>762</v>
      </c>
      <c r="C21" t="s">
        <v>763</v>
      </c>
      <c r="D21" t="s">
        <v>11</v>
      </c>
      <c r="E21" t="s">
        <v>13</v>
      </c>
      <c r="F21" t="s">
        <v>729</v>
      </c>
      <c r="G21" t="s">
        <v>12</v>
      </c>
      <c r="I21" t="s">
        <v>762</v>
      </c>
      <c r="J21" t="s">
        <v>2969</v>
      </c>
      <c r="K21">
        <v>138.8350228645248</v>
      </c>
      <c r="L21">
        <v>0.22222999453062681</v>
      </c>
      <c r="M21">
        <v>117.5256715644079</v>
      </c>
      <c r="N21">
        <v>129.27823872084869</v>
      </c>
      <c r="P21" t="s">
        <v>726</v>
      </c>
      <c r="Q21" t="s">
        <v>4150</v>
      </c>
      <c r="R21" t="s">
        <v>4151</v>
      </c>
      <c r="S21" t="s">
        <v>11</v>
      </c>
      <c r="T21" t="s">
        <v>13</v>
      </c>
      <c r="U21" t="s">
        <v>75</v>
      </c>
      <c r="V21" t="s">
        <v>12</v>
      </c>
      <c r="X21" t="s">
        <v>4150</v>
      </c>
      <c r="Y21" t="s">
        <v>76</v>
      </c>
      <c r="Z21">
        <v>1</v>
      </c>
    </row>
    <row r="22" spans="1:26">
      <c r="A22" t="s">
        <v>726</v>
      </c>
      <c r="B22" t="s">
        <v>764</v>
      </c>
      <c r="C22" t="s">
        <v>765</v>
      </c>
      <c r="D22" t="s">
        <v>11</v>
      </c>
      <c r="E22" t="s">
        <v>13</v>
      </c>
      <c r="F22" t="s">
        <v>729</v>
      </c>
      <c r="G22" t="s">
        <v>12</v>
      </c>
      <c r="I22" t="s">
        <v>764</v>
      </c>
      <c r="J22" t="s">
        <v>2970</v>
      </c>
      <c r="K22">
        <v>209.91709080204546</v>
      </c>
      <c r="L22">
        <v>0.21825155291531029</v>
      </c>
      <c r="M22">
        <v>230.85915005733929</v>
      </c>
      <c r="N22">
        <v>253.94506506307323</v>
      </c>
      <c r="P22" t="s">
        <v>726</v>
      </c>
      <c r="Q22" t="s">
        <v>4152</v>
      </c>
      <c r="R22" t="s">
        <v>4153</v>
      </c>
      <c r="S22" t="s">
        <v>11</v>
      </c>
      <c r="T22" t="s">
        <v>13</v>
      </c>
      <c r="U22" t="s">
        <v>75</v>
      </c>
      <c r="V22" t="s">
        <v>12</v>
      </c>
      <c r="X22" t="s">
        <v>4152</v>
      </c>
      <c r="Y22" t="s">
        <v>76</v>
      </c>
      <c r="Z22">
        <v>1</v>
      </c>
    </row>
    <row r="23" spans="1:26">
      <c r="A23" t="s">
        <v>726</v>
      </c>
      <c r="B23" t="s">
        <v>766</v>
      </c>
      <c r="C23" t="s">
        <v>767</v>
      </c>
      <c r="D23" t="s">
        <v>11</v>
      </c>
      <c r="E23" t="s">
        <v>13</v>
      </c>
      <c r="F23" t="s">
        <v>729</v>
      </c>
      <c r="G23" t="s">
        <v>12</v>
      </c>
      <c r="I23" t="s">
        <v>766</v>
      </c>
      <c r="J23" t="s">
        <v>2971</v>
      </c>
      <c r="K23">
        <v>272.54116287117438</v>
      </c>
      <c r="L23">
        <v>0.21466336741464459</v>
      </c>
      <c r="M23">
        <v>117.87802171119102</v>
      </c>
      <c r="N23">
        <v>129.66582388231015</v>
      </c>
      <c r="P23" t="s">
        <v>726</v>
      </c>
      <c r="Q23" t="s">
        <v>4154</v>
      </c>
      <c r="R23" t="s">
        <v>4155</v>
      </c>
      <c r="S23" t="s">
        <v>11</v>
      </c>
      <c r="T23" t="s">
        <v>13</v>
      </c>
      <c r="U23" t="s">
        <v>75</v>
      </c>
      <c r="V23" t="s">
        <v>12</v>
      </c>
      <c r="X23" t="s">
        <v>4154</v>
      </c>
      <c r="Y23" t="s">
        <v>76</v>
      </c>
      <c r="Z23">
        <v>1</v>
      </c>
    </row>
    <row r="24" spans="1:26">
      <c r="A24" t="s">
        <v>726</v>
      </c>
      <c r="B24" t="s">
        <v>768</v>
      </c>
      <c r="C24" t="s">
        <v>769</v>
      </c>
      <c r="D24" t="s">
        <v>11</v>
      </c>
      <c r="E24" t="s">
        <v>13</v>
      </c>
      <c r="F24" t="s">
        <v>729</v>
      </c>
      <c r="G24" t="s">
        <v>12</v>
      </c>
      <c r="I24" t="s">
        <v>768</v>
      </c>
      <c r="J24" t="s">
        <v>2972</v>
      </c>
      <c r="K24">
        <v>2.7596514081958285</v>
      </c>
      <c r="L24">
        <v>0.19868964397522629</v>
      </c>
      <c r="M24">
        <v>35.268200263941495</v>
      </c>
      <c r="N24">
        <v>38.79502029033565</v>
      </c>
      <c r="P24" t="s">
        <v>726</v>
      </c>
      <c r="Q24" t="s">
        <v>4156</v>
      </c>
      <c r="R24" t="s">
        <v>4157</v>
      </c>
      <c r="S24" t="s">
        <v>11</v>
      </c>
      <c r="T24" t="s">
        <v>13</v>
      </c>
      <c r="U24" t="s">
        <v>75</v>
      </c>
      <c r="V24" t="s">
        <v>12</v>
      </c>
      <c r="X24" t="s">
        <v>4156</v>
      </c>
      <c r="Y24" t="s">
        <v>76</v>
      </c>
      <c r="Z24">
        <v>1</v>
      </c>
    </row>
    <row r="25" spans="1:26">
      <c r="A25" t="s">
        <v>726</v>
      </c>
      <c r="B25" t="s">
        <v>770</v>
      </c>
      <c r="C25" t="s">
        <v>771</v>
      </c>
      <c r="D25" t="s">
        <v>11</v>
      </c>
      <c r="E25" t="s">
        <v>13</v>
      </c>
      <c r="F25" t="s">
        <v>729</v>
      </c>
      <c r="G25" t="s">
        <v>12</v>
      </c>
      <c r="I25" t="s">
        <v>770</v>
      </c>
      <c r="J25" t="s">
        <v>2973</v>
      </c>
      <c r="K25">
        <v>3.1963184764027694</v>
      </c>
      <c r="L25">
        <v>0.20667033362381279</v>
      </c>
      <c r="M25">
        <v>40.905618628644731</v>
      </c>
      <c r="N25">
        <v>44.996180491509207</v>
      </c>
      <c r="P25" t="s">
        <v>726</v>
      </c>
      <c r="Q25" t="s">
        <v>4158</v>
      </c>
      <c r="R25" t="s">
        <v>4159</v>
      </c>
      <c r="S25" t="s">
        <v>11</v>
      </c>
      <c r="T25" t="s">
        <v>13</v>
      </c>
      <c r="U25" t="s">
        <v>75</v>
      </c>
      <c r="V25" t="s">
        <v>12</v>
      </c>
      <c r="X25" t="s">
        <v>4158</v>
      </c>
      <c r="Y25" t="s">
        <v>76</v>
      </c>
      <c r="Z25">
        <v>1</v>
      </c>
    </row>
    <row r="26" spans="1:26">
      <c r="A26" t="s">
        <v>726</v>
      </c>
      <c r="B26" t="s">
        <v>772</v>
      </c>
      <c r="C26" t="s">
        <v>773</v>
      </c>
      <c r="D26" t="s">
        <v>11</v>
      </c>
      <c r="E26" t="s">
        <v>13</v>
      </c>
      <c r="F26" t="s">
        <v>729</v>
      </c>
      <c r="G26" t="s">
        <v>12</v>
      </c>
      <c r="I26" t="s">
        <v>772</v>
      </c>
      <c r="J26" t="s">
        <v>2974</v>
      </c>
      <c r="K26">
        <v>1.9000923906551621</v>
      </c>
      <c r="L26">
        <v>0.20188730062837029</v>
      </c>
      <c r="M26">
        <v>33.475264036204791</v>
      </c>
      <c r="N26">
        <v>36.822790439825276</v>
      </c>
      <c r="P26" t="s">
        <v>726</v>
      </c>
      <c r="Q26" t="s">
        <v>4160</v>
      </c>
      <c r="R26" t="s">
        <v>4161</v>
      </c>
      <c r="S26" t="s">
        <v>11</v>
      </c>
      <c r="T26" t="s">
        <v>13</v>
      </c>
      <c r="U26" t="s">
        <v>75</v>
      </c>
      <c r="V26" t="s">
        <v>12</v>
      </c>
      <c r="X26" t="s">
        <v>4160</v>
      </c>
      <c r="Y26" t="s">
        <v>76</v>
      </c>
      <c r="Z26">
        <v>1</v>
      </c>
    </row>
    <row r="27" spans="1:26">
      <c r="A27" t="s">
        <v>726</v>
      </c>
      <c r="B27" t="s">
        <v>774</v>
      </c>
      <c r="C27" t="s">
        <v>775</v>
      </c>
      <c r="D27" t="s">
        <v>11</v>
      </c>
      <c r="E27" t="s">
        <v>13</v>
      </c>
      <c r="F27" t="s">
        <v>729</v>
      </c>
      <c r="G27" t="s">
        <v>12</v>
      </c>
      <c r="I27" t="s">
        <v>774</v>
      </c>
      <c r="J27" t="s">
        <v>2975</v>
      </c>
      <c r="K27">
        <v>4.6104269107368694</v>
      </c>
      <c r="L27">
        <v>0.20697642359152629</v>
      </c>
      <c r="M27">
        <v>22.006436077302777</v>
      </c>
      <c r="N27">
        <v>24.207079685033055</v>
      </c>
      <c r="P27" t="s">
        <v>726</v>
      </c>
      <c r="Q27" t="s">
        <v>4162</v>
      </c>
      <c r="R27" t="s">
        <v>4163</v>
      </c>
      <c r="S27" t="s">
        <v>11</v>
      </c>
      <c r="T27" t="s">
        <v>13</v>
      </c>
      <c r="U27" t="s">
        <v>75</v>
      </c>
      <c r="V27" t="s">
        <v>12</v>
      </c>
      <c r="X27" t="s">
        <v>4162</v>
      </c>
      <c r="Y27" t="s">
        <v>76</v>
      </c>
      <c r="Z27">
        <v>1</v>
      </c>
    </row>
    <row r="28" spans="1:26">
      <c r="A28" t="s">
        <v>726</v>
      </c>
      <c r="B28" t="s">
        <v>776</v>
      </c>
      <c r="C28" t="s">
        <v>777</v>
      </c>
      <c r="D28" t="s">
        <v>11</v>
      </c>
      <c r="E28" t="s">
        <v>13</v>
      </c>
      <c r="F28" t="s">
        <v>729</v>
      </c>
      <c r="G28" t="s">
        <v>12</v>
      </c>
      <c r="I28" t="s">
        <v>776</v>
      </c>
      <c r="J28" t="s">
        <v>2976</v>
      </c>
      <c r="K28">
        <v>13.186175137688645</v>
      </c>
      <c r="L28">
        <v>0.2621293501531653</v>
      </c>
      <c r="M28">
        <v>282.31616572649909</v>
      </c>
      <c r="N28">
        <v>310.54778229914905</v>
      </c>
      <c r="P28" t="s">
        <v>726</v>
      </c>
      <c r="Q28" t="s">
        <v>4164</v>
      </c>
      <c r="R28" t="s">
        <v>4165</v>
      </c>
      <c r="S28" t="s">
        <v>11</v>
      </c>
      <c r="T28" t="s">
        <v>13</v>
      </c>
      <c r="U28" t="s">
        <v>75</v>
      </c>
      <c r="V28" t="s">
        <v>12</v>
      </c>
      <c r="X28" t="s">
        <v>4164</v>
      </c>
      <c r="Y28" t="s">
        <v>76</v>
      </c>
      <c r="Z28">
        <v>1</v>
      </c>
    </row>
    <row r="29" spans="1:26">
      <c r="A29" t="s">
        <v>726</v>
      </c>
      <c r="B29" t="s">
        <v>778</v>
      </c>
      <c r="C29" t="s">
        <v>777</v>
      </c>
      <c r="D29" t="s">
        <v>11</v>
      </c>
      <c r="E29" t="s">
        <v>13</v>
      </c>
      <c r="F29" t="s">
        <v>729</v>
      </c>
      <c r="G29" t="s">
        <v>12</v>
      </c>
      <c r="I29" t="s">
        <v>778</v>
      </c>
      <c r="J29" t="s">
        <v>2977</v>
      </c>
      <c r="K29">
        <v>41.998836316950936</v>
      </c>
      <c r="L29">
        <v>0.2609315099205497</v>
      </c>
      <c r="M29">
        <v>159.59783506487213</v>
      </c>
      <c r="N29">
        <v>175.55761857135934</v>
      </c>
      <c r="P29" t="s">
        <v>726</v>
      </c>
      <c r="Q29" t="s">
        <v>4166</v>
      </c>
      <c r="R29" t="s">
        <v>4167</v>
      </c>
      <c r="S29" t="s">
        <v>11</v>
      </c>
      <c r="T29" t="s">
        <v>13</v>
      </c>
      <c r="U29" t="s">
        <v>75</v>
      </c>
      <c r="V29" t="s">
        <v>12</v>
      </c>
      <c r="X29" t="s">
        <v>4166</v>
      </c>
      <c r="Y29" t="s">
        <v>76</v>
      </c>
      <c r="Z29">
        <v>1</v>
      </c>
    </row>
    <row r="30" spans="1:26">
      <c r="A30" t="s">
        <v>726</v>
      </c>
      <c r="B30" t="s">
        <v>779</v>
      </c>
      <c r="C30" t="s">
        <v>780</v>
      </c>
      <c r="D30" t="s">
        <v>11</v>
      </c>
      <c r="E30" t="s">
        <v>13</v>
      </c>
      <c r="F30" t="s">
        <v>729</v>
      </c>
      <c r="G30" t="s">
        <v>12</v>
      </c>
      <c r="I30" t="s">
        <v>779</v>
      </c>
      <c r="J30" t="s">
        <v>2978</v>
      </c>
      <c r="K30">
        <v>16.013727960818603</v>
      </c>
      <c r="L30">
        <v>0.25419756475554989</v>
      </c>
      <c r="M30">
        <v>59.821607883304793</v>
      </c>
      <c r="N30">
        <v>65.803768671635282</v>
      </c>
      <c r="P30" t="s">
        <v>726</v>
      </c>
      <c r="Q30" t="s">
        <v>4168</v>
      </c>
      <c r="R30" t="s">
        <v>4169</v>
      </c>
      <c r="S30" t="s">
        <v>11</v>
      </c>
      <c r="T30" t="s">
        <v>13</v>
      </c>
      <c r="U30" t="s">
        <v>75</v>
      </c>
      <c r="V30" t="s">
        <v>12</v>
      </c>
      <c r="X30" t="s">
        <v>4168</v>
      </c>
      <c r="Y30" t="s">
        <v>76</v>
      </c>
      <c r="Z30">
        <v>1</v>
      </c>
    </row>
    <row r="31" spans="1:26">
      <c r="A31" t="s">
        <v>726</v>
      </c>
      <c r="B31" t="s">
        <v>781</v>
      </c>
      <c r="C31" t="s">
        <v>777</v>
      </c>
      <c r="D31" t="s">
        <v>11</v>
      </c>
      <c r="E31" t="s">
        <v>13</v>
      </c>
      <c r="F31" t="s">
        <v>729</v>
      </c>
      <c r="G31" t="s">
        <v>12</v>
      </c>
      <c r="I31" t="s">
        <v>781</v>
      </c>
      <c r="J31" t="s">
        <v>2979</v>
      </c>
      <c r="K31">
        <v>43.683062342468652</v>
      </c>
      <c r="L31">
        <v>0.25817970139568153</v>
      </c>
      <c r="M31">
        <v>126.13975240132046</v>
      </c>
      <c r="N31">
        <v>138.75372764145251</v>
      </c>
      <c r="P31" t="s">
        <v>726</v>
      </c>
      <c r="Q31" t="s">
        <v>4170</v>
      </c>
      <c r="R31" t="s">
        <v>4171</v>
      </c>
      <c r="S31" t="s">
        <v>11</v>
      </c>
      <c r="T31" t="s">
        <v>13</v>
      </c>
      <c r="U31" t="s">
        <v>75</v>
      </c>
      <c r="V31" t="s">
        <v>12</v>
      </c>
      <c r="X31" t="s">
        <v>4170</v>
      </c>
      <c r="Y31" t="s">
        <v>76</v>
      </c>
      <c r="Z31">
        <v>1</v>
      </c>
    </row>
    <row r="32" spans="1:26">
      <c r="A32" t="s">
        <v>726</v>
      </c>
      <c r="B32" t="s">
        <v>782</v>
      </c>
      <c r="C32" t="s">
        <v>783</v>
      </c>
      <c r="D32" t="s">
        <v>11</v>
      </c>
      <c r="E32" t="s">
        <v>13</v>
      </c>
      <c r="F32" t="s">
        <v>729</v>
      </c>
      <c r="G32" t="s">
        <v>12</v>
      </c>
      <c r="I32" t="s">
        <v>782</v>
      </c>
      <c r="J32" t="s">
        <v>2980</v>
      </c>
      <c r="K32">
        <v>279.61906991076245</v>
      </c>
      <c r="L32">
        <v>0.22195381507604139</v>
      </c>
      <c r="M32">
        <v>177.93274024688802</v>
      </c>
      <c r="N32">
        <v>195.72601427157684</v>
      </c>
      <c r="P32" t="s">
        <v>726</v>
      </c>
      <c r="Q32" t="s">
        <v>4172</v>
      </c>
      <c r="R32" t="s">
        <v>4173</v>
      </c>
      <c r="S32" t="s">
        <v>11</v>
      </c>
      <c r="T32" t="s">
        <v>13</v>
      </c>
      <c r="U32" t="s">
        <v>75</v>
      </c>
      <c r="V32" t="s">
        <v>12</v>
      </c>
      <c r="X32" t="s">
        <v>4172</v>
      </c>
      <c r="Y32" t="s">
        <v>76</v>
      </c>
      <c r="Z32">
        <v>1</v>
      </c>
    </row>
    <row r="33" spans="1:26">
      <c r="A33" t="s">
        <v>726</v>
      </c>
      <c r="B33" t="s">
        <v>784</v>
      </c>
      <c r="C33" t="s">
        <v>785</v>
      </c>
      <c r="D33" t="s">
        <v>11</v>
      </c>
      <c r="E33" t="s">
        <v>13</v>
      </c>
      <c r="F33" t="s">
        <v>729</v>
      </c>
      <c r="G33" t="s">
        <v>12</v>
      </c>
      <c r="I33" t="s">
        <v>784</v>
      </c>
      <c r="J33" t="s">
        <v>2981</v>
      </c>
      <c r="K33">
        <v>5.6092368958513417</v>
      </c>
      <c r="L33">
        <v>0.20063517660203919</v>
      </c>
      <c r="M33">
        <v>324.20928090515309</v>
      </c>
      <c r="N33">
        <v>356.63020899566845</v>
      </c>
      <c r="P33" t="s">
        <v>726</v>
      </c>
      <c r="Q33" t="s">
        <v>4174</v>
      </c>
      <c r="R33" t="s">
        <v>4175</v>
      </c>
      <c r="S33" t="s">
        <v>11</v>
      </c>
      <c r="T33" t="s">
        <v>13</v>
      </c>
      <c r="U33" t="s">
        <v>75</v>
      </c>
      <c r="V33" t="s">
        <v>12</v>
      </c>
      <c r="X33" t="s">
        <v>4174</v>
      </c>
      <c r="Y33" t="s">
        <v>76</v>
      </c>
      <c r="Z33">
        <v>1</v>
      </c>
    </row>
    <row r="34" spans="1:26">
      <c r="A34" t="s">
        <v>726</v>
      </c>
      <c r="B34" t="s">
        <v>786</v>
      </c>
      <c r="C34" t="s">
        <v>787</v>
      </c>
      <c r="D34" t="s">
        <v>11</v>
      </c>
      <c r="E34" t="s">
        <v>13</v>
      </c>
      <c r="F34" t="s">
        <v>729</v>
      </c>
      <c r="G34" t="s">
        <v>12</v>
      </c>
      <c r="I34" t="s">
        <v>786</v>
      </c>
      <c r="J34" t="s">
        <v>2982</v>
      </c>
      <c r="K34">
        <v>149.63546630648196</v>
      </c>
      <c r="L34">
        <v>0.21105123044512369</v>
      </c>
      <c r="M34">
        <v>190.8765427225288</v>
      </c>
      <c r="N34">
        <v>209.9641969947817</v>
      </c>
      <c r="P34" t="s">
        <v>726</v>
      </c>
      <c r="Q34" t="s">
        <v>4176</v>
      </c>
      <c r="R34" t="s">
        <v>4177</v>
      </c>
      <c r="S34" t="s">
        <v>11</v>
      </c>
      <c r="T34" t="s">
        <v>13</v>
      </c>
      <c r="U34" t="s">
        <v>75</v>
      </c>
      <c r="V34" t="s">
        <v>12</v>
      </c>
      <c r="X34" t="s">
        <v>4176</v>
      </c>
      <c r="Y34" t="s">
        <v>76</v>
      </c>
      <c r="Z34">
        <v>1</v>
      </c>
    </row>
    <row r="35" spans="1:26">
      <c r="A35" t="s">
        <v>726</v>
      </c>
      <c r="B35" t="s">
        <v>788</v>
      </c>
      <c r="C35" t="s">
        <v>789</v>
      </c>
      <c r="D35" t="s">
        <v>11</v>
      </c>
      <c r="E35" t="s">
        <v>13</v>
      </c>
      <c r="F35" t="s">
        <v>729</v>
      </c>
      <c r="G35" t="s">
        <v>12</v>
      </c>
      <c r="I35" t="s">
        <v>788</v>
      </c>
      <c r="J35" t="s">
        <v>2983</v>
      </c>
      <c r="K35">
        <v>200.3465274725348</v>
      </c>
      <c r="L35">
        <v>0.22883547980839039</v>
      </c>
      <c r="M35">
        <v>122.60597064998689</v>
      </c>
      <c r="N35">
        <v>134.86656771498559</v>
      </c>
      <c r="P35" t="s">
        <v>726</v>
      </c>
      <c r="Q35" t="s">
        <v>4178</v>
      </c>
      <c r="R35" t="s">
        <v>4179</v>
      </c>
      <c r="S35" t="s">
        <v>11</v>
      </c>
      <c r="T35" t="s">
        <v>13</v>
      </c>
      <c r="U35" t="s">
        <v>75</v>
      </c>
      <c r="V35" t="s">
        <v>12</v>
      </c>
      <c r="X35" t="s">
        <v>4178</v>
      </c>
      <c r="Y35" t="s">
        <v>76</v>
      </c>
      <c r="Z35">
        <v>1</v>
      </c>
    </row>
    <row r="36" spans="1:26">
      <c r="A36" t="s">
        <v>726</v>
      </c>
      <c r="B36" t="s">
        <v>790</v>
      </c>
      <c r="C36" t="s">
        <v>791</v>
      </c>
      <c r="D36" t="s">
        <v>11</v>
      </c>
      <c r="E36" t="s">
        <v>13</v>
      </c>
      <c r="F36" t="s">
        <v>729</v>
      </c>
      <c r="G36" t="s">
        <v>12</v>
      </c>
      <c r="I36" t="s">
        <v>790</v>
      </c>
      <c r="J36" t="s">
        <v>2984</v>
      </c>
      <c r="K36">
        <v>26.280200464422105</v>
      </c>
      <c r="L36">
        <v>0.2143562938569443</v>
      </c>
      <c r="M36">
        <v>87.52913899017382</v>
      </c>
      <c r="N36">
        <v>96.282052889191206</v>
      </c>
      <c r="P36" t="s">
        <v>726</v>
      </c>
      <c r="Q36" t="s">
        <v>4180</v>
      </c>
      <c r="R36" t="s">
        <v>4181</v>
      </c>
      <c r="S36" t="s">
        <v>11</v>
      </c>
      <c r="T36" t="s">
        <v>13</v>
      </c>
      <c r="U36" t="s">
        <v>75</v>
      </c>
      <c r="V36" t="s">
        <v>12</v>
      </c>
      <c r="X36" t="s">
        <v>4180</v>
      </c>
      <c r="Y36" t="s">
        <v>76</v>
      </c>
      <c r="Z36">
        <v>1</v>
      </c>
    </row>
    <row r="37" spans="1:26">
      <c r="A37" t="s">
        <v>726</v>
      </c>
      <c r="B37" t="s">
        <v>792</v>
      </c>
      <c r="C37" t="s">
        <v>793</v>
      </c>
      <c r="D37" t="s">
        <v>11</v>
      </c>
      <c r="E37" t="s">
        <v>13</v>
      </c>
      <c r="F37" t="s">
        <v>729</v>
      </c>
      <c r="G37" t="s">
        <v>12</v>
      </c>
      <c r="I37" t="s">
        <v>792</v>
      </c>
      <c r="J37" t="s">
        <v>2985</v>
      </c>
      <c r="K37">
        <v>84.3803687905488</v>
      </c>
      <c r="L37">
        <v>0.25446156474959503</v>
      </c>
      <c r="M37">
        <v>104.63792847042292</v>
      </c>
      <c r="N37">
        <v>115.10172131746522</v>
      </c>
      <c r="P37" t="s">
        <v>726</v>
      </c>
      <c r="Q37" t="s">
        <v>4182</v>
      </c>
      <c r="R37" t="s">
        <v>4183</v>
      </c>
      <c r="S37" t="s">
        <v>11</v>
      </c>
      <c r="T37" t="s">
        <v>13</v>
      </c>
      <c r="U37" t="s">
        <v>75</v>
      </c>
      <c r="V37" t="s">
        <v>12</v>
      </c>
      <c r="X37" t="s">
        <v>4182</v>
      </c>
      <c r="Y37" t="s">
        <v>76</v>
      </c>
      <c r="Z37">
        <v>1</v>
      </c>
    </row>
    <row r="38" spans="1:26">
      <c r="A38" t="s">
        <v>726</v>
      </c>
      <c r="B38" t="s">
        <v>794</v>
      </c>
      <c r="C38" t="s">
        <v>795</v>
      </c>
      <c r="D38" t="s">
        <v>11</v>
      </c>
      <c r="E38" t="s">
        <v>13</v>
      </c>
      <c r="F38" t="s">
        <v>729</v>
      </c>
      <c r="G38" t="s">
        <v>12</v>
      </c>
      <c r="I38" t="s">
        <v>794</v>
      </c>
      <c r="J38" t="s">
        <v>2986</v>
      </c>
      <c r="K38">
        <v>32.223498638975137</v>
      </c>
      <c r="L38">
        <v>0.20267228583914029</v>
      </c>
      <c r="M38">
        <v>138.13408496367481</v>
      </c>
      <c r="N38">
        <v>151.9474934600423</v>
      </c>
      <c r="P38" t="s">
        <v>726</v>
      </c>
      <c r="Q38" t="s">
        <v>4184</v>
      </c>
      <c r="R38" t="s">
        <v>4185</v>
      </c>
      <c r="S38" t="s">
        <v>11</v>
      </c>
      <c r="T38" t="s">
        <v>13</v>
      </c>
      <c r="U38" t="s">
        <v>75</v>
      </c>
      <c r="V38" t="s">
        <v>12</v>
      </c>
      <c r="X38" t="s">
        <v>4184</v>
      </c>
      <c r="Y38" t="s">
        <v>76</v>
      </c>
      <c r="Z38">
        <v>1</v>
      </c>
    </row>
    <row r="39" spans="1:26">
      <c r="A39" t="s">
        <v>726</v>
      </c>
      <c r="B39" t="s">
        <v>796</v>
      </c>
      <c r="C39" t="s">
        <v>797</v>
      </c>
      <c r="D39" t="s">
        <v>11</v>
      </c>
      <c r="E39" t="s">
        <v>13</v>
      </c>
      <c r="F39" t="s">
        <v>729</v>
      </c>
      <c r="G39" t="s">
        <v>12</v>
      </c>
      <c r="I39" t="s">
        <v>796</v>
      </c>
      <c r="J39" t="s">
        <v>2987</v>
      </c>
      <c r="K39">
        <v>35.031169670229907</v>
      </c>
      <c r="L39">
        <v>0.2035060893759395</v>
      </c>
      <c r="M39">
        <v>141.54630711485035</v>
      </c>
      <c r="N39">
        <v>155.70093782633541</v>
      </c>
      <c r="P39" t="s">
        <v>726</v>
      </c>
      <c r="Q39" t="s">
        <v>4186</v>
      </c>
      <c r="R39" t="s">
        <v>4187</v>
      </c>
      <c r="S39" t="s">
        <v>11</v>
      </c>
      <c r="T39" t="s">
        <v>13</v>
      </c>
      <c r="U39" t="s">
        <v>75</v>
      </c>
      <c r="V39" t="s">
        <v>12</v>
      </c>
      <c r="X39" t="s">
        <v>4186</v>
      </c>
      <c r="Y39" t="s">
        <v>76</v>
      </c>
      <c r="Z39">
        <v>1</v>
      </c>
    </row>
    <row r="40" spans="1:26">
      <c r="A40" t="s">
        <v>726</v>
      </c>
      <c r="B40" t="s">
        <v>798</v>
      </c>
      <c r="C40" t="s">
        <v>799</v>
      </c>
      <c r="D40" t="s">
        <v>11</v>
      </c>
      <c r="E40" t="s">
        <v>13</v>
      </c>
      <c r="F40" t="s">
        <v>729</v>
      </c>
      <c r="G40" t="s">
        <v>12</v>
      </c>
      <c r="I40" t="s">
        <v>798</v>
      </c>
      <c r="J40" t="s">
        <v>2988</v>
      </c>
      <c r="K40">
        <v>34.305568408705724</v>
      </c>
      <c r="L40">
        <v>0.20514958939848671</v>
      </c>
      <c r="M40">
        <v>214.54463264917791</v>
      </c>
      <c r="N40">
        <v>235.99909591409573</v>
      </c>
      <c r="P40" t="s">
        <v>726</v>
      </c>
      <c r="Q40" t="s">
        <v>4188</v>
      </c>
      <c r="R40" t="s">
        <v>4189</v>
      </c>
      <c r="S40" t="s">
        <v>11</v>
      </c>
      <c r="T40" t="s">
        <v>13</v>
      </c>
      <c r="U40" t="s">
        <v>75</v>
      </c>
      <c r="V40" t="s">
        <v>12</v>
      </c>
      <c r="X40" t="s">
        <v>4188</v>
      </c>
      <c r="Y40" t="s">
        <v>76</v>
      </c>
      <c r="Z40">
        <v>1</v>
      </c>
    </row>
    <row r="41" spans="1:26">
      <c r="A41" t="s">
        <v>726</v>
      </c>
      <c r="B41" t="s">
        <v>800</v>
      </c>
      <c r="C41" t="s">
        <v>801</v>
      </c>
      <c r="D41" t="s">
        <v>11</v>
      </c>
      <c r="E41" t="s">
        <v>13</v>
      </c>
      <c r="F41" t="s">
        <v>729</v>
      </c>
      <c r="G41" t="s">
        <v>12</v>
      </c>
      <c r="I41" t="s">
        <v>800</v>
      </c>
      <c r="J41" t="s">
        <v>2989</v>
      </c>
      <c r="K41">
        <v>45.998869858637825</v>
      </c>
      <c r="L41">
        <v>0.21077477975670131</v>
      </c>
      <c r="M41">
        <v>148.6238945750992</v>
      </c>
      <c r="N41">
        <v>163.48628403260912</v>
      </c>
      <c r="P41" t="s">
        <v>726</v>
      </c>
      <c r="Q41" t="s">
        <v>4190</v>
      </c>
      <c r="R41" t="s">
        <v>4191</v>
      </c>
      <c r="S41" t="s">
        <v>11</v>
      </c>
      <c r="T41" t="s">
        <v>13</v>
      </c>
      <c r="U41" t="s">
        <v>75</v>
      </c>
      <c r="V41" t="s">
        <v>12</v>
      </c>
      <c r="X41" t="s">
        <v>4190</v>
      </c>
      <c r="Y41" t="s">
        <v>76</v>
      </c>
      <c r="Z41">
        <v>1</v>
      </c>
    </row>
    <row r="42" spans="1:26">
      <c r="A42" t="s">
        <v>726</v>
      </c>
      <c r="B42" t="s">
        <v>802</v>
      </c>
      <c r="C42" t="s">
        <v>803</v>
      </c>
      <c r="D42" t="s">
        <v>11</v>
      </c>
      <c r="E42" t="s">
        <v>13</v>
      </c>
      <c r="F42" t="s">
        <v>729</v>
      </c>
      <c r="G42" t="s">
        <v>12</v>
      </c>
      <c r="I42" t="s">
        <v>802</v>
      </c>
      <c r="J42" t="s">
        <v>2990</v>
      </c>
      <c r="K42">
        <v>30.762488480699545</v>
      </c>
      <c r="L42">
        <v>0.2135709964141797</v>
      </c>
      <c r="M42">
        <v>94.475772291324716</v>
      </c>
      <c r="N42">
        <v>103.92334952045719</v>
      </c>
      <c r="P42" t="s">
        <v>726</v>
      </c>
      <c r="Q42" t="s">
        <v>4192</v>
      </c>
      <c r="R42" t="s">
        <v>4193</v>
      </c>
      <c r="S42" t="s">
        <v>11</v>
      </c>
      <c r="T42" t="s">
        <v>13</v>
      </c>
      <c r="U42" t="s">
        <v>75</v>
      </c>
      <c r="V42" t="s">
        <v>12</v>
      </c>
      <c r="X42" t="s">
        <v>4192</v>
      </c>
      <c r="Y42" t="s">
        <v>76</v>
      </c>
      <c r="Z42">
        <v>1</v>
      </c>
    </row>
    <row r="43" spans="1:26">
      <c r="A43" t="s">
        <v>726</v>
      </c>
      <c r="B43" t="s">
        <v>804</v>
      </c>
      <c r="C43" t="s">
        <v>805</v>
      </c>
      <c r="D43" t="s">
        <v>11</v>
      </c>
      <c r="E43" t="s">
        <v>13</v>
      </c>
      <c r="F43" t="s">
        <v>729</v>
      </c>
      <c r="G43" t="s">
        <v>12</v>
      </c>
      <c r="I43" t="s">
        <v>804</v>
      </c>
      <c r="J43" t="s">
        <v>2991</v>
      </c>
      <c r="K43">
        <v>35.974977377642929</v>
      </c>
      <c r="L43">
        <v>0.20541612878845489</v>
      </c>
      <c r="M43">
        <v>101.16215211050412</v>
      </c>
      <c r="N43">
        <v>111.27836732155454</v>
      </c>
      <c r="P43" t="s">
        <v>726</v>
      </c>
      <c r="Q43" t="s">
        <v>4194</v>
      </c>
      <c r="R43" t="s">
        <v>4195</v>
      </c>
      <c r="S43" t="s">
        <v>11</v>
      </c>
      <c r="T43" t="s">
        <v>13</v>
      </c>
      <c r="U43" t="s">
        <v>75</v>
      </c>
      <c r="V43" t="s">
        <v>12</v>
      </c>
      <c r="X43" t="s">
        <v>4194</v>
      </c>
      <c r="Y43" t="s">
        <v>76</v>
      </c>
      <c r="Z43">
        <v>1</v>
      </c>
    </row>
    <row r="44" spans="1:26">
      <c r="A44" t="s">
        <v>726</v>
      </c>
      <c r="B44" t="s">
        <v>806</v>
      </c>
      <c r="C44" t="s">
        <v>807</v>
      </c>
      <c r="D44" t="s">
        <v>11</v>
      </c>
      <c r="E44" t="s">
        <v>13</v>
      </c>
      <c r="F44" t="s">
        <v>729</v>
      </c>
      <c r="G44" t="s">
        <v>12</v>
      </c>
      <c r="I44" t="s">
        <v>806</v>
      </c>
      <c r="J44" t="s">
        <v>2992</v>
      </c>
      <c r="K44">
        <v>84.11825769698298</v>
      </c>
      <c r="L44">
        <v>0.20862270946691791</v>
      </c>
      <c r="M44">
        <v>138.90257453264962</v>
      </c>
      <c r="N44">
        <v>152.7928319859146</v>
      </c>
      <c r="P44" t="s">
        <v>726</v>
      </c>
      <c r="Q44" t="s">
        <v>4196</v>
      </c>
      <c r="R44" t="s">
        <v>4197</v>
      </c>
      <c r="S44" t="s">
        <v>11</v>
      </c>
      <c r="T44" t="s">
        <v>13</v>
      </c>
      <c r="U44" t="s">
        <v>75</v>
      </c>
      <c r="V44" t="s">
        <v>12</v>
      </c>
      <c r="X44" t="s">
        <v>4196</v>
      </c>
      <c r="Y44" t="s">
        <v>76</v>
      </c>
      <c r="Z44">
        <v>1</v>
      </c>
    </row>
    <row r="45" spans="1:26">
      <c r="A45" t="s">
        <v>726</v>
      </c>
      <c r="B45" t="s">
        <v>808</v>
      </c>
      <c r="C45" t="s">
        <v>809</v>
      </c>
      <c r="D45" t="s">
        <v>11</v>
      </c>
      <c r="E45" t="s">
        <v>13</v>
      </c>
      <c r="F45" t="s">
        <v>729</v>
      </c>
      <c r="G45" t="s">
        <v>12</v>
      </c>
      <c r="I45" t="s">
        <v>808</v>
      </c>
      <c r="J45" t="s">
        <v>2993</v>
      </c>
      <c r="K45">
        <v>1.4795008546472115</v>
      </c>
      <c r="L45">
        <v>0.2350487837191475</v>
      </c>
      <c r="M45">
        <v>93.302425293816839</v>
      </c>
      <c r="N45">
        <v>102.63266782319853</v>
      </c>
      <c r="P45" t="s">
        <v>726</v>
      </c>
      <c r="Q45" t="s">
        <v>4198</v>
      </c>
      <c r="R45" t="s">
        <v>4199</v>
      </c>
      <c r="S45" t="s">
        <v>11</v>
      </c>
      <c r="T45" t="s">
        <v>13</v>
      </c>
      <c r="U45" t="s">
        <v>75</v>
      </c>
      <c r="V45" t="s">
        <v>12</v>
      </c>
      <c r="X45" t="s">
        <v>4198</v>
      </c>
      <c r="Y45" t="s">
        <v>76</v>
      </c>
      <c r="Z45">
        <v>1</v>
      </c>
    </row>
    <row r="46" spans="1:26">
      <c r="A46" t="s">
        <v>726</v>
      </c>
      <c r="B46" t="s">
        <v>810</v>
      </c>
      <c r="C46" t="s">
        <v>811</v>
      </c>
      <c r="D46" t="s">
        <v>11</v>
      </c>
      <c r="E46" t="s">
        <v>13</v>
      </c>
      <c r="F46" t="s">
        <v>729</v>
      </c>
      <c r="G46" t="s">
        <v>12</v>
      </c>
      <c r="I46" t="s">
        <v>810</v>
      </c>
      <c r="J46" t="s">
        <v>2994</v>
      </c>
      <c r="K46">
        <v>4.1580593155320322</v>
      </c>
      <c r="L46">
        <v>0.24152996912159719</v>
      </c>
      <c r="M46">
        <v>38.292277965623938</v>
      </c>
      <c r="N46">
        <v>42.121505762186338</v>
      </c>
      <c r="P46" t="s">
        <v>726</v>
      </c>
      <c r="Q46" t="s">
        <v>4200</v>
      </c>
      <c r="R46" t="s">
        <v>4201</v>
      </c>
      <c r="S46" t="s">
        <v>11</v>
      </c>
      <c r="T46" t="s">
        <v>13</v>
      </c>
      <c r="U46" t="s">
        <v>75</v>
      </c>
      <c r="V46" t="s">
        <v>12</v>
      </c>
      <c r="X46" t="s">
        <v>4200</v>
      </c>
      <c r="Y46" t="s">
        <v>76</v>
      </c>
      <c r="Z46">
        <v>1</v>
      </c>
    </row>
    <row r="47" spans="1:26">
      <c r="A47" t="s">
        <v>726</v>
      </c>
      <c r="B47" t="s">
        <v>812</v>
      </c>
      <c r="C47" t="s">
        <v>813</v>
      </c>
      <c r="D47" t="s">
        <v>11</v>
      </c>
      <c r="E47" t="s">
        <v>13</v>
      </c>
      <c r="F47" t="s">
        <v>729</v>
      </c>
      <c r="G47" t="s">
        <v>12</v>
      </c>
      <c r="I47" t="s">
        <v>812</v>
      </c>
      <c r="J47" t="s">
        <v>2995</v>
      </c>
      <c r="K47">
        <v>0.88773269152866008</v>
      </c>
      <c r="L47">
        <v>0.21614055618094649</v>
      </c>
      <c r="M47">
        <v>41.32825438727933</v>
      </c>
      <c r="N47">
        <v>45.461079826007264</v>
      </c>
      <c r="P47" t="s">
        <v>726</v>
      </c>
      <c r="Q47" t="s">
        <v>4202</v>
      </c>
      <c r="R47" t="s">
        <v>4203</v>
      </c>
      <c r="S47" t="s">
        <v>11</v>
      </c>
      <c r="T47" t="s">
        <v>13</v>
      </c>
      <c r="U47" t="s">
        <v>75</v>
      </c>
      <c r="V47" t="s">
        <v>12</v>
      </c>
      <c r="X47" t="s">
        <v>4202</v>
      </c>
      <c r="Y47" t="s">
        <v>76</v>
      </c>
      <c r="Z47">
        <v>1</v>
      </c>
    </row>
    <row r="48" spans="1:26">
      <c r="A48" t="s">
        <v>726</v>
      </c>
      <c r="B48" t="s">
        <v>814</v>
      </c>
      <c r="C48" t="s">
        <v>815</v>
      </c>
      <c r="D48" t="s">
        <v>11</v>
      </c>
      <c r="E48" t="s">
        <v>13</v>
      </c>
      <c r="F48" t="s">
        <v>729</v>
      </c>
      <c r="G48" t="s">
        <v>12</v>
      </c>
      <c r="I48" t="s">
        <v>814</v>
      </c>
      <c r="J48" t="s">
        <v>2996</v>
      </c>
      <c r="K48">
        <v>275.30000916228579</v>
      </c>
      <c r="L48">
        <v>0.2211531187617537</v>
      </c>
      <c r="M48">
        <v>1226.066511760024</v>
      </c>
      <c r="N48">
        <v>1348.6731629360265</v>
      </c>
      <c r="P48" t="s">
        <v>726</v>
      </c>
      <c r="Q48" t="s">
        <v>4204</v>
      </c>
      <c r="R48" t="s">
        <v>4205</v>
      </c>
      <c r="S48" t="s">
        <v>11</v>
      </c>
      <c r="T48" t="s">
        <v>13</v>
      </c>
      <c r="U48" t="s">
        <v>75</v>
      </c>
      <c r="V48" t="s">
        <v>12</v>
      </c>
      <c r="X48" t="s">
        <v>4204</v>
      </c>
      <c r="Y48" t="s">
        <v>76</v>
      </c>
      <c r="Z48">
        <v>1</v>
      </c>
    </row>
    <row r="49" spans="1:26">
      <c r="A49" t="s">
        <v>726</v>
      </c>
      <c r="B49" t="s">
        <v>816</v>
      </c>
      <c r="C49" t="s">
        <v>817</v>
      </c>
      <c r="D49" t="s">
        <v>11</v>
      </c>
      <c r="E49" t="s">
        <v>13</v>
      </c>
      <c r="F49" t="s">
        <v>729</v>
      </c>
      <c r="G49" t="s">
        <v>12</v>
      </c>
      <c r="I49" t="s">
        <v>816</v>
      </c>
      <c r="J49" t="s">
        <v>2997</v>
      </c>
      <c r="K49">
        <v>147.01139784872228</v>
      </c>
      <c r="L49">
        <v>0.2435989933803826</v>
      </c>
      <c r="M49">
        <v>794.51046670556434</v>
      </c>
      <c r="N49">
        <v>873.96151337612082</v>
      </c>
      <c r="P49" t="s">
        <v>726</v>
      </c>
      <c r="Q49" t="s">
        <v>4206</v>
      </c>
      <c r="R49" t="s">
        <v>4207</v>
      </c>
      <c r="S49" t="s">
        <v>11</v>
      </c>
      <c r="T49" t="s">
        <v>13</v>
      </c>
      <c r="U49" t="s">
        <v>75</v>
      </c>
      <c r="V49" t="s">
        <v>12</v>
      </c>
      <c r="X49" t="s">
        <v>4206</v>
      </c>
      <c r="Y49" t="s">
        <v>76</v>
      </c>
      <c r="Z49">
        <v>1</v>
      </c>
    </row>
    <row r="50" spans="1:26">
      <c r="A50" t="s">
        <v>726</v>
      </c>
      <c r="B50" t="s">
        <v>818</v>
      </c>
      <c r="C50" t="s">
        <v>819</v>
      </c>
      <c r="D50" t="s">
        <v>11</v>
      </c>
      <c r="E50" t="s">
        <v>13</v>
      </c>
      <c r="F50" t="s">
        <v>729</v>
      </c>
      <c r="G50" t="s">
        <v>12</v>
      </c>
      <c r="I50" t="s">
        <v>818</v>
      </c>
      <c r="J50" t="s">
        <v>2998</v>
      </c>
      <c r="K50">
        <v>642.00917366619399</v>
      </c>
      <c r="L50">
        <v>0.2457219516203592</v>
      </c>
      <c r="M50">
        <v>1084.5313327110623</v>
      </c>
      <c r="N50">
        <v>1192.9844659821686</v>
      </c>
      <c r="P50" t="s">
        <v>726</v>
      </c>
      <c r="Q50" t="s">
        <v>4208</v>
      </c>
      <c r="R50" t="s">
        <v>4209</v>
      </c>
      <c r="S50" t="s">
        <v>11</v>
      </c>
      <c r="T50" t="s">
        <v>13</v>
      </c>
      <c r="U50" t="s">
        <v>75</v>
      </c>
      <c r="V50" t="s">
        <v>12</v>
      </c>
      <c r="X50" t="s">
        <v>4208</v>
      </c>
      <c r="Y50" t="s">
        <v>76</v>
      </c>
      <c r="Z50">
        <v>1</v>
      </c>
    </row>
    <row r="51" spans="1:26">
      <c r="A51" t="s">
        <v>726</v>
      </c>
      <c r="B51" t="s">
        <v>820</v>
      </c>
      <c r="C51" t="s">
        <v>821</v>
      </c>
      <c r="D51" t="s">
        <v>11</v>
      </c>
      <c r="E51" t="s">
        <v>13</v>
      </c>
      <c r="F51" t="s">
        <v>729</v>
      </c>
      <c r="G51" t="s">
        <v>12</v>
      </c>
      <c r="I51" t="s">
        <v>820</v>
      </c>
      <c r="J51" t="s">
        <v>2999</v>
      </c>
      <c r="K51">
        <v>375.98539730576226</v>
      </c>
      <c r="L51">
        <v>0.24458795631952179</v>
      </c>
      <c r="M51">
        <v>1757.8955387220694</v>
      </c>
      <c r="N51">
        <v>1933.6850925942765</v>
      </c>
      <c r="P51" t="s">
        <v>726</v>
      </c>
      <c r="Q51" t="s">
        <v>4210</v>
      </c>
      <c r="R51" t="s">
        <v>4211</v>
      </c>
      <c r="S51" t="s">
        <v>11</v>
      </c>
      <c r="T51" t="s">
        <v>13</v>
      </c>
      <c r="U51" t="s">
        <v>75</v>
      </c>
      <c r="V51" t="s">
        <v>12</v>
      </c>
      <c r="X51" t="s">
        <v>4210</v>
      </c>
      <c r="Y51" t="s">
        <v>76</v>
      </c>
      <c r="Z51">
        <v>1</v>
      </c>
    </row>
    <row r="52" spans="1:26">
      <c r="A52" t="s">
        <v>726</v>
      </c>
      <c r="B52" t="s">
        <v>822</v>
      </c>
      <c r="C52" t="s">
        <v>823</v>
      </c>
      <c r="D52" t="s">
        <v>11</v>
      </c>
      <c r="E52" t="s">
        <v>13</v>
      </c>
      <c r="F52" t="s">
        <v>729</v>
      </c>
      <c r="G52" t="s">
        <v>12</v>
      </c>
      <c r="I52" t="s">
        <v>822</v>
      </c>
      <c r="J52" t="s">
        <v>3000</v>
      </c>
      <c r="K52">
        <v>35.632355219334826</v>
      </c>
      <c r="L52">
        <v>0.23695090117519699</v>
      </c>
      <c r="M52">
        <v>1397.3514657547908</v>
      </c>
      <c r="N52">
        <v>1537.0866123302699</v>
      </c>
      <c r="P52" t="s">
        <v>726</v>
      </c>
      <c r="Q52" t="s">
        <v>4212</v>
      </c>
      <c r="R52" t="s">
        <v>4213</v>
      </c>
      <c r="S52" t="s">
        <v>11</v>
      </c>
      <c r="T52" t="s">
        <v>13</v>
      </c>
      <c r="U52" t="s">
        <v>75</v>
      </c>
      <c r="V52" t="s">
        <v>12</v>
      </c>
      <c r="X52" t="s">
        <v>4212</v>
      </c>
      <c r="Y52" t="s">
        <v>76</v>
      </c>
      <c r="Z52">
        <v>1</v>
      </c>
    </row>
    <row r="53" spans="1:26">
      <c r="A53" t="s">
        <v>726</v>
      </c>
      <c r="B53" t="s">
        <v>824</v>
      </c>
      <c r="C53" t="s">
        <v>821</v>
      </c>
      <c r="D53" t="s">
        <v>11</v>
      </c>
      <c r="E53" t="s">
        <v>13</v>
      </c>
      <c r="F53" t="s">
        <v>729</v>
      </c>
      <c r="G53" t="s">
        <v>12</v>
      </c>
      <c r="I53" t="s">
        <v>824</v>
      </c>
      <c r="J53" t="s">
        <v>3001</v>
      </c>
      <c r="K53">
        <v>117.86866653179183</v>
      </c>
      <c r="L53">
        <v>0.23526157913952861</v>
      </c>
      <c r="M53">
        <v>1995.2833441183889</v>
      </c>
      <c r="N53">
        <v>2194.8116785302277</v>
      </c>
      <c r="P53" t="s">
        <v>726</v>
      </c>
      <c r="Q53" t="s">
        <v>4214</v>
      </c>
      <c r="R53" t="s">
        <v>4215</v>
      </c>
      <c r="S53" t="s">
        <v>11</v>
      </c>
      <c r="T53" t="s">
        <v>13</v>
      </c>
      <c r="U53" t="s">
        <v>75</v>
      </c>
      <c r="V53" t="s">
        <v>12</v>
      </c>
      <c r="X53" t="s">
        <v>4214</v>
      </c>
      <c r="Y53" t="s">
        <v>76</v>
      </c>
      <c r="Z53">
        <v>1</v>
      </c>
    </row>
    <row r="54" spans="1:26">
      <c r="A54" t="s">
        <v>726</v>
      </c>
      <c r="B54" t="s">
        <v>825</v>
      </c>
      <c r="C54" t="s">
        <v>817</v>
      </c>
      <c r="D54" t="s">
        <v>11</v>
      </c>
      <c r="E54" t="s">
        <v>13</v>
      </c>
      <c r="F54" t="s">
        <v>729</v>
      </c>
      <c r="G54" t="s">
        <v>12</v>
      </c>
      <c r="I54" t="s">
        <v>825</v>
      </c>
      <c r="J54" t="s">
        <v>3002</v>
      </c>
      <c r="K54">
        <v>630.3052643314511</v>
      </c>
      <c r="L54">
        <v>0.2347391983852444</v>
      </c>
      <c r="M54">
        <v>1606.3466432773189</v>
      </c>
      <c r="N54">
        <v>1766.9813076050509</v>
      </c>
      <c r="P54" t="s">
        <v>726</v>
      </c>
      <c r="Q54" t="s">
        <v>4216</v>
      </c>
      <c r="R54" t="s">
        <v>4217</v>
      </c>
      <c r="S54" t="s">
        <v>11</v>
      </c>
      <c r="T54" t="s">
        <v>13</v>
      </c>
      <c r="U54" t="s">
        <v>75</v>
      </c>
      <c r="V54" t="s">
        <v>12</v>
      </c>
      <c r="X54" t="s">
        <v>4216</v>
      </c>
      <c r="Y54" t="s">
        <v>76</v>
      </c>
      <c r="Z54">
        <v>1</v>
      </c>
    </row>
    <row r="55" spans="1:26">
      <c r="A55" t="s">
        <v>726</v>
      </c>
      <c r="B55" t="s">
        <v>826</v>
      </c>
      <c r="C55" t="s">
        <v>827</v>
      </c>
      <c r="D55" t="s">
        <v>11</v>
      </c>
      <c r="E55" t="s">
        <v>13</v>
      </c>
      <c r="F55" t="s">
        <v>729</v>
      </c>
      <c r="G55" t="s">
        <v>12</v>
      </c>
      <c r="I55" t="s">
        <v>826</v>
      </c>
      <c r="J55" t="s">
        <v>3003</v>
      </c>
      <c r="K55">
        <v>113.227587554461</v>
      </c>
      <c r="L55">
        <v>0.2265470637635236</v>
      </c>
      <c r="M55">
        <v>481.96075518131454</v>
      </c>
      <c r="N55">
        <v>530.156830699446</v>
      </c>
      <c r="P55" t="s">
        <v>726</v>
      </c>
      <c r="Q55" t="s">
        <v>4218</v>
      </c>
      <c r="R55" t="s">
        <v>4219</v>
      </c>
      <c r="S55" t="s">
        <v>11</v>
      </c>
      <c r="T55" t="s">
        <v>13</v>
      </c>
      <c r="U55" t="s">
        <v>75</v>
      </c>
      <c r="V55" t="s">
        <v>12</v>
      </c>
      <c r="X55" t="s">
        <v>4218</v>
      </c>
      <c r="Y55" t="s">
        <v>76</v>
      </c>
      <c r="Z55">
        <v>1</v>
      </c>
    </row>
    <row r="56" spans="1:26">
      <c r="A56" t="s">
        <v>726</v>
      </c>
      <c r="B56" t="s">
        <v>828</v>
      </c>
      <c r="C56" t="s">
        <v>829</v>
      </c>
      <c r="D56" t="s">
        <v>11</v>
      </c>
      <c r="E56" t="s">
        <v>13</v>
      </c>
      <c r="F56" t="s">
        <v>729</v>
      </c>
      <c r="G56" t="s">
        <v>12</v>
      </c>
      <c r="I56" t="s">
        <v>828</v>
      </c>
      <c r="J56" t="s">
        <v>3004</v>
      </c>
      <c r="K56">
        <v>17.289444719047378</v>
      </c>
      <c r="L56">
        <v>0.21171107391235941</v>
      </c>
      <c r="M56">
        <v>278.5431679399822</v>
      </c>
      <c r="N56">
        <v>306.39748473398043</v>
      </c>
      <c r="P56" t="s">
        <v>726</v>
      </c>
      <c r="Q56" t="s">
        <v>4220</v>
      </c>
      <c r="R56" t="s">
        <v>4221</v>
      </c>
      <c r="S56" t="s">
        <v>11</v>
      </c>
      <c r="T56" t="s">
        <v>13</v>
      </c>
      <c r="U56" t="s">
        <v>75</v>
      </c>
      <c r="V56" t="s">
        <v>12</v>
      </c>
      <c r="X56" t="s">
        <v>4220</v>
      </c>
      <c r="Y56" t="s">
        <v>76</v>
      </c>
      <c r="Z56">
        <v>1</v>
      </c>
    </row>
    <row r="57" spans="1:26">
      <c r="A57" t="s">
        <v>726</v>
      </c>
      <c r="B57" t="s">
        <v>830</v>
      </c>
      <c r="C57" t="s">
        <v>831</v>
      </c>
      <c r="D57" t="s">
        <v>11</v>
      </c>
      <c r="E57" t="s">
        <v>13</v>
      </c>
      <c r="F57" t="s">
        <v>729</v>
      </c>
      <c r="G57" t="s">
        <v>12</v>
      </c>
      <c r="I57" t="s">
        <v>830</v>
      </c>
      <c r="J57" t="s">
        <v>3005</v>
      </c>
      <c r="K57">
        <v>16.060178728651707</v>
      </c>
      <c r="L57">
        <v>0.1864968812221228</v>
      </c>
      <c r="M57">
        <v>251.7952555736552</v>
      </c>
      <c r="N57">
        <v>276.97478113102073</v>
      </c>
      <c r="P57" t="s">
        <v>726</v>
      </c>
      <c r="Q57" t="s">
        <v>4222</v>
      </c>
      <c r="R57" t="s">
        <v>4223</v>
      </c>
      <c r="S57" t="s">
        <v>11</v>
      </c>
      <c r="T57" t="s">
        <v>13</v>
      </c>
      <c r="U57" t="s">
        <v>75</v>
      </c>
      <c r="V57" t="s">
        <v>12</v>
      </c>
      <c r="X57" t="s">
        <v>4222</v>
      </c>
      <c r="Y57" t="s">
        <v>76</v>
      </c>
      <c r="Z57">
        <v>1</v>
      </c>
    </row>
    <row r="58" spans="1:26">
      <c r="A58" t="s">
        <v>726</v>
      </c>
      <c r="B58" t="s">
        <v>832</v>
      </c>
      <c r="C58" t="s">
        <v>821</v>
      </c>
      <c r="D58" t="s">
        <v>11</v>
      </c>
      <c r="E58" t="s">
        <v>13</v>
      </c>
      <c r="F58" t="s">
        <v>729</v>
      </c>
      <c r="G58" t="s">
        <v>12</v>
      </c>
      <c r="I58" t="s">
        <v>832</v>
      </c>
      <c r="J58" t="s">
        <v>3006</v>
      </c>
      <c r="K58">
        <v>316.33109048558498</v>
      </c>
      <c r="L58">
        <v>0.24272002174979099</v>
      </c>
      <c r="M58">
        <v>1202.720023280147</v>
      </c>
      <c r="N58">
        <v>1322.9920256081618</v>
      </c>
      <c r="P58" t="s">
        <v>726</v>
      </c>
      <c r="Q58" t="s">
        <v>4224</v>
      </c>
      <c r="R58" t="s">
        <v>4225</v>
      </c>
      <c r="S58" t="s">
        <v>11</v>
      </c>
      <c r="T58" t="s">
        <v>13</v>
      </c>
      <c r="U58" t="s">
        <v>75</v>
      </c>
      <c r="V58" t="s">
        <v>12</v>
      </c>
      <c r="X58" t="s">
        <v>4224</v>
      </c>
      <c r="Y58" t="s">
        <v>76</v>
      </c>
      <c r="Z58">
        <v>1</v>
      </c>
    </row>
    <row r="59" spans="1:26">
      <c r="A59" t="s">
        <v>726</v>
      </c>
      <c r="B59" t="s">
        <v>833</v>
      </c>
      <c r="C59" t="s">
        <v>829</v>
      </c>
      <c r="D59" t="s">
        <v>11</v>
      </c>
      <c r="E59" t="s">
        <v>13</v>
      </c>
      <c r="F59" t="s">
        <v>729</v>
      </c>
      <c r="G59" t="s">
        <v>12</v>
      </c>
      <c r="I59" t="s">
        <v>833</v>
      </c>
      <c r="J59" t="s">
        <v>3007</v>
      </c>
      <c r="K59">
        <v>403.10965915903</v>
      </c>
      <c r="L59">
        <v>0.22899094031477579</v>
      </c>
      <c r="M59">
        <v>696.82182181483336</v>
      </c>
      <c r="N59">
        <v>766.50400399631678</v>
      </c>
      <c r="P59" t="s">
        <v>726</v>
      </c>
      <c r="Q59" t="s">
        <v>4226</v>
      </c>
      <c r="R59" t="s">
        <v>4227</v>
      </c>
      <c r="S59" t="s">
        <v>11</v>
      </c>
      <c r="T59" t="s">
        <v>13</v>
      </c>
      <c r="U59" t="s">
        <v>75</v>
      </c>
      <c r="V59" t="s">
        <v>12</v>
      </c>
      <c r="X59" t="s">
        <v>4226</v>
      </c>
      <c r="Y59" t="s">
        <v>76</v>
      </c>
      <c r="Z59">
        <v>1</v>
      </c>
    </row>
    <row r="60" spans="1:26">
      <c r="A60" t="s">
        <v>726</v>
      </c>
      <c r="B60" t="s">
        <v>834</v>
      </c>
      <c r="C60" t="s">
        <v>835</v>
      </c>
      <c r="D60" t="s">
        <v>11</v>
      </c>
      <c r="E60" t="s">
        <v>13</v>
      </c>
      <c r="F60" t="s">
        <v>729</v>
      </c>
      <c r="G60" t="s">
        <v>12</v>
      </c>
      <c r="I60" t="s">
        <v>834</v>
      </c>
      <c r="J60" t="s">
        <v>3008</v>
      </c>
      <c r="K60">
        <v>23.518871030327499</v>
      </c>
      <c r="L60">
        <v>0.2224881545142825</v>
      </c>
      <c r="M60">
        <v>358.03427170164787</v>
      </c>
      <c r="N60">
        <v>393.83769887181268</v>
      </c>
      <c r="P60" t="s">
        <v>726</v>
      </c>
      <c r="Q60" t="s">
        <v>4228</v>
      </c>
      <c r="R60" t="s">
        <v>4229</v>
      </c>
      <c r="S60" t="s">
        <v>11</v>
      </c>
      <c r="T60" t="s">
        <v>13</v>
      </c>
      <c r="U60" t="s">
        <v>75</v>
      </c>
      <c r="V60" t="s">
        <v>12</v>
      </c>
      <c r="X60" t="s">
        <v>4228</v>
      </c>
      <c r="Y60" t="s">
        <v>76</v>
      </c>
      <c r="Z60">
        <v>1</v>
      </c>
    </row>
    <row r="61" spans="1:26">
      <c r="A61" t="s">
        <v>726</v>
      </c>
      <c r="B61" t="s">
        <v>836</v>
      </c>
      <c r="C61" t="s">
        <v>837</v>
      </c>
      <c r="D61" t="s">
        <v>11</v>
      </c>
      <c r="E61" t="s">
        <v>13</v>
      </c>
      <c r="F61" t="s">
        <v>729</v>
      </c>
      <c r="G61" t="s">
        <v>12</v>
      </c>
      <c r="I61" t="s">
        <v>836</v>
      </c>
      <c r="J61" t="s">
        <v>3009</v>
      </c>
      <c r="K61">
        <v>1.0225903918275745</v>
      </c>
      <c r="L61">
        <v>0.17514971944376431</v>
      </c>
      <c r="M61">
        <v>517.20155743264263</v>
      </c>
      <c r="N61">
        <v>568.92171317590692</v>
      </c>
      <c r="P61" t="s">
        <v>726</v>
      </c>
      <c r="Q61" t="s">
        <v>4230</v>
      </c>
      <c r="R61" t="s">
        <v>4231</v>
      </c>
      <c r="S61" t="s">
        <v>11</v>
      </c>
      <c r="T61" t="s">
        <v>13</v>
      </c>
      <c r="U61" t="s">
        <v>75</v>
      </c>
      <c r="V61" t="s">
        <v>12</v>
      </c>
      <c r="X61" t="s">
        <v>4230</v>
      </c>
      <c r="Y61" t="s">
        <v>76</v>
      </c>
      <c r="Z61">
        <v>1</v>
      </c>
    </row>
    <row r="62" spans="1:26">
      <c r="A62" t="s">
        <v>726</v>
      </c>
      <c r="B62" t="s">
        <v>838</v>
      </c>
      <c r="C62" t="s">
        <v>831</v>
      </c>
      <c r="D62" t="s">
        <v>11</v>
      </c>
      <c r="E62" t="s">
        <v>13</v>
      </c>
      <c r="F62" t="s">
        <v>729</v>
      </c>
      <c r="G62" t="s">
        <v>12</v>
      </c>
      <c r="I62" t="s">
        <v>838</v>
      </c>
      <c r="J62" t="s">
        <v>3010</v>
      </c>
      <c r="K62">
        <v>8.8194116087330716</v>
      </c>
      <c r="L62">
        <v>0.20253005273617269</v>
      </c>
      <c r="M62">
        <v>300.55491427015949</v>
      </c>
      <c r="N62">
        <v>330.61040569717545</v>
      </c>
      <c r="P62" t="s">
        <v>726</v>
      </c>
      <c r="Q62" t="s">
        <v>4232</v>
      </c>
      <c r="R62" t="s">
        <v>4233</v>
      </c>
      <c r="S62" t="s">
        <v>11</v>
      </c>
      <c r="T62" t="s">
        <v>13</v>
      </c>
      <c r="U62" t="s">
        <v>75</v>
      </c>
      <c r="V62" t="s">
        <v>12</v>
      </c>
      <c r="X62" t="s">
        <v>4232</v>
      </c>
      <c r="Y62" t="s">
        <v>76</v>
      </c>
      <c r="Z62">
        <v>1</v>
      </c>
    </row>
    <row r="63" spans="1:26">
      <c r="A63" t="s">
        <v>726</v>
      </c>
      <c r="B63" t="s">
        <v>839</v>
      </c>
      <c r="C63" t="s">
        <v>817</v>
      </c>
      <c r="D63" t="s">
        <v>11</v>
      </c>
      <c r="E63" t="s">
        <v>13</v>
      </c>
      <c r="F63" t="s">
        <v>729</v>
      </c>
      <c r="G63" t="s">
        <v>12</v>
      </c>
      <c r="I63" t="s">
        <v>839</v>
      </c>
      <c r="J63" t="s">
        <v>3011</v>
      </c>
      <c r="K63">
        <v>9.5868890798632158</v>
      </c>
      <c r="L63">
        <v>0.20410841481742789</v>
      </c>
      <c r="M63">
        <v>701.02631795290017</v>
      </c>
      <c r="N63">
        <v>771.12894974819028</v>
      </c>
      <c r="P63" t="s">
        <v>726</v>
      </c>
      <c r="Q63" t="s">
        <v>4234</v>
      </c>
      <c r="R63" t="s">
        <v>4235</v>
      </c>
      <c r="S63" t="s">
        <v>11</v>
      </c>
      <c r="T63" t="s">
        <v>13</v>
      </c>
      <c r="U63" t="s">
        <v>75</v>
      </c>
      <c r="V63" t="s">
        <v>12</v>
      </c>
      <c r="X63" t="s">
        <v>4234</v>
      </c>
      <c r="Y63" t="s">
        <v>76</v>
      </c>
      <c r="Z63">
        <v>1</v>
      </c>
    </row>
    <row r="64" spans="1:26">
      <c r="A64" t="s">
        <v>726</v>
      </c>
      <c r="B64" t="s">
        <v>840</v>
      </c>
      <c r="C64" t="s">
        <v>817</v>
      </c>
      <c r="D64" t="s">
        <v>11</v>
      </c>
      <c r="E64" t="s">
        <v>13</v>
      </c>
      <c r="F64" t="s">
        <v>729</v>
      </c>
      <c r="G64" t="s">
        <v>12</v>
      </c>
      <c r="I64" t="s">
        <v>840</v>
      </c>
      <c r="J64" t="s">
        <v>3012</v>
      </c>
      <c r="K64">
        <v>171.56238716973766</v>
      </c>
      <c r="L64">
        <v>0.2268571888475672</v>
      </c>
      <c r="M64">
        <v>765.11656351193733</v>
      </c>
      <c r="N64">
        <v>841.62821986313111</v>
      </c>
      <c r="P64" t="s">
        <v>726</v>
      </c>
      <c r="Q64" t="s">
        <v>4236</v>
      </c>
      <c r="R64" t="s">
        <v>4237</v>
      </c>
      <c r="S64" t="s">
        <v>11</v>
      </c>
      <c r="T64" t="s">
        <v>13</v>
      </c>
      <c r="U64" t="s">
        <v>75</v>
      </c>
      <c r="V64" t="s">
        <v>12</v>
      </c>
      <c r="X64" t="s">
        <v>4236</v>
      </c>
      <c r="Y64" t="s">
        <v>76</v>
      </c>
      <c r="Z64">
        <v>1</v>
      </c>
    </row>
    <row r="65" spans="1:26">
      <c r="A65" t="s">
        <v>726</v>
      </c>
      <c r="B65" t="s">
        <v>841</v>
      </c>
      <c r="C65" t="s">
        <v>817</v>
      </c>
      <c r="D65" t="s">
        <v>11</v>
      </c>
      <c r="E65" t="s">
        <v>13</v>
      </c>
      <c r="F65" t="s">
        <v>729</v>
      </c>
      <c r="G65" t="s">
        <v>12</v>
      </c>
      <c r="I65" t="s">
        <v>841</v>
      </c>
      <c r="J65" t="s">
        <v>3013</v>
      </c>
      <c r="K65">
        <v>489.19668814080762</v>
      </c>
      <c r="L65">
        <v>0.23647370141755561</v>
      </c>
      <c r="M65">
        <v>1024.5430119857097</v>
      </c>
      <c r="N65">
        <v>1126.9973131842808</v>
      </c>
      <c r="P65" t="s">
        <v>726</v>
      </c>
      <c r="Q65" t="s">
        <v>4238</v>
      </c>
      <c r="R65" t="s">
        <v>4239</v>
      </c>
      <c r="S65" t="s">
        <v>11</v>
      </c>
      <c r="T65" t="s">
        <v>13</v>
      </c>
      <c r="U65" t="s">
        <v>75</v>
      </c>
      <c r="V65" t="s">
        <v>12</v>
      </c>
      <c r="X65" t="s">
        <v>4238</v>
      </c>
      <c r="Y65" t="s">
        <v>76</v>
      </c>
      <c r="Z65">
        <v>1</v>
      </c>
    </row>
    <row r="66" spans="1:26">
      <c r="A66" t="s">
        <v>726</v>
      </c>
      <c r="B66" t="s">
        <v>842</v>
      </c>
      <c r="C66" t="s">
        <v>823</v>
      </c>
      <c r="D66" t="s">
        <v>11</v>
      </c>
      <c r="E66" t="s">
        <v>13</v>
      </c>
      <c r="F66" t="s">
        <v>729</v>
      </c>
      <c r="G66" t="s">
        <v>12</v>
      </c>
      <c r="I66" t="s">
        <v>842</v>
      </c>
      <c r="J66" t="s">
        <v>3014</v>
      </c>
      <c r="K66">
        <v>59.490646659591334</v>
      </c>
      <c r="L66">
        <v>0.22935429318612749</v>
      </c>
      <c r="M66">
        <v>792.77231184653283</v>
      </c>
      <c r="N66">
        <v>872.0495430311862</v>
      </c>
      <c r="P66" t="s">
        <v>726</v>
      </c>
      <c r="Q66" t="s">
        <v>4240</v>
      </c>
      <c r="R66" t="s">
        <v>4241</v>
      </c>
      <c r="S66" t="s">
        <v>11</v>
      </c>
      <c r="T66" t="s">
        <v>13</v>
      </c>
      <c r="U66" t="s">
        <v>75</v>
      </c>
      <c r="V66" t="s">
        <v>12</v>
      </c>
      <c r="X66" t="s">
        <v>4240</v>
      </c>
      <c r="Y66" t="s">
        <v>76</v>
      </c>
      <c r="Z66">
        <v>1</v>
      </c>
    </row>
    <row r="67" spans="1:26">
      <c r="A67" t="s">
        <v>726</v>
      </c>
      <c r="B67" t="s">
        <v>843</v>
      </c>
      <c r="C67" t="s">
        <v>823</v>
      </c>
      <c r="D67" t="s">
        <v>11</v>
      </c>
      <c r="E67" t="s">
        <v>13</v>
      </c>
      <c r="F67" t="s">
        <v>729</v>
      </c>
      <c r="G67" t="s">
        <v>12</v>
      </c>
      <c r="I67" t="s">
        <v>843</v>
      </c>
      <c r="J67" t="s">
        <v>3015</v>
      </c>
      <c r="K67">
        <v>62.323731455828209</v>
      </c>
      <c r="L67">
        <v>0.2352237646206887</v>
      </c>
      <c r="M67">
        <v>571.53094579044046</v>
      </c>
      <c r="N67">
        <v>628.68404036948459</v>
      </c>
      <c r="P67" t="s">
        <v>726</v>
      </c>
      <c r="Q67" t="s">
        <v>4242</v>
      </c>
      <c r="R67" t="s">
        <v>4243</v>
      </c>
      <c r="S67" t="s">
        <v>11</v>
      </c>
      <c r="T67" t="s">
        <v>13</v>
      </c>
      <c r="U67" t="s">
        <v>75</v>
      </c>
      <c r="V67" t="s">
        <v>12</v>
      </c>
      <c r="X67" t="s">
        <v>4242</v>
      </c>
      <c r="Y67" t="s">
        <v>76</v>
      </c>
      <c r="Z67">
        <v>1</v>
      </c>
    </row>
    <row r="68" spans="1:26">
      <c r="A68" t="s">
        <v>726</v>
      </c>
      <c r="B68" t="s">
        <v>844</v>
      </c>
      <c r="C68" t="s">
        <v>823</v>
      </c>
      <c r="D68" t="s">
        <v>11</v>
      </c>
      <c r="E68" t="s">
        <v>13</v>
      </c>
      <c r="F68" t="s">
        <v>729</v>
      </c>
      <c r="G68" t="s">
        <v>12</v>
      </c>
      <c r="I68" t="s">
        <v>844</v>
      </c>
      <c r="J68" t="s">
        <v>3016</v>
      </c>
      <c r="K68">
        <v>22.324652559487227</v>
      </c>
      <c r="L68">
        <v>0.2180200839231406</v>
      </c>
      <c r="M68">
        <v>335.17233573698763</v>
      </c>
      <c r="N68">
        <v>368.68956931068641</v>
      </c>
      <c r="P68" t="s">
        <v>726</v>
      </c>
      <c r="Q68" t="s">
        <v>4244</v>
      </c>
      <c r="R68" t="s">
        <v>4245</v>
      </c>
      <c r="S68" t="s">
        <v>11</v>
      </c>
      <c r="T68" t="s">
        <v>13</v>
      </c>
      <c r="U68" t="s">
        <v>75</v>
      </c>
      <c r="V68" t="s">
        <v>12</v>
      </c>
      <c r="X68" t="s">
        <v>4244</v>
      </c>
      <c r="Y68" t="s">
        <v>76</v>
      </c>
      <c r="Z68">
        <v>1</v>
      </c>
    </row>
    <row r="69" spans="1:26">
      <c r="A69" t="s">
        <v>726</v>
      </c>
      <c r="B69" t="s">
        <v>845</v>
      </c>
      <c r="C69" t="s">
        <v>846</v>
      </c>
      <c r="D69" t="s">
        <v>11</v>
      </c>
      <c r="E69" t="s">
        <v>13</v>
      </c>
      <c r="F69" t="s">
        <v>729</v>
      </c>
      <c r="G69" t="s">
        <v>12</v>
      </c>
      <c r="I69" t="s">
        <v>845</v>
      </c>
      <c r="J69" t="s">
        <v>3017</v>
      </c>
      <c r="K69">
        <v>22.573962180096306</v>
      </c>
      <c r="L69">
        <v>0.1596734232177672</v>
      </c>
      <c r="M69">
        <v>67.322548479121124</v>
      </c>
      <c r="N69">
        <v>74.054803327033241</v>
      </c>
      <c r="P69" t="s">
        <v>726</v>
      </c>
      <c r="Q69" t="s">
        <v>4246</v>
      </c>
      <c r="R69" t="s">
        <v>4247</v>
      </c>
      <c r="S69" t="s">
        <v>11</v>
      </c>
      <c r="T69" t="s">
        <v>13</v>
      </c>
      <c r="U69" t="s">
        <v>75</v>
      </c>
      <c r="V69" t="s">
        <v>12</v>
      </c>
      <c r="X69" t="s">
        <v>4246</v>
      </c>
      <c r="Y69" t="s">
        <v>76</v>
      </c>
      <c r="Z69">
        <v>1</v>
      </c>
    </row>
    <row r="70" spans="1:26">
      <c r="A70" t="s">
        <v>726</v>
      </c>
      <c r="B70" t="s">
        <v>847</v>
      </c>
      <c r="C70" t="s">
        <v>848</v>
      </c>
      <c r="D70" t="s">
        <v>11</v>
      </c>
      <c r="E70" t="s">
        <v>13</v>
      </c>
      <c r="F70" t="s">
        <v>729</v>
      </c>
      <c r="G70" t="s">
        <v>12</v>
      </c>
      <c r="I70" t="s">
        <v>847</v>
      </c>
      <c r="J70" t="s">
        <v>3018</v>
      </c>
      <c r="K70">
        <v>37.135170812102096</v>
      </c>
      <c r="L70">
        <v>0.15318776690240199</v>
      </c>
      <c r="M70">
        <v>43.601535634554573</v>
      </c>
      <c r="N70">
        <v>47.961689198010035</v>
      </c>
      <c r="P70" t="s">
        <v>726</v>
      </c>
      <c r="Q70" t="s">
        <v>4248</v>
      </c>
      <c r="R70" t="s">
        <v>4249</v>
      </c>
      <c r="S70" t="s">
        <v>11</v>
      </c>
      <c r="T70" t="s">
        <v>13</v>
      </c>
      <c r="U70" t="s">
        <v>75</v>
      </c>
      <c r="V70" t="s">
        <v>12</v>
      </c>
      <c r="X70" t="s">
        <v>4248</v>
      </c>
      <c r="Y70" t="s">
        <v>76</v>
      </c>
      <c r="Z70">
        <v>1</v>
      </c>
    </row>
    <row r="71" spans="1:26">
      <c r="A71" t="s">
        <v>726</v>
      </c>
      <c r="B71" t="s">
        <v>849</v>
      </c>
      <c r="C71" t="s">
        <v>850</v>
      </c>
      <c r="D71" t="s">
        <v>11</v>
      </c>
      <c r="E71" t="s">
        <v>13</v>
      </c>
      <c r="F71" t="s">
        <v>729</v>
      </c>
      <c r="G71" t="s">
        <v>12</v>
      </c>
      <c r="I71" t="s">
        <v>849</v>
      </c>
      <c r="J71" t="s">
        <v>3019</v>
      </c>
      <c r="K71">
        <v>5.074577662109383</v>
      </c>
      <c r="L71">
        <v>0.16262828141994259</v>
      </c>
      <c r="M71">
        <v>65.264177126370058</v>
      </c>
      <c r="N71">
        <v>71.790594839007071</v>
      </c>
      <c r="P71" t="s">
        <v>726</v>
      </c>
      <c r="Q71" t="s">
        <v>4250</v>
      </c>
      <c r="R71" t="s">
        <v>4251</v>
      </c>
      <c r="S71" t="s">
        <v>11</v>
      </c>
      <c r="T71" t="s">
        <v>13</v>
      </c>
      <c r="U71" t="s">
        <v>75</v>
      </c>
      <c r="V71" t="s">
        <v>12</v>
      </c>
      <c r="X71" t="s">
        <v>4250</v>
      </c>
      <c r="Y71" t="s">
        <v>76</v>
      </c>
      <c r="Z71">
        <v>1</v>
      </c>
    </row>
    <row r="72" spans="1:26">
      <c r="A72" t="s">
        <v>726</v>
      </c>
      <c r="B72" t="s">
        <v>851</v>
      </c>
      <c r="C72" t="s">
        <v>852</v>
      </c>
      <c r="D72" t="s">
        <v>11</v>
      </c>
      <c r="E72" t="s">
        <v>13</v>
      </c>
      <c r="F72" t="s">
        <v>729</v>
      </c>
      <c r="G72" t="s">
        <v>12</v>
      </c>
      <c r="I72" t="s">
        <v>851</v>
      </c>
      <c r="J72" t="s">
        <v>3020</v>
      </c>
      <c r="K72">
        <v>6.5113917890386883</v>
      </c>
      <c r="L72">
        <v>0.16259011401198539</v>
      </c>
      <c r="M72">
        <v>54.401922844439909</v>
      </c>
      <c r="N72">
        <v>59.842115128883904</v>
      </c>
      <c r="P72" t="s">
        <v>726</v>
      </c>
      <c r="Q72" t="s">
        <v>4252</v>
      </c>
      <c r="R72" t="s">
        <v>4253</v>
      </c>
      <c r="S72" t="s">
        <v>11</v>
      </c>
      <c r="T72" t="s">
        <v>13</v>
      </c>
      <c r="U72" t="s">
        <v>75</v>
      </c>
      <c r="V72" t="s">
        <v>12</v>
      </c>
      <c r="X72" t="s">
        <v>4252</v>
      </c>
      <c r="Y72" t="s">
        <v>76</v>
      </c>
      <c r="Z72">
        <v>1</v>
      </c>
    </row>
    <row r="73" spans="1:26">
      <c r="A73" t="s">
        <v>726</v>
      </c>
      <c r="B73" t="s">
        <v>853</v>
      </c>
      <c r="C73" t="s">
        <v>854</v>
      </c>
      <c r="D73" t="s">
        <v>11</v>
      </c>
      <c r="E73" t="s">
        <v>13</v>
      </c>
      <c r="F73" t="s">
        <v>729</v>
      </c>
      <c r="G73" t="s">
        <v>12</v>
      </c>
      <c r="I73" t="s">
        <v>853</v>
      </c>
      <c r="J73" t="s">
        <v>3021</v>
      </c>
      <c r="K73">
        <v>2.5295315929654256</v>
      </c>
      <c r="L73">
        <v>0.23749931413352701</v>
      </c>
      <c r="M73">
        <v>45.607962998921437</v>
      </c>
      <c r="N73">
        <v>50.168759298813583</v>
      </c>
      <c r="P73" t="s">
        <v>726</v>
      </c>
      <c r="Q73" t="s">
        <v>4254</v>
      </c>
      <c r="R73" t="s">
        <v>4255</v>
      </c>
      <c r="S73" t="s">
        <v>11</v>
      </c>
      <c r="T73" t="s">
        <v>13</v>
      </c>
      <c r="U73" t="s">
        <v>75</v>
      </c>
      <c r="V73" t="s">
        <v>12</v>
      </c>
      <c r="X73" t="s">
        <v>4254</v>
      </c>
      <c r="Y73" t="s">
        <v>76</v>
      </c>
      <c r="Z73">
        <v>1</v>
      </c>
    </row>
    <row r="74" spans="1:26">
      <c r="A74" t="s">
        <v>726</v>
      </c>
      <c r="B74" t="s">
        <v>855</v>
      </c>
      <c r="C74" t="s">
        <v>856</v>
      </c>
      <c r="D74" t="s">
        <v>11</v>
      </c>
      <c r="E74" t="s">
        <v>13</v>
      </c>
      <c r="F74" t="s">
        <v>729</v>
      </c>
      <c r="G74" t="s">
        <v>12</v>
      </c>
      <c r="I74" t="s">
        <v>855</v>
      </c>
      <c r="J74" t="s">
        <v>3022</v>
      </c>
      <c r="K74">
        <v>10.105602854513672</v>
      </c>
      <c r="L74">
        <v>0.2011399939239682</v>
      </c>
      <c r="M74">
        <v>54.837531008702847</v>
      </c>
      <c r="N74">
        <v>60.321284109573135</v>
      </c>
      <c r="P74" t="s">
        <v>726</v>
      </c>
      <c r="Q74" t="s">
        <v>4256</v>
      </c>
      <c r="R74" t="s">
        <v>4257</v>
      </c>
      <c r="S74" t="s">
        <v>11</v>
      </c>
      <c r="T74" t="s">
        <v>13</v>
      </c>
      <c r="U74" t="s">
        <v>75</v>
      </c>
      <c r="V74" t="s">
        <v>12</v>
      </c>
      <c r="X74" t="s">
        <v>4256</v>
      </c>
      <c r="Y74" t="s">
        <v>76</v>
      </c>
      <c r="Z74">
        <v>1</v>
      </c>
    </row>
    <row r="75" spans="1:26">
      <c r="A75" t="s">
        <v>726</v>
      </c>
      <c r="B75" t="s">
        <v>857</v>
      </c>
      <c r="C75" t="s">
        <v>858</v>
      </c>
      <c r="D75" t="s">
        <v>11</v>
      </c>
      <c r="E75" t="s">
        <v>13</v>
      </c>
      <c r="F75" t="s">
        <v>729</v>
      </c>
      <c r="G75" t="s">
        <v>12</v>
      </c>
      <c r="I75" t="s">
        <v>857</v>
      </c>
      <c r="J75" t="s">
        <v>3023</v>
      </c>
      <c r="K75">
        <v>1.7689907355971211</v>
      </c>
      <c r="L75">
        <v>0.1894415674512748</v>
      </c>
      <c r="M75">
        <v>30.446326679678741</v>
      </c>
      <c r="N75">
        <v>33.490959347646616</v>
      </c>
      <c r="P75" t="s">
        <v>726</v>
      </c>
      <c r="Q75" t="s">
        <v>4258</v>
      </c>
      <c r="R75" t="s">
        <v>4259</v>
      </c>
      <c r="S75" t="s">
        <v>11</v>
      </c>
      <c r="T75" t="s">
        <v>13</v>
      </c>
      <c r="U75" t="s">
        <v>75</v>
      </c>
      <c r="V75" t="s">
        <v>12</v>
      </c>
      <c r="X75" t="s">
        <v>4258</v>
      </c>
      <c r="Y75" t="s">
        <v>76</v>
      </c>
      <c r="Z75">
        <v>1</v>
      </c>
    </row>
    <row r="76" spans="1:26">
      <c r="A76" t="s">
        <v>726</v>
      </c>
      <c r="B76" t="s">
        <v>859</v>
      </c>
      <c r="C76" t="s">
        <v>860</v>
      </c>
      <c r="D76" t="s">
        <v>11</v>
      </c>
      <c r="E76" t="s">
        <v>13</v>
      </c>
      <c r="F76" t="s">
        <v>729</v>
      </c>
      <c r="G76" t="s">
        <v>12</v>
      </c>
      <c r="I76" t="s">
        <v>859</v>
      </c>
      <c r="J76" t="s">
        <v>3024</v>
      </c>
      <c r="K76">
        <v>5.4981389000541521</v>
      </c>
      <c r="L76">
        <v>0.1948545238067228</v>
      </c>
      <c r="M76">
        <v>67.187869568364164</v>
      </c>
      <c r="N76">
        <v>73.906656525200589</v>
      </c>
      <c r="P76" t="s">
        <v>726</v>
      </c>
      <c r="Q76" t="s">
        <v>4260</v>
      </c>
      <c r="R76" t="s">
        <v>4261</v>
      </c>
      <c r="S76" t="s">
        <v>11</v>
      </c>
      <c r="T76" t="s">
        <v>13</v>
      </c>
      <c r="U76" t="s">
        <v>75</v>
      </c>
      <c r="V76" t="s">
        <v>12</v>
      </c>
      <c r="X76" t="s">
        <v>4260</v>
      </c>
      <c r="Y76" t="s">
        <v>76</v>
      </c>
      <c r="Z76">
        <v>1</v>
      </c>
    </row>
    <row r="77" spans="1:26">
      <c r="A77" t="s">
        <v>726</v>
      </c>
      <c r="B77" t="s">
        <v>861</v>
      </c>
      <c r="C77" t="s">
        <v>862</v>
      </c>
      <c r="D77" t="s">
        <v>11</v>
      </c>
      <c r="E77" t="s">
        <v>13</v>
      </c>
      <c r="F77" t="s">
        <v>729</v>
      </c>
      <c r="G77" t="s">
        <v>12</v>
      </c>
      <c r="I77" t="s">
        <v>861</v>
      </c>
      <c r="J77" t="s">
        <v>3025</v>
      </c>
      <c r="K77">
        <v>4.146795649815239</v>
      </c>
      <c r="L77">
        <v>0.2194324040755247</v>
      </c>
      <c r="M77">
        <v>48.683839062906799</v>
      </c>
      <c r="N77">
        <v>53.55222296919748</v>
      </c>
      <c r="P77" t="s">
        <v>726</v>
      </c>
      <c r="Q77" t="s">
        <v>4262</v>
      </c>
      <c r="R77" t="s">
        <v>4263</v>
      </c>
      <c r="S77" t="s">
        <v>11</v>
      </c>
      <c r="T77" t="s">
        <v>13</v>
      </c>
      <c r="U77" t="s">
        <v>75</v>
      </c>
      <c r="V77" t="s">
        <v>12</v>
      </c>
      <c r="X77" t="s">
        <v>4262</v>
      </c>
      <c r="Y77" t="s">
        <v>76</v>
      </c>
      <c r="Z77">
        <v>1</v>
      </c>
    </row>
    <row r="78" spans="1:26">
      <c r="A78" t="s">
        <v>726</v>
      </c>
      <c r="B78" t="s">
        <v>863</v>
      </c>
      <c r="C78" t="s">
        <v>864</v>
      </c>
      <c r="D78" t="s">
        <v>11</v>
      </c>
      <c r="E78" t="s">
        <v>13</v>
      </c>
      <c r="F78" t="s">
        <v>729</v>
      </c>
      <c r="G78" t="s">
        <v>12</v>
      </c>
      <c r="I78" t="s">
        <v>863</v>
      </c>
      <c r="J78" t="s">
        <v>3026</v>
      </c>
      <c r="K78">
        <v>2.3119535035033483</v>
      </c>
      <c r="L78">
        <v>0.2021053819370095</v>
      </c>
      <c r="M78">
        <v>55.240047816596501</v>
      </c>
      <c r="N78">
        <v>60.764052598256157</v>
      </c>
      <c r="P78" t="s">
        <v>726</v>
      </c>
      <c r="Q78" t="s">
        <v>4264</v>
      </c>
      <c r="R78" t="s">
        <v>4265</v>
      </c>
      <c r="S78" t="s">
        <v>11</v>
      </c>
      <c r="T78" t="s">
        <v>13</v>
      </c>
      <c r="U78" t="s">
        <v>75</v>
      </c>
      <c r="V78" t="s">
        <v>12</v>
      </c>
      <c r="X78" t="s">
        <v>4264</v>
      </c>
      <c r="Y78" t="s">
        <v>76</v>
      </c>
      <c r="Z78">
        <v>1</v>
      </c>
    </row>
    <row r="79" spans="1:26">
      <c r="A79" t="s">
        <v>726</v>
      </c>
      <c r="B79" t="s">
        <v>865</v>
      </c>
      <c r="C79" t="s">
        <v>866</v>
      </c>
      <c r="D79" t="s">
        <v>11</v>
      </c>
      <c r="E79" t="s">
        <v>13</v>
      </c>
      <c r="F79" t="s">
        <v>729</v>
      </c>
      <c r="G79" t="s">
        <v>12</v>
      </c>
      <c r="I79" t="s">
        <v>865</v>
      </c>
      <c r="J79" t="s">
        <v>3027</v>
      </c>
      <c r="K79">
        <v>39.440959610105168</v>
      </c>
      <c r="L79">
        <v>0.1403760656743463</v>
      </c>
      <c r="M79">
        <v>17.363947278695772</v>
      </c>
      <c r="N79">
        <v>19.100342006565352</v>
      </c>
      <c r="P79" t="s">
        <v>726</v>
      </c>
      <c r="Q79" t="s">
        <v>4266</v>
      </c>
      <c r="R79" t="s">
        <v>4267</v>
      </c>
      <c r="S79" t="s">
        <v>11</v>
      </c>
      <c r="T79" t="s">
        <v>13</v>
      </c>
      <c r="U79" t="s">
        <v>75</v>
      </c>
      <c r="V79" t="s">
        <v>12</v>
      </c>
      <c r="X79" t="s">
        <v>4266</v>
      </c>
      <c r="Y79" t="s">
        <v>76</v>
      </c>
      <c r="Z79">
        <v>1</v>
      </c>
    </row>
    <row r="80" spans="1:26">
      <c r="A80" t="s">
        <v>726</v>
      </c>
      <c r="B80" t="s">
        <v>867</v>
      </c>
      <c r="C80" t="s">
        <v>868</v>
      </c>
      <c r="D80" t="s">
        <v>11</v>
      </c>
      <c r="E80" t="s">
        <v>13</v>
      </c>
      <c r="F80" t="s">
        <v>729</v>
      </c>
      <c r="G80" t="s">
        <v>12</v>
      </c>
      <c r="I80" t="s">
        <v>867</v>
      </c>
      <c r="J80" t="s">
        <v>3028</v>
      </c>
      <c r="K80">
        <v>11.077430687976705</v>
      </c>
      <c r="L80">
        <v>0.13718812696866881</v>
      </c>
      <c r="M80">
        <v>37.913196378022477</v>
      </c>
      <c r="N80">
        <v>41.70451601582473</v>
      </c>
      <c r="P80" t="s">
        <v>726</v>
      </c>
      <c r="Q80" t="s">
        <v>4268</v>
      </c>
      <c r="R80" t="s">
        <v>4269</v>
      </c>
      <c r="S80" t="s">
        <v>11</v>
      </c>
      <c r="T80" t="s">
        <v>13</v>
      </c>
      <c r="U80" t="s">
        <v>75</v>
      </c>
      <c r="V80" t="s">
        <v>12</v>
      </c>
      <c r="X80" t="s">
        <v>4268</v>
      </c>
      <c r="Y80" t="s">
        <v>76</v>
      </c>
      <c r="Z80">
        <v>1</v>
      </c>
    </row>
    <row r="81" spans="1:26">
      <c r="A81" t="s">
        <v>726</v>
      </c>
      <c r="B81" t="s">
        <v>869</v>
      </c>
      <c r="C81" t="s">
        <v>870</v>
      </c>
      <c r="D81" t="s">
        <v>11</v>
      </c>
      <c r="E81" t="s">
        <v>13</v>
      </c>
      <c r="F81" t="s">
        <v>729</v>
      </c>
      <c r="G81" t="s">
        <v>12</v>
      </c>
      <c r="I81" t="s">
        <v>869</v>
      </c>
      <c r="J81" t="s">
        <v>3029</v>
      </c>
      <c r="K81">
        <v>15.142403494818137</v>
      </c>
      <c r="L81">
        <v>0.13546441991650929</v>
      </c>
      <c r="M81">
        <v>9.4474049194893528</v>
      </c>
      <c r="N81">
        <v>10.392145411438289</v>
      </c>
      <c r="P81" t="s">
        <v>726</v>
      </c>
      <c r="Q81" t="s">
        <v>4270</v>
      </c>
      <c r="R81" t="s">
        <v>4271</v>
      </c>
      <c r="S81" t="s">
        <v>11</v>
      </c>
      <c r="T81" t="s">
        <v>13</v>
      </c>
      <c r="U81" t="s">
        <v>75</v>
      </c>
      <c r="V81" t="s">
        <v>12</v>
      </c>
      <c r="X81" t="s">
        <v>4270</v>
      </c>
      <c r="Y81" t="s">
        <v>76</v>
      </c>
      <c r="Z81">
        <v>1</v>
      </c>
    </row>
    <row r="82" spans="1:26">
      <c r="A82" t="s">
        <v>726</v>
      </c>
      <c r="B82" t="s">
        <v>871</v>
      </c>
      <c r="C82" t="s">
        <v>872</v>
      </c>
      <c r="D82" t="s">
        <v>11</v>
      </c>
      <c r="E82" t="s">
        <v>13</v>
      </c>
      <c r="F82" t="s">
        <v>729</v>
      </c>
      <c r="G82" t="s">
        <v>12</v>
      </c>
      <c r="I82" t="s">
        <v>871</v>
      </c>
      <c r="J82" t="s">
        <v>3030</v>
      </c>
      <c r="K82">
        <v>10.431799112053286</v>
      </c>
      <c r="L82">
        <v>0.22180408892254491</v>
      </c>
      <c r="M82">
        <v>19.721529855579121</v>
      </c>
      <c r="N82">
        <v>21.693682841137033</v>
      </c>
      <c r="P82" t="s">
        <v>726</v>
      </c>
      <c r="Q82" t="s">
        <v>4272</v>
      </c>
      <c r="R82" t="s">
        <v>4273</v>
      </c>
      <c r="S82" t="s">
        <v>11</v>
      </c>
      <c r="T82" t="s">
        <v>13</v>
      </c>
      <c r="U82" t="s">
        <v>75</v>
      </c>
      <c r="V82" t="s">
        <v>12</v>
      </c>
      <c r="X82" t="s">
        <v>4272</v>
      </c>
      <c r="Y82" t="s">
        <v>76</v>
      </c>
      <c r="Z82">
        <v>1</v>
      </c>
    </row>
    <row r="83" spans="1:26">
      <c r="A83" t="s">
        <v>726</v>
      </c>
      <c r="B83" t="s">
        <v>873</v>
      </c>
      <c r="C83" t="s">
        <v>874</v>
      </c>
      <c r="D83" t="s">
        <v>11</v>
      </c>
      <c r="E83" t="s">
        <v>13</v>
      </c>
      <c r="F83" t="s">
        <v>729</v>
      </c>
      <c r="G83" t="s">
        <v>12</v>
      </c>
      <c r="I83" t="s">
        <v>873</v>
      </c>
      <c r="J83" t="s">
        <v>3031</v>
      </c>
      <c r="K83">
        <v>32.391238210962605</v>
      </c>
      <c r="L83">
        <v>0.2334500380483687</v>
      </c>
      <c r="M83">
        <v>44.836797519186923</v>
      </c>
      <c r="N83">
        <v>49.320477271105617</v>
      </c>
      <c r="P83" t="s">
        <v>726</v>
      </c>
      <c r="Q83" t="s">
        <v>4274</v>
      </c>
      <c r="R83" t="s">
        <v>4275</v>
      </c>
      <c r="S83" t="s">
        <v>11</v>
      </c>
      <c r="T83" t="s">
        <v>13</v>
      </c>
      <c r="U83" t="s">
        <v>75</v>
      </c>
      <c r="V83" t="s">
        <v>12</v>
      </c>
      <c r="X83" t="s">
        <v>4274</v>
      </c>
      <c r="Y83" t="s">
        <v>76</v>
      </c>
      <c r="Z83">
        <v>1</v>
      </c>
    </row>
    <row r="84" spans="1:26">
      <c r="A84" t="s">
        <v>726</v>
      </c>
      <c r="B84" t="s">
        <v>875</v>
      </c>
      <c r="C84" t="s">
        <v>876</v>
      </c>
      <c r="D84" t="s">
        <v>11</v>
      </c>
      <c r="E84" t="s">
        <v>13</v>
      </c>
      <c r="F84" t="s">
        <v>729</v>
      </c>
      <c r="G84" t="s">
        <v>12</v>
      </c>
      <c r="I84" t="s">
        <v>875</v>
      </c>
      <c r="J84" t="s">
        <v>3032</v>
      </c>
      <c r="K84">
        <v>2.068885773473236</v>
      </c>
      <c r="L84">
        <v>0.20443012955085421</v>
      </c>
      <c r="M84">
        <v>26.532785143563508</v>
      </c>
      <c r="N84">
        <v>29.18606365791986</v>
      </c>
      <c r="P84" t="s">
        <v>726</v>
      </c>
      <c r="Q84" t="s">
        <v>4276</v>
      </c>
      <c r="R84" t="s">
        <v>4277</v>
      </c>
      <c r="S84" t="s">
        <v>11</v>
      </c>
      <c r="T84" t="s">
        <v>13</v>
      </c>
      <c r="U84" t="s">
        <v>75</v>
      </c>
      <c r="V84" t="s">
        <v>12</v>
      </c>
      <c r="X84" t="s">
        <v>4276</v>
      </c>
      <c r="Y84" t="s">
        <v>76</v>
      </c>
      <c r="Z84">
        <v>1</v>
      </c>
    </row>
    <row r="85" spans="1:26">
      <c r="A85" t="s">
        <v>726</v>
      </c>
      <c r="B85" t="s">
        <v>877</v>
      </c>
      <c r="C85" t="s">
        <v>878</v>
      </c>
      <c r="D85" t="s">
        <v>11</v>
      </c>
      <c r="E85" t="s">
        <v>13</v>
      </c>
      <c r="F85" t="s">
        <v>729</v>
      </c>
      <c r="G85" t="s">
        <v>12</v>
      </c>
      <c r="I85" t="s">
        <v>877</v>
      </c>
      <c r="J85" t="s">
        <v>3033</v>
      </c>
      <c r="K85">
        <v>12.570325170600274</v>
      </c>
      <c r="L85">
        <v>0.18477466269100201</v>
      </c>
      <c r="M85">
        <v>20.019827036315306</v>
      </c>
      <c r="N85">
        <v>22.021809739946839</v>
      </c>
      <c r="P85" t="s">
        <v>726</v>
      </c>
      <c r="Q85" t="s">
        <v>4278</v>
      </c>
      <c r="R85" t="s">
        <v>4279</v>
      </c>
      <c r="S85" t="s">
        <v>11</v>
      </c>
      <c r="T85" t="s">
        <v>13</v>
      </c>
      <c r="U85" t="s">
        <v>75</v>
      </c>
      <c r="V85" t="s">
        <v>12</v>
      </c>
      <c r="X85" t="s">
        <v>4278</v>
      </c>
      <c r="Y85" t="s">
        <v>76</v>
      </c>
      <c r="Z85">
        <v>1</v>
      </c>
    </row>
    <row r="86" spans="1:26">
      <c r="A86" t="s">
        <v>726</v>
      </c>
      <c r="B86" t="s">
        <v>879</v>
      </c>
      <c r="C86" t="s">
        <v>880</v>
      </c>
      <c r="D86" t="s">
        <v>11</v>
      </c>
      <c r="E86" t="s">
        <v>13</v>
      </c>
      <c r="F86" t="s">
        <v>729</v>
      </c>
      <c r="G86" t="s">
        <v>12</v>
      </c>
      <c r="I86" t="s">
        <v>879</v>
      </c>
      <c r="J86" t="s">
        <v>3034</v>
      </c>
      <c r="K86">
        <v>7.2041472272456648</v>
      </c>
      <c r="L86">
        <v>0.19074612236807281</v>
      </c>
      <c r="M86">
        <v>16.232639729745134</v>
      </c>
      <c r="N86">
        <v>17.855903702719651</v>
      </c>
      <c r="P86" t="s">
        <v>726</v>
      </c>
      <c r="Q86" t="s">
        <v>4280</v>
      </c>
      <c r="R86" t="s">
        <v>4281</v>
      </c>
      <c r="S86" t="s">
        <v>11</v>
      </c>
      <c r="T86" t="s">
        <v>13</v>
      </c>
      <c r="U86" t="s">
        <v>75</v>
      </c>
      <c r="V86" t="s">
        <v>12</v>
      </c>
      <c r="X86" t="s">
        <v>4280</v>
      </c>
      <c r="Y86" t="s">
        <v>76</v>
      </c>
      <c r="Z86">
        <v>1</v>
      </c>
    </row>
    <row r="87" spans="1:26">
      <c r="A87" t="s">
        <v>726</v>
      </c>
      <c r="B87" t="s">
        <v>881</v>
      </c>
      <c r="C87" t="s">
        <v>882</v>
      </c>
      <c r="D87" t="s">
        <v>11</v>
      </c>
      <c r="E87" t="s">
        <v>13</v>
      </c>
      <c r="F87" t="s">
        <v>729</v>
      </c>
      <c r="G87" t="s">
        <v>12</v>
      </c>
      <c r="I87" t="s">
        <v>881</v>
      </c>
      <c r="J87" t="s">
        <v>3035</v>
      </c>
      <c r="K87">
        <v>28.261149537238197</v>
      </c>
      <c r="L87">
        <v>0.2433844163015613</v>
      </c>
      <c r="M87">
        <v>88.137741582036881</v>
      </c>
      <c r="N87">
        <v>96.95151574024058</v>
      </c>
      <c r="P87" t="s">
        <v>726</v>
      </c>
      <c r="Q87" t="s">
        <v>4282</v>
      </c>
      <c r="R87" t="s">
        <v>4283</v>
      </c>
      <c r="S87" t="s">
        <v>11</v>
      </c>
      <c r="T87" t="s">
        <v>13</v>
      </c>
      <c r="U87" t="s">
        <v>75</v>
      </c>
      <c r="V87" t="s">
        <v>12</v>
      </c>
      <c r="X87" t="s">
        <v>4282</v>
      </c>
      <c r="Y87" t="s">
        <v>76</v>
      </c>
      <c r="Z87">
        <v>1</v>
      </c>
    </row>
    <row r="88" spans="1:26">
      <c r="A88" t="s">
        <v>726</v>
      </c>
      <c r="B88" t="s">
        <v>883</v>
      </c>
      <c r="C88" t="s">
        <v>884</v>
      </c>
      <c r="D88" t="s">
        <v>11</v>
      </c>
      <c r="E88" t="s">
        <v>13</v>
      </c>
      <c r="F88" t="s">
        <v>729</v>
      </c>
      <c r="G88" t="s">
        <v>12</v>
      </c>
      <c r="I88" t="s">
        <v>883</v>
      </c>
      <c r="J88" t="s">
        <v>3036</v>
      </c>
      <c r="K88">
        <v>21.970423693461672</v>
      </c>
      <c r="L88">
        <v>0.2314056769925889</v>
      </c>
      <c r="M88">
        <v>65.107237724199919</v>
      </c>
      <c r="N88">
        <v>71.617961496619913</v>
      </c>
      <c r="P88" t="s">
        <v>726</v>
      </c>
      <c r="Q88" t="s">
        <v>4284</v>
      </c>
      <c r="R88" t="s">
        <v>4285</v>
      </c>
      <c r="S88" t="s">
        <v>11</v>
      </c>
      <c r="T88" t="s">
        <v>13</v>
      </c>
      <c r="U88" t="s">
        <v>75</v>
      </c>
      <c r="V88" t="s">
        <v>12</v>
      </c>
      <c r="X88" t="s">
        <v>4284</v>
      </c>
      <c r="Y88" t="s">
        <v>76</v>
      </c>
      <c r="Z88">
        <v>1</v>
      </c>
    </row>
    <row r="89" spans="1:26">
      <c r="A89" t="s">
        <v>726</v>
      </c>
      <c r="B89" t="s">
        <v>885</v>
      </c>
      <c r="C89" t="s">
        <v>886</v>
      </c>
      <c r="D89" t="s">
        <v>11</v>
      </c>
      <c r="E89" t="s">
        <v>13</v>
      </c>
      <c r="F89" t="s">
        <v>729</v>
      </c>
      <c r="G89" t="s">
        <v>12</v>
      </c>
      <c r="I89" t="s">
        <v>885</v>
      </c>
      <c r="J89" t="s">
        <v>3037</v>
      </c>
      <c r="K89">
        <v>41.215191007453988</v>
      </c>
      <c r="L89">
        <v>0.23781116203320099</v>
      </c>
      <c r="M89">
        <v>110.17167167896058</v>
      </c>
      <c r="N89">
        <v>121.18883884685664</v>
      </c>
      <c r="P89" t="s">
        <v>726</v>
      </c>
      <c r="Q89" t="s">
        <v>4286</v>
      </c>
      <c r="R89" t="s">
        <v>4287</v>
      </c>
      <c r="S89" t="s">
        <v>11</v>
      </c>
      <c r="T89" t="s">
        <v>13</v>
      </c>
      <c r="U89" t="s">
        <v>75</v>
      </c>
      <c r="V89" t="s">
        <v>12</v>
      </c>
      <c r="X89" t="s">
        <v>4286</v>
      </c>
      <c r="Y89" t="s">
        <v>76</v>
      </c>
      <c r="Z89">
        <v>1</v>
      </c>
    </row>
    <row r="90" spans="1:26">
      <c r="A90" t="s">
        <v>726</v>
      </c>
      <c r="B90" t="s">
        <v>887</v>
      </c>
      <c r="C90" t="s">
        <v>888</v>
      </c>
      <c r="D90" t="s">
        <v>11</v>
      </c>
      <c r="E90" t="s">
        <v>13</v>
      </c>
      <c r="F90" t="s">
        <v>729</v>
      </c>
      <c r="G90" t="s">
        <v>12</v>
      </c>
      <c r="I90" t="s">
        <v>887</v>
      </c>
      <c r="J90" t="s">
        <v>3038</v>
      </c>
      <c r="K90">
        <v>24.484852615220376</v>
      </c>
      <c r="L90">
        <v>0.23558203015338749</v>
      </c>
      <c r="M90">
        <v>96.263410091639642</v>
      </c>
      <c r="N90">
        <v>105.88975110080362</v>
      </c>
      <c r="P90" t="s">
        <v>726</v>
      </c>
      <c r="Q90" t="s">
        <v>4288</v>
      </c>
      <c r="R90" t="s">
        <v>4289</v>
      </c>
      <c r="S90" t="s">
        <v>11</v>
      </c>
      <c r="T90" t="s">
        <v>13</v>
      </c>
      <c r="U90" t="s">
        <v>75</v>
      </c>
      <c r="V90" t="s">
        <v>12</v>
      </c>
      <c r="X90" t="s">
        <v>4288</v>
      </c>
      <c r="Y90" t="s">
        <v>76</v>
      </c>
      <c r="Z90">
        <v>1</v>
      </c>
    </row>
    <row r="91" spans="1:26">
      <c r="A91" t="s">
        <v>726</v>
      </c>
      <c r="B91" t="s">
        <v>889</v>
      </c>
      <c r="C91" t="s">
        <v>890</v>
      </c>
      <c r="D91" t="s">
        <v>11</v>
      </c>
      <c r="E91" t="s">
        <v>13</v>
      </c>
      <c r="F91" t="s">
        <v>729</v>
      </c>
      <c r="G91" t="s">
        <v>12</v>
      </c>
      <c r="I91" t="s">
        <v>889</v>
      </c>
      <c r="J91" t="s">
        <v>3039</v>
      </c>
      <c r="K91">
        <v>27.971835625256109</v>
      </c>
      <c r="L91">
        <v>0.24005023903531289</v>
      </c>
      <c r="M91">
        <v>82.835330774764515</v>
      </c>
      <c r="N91">
        <v>91.118863852240978</v>
      </c>
      <c r="P91" t="s">
        <v>726</v>
      </c>
      <c r="Q91" t="s">
        <v>4290</v>
      </c>
      <c r="R91" t="s">
        <v>4291</v>
      </c>
      <c r="S91" t="s">
        <v>11</v>
      </c>
      <c r="T91" t="s">
        <v>13</v>
      </c>
      <c r="U91" t="s">
        <v>75</v>
      </c>
      <c r="V91" t="s">
        <v>12</v>
      </c>
      <c r="X91" t="s">
        <v>4290</v>
      </c>
      <c r="Y91" t="s">
        <v>76</v>
      </c>
      <c r="Z91">
        <v>1</v>
      </c>
    </row>
    <row r="92" spans="1:26">
      <c r="A92" t="s">
        <v>726</v>
      </c>
      <c r="B92" t="s">
        <v>891</v>
      </c>
      <c r="C92" t="s">
        <v>892</v>
      </c>
      <c r="D92" t="s">
        <v>11</v>
      </c>
      <c r="E92" t="s">
        <v>13</v>
      </c>
      <c r="F92" t="s">
        <v>729</v>
      </c>
      <c r="G92" t="s">
        <v>12</v>
      </c>
      <c r="I92" t="s">
        <v>891</v>
      </c>
      <c r="J92" t="s">
        <v>3040</v>
      </c>
      <c r="K92">
        <v>16.858769461895768</v>
      </c>
      <c r="L92">
        <v>0.24984302382600901</v>
      </c>
      <c r="M92">
        <v>61.335351593577151</v>
      </c>
      <c r="N92">
        <v>67.468886752934878</v>
      </c>
      <c r="P92" t="s">
        <v>726</v>
      </c>
      <c r="Q92" t="s">
        <v>4292</v>
      </c>
      <c r="R92" t="s">
        <v>4293</v>
      </c>
      <c r="S92" t="s">
        <v>11</v>
      </c>
      <c r="T92" t="s">
        <v>13</v>
      </c>
      <c r="U92" t="s">
        <v>75</v>
      </c>
      <c r="V92" t="s">
        <v>12</v>
      </c>
      <c r="X92" t="s">
        <v>4292</v>
      </c>
      <c r="Y92" t="s">
        <v>76</v>
      </c>
      <c r="Z92">
        <v>1</v>
      </c>
    </row>
    <row r="93" spans="1:26">
      <c r="A93" t="s">
        <v>726</v>
      </c>
      <c r="B93" t="s">
        <v>893</v>
      </c>
      <c r="C93" t="s">
        <v>894</v>
      </c>
      <c r="D93" t="s">
        <v>11</v>
      </c>
      <c r="E93" t="s">
        <v>13</v>
      </c>
      <c r="F93" t="s">
        <v>729</v>
      </c>
      <c r="G93" t="s">
        <v>12</v>
      </c>
      <c r="I93" t="s">
        <v>893</v>
      </c>
      <c r="J93" t="s">
        <v>3041</v>
      </c>
      <c r="K93">
        <v>43.979038344623007</v>
      </c>
      <c r="L93">
        <v>0.2534277521706394</v>
      </c>
      <c r="M93">
        <v>111.95135886474932</v>
      </c>
      <c r="N93">
        <v>123.14649475122427</v>
      </c>
      <c r="P93" t="s">
        <v>726</v>
      </c>
      <c r="Q93" t="s">
        <v>4294</v>
      </c>
      <c r="R93" t="s">
        <v>4295</v>
      </c>
      <c r="S93" t="s">
        <v>11</v>
      </c>
      <c r="T93" t="s">
        <v>13</v>
      </c>
      <c r="U93" t="s">
        <v>75</v>
      </c>
      <c r="V93" t="s">
        <v>12</v>
      </c>
      <c r="X93" t="s">
        <v>4294</v>
      </c>
      <c r="Y93" t="s">
        <v>76</v>
      </c>
      <c r="Z93">
        <v>1</v>
      </c>
    </row>
    <row r="94" spans="1:26">
      <c r="A94" t="s">
        <v>726</v>
      </c>
      <c r="B94" t="s">
        <v>895</v>
      </c>
      <c r="C94" t="s">
        <v>896</v>
      </c>
      <c r="D94" t="s">
        <v>11</v>
      </c>
      <c r="E94" t="s">
        <v>13</v>
      </c>
      <c r="F94" t="s">
        <v>729</v>
      </c>
      <c r="G94" t="s">
        <v>12</v>
      </c>
      <c r="I94" t="s">
        <v>895</v>
      </c>
      <c r="J94" t="s">
        <v>3042</v>
      </c>
      <c r="K94">
        <v>32.138793572128144</v>
      </c>
      <c r="L94">
        <v>0.19463199734156619</v>
      </c>
      <c r="M94">
        <v>93.625706579620555</v>
      </c>
      <c r="N94">
        <v>102.98827723758262</v>
      </c>
      <c r="P94" t="s">
        <v>726</v>
      </c>
      <c r="Q94" t="s">
        <v>4296</v>
      </c>
      <c r="R94" t="s">
        <v>4297</v>
      </c>
      <c r="S94" t="s">
        <v>11</v>
      </c>
      <c r="T94" t="s">
        <v>13</v>
      </c>
      <c r="U94" t="s">
        <v>75</v>
      </c>
      <c r="V94" t="s">
        <v>12</v>
      </c>
      <c r="X94" t="s">
        <v>4296</v>
      </c>
      <c r="Y94" t="s">
        <v>76</v>
      </c>
      <c r="Z94">
        <v>1</v>
      </c>
    </row>
    <row r="95" spans="1:26">
      <c r="A95" t="s">
        <v>726</v>
      </c>
      <c r="B95" t="s">
        <v>897</v>
      </c>
      <c r="C95" t="s">
        <v>898</v>
      </c>
      <c r="D95" t="s">
        <v>11</v>
      </c>
      <c r="E95" t="s">
        <v>13</v>
      </c>
      <c r="F95" t="s">
        <v>729</v>
      </c>
      <c r="G95" t="s">
        <v>12</v>
      </c>
      <c r="I95" t="s">
        <v>897</v>
      </c>
      <c r="J95" t="s">
        <v>3043</v>
      </c>
      <c r="K95">
        <v>41.968899166142521</v>
      </c>
      <c r="L95">
        <v>0.1934990454324754</v>
      </c>
      <c r="M95">
        <v>63.53344461060275</v>
      </c>
      <c r="N95">
        <v>69.886789071663031</v>
      </c>
      <c r="P95" t="s">
        <v>726</v>
      </c>
      <c r="Q95" t="s">
        <v>4298</v>
      </c>
      <c r="R95" t="s">
        <v>4299</v>
      </c>
      <c r="S95" t="s">
        <v>11</v>
      </c>
      <c r="T95" t="s">
        <v>13</v>
      </c>
      <c r="U95" t="s">
        <v>75</v>
      </c>
      <c r="V95" t="s">
        <v>12</v>
      </c>
      <c r="X95" t="s">
        <v>4298</v>
      </c>
      <c r="Y95" t="s">
        <v>76</v>
      </c>
      <c r="Z95">
        <v>1</v>
      </c>
    </row>
    <row r="96" spans="1:26">
      <c r="A96" t="s">
        <v>726</v>
      </c>
      <c r="B96" t="s">
        <v>899</v>
      </c>
      <c r="C96" t="s">
        <v>900</v>
      </c>
      <c r="D96" t="s">
        <v>11</v>
      </c>
      <c r="E96" t="s">
        <v>13</v>
      </c>
      <c r="F96" t="s">
        <v>729</v>
      </c>
      <c r="G96" t="s">
        <v>12</v>
      </c>
      <c r="I96" t="s">
        <v>899</v>
      </c>
      <c r="J96" t="s">
        <v>3044</v>
      </c>
      <c r="K96">
        <v>89.481120473255899</v>
      </c>
      <c r="L96">
        <v>0.19115674798318991</v>
      </c>
      <c r="M96">
        <v>68.36827884565912</v>
      </c>
      <c r="N96">
        <v>75.20510673022504</v>
      </c>
      <c r="P96" t="s">
        <v>726</v>
      </c>
      <c r="Q96" t="s">
        <v>4300</v>
      </c>
      <c r="R96" t="s">
        <v>4301</v>
      </c>
      <c r="S96" t="s">
        <v>11</v>
      </c>
      <c r="T96" t="s">
        <v>13</v>
      </c>
      <c r="U96" t="s">
        <v>75</v>
      </c>
      <c r="V96" t="s">
        <v>12</v>
      </c>
      <c r="X96" t="s">
        <v>4300</v>
      </c>
      <c r="Y96" t="s">
        <v>76</v>
      </c>
      <c r="Z96">
        <v>1</v>
      </c>
    </row>
    <row r="97" spans="1:26">
      <c r="A97" t="s">
        <v>726</v>
      </c>
      <c r="B97" t="s">
        <v>901</v>
      </c>
      <c r="C97" t="s">
        <v>902</v>
      </c>
      <c r="D97" t="s">
        <v>11</v>
      </c>
      <c r="E97" t="s">
        <v>13</v>
      </c>
      <c r="F97" t="s">
        <v>729</v>
      </c>
      <c r="G97" t="s">
        <v>12</v>
      </c>
      <c r="I97" t="s">
        <v>901</v>
      </c>
      <c r="J97" t="s">
        <v>3045</v>
      </c>
      <c r="K97">
        <v>54.595363469339965</v>
      </c>
      <c r="L97">
        <v>0.1954014374555304</v>
      </c>
      <c r="M97">
        <v>55.63594913220286</v>
      </c>
      <c r="N97">
        <v>61.199544045423153</v>
      </c>
      <c r="P97" t="s">
        <v>726</v>
      </c>
      <c r="Q97" t="s">
        <v>4302</v>
      </c>
      <c r="R97" t="s">
        <v>4303</v>
      </c>
      <c r="S97" t="s">
        <v>11</v>
      </c>
      <c r="T97" t="s">
        <v>13</v>
      </c>
      <c r="U97" t="s">
        <v>75</v>
      </c>
      <c r="V97" t="s">
        <v>12</v>
      </c>
      <c r="X97" t="s">
        <v>4302</v>
      </c>
      <c r="Y97" t="s">
        <v>76</v>
      </c>
      <c r="Z97">
        <v>1</v>
      </c>
    </row>
    <row r="98" spans="1:26">
      <c r="A98" t="s">
        <v>726</v>
      </c>
      <c r="B98" t="s">
        <v>903</v>
      </c>
      <c r="C98" t="s">
        <v>904</v>
      </c>
      <c r="D98" t="s">
        <v>11</v>
      </c>
      <c r="E98" t="s">
        <v>13</v>
      </c>
      <c r="F98" t="s">
        <v>729</v>
      </c>
      <c r="G98" t="s">
        <v>12</v>
      </c>
      <c r="I98" t="s">
        <v>903</v>
      </c>
      <c r="J98" t="s">
        <v>3046</v>
      </c>
      <c r="K98">
        <v>76.060567986491122</v>
      </c>
      <c r="L98">
        <v>0.18760743696090429</v>
      </c>
      <c r="M98">
        <v>49.660587383793441</v>
      </c>
      <c r="N98">
        <v>54.626646122172787</v>
      </c>
      <c r="P98" t="s">
        <v>726</v>
      </c>
      <c r="Q98" t="s">
        <v>4304</v>
      </c>
      <c r="R98" t="s">
        <v>4305</v>
      </c>
      <c r="S98" t="s">
        <v>11</v>
      </c>
      <c r="T98" t="s">
        <v>13</v>
      </c>
      <c r="U98" t="s">
        <v>75</v>
      </c>
      <c r="V98" t="s">
        <v>12</v>
      </c>
      <c r="X98" t="s">
        <v>4304</v>
      </c>
      <c r="Y98" t="s">
        <v>76</v>
      </c>
      <c r="Z98">
        <v>1</v>
      </c>
    </row>
    <row r="99" spans="1:26">
      <c r="A99" t="s">
        <v>726</v>
      </c>
      <c r="B99" t="s">
        <v>905</v>
      </c>
      <c r="C99" t="s">
        <v>906</v>
      </c>
      <c r="D99" t="s">
        <v>11</v>
      </c>
      <c r="E99" t="s">
        <v>13</v>
      </c>
      <c r="F99" t="s">
        <v>729</v>
      </c>
      <c r="G99" t="s">
        <v>12</v>
      </c>
      <c r="I99" t="s">
        <v>905</v>
      </c>
      <c r="J99" t="s">
        <v>3047</v>
      </c>
      <c r="K99">
        <v>7.9638908532764461</v>
      </c>
      <c r="L99">
        <v>0.19344723378734971</v>
      </c>
      <c r="M99">
        <v>50.29592476550431</v>
      </c>
      <c r="N99">
        <v>55.325517242054744</v>
      </c>
      <c r="P99" t="s">
        <v>726</v>
      </c>
      <c r="Q99" t="s">
        <v>4306</v>
      </c>
      <c r="R99" t="s">
        <v>4307</v>
      </c>
      <c r="S99" t="s">
        <v>11</v>
      </c>
      <c r="T99" t="s">
        <v>13</v>
      </c>
      <c r="U99" t="s">
        <v>75</v>
      </c>
      <c r="V99" t="s">
        <v>12</v>
      </c>
      <c r="X99" t="s">
        <v>4306</v>
      </c>
      <c r="Y99" t="s">
        <v>76</v>
      </c>
      <c r="Z99">
        <v>1</v>
      </c>
    </row>
    <row r="100" spans="1:26">
      <c r="A100" t="s">
        <v>726</v>
      </c>
      <c r="B100" t="s">
        <v>907</v>
      </c>
      <c r="C100" t="s">
        <v>908</v>
      </c>
      <c r="D100" t="s">
        <v>11</v>
      </c>
      <c r="E100" t="s">
        <v>13</v>
      </c>
      <c r="F100" t="s">
        <v>729</v>
      </c>
      <c r="G100" t="s">
        <v>12</v>
      </c>
      <c r="I100" t="s">
        <v>907</v>
      </c>
      <c r="J100" t="s">
        <v>3048</v>
      </c>
      <c r="K100">
        <v>12.282920644697059</v>
      </c>
      <c r="L100">
        <v>0.1919863285465698</v>
      </c>
      <c r="M100">
        <v>49.795077957400977</v>
      </c>
      <c r="N100">
        <v>54.774585753141082</v>
      </c>
      <c r="P100" t="s">
        <v>726</v>
      </c>
      <c r="Q100" t="s">
        <v>4308</v>
      </c>
      <c r="R100" t="s">
        <v>4309</v>
      </c>
      <c r="S100" t="s">
        <v>11</v>
      </c>
      <c r="T100" t="s">
        <v>13</v>
      </c>
      <c r="U100" t="s">
        <v>75</v>
      </c>
      <c r="V100" t="s">
        <v>12</v>
      </c>
      <c r="X100" t="s">
        <v>4308</v>
      </c>
      <c r="Y100" t="s">
        <v>76</v>
      </c>
      <c r="Z100">
        <v>1</v>
      </c>
    </row>
    <row r="101" spans="1:26">
      <c r="A101" t="s">
        <v>726</v>
      </c>
      <c r="B101" t="s">
        <v>909</v>
      </c>
      <c r="C101" t="s">
        <v>910</v>
      </c>
      <c r="D101" t="s">
        <v>11</v>
      </c>
      <c r="E101" t="s">
        <v>13</v>
      </c>
      <c r="F101" t="s">
        <v>729</v>
      </c>
      <c r="G101" t="s">
        <v>12</v>
      </c>
      <c r="I101" t="s">
        <v>909</v>
      </c>
      <c r="J101" t="s">
        <v>3049</v>
      </c>
      <c r="K101">
        <v>1.2188912036165425</v>
      </c>
      <c r="L101">
        <v>0.20225203058314931</v>
      </c>
      <c r="M101">
        <v>26.950650479067598</v>
      </c>
      <c r="N101">
        <v>29.64571552697436</v>
      </c>
      <c r="P101" t="s">
        <v>726</v>
      </c>
      <c r="Q101" t="s">
        <v>4310</v>
      </c>
      <c r="R101" t="s">
        <v>4311</v>
      </c>
      <c r="S101" t="s">
        <v>11</v>
      </c>
      <c r="T101" t="s">
        <v>13</v>
      </c>
      <c r="U101" t="s">
        <v>75</v>
      </c>
      <c r="V101" t="s">
        <v>12</v>
      </c>
      <c r="X101" t="s">
        <v>4310</v>
      </c>
      <c r="Y101" t="s">
        <v>76</v>
      </c>
      <c r="Z101">
        <v>1</v>
      </c>
    </row>
    <row r="102" spans="1:26">
      <c r="A102" t="s">
        <v>726</v>
      </c>
      <c r="B102" t="s">
        <v>911</v>
      </c>
      <c r="C102" t="s">
        <v>912</v>
      </c>
      <c r="D102" t="s">
        <v>11</v>
      </c>
      <c r="E102" t="s">
        <v>13</v>
      </c>
      <c r="F102" t="s">
        <v>729</v>
      </c>
      <c r="G102" t="s">
        <v>12</v>
      </c>
      <c r="I102" t="s">
        <v>911</v>
      </c>
      <c r="J102" t="s">
        <v>3050</v>
      </c>
      <c r="K102">
        <v>2.4674706962103468</v>
      </c>
      <c r="L102">
        <v>0.19895716580781581</v>
      </c>
      <c r="M102">
        <v>36.180729786303139</v>
      </c>
      <c r="N102">
        <v>39.798802764933455</v>
      </c>
      <c r="P102" t="s">
        <v>726</v>
      </c>
      <c r="Q102" t="s">
        <v>4312</v>
      </c>
      <c r="R102" t="s">
        <v>4313</v>
      </c>
      <c r="S102" t="s">
        <v>11</v>
      </c>
      <c r="T102" t="s">
        <v>13</v>
      </c>
      <c r="U102" t="s">
        <v>75</v>
      </c>
      <c r="V102" t="s">
        <v>12</v>
      </c>
      <c r="X102" t="s">
        <v>4312</v>
      </c>
      <c r="Y102" t="s">
        <v>76</v>
      </c>
      <c r="Z102">
        <v>1</v>
      </c>
    </row>
    <row r="103" spans="1:26">
      <c r="A103" t="s">
        <v>726</v>
      </c>
      <c r="B103" t="s">
        <v>913</v>
      </c>
      <c r="C103" t="s">
        <v>914</v>
      </c>
      <c r="D103" t="s">
        <v>11</v>
      </c>
      <c r="E103" t="s">
        <v>13</v>
      </c>
      <c r="F103" t="s">
        <v>729</v>
      </c>
      <c r="G103" t="s">
        <v>12</v>
      </c>
      <c r="I103" t="s">
        <v>913</v>
      </c>
      <c r="J103" t="s">
        <v>3051</v>
      </c>
      <c r="K103">
        <v>2.7361688054038376</v>
      </c>
      <c r="L103">
        <v>0.1849781465626493</v>
      </c>
      <c r="M103">
        <v>67.40737243710899</v>
      </c>
      <c r="N103">
        <v>74.1481096808199</v>
      </c>
      <c r="P103" t="s">
        <v>726</v>
      </c>
      <c r="Q103" t="s">
        <v>4314</v>
      </c>
      <c r="R103" t="s">
        <v>4315</v>
      </c>
      <c r="S103" t="s">
        <v>11</v>
      </c>
      <c r="T103" t="s">
        <v>13</v>
      </c>
      <c r="U103" t="s">
        <v>75</v>
      </c>
      <c r="V103" t="s">
        <v>12</v>
      </c>
      <c r="X103" t="s">
        <v>4314</v>
      </c>
      <c r="Y103" t="s">
        <v>76</v>
      </c>
      <c r="Z103">
        <v>1</v>
      </c>
    </row>
    <row r="104" spans="1:26">
      <c r="A104" t="s">
        <v>726</v>
      </c>
      <c r="B104" t="s">
        <v>915</v>
      </c>
      <c r="C104" t="s">
        <v>916</v>
      </c>
      <c r="D104" t="s">
        <v>11</v>
      </c>
      <c r="E104" t="s">
        <v>13</v>
      </c>
      <c r="F104" t="s">
        <v>729</v>
      </c>
      <c r="G104" t="s">
        <v>12</v>
      </c>
      <c r="I104" t="s">
        <v>915</v>
      </c>
      <c r="J104" t="s">
        <v>3052</v>
      </c>
      <c r="K104">
        <v>5.4634229221116888</v>
      </c>
      <c r="L104">
        <v>0.19130911129198119</v>
      </c>
      <c r="M104">
        <v>29.114217819609383</v>
      </c>
      <c r="N104">
        <v>32.025639601570326</v>
      </c>
      <c r="P104" t="s">
        <v>726</v>
      </c>
      <c r="Q104" t="s">
        <v>4316</v>
      </c>
      <c r="R104" t="s">
        <v>4317</v>
      </c>
      <c r="S104" t="s">
        <v>11</v>
      </c>
      <c r="T104" t="s">
        <v>13</v>
      </c>
      <c r="U104" t="s">
        <v>75</v>
      </c>
      <c r="V104" t="s">
        <v>12</v>
      </c>
      <c r="X104" t="s">
        <v>4316</v>
      </c>
      <c r="Y104" t="s">
        <v>76</v>
      </c>
      <c r="Z104">
        <v>1</v>
      </c>
    </row>
    <row r="105" spans="1:26">
      <c r="A105" t="s">
        <v>726</v>
      </c>
      <c r="B105" t="s">
        <v>917</v>
      </c>
      <c r="C105" t="s">
        <v>918</v>
      </c>
      <c r="D105" t="s">
        <v>11</v>
      </c>
      <c r="E105" t="s">
        <v>13</v>
      </c>
      <c r="F105" t="s">
        <v>729</v>
      </c>
      <c r="G105" t="s">
        <v>12</v>
      </c>
      <c r="I105" t="s">
        <v>917</v>
      </c>
      <c r="J105" t="s">
        <v>3053</v>
      </c>
      <c r="K105">
        <v>9.8162835197622691</v>
      </c>
      <c r="L105">
        <v>0.16829760639321939</v>
      </c>
      <c r="M105">
        <v>29.317164998470524</v>
      </c>
      <c r="N105">
        <v>32.24888149831758</v>
      </c>
      <c r="P105" t="s">
        <v>726</v>
      </c>
      <c r="Q105" t="s">
        <v>4318</v>
      </c>
      <c r="R105" t="s">
        <v>4319</v>
      </c>
      <c r="S105" t="s">
        <v>11</v>
      </c>
      <c r="T105" t="s">
        <v>13</v>
      </c>
      <c r="U105" t="s">
        <v>75</v>
      </c>
      <c r="V105" t="s">
        <v>12</v>
      </c>
      <c r="X105" t="s">
        <v>4318</v>
      </c>
      <c r="Y105" t="s">
        <v>76</v>
      </c>
      <c r="Z105">
        <v>1</v>
      </c>
    </row>
    <row r="106" spans="1:26">
      <c r="A106" t="s">
        <v>726</v>
      </c>
      <c r="B106" t="s">
        <v>919</v>
      </c>
      <c r="C106" t="s">
        <v>920</v>
      </c>
      <c r="D106" t="s">
        <v>11</v>
      </c>
      <c r="E106" t="s">
        <v>13</v>
      </c>
      <c r="F106" t="s">
        <v>729</v>
      </c>
      <c r="G106" t="s">
        <v>12</v>
      </c>
      <c r="I106" t="s">
        <v>919</v>
      </c>
      <c r="J106" t="s">
        <v>3054</v>
      </c>
      <c r="K106">
        <v>2.3145426424650379</v>
      </c>
      <c r="L106">
        <v>0.17883851394931591</v>
      </c>
      <c r="M106">
        <v>36.80633153146011</v>
      </c>
      <c r="N106">
        <v>40.486964684606122</v>
      </c>
      <c r="P106" t="s">
        <v>726</v>
      </c>
      <c r="Q106" t="s">
        <v>4320</v>
      </c>
      <c r="R106" t="s">
        <v>4321</v>
      </c>
      <c r="S106" t="s">
        <v>11</v>
      </c>
      <c r="T106" t="s">
        <v>13</v>
      </c>
      <c r="U106" t="s">
        <v>75</v>
      </c>
      <c r="V106" t="s">
        <v>12</v>
      </c>
      <c r="X106" t="s">
        <v>4320</v>
      </c>
      <c r="Y106" t="s">
        <v>76</v>
      </c>
      <c r="Z106">
        <v>1</v>
      </c>
    </row>
    <row r="107" spans="1:26">
      <c r="A107" t="s">
        <v>726</v>
      </c>
      <c r="B107" t="s">
        <v>921</v>
      </c>
      <c r="C107" t="s">
        <v>922</v>
      </c>
      <c r="D107" t="s">
        <v>11</v>
      </c>
      <c r="E107" t="s">
        <v>13</v>
      </c>
      <c r="F107" t="s">
        <v>729</v>
      </c>
      <c r="G107" t="s">
        <v>12</v>
      </c>
      <c r="I107" t="s">
        <v>921</v>
      </c>
      <c r="J107" t="s">
        <v>3055</v>
      </c>
      <c r="K107">
        <v>11.067384771476277</v>
      </c>
      <c r="L107">
        <v>0.17292242197364149</v>
      </c>
      <c r="M107">
        <v>20.687487775002523</v>
      </c>
      <c r="N107">
        <v>22.756236552502777</v>
      </c>
      <c r="P107" t="s">
        <v>726</v>
      </c>
      <c r="Q107" t="s">
        <v>4322</v>
      </c>
      <c r="R107" t="s">
        <v>4323</v>
      </c>
      <c r="S107" t="s">
        <v>11</v>
      </c>
      <c r="T107" t="s">
        <v>13</v>
      </c>
      <c r="U107" t="s">
        <v>75</v>
      </c>
      <c r="V107" t="s">
        <v>12</v>
      </c>
      <c r="X107" t="s">
        <v>4322</v>
      </c>
      <c r="Y107" t="s">
        <v>76</v>
      </c>
      <c r="Z107">
        <v>1</v>
      </c>
    </row>
    <row r="108" spans="1:26">
      <c r="A108" t="s">
        <v>726</v>
      </c>
      <c r="B108" t="s">
        <v>923</v>
      </c>
      <c r="C108" t="s">
        <v>924</v>
      </c>
      <c r="D108" t="s">
        <v>11</v>
      </c>
      <c r="E108" t="s">
        <v>13</v>
      </c>
      <c r="F108" t="s">
        <v>729</v>
      </c>
      <c r="G108" t="s">
        <v>12</v>
      </c>
      <c r="I108" t="s">
        <v>923</v>
      </c>
      <c r="J108" t="s">
        <v>3056</v>
      </c>
      <c r="K108">
        <v>8.2001220776860642</v>
      </c>
      <c r="L108">
        <v>0.1403407542838494</v>
      </c>
      <c r="M108">
        <v>78.983841831464872</v>
      </c>
      <c r="N108">
        <v>86.882226014611362</v>
      </c>
      <c r="P108" t="s">
        <v>726</v>
      </c>
      <c r="Q108" t="s">
        <v>4324</v>
      </c>
      <c r="R108" t="s">
        <v>4325</v>
      </c>
      <c r="S108" t="s">
        <v>11</v>
      </c>
      <c r="T108" t="s">
        <v>13</v>
      </c>
      <c r="U108" t="s">
        <v>75</v>
      </c>
      <c r="V108" t="s">
        <v>12</v>
      </c>
      <c r="X108" t="s">
        <v>4324</v>
      </c>
      <c r="Y108" t="s">
        <v>76</v>
      </c>
      <c r="Z108">
        <v>1</v>
      </c>
    </row>
    <row r="109" spans="1:26">
      <c r="A109" t="s">
        <v>726</v>
      </c>
      <c r="B109" t="s">
        <v>925</v>
      </c>
      <c r="C109" t="s">
        <v>926</v>
      </c>
      <c r="D109" t="s">
        <v>11</v>
      </c>
      <c r="E109" t="s">
        <v>13</v>
      </c>
      <c r="F109" t="s">
        <v>729</v>
      </c>
      <c r="G109" t="s">
        <v>12</v>
      </c>
      <c r="I109" t="s">
        <v>925</v>
      </c>
      <c r="J109" t="s">
        <v>3057</v>
      </c>
      <c r="K109">
        <v>5.0896712652977634</v>
      </c>
      <c r="L109">
        <v>0.1390505959761453</v>
      </c>
      <c r="M109">
        <v>59.554928451261283</v>
      </c>
      <c r="N109">
        <v>65.51042129638742</v>
      </c>
      <c r="P109" t="s">
        <v>726</v>
      </c>
      <c r="Q109" t="s">
        <v>4326</v>
      </c>
      <c r="R109" t="s">
        <v>4327</v>
      </c>
      <c r="S109" t="s">
        <v>11</v>
      </c>
      <c r="T109" t="s">
        <v>13</v>
      </c>
      <c r="U109" t="s">
        <v>75</v>
      </c>
      <c r="V109" t="s">
        <v>12</v>
      </c>
      <c r="X109" t="s">
        <v>4326</v>
      </c>
      <c r="Y109" t="s">
        <v>76</v>
      </c>
      <c r="Z109">
        <v>1</v>
      </c>
    </row>
    <row r="110" spans="1:26">
      <c r="A110" t="s">
        <v>726</v>
      </c>
      <c r="B110" t="s">
        <v>927</v>
      </c>
      <c r="C110" t="s">
        <v>928</v>
      </c>
      <c r="D110" t="s">
        <v>11</v>
      </c>
      <c r="E110" t="s">
        <v>13</v>
      </c>
      <c r="F110" t="s">
        <v>729</v>
      </c>
      <c r="G110" t="s">
        <v>12</v>
      </c>
      <c r="I110" t="s">
        <v>927</v>
      </c>
      <c r="J110" t="s">
        <v>3058</v>
      </c>
      <c r="K110">
        <v>4.11598694581141</v>
      </c>
      <c r="L110">
        <v>0.1379421085203886</v>
      </c>
      <c r="M110">
        <v>141.87088953760536</v>
      </c>
      <c r="N110">
        <v>156.0579784913659</v>
      </c>
      <c r="P110" t="s">
        <v>726</v>
      </c>
      <c r="Q110" t="s">
        <v>4328</v>
      </c>
      <c r="R110" t="s">
        <v>4329</v>
      </c>
      <c r="S110" t="s">
        <v>11</v>
      </c>
      <c r="T110" t="s">
        <v>13</v>
      </c>
      <c r="U110" t="s">
        <v>75</v>
      </c>
      <c r="V110" t="s">
        <v>12</v>
      </c>
      <c r="X110" t="s">
        <v>4328</v>
      </c>
      <c r="Y110" t="s">
        <v>76</v>
      </c>
      <c r="Z110">
        <v>1</v>
      </c>
    </row>
    <row r="111" spans="1:26">
      <c r="A111" t="s">
        <v>726</v>
      </c>
      <c r="B111" t="s">
        <v>929</v>
      </c>
      <c r="C111" t="s">
        <v>930</v>
      </c>
      <c r="D111" t="s">
        <v>11</v>
      </c>
      <c r="E111" t="s">
        <v>13</v>
      </c>
      <c r="F111" t="s">
        <v>729</v>
      </c>
      <c r="G111" t="s">
        <v>12</v>
      </c>
      <c r="I111" t="s">
        <v>929</v>
      </c>
      <c r="J111" t="s">
        <v>3059</v>
      </c>
      <c r="K111">
        <v>9.6772640170018498</v>
      </c>
      <c r="L111">
        <v>0.13885620349948749</v>
      </c>
      <c r="M111">
        <v>79.586983604837712</v>
      </c>
      <c r="N111">
        <v>87.545681965321492</v>
      </c>
      <c r="P111" t="s">
        <v>726</v>
      </c>
      <c r="Q111" t="s">
        <v>4330</v>
      </c>
      <c r="R111" t="s">
        <v>4331</v>
      </c>
      <c r="S111" t="s">
        <v>11</v>
      </c>
      <c r="T111" t="s">
        <v>13</v>
      </c>
      <c r="U111" t="s">
        <v>75</v>
      </c>
      <c r="V111" t="s">
        <v>12</v>
      </c>
      <c r="X111" t="s">
        <v>4330</v>
      </c>
      <c r="Y111" t="s">
        <v>76</v>
      </c>
      <c r="Z111">
        <v>1</v>
      </c>
    </row>
    <row r="112" spans="1:26">
      <c r="A112" t="s">
        <v>726</v>
      </c>
      <c r="B112" t="s">
        <v>931</v>
      </c>
      <c r="C112" t="s">
        <v>932</v>
      </c>
      <c r="D112" t="s">
        <v>11</v>
      </c>
      <c r="E112" t="s">
        <v>13</v>
      </c>
      <c r="F112" t="s">
        <v>729</v>
      </c>
      <c r="G112" t="s">
        <v>12</v>
      </c>
      <c r="I112" t="s">
        <v>931</v>
      </c>
      <c r="J112" t="s">
        <v>3060</v>
      </c>
      <c r="K112">
        <v>19.739515024114851</v>
      </c>
      <c r="L112">
        <v>0.14135826312915381</v>
      </c>
      <c r="M112">
        <v>92.889256210604273</v>
      </c>
      <c r="N112">
        <v>102.1781818316647</v>
      </c>
      <c r="P112" t="s">
        <v>726</v>
      </c>
      <c r="Q112" t="s">
        <v>4332</v>
      </c>
      <c r="R112" t="s">
        <v>4333</v>
      </c>
      <c r="S112" t="s">
        <v>11</v>
      </c>
      <c r="T112" t="s">
        <v>13</v>
      </c>
      <c r="U112" t="s">
        <v>75</v>
      </c>
      <c r="V112" t="s">
        <v>12</v>
      </c>
      <c r="X112" t="s">
        <v>4332</v>
      </c>
      <c r="Y112" t="s">
        <v>76</v>
      </c>
      <c r="Z112">
        <v>1</v>
      </c>
    </row>
    <row r="113" spans="1:26">
      <c r="A113" t="s">
        <v>726</v>
      </c>
      <c r="B113" t="s">
        <v>933</v>
      </c>
      <c r="C113" t="s">
        <v>934</v>
      </c>
      <c r="D113" t="s">
        <v>11</v>
      </c>
      <c r="E113" t="s">
        <v>13</v>
      </c>
      <c r="F113" t="s">
        <v>729</v>
      </c>
      <c r="G113" t="s">
        <v>12</v>
      </c>
      <c r="I113" t="s">
        <v>933</v>
      </c>
      <c r="J113" t="s">
        <v>3061</v>
      </c>
      <c r="K113">
        <v>17.142530754893755</v>
      </c>
      <c r="L113">
        <v>0.14267968986642221</v>
      </c>
      <c r="M113">
        <v>59.749292704606859</v>
      </c>
      <c r="N113">
        <v>65.72422197506755</v>
      </c>
      <c r="P113" t="s">
        <v>726</v>
      </c>
      <c r="Q113" t="s">
        <v>4334</v>
      </c>
      <c r="R113" t="s">
        <v>4335</v>
      </c>
      <c r="S113" t="s">
        <v>11</v>
      </c>
      <c r="T113" t="s">
        <v>13</v>
      </c>
      <c r="U113" t="s">
        <v>75</v>
      </c>
      <c r="V113" t="s">
        <v>12</v>
      </c>
      <c r="X113" t="s">
        <v>4334</v>
      </c>
      <c r="Y113" t="s">
        <v>76</v>
      </c>
      <c r="Z113">
        <v>1</v>
      </c>
    </row>
    <row r="114" spans="1:26">
      <c r="A114" t="s">
        <v>726</v>
      </c>
      <c r="B114" t="s">
        <v>935</v>
      </c>
      <c r="C114" t="s">
        <v>936</v>
      </c>
      <c r="D114" t="s">
        <v>11</v>
      </c>
      <c r="E114" t="s">
        <v>13</v>
      </c>
      <c r="F114" t="s">
        <v>729</v>
      </c>
      <c r="G114" t="s">
        <v>12</v>
      </c>
      <c r="I114" t="s">
        <v>935</v>
      </c>
      <c r="J114" t="s">
        <v>3062</v>
      </c>
      <c r="K114">
        <v>25.415494257434272</v>
      </c>
      <c r="L114">
        <v>0.18756460341215159</v>
      </c>
      <c r="M114">
        <v>498.95567411953988</v>
      </c>
      <c r="N114">
        <v>548.85124153149388</v>
      </c>
      <c r="P114" t="s">
        <v>726</v>
      </c>
      <c r="Q114" t="s">
        <v>4336</v>
      </c>
      <c r="R114" t="s">
        <v>4337</v>
      </c>
      <c r="S114" t="s">
        <v>11</v>
      </c>
      <c r="T114" t="s">
        <v>13</v>
      </c>
      <c r="U114" t="s">
        <v>75</v>
      </c>
      <c r="V114" t="s">
        <v>12</v>
      </c>
      <c r="X114" t="s">
        <v>4336</v>
      </c>
      <c r="Y114" t="s">
        <v>76</v>
      </c>
      <c r="Z114">
        <v>1</v>
      </c>
    </row>
    <row r="115" spans="1:26">
      <c r="A115" t="s">
        <v>726</v>
      </c>
      <c r="B115" t="s">
        <v>937</v>
      </c>
      <c r="C115" t="s">
        <v>938</v>
      </c>
      <c r="D115" t="s">
        <v>11</v>
      </c>
      <c r="E115" t="s">
        <v>13</v>
      </c>
      <c r="F115" t="s">
        <v>729</v>
      </c>
      <c r="G115" t="s">
        <v>12</v>
      </c>
      <c r="I115" t="s">
        <v>937</v>
      </c>
      <c r="J115" t="s">
        <v>3063</v>
      </c>
      <c r="K115">
        <v>11.16075</v>
      </c>
      <c r="L115">
        <v>0.18333655618341049</v>
      </c>
      <c r="M115">
        <v>677.34370434136201</v>
      </c>
      <c r="N115">
        <v>745.07807477549829</v>
      </c>
      <c r="P115" t="s">
        <v>726</v>
      </c>
      <c r="Q115" t="s">
        <v>4338</v>
      </c>
      <c r="R115" t="s">
        <v>4339</v>
      </c>
      <c r="S115" t="s">
        <v>11</v>
      </c>
      <c r="T115" t="s">
        <v>13</v>
      </c>
      <c r="U115" t="s">
        <v>75</v>
      </c>
      <c r="V115" t="s">
        <v>12</v>
      </c>
      <c r="X115" t="s">
        <v>4338</v>
      </c>
      <c r="Y115" t="s">
        <v>76</v>
      </c>
      <c r="Z115">
        <v>1</v>
      </c>
    </row>
    <row r="116" spans="1:26">
      <c r="A116" t="s">
        <v>726</v>
      </c>
      <c r="B116" t="s">
        <v>939</v>
      </c>
      <c r="C116" t="s">
        <v>936</v>
      </c>
      <c r="D116" t="s">
        <v>11</v>
      </c>
      <c r="E116" t="s">
        <v>13</v>
      </c>
      <c r="F116" t="s">
        <v>729</v>
      </c>
      <c r="G116" t="s">
        <v>12</v>
      </c>
      <c r="I116" t="s">
        <v>939</v>
      </c>
      <c r="J116" t="s">
        <v>3064</v>
      </c>
      <c r="K116">
        <v>17.746944923298077</v>
      </c>
      <c r="L116">
        <v>0.18578636600986001</v>
      </c>
      <c r="M116">
        <v>273.72775411544291</v>
      </c>
      <c r="N116">
        <v>301.1005295269872</v>
      </c>
      <c r="P116" t="s">
        <v>726</v>
      </c>
      <c r="Q116" t="s">
        <v>4340</v>
      </c>
      <c r="R116" t="s">
        <v>4341</v>
      </c>
      <c r="S116" t="s">
        <v>11</v>
      </c>
      <c r="T116" t="s">
        <v>13</v>
      </c>
      <c r="U116" t="s">
        <v>75</v>
      </c>
      <c r="V116" t="s">
        <v>12</v>
      </c>
      <c r="X116" t="s">
        <v>4340</v>
      </c>
      <c r="Y116" t="s">
        <v>76</v>
      </c>
      <c r="Z116">
        <v>1</v>
      </c>
    </row>
    <row r="117" spans="1:26">
      <c r="A117" t="s">
        <v>726</v>
      </c>
      <c r="B117" t="s">
        <v>940</v>
      </c>
      <c r="C117" t="s">
        <v>941</v>
      </c>
      <c r="D117" t="s">
        <v>11</v>
      </c>
      <c r="E117" t="s">
        <v>13</v>
      </c>
      <c r="F117" t="s">
        <v>729</v>
      </c>
      <c r="G117" t="s">
        <v>12</v>
      </c>
      <c r="I117" t="s">
        <v>940</v>
      </c>
      <c r="J117" t="s">
        <v>3065</v>
      </c>
      <c r="K117">
        <v>14.52968253014868</v>
      </c>
      <c r="L117">
        <v>0.18589478677424179</v>
      </c>
      <c r="M117">
        <v>352.06521371846816</v>
      </c>
      <c r="N117">
        <v>387.27173509031502</v>
      </c>
      <c r="P117" t="s">
        <v>726</v>
      </c>
      <c r="Q117" t="s">
        <v>4342</v>
      </c>
      <c r="R117" t="s">
        <v>4343</v>
      </c>
      <c r="S117" t="s">
        <v>11</v>
      </c>
      <c r="T117" t="s">
        <v>13</v>
      </c>
      <c r="U117" t="s">
        <v>75</v>
      </c>
      <c r="V117" t="s">
        <v>12</v>
      </c>
      <c r="X117" t="s">
        <v>4342</v>
      </c>
      <c r="Y117" t="s">
        <v>76</v>
      </c>
      <c r="Z117">
        <v>1</v>
      </c>
    </row>
    <row r="118" spans="1:26">
      <c r="A118" t="s">
        <v>726</v>
      </c>
      <c r="B118" t="s">
        <v>942</v>
      </c>
      <c r="C118" t="s">
        <v>943</v>
      </c>
      <c r="D118" t="s">
        <v>11</v>
      </c>
      <c r="E118" t="s">
        <v>13</v>
      </c>
      <c r="F118" t="s">
        <v>729</v>
      </c>
      <c r="G118" t="s">
        <v>12</v>
      </c>
      <c r="I118" t="s">
        <v>942</v>
      </c>
      <c r="J118" t="s">
        <v>3066</v>
      </c>
      <c r="K118">
        <v>18.507022198926936</v>
      </c>
      <c r="L118">
        <v>0.18791746287390759</v>
      </c>
      <c r="M118">
        <v>503.5067731771228</v>
      </c>
      <c r="N118">
        <v>553.85745049483512</v>
      </c>
      <c r="P118" t="s">
        <v>726</v>
      </c>
      <c r="Q118" t="s">
        <v>4344</v>
      </c>
      <c r="R118" t="s">
        <v>4345</v>
      </c>
      <c r="S118" t="s">
        <v>11</v>
      </c>
      <c r="T118" t="s">
        <v>13</v>
      </c>
      <c r="U118" t="s">
        <v>75</v>
      </c>
      <c r="V118" t="s">
        <v>12</v>
      </c>
      <c r="X118" t="s">
        <v>4344</v>
      </c>
      <c r="Y118" t="s">
        <v>76</v>
      </c>
      <c r="Z118">
        <v>1</v>
      </c>
    </row>
    <row r="119" spans="1:26">
      <c r="A119" t="s">
        <v>726</v>
      </c>
      <c r="B119" t="s">
        <v>944</v>
      </c>
      <c r="C119" t="s">
        <v>945</v>
      </c>
      <c r="D119" t="s">
        <v>11</v>
      </c>
      <c r="E119" t="s">
        <v>13</v>
      </c>
      <c r="F119" t="s">
        <v>729</v>
      </c>
      <c r="G119" t="s">
        <v>12</v>
      </c>
      <c r="I119" t="s">
        <v>944</v>
      </c>
      <c r="J119" t="s">
        <v>3067</v>
      </c>
      <c r="K119">
        <v>4.37632933644052</v>
      </c>
      <c r="L119">
        <v>0.1927110856937182</v>
      </c>
      <c r="M119">
        <v>186.76220781611721</v>
      </c>
      <c r="N119">
        <v>205.43842859772894</v>
      </c>
      <c r="P119" t="s">
        <v>726</v>
      </c>
      <c r="Q119" t="s">
        <v>4346</v>
      </c>
      <c r="R119" t="s">
        <v>4347</v>
      </c>
      <c r="S119" t="s">
        <v>11</v>
      </c>
      <c r="T119" t="s">
        <v>13</v>
      </c>
      <c r="U119" t="s">
        <v>75</v>
      </c>
      <c r="V119" t="s">
        <v>12</v>
      </c>
      <c r="X119" t="s">
        <v>4346</v>
      </c>
      <c r="Y119" t="s">
        <v>76</v>
      </c>
      <c r="Z119">
        <v>1</v>
      </c>
    </row>
    <row r="120" spans="1:26">
      <c r="A120" t="s">
        <v>726</v>
      </c>
      <c r="B120" t="s">
        <v>946</v>
      </c>
      <c r="C120" t="s">
        <v>945</v>
      </c>
      <c r="D120" t="s">
        <v>11</v>
      </c>
      <c r="E120" t="s">
        <v>13</v>
      </c>
      <c r="F120" t="s">
        <v>729</v>
      </c>
      <c r="G120" t="s">
        <v>12</v>
      </c>
      <c r="I120" t="s">
        <v>946</v>
      </c>
      <c r="J120" t="s">
        <v>3068</v>
      </c>
      <c r="K120">
        <v>22.103135261205601</v>
      </c>
      <c r="L120">
        <v>0.20002154728938179</v>
      </c>
      <c r="M120">
        <v>502.98088980185008</v>
      </c>
      <c r="N120">
        <v>553.2789787820351</v>
      </c>
      <c r="P120" t="s">
        <v>726</v>
      </c>
      <c r="Q120" t="s">
        <v>4348</v>
      </c>
      <c r="R120" t="s">
        <v>4349</v>
      </c>
      <c r="S120" t="s">
        <v>11</v>
      </c>
      <c r="T120" t="s">
        <v>13</v>
      </c>
      <c r="U120" t="s">
        <v>75</v>
      </c>
      <c r="V120" t="s">
        <v>12</v>
      </c>
      <c r="X120" t="s">
        <v>4348</v>
      </c>
      <c r="Y120" t="s">
        <v>76</v>
      </c>
      <c r="Z120">
        <v>1</v>
      </c>
    </row>
    <row r="121" spans="1:26">
      <c r="A121" t="s">
        <v>726</v>
      </c>
      <c r="B121" t="s">
        <v>947</v>
      </c>
      <c r="C121" t="s">
        <v>948</v>
      </c>
      <c r="D121" t="s">
        <v>11</v>
      </c>
      <c r="E121" t="s">
        <v>13</v>
      </c>
      <c r="F121" t="s">
        <v>729</v>
      </c>
      <c r="G121" t="s">
        <v>12</v>
      </c>
      <c r="I121" t="s">
        <v>947</v>
      </c>
      <c r="J121" t="s">
        <v>3069</v>
      </c>
      <c r="K121">
        <v>15.702386395853857</v>
      </c>
      <c r="L121">
        <v>0.2012761576769625</v>
      </c>
      <c r="M121">
        <v>438.60532376942479</v>
      </c>
      <c r="N121">
        <v>482.46585614636729</v>
      </c>
      <c r="P121" t="s">
        <v>726</v>
      </c>
      <c r="Q121" t="s">
        <v>4350</v>
      </c>
      <c r="R121" t="s">
        <v>4351</v>
      </c>
      <c r="S121" t="s">
        <v>11</v>
      </c>
      <c r="T121" t="s">
        <v>13</v>
      </c>
      <c r="U121" t="s">
        <v>75</v>
      </c>
      <c r="V121" t="s">
        <v>12</v>
      </c>
      <c r="X121" t="s">
        <v>4350</v>
      </c>
      <c r="Y121" t="s">
        <v>76</v>
      </c>
      <c r="Z121">
        <v>1</v>
      </c>
    </row>
    <row r="122" spans="1:26">
      <c r="A122" t="s">
        <v>726</v>
      </c>
      <c r="B122" t="s">
        <v>949</v>
      </c>
      <c r="C122" t="s">
        <v>950</v>
      </c>
      <c r="D122" t="s">
        <v>11</v>
      </c>
      <c r="E122" t="s">
        <v>13</v>
      </c>
      <c r="F122" t="s">
        <v>729</v>
      </c>
      <c r="G122" t="s">
        <v>12</v>
      </c>
      <c r="I122" t="s">
        <v>949</v>
      </c>
      <c r="J122" t="s">
        <v>3070</v>
      </c>
      <c r="K122">
        <v>19.41822935941768</v>
      </c>
      <c r="L122">
        <v>0.1885313706060554</v>
      </c>
      <c r="M122">
        <v>231.63148655908213</v>
      </c>
      <c r="N122">
        <v>254.79463521499036</v>
      </c>
      <c r="P122" t="s">
        <v>726</v>
      </c>
      <c r="Q122" t="s">
        <v>4352</v>
      </c>
      <c r="R122" t="s">
        <v>4353</v>
      </c>
      <c r="S122" t="s">
        <v>11</v>
      </c>
      <c r="T122" t="s">
        <v>13</v>
      </c>
      <c r="U122" t="s">
        <v>75</v>
      </c>
      <c r="V122" t="s">
        <v>12</v>
      </c>
      <c r="X122" t="s">
        <v>4352</v>
      </c>
      <c r="Y122" t="s">
        <v>76</v>
      </c>
      <c r="Z122">
        <v>1</v>
      </c>
    </row>
    <row r="123" spans="1:26">
      <c r="A123" t="s">
        <v>726</v>
      </c>
      <c r="B123" t="s">
        <v>951</v>
      </c>
      <c r="C123" t="s">
        <v>952</v>
      </c>
      <c r="D123" t="s">
        <v>11</v>
      </c>
      <c r="E123" t="s">
        <v>13</v>
      </c>
      <c r="F123" t="s">
        <v>729</v>
      </c>
      <c r="G123" t="s">
        <v>12</v>
      </c>
      <c r="I123" t="s">
        <v>951</v>
      </c>
      <c r="J123" t="s">
        <v>3071</v>
      </c>
      <c r="K123">
        <v>1.1088388190482625</v>
      </c>
      <c r="L123">
        <v>0.21047835540873569</v>
      </c>
      <c r="M123">
        <v>94.138334828481277</v>
      </c>
      <c r="N123">
        <v>103.55216831132941</v>
      </c>
      <c r="P123" t="s">
        <v>726</v>
      </c>
      <c r="Q123" t="s">
        <v>4354</v>
      </c>
      <c r="R123" t="s">
        <v>4355</v>
      </c>
      <c r="S123" t="s">
        <v>11</v>
      </c>
      <c r="T123" t="s">
        <v>13</v>
      </c>
      <c r="U123" t="s">
        <v>75</v>
      </c>
      <c r="V123" t="s">
        <v>12</v>
      </c>
      <c r="X123" t="s">
        <v>4354</v>
      </c>
      <c r="Y123" t="s">
        <v>76</v>
      </c>
      <c r="Z123">
        <v>1</v>
      </c>
    </row>
    <row r="124" spans="1:26">
      <c r="A124" t="s">
        <v>726</v>
      </c>
      <c r="B124" t="s">
        <v>953</v>
      </c>
      <c r="C124" t="s">
        <v>954</v>
      </c>
      <c r="D124" t="s">
        <v>11</v>
      </c>
      <c r="E124" t="s">
        <v>13</v>
      </c>
      <c r="F124" t="s">
        <v>729</v>
      </c>
      <c r="G124" t="s">
        <v>12</v>
      </c>
      <c r="I124" t="s">
        <v>953</v>
      </c>
      <c r="J124" t="s">
        <v>3072</v>
      </c>
      <c r="K124">
        <v>19.138447165189937</v>
      </c>
      <c r="L124">
        <v>0.19211176711071681</v>
      </c>
      <c r="M124">
        <v>43.260782771144761</v>
      </c>
      <c r="N124">
        <v>47.586861048259244</v>
      </c>
      <c r="P124" t="s">
        <v>726</v>
      </c>
      <c r="Q124" t="s">
        <v>4356</v>
      </c>
      <c r="R124" t="s">
        <v>4357</v>
      </c>
      <c r="S124" t="s">
        <v>11</v>
      </c>
      <c r="T124" t="s">
        <v>13</v>
      </c>
      <c r="U124" t="s">
        <v>75</v>
      </c>
      <c r="V124" t="s">
        <v>12</v>
      </c>
      <c r="X124" t="s">
        <v>4356</v>
      </c>
      <c r="Y124" t="s">
        <v>76</v>
      </c>
      <c r="Z124">
        <v>1</v>
      </c>
    </row>
    <row r="125" spans="1:26">
      <c r="A125" t="s">
        <v>726</v>
      </c>
      <c r="B125" t="s">
        <v>955</v>
      </c>
      <c r="C125" t="s">
        <v>956</v>
      </c>
      <c r="D125" t="s">
        <v>11</v>
      </c>
      <c r="E125" t="s">
        <v>13</v>
      </c>
      <c r="F125" t="s">
        <v>729</v>
      </c>
      <c r="G125" t="s">
        <v>12</v>
      </c>
      <c r="I125" t="s">
        <v>955</v>
      </c>
      <c r="J125" t="s">
        <v>3073</v>
      </c>
      <c r="K125">
        <v>57.389368411838682</v>
      </c>
      <c r="L125">
        <v>0.19907617815801559</v>
      </c>
      <c r="M125">
        <v>65.897261764134157</v>
      </c>
      <c r="N125">
        <v>72.486987940547579</v>
      </c>
      <c r="P125" t="s">
        <v>726</v>
      </c>
      <c r="Q125" t="s">
        <v>4358</v>
      </c>
      <c r="R125" t="s">
        <v>4359</v>
      </c>
      <c r="S125" t="s">
        <v>11</v>
      </c>
      <c r="T125" t="s">
        <v>13</v>
      </c>
      <c r="U125" t="s">
        <v>75</v>
      </c>
      <c r="V125" t="s">
        <v>12</v>
      </c>
      <c r="X125" t="s">
        <v>4358</v>
      </c>
      <c r="Y125" t="s">
        <v>76</v>
      </c>
      <c r="Z125">
        <v>1</v>
      </c>
    </row>
    <row r="126" spans="1:26">
      <c r="A126" t="s">
        <v>726</v>
      </c>
      <c r="B126" t="s">
        <v>957</v>
      </c>
      <c r="C126" t="s">
        <v>958</v>
      </c>
      <c r="D126" t="s">
        <v>11</v>
      </c>
      <c r="E126" t="s">
        <v>13</v>
      </c>
      <c r="F126" t="s">
        <v>729</v>
      </c>
      <c r="G126" t="s">
        <v>12</v>
      </c>
      <c r="I126" t="s">
        <v>957</v>
      </c>
      <c r="J126" t="s">
        <v>3074</v>
      </c>
      <c r="K126">
        <v>16.988559145176151</v>
      </c>
      <c r="L126">
        <v>0.18181097932251539</v>
      </c>
      <c r="M126">
        <v>43.380639237420418</v>
      </c>
      <c r="N126">
        <v>47.718703161162466</v>
      </c>
      <c r="P126" t="s">
        <v>726</v>
      </c>
      <c r="Q126" t="s">
        <v>4360</v>
      </c>
      <c r="R126" t="s">
        <v>4361</v>
      </c>
      <c r="S126" t="s">
        <v>11</v>
      </c>
      <c r="T126" t="s">
        <v>13</v>
      </c>
      <c r="U126" t="s">
        <v>75</v>
      </c>
      <c r="V126" t="s">
        <v>12</v>
      </c>
      <c r="X126" t="s">
        <v>4360</v>
      </c>
      <c r="Y126" t="s">
        <v>76</v>
      </c>
      <c r="Z126">
        <v>1</v>
      </c>
    </row>
    <row r="127" spans="1:26">
      <c r="A127" t="s">
        <v>726</v>
      </c>
      <c r="B127" t="s">
        <v>959</v>
      </c>
      <c r="C127" t="s">
        <v>960</v>
      </c>
      <c r="D127" t="s">
        <v>11</v>
      </c>
      <c r="E127" t="s">
        <v>13</v>
      </c>
      <c r="F127" t="s">
        <v>729</v>
      </c>
      <c r="G127" t="s">
        <v>12</v>
      </c>
      <c r="I127" t="s">
        <v>959</v>
      </c>
      <c r="J127" t="s">
        <v>3075</v>
      </c>
      <c r="K127">
        <v>10.397211338262444</v>
      </c>
      <c r="L127">
        <v>0.18915260277148549</v>
      </c>
      <c r="M127">
        <v>25.51459645220606</v>
      </c>
      <c r="N127">
        <v>28.066056097426667</v>
      </c>
      <c r="P127" t="s">
        <v>726</v>
      </c>
      <c r="Q127" t="s">
        <v>4362</v>
      </c>
      <c r="R127" t="s">
        <v>4363</v>
      </c>
      <c r="S127" t="s">
        <v>11</v>
      </c>
      <c r="T127" t="s">
        <v>13</v>
      </c>
      <c r="U127" t="s">
        <v>75</v>
      </c>
      <c r="V127" t="s">
        <v>12</v>
      </c>
      <c r="X127" t="s">
        <v>4362</v>
      </c>
      <c r="Y127" t="s">
        <v>76</v>
      </c>
      <c r="Z127">
        <v>1</v>
      </c>
    </row>
    <row r="128" spans="1:26">
      <c r="A128" t="s">
        <v>726</v>
      </c>
      <c r="B128" t="s">
        <v>961</v>
      </c>
      <c r="C128" t="s">
        <v>962</v>
      </c>
      <c r="D128" t="s">
        <v>11</v>
      </c>
      <c r="E128" t="s">
        <v>13</v>
      </c>
      <c r="F128" t="s">
        <v>729</v>
      </c>
      <c r="G128" t="s">
        <v>12</v>
      </c>
      <c r="I128" t="s">
        <v>961</v>
      </c>
      <c r="J128" t="s">
        <v>3076</v>
      </c>
      <c r="K128">
        <v>94.355680502712644</v>
      </c>
      <c r="L128">
        <v>0.19870441283844359</v>
      </c>
      <c r="M128">
        <v>126.13369762588648</v>
      </c>
      <c r="N128">
        <v>138.74706738847513</v>
      </c>
      <c r="P128" t="s">
        <v>726</v>
      </c>
      <c r="Q128" t="s">
        <v>4364</v>
      </c>
      <c r="R128" t="s">
        <v>4365</v>
      </c>
      <c r="S128" t="s">
        <v>11</v>
      </c>
      <c r="T128" t="s">
        <v>13</v>
      </c>
      <c r="U128" t="s">
        <v>75</v>
      </c>
      <c r="V128" t="s">
        <v>12</v>
      </c>
      <c r="X128" t="s">
        <v>4364</v>
      </c>
      <c r="Y128" t="s">
        <v>76</v>
      </c>
      <c r="Z128">
        <v>1</v>
      </c>
    </row>
    <row r="129" spans="1:26">
      <c r="A129" t="s">
        <v>726</v>
      </c>
      <c r="B129" t="s">
        <v>963</v>
      </c>
      <c r="C129" t="s">
        <v>964</v>
      </c>
      <c r="D129" t="s">
        <v>11</v>
      </c>
      <c r="E129" t="s">
        <v>13</v>
      </c>
      <c r="F129" t="s">
        <v>729</v>
      </c>
      <c r="G129" t="s">
        <v>12</v>
      </c>
      <c r="I129" t="s">
        <v>963</v>
      </c>
      <c r="J129" t="s">
        <v>3077</v>
      </c>
      <c r="K129">
        <v>74.466657308884251</v>
      </c>
      <c r="L129">
        <v>0.20463734083717089</v>
      </c>
      <c r="M129">
        <v>137.55330173143642</v>
      </c>
      <c r="N129">
        <v>151.30863190458007</v>
      </c>
      <c r="P129" t="s">
        <v>726</v>
      </c>
      <c r="Q129" t="s">
        <v>4366</v>
      </c>
      <c r="R129" t="s">
        <v>4367</v>
      </c>
      <c r="S129" t="s">
        <v>11</v>
      </c>
      <c r="T129" t="s">
        <v>13</v>
      </c>
      <c r="U129" t="s">
        <v>75</v>
      </c>
      <c r="V129" t="s">
        <v>12</v>
      </c>
      <c r="X129" t="s">
        <v>4366</v>
      </c>
      <c r="Y129" t="s">
        <v>76</v>
      </c>
      <c r="Z129">
        <v>1</v>
      </c>
    </row>
    <row r="130" spans="1:26">
      <c r="A130" t="s">
        <v>726</v>
      </c>
      <c r="B130" t="s">
        <v>965</v>
      </c>
      <c r="C130" t="s">
        <v>966</v>
      </c>
      <c r="D130" t="s">
        <v>11</v>
      </c>
      <c r="E130" t="s">
        <v>13</v>
      </c>
      <c r="F130" t="s">
        <v>729</v>
      </c>
      <c r="G130" t="s">
        <v>12</v>
      </c>
      <c r="I130" t="s">
        <v>965</v>
      </c>
      <c r="J130" t="s">
        <v>3078</v>
      </c>
      <c r="K130">
        <v>64.633862187269983</v>
      </c>
      <c r="L130">
        <v>0.20589858942965289</v>
      </c>
      <c r="M130">
        <v>57.400043455128078</v>
      </c>
      <c r="N130">
        <v>63.140047800640893</v>
      </c>
      <c r="P130" t="s">
        <v>726</v>
      </c>
      <c r="Q130" t="s">
        <v>4368</v>
      </c>
      <c r="R130" t="s">
        <v>4369</v>
      </c>
      <c r="S130" t="s">
        <v>11</v>
      </c>
      <c r="T130" t="s">
        <v>13</v>
      </c>
      <c r="U130" t="s">
        <v>75</v>
      </c>
      <c r="V130" t="s">
        <v>12</v>
      </c>
      <c r="X130" t="s">
        <v>4368</v>
      </c>
      <c r="Y130" t="s">
        <v>76</v>
      </c>
      <c r="Z130">
        <v>1</v>
      </c>
    </row>
    <row r="131" spans="1:26">
      <c r="A131" t="s">
        <v>726</v>
      </c>
      <c r="B131" t="s">
        <v>967</v>
      </c>
      <c r="C131" t="s">
        <v>968</v>
      </c>
      <c r="D131" t="s">
        <v>11</v>
      </c>
      <c r="E131" t="s">
        <v>13</v>
      </c>
      <c r="F131" t="s">
        <v>729</v>
      </c>
      <c r="G131" t="s">
        <v>12</v>
      </c>
      <c r="I131" t="s">
        <v>967</v>
      </c>
      <c r="J131" t="s">
        <v>3079</v>
      </c>
      <c r="K131">
        <v>18.342925281352937</v>
      </c>
      <c r="L131">
        <v>0.18884413206374329</v>
      </c>
      <c r="M131">
        <v>79.61895209819204</v>
      </c>
      <c r="N131">
        <v>87.580847308011244</v>
      </c>
      <c r="P131" t="s">
        <v>726</v>
      </c>
      <c r="Q131" t="s">
        <v>4370</v>
      </c>
      <c r="R131" t="s">
        <v>4371</v>
      </c>
      <c r="S131" t="s">
        <v>11</v>
      </c>
      <c r="T131" t="s">
        <v>13</v>
      </c>
      <c r="U131" t="s">
        <v>75</v>
      </c>
      <c r="V131" t="s">
        <v>12</v>
      </c>
      <c r="X131" t="s">
        <v>4370</v>
      </c>
      <c r="Y131" t="s">
        <v>76</v>
      </c>
      <c r="Z131">
        <v>1</v>
      </c>
    </row>
    <row r="132" spans="1:26">
      <c r="A132" t="s">
        <v>726</v>
      </c>
      <c r="B132" t="s">
        <v>969</v>
      </c>
      <c r="C132" t="s">
        <v>970</v>
      </c>
      <c r="D132" t="s">
        <v>11</v>
      </c>
      <c r="E132" t="s">
        <v>13</v>
      </c>
      <c r="F132" t="s">
        <v>729</v>
      </c>
      <c r="G132" t="s">
        <v>12</v>
      </c>
      <c r="I132" t="s">
        <v>969</v>
      </c>
      <c r="J132" t="s">
        <v>3080</v>
      </c>
      <c r="K132">
        <v>10.65070896317329</v>
      </c>
      <c r="L132">
        <v>0.1768474611296198</v>
      </c>
      <c r="M132">
        <v>29.890429552877688</v>
      </c>
      <c r="N132">
        <v>32.879472508165456</v>
      </c>
      <c r="P132" t="s">
        <v>726</v>
      </c>
      <c r="Q132" t="s">
        <v>4372</v>
      </c>
      <c r="R132" t="s">
        <v>4373</v>
      </c>
      <c r="S132" t="s">
        <v>11</v>
      </c>
      <c r="T132" t="s">
        <v>13</v>
      </c>
      <c r="U132" t="s">
        <v>75</v>
      </c>
      <c r="V132" t="s">
        <v>12</v>
      </c>
      <c r="X132" t="s">
        <v>4372</v>
      </c>
      <c r="Y132" t="s">
        <v>76</v>
      </c>
      <c r="Z132">
        <v>1</v>
      </c>
    </row>
    <row r="133" spans="1:26">
      <c r="A133" t="s">
        <v>726</v>
      </c>
      <c r="B133" t="s">
        <v>971</v>
      </c>
      <c r="C133" t="s">
        <v>972</v>
      </c>
      <c r="D133" t="s">
        <v>11</v>
      </c>
      <c r="E133" t="s">
        <v>13</v>
      </c>
      <c r="F133" t="s">
        <v>729</v>
      </c>
      <c r="G133" t="s">
        <v>12</v>
      </c>
      <c r="I133" t="s">
        <v>971</v>
      </c>
      <c r="J133" t="s">
        <v>3081</v>
      </c>
      <c r="K133">
        <v>30.332556829942149</v>
      </c>
      <c r="L133">
        <v>0.19358066934026111</v>
      </c>
      <c r="M133">
        <v>63.339257814226073</v>
      </c>
      <c r="N133">
        <v>69.67318359564868</v>
      </c>
      <c r="P133" t="s">
        <v>726</v>
      </c>
      <c r="Q133" t="s">
        <v>4374</v>
      </c>
      <c r="R133" t="s">
        <v>4375</v>
      </c>
      <c r="S133" t="s">
        <v>11</v>
      </c>
      <c r="T133" t="s">
        <v>13</v>
      </c>
      <c r="U133" t="s">
        <v>75</v>
      </c>
      <c r="V133" t="s">
        <v>12</v>
      </c>
      <c r="X133" t="s">
        <v>4374</v>
      </c>
      <c r="Y133" t="s">
        <v>76</v>
      </c>
      <c r="Z133">
        <v>1</v>
      </c>
    </row>
    <row r="134" spans="1:26">
      <c r="A134" t="s">
        <v>726</v>
      </c>
      <c r="B134" t="s">
        <v>973</v>
      </c>
      <c r="C134" t="s">
        <v>974</v>
      </c>
      <c r="D134" t="s">
        <v>11</v>
      </c>
      <c r="E134" t="s">
        <v>13</v>
      </c>
      <c r="F134" t="s">
        <v>729</v>
      </c>
      <c r="G134" t="s">
        <v>12</v>
      </c>
      <c r="I134" t="s">
        <v>973</v>
      </c>
      <c r="J134" t="s">
        <v>3082</v>
      </c>
      <c r="K134">
        <v>166.59870285517002</v>
      </c>
      <c r="L134">
        <v>0.21591139447003729</v>
      </c>
      <c r="M134">
        <v>45.168842233213539</v>
      </c>
      <c r="N134">
        <v>49.685726456534894</v>
      </c>
      <c r="P134" t="s">
        <v>726</v>
      </c>
      <c r="Q134" t="s">
        <v>4376</v>
      </c>
      <c r="R134" t="s">
        <v>4377</v>
      </c>
      <c r="S134" t="s">
        <v>11</v>
      </c>
      <c r="T134" t="s">
        <v>13</v>
      </c>
      <c r="U134" t="s">
        <v>75</v>
      </c>
      <c r="V134" t="s">
        <v>12</v>
      </c>
      <c r="X134" t="s">
        <v>4376</v>
      </c>
      <c r="Y134" t="s">
        <v>76</v>
      </c>
      <c r="Z134">
        <v>1</v>
      </c>
    </row>
    <row r="135" spans="1:26">
      <c r="A135" t="s">
        <v>726</v>
      </c>
      <c r="B135" t="s">
        <v>975</v>
      </c>
      <c r="C135" t="s">
        <v>976</v>
      </c>
      <c r="D135" t="s">
        <v>11</v>
      </c>
      <c r="E135" t="s">
        <v>13</v>
      </c>
      <c r="F135" t="s">
        <v>729</v>
      </c>
      <c r="G135" t="s">
        <v>12</v>
      </c>
      <c r="I135" t="s">
        <v>975</v>
      </c>
      <c r="J135" t="s">
        <v>3083</v>
      </c>
      <c r="K135">
        <v>247.00598015854504</v>
      </c>
      <c r="L135">
        <v>0.21835149918766411</v>
      </c>
      <c r="M135">
        <v>131.56781211136746</v>
      </c>
      <c r="N135">
        <v>144.72459332250421</v>
      </c>
      <c r="P135" t="s">
        <v>726</v>
      </c>
      <c r="Q135" t="s">
        <v>4378</v>
      </c>
      <c r="R135" t="s">
        <v>4379</v>
      </c>
      <c r="S135" t="s">
        <v>11</v>
      </c>
      <c r="T135" t="s">
        <v>13</v>
      </c>
      <c r="U135" t="s">
        <v>75</v>
      </c>
      <c r="V135" t="s">
        <v>12</v>
      </c>
      <c r="X135" t="s">
        <v>4378</v>
      </c>
      <c r="Y135" t="s">
        <v>76</v>
      </c>
      <c r="Z135">
        <v>1</v>
      </c>
    </row>
    <row r="136" spans="1:26">
      <c r="A136" t="s">
        <v>726</v>
      </c>
      <c r="B136" t="s">
        <v>977</v>
      </c>
      <c r="C136" t="s">
        <v>978</v>
      </c>
      <c r="D136" t="s">
        <v>11</v>
      </c>
      <c r="E136" t="s">
        <v>13</v>
      </c>
      <c r="F136" t="s">
        <v>729</v>
      </c>
      <c r="G136" t="s">
        <v>12</v>
      </c>
      <c r="I136" t="s">
        <v>977</v>
      </c>
      <c r="J136" t="s">
        <v>3084</v>
      </c>
      <c r="K136">
        <v>320.50078928332869</v>
      </c>
      <c r="L136">
        <v>0.2097554592222266</v>
      </c>
      <c r="M136">
        <v>79.597667671932243</v>
      </c>
      <c r="N136">
        <v>87.557434439125473</v>
      </c>
      <c r="P136" t="s">
        <v>726</v>
      </c>
      <c r="Q136" t="s">
        <v>4380</v>
      </c>
      <c r="R136" t="s">
        <v>4381</v>
      </c>
      <c r="S136" t="s">
        <v>11</v>
      </c>
      <c r="T136" t="s">
        <v>13</v>
      </c>
      <c r="U136" t="s">
        <v>75</v>
      </c>
      <c r="V136" t="s">
        <v>12</v>
      </c>
      <c r="X136" t="s">
        <v>4380</v>
      </c>
      <c r="Y136" t="s">
        <v>76</v>
      </c>
      <c r="Z136">
        <v>1</v>
      </c>
    </row>
    <row r="137" spans="1:26">
      <c r="A137" t="s">
        <v>726</v>
      </c>
      <c r="B137" t="s">
        <v>979</v>
      </c>
      <c r="C137" t="s">
        <v>980</v>
      </c>
      <c r="D137" t="s">
        <v>11</v>
      </c>
      <c r="E137" t="s">
        <v>13</v>
      </c>
      <c r="F137" t="s">
        <v>729</v>
      </c>
      <c r="G137" t="s">
        <v>12</v>
      </c>
      <c r="I137" t="s">
        <v>979</v>
      </c>
      <c r="J137" t="s">
        <v>3085</v>
      </c>
      <c r="K137">
        <v>154.7155332353276</v>
      </c>
      <c r="L137">
        <v>0.19804660387523829</v>
      </c>
      <c r="M137">
        <v>154.9325740684275</v>
      </c>
      <c r="N137">
        <v>170.42583147527026</v>
      </c>
      <c r="P137" t="s">
        <v>726</v>
      </c>
      <c r="Q137" t="s">
        <v>4382</v>
      </c>
      <c r="R137" t="s">
        <v>4383</v>
      </c>
      <c r="S137" t="s">
        <v>11</v>
      </c>
      <c r="T137" t="s">
        <v>13</v>
      </c>
      <c r="U137" t="s">
        <v>75</v>
      </c>
      <c r="V137" t="s">
        <v>12</v>
      </c>
      <c r="X137" t="s">
        <v>4382</v>
      </c>
      <c r="Y137" t="s">
        <v>76</v>
      </c>
      <c r="Z137">
        <v>1</v>
      </c>
    </row>
    <row r="138" spans="1:26">
      <c r="A138" t="s">
        <v>726</v>
      </c>
      <c r="B138" t="s">
        <v>981</v>
      </c>
      <c r="C138" t="s">
        <v>982</v>
      </c>
      <c r="D138" t="s">
        <v>11</v>
      </c>
      <c r="E138" t="s">
        <v>13</v>
      </c>
      <c r="F138" t="s">
        <v>729</v>
      </c>
      <c r="G138" t="s">
        <v>12</v>
      </c>
      <c r="I138" t="s">
        <v>981</v>
      </c>
      <c r="J138" t="s">
        <v>3086</v>
      </c>
      <c r="K138">
        <v>100.61636901798114</v>
      </c>
      <c r="L138">
        <v>0.19055347392223351</v>
      </c>
      <c r="M138">
        <v>131.1754272619809</v>
      </c>
      <c r="N138">
        <v>144.29296998817901</v>
      </c>
      <c r="P138" t="s">
        <v>726</v>
      </c>
      <c r="Q138" t="s">
        <v>4384</v>
      </c>
      <c r="R138" t="s">
        <v>4385</v>
      </c>
      <c r="S138" t="s">
        <v>11</v>
      </c>
      <c r="T138" t="s">
        <v>13</v>
      </c>
      <c r="U138" t="s">
        <v>75</v>
      </c>
      <c r="V138" t="s">
        <v>12</v>
      </c>
      <c r="X138" t="s">
        <v>4384</v>
      </c>
      <c r="Y138" t="s">
        <v>76</v>
      </c>
      <c r="Z138">
        <v>1</v>
      </c>
    </row>
    <row r="139" spans="1:26">
      <c r="A139" t="s">
        <v>726</v>
      </c>
      <c r="B139" t="s">
        <v>983</v>
      </c>
      <c r="C139" t="s">
        <v>984</v>
      </c>
      <c r="D139" t="s">
        <v>11</v>
      </c>
      <c r="E139" t="s">
        <v>13</v>
      </c>
      <c r="F139" t="s">
        <v>729</v>
      </c>
      <c r="G139" t="s">
        <v>12</v>
      </c>
      <c r="I139" t="s">
        <v>983</v>
      </c>
      <c r="J139" t="s">
        <v>3087</v>
      </c>
      <c r="K139">
        <v>151.01464295763668</v>
      </c>
      <c r="L139">
        <v>0.19456619302115741</v>
      </c>
      <c r="M139">
        <v>135.67537411799626</v>
      </c>
      <c r="N139">
        <v>149.24291152979589</v>
      </c>
      <c r="P139" t="s">
        <v>726</v>
      </c>
      <c r="Q139" t="s">
        <v>4386</v>
      </c>
      <c r="R139" t="s">
        <v>4387</v>
      </c>
      <c r="S139" t="s">
        <v>11</v>
      </c>
      <c r="T139" t="s">
        <v>13</v>
      </c>
      <c r="U139" t="s">
        <v>75</v>
      </c>
      <c r="V139" t="s">
        <v>12</v>
      </c>
      <c r="X139" t="s">
        <v>4386</v>
      </c>
      <c r="Y139" t="s">
        <v>76</v>
      </c>
      <c r="Z139">
        <v>1</v>
      </c>
    </row>
    <row r="140" spans="1:26">
      <c r="A140" t="s">
        <v>726</v>
      </c>
      <c r="B140" t="s">
        <v>985</v>
      </c>
      <c r="C140" t="s">
        <v>986</v>
      </c>
      <c r="D140" t="s">
        <v>11</v>
      </c>
      <c r="E140" t="s">
        <v>13</v>
      </c>
      <c r="F140" t="s">
        <v>729</v>
      </c>
      <c r="G140" t="s">
        <v>12</v>
      </c>
      <c r="I140" t="s">
        <v>985</v>
      </c>
      <c r="J140" t="s">
        <v>3088</v>
      </c>
      <c r="K140">
        <v>62.931572681745983</v>
      </c>
      <c r="L140">
        <v>0.18847705626658329</v>
      </c>
      <c r="M140">
        <v>111.77472601247987</v>
      </c>
      <c r="N140">
        <v>122.95219861372787</v>
      </c>
      <c r="P140" t="s">
        <v>726</v>
      </c>
      <c r="Q140" t="s">
        <v>4388</v>
      </c>
      <c r="R140" t="s">
        <v>4389</v>
      </c>
      <c r="S140" t="s">
        <v>11</v>
      </c>
      <c r="T140" t="s">
        <v>13</v>
      </c>
      <c r="U140" t="s">
        <v>75</v>
      </c>
      <c r="V140" t="s">
        <v>12</v>
      </c>
      <c r="X140" t="s">
        <v>4388</v>
      </c>
      <c r="Y140" t="s">
        <v>76</v>
      </c>
      <c r="Z140">
        <v>1</v>
      </c>
    </row>
    <row r="141" spans="1:26">
      <c r="A141" t="s">
        <v>726</v>
      </c>
      <c r="B141" t="s">
        <v>987</v>
      </c>
      <c r="C141" t="s">
        <v>988</v>
      </c>
      <c r="D141" t="s">
        <v>11</v>
      </c>
      <c r="E141" t="s">
        <v>13</v>
      </c>
      <c r="F141" t="s">
        <v>729</v>
      </c>
      <c r="G141" t="s">
        <v>12</v>
      </c>
      <c r="I141" t="s">
        <v>987</v>
      </c>
      <c r="J141" t="s">
        <v>3089</v>
      </c>
      <c r="K141">
        <v>12.7455</v>
      </c>
      <c r="L141">
        <v>0.17653184673383671</v>
      </c>
      <c r="M141">
        <v>68.715256831844911</v>
      </c>
      <c r="N141">
        <v>75.586782515029412</v>
      </c>
      <c r="P141" t="s">
        <v>726</v>
      </c>
      <c r="Q141" t="s">
        <v>4390</v>
      </c>
      <c r="R141" t="s">
        <v>4391</v>
      </c>
      <c r="S141" t="s">
        <v>11</v>
      </c>
      <c r="T141" t="s">
        <v>13</v>
      </c>
      <c r="U141" t="s">
        <v>75</v>
      </c>
      <c r="V141" t="s">
        <v>12</v>
      </c>
      <c r="X141" t="s">
        <v>4390</v>
      </c>
      <c r="Y141" t="s">
        <v>76</v>
      </c>
      <c r="Z141">
        <v>1</v>
      </c>
    </row>
    <row r="142" spans="1:26">
      <c r="A142" t="s">
        <v>726</v>
      </c>
      <c r="B142" t="s">
        <v>989</v>
      </c>
      <c r="C142" t="s">
        <v>990</v>
      </c>
      <c r="D142" t="s">
        <v>11</v>
      </c>
      <c r="E142" t="s">
        <v>13</v>
      </c>
      <c r="F142" t="s">
        <v>729</v>
      </c>
      <c r="G142" t="s">
        <v>12</v>
      </c>
      <c r="I142" t="s">
        <v>989</v>
      </c>
      <c r="J142" t="s">
        <v>3090</v>
      </c>
      <c r="K142">
        <v>2.2076927755389812</v>
      </c>
      <c r="L142">
        <v>0.17178948408777109</v>
      </c>
      <c r="M142">
        <v>174.54166481495213</v>
      </c>
      <c r="N142">
        <v>191.99583129644736</v>
      </c>
      <c r="P142" t="s">
        <v>726</v>
      </c>
      <c r="Q142" t="s">
        <v>4392</v>
      </c>
      <c r="R142" t="s">
        <v>4393</v>
      </c>
      <c r="S142" t="s">
        <v>11</v>
      </c>
      <c r="T142" t="s">
        <v>13</v>
      </c>
      <c r="U142" t="s">
        <v>75</v>
      </c>
      <c r="V142" t="s">
        <v>12</v>
      </c>
      <c r="X142" t="s">
        <v>4392</v>
      </c>
      <c r="Y142" t="s">
        <v>76</v>
      </c>
      <c r="Z142">
        <v>1</v>
      </c>
    </row>
    <row r="143" spans="1:26">
      <c r="A143" t="s">
        <v>726</v>
      </c>
      <c r="B143" t="s">
        <v>991</v>
      </c>
      <c r="C143" t="s">
        <v>992</v>
      </c>
      <c r="D143" t="s">
        <v>11</v>
      </c>
      <c r="E143" t="s">
        <v>13</v>
      </c>
      <c r="F143" t="s">
        <v>729</v>
      </c>
      <c r="G143" t="s">
        <v>12</v>
      </c>
      <c r="I143" t="s">
        <v>991</v>
      </c>
      <c r="J143" t="s">
        <v>3091</v>
      </c>
      <c r="K143">
        <v>58.547032336403838</v>
      </c>
      <c r="L143">
        <v>0.1921962179911777</v>
      </c>
      <c r="M143">
        <v>202.09239752819769</v>
      </c>
      <c r="N143">
        <v>222.30163728101749</v>
      </c>
      <c r="P143" t="s">
        <v>726</v>
      </c>
      <c r="Q143" t="s">
        <v>4394</v>
      </c>
      <c r="R143" t="s">
        <v>4395</v>
      </c>
      <c r="S143" t="s">
        <v>11</v>
      </c>
      <c r="T143" t="s">
        <v>13</v>
      </c>
      <c r="U143" t="s">
        <v>75</v>
      </c>
      <c r="V143" t="s">
        <v>12</v>
      </c>
      <c r="X143" t="s">
        <v>4394</v>
      </c>
      <c r="Y143" t="s">
        <v>76</v>
      </c>
      <c r="Z143">
        <v>1</v>
      </c>
    </row>
    <row r="144" spans="1:26">
      <c r="A144" t="s">
        <v>726</v>
      </c>
      <c r="B144" t="s">
        <v>993</v>
      </c>
      <c r="C144" t="s">
        <v>994</v>
      </c>
      <c r="D144" t="s">
        <v>11</v>
      </c>
      <c r="E144" t="s">
        <v>13</v>
      </c>
      <c r="F144" t="s">
        <v>729</v>
      </c>
      <c r="G144" t="s">
        <v>12</v>
      </c>
      <c r="I144" t="s">
        <v>993</v>
      </c>
      <c r="J144" t="s">
        <v>3092</v>
      </c>
      <c r="K144">
        <v>124.52564102573594</v>
      </c>
      <c r="L144">
        <v>0.1831168619905974</v>
      </c>
      <c r="M144">
        <v>119.72621255190904</v>
      </c>
      <c r="N144">
        <v>131.69883380709996</v>
      </c>
      <c r="P144" t="s">
        <v>726</v>
      </c>
      <c r="Q144" t="s">
        <v>4396</v>
      </c>
      <c r="R144" t="s">
        <v>4397</v>
      </c>
      <c r="S144" t="s">
        <v>11</v>
      </c>
      <c r="T144" t="s">
        <v>13</v>
      </c>
      <c r="U144" t="s">
        <v>75</v>
      </c>
      <c r="V144" t="s">
        <v>12</v>
      </c>
      <c r="X144" t="s">
        <v>4396</v>
      </c>
      <c r="Y144" t="s">
        <v>76</v>
      </c>
      <c r="Z144">
        <v>1</v>
      </c>
    </row>
    <row r="145" spans="1:26">
      <c r="A145" t="s">
        <v>726</v>
      </c>
      <c r="B145" t="s">
        <v>995</v>
      </c>
      <c r="C145" t="s">
        <v>996</v>
      </c>
      <c r="D145" t="s">
        <v>11</v>
      </c>
      <c r="E145" t="s">
        <v>13</v>
      </c>
      <c r="F145" t="s">
        <v>729</v>
      </c>
      <c r="G145" t="s">
        <v>12</v>
      </c>
      <c r="I145" t="s">
        <v>995</v>
      </c>
      <c r="J145" t="s">
        <v>3093</v>
      </c>
      <c r="K145">
        <v>2.4892500000000002</v>
      </c>
      <c r="L145">
        <v>0.18003136357274499</v>
      </c>
      <c r="M145">
        <v>156.90231240462811</v>
      </c>
      <c r="N145">
        <v>172.59254364509093</v>
      </c>
      <c r="P145" t="s">
        <v>726</v>
      </c>
      <c r="Q145" t="s">
        <v>4398</v>
      </c>
      <c r="R145" t="s">
        <v>4399</v>
      </c>
      <c r="S145" t="s">
        <v>11</v>
      </c>
      <c r="T145" t="s">
        <v>13</v>
      </c>
      <c r="U145" t="s">
        <v>75</v>
      </c>
      <c r="V145" t="s">
        <v>12</v>
      </c>
      <c r="X145" t="s">
        <v>4398</v>
      </c>
      <c r="Y145" t="s">
        <v>76</v>
      </c>
      <c r="Z145">
        <v>1</v>
      </c>
    </row>
    <row r="146" spans="1:26">
      <c r="A146" t="s">
        <v>726</v>
      </c>
      <c r="B146" t="s">
        <v>997</v>
      </c>
      <c r="C146" t="s">
        <v>998</v>
      </c>
      <c r="D146" t="s">
        <v>11</v>
      </c>
      <c r="E146" t="s">
        <v>13</v>
      </c>
      <c r="F146" t="s">
        <v>729</v>
      </c>
      <c r="G146" t="s">
        <v>12</v>
      </c>
      <c r="I146" t="s">
        <v>997</v>
      </c>
      <c r="J146" t="s">
        <v>3094</v>
      </c>
      <c r="K146">
        <v>30.771750000000001</v>
      </c>
      <c r="L146">
        <v>0.18071318910064019</v>
      </c>
      <c r="M146">
        <v>131.40950806186763</v>
      </c>
      <c r="N146">
        <v>144.55045886805439</v>
      </c>
      <c r="P146" t="s">
        <v>726</v>
      </c>
      <c r="Q146" t="s">
        <v>4400</v>
      </c>
      <c r="R146" t="s">
        <v>4401</v>
      </c>
      <c r="S146" t="s">
        <v>11</v>
      </c>
      <c r="T146" t="s">
        <v>13</v>
      </c>
      <c r="U146" t="s">
        <v>75</v>
      </c>
      <c r="V146" t="s">
        <v>12</v>
      </c>
      <c r="X146" t="s">
        <v>4400</v>
      </c>
      <c r="Y146" t="s">
        <v>76</v>
      </c>
      <c r="Z146">
        <v>1</v>
      </c>
    </row>
    <row r="147" spans="1:26">
      <c r="A147" t="s">
        <v>726</v>
      </c>
      <c r="B147" t="s">
        <v>999</v>
      </c>
      <c r="C147" t="s">
        <v>1000</v>
      </c>
      <c r="D147" t="s">
        <v>11</v>
      </c>
      <c r="E147" t="s">
        <v>13</v>
      </c>
      <c r="F147" t="s">
        <v>729</v>
      </c>
      <c r="G147" t="s">
        <v>12</v>
      </c>
      <c r="I147" t="s">
        <v>999</v>
      </c>
      <c r="J147" t="s">
        <v>3095</v>
      </c>
      <c r="K147">
        <v>23.572070478891</v>
      </c>
      <c r="L147">
        <v>0.23885133923579499</v>
      </c>
      <c r="M147">
        <v>103.78706387644893</v>
      </c>
      <c r="N147">
        <v>114.16577026409382</v>
      </c>
      <c r="P147" t="s">
        <v>726</v>
      </c>
      <c r="Q147" t="s">
        <v>4402</v>
      </c>
      <c r="R147" t="s">
        <v>4403</v>
      </c>
      <c r="S147" t="s">
        <v>11</v>
      </c>
      <c r="T147" t="s">
        <v>13</v>
      </c>
      <c r="U147" t="s">
        <v>75</v>
      </c>
      <c r="V147" t="s">
        <v>12</v>
      </c>
      <c r="X147" t="s">
        <v>4402</v>
      </c>
      <c r="Y147" t="s">
        <v>76</v>
      </c>
      <c r="Z147">
        <v>1</v>
      </c>
    </row>
    <row r="148" spans="1:26">
      <c r="A148" t="s">
        <v>726</v>
      </c>
      <c r="B148" t="s">
        <v>1001</v>
      </c>
      <c r="C148" t="s">
        <v>1002</v>
      </c>
      <c r="D148" t="s">
        <v>11</v>
      </c>
      <c r="E148" t="s">
        <v>13</v>
      </c>
      <c r="F148" t="s">
        <v>729</v>
      </c>
      <c r="G148" t="s">
        <v>12</v>
      </c>
      <c r="I148" t="s">
        <v>1001</v>
      </c>
      <c r="J148" t="s">
        <v>3096</v>
      </c>
      <c r="K148">
        <v>18.264412080723762</v>
      </c>
      <c r="L148">
        <v>0.21871324750517071</v>
      </c>
      <c r="M148">
        <v>84.013320150635167</v>
      </c>
      <c r="N148">
        <v>92.414652165698698</v>
      </c>
      <c r="P148" t="s">
        <v>726</v>
      </c>
      <c r="Q148" t="s">
        <v>4404</v>
      </c>
      <c r="R148" t="s">
        <v>4405</v>
      </c>
      <c r="S148" t="s">
        <v>11</v>
      </c>
      <c r="T148" t="s">
        <v>13</v>
      </c>
      <c r="U148" t="s">
        <v>75</v>
      </c>
      <c r="V148" t="s">
        <v>12</v>
      </c>
      <c r="X148" t="s">
        <v>4404</v>
      </c>
      <c r="Y148" t="s">
        <v>76</v>
      </c>
      <c r="Z148">
        <v>1</v>
      </c>
    </row>
    <row r="149" spans="1:26">
      <c r="A149" t="s">
        <v>726</v>
      </c>
      <c r="B149" t="s">
        <v>1003</v>
      </c>
      <c r="C149" t="s">
        <v>1004</v>
      </c>
      <c r="D149" t="s">
        <v>11</v>
      </c>
      <c r="E149" t="s">
        <v>13</v>
      </c>
      <c r="F149" t="s">
        <v>729</v>
      </c>
      <c r="G149" t="s">
        <v>12</v>
      </c>
      <c r="I149" t="s">
        <v>1003</v>
      </c>
      <c r="J149" t="s">
        <v>3097</v>
      </c>
      <c r="K149">
        <v>60.43474067890493</v>
      </c>
      <c r="L149">
        <v>0.23047531238652141</v>
      </c>
      <c r="M149">
        <v>60.430679431951049</v>
      </c>
      <c r="N149">
        <v>66.473747375146161</v>
      </c>
      <c r="P149" t="s">
        <v>726</v>
      </c>
      <c r="Q149" t="s">
        <v>4406</v>
      </c>
      <c r="R149" t="s">
        <v>4407</v>
      </c>
      <c r="S149" t="s">
        <v>11</v>
      </c>
      <c r="T149" t="s">
        <v>13</v>
      </c>
      <c r="U149" t="s">
        <v>75</v>
      </c>
      <c r="V149" t="s">
        <v>12</v>
      </c>
      <c r="X149" t="s">
        <v>4406</v>
      </c>
      <c r="Y149" t="s">
        <v>76</v>
      </c>
      <c r="Z149">
        <v>1</v>
      </c>
    </row>
    <row r="150" spans="1:26">
      <c r="A150" t="s">
        <v>726</v>
      </c>
      <c r="B150" t="s">
        <v>1005</v>
      </c>
      <c r="C150" t="s">
        <v>1006</v>
      </c>
      <c r="D150" t="s">
        <v>11</v>
      </c>
      <c r="E150" t="s">
        <v>13</v>
      </c>
      <c r="F150" t="s">
        <v>729</v>
      </c>
      <c r="G150" t="s">
        <v>12</v>
      </c>
      <c r="I150" t="s">
        <v>1005</v>
      </c>
      <c r="J150" t="s">
        <v>3098</v>
      </c>
      <c r="K150">
        <v>106.339344168479</v>
      </c>
      <c r="L150">
        <v>0.24590716583644839</v>
      </c>
      <c r="M150">
        <v>169.33156075620681</v>
      </c>
      <c r="N150">
        <v>186.26471683182751</v>
      </c>
      <c r="P150" t="s">
        <v>726</v>
      </c>
      <c r="Q150" t="s">
        <v>4408</v>
      </c>
      <c r="R150" t="s">
        <v>4409</v>
      </c>
      <c r="S150" t="s">
        <v>11</v>
      </c>
      <c r="T150" t="s">
        <v>13</v>
      </c>
      <c r="U150" t="s">
        <v>75</v>
      </c>
      <c r="V150" t="s">
        <v>12</v>
      </c>
      <c r="X150" t="s">
        <v>4408</v>
      </c>
      <c r="Y150" t="s">
        <v>76</v>
      </c>
      <c r="Z150">
        <v>1</v>
      </c>
    </row>
    <row r="151" spans="1:26">
      <c r="A151" t="s">
        <v>726</v>
      </c>
      <c r="B151" t="s">
        <v>1007</v>
      </c>
      <c r="C151" t="s">
        <v>1008</v>
      </c>
      <c r="D151" t="s">
        <v>11</v>
      </c>
      <c r="E151" t="s">
        <v>13</v>
      </c>
      <c r="F151" t="s">
        <v>729</v>
      </c>
      <c r="G151" t="s">
        <v>12</v>
      </c>
      <c r="I151" t="s">
        <v>1007</v>
      </c>
      <c r="J151" t="s">
        <v>3099</v>
      </c>
      <c r="K151">
        <v>78.176866250878348</v>
      </c>
      <c r="L151">
        <v>0.24373494084329819</v>
      </c>
      <c r="M151">
        <v>201.51164458449247</v>
      </c>
      <c r="N151">
        <v>221.66280904294175</v>
      </c>
      <c r="P151" t="s">
        <v>726</v>
      </c>
      <c r="Q151" t="s">
        <v>4410</v>
      </c>
      <c r="R151" t="s">
        <v>4411</v>
      </c>
      <c r="S151" t="s">
        <v>11</v>
      </c>
      <c r="T151" t="s">
        <v>13</v>
      </c>
      <c r="U151" t="s">
        <v>75</v>
      </c>
      <c r="V151" t="s">
        <v>12</v>
      </c>
      <c r="X151" t="s">
        <v>4410</v>
      </c>
      <c r="Y151" t="s">
        <v>76</v>
      </c>
      <c r="Z151">
        <v>1</v>
      </c>
    </row>
    <row r="152" spans="1:26">
      <c r="A152" t="s">
        <v>726</v>
      </c>
      <c r="B152" t="s">
        <v>1009</v>
      </c>
      <c r="C152" t="s">
        <v>1010</v>
      </c>
      <c r="D152" t="s">
        <v>11</v>
      </c>
      <c r="E152" t="s">
        <v>13</v>
      </c>
      <c r="F152" t="s">
        <v>729</v>
      </c>
      <c r="G152" t="s">
        <v>12</v>
      </c>
      <c r="I152" t="s">
        <v>1009</v>
      </c>
      <c r="J152" t="s">
        <v>3100</v>
      </c>
      <c r="K152">
        <v>118.58904731549025</v>
      </c>
      <c r="L152">
        <v>0.2644598657401393</v>
      </c>
      <c r="M152">
        <v>439.66158115164251</v>
      </c>
      <c r="N152">
        <v>483.62773926680677</v>
      </c>
      <c r="P152" t="s">
        <v>726</v>
      </c>
      <c r="Q152" t="s">
        <v>4412</v>
      </c>
      <c r="R152" t="s">
        <v>4413</v>
      </c>
      <c r="S152" t="s">
        <v>11</v>
      </c>
      <c r="T152" t="s">
        <v>13</v>
      </c>
      <c r="U152" t="s">
        <v>75</v>
      </c>
      <c r="V152" t="s">
        <v>12</v>
      </c>
      <c r="X152" t="s">
        <v>4412</v>
      </c>
      <c r="Y152" t="s">
        <v>76</v>
      </c>
      <c r="Z152">
        <v>1</v>
      </c>
    </row>
    <row r="153" spans="1:26">
      <c r="A153" t="s">
        <v>726</v>
      </c>
      <c r="B153" t="s">
        <v>1011</v>
      </c>
      <c r="C153" t="s">
        <v>1012</v>
      </c>
      <c r="D153" t="s">
        <v>11</v>
      </c>
      <c r="E153" t="s">
        <v>13</v>
      </c>
      <c r="F153" t="s">
        <v>729</v>
      </c>
      <c r="G153" t="s">
        <v>12</v>
      </c>
      <c r="I153" t="s">
        <v>1011</v>
      </c>
      <c r="J153" t="s">
        <v>3101</v>
      </c>
      <c r="K153">
        <v>151.19001270154425</v>
      </c>
      <c r="L153">
        <v>0.24839288355145159</v>
      </c>
      <c r="M153">
        <v>186.30126165054327</v>
      </c>
      <c r="N153">
        <v>204.93138781559762</v>
      </c>
      <c r="P153" t="s">
        <v>726</v>
      </c>
      <c r="Q153" t="s">
        <v>4414</v>
      </c>
      <c r="R153" t="s">
        <v>4415</v>
      </c>
      <c r="S153" t="s">
        <v>11</v>
      </c>
      <c r="T153" t="s">
        <v>13</v>
      </c>
      <c r="U153" t="s">
        <v>75</v>
      </c>
      <c r="V153" t="s">
        <v>12</v>
      </c>
      <c r="X153" t="s">
        <v>4414</v>
      </c>
      <c r="Y153" t="s">
        <v>76</v>
      </c>
      <c r="Z153">
        <v>1</v>
      </c>
    </row>
    <row r="154" spans="1:26">
      <c r="A154" t="s">
        <v>726</v>
      </c>
      <c r="B154" t="s">
        <v>1013</v>
      </c>
      <c r="C154" t="s">
        <v>1014</v>
      </c>
      <c r="D154" t="s">
        <v>11</v>
      </c>
      <c r="E154" t="s">
        <v>13</v>
      </c>
      <c r="F154" t="s">
        <v>729</v>
      </c>
      <c r="G154" t="s">
        <v>12</v>
      </c>
      <c r="I154" t="s">
        <v>1013</v>
      </c>
      <c r="J154" t="s">
        <v>3102</v>
      </c>
      <c r="K154">
        <v>111.76905991636232</v>
      </c>
      <c r="L154">
        <v>0.25564889146577391</v>
      </c>
      <c r="M154">
        <v>350.88869941552417</v>
      </c>
      <c r="N154">
        <v>385.97756935707662</v>
      </c>
      <c r="P154" t="s">
        <v>726</v>
      </c>
      <c r="Q154" t="s">
        <v>4416</v>
      </c>
      <c r="R154" t="s">
        <v>4417</v>
      </c>
      <c r="S154" t="s">
        <v>11</v>
      </c>
      <c r="T154" t="s">
        <v>13</v>
      </c>
      <c r="U154" t="s">
        <v>75</v>
      </c>
      <c r="V154" t="s">
        <v>12</v>
      </c>
      <c r="X154" t="s">
        <v>4416</v>
      </c>
      <c r="Y154" t="s">
        <v>76</v>
      </c>
      <c r="Z154">
        <v>1</v>
      </c>
    </row>
    <row r="155" spans="1:26">
      <c r="A155" t="s">
        <v>726</v>
      </c>
      <c r="B155" t="s">
        <v>1015</v>
      </c>
      <c r="C155" t="s">
        <v>1016</v>
      </c>
      <c r="D155" t="s">
        <v>11</v>
      </c>
      <c r="E155" t="s">
        <v>13</v>
      </c>
      <c r="F155" t="s">
        <v>729</v>
      </c>
      <c r="G155" t="s">
        <v>12</v>
      </c>
      <c r="I155" t="s">
        <v>1015</v>
      </c>
      <c r="J155" t="s">
        <v>3103</v>
      </c>
      <c r="K155">
        <v>79.499378931275828</v>
      </c>
      <c r="L155">
        <v>0.25029573429717378</v>
      </c>
      <c r="M155">
        <v>145.2119545553609</v>
      </c>
      <c r="N155">
        <v>159.73315001089702</v>
      </c>
      <c r="P155" t="s">
        <v>726</v>
      </c>
      <c r="Q155" t="s">
        <v>4418</v>
      </c>
      <c r="R155" t="s">
        <v>4419</v>
      </c>
      <c r="S155" t="s">
        <v>11</v>
      </c>
      <c r="T155" t="s">
        <v>13</v>
      </c>
      <c r="U155" t="s">
        <v>75</v>
      </c>
      <c r="V155" t="s">
        <v>12</v>
      </c>
      <c r="X155" t="s">
        <v>4418</v>
      </c>
      <c r="Y155" t="s">
        <v>76</v>
      </c>
      <c r="Z155">
        <v>1</v>
      </c>
    </row>
    <row r="156" spans="1:26">
      <c r="A156" t="s">
        <v>726</v>
      </c>
      <c r="B156" t="s">
        <v>1017</v>
      </c>
      <c r="C156" t="s">
        <v>1018</v>
      </c>
      <c r="D156" t="s">
        <v>11</v>
      </c>
      <c r="E156" t="s">
        <v>13</v>
      </c>
      <c r="F156" t="s">
        <v>729</v>
      </c>
      <c r="G156" t="s">
        <v>12</v>
      </c>
      <c r="I156" t="s">
        <v>1017</v>
      </c>
      <c r="J156" t="s">
        <v>3104</v>
      </c>
      <c r="K156">
        <v>9.1072500000000005</v>
      </c>
      <c r="L156">
        <v>0.22221005333989571</v>
      </c>
      <c r="M156">
        <v>130.29804461682266</v>
      </c>
      <c r="N156">
        <v>143.32784907850495</v>
      </c>
      <c r="P156" t="s">
        <v>726</v>
      </c>
      <c r="Q156" t="s">
        <v>4420</v>
      </c>
      <c r="R156" t="s">
        <v>4421</v>
      </c>
      <c r="S156" t="s">
        <v>11</v>
      </c>
      <c r="T156" t="s">
        <v>13</v>
      </c>
      <c r="U156" t="s">
        <v>75</v>
      </c>
      <c r="V156" t="s">
        <v>12</v>
      </c>
      <c r="X156" t="s">
        <v>4420</v>
      </c>
      <c r="Y156" t="s">
        <v>76</v>
      </c>
      <c r="Z156">
        <v>1</v>
      </c>
    </row>
    <row r="157" spans="1:26">
      <c r="A157" t="s">
        <v>726</v>
      </c>
      <c r="B157" t="s">
        <v>1019</v>
      </c>
      <c r="C157" t="s">
        <v>1020</v>
      </c>
      <c r="D157" t="s">
        <v>11</v>
      </c>
      <c r="E157" t="s">
        <v>13</v>
      </c>
      <c r="F157" t="s">
        <v>729</v>
      </c>
      <c r="G157" t="s">
        <v>12</v>
      </c>
      <c r="I157" t="s">
        <v>1019</v>
      </c>
      <c r="J157" t="s">
        <v>3105</v>
      </c>
      <c r="K157">
        <v>1.18275</v>
      </c>
      <c r="L157">
        <v>0.21057535780256581</v>
      </c>
      <c r="M157">
        <v>48.234506502647321</v>
      </c>
      <c r="N157">
        <v>53.05795715291206</v>
      </c>
      <c r="P157" t="s">
        <v>726</v>
      </c>
      <c r="Q157" t="s">
        <v>4422</v>
      </c>
      <c r="R157" t="s">
        <v>4423</v>
      </c>
      <c r="S157" t="s">
        <v>11</v>
      </c>
      <c r="T157" t="s">
        <v>13</v>
      </c>
      <c r="U157" t="s">
        <v>75</v>
      </c>
      <c r="V157" t="s">
        <v>12</v>
      </c>
      <c r="X157" t="s">
        <v>4422</v>
      </c>
      <c r="Y157" t="s">
        <v>76</v>
      </c>
      <c r="Z157">
        <v>1</v>
      </c>
    </row>
    <row r="158" spans="1:26">
      <c r="A158" t="s">
        <v>726</v>
      </c>
      <c r="B158" t="s">
        <v>1021</v>
      </c>
      <c r="C158" t="s">
        <v>1022</v>
      </c>
      <c r="D158" t="s">
        <v>11</v>
      </c>
      <c r="E158" t="s">
        <v>13</v>
      </c>
      <c r="F158" t="s">
        <v>729</v>
      </c>
      <c r="G158" t="s">
        <v>12</v>
      </c>
      <c r="I158" t="s">
        <v>1021</v>
      </c>
      <c r="J158" t="s">
        <v>3106</v>
      </c>
      <c r="K158">
        <v>9.3450000000000006</v>
      </c>
      <c r="L158">
        <v>0.22229155745611801</v>
      </c>
      <c r="M158">
        <v>139.97298089490209</v>
      </c>
      <c r="N158">
        <v>153.97027898439231</v>
      </c>
      <c r="P158" t="s">
        <v>726</v>
      </c>
      <c r="Q158" t="s">
        <v>4424</v>
      </c>
      <c r="R158" t="s">
        <v>4425</v>
      </c>
      <c r="S158" t="s">
        <v>11</v>
      </c>
      <c r="T158" t="s">
        <v>13</v>
      </c>
      <c r="U158" t="s">
        <v>75</v>
      </c>
      <c r="V158" t="s">
        <v>12</v>
      </c>
      <c r="X158" t="s">
        <v>4424</v>
      </c>
      <c r="Y158" t="s">
        <v>76</v>
      </c>
      <c r="Z158">
        <v>1</v>
      </c>
    </row>
    <row r="159" spans="1:26">
      <c r="A159" t="s">
        <v>726</v>
      </c>
      <c r="B159" t="s">
        <v>1023</v>
      </c>
      <c r="C159" t="s">
        <v>1024</v>
      </c>
      <c r="D159" t="s">
        <v>11</v>
      </c>
      <c r="E159" t="s">
        <v>13</v>
      </c>
      <c r="F159" t="s">
        <v>729</v>
      </c>
      <c r="G159" t="s">
        <v>12</v>
      </c>
      <c r="I159" t="s">
        <v>1023</v>
      </c>
      <c r="J159" t="s">
        <v>3107</v>
      </c>
      <c r="K159">
        <v>0.56699999999999995</v>
      </c>
      <c r="L159">
        <v>0.22474668244492951</v>
      </c>
      <c r="M159">
        <v>487.6240636067356</v>
      </c>
      <c r="N159">
        <v>536.3864699674092</v>
      </c>
    </row>
    <row r="160" spans="1:26">
      <c r="A160" t="s">
        <v>726</v>
      </c>
      <c r="B160" t="s">
        <v>1025</v>
      </c>
      <c r="C160" t="s">
        <v>1026</v>
      </c>
      <c r="D160" t="s">
        <v>11</v>
      </c>
      <c r="E160" t="s">
        <v>13</v>
      </c>
      <c r="F160" t="s">
        <v>729</v>
      </c>
      <c r="G160" t="s">
        <v>12</v>
      </c>
      <c r="I160" t="s">
        <v>1025</v>
      </c>
      <c r="J160" t="s">
        <v>3108</v>
      </c>
      <c r="K160">
        <v>2.7397499999999999</v>
      </c>
      <c r="L160">
        <v>0.2206204190543781</v>
      </c>
      <c r="M160">
        <v>99.243514092955564</v>
      </c>
      <c r="N160">
        <v>109.16786550225113</v>
      </c>
    </row>
    <row r="161" spans="1:14">
      <c r="A161" t="s">
        <v>726</v>
      </c>
      <c r="B161" t="s">
        <v>1027</v>
      </c>
      <c r="C161" t="s">
        <v>1024</v>
      </c>
      <c r="D161" t="s">
        <v>11</v>
      </c>
      <c r="E161" t="s">
        <v>13</v>
      </c>
      <c r="F161" t="s">
        <v>729</v>
      </c>
      <c r="G161" t="s">
        <v>12</v>
      </c>
      <c r="I161" t="s">
        <v>1027</v>
      </c>
      <c r="J161" t="s">
        <v>3109</v>
      </c>
      <c r="K161">
        <v>1.5142500000000001</v>
      </c>
      <c r="L161">
        <v>0.21550421989101029</v>
      </c>
      <c r="M161">
        <v>277.76287803745106</v>
      </c>
      <c r="N161">
        <v>305.53916584119617</v>
      </c>
    </row>
    <row r="162" spans="1:14">
      <c r="A162" t="s">
        <v>726</v>
      </c>
      <c r="B162" t="s">
        <v>1028</v>
      </c>
      <c r="C162" t="s">
        <v>1029</v>
      </c>
      <c r="D162" t="s">
        <v>11</v>
      </c>
      <c r="E162" t="s">
        <v>13</v>
      </c>
      <c r="F162" t="s">
        <v>729</v>
      </c>
      <c r="G162" t="s">
        <v>12</v>
      </c>
      <c r="I162" t="s">
        <v>1028</v>
      </c>
      <c r="J162" t="s">
        <v>3110</v>
      </c>
      <c r="K162">
        <v>14.973436301137328</v>
      </c>
      <c r="L162">
        <v>0.22648811597411739</v>
      </c>
      <c r="M162">
        <v>229.4298144936827</v>
      </c>
      <c r="N162">
        <v>252.37279594305099</v>
      </c>
    </row>
    <row r="163" spans="1:14">
      <c r="A163" t="s">
        <v>726</v>
      </c>
      <c r="B163" t="s">
        <v>1030</v>
      </c>
      <c r="C163" t="s">
        <v>1031</v>
      </c>
      <c r="D163" t="s">
        <v>11</v>
      </c>
      <c r="E163" t="s">
        <v>13</v>
      </c>
      <c r="F163" t="s">
        <v>729</v>
      </c>
      <c r="G163" t="s">
        <v>12</v>
      </c>
      <c r="I163" t="s">
        <v>1030</v>
      </c>
      <c r="J163" t="s">
        <v>3111</v>
      </c>
      <c r="K163">
        <v>4.9312500000000004</v>
      </c>
      <c r="L163">
        <v>0.22854031685996351</v>
      </c>
      <c r="M163">
        <v>242.39136189426611</v>
      </c>
      <c r="N163">
        <v>266.63049808369277</v>
      </c>
    </row>
    <row r="164" spans="1:14">
      <c r="A164" t="s">
        <v>726</v>
      </c>
      <c r="B164" t="s">
        <v>1032</v>
      </c>
      <c r="C164" t="s">
        <v>1033</v>
      </c>
      <c r="D164" t="s">
        <v>11</v>
      </c>
      <c r="E164" t="s">
        <v>13</v>
      </c>
      <c r="F164" t="s">
        <v>729</v>
      </c>
      <c r="G164" t="s">
        <v>12</v>
      </c>
      <c r="I164" t="s">
        <v>1032</v>
      </c>
      <c r="J164" t="s">
        <v>3112</v>
      </c>
      <c r="K164">
        <v>62.368584625997684</v>
      </c>
      <c r="L164">
        <v>0.2412333850375086</v>
      </c>
      <c r="M164">
        <v>507.64264932703298</v>
      </c>
      <c r="N164">
        <v>558.40691425973637</v>
      </c>
    </row>
    <row r="165" spans="1:14">
      <c r="A165" t="s">
        <v>726</v>
      </c>
      <c r="B165" t="s">
        <v>1034</v>
      </c>
      <c r="C165" t="s">
        <v>1035</v>
      </c>
      <c r="D165" t="s">
        <v>11</v>
      </c>
      <c r="E165" t="s">
        <v>13</v>
      </c>
      <c r="F165" t="s">
        <v>729</v>
      </c>
      <c r="G165" t="s">
        <v>12</v>
      </c>
      <c r="I165" t="s">
        <v>1034</v>
      </c>
      <c r="J165" t="s">
        <v>3113</v>
      </c>
      <c r="K165">
        <v>4.4125756213194487</v>
      </c>
      <c r="L165">
        <v>0.1578673617572911</v>
      </c>
      <c r="M165">
        <v>1026.0000636855607</v>
      </c>
      <c r="N165">
        <v>1128.6000700541169</v>
      </c>
    </row>
    <row r="166" spans="1:14">
      <c r="A166" t="s">
        <v>726</v>
      </c>
      <c r="B166" t="s">
        <v>1036</v>
      </c>
      <c r="C166" t="s">
        <v>1037</v>
      </c>
      <c r="D166" t="s">
        <v>11</v>
      </c>
      <c r="E166" t="s">
        <v>13</v>
      </c>
      <c r="F166" t="s">
        <v>729</v>
      </c>
      <c r="G166" t="s">
        <v>12</v>
      </c>
      <c r="I166" t="s">
        <v>1036</v>
      </c>
      <c r="J166" t="s">
        <v>3114</v>
      </c>
      <c r="K166">
        <v>6.0556601806755186</v>
      </c>
      <c r="L166">
        <v>0.16593494718653329</v>
      </c>
      <c r="M166">
        <v>962.52832539617123</v>
      </c>
      <c r="N166">
        <v>1058.7811579357885</v>
      </c>
    </row>
    <row r="167" spans="1:14">
      <c r="A167" t="s">
        <v>726</v>
      </c>
      <c r="B167" t="s">
        <v>1038</v>
      </c>
      <c r="C167" t="s">
        <v>1035</v>
      </c>
      <c r="D167" t="s">
        <v>11</v>
      </c>
      <c r="E167" t="s">
        <v>13</v>
      </c>
      <c r="F167" t="s">
        <v>729</v>
      </c>
      <c r="G167" t="s">
        <v>12</v>
      </c>
      <c r="I167" t="s">
        <v>1038</v>
      </c>
      <c r="J167" t="s">
        <v>3115</v>
      </c>
      <c r="K167">
        <v>12.610943249559696</v>
      </c>
      <c r="L167">
        <v>0.14784541853687611</v>
      </c>
      <c r="M167">
        <v>1160.1315352692184</v>
      </c>
      <c r="N167">
        <v>1276.1446887961404</v>
      </c>
    </row>
    <row r="168" spans="1:14">
      <c r="A168" t="s">
        <v>726</v>
      </c>
      <c r="B168" t="s">
        <v>1039</v>
      </c>
      <c r="C168" t="s">
        <v>1035</v>
      </c>
      <c r="D168" t="s">
        <v>11</v>
      </c>
      <c r="E168" t="s">
        <v>13</v>
      </c>
      <c r="F168" t="s">
        <v>729</v>
      </c>
      <c r="G168" t="s">
        <v>12</v>
      </c>
      <c r="I168" t="s">
        <v>1039</v>
      </c>
      <c r="J168" t="s">
        <v>3116</v>
      </c>
      <c r="K168">
        <v>34.111944870999338</v>
      </c>
      <c r="L168">
        <v>0.1490152437490786</v>
      </c>
      <c r="M168">
        <v>1187.6084007414006</v>
      </c>
      <c r="N168">
        <v>1306.3692408155407</v>
      </c>
    </row>
    <row r="169" spans="1:14">
      <c r="A169" t="s">
        <v>726</v>
      </c>
      <c r="B169" t="s">
        <v>1040</v>
      </c>
      <c r="C169" t="s">
        <v>1035</v>
      </c>
      <c r="D169" t="s">
        <v>11</v>
      </c>
      <c r="E169" t="s">
        <v>13</v>
      </c>
      <c r="F169" t="s">
        <v>729</v>
      </c>
      <c r="G169" t="s">
        <v>12</v>
      </c>
      <c r="I169" t="s">
        <v>1040</v>
      </c>
      <c r="J169" t="s">
        <v>3117</v>
      </c>
      <c r="K169">
        <v>7.6693619773122883</v>
      </c>
      <c r="L169">
        <v>0.1629325747244981</v>
      </c>
      <c r="M169">
        <v>661.03283924136849</v>
      </c>
      <c r="N169">
        <v>727.13612316550541</v>
      </c>
    </row>
    <row r="170" spans="1:14">
      <c r="A170" t="s">
        <v>726</v>
      </c>
      <c r="B170" t="s">
        <v>1041</v>
      </c>
      <c r="C170" t="s">
        <v>1035</v>
      </c>
      <c r="D170" t="s">
        <v>11</v>
      </c>
      <c r="E170" t="s">
        <v>13</v>
      </c>
      <c r="F170" t="s">
        <v>729</v>
      </c>
      <c r="G170" t="s">
        <v>12</v>
      </c>
      <c r="I170" t="s">
        <v>1041</v>
      </c>
      <c r="J170" t="s">
        <v>3118</v>
      </c>
      <c r="K170">
        <v>4.3261815671018962</v>
      </c>
      <c r="L170">
        <v>0.1594932022488211</v>
      </c>
      <c r="M170">
        <v>826.49503089708628</v>
      </c>
      <c r="N170">
        <v>909.14453398679495</v>
      </c>
    </row>
    <row r="171" spans="1:14">
      <c r="A171" t="s">
        <v>726</v>
      </c>
      <c r="B171" t="s">
        <v>1042</v>
      </c>
      <c r="C171" t="s">
        <v>1043</v>
      </c>
      <c r="D171" t="s">
        <v>11</v>
      </c>
      <c r="E171" t="s">
        <v>13</v>
      </c>
      <c r="F171" t="s">
        <v>729</v>
      </c>
      <c r="G171" t="s">
        <v>12</v>
      </c>
      <c r="I171" t="s">
        <v>1042</v>
      </c>
      <c r="J171" t="s">
        <v>3119</v>
      </c>
      <c r="K171">
        <v>2.6929327914187637</v>
      </c>
      <c r="L171">
        <v>0.1720573443310868</v>
      </c>
      <c r="M171">
        <v>769.65050570792744</v>
      </c>
      <c r="N171">
        <v>846.61555627872031</v>
      </c>
    </row>
    <row r="172" spans="1:14">
      <c r="A172" t="s">
        <v>726</v>
      </c>
      <c r="B172" t="s">
        <v>1044</v>
      </c>
      <c r="C172" t="s">
        <v>1045</v>
      </c>
      <c r="D172" t="s">
        <v>11</v>
      </c>
      <c r="E172" t="s">
        <v>13</v>
      </c>
      <c r="F172" t="s">
        <v>729</v>
      </c>
      <c r="G172" t="s">
        <v>12</v>
      </c>
      <c r="I172" t="s">
        <v>1044</v>
      </c>
      <c r="J172" t="s">
        <v>3120</v>
      </c>
      <c r="K172">
        <v>12.552202831788049</v>
      </c>
      <c r="L172">
        <v>0.1737698354395498</v>
      </c>
      <c r="M172">
        <v>869.98889451210744</v>
      </c>
      <c r="N172">
        <v>956.98778396331829</v>
      </c>
    </row>
    <row r="173" spans="1:14">
      <c r="A173" t="s">
        <v>726</v>
      </c>
      <c r="B173" t="s">
        <v>1046</v>
      </c>
      <c r="C173" t="s">
        <v>1045</v>
      </c>
      <c r="D173" t="s">
        <v>11</v>
      </c>
      <c r="E173" t="s">
        <v>13</v>
      </c>
      <c r="F173" t="s">
        <v>729</v>
      </c>
      <c r="G173" t="s">
        <v>12</v>
      </c>
      <c r="I173" t="s">
        <v>1046</v>
      </c>
      <c r="J173" t="s">
        <v>3121</v>
      </c>
      <c r="K173">
        <v>8.7313308628118964</v>
      </c>
      <c r="L173">
        <v>0.1966561459683106</v>
      </c>
      <c r="M173">
        <v>338.48371095436937</v>
      </c>
      <c r="N173">
        <v>372.33208204980633</v>
      </c>
    </row>
    <row r="174" spans="1:14">
      <c r="A174" t="s">
        <v>726</v>
      </c>
      <c r="B174" t="s">
        <v>1047</v>
      </c>
      <c r="C174" t="s">
        <v>1048</v>
      </c>
      <c r="D174" t="s">
        <v>11</v>
      </c>
      <c r="E174" t="s">
        <v>13</v>
      </c>
      <c r="F174" t="s">
        <v>729</v>
      </c>
      <c r="G174" t="s">
        <v>12</v>
      </c>
      <c r="I174" t="s">
        <v>1047</v>
      </c>
      <c r="J174" t="s">
        <v>3122</v>
      </c>
      <c r="K174">
        <v>59.615681704527944</v>
      </c>
      <c r="L174">
        <v>0.21658352073456549</v>
      </c>
      <c r="M174">
        <v>252.59796507796051</v>
      </c>
      <c r="N174">
        <v>277.85776158575658</v>
      </c>
    </row>
    <row r="175" spans="1:14">
      <c r="A175" t="s">
        <v>726</v>
      </c>
      <c r="B175" t="s">
        <v>1049</v>
      </c>
      <c r="C175" t="s">
        <v>1050</v>
      </c>
      <c r="D175" t="s">
        <v>11</v>
      </c>
      <c r="E175" t="s">
        <v>13</v>
      </c>
      <c r="F175" t="s">
        <v>729</v>
      </c>
      <c r="G175" t="s">
        <v>12</v>
      </c>
      <c r="I175" t="s">
        <v>1049</v>
      </c>
      <c r="J175" t="s">
        <v>3123</v>
      </c>
      <c r="K175">
        <v>21.342106618196198</v>
      </c>
      <c r="L175">
        <v>0.21101394644173321</v>
      </c>
      <c r="M175">
        <v>235.407291974505</v>
      </c>
      <c r="N175">
        <v>258.94802117195553</v>
      </c>
    </row>
    <row r="176" spans="1:14">
      <c r="A176" t="s">
        <v>726</v>
      </c>
      <c r="B176" t="s">
        <v>1051</v>
      </c>
      <c r="C176" t="s">
        <v>1052</v>
      </c>
      <c r="D176" t="s">
        <v>11</v>
      </c>
      <c r="E176" t="s">
        <v>13</v>
      </c>
      <c r="F176" t="s">
        <v>729</v>
      </c>
      <c r="G176" t="s">
        <v>12</v>
      </c>
      <c r="I176" t="s">
        <v>1051</v>
      </c>
      <c r="J176" t="s">
        <v>3124</v>
      </c>
      <c r="K176">
        <v>18.690866769073008</v>
      </c>
      <c r="L176">
        <v>0.1801048269807331</v>
      </c>
      <c r="M176">
        <v>554.4194265315374</v>
      </c>
      <c r="N176">
        <v>609.86136918469117</v>
      </c>
    </row>
    <row r="177" spans="1:14">
      <c r="A177" t="s">
        <v>726</v>
      </c>
      <c r="B177" t="s">
        <v>1053</v>
      </c>
      <c r="C177" t="s">
        <v>1054</v>
      </c>
      <c r="D177" t="s">
        <v>11</v>
      </c>
      <c r="E177" t="s">
        <v>13</v>
      </c>
      <c r="F177" t="s">
        <v>729</v>
      </c>
      <c r="G177" t="s">
        <v>12</v>
      </c>
      <c r="I177" t="s">
        <v>1053</v>
      </c>
      <c r="J177" t="s">
        <v>3125</v>
      </c>
      <c r="K177">
        <v>3.8191952775851421</v>
      </c>
      <c r="L177">
        <v>0.1584102674874095</v>
      </c>
      <c r="M177">
        <v>1510.9983436429304</v>
      </c>
      <c r="N177">
        <v>1662.0981780072236</v>
      </c>
    </row>
    <row r="178" spans="1:14">
      <c r="A178" t="s">
        <v>726</v>
      </c>
      <c r="B178" t="s">
        <v>1055</v>
      </c>
      <c r="C178" t="s">
        <v>1056</v>
      </c>
      <c r="D178" t="s">
        <v>11</v>
      </c>
      <c r="E178" t="s">
        <v>13</v>
      </c>
      <c r="F178" t="s">
        <v>729</v>
      </c>
      <c r="G178" t="s">
        <v>12</v>
      </c>
      <c r="I178" t="s">
        <v>1055</v>
      </c>
      <c r="J178" t="s">
        <v>3126</v>
      </c>
      <c r="K178">
        <v>1.9473954049903612</v>
      </c>
      <c r="L178">
        <v>0.1906374647051835</v>
      </c>
      <c r="M178">
        <v>282.17582343920839</v>
      </c>
      <c r="N178">
        <v>310.39340578312925</v>
      </c>
    </row>
    <row r="179" spans="1:14">
      <c r="A179" t="s">
        <v>726</v>
      </c>
      <c r="B179" t="s">
        <v>1057</v>
      </c>
      <c r="C179" t="s">
        <v>1052</v>
      </c>
      <c r="D179" t="s">
        <v>11</v>
      </c>
      <c r="E179" t="s">
        <v>13</v>
      </c>
      <c r="F179" t="s">
        <v>729</v>
      </c>
      <c r="G179" t="s">
        <v>12</v>
      </c>
      <c r="I179" t="s">
        <v>1057</v>
      </c>
      <c r="J179" t="s">
        <v>3127</v>
      </c>
      <c r="K179">
        <v>12.503949750419528</v>
      </c>
      <c r="L179">
        <v>0.18156893149225301</v>
      </c>
      <c r="M179">
        <v>653.40999402306807</v>
      </c>
      <c r="N179">
        <v>718.75099342537499</v>
      </c>
    </row>
    <row r="180" spans="1:14">
      <c r="A180" t="s">
        <v>726</v>
      </c>
      <c r="B180" t="s">
        <v>1058</v>
      </c>
      <c r="C180" t="s">
        <v>1059</v>
      </c>
      <c r="D180" t="s">
        <v>11</v>
      </c>
      <c r="E180" t="s">
        <v>13</v>
      </c>
      <c r="F180" t="s">
        <v>729</v>
      </c>
      <c r="G180" t="s">
        <v>12</v>
      </c>
      <c r="I180" t="s">
        <v>1058</v>
      </c>
      <c r="J180" t="s">
        <v>3128</v>
      </c>
      <c r="K180">
        <v>19.294208625792383</v>
      </c>
      <c r="L180">
        <v>0.17567743162902569</v>
      </c>
      <c r="M180">
        <v>853.29240357006961</v>
      </c>
      <c r="N180">
        <v>938.62164392707666</v>
      </c>
    </row>
    <row r="181" spans="1:14">
      <c r="A181" t="s">
        <v>726</v>
      </c>
      <c r="B181" t="s">
        <v>1060</v>
      </c>
      <c r="C181" t="s">
        <v>1061</v>
      </c>
      <c r="D181" t="s">
        <v>11</v>
      </c>
      <c r="E181" t="s">
        <v>13</v>
      </c>
      <c r="F181" t="s">
        <v>729</v>
      </c>
      <c r="G181" t="s">
        <v>12</v>
      </c>
      <c r="I181" t="s">
        <v>1060</v>
      </c>
      <c r="J181" t="s">
        <v>3129</v>
      </c>
      <c r="K181">
        <v>10.048038285745765</v>
      </c>
      <c r="L181">
        <v>0.17034669490516829</v>
      </c>
      <c r="M181">
        <v>562.14642621421604</v>
      </c>
      <c r="N181">
        <v>618.36106883563764</v>
      </c>
    </row>
    <row r="182" spans="1:14">
      <c r="A182" t="s">
        <v>726</v>
      </c>
      <c r="B182" t="s">
        <v>1062</v>
      </c>
      <c r="C182" t="s">
        <v>1059</v>
      </c>
      <c r="D182" t="s">
        <v>11</v>
      </c>
      <c r="E182" t="s">
        <v>13</v>
      </c>
      <c r="F182" t="s">
        <v>729</v>
      </c>
      <c r="G182" t="s">
        <v>12</v>
      </c>
      <c r="I182" t="s">
        <v>1062</v>
      </c>
      <c r="J182" t="s">
        <v>3130</v>
      </c>
      <c r="K182">
        <v>4.5695900545725605</v>
      </c>
      <c r="L182">
        <v>0.17996381588190269</v>
      </c>
      <c r="M182">
        <v>391.64149476734599</v>
      </c>
      <c r="N182">
        <v>430.80564424408061</v>
      </c>
    </row>
    <row r="183" spans="1:14">
      <c r="A183" t="s">
        <v>726</v>
      </c>
      <c r="B183" t="s">
        <v>1063</v>
      </c>
      <c r="C183" t="s">
        <v>1064</v>
      </c>
      <c r="D183" t="s">
        <v>11</v>
      </c>
      <c r="E183" t="s">
        <v>13</v>
      </c>
      <c r="F183" t="s">
        <v>729</v>
      </c>
      <c r="G183" t="s">
        <v>12</v>
      </c>
      <c r="I183" t="s">
        <v>1063</v>
      </c>
      <c r="J183" t="s">
        <v>3131</v>
      </c>
      <c r="K183">
        <v>2.194054578862831</v>
      </c>
      <c r="L183">
        <v>0.1876611537078543</v>
      </c>
      <c r="M183">
        <v>87.317690956357708</v>
      </c>
      <c r="N183">
        <v>96.049460051993492</v>
      </c>
    </row>
    <row r="184" spans="1:14">
      <c r="A184" t="s">
        <v>726</v>
      </c>
      <c r="B184" t="s">
        <v>1065</v>
      </c>
      <c r="C184" t="s">
        <v>1066</v>
      </c>
      <c r="D184" t="s">
        <v>11</v>
      </c>
      <c r="E184" t="s">
        <v>13</v>
      </c>
      <c r="F184" t="s">
        <v>729</v>
      </c>
      <c r="G184" t="s">
        <v>12</v>
      </c>
      <c r="I184" t="s">
        <v>1065</v>
      </c>
      <c r="J184" t="s">
        <v>3132</v>
      </c>
      <c r="K184">
        <v>8.0569199619692675</v>
      </c>
      <c r="L184">
        <v>0.1778241103942452</v>
      </c>
      <c r="M184">
        <v>135.42601466529038</v>
      </c>
      <c r="N184">
        <v>148.96861613181943</v>
      </c>
    </row>
    <row r="185" spans="1:14">
      <c r="A185" t="s">
        <v>726</v>
      </c>
      <c r="B185" t="s">
        <v>1067</v>
      </c>
      <c r="C185" t="s">
        <v>1068</v>
      </c>
      <c r="D185" t="s">
        <v>11</v>
      </c>
      <c r="E185" t="s">
        <v>13</v>
      </c>
      <c r="F185" t="s">
        <v>729</v>
      </c>
      <c r="G185" t="s">
        <v>12</v>
      </c>
      <c r="I185" t="s">
        <v>1067</v>
      </c>
      <c r="J185" t="s">
        <v>3133</v>
      </c>
      <c r="K185">
        <v>7.1583506698829886</v>
      </c>
      <c r="L185">
        <v>0.1559021414684521</v>
      </c>
      <c r="M185">
        <v>345.71942927642482</v>
      </c>
      <c r="N185">
        <v>380.29137220406733</v>
      </c>
    </row>
    <row r="186" spans="1:14">
      <c r="A186" t="s">
        <v>726</v>
      </c>
      <c r="B186" t="s">
        <v>1069</v>
      </c>
      <c r="C186" t="s">
        <v>1070</v>
      </c>
      <c r="D186" t="s">
        <v>11</v>
      </c>
      <c r="E186" t="s">
        <v>13</v>
      </c>
      <c r="F186" t="s">
        <v>729</v>
      </c>
      <c r="G186" t="s">
        <v>12</v>
      </c>
      <c r="I186" t="s">
        <v>1069</v>
      </c>
      <c r="J186" t="s">
        <v>3134</v>
      </c>
      <c r="K186">
        <v>0.43402071812168341</v>
      </c>
      <c r="L186">
        <v>0.17680918243408489</v>
      </c>
      <c r="M186">
        <v>185.52734763741611</v>
      </c>
      <c r="N186">
        <v>204.08008240115774</v>
      </c>
    </row>
    <row r="187" spans="1:14">
      <c r="A187" t="s">
        <v>726</v>
      </c>
      <c r="B187" t="s">
        <v>1071</v>
      </c>
      <c r="C187" t="s">
        <v>1035</v>
      </c>
      <c r="D187" t="s">
        <v>11</v>
      </c>
      <c r="E187" t="s">
        <v>13</v>
      </c>
      <c r="F187" t="s">
        <v>729</v>
      </c>
      <c r="G187" t="s">
        <v>12</v>
      </c>
      <c r="I187" t="s">
        <v>1071</v>
      </c>
      <c r="J187" t="s">
        <v>3135</v>
      </c>
      <c r="K187">
        <v>4.4270484633177132</v>
      </c>
      <c r="L187">
        <v>0.16739202687139779</v>
      </c>
      <c r="M187">
        <v>317.84301916215344</v>
      </c>
      <c r="N187">
        <v>349.62732107836882</v>
      </c>
    </row>
    <row r="188" spans="1:14">
      <c r="A188" t="s">
        <v>726</v>
      </c>
      <c r="B188" t="s">
        <v>1072</v>
      </c>
      <c r="C188" t="s">
        <v>1073</v>
      </c>
      <c r="D188" t="s">
        <v>11</v>
      </c>
      <c r="E188" t="s">
        <v>13</v>
      </c>
      <c r="F188" t="s">
        <v>729</v>
      </c>
      <c r="G188" t="s">
        <v>12</v>
      </c>
      <c r="I188" t="s">
        <v>1072</v>
      </c>
      <c r="J188" t="s">
        <v>3136</v>
      </c>
      <c r="K188">
        <v>0.76184134828229821</v>
      </c>
      <c r="L188">
        <v>0.17853751644609259</v>
      </c>
      <c r="M188">
        <v>31.57112757952979</v>
      </c>
      <c r="N188">
        <v>34.728240337482774</v>
      </c>
    </row>
    <row r="189" spans="1:14">
      <c r="A189" t="s">
        <v>726</v>
      </c>
      <c r="B189" t="s">
        <v>1074</v>
      </c>
      <c r="C189" t="s">
        <v>1075</v>
      </c>
      <c r="D189" t="s">
        <v>11</v>
      </c>
      <c r="E189" t="s">
        <v>13</v>
      </c>
      <c r="F189" t="s">
        <v>729</v>
      </c>
      <c r="G189" t="s">
        <v>12</v>
      </c>
      <c r="I189" t="s">
        <v>1074</v>
      </c>
      <c r="J189" t="s">
        <v>3137</v>
      </c>
      <c r="K189">
        <v>10.405135789708584</v>
      </c>
      <c r="L189">
        <v>0.16324019399958761</v>
      </c>
      <c r="M189">
        <v>8.7468195210446531</v>
      </c>
      <c r="N189">
        <v>9.6215014731491184</v>
      </c>
    </row>
    <row r="190" spans="1:14">
      <c r="A190" t="s">
        <v>726</v>
      </c>
      <c r="B190" t="s">
        <v>1076</v>
      </c>
      <c r="C190" t="s">
        <v>1077</v>
      </c>
      <c r="D190" t="s">
        <v>11</v>
      </c>
      <c r="E190" t="s">
        <v>13</v>
      </c>
      <c r="F190" t="s">
        <v>729</v>
      </c>
      <c r="G190" t="s">
        <v>12</v>
      </c>
      <c r="I190" t="s">
        <v>1076</v>
      </c>
      <c r="J190" t="s">
        <v>3138</v>
      </c>
      <c r="K190">
        <v>13.612588342032462</v>
      </c>
      <c r="L190">
        <v>0.1648886731273658</v>
      </c>
      <c r="M190">
        <v>22.964227605615186</v>
      </c>
      <c r="N190">
        <v>25.260650366176705</v>
      </c>
    </row>
    <row r="191" spans="1:14">
      <c r="A191" t="s">
        <v>726</v>
      </c>
      <c r="B191" t="s">
        <v>1078</v>
      </c>
      <c r="C191" t="s">
        <v>1079</v>
      </c>
      <c r="D191" t="s">
        <v>11</v>
      </c>
      <c r="E191" t="s">
        <v>13</v>
      </c>
      <c r="F191" t="s">
        <v>729</v>
      </c>
      <c r="G191" t="s">
        <v>12</v>
      </c>
      <c r="I191" t="s">
        <v>1078</v>
      </c>
      <c r="J191" t="s">
        <v>3139</v>
      </c>
      <c r="K191">
        <v>0.52656024362040832</v>
      </c>
      <c r="L191">
        <v>0.1819000117606516</v>
      </c>
      <c r="M191">
        <v>63.327390103905039</v>
      </c>
      <c r="N191">
        <v>69.660129114295543</v>
      </c>
    </row>
    <row r="192" spans="1:14">
      <c r="A192" t="s">
        <v>726</v>
      </c>
      <c r="B192" t="s">
        <v>1080</v>
      </c>
      <c r="C192" t="s">
        <v>1081</v>
      </c>
      <c r="D192" t="s">
        <v>11</v>
      </c>
      <c r="E192" t="s">
        <v>13</v>
      </c>
      <c r="F192" t="s">
        <v>729</v>
      </c>
      <c r="G192" t="s">
        <v>12</v>
      </c>
      <c r="I192" t="s">
        <v>1080</v>
      </c>
      <c r="J192" t="s">
        <v>3140</v>
      </c>
      <c r="K192">
        <v>0.10686832725835528</v>
      </c>
      <c r="L192">
        <v>0.15149804780211179</v>
      </c>
      <c r="M192">
        <v>328.02194633220694</v>
      </c>
      <c r="N192">
        <v>360.82414096542766</v>
      </c>
    </row>
    <row r="193" spans="1:14">
      <c r="A193" t="s">
        <v>726</v>
      </c>
      <c r="B193" t="s">
        <v>1082</v>
      </c>
      <c r="C193" t="s">
        <v>1083</v>
      </c>
      <c r="D193" t="s">
        <v>11</v>
      </c>
      <c r="E193" t="s">
        <v>13</v>
      </c>
      <c r="F193" t="s">
        <v>729</v>
      </c>
      <c r="G193" t="s">
        <v>12</v>
      </c>
      <c r="I193" t="s">
        <v>1082</v>
      </c>
      <c r="J193" t="s">
        <v>3141</v>
      </c>
      <c r="K193">
        <v>2.3052234880020097</v>
      </c>
      <c r="L193">
        <v>0.19355212049281689</v>
      </c>
      <c r="M193">
        <v>344.92420193621211</v>
      </c>
      <c r="N193">
        <v>379.41662212983334</v>
      </c>
    </row>
    <row r="194" spans="1:14">
      <c r="A194" t="s">
        <v>726</v>
      </c>
      <c r="B194" t="s">
        <v>1084</v>
      </c>
      <c r="C194" t="s">
        <v>1085</v>
      </c>
      <c r="D194" t="s">
        <v>11</v>
      </c>
      <c r="E194" t="s">
        <v>13</v>
      </c>
      <c r="F194" t="s">
        <v>729</v>
      </c>
      <c r="G194" t="s">
        <v>12</v>
      </c>
      <c r="I194" t="s">
        <v>1084</v>
      </c>
      <c r="J194" t="s">
        <v>3142</v>
      </c>
      <c r="K194">
        <v>6.1796654547970613</v>
      </c>
      <c r="L194">
        <v>0.2341489712584329</v>
      </c>
      <c r="M194">
        <v>50.10064774416697</v>
      </c>
      <c r="N194">
        <v>55.110712518583675</v>
      </c>
    </row>
    <row r="195" spans="1:14">
      <c r="A195" t="s">
        <v>726</v>
      </c>
      <c r="B195" t="s">
        <v>1086</v>
      </c>
      <c r="C195" t="s">
        <v>1087</v>
      </c>
      <c r="D195" t="s">
        <v>11</v>
      </c>
      <c r="E195" t="s">
        <v>13</v>
      </c>
      <c r="F195" t="s">
        <v>729</v>
      </c>
      <c r="G195" t="s">
        <v>12</v>
      </c>
      <c r="I195" t="s">
        <v>1086</v>
      </c>
      <c r="J195" t="s">
        <v>3143</v>
      </c>
      <c r="K195">
        <v>2.4472758669054202</v>
      </c>
      <c r="L195">
        <v>0.20792985653104251</v>
      </c>
      <c r="M195">
        <v>87.133647035749419</v>
      </c>
      <c r="N195">
        <v>95.847011739324373</v>
      </c>
    </row>
    <row r="196" spans="1:14">
      <c r="A196" t="s">
        <v>726</v>
      </c>
      <c r="B196" t="s">
        <v>1088</v>
      </c>
      <c r="C196" t="s">
        <v>1089</v>
      </c>
      <c r="D196" t="s">
        <v>11</v>
      </c>
      <c r="E196" t="s">
        <v>13</v>
      </c>
      <c r="F196" t="s">
        <v>729</v>
      </c>
      <c r="G196" t="s">
        <v>12</v>
      </c>
      <c r="I196" t="s">
        <v>1088</v>
      </c>
      <c r="J196" t="s">
        <v>3144</v>
      </c>
      <c r="K196">
        <v>129.71255470276529</v>
      </c>
      <c r="L196">
        <v>0.29873358656592558</v>
      </c>
      <c r="M196">
        <v>101.55091662758146</v>
      </c>
      <c r="N196">
        <v>111.70600829033961</v>
      </c>
    </row>
    <row r="197" spans="1:14">
      <c r="A197" t="s">
        <v>726</v>
      </c>
      <c r="B197" t="s">
        <v>1090</v>
      </c>
      <c r="C197" t="s">
        <v>1091</v>
      </c>
      <c r="D197" t="s">
        <v>11</v>
      </c>
      <c r="E197" t="s">
        <v>13</v>
      </c>
      <c r="F197" t="s">
        <v>729</v>
      </c>
      <c r="G197" t="s">
        <v>12</v>
      </c>
      <c r="I197" t="s">
        <v>1090</v>
      </c>
      <c r="J197" t="s">
        <v>3145</v>
      </c>
      <c r="K197">
        <v>16.772078215303083</v>
      </c>
      <c r="L197">
        <v>0.26301857187063138</v>
      </c>
      <c r="M197">
        <v>83.334429770919215</v>
      </c>
      <c r="N197">
        <v>91.667872748011149</v>
      </c>
    </row>
    <row r="198" spans="1:14">
      <c r="A198" t="s">
        <v>726</v>
      </c>
      <c r="B198" t="s">
        <v>1092</v>
      </c>
      <c r="C198" t="s">
        <v>1093</v>
      </c>
      <c r="D198" t="s">
        <v>11</v>
      </c>
      <c r="E198" t="s">
        <v>13</v>
      </c>
      <c r="F198" t="s">
        <v>729</v>
      </c>
      <c r="G198" t="s">
        <v>12</v>
      </c>
      <c r="I198" t="s">
        <v>1092</v>
      </c>
      <c r="J198" t="s">
        <v>3146</v>
      </c>
      <c r="K198">
        <v>145.19769036343266</v>
      </c>
      <c r="L198">
        <v>0.2006480918235955</v>
      </c>
      <c r="M198">
        <v>42.5871430372286</v>
      </c>
      <c r="N198">
        <v>46.845857340951461</v>
      </c>
    </row>
    <row r="199" spans="1:14">
      <c r="A199" t="s">
        <v>726</v>
      </c>
      <c r="B199" t="s">
        <v>1094</v>
      </c>
      <c r="C199" t="s">
        <v>1095</v>
      </c>
      <c r="D199" t="s">
        <v>11</v>
      </c>
      <c r="E199" t="s">
        <v>13</v>
      </c>
      <c r="F199" t="s">
        <v>729</v>
      </c>
      <c r="G199" t="s">
        <v>12</v>
      </c>
      <c r="I199" t="s">
        <v>1094</v>
      </c>
      <c r="J199" t="s">
        <v>3147</v>
      </c>
      <c r="K199">
        <v>258.60513508685489</v>
      </c>
      <c r="L199">
        <v>0.18212979356093159</v>
      </c>
      <c r="M199">
        <v>63.214530710365217</v>
      </c>
      <c r="N199">
        <v>69.53598378140174</v>
      </c>
    </row>
    <row r="200" spans="1:14">
      <c r="A200" t="s">
        <v>726</v>
      </c>
      <c r="B200" t="s">
        <v>1096</v>
      </c>
      <c r="C200" t="s">
        <v>1097</v>
      </c>
      <c r="D200" t="s">
        <v>11</v>
      </c>
      <c r="E200" t="s">
        <v>13</v>
      </c>
      <c r="F200" t="s">
        <v>729</v>
      </c>
      <c r="G200" t="s">
        <v>12</v>
      </c>
      <c r="I200" t="s">
        <v>1096</v>
      </c>
      <c r="J200" t="s">
        <v>3148</v>
      </c>
      <c r="K200">
        <v>136.08674373497416</v>
      </c>
      <c r="L200">
        <v>0.1548609908342061</v>
      </c>
      <c r="M200">
        <v>40.232407026868742</v>
      </c>
      <c r="N200">
        <v>44.255647729555619</v>
      </c>
    </row>
    <row r="201" spans="1:14">
      <c r="A201" t="s">
        <v>726</v>
      </c>
      <c r="B201" t="s">
        <v>1098</v>
      </c>
      <c r="C201" t="s">
        <v>1099</v>
      </c>
      <c r="D201" t="s">
        <v>11</v>
      </c>
      <c r="E201" t="s">
        <v>13</v>
      </c>
      <c r="F201" t="s">
        <v>729</v>
      </c>
      <c r="G201" t="s">
        <v>12</v>
      </c>
      <c r="I201" t="s">
        <v>1098</v>
      </c>
      <c r="J201" t="s">
        <v>3149</v>
      </c>
      <c r="K201">
        <v>123.70073430911211</v>
      </c>
      <c r="L201">
        <v>0.1517969785063179</v>
      </c>
      <c r="M201">
        <v>55.484548819023615</v>
      </c>
      <c r="N201">
        <v>61.033003700925981</v>
      </c>
    </row>
    <row r="202" spans="1:14">
      <c r="A202" t="s">
        <v>726</v>
      </c>
      <c r="B202" t="s">
        <v>1100</v>
      </c>
      <c r="C202" t="s">
        <v>1101</v>
      </c>
      <c r="D202" t="s">
        <v>11</v>
      </c>
      <c r="E202" t="s">
        <v>13</v>
      </c>
      <c r="F202" t="s">
        <v>729</v>
      </c>
      <c r="G202" t="s">
        <v>12</v>
      </c>
      <c r="I202" t="s">
        <v>1100</v>
      </c>
      <c r="J202" t="s">
        <v>3150</v>
      </c>
      <c r="K202">
        <v>302.24577108668387</v>
      </c>
      <c r="L202">
        <v>0.18467581398385299</v>
      </c>
      <c r="M202">
        <v>51.063786004476668</v>
      </c>
      <c r="N202">
        <v>56.170164604924338</v>
      </c>
    </row>
    <row r="203" spans="1:14">
      <c r="A203" t="s">
        <v>726</v>
      </c>
      <c r="B203" t="s">
        <v>1102</v>
      </c>
      <c r="C203" t="s">
        <v>1103</v>
      </c>
      <c r="D203" t="s">
        <v>11</v>
      </c>
      <c r="E203" t="s">
        <v>13</v>
      </c>
      <c r="F203" t="s">
        <v>729</v>
      </c>
      <c r="G203" t="s">
        <v>12</v>
      </c>
      <c r="I203" t="s">
        <v>1102</v>
      </c>
      <c r="J203" t="s">
        <v>3151</v>
      </c>
      <c r="K203">
        <v>93.447802584094902</v>
      </c>
      <c r="L203">
        <v>0.15756997236745721</v>
      </c>
      <c r="M203">
        <v>55.374345635332148</v>
      </c>
      <c r="N203">
        <v>60.911780198865365</v>
      </c>
    </row>
    <row r="204" spans="1:14">
      <c r="A204" t="s">
        <v>726</v>
      </c>
      <c r="B204" t="s">
        <v>1104</v>
      </c>
      <c r="C204" t="s">
        <v>1105</v>
      </c>
      <c r="D204" t="s">
        <v>11</v>
      </c>
      <c r="E204" t="s">
        <v>13</v>
      </c>
      <c r="F204" t="s">
        <v>729</v>
      </c>
      <c r="G204" t="s">
        <v>12</v>
      </c>
      <c r="I204" t="s">
        <v>1104</v>
      </c>
      <c r="J204" t="s">
        <v>3152</v>
      </c>
      <c r="K204">
        <v>43.234544315041525</v>
      </c>
      <c r="L204">
        <v>0.1489554323442846</v>
      </c>
      <c r="M204">
        <v>69.725765073972511</v>
      </c>
      <c r="N204">
        <v>76.698341581369775</v>
      </c>
    </row>
    <row r="205" spans="1:14">
      <c r="A205" t="s">
        <v>726</v>
      </c>
      <c r="B205" t="s">
        <v>1106</v>
      </c>
      <c r="C205" t="s">
        <v>1107</v>
      </c>
      <c r="D205" t="s">
        <v>11</v>
      </c>
      <c r="E205" t="s">
        <v>13</v>
      </c>
      <c r="F205" t="s">
        <v>729</v>
      </c>
      <c r="G205" t="s">
        <v>12</v>
      </c>
      <c r="I205" t="s">
        <v>1106</v>
      </c>
      <c r="J205" t="s">
        <v>3153</v>
      </c>
      <c r="K205">
        <v>62.377173167347316</v>
      </c>
      <c r="L205">
        <v>0.1709241835597024</v>
      </c>
      <c r="M205">
        <v>56.79048020818054</v>
      </c>
      <c r="N205">
        <v>62.469528228998598</v>
      </c>
    </row>
    <row r="206" spans="1:14">
      <c r="A206" t="s">
        <v>726</v>
      </c>
      <c r="B206" t="s">
        <v>1108</v>
      </c>
      <c r="C206" t="s">
        <v>1109</v>
      </c>
      <c r="D206" t="s">
        <v>11</v>
      </c>
      <c r="E206" t="s">
        <v>13</v>
      </c>
      <c r="F206" t="s">
        <v>729</v>
      </c>
      <c r="G206" t="s">
        <v>12</v>
      </c>
      <c r="I206" t="s">
        <v>1108</v>
      </c>
      <c r="J206" t="s">
        <v>3154</v>
      </c>
      <c r="K206">
        <v>177.31522968962622</v>
      </c>
      <c r="L206">
        <v>0.16427687624975321</v>
      </c>
      <c r="M206">
        <v>52.026824448330935</v>
      </c>
      <c r="N206">
        <v>57.229506893164036</v>
      </c>
    </row>
    <row r="207" spans="1:14">
      <c r="A207" t="s">
        <v>726</v>
      </c>
      <c r="B207" t="s">
        <v>1110</v>
      </c>
      <c r="C207" t="s">
        <v>1111</v>
      </c>
      <c r="D207" t="s">
        <v>11</v>
      </c>
      <c r="E207" t="s">
        <v>13</v>
      </c>
      <c r="F207" t="s">
        <v>729</v>
      </c>
      <c r="G207" t="s">
        <v>12</v>
      </c>
      <c r="I207" t="s">
        <v>1110</v>
      </c>
      <c r="J207" t="s">
        <v>3155</v>
      </c>
      <c r="K207">
        <v>128.75891023623177</v>
      </c>
      <c r="L207">
        <v>0.1651174791332225</v>
      </c>
      <c r="M207">
        <v>66.460332733045817</v>
      </c>
      <c r="N207">
        <v>73.106366006350399</v>
      </c>
    </row>
    <row r="208" spans="1:14">
      <c r="A208" t="s">
        <v>726</v>
      </c>
      <c r="B208" t="s">
        <v>1112</v>
      </c>
      <c r="C208" t="s">
        <v>1113</v>
      </c>
      <c r="D208" t="s">
        <v>11</v>
      </c>
      <c r="E208" t="s">
        <v>13</v>
      </c>
      <c r="F208" t="s">
        <v>729</v>
      </c>
      <c r="G208" t="s">
        <v>12</v>
      </c>
      <c r="I208" t="s">
        <v>1112</v>
      </c>
      <c r="J208" t="s">
        <v>3156</v>
      </c>
      <c r="K208">
        <v>285.04130030598907</v>
      </c>
      <c r="L208">
        <v>0.20280820314893311</v>
      </c>
      <c r="M208">
        <v>121.13083618979591</v>
      </c>
      <c r="N208">
        <v>133.24391980877553</v>
      </c>
    </row>
    <row r="209" spans="1:14">
      <c r="A209" t="s">
        <v>726</v>
      </c>
      <c r="B209" t="s">
        <v>1114</v>
      </c>
      <c r="C209" t="s">
        <v>1115</v>
      </c>
      <c r="D209" t="s">
        <v>11</v>
      </c>
      <c r="E209" t="s">
        <v>13</v>
      </c>
      <c r="F209" t="s">
        <v>729</v>
      </c>
      <c r="G209" t="s">
        <v>12</v>
      </c>
      <c r="I209" t="s">
        <v>1114</v>
      </c>
      <c r="J209" t="s">
        <v>3157</v>
      </c>
      <c r="K209">
        <v>131.54559775764443</v>
      </c>
      <c r="L209">
        <v>0.19726278067034661</v>
      </c>
      <c r="M209">
        <v>303.1179543998299</v>
      </c>
      <c r="N209">
        <v>333.42974983981293</v>
      </c>
    </row>
    <row r="210" spans="1:14">
      <c r="A210" t="s">
        <v>726</v>
      </c>
      <c r="B210" t="s">
        <v>1116</v>
      </c>
      <c r="C210" t="s">
        <v>1117</v>
      </c>
      <c r="D210" t="s">
        <v>11</v>
      </c>
      <c r="E210" t="s">
        <v>13</v>
      </c>
      <c r="F210" t="s">
        <v>729</v>
      </c>
      <c r="G210" t="s">
        <v>12</v>
      </c>
      <c r="I210" t="s">
        <v>1116</v>
      </c>
      <c r="J210" t="s">
        <v>3158</v>
      </c>
      <c r="K210">
        <v>317.24197174832375</v>
      </c>
      <c r="L210">
        <v>0.1991140489760797</v>
      </c>
      <c r="M210">
        <v>139.38747637519398</v>
      </c>
      <c r="N210">
        <v>153.3262240127134</v>
      </c>
    </row>
    <row r="211" spans="1:14">
      <c r="A211" t="s">
        <v>726</v>
      </c>
      <c r="B211" t="s">
        <v>1118</v>
      </c>
      <c r="C211" t="s">
        <v>1119</v>
      </c>
      <c r="D211" t="s">
        <v>11</v>
      </c>
      <c r="E211" t="s">
        <v>13</v>
      </c>
      <c r="F211" t="s">
        <v>729</v>
      </c>
      <c r="G211" t="s">
        <v>12</v>
      </c>
      <c r="I211" t="s">
        <v>1118</v>
      </c>
      <c r="J211" t="s">
        <v>3159</v>
      </c>
      <c r="K211">
        <v>342.88469825230129</v>
      </c>
      <c r="L211">
        <v>0.20941013050917329</v>
      </c>
      <c r="M211">
        <v>420.79289229591012</v>
      </c>
      <c r="N211">
        <v>462.87218152550116</v>
      </c>
    </row>
    <row r="212" spans="1:14">
      <c r="A212" t="s">
        <v>726</v>
      </c>
      <c r="B212" t="s">
        <v>1120</v>
      </c>
      <c r="C212" t="s">
        <v>1119</v>
      </c>
      <c r="D212" t="s">
        <v>11</v>
      </c>
      <c r="E212" t="s">
        <v>13</v>
      </c>
      <c r="F212" t="s">
        <v>729</v>
      </c>
      <c r="G212" t="s">
        <v>12</v>
      </c>
      <c r="I212" t="s">
        <v>1120</v>
      </c>
      <c r="J212" t="s">
        <v>3160</v>
      </c>
      <c r="K212">
        <v>280.19893932503817</v>
      </c>
      <c r="L212">
        <v>0.191207427744118</v>
      </c>
      <c r="M212">
        <v>405.40598926403362</v>
      </c>
      <c r="N212">
        <v>445.94658819043701</v>
      </c>
    </row>
    <row r="213" spans="1:14">
      <c r="A213" t="s">
        <v>726</v>
      </c>
      <c r="B213" t="s">
        <v>1121</v>
      </c>
      <c r="C213" t="s">
        <v>1122</v>
      </c>
      <c r="D213" t="s">
        <v>11</v>
      </c>
      <c r="E213" t="s">
        <v>13</v>
      </c>
      <c r="F213" t="s">
        <v>729</v>
      </c>
      <c r="G213" t="s">
        <v>12</v>
      </c>
      <c r="I213" t="s">
        <v>1121</v>
      </c>
      <c r="J213" t="s">
        <v>3161</v>
      </c>
      <c r="K213">
        <v>318.87027062025618</v>
      </c>
      <c r="L213">
        <v>0.23286376682864091</v>
      </c>
      <c r="M213">
        <v>299.1804911117128</v>
      </c>
      <c r="N213">
        <v>329.09854022288408</v>
      </c>
    </row>
    <row r="214" spans="1:14">
      <c r="A214" t="s">
        <v>726</v>
      </c>
      <c r="B214" t="s">
        <v>1123</v>
      </c>
      <c r="C214" t="s">
        <v>1124</v>
      </c>
      <c r="D214" t="s">
        <v>11</v>
      </c>
      <c r="E214" t="s">
        <v>13</v>
      </c>
      <c r="F214" t="s">
        <v>729</v>
      </c>
      <c r="G214" t="s">
        <v>12</v>
      </c>
      <c r="I214" t="s">
        <v>1123</v>
      </c>
      <c r="J214" t="s">
        <v>3162</v>
      </c>
      <c r="K214">
        <v>440.9104116379192</v>
      </c>
      <c r="L214">
        <v>0.2574441283761264</v>
      </c>
      <c r="M214">
        <v>682.46173221464335</v>
      </c>
      <c r="N214">
        <v>750.70790543610769</v>
      </c>
    </row>
    <row r="215" spans="1:14">
      <c r="A215" t="s">
        <v>726</v>
      </c>
      <c r="B215" t="s">
        <v>1125</v>
      </c>
      <c r="C215" t="s">
        <v>1126</v>
      </c>
      <c r="D215" t="s">
        <v>11</v>
      </c>
      <c r="E215" t="s">
        <v>13</v>
      </c>
      <c r="F215" t="s">
        <v>729</v>
      </c>
      <c r="G215" t="s">
        <v>12</v>
      </c>
      <c r="I215" t="s">
        <v>1125</v>
      </c>
      <c r="J215" t="s">
        <v>3163</v>
      </c>
      <c r="K215">
        <v>752.06088456450061</v>
      </c>
      <c r="L215">
        <v>0.26172203026796509</v>
      </c>
      <c r="M215">
        <v>873.47239977190839</v>
      </c>
      <c r="N215">
        <v>960.81963974909934</v>
      </c>
    </row>
    <row r="216" spans="1:14">
      <c r="A216" t="s">
        <v>726</v>
      </c>
      <c r="B216" t="s">
        <v>1127</v>
      </c>
      <c r="C216" t="s">
        <v>1126</v>
      </c>
      <c r="D216" t="s">
        <v>11</v>
      </c>
      <c r="E216" t="s">
        <v>13</v>
      </c>
      <c r="F216" t="s">
        <v>729</v>
      </c>
      <c r="G216" t="s">
        <v>12</v>
      </c>
      <c r="I216" t="s">
        <v>1127</v>
      </c>
      <c r="J216" t="s">
        <v>3164</v>
      </c>
      <c r="K216">
        <v>233.52398711949886</v>
      </c>
      <c r="L216">
        <v>0.22619738778126999</v>
      </c>
      <c r="M216">
        <v>491.41499822649831</v>
      </c>
      <c r="N216">
        <v>540.55649804914822</v>
      </c>
    </row>
    <row r="217" spans="1:14">
      <c r="A217" t="s">
        <v>726</v>
      </c>
      <c r="B217" t="s">
        <v>1128</v>
      </c>
      <c r="C217" t="s">
        <v>1126</v>
      </c>
      <c r="D217" t="s">
        <v>11</v>
      </c>
      <c r="E217" t="s">
        <v>13</v>
      </c>
      <c r="F217" t="s">
        <v>729</v>
      </c>
      <c r="G217" t="s">
        <v>12</v>
      </c>
      <c r="I217" t="s">
        <v>1128</v>
      </c>
      <c r="J217" t="s">
        <v>3165</v>
      </c>
      <c r="K217">
        <v>776.27899296064072</v>
      </c>
      <c r="L217">
        <v>0.25003914684331729</v>
      </c>
      <c r="M217">
        <v>397.49289346088057</v>
      </c>
      <c r="N217">
        <v>437.24218280696869</v>
      </c>
    </row>
    <row r="218" spans="1:14">
      <c r="A218" t="s">
        <v>726</v>
      </c>
      <c r="B218" t="s">
        <v>1129</v>
      </c>
      <c r="C218" t="s">
        <v>1130</v>
      </c>
      <c r="D218" t="s">
        <v>11</v>
      </c>
      <c r="E218" t="s">
        <v>13</v>
      </c>
      <c r="F218" t="s">
        <v>729</v>
      </c>
      <c r="G218" t="s">
        <v>12</v>
      </c>
      <c r="I218" t="s">
        <v>1129</v>
      </c>
      <c r="J218" t="s">
        <v>3166</v>
      </c>
      <c r="K218">
        <v>22.173028346799882</v>
      </c>
      <c r="L218">
        <v>0.20633200726100931</v>
      </c>
      <c r="M218">
        <v>172.47180278275212</v>
      </c>
      <c r="N218">
        <v>189.71898306102736</v>
      </c>
    </row>
    <row r="219" spans="1:14">
      <c r="A219" t="s">
        <v>726</v>
      </c>
      <c r="B219" t="s">
        <v>1131</v>
      </c>
      <c r="C219" t="s">
        <v>1132</v>
      </c>
      <c r="D219" t="s">
        <v>11</v>
      </c>
      <c r="E219" t="s">
        <v>13</v>
      </c>
      <c r="F219" t="s">
        <v>729</v>
      </c>
      <c r="G219" t="s">
        <v>12</v>
      </c>
      <c r="I219" t="s">
        <v>1131</v>
      </c>
      <c r="J219" t="s">
        <v>3167</v>
      </c>
      <c r="K219">
        <v>53.006310079711675</v>
      </c>
      <c r="L219">
        <v>0.1887955598444328</v>
      </c>
      <c r="M219">
        <v>114.12630793663584</v>
      </c>
      <c r="N219">
        <v>125.53893873029944</v>
      </c>
    </row>
    <row r="220" spans="1:14">
      <c r="A220" t="s">
        <v>726</v>
      </c>
      <c r="B220" t="s">
        <v>1133</v>
      </c>
      <c r="C220" t="s">
        <v>1134</v>
      </c>
      <c r="D220" t="s">
        <v>11</v>
      </c>
      <c r="E220" t="s">
        <v>13</v>
      </c>
      <c r="F220" t="s">
        <v>729</v>
      </c>
      <c r="G220" t="s">
        <v>12</v>
      </c>
      <c r="I220" t="s">
        <v>1133</v>
      </c>
      <c r="J220" t="s">
        <v>3168</v>
      </c>
      <c r="K220">
        <v>258.96274886352631</v>
      </c>
      <c r="L220">
        <v>0.20488849365331741</v>
      </c>
      <c r="M220">
        <v>49.504984594075466</v>
      </c>
      <c r="N220">
        <v>54.455483053483015</v>
      </c>
    </row>
    <row r="221" spans="1:14">
      <c r="A221" t="s">
        <v>726</v>
      </c>
      <c r="B221" t="s">
        <v>1135</v>
      </c>
      <c r="C221" t="s">
        <v>1136</v>
      </c>
      <c r="D221" t="s">
        <v>11</v>
      </c>
      <c r="E221" t="s">
        <v>13</v>
      </c>
      <c r="F221" t="s">
        <v>729</v>
      </c>
      <c r="G221" t="s">
        <v>12</v>
      </c>
      <c r="I221" t="s">
        <v>1135</v>
      </c>
      <c r="J221" t="s">
        <v>3169</v>
      </c>
      <c r="K221">
        <v>355.16463300302985</v>
      </c>
      <c r="L221">
        <v>0.21666393548730661</v>
      </c>
      <c r="M221">
        <v>182.27669538194107</v>
      </c>
      <c r="N221">
        <v>200.5043649201352</v>
      </c>
    </row>
    <row r="222" spans="1:14">
      <c r="A222" t="s">
        <v>726</v>
      </c>
      <c r="B222" t="s">
        <v>1137</v>
      </c>
      <c r="C222" t="s">
        <v>1138</v>
      </c>
      <c r="D222" t="s">
        <v>11</v>
      </c>
      <c r="E222" t="s">
        <v>13</v>
      </c>
      <c r="F222" t="s">
        <v>729</v>
      </c>
      <c r="G222" t="s">
        <v>12</v>
      </c>
      <c r="I222" t="s">
        <v>1137</v>
      </c>
      <c r="J222" t="s">
        <v>3170</v>
      </c>
      <c r="K222">
        <v>539.97610723383741</v>
      </c>
      <c r="L222">
        <v>0.24351929503997821</v>
      </c>
      <c r="M222">
        <v>254.29225369542681</v>
      </c>
      <c r="N222">
        <v>279.72147906496951</v>
      </c>
    </row>
    <row r="223" spans="1:14">
      <c r="A223" t="s">
        <v>726</v>
      </c>
      <c r="B223" t="s">
        <v>1139</v>
      </c>
      <c r="C223" t="s">
        <v>1140</v>
      </c>
      <c r="D223" t="s">
        <v>11</v>
      </c>
      <c r="E223" t="s">
        <v>13</v>
      </c>
      <c r="F223" t="s">
        <v>729</v>
      </c>
      <c r="G223" t="s">
        <v>12</v>
      </c>
      <c r="I223" t="s">
        <v>1139</v>
      </c>
      <c r="J223" t="s">
        <v>3171</v>
      </c>
      <c r="K223">
        <v>472.89044739233748</v>
      </c>
      <c r="L223">
        <v>0.21934330159879351</v>
      </c>
      <c r="M223">
        <v>79.673048068396042</v>
      </c>
      <c r="N223">
        <v>87.640352875235649</v>
      </c>
    </row>
    <row r="224" spans="1:14">
      <c r="A224" t="s">
        <v>726</v>
      </c>
      <c r="B224" t="s">
        <v>1141</v>
      </c>
      <c r="C224" t="s">
        <v>1142</v>
      </c>
      <c r="D224" t="s">
        <v>11</v>
      </c>
      <c r="E224" t="s">
        <v>13</v>
      </c>
      <c r="F224" t="s">
        <v>729</v>
      </c>
      <c r="G224" t="s">
        <v>12</v>
      </c>
      <c r="I224" t="s">
        <v>1141</v>
      </c>
      <c r="J224" t="s">
        <v>3172</v>
      </c>
      <c r="K224">
        <v>26.708817946017444</v>
      </c>
      <c r="L224">
        <v>0.17060439212891529</v>
      </c>
      <c r="M224">
        <v>109.82010128520361</v>
      </c>
      <c r="N224">
        <v>120.80211141372398</v>
      </c>
    </row>
    <row r="225" spans="1:14">
      <c r="A225" t="s">
        <v>726</v>
      </c>
      <c r="B225" t="s">
        <v>1143</v>
      </c>
      <c r="C225" t="s">
        <v>1144</v>
      </c>
      <c r="D225" t="s">
        <v>11</v>
      </c>
      <c r="E225" t="s">
        <v>13</v>
      </c>
      <c r="F225" t="s">
        <v>729</v>
      </c>
      <c r="G225" t="s">
        <v>12</v>
      </c>
      <c r="I225" t="s">
        <v>1143</v>
      </c>
      <c r="J225" t="s">
        <v>3173</v>
      </c>
      <c r="K225">
        <v>34.637254064367667</v>
      </c>
      <c r="L225">
        <v>0.1898213117896482</v>
      </c>
      <c r="M225">
        <v>209.35392927480569</v>
      </c>
      <c r="N225">
        <v>230.28932220228629</v>
      </c>
    </row>
    <row r="226" spans="1:14">
      <c r="A226" t="s">
        <v>726</v>
      </c>
      <c r="B226" t="s">
        <v>1145</v>
      </c>
      <c r="C226" t="s">
        <v>1146</v>
      </c>
      <c r="D226" t="s">
        <v>11</v>
      </c>
      <c r="E226" t="s">
        <v>13</v>
      </c>
      <c r="F226" t="s">
        <v>729</v>
      </c>
      <c r="G226" t="s">
        <v>12</v>
      </c>
      <c r="I226" t="s">
        <v>1145</v>
      </c>
      <c r="J226" t="s">
        <v>3174</v>
      </c>
      <c r="K226">
        <v>9.0830504942632544</v>
      </c>
      <c r="L226">
        <v>0.19250399972490609</v>
      </c>
      <c r="M226">
        <v>60.53531603820106</v>
      </c>
      <c r="N226">
        <v>66.588847642021165</v>
      </c>
    </row>
    <row r="227" spans="1:14">
      <c r="A227" t="s">
        <v>726</v>
      </c>
      <c r="B227" t="s">
        <v>1147</v>
      </c>
      <c r="C227" t="s">
        <v>1148</v>
      </c>
      <c r="D227" t="s">
        <v>11</v>
      </c>
      <c r="E227" t="s">
        <v>13</v>
      </c>
      <c r="F227" t="s">
        <v>729</v>
      </c>
      <c r="G227" t="s">
        <v>12</v>
      </c>
      <c r="I227" t="s">
        <v>1147</v>
      </c>
      <c r="J227" t="s">
        <v>3175</v>
      </c>
      <c r="K227">
        <v>30.858522210325752</v>
      </c>
      <c r="L227">
        <v>0.22438308276928981</v>
      </c>
      <c r="M227">
        <v>102.84994000981509</v>
      </c>
      <c r="N227">
        <v>113.1349340107966</v>
      </c>
    </row>
    <row r="228" spans="1:14">
      <c r="A228" t="s">
        <v>726</v>
      </c>
      <c r="B228" t="s">
        <v>1149</v>
      </c>
      <c r="C228" t="s">
        <v>1150</v>
      </c>
      <c r="D228" t="s">
        <v>11</v>
      </c>
      <c r="E228" t="s">
        <v>13</v>
      </c>
      <c r="F228" t="s">
        <v>729</v>
      </c>
      <c r="G228" t="s">
        <v>12</v>
      </c>
      <c r="I228" t="s">
        <v>1149</v>
      </c>
      <c r="J228" t="s">
        <v>3176</v>
      </c>
      <c r="K228">
        <v>73.682165387999589</v>
      </c>
      <c r="L228">
        <v>0.17413066080034509</v>
      </c>
      <c r="M228">
        <v>58.065009871722566</v>
      </c>
      <c r="N228">
        <v>63.87151085889483</v>
      </c>
    </row>
    <row r="229" spans="1:14">
      <c r="A229" t="s">
        <v>726</v>
      </c>
      <c r="B229" t="s">
        <v>1151</v>
      </c>
      <c r="C229" t="s">
        <v>1152</v>
      </c>
      <c r="D229" t="s">
        <v>11</v>
      </c>
      <c r="E229" t="s">
        <v>13</v>
      </c>
      <c r="F229" t="s">
        <v>729</v>
      </c>
      <c r="G229" t="s">
        <v>12</v>
      </c>
      <c r="I229" t="s">
        <v>1151</v>
      </c>
      <c r="J229" t="s">
        <v>3177</v>
      </c>
      <c r="K229">
        <v>10.481123686028933</v>
      </c>
      <c r="L229">
        <v>0.18088332507335519</v>
      </c>
      <c r="M229">
        <v>89.249114010683684</v>
      </c>
      <c r="N229">
        <v>98.174025411752055</v>
      </c>
    </row>
    <row r="230" spans="1:14">
      <c r="A230" t="s">
        <v>726</v>
      </c>
      <c r="B230" t="s">
        <v>1153</v>
      </c>
      <c r="C230" t="s">
        <v>1154</v>
      </c>
      <c r="D230" t="s">
        <v>11</v>
      </c>
      <c r="E230" t="s">
        <v>13</v>
      </c>
      <c r="F230" t="s">
        <v>729</v>
      </c>
      <c r="G230" t="s">
        <v>12</v>
      </c>
      <c r="I230" t="s">
        <v>1153</v>
      </c>
      <c r="J230" t="s">
        <v>3178</v>
      </c>
      <c r="K230">
        <v>64.378726107886365</v>
      </c>
      <c r="L230">
        <v>0.17662415180837771</v>
      </c>
      <c r="M230">
        <v>52.199821535262323</v>
      </c>
      <c r="N230">
        <v>57.419803688788562</v>
      </c>
    </row>
    <row r="231" spans="1:14">
      <c r="A231" t="s">
        <v>726</v>
      </c>
      <c r="B231" t="s">
        <v>1155</v>
      </c>
      <c r="C231" t="s">
        <v>1156</v>
      </c>
      <c r="D231" t="s">
        <v>11</v>
      </c>
      <c r="E231" t="s">
        <v>13</v>
      </c>
      <c r="F231" t="s">
        <v>729</v>
      </c>
      <c r="G231" t="s">
        <v>12</v>
      </c>
      <c r="I231" t="s">
        <v>1155</v>
      </c>
      <c r="J231" t="s">
        <v>3179</v>
      </c>
      <c r="K231">
        <v>47.910552779315751</v>
      </c>
      <c r="L231">
        <v>0.18986184808558651</v>
      </c>
      <c r="M231">
        <v>78.419818911451515</v>
      </c>
      <c r="N231">
        <v>86.261800802596667</v>
      </c>
    </row>
    <row r="232" spans="1:14">
      <c r="A232" t="s">
        <v>726</v>
      </c>
      <c r="B232" t="s">
        <v>1157</v>
      </c>
      <c r="C232" t="s">
        <v>1158</v>
      </c>
      <c r="D232" t="s">
        <v>11</v>
      </c>
      <c r="E232" t="s">
        <v>13</v>
      </c>
      <c r="F232" t="s">
        <v>729</v>
      </c>
      <c r="G232" t="s">
        <v>12</v>
      </c>
      <c r="I232" t="s">
        <v>1157</v>
      </c>
      <c r="J232" t="s">
        <v>3180</v>
      </c>
      <c r="K232">
        <v>51.843432339285044</v>
      </c>
      <c r="L232">
        <v>0.15511732181419779</v>
      </c>
      <c r="M232">
        <v>164.51375857094652</v>
      </c>
      <c r="N232">
        <v>180.96513442804118</v>
      </c>
    </row>
    <row r="233" spans="1:14">
      <c r="A233" t="s">
        <v>726</v>
      </c>
      <c r="B233" t="s">
        <v>1159</v>
      </c>
      <c r="C233" t="s">
        <v>1160</v>
      </c>
      <c r="D233" t="s">
        <v>11</v>
      </c>
      <c r="E233" t="s">
        <v>13</v>
      </c>
      <c r="F233" t="s">
        <v>729</v>
      </c>
      <c r="G233" t="s">
        <v>12</v>
      </c>
      <c r="I233" t="s">
        <v>1159</v>
      </c>
      <c r="J233" t="s">
        <v>3181</v>
      </c>
      <c r="K233">
        <v>76.937915052823627</v>
      </c>
      <c r="L233">
        <v>0.15469234113152661</v>
      </c>
      <c r="M233">
        <v>92.519540378126379</v>
      </c>
      <c r="N233">
        <v>101.77149441593903</v>
      </c>
    </row>
    <row r="234" spans="1:14">
      <c r="A234" t="s">
        <v>726</v>
      </c>
      <c r="B234" t="s">
        <v>1161</v>
      </c>
      <c r="C234" t="s">
        <v>1162</v>
      </c>
      <c r="D234" t="s">
        <v>11</v>
      </c>
      <c r="E234" t="s">
        <v>13</v>
      </c>
      <c r="F234" t="s">
        <v>729</v>
      </c>
      <c r="G234" t="s">
        <v>12</v>
      </c>
      <c r="I234" t="s">
        <v>1161</v>
      </c>
      <c r="J234" t="s">
        <v>3182</v>
      </c>
      <c r="K234">
        <v>121.45945663368904</v>
      </c>
      <c r="L234">
        <v>0.24429624182831899</v>
      </c>
      <c r="M234">
        <v>102.28862589927668</v>
      </c>
      <c r="N234">
        <v>112.51748848920435</v>
      </c>
    </row>
    <row r="235" spans="1:14">
      <c r="A235" t="s">
        <v>726</v>
      </c>
      <c r="B235" t="s">
        <v>1163</v>
      </c>
      <c r="C235" t="s">
        <v>1164</v>
      </c>
      <c r="D235" t="s">
        <v>11</v>
      </c>
      <c r="E235" t="s">
        <v>13</v>
      </c>
      <c r="F235" t="s">
        <v>729</v>
      </c>
      <c r="G235" t="s">
        <v>12</v>
      </c>
      <c r="I235" t="s">
        <v>1163</v>
      </c>
      <c r="J235" t="s">
        <v>3183</v>
      </c>
      <c r="K235">
        <v>224.8622165489478</v>
      </c>
      <c r="L235">
        <v>0.2224240209521901</v>
      </c>
      <c r="M235">
        <v>128.73607463072526</v>
      </c>
      <c r="N235">
        <v>141.6096820937978</v>
      </c>
    </row>
    <row r="236" spans="1:14">
      <c r="A236" t="s">
        <v>726</v>
      </c>
      <c r="B236" t="s">
        <v>1165</v>
      </c>
      <c r="C236" t="s">
        <v>1166</v>
      </c>
      <c r="D236" t="s">
        <v>11</v>
      </c>
      <c r="E236" t="s">
        <v>13</v>
      </c>
      <c r="F236" t="s">
        <v>729</v>
      </c>
      <c r="G236" t="s">
        <v>12</v>
      </c>
      <c r="I236" t="s">
        <v>1165</v>
      </c>
      <c r="J236" t="s">
        <v>3184</v>
      </c>
      <c r="K236">
        <v>144.87893973554327</v>
      </c>
      <c r="L236">
        <v>0.1771292512807352</v>
      </c>
      <c r="M236">
        <v>126.52936132041272</v>
      </c>
      <c r="N236">
        <v>139.18229745245401</v>
      </c>
    </row>
    <row r="237" spans="1:14">
      <c r="A237" t="s">
        <v>726</v>
      </c>
      <c r="B237" t="s">
        <v>1167</v>
      </c>
      <c r="C237" t="s">
        <v>1168</v>
      </c>
      <c r="D237" t="s">
        <v>11</v>
      </c>
      <c r="E237" t="s">
        <v>13</v>
      </c>
      <c r="F237" t="s">
        <v>729</v>
      </c>
      <c r="G237" t="s">
        <v>12</v>
      </c>
      <c r="I237" t="s">
        <v>1167</v>
      </c>
      <c r="J237" t="s">
        <v>3185</v>
      </c>
      <c r="K237">
        <v>134.4532326043016</v>
      </c>
      <c r="L237">
        <v>0.20183885346093949</v>
      </c>
      <c r="M237">
        <v>211.73683547219903</v>
      </c>
      <c r="N237">
        <v>232.91051901941896</v>
      </c>
    </row>
    <row r="238" spans="1:14">
      <c r="A238" t="s">
        <v>726</v>
      </c>
      <c r="B238" t="s">
        <v>1169</v>
      </c>
      <c r="C238" t="s">
        <v>1170</v>
      </c>
      <c r="D238" t="s">
        <v>11</v>
      </c>
      <c r="E238" t="s">
        <v>13</v>
      </c>
      <c r="F238" t="s">
        <v>729</v>
      </c>
      <c r="G238" t="s">
        <v>12</v>
      </c>
      <c r="I238" t="s">
        <v>1169</v>
      </c>
      <c r="J238" t="s">
        <v>3186</v>
      </c>
      <c r="K238">
        <v>203.92094913533302</v>
      </c>
      <c r="L238">
        <v>0.19521743507039471</v>
      </c>
      <c r="M238">
        <v>345.99767455998835</v>
      </c>
      <c r="N238">
        <v>380.59744201598721</v>
      </c>
    </row>
    <row r="239" spans="1:14">
      <c r="A239" t="s">
        <v>726</v>
      </c>
      <c r="B239" t="s">
        <v>1171</v>
      </c>
      <c r="C239" t="s">
        <v>1172</v>
      </c>
      <c r="D239" t="s">
        <v>11</v>
      </c>
      <c r="E239" t="s">
        <v>13</v>
      </c>
      <c r="F239" t="s">
        <v>729</v>
      </c>
      <c r="G239" t="s">
        <v>12</v>
      </c>
      <c r="I239" t="s">
        <v>1171</v>
      </c>
      <c r="J239" t="s">
        <v>3187</v>
      </c>
      <c r="K239">
        <v>247.91120145743707</v>
      </c>
      <c r="L239">
        <v>0.2139526275965801</v>
      </c>
      <c r="M239">
        <v>164.99115445192822</v>
      </c>
      <c r="N239">
        <v>181.49026989712107</v>
      </c>
    </row>
    <row r="240" spans="1:14">
      <c r="A240" t="s">
        <v>726</v>
      </c>
      <c r="B240" t="s">
        <v>1173</v>
      </c>
      <c r="C240" t="s">
        <v>1174</v>
      </c>
      <c r="D240" t="s">
        <v>11</v>
      </c>
      <c r="E240" t="s">
        <v>13</v>
      </c>
      <c r="F240" t="s">
        <v>729</v>
      </c>
      <c r="G240" t="s">
        <v>12</v>
      </c>
      <c r="I240" t="s">
        <v>1173</v>
      </c>
      <c r="J240" t="s">
        <v>3188</v>
      </c>
      <c r="K240">
        <v>392.2084528425778</v>
      </c>
      <c r="L240">
        <v>0.21811150482822159</v>
      </c>
      <c r="M240">
        <v>336.64211388230569</v>
      </c>
      <c r="N240">
        <v>370.30632527053632</v>
      </c>
    </row>
    <row r="241" spans="1:14">
      <c r="A241" t="s">
        <v>726</v>
      </c>
      <c r="B241" t="s">
        <v>1175</v>
      </c>
      <c r="C241" t="s">
        <v>1176</v>
      </c>
      <c r="D241" t="s">
        <v>11</v>
      </c>
      <c r="E241" t="s">
        <v>13</v>
      </c>
      <c r="F241" t="s">
        <v>729</v>
      </c>
      <c r="G241" t="s">
        <v>12</v>
      </c>
      <c r="I241" t="s">
        <v>1175</v>
      </c>
      <c r="J241" t="s">
        <v>3189</v>
      </c>
      <c r="K241">
        <v>165.25975383471993</v>
      </c>
      <c r="L241">
        <v>0.2353554671986953</v>
      </c>
      <c r="M241">
        <v>132.84326373096937</v>
      </c>
      <c r="N241">
        <v>146.12759010406631</v>
      </c>
    </row>
    <row r="242" spans="1:14">
      <c r="A242" t="s">
        <v>726</v>
      </c>
      <c r="B242" t="s">
        <v>1177</v>
      </c>
      <c r="C242" t="s">
        <v>1178</v>
      </c>
      <c r="D242" t="s">
        <v>11</v>
      </c>
      <c r="E242" t="s">
        <v>13</v>
      </c>
      <c r="F242" t="s">
        <v>729</v>
      </c>
      <c r="G242" t="s">
        <v>12</v>
      </c>
      <c r="I242" t="s">
        <v>1177</v>
      </c>
      <c r="J242" t="s">
        <v>3190</v>
      </c>
      <c r="K242">
        <v>427.10684026188687</v>
      </c>
      <c r="L242">
        <v>0.222492076693589</v>
      </c>
      <c r="M242">
        <v>334.84563500026184</v>
      </c>
      <c r="N242">
        <v>368.33019850028808</v>
      </c>
    </row>
    <row r="243" spans="1:14">
      <c r="A243" t="s">
        <v>726</v>
      </c>
      <c r="B243" t="s">
        <v>1179</v>
      </c>
      <c r="C243" t="s">
        <v>1172</v>
      </c>
      <c r="D243" t="s">
        <v>11</v>
      </c>
      <c r="E243" t="s">
        <v>13</v>
      </c>
      <c r="F243" t="s">
        <v>729</v>
      </c>
      <c r="G243" t="s">
        <v>12</v>
      </c>
      <c r="I243" t="s">
        <v>1179</v>
      </c>
      <c r="J243" t="s">
        <v>3191</v>
      </c>
      <c r="K243">
        <v>462.63827192922656</v>
      </c>
      <c r="L243">
        <v>0.20240521084833671</v>
      </c>
      <c r="M243">
        <v>244.2622390250618</v>
      </c>
      <c r="N243">
        <v>268.68846292756803</v>
      </c>
    </row>
    <row r="244" spans="1:14">
      <c r="A244" t="s">
        <v>726</v>
      </c>
      <c r="B244" t="s">
        <v>1180</v>
      </c>
      <c r="C244" t="s">
        <v>1181</v>
      </c>
      <c r="D244" t="s">
        <v>11</v>
      </c>
      <c r="E244" t="s">
        <v>13</v>
      </c>
      <c r="F244" t="s">
        <v>729</v>
      </c>
      <c r="G244" t="s">
        <v>12</v>
      </c>
      <c r="I244" t="s">
        <v>1180</v>
      </c>
      <c r="J244" t="s">
        <v>3192</v>
      </c>
      <c r="K244">
        <v>427.25354277110341</v>
      </c>
      <c r="L244">
        <v>0.2054482438321302</v>
      </c>
      <c r="M244">
        <v>326.74861372752576</v>
      </c>
      <c r="N244">
        <v>359.42347510027838</v>
      </c>
    </row>
    <row r="245" spans="1:14">
      <c r="A245" t="s">
        <v>726</v>
      </c>
      <c r="B245" t="s">
        <v>1182</v>
      </c>
      <c r="C245" t="s">
        <v>1183</v>
      </c>
      <c r="D245" t="s">
        <v>11</v>
      </c>
      <c r="E245" t="s">
        <v>13</v>
      </c>
      <c r="F245" t="s">
        <v>729</v>
      </c>
      <c r="G245" t="s">
        <v>12</v>
      </c>
      <c r="I245" t="s">
        <v>1182</v>
      </c>
      <c r="J245" t="s">
        <v>3193</v>
      </c>
      <c r="K245">
        <v>407.51060278090426</v>
      </c>
      <c r="L245">
        <v>0.20556061606689549</v>
      </c>
      <c r="M245">
        <v>360.36660042937297</v>
      </c>
      <c r="N245">
        <v>396.40326047231031</v>
      </c>
    </row>
    <row r="246" spans="1:14">
      <c r="A246" t="s">
        <v>726</v>
      </c>
      <c r="B246" t="s">
        <v>1184</v>
      </c>
      <c r="C246" t="s">
        <v>1185</v>
      </c>
      <c r="D246" t="s">
        <v>11</v>
      </c>
      <c r="E246" t="s">
        <v>13</v>
      </c>
      <c r="F246" t="s">
        <v>729</v>
      </c>
      <c r="G246" t="s">
        <v>12</v>
      </c>
      <c r="I246" t="s">
        <v>1184</v>
      </c>
      <c r="J246" t="s">
        <v>3194</v>
      </c>
      <c r="K246">
        <v>531.92250000000001</v>
      </c>
      <c r="L246">
        <v>0.2041018810353098</v>
      </c>
      <c r="M246">
        <v>319.28395297130629</v>
      </c>
      <c r="N246">
        <v>351.21234826843693</v>
      </c>
    </row>
    <row r="247" spans="1:14">
      <c r="A247" t="s">
        <v>726</v>
      </c>
      <c r="B247" t="s">
        <v>1186</v>
      </c>
      <c r="C247" t="s">
        <v>1187</v>
      </c>
      <c r="D247" t="s">
        <v>11</v>
      </c>
      <c r="E247" t="s">
        <v>13</v>
      </c>
      <c r="F247" t="s">
        <v>729</v>
      </c>
      <c r="G247" t="s">
        <v>12</v>
      </c>
      <c r="I247" t="s">
        <v>1186</v>
      </c>
      <c r="J247" t="s">
        <v>3195</v>
      </c>
      <c r="K247">
        <v>381.29025000000001</v>
      </c>
      <c r="L247">
        <v>0.19830804950978531</v>
      </c>
      <c r="M247">
        <v>219.75253120759197</v>
      </c>
      <c r="N247">
        <v>241.72778432835119</v>
      </c>
    </row>
    <row r="248" spans="1:14">
      <c r="A248" t="s">
        <v>726</v>
      </c>
      <c r="B248" t="s">
        <v>1188</v>
      </c>
      <c r="C248" t="s">
        <v>1189</v>
      </c>
      <c r="D248" t="s">
        <v>11</v>
      </c>
      <c r="E248" t="s">
        <v>13</v>
      </c>
      <c r="F248" t="s">
        <v>729</v>
      </c>
      <c r="G248" t="s">
        <v>12</v>
      </c>
      <c r="I248" t="s">
        <v>1188</v>
      </c>
      <c r="J248" t="s">
        <v>3196</v>
      </c>
      <c r="K248">
        <v>281.01856762601574</v>
      </c>
      <c r="L248">
        <v>0.20476281176327529</v>
      </c>
      <c r="M248">
        <v>152.07762969456547</v>
      </c>
      <c r="N248">
        <v>167.28539266402203</v>
      </c>
    </row>
    <row r="249" spans="1:14">
      <c r="A249" t="s">
        <v>726</v>
      </c>
      <c r="B249" t="s">
        <v>1190</v>
      </c>
      <c r="C249" t="s">
        <v>1191</v>
      </c>
      <c r="D249" t="s">
        <v>11</v>
      </c>
      <c r="E249" t="s">
        <v>13</v>
      </c>
      <c r="F249" t="s">
        <v>729</v>
      </c>
      <c r="G249" t="s">
        <v>12</v>
      </c>
      <c r="I249" t="s">
        <v>1190</v>
      </c>
      <c r="J249" t="s">
        <v>3197</v>
      </c>
      <c r="K249">
        <v>368.23916069542321</v>
      </c>
      <c r="L249">
        <v>0.20937531210892221</v>
      </c>
      <c r="M249">
        <v>251.40634301577828</v>
      </c>
      <c r="N249">
        <v>276.54697731735615</v>
      </c>
    </row>
    <row r="250" spans="1:14">
      <c r="A250" t="s">
        <v>726</v>
      </c>
      <c r="B250" t="s">
        <v>1192</v>
      </c>
      <c r="C250" t="s">
        <v>1193</v>
      </c>
      <c r="D250" t="s">
        <v>11</v>
      </c>
      <c r="E250" t="s">
        <v>13</v>
      </c>
      <c r="F250" t="s">
        <v>729</v>
      </c>
      <c r="G250" t="s">
        <v>12</v>
      </c>
      <c r="I250" t="s">
        <v>1192</v>
      </c>
      <c r="J250" t="s">
        <v>3198</v>
      </c>
      <c r="K250">
        <v>115.40437491180603</v>
      </c>
      <c r="L250">
        <v>0.1704365437692118</v>
      </c>
      <c r="M250">
        <v>185.73668369044336</v>
      </c>
      <c r="N250">
        <v>204.31035205948771</v>
      </c>
    </row>
    <row r="251" spans="1:14">
      <c r="A251" t="s">
        <v>726</v>
      </c>
      <c r="B251" t="s">
        <v>1194</v>
      </c>
      <c r="C251" t="s">
        <v>1195</v>
      </c>
      <c r="D251" t="s">
        <v>11</v>
      </c>
      <c r="E251" t="s">
        <v>13</v>
      </c>
      <c r="F251" t="s">
        <v>729</v>
      </c>
      <c r="G251" t="s">
        <v>12</v>
      </c>
      <c r="I251" t="s">
        <v>1194</v>
      </c>
      <c r="J251" t="s">
        <v>3199</v>
      </c>
      <c r="K251">
        <v>226.73133249810493</v>
      </c>
      <c r="L251">
        <v>0.20453044475773699</v>
      </c>
      <c r="M251">
        <v>211.66204676822704</v>
      </c>
      <c r="N251">
        <v>232.82825144504977</v>
      </c>
    </row>
    <row r="252" spans="1:14">
      <c r="A252" t="s">
        <v>726</v>
      </c>
      <c r="B252" t="s">
        <v>1196</v>
      </c>
      <c r="C252" t="s">
        <v>1181</v>
      </c>
      <c r="D252" t="s">
        <v>11</v>
      </c>
      <c r="E252" t="s">
        <v>13</v>
      </c>
      <c r="F252" t="s">
        <v>729</v>
      </c>
      <c r="G252" t="s">
        <v>12</v>
      </c>
      <c r="I252" t="s">
        <v>1196</v>
      </c>
      <c r="J252" t="s">
        <v>3200</v>
      </c>
      <c r="K252">
        <v>183.30525</v>
      </c>
      <c r="L252">
        <v>0.1979813497889609</v>
      </c>
      <c r="M252">
        <v>223.06536298942183</v>
      </c>
      <c r="N252">
        <v>245.37189928836403</v>
      </c>
    </row>
    <row r="253" spans="1:14">
      <c r="A253" t="s">
        <v>726</v>
      </c>
      <c r="B253" t="s">
        <v>1197</v>
      </c>
      <c r="C253" t="s">
        <v>1198</v>
      </c>
      <c r="D253" t="s">
        <v>11</v>
      </c>
      <c r="E253" t="s">
        <v>13</v>
      </c>
      <c r="F253" t="s">
        <v>729</v>
      </c>
      <c r="G253" t="s">
        <v>12</v>
      </c>
      <c r="I253" t="s">
        <v>1197</v>
      </c>
      <c r="J253" t="s">
        <v>3201</v>
      </c>
      <c r="K253">
        <v>457.69426897350183</v>
      </c>
      <c r="L253">
        <v>0.2107971175031258</v>
      </c>
      <c r="M253">
        <v>267.31969209054733</v>
      </c>
      <c r="N253">
        <v>294.05166129960207</v>
      </c>
    </row>
    <row r="254" spans="1:14">
      <c r="A254" t="s">
        <v>726</v>
      </c>
      <c r="B254" t="s">
        <v>1199</v>
      </c>
      <c r="C254" t="s">
        <v>1200</v>
      </c>
      <c r="D254" t="s">
        <v>11</v>
      </c>
      <c r="E254" t="s">
        <v>13</v>
      </c>
      <c r="F254" t="s">
        <v>729</v>
      </c>
      <c r="G254" t="s">
        <v>12</v>
      </c>
      <c r="I254" t="s">
        <v>1199</v>
      </c>
      <c r="J254" t="s">
        <v>3202</v>
      </c>
      <c r="K254">
        <v>0.57750000000000001</v>
      </c>
      <c r="L254">
        <v>0.19828303069506911</v>
      </c>
      <c r="M254">
        <v>627.32835634762637</v>
      </c>
      <c r="N254">
        <v>690.061191982389</v>
      </c>
    </row>
    <row r="255" spans="1:14">
      <c r="A255" t="s">
        <v>726</v>
      </c>
      <c r="B255" t="s">
        <v>1201</v>
      </c>
      <c r="C255" t="s">
        <v>1202</v>
      </c>
      <c r="D255" t="s">
        <v>11</v>
      </c>
      <c r="E255" t="s">
        <v>13</v>
      </c>
      <c r="F255" t="s">
        <v>729</v>
      </c>
      <c r="G255" t="s">
        <v>12</v>
      </c>
      <c r="I255" t="s">
        <v>1201</v>
      </c>
      <c r="J255" t="s">
        <v>3203</v>
      </c>
      <c r="K255">
        <v>10.02173587863493</v>
      </c>
      <c r="L255">
        <v>0.20084441908112469</v>
      </c>
      <c r="M255">
        <v>289.91519799946906</v>
      </c>
      <c r="N255">
        <v>318.90671779941601</v>
      </c>
    </row>
    <row r="256" spans="1:14">
      <c r="A256" t="s">
        <v>726</v>
      </c>
      <c r="B256" t="s">
        <v>1203</v>
      </c>
      <c r="C256" t="s">
        <v>1204</v>
      </c>
      <c r="D256" t="s">
        <v>11</v>
      </c>
      <c r="E256" t="s">
        <v>13</v>
      </c>
      <c r="F256" t="s">
        <v>729</v>
      </c>
      <c r="G256" t="s">
        <v>12</v>
      </c>
      <c r="I256" t="s">
        <v>1203</v>
      </c>
      <c r="J256" t="s">
        <v>3204</v>
      </c>
      <c r="K256">
        <v>1.6836620382341498</v>
      </c>
      <c r="L256">
        <v>0.19882742875382839</v>
      </c>
      <c r="M256">
        <v>427.96777202026459</v>
      </c>
      <c r="N256">
        <v>470.76454922229107</v>
      </c>
    </row>
    <row r="257" spans="1:14">
      <c r="A257" t="s">
        <v>726</v>
      </c>
      <c r="B257" t="s">
        <v>1205</v>
      </c>
      <c r="C257" t="s">
        <v>1202</v>
      </c>
      <c r="D257" t="s">
        <v>11</v>
      </c>
      <c r="E257" t="s">
        <v>13</v>
      </c>
      <c r="F257" t="s">
        <v>729</v>
      </c>
      <c r="G257" t="s">
        <v>12</v>
      </c>
      <c r="I257" t="s">
        <v>1205</v>
      </c>
      <c r="J257" t="s">
        <v>3205</v>
      </c>
      <c r="K257">
        <v>1.05975</v>
      </c>
      <c r="L257">
        <v>0.19920096745904431</v>
      </c>
      <c r="M257">
        <v>434.29102275164206</v>
      </c>
      <c r="N257">
        <v>477.72012502680633</v>
      </c>
    </row>
    <row r="258" spans="1:14">
      <c r="A258" t="s">
        <v>726</v>
      </c>
      <c r="B258" t="s">
        <v>1206</v>
      </c>
      <c r="C258" t="s">
        <v>1207</v>
      </c>
      <c r="D258" t="s">
        <v>11</v>
      </c>
      <c r="E258" t="s">
        <v>13</v>
      </c>
      <c r="F258" t="s">
        <v>729</v>
      </c>
      <c r="G258" t="s">
        <v>12</v>
      </c>
      <c r="I258" t="s">
        <v>1206</v>
      </c>
      <c r="J258" t="s">
        <v>3206</v>
      </c>
      <c r="K258">
        <v>13.20392718911185</v>
      </c>
      <c r="L258">
        <v>0.1496231735182478</v>
      </c>
      <c r="M258">
        <v>137.13125243451074</v>
      </c>
      <c r="N258">
        <v>150.84437767796183</v>
      </c>
    </row>
    <row r="259" spans="1:14">
      <c r="A259" t="s">
        <v>726</v>
      </c>
      <c r="B259" t="s">
        <v>1208</v>
      </c>
      <c r="C259" t="s">
        <v>1209</v>
      </c>
      <c r="D259" t="s">
        <v>11</v>
      </c>
      <c r="E259" t="s">
        <v>13</v>
      </c>
      <c r="F259" t="s">
        <v>729</v>
      </c>
      <c r="G259" t="s">
        <v>12</v>
      </c>
      <c r="I259" t="s">
        <v>1208</v>
      </c>
      <c r="J259" t="s">
        <v>3207</v>
      </c>
      <c r="K259">
        <v>7.6476266249952287</v>
      </c>
      <c r="L259">
        <v>0.1787718063853096</v>
      </c>
      <c r="M259">
        <v>85.280714215783505</v>
      </c>
      <c r="N259">
        <v>93.808785637361865</v>
      </c>
    </row>
    <row r="260" spans="1:14">
      <c r="A260" t="s">
        <v>726</v>
      </c>
      <c r="B260" t="s">
        <v>1210</v>
      </c>
      <c r="C260" t="s">
        <v>1211</v>
      </c>
      <c r="D260" t="s">
        <v>11</v>
      </c>
      <c r="E260" t="s">
        <v>13</v>
      </c>
      <c r="F260" t="s">
        <v>729</v>
      </c>
      <c r="G260" t="s">
        <v>12</v>
      </c>
      <c r="I260" t="s">
        <v>1210</v>
      </c>
      <c r="J260" t="s">
        <v>3208</v>
      </c>
      <c r="K260">
        <v>2.1940730897293581</v>
      </c>
      <c r="L260">
        <v>0.18243271371705089</v>
      </c>
      <c r="M260">
        <v>210.88848558636519</v>
      </c>
      <c r="N260">
        <v>231.97733414500172</v>
      </c>
    </row>
    <row r="261" spans="1:14">
      <c r="A261" t="s">
        <v>726</v>
      </c>
      <c r="B261" t="s">
        <v>1212</v>
      </c>
      <c r="C261" t="s">
        <v>1213</v>
      </c>
      <c r="D261" t="s">
        <v>11</v>
      </c>
      <c r="E261" t="s">
        <v>13</v>
      </c>
      <c r="F261" t="s">
        <v>729</v>
      </c>
      <c r="G261" t="s">
        <v>12</v>
      </c>
      <c r="I261" t="s">
        <v>1212</v>
      </c>
      <c r="J261" t="s">
        <v>3209</v>
      </c>
      <c r="K261">
        <v>8.2522792229441855</v>
      </c>
      <c r="L261">
        <v>0.18594255518284911</v>
      </c>
      <c r="M261">
        <v>21.414503702883472</v>
      </c>
      <c r="N261">
        <v>23.555954073171822</v>
      </c>
    </row>
    <row r="262" spans="1:14">
      <c r="A262" t="s">
        <v>726</v>
      </c>
      <c r="B262" t="s">
        <v>1214</v>
      </c>
      <c r="C262" t="s">
        <v>1215</v>
      </c>
      <c r="D262" t="s">
        <v>11</v>
      </c>
      <c r="E262" t="s">
        <v>13</v>
      </c>
      <c r="F262" t="s">
        <v>729</v>
      </c>
      <c r="G262" t="s">
        <v>12</v>
      </c>
      <c r="I262" t="s">
        <v>1214</v>
      </c>
      <c r="J262" t="s">
        <v>3210</v>
      </c>
      <c r="K262">
        <v>24.404053637470696</v>
      </c>
      <c r="L262">
        <v>0.20414796716421649</v>
      </c>
      <c r="M262">
        <v>45.574545318191582</v>
      </c>
      <c r="N262">
        <v>50.131999850010743</v>
      </c>
    </row>
    <row r="263" spans="1:14">
      <c r="A263" t="s">
        <v>726</v>
      </c>
      <c r="B263" t="s">
        <v>1216</v>
      </c>
      <c r="C263" t="s">
        <v>1217</v>
      </c>
      <c r="D263" t="s">
        <v>11</v>
      </c>
      <c r="E263" t="s">
        <v>13</v>
      </c>
      <c r="F263" t="s">
        <v>729</v>
      </c>
      <c r="G263" t="s">
        <v>12</v>
      </c>
      <c r="I263" t="s">
        <v>1216</v>
      </c>
      <c r="J263" t="s">
        <v>3211</v>
      </c>
      <c r="K263">
        <v>20.940468901559047</v>
      </c>
      <c r="L263">
        <v>0.2000425576769771</v>
      </c>
      <c r="M263">
        <v>37.597783181466582</v>
      </c>
      <c r="N263">
        <v>41.35756149961324</v>
      </c>
    </row>
    <row r="264" spans="1:14">
      <c r="A264" t="s">
        <v>726</v>
      </c>
      <c r="B264" t="s">
        <v>1218</v>
      </c>
      <c r="C264" t="s">
        <v>1219</v>
      </c>
      <c r="D264" t="s">
        <v>11</v>
      </c>
      <c r="E264" t="s">
        <v>13</v>
      </c>
      <c r="F264" t="s">
        <v>729</v>
      </c>
      <c r="G264" t="s">
        <v>12</v>
      </c>
      <c r="I264" t="s">
        <v>1218</v>
      </c>
      <c r="J264" t="s">
        <v>3212</v>
      </c>
      <c r="K264">
        <v>7.2224495586608946</v>
      </c>
      <c r="L264">
        <v>0.18830100302642941</v>
      </c>
      <c r="M264">
        <v>29.218247386396438</v>
      </c>
      <c r="N264">
        <v>32.140072125036085</v>
      </c>
    </row>
    <row r="265" spans="1:14">
      <c r="A265" t="s">
        <v>726</v>
      </c>
      <c r="B265" t="s">
        <v>1220</v>
      </c>
      <c r="C265" t="s">
        <v>1221</v>
      </c>
      <c r="D265" t="s">
        <v>11</v>
      </c>
      <c r="E265" t="s">
        <v>13</v>
      </c>
      <c r="F265" t="s">
        <v>729</v>
      </c>
      <c r="G265" t="s">
        <v>12</v>
      </c>
      <c r="I265" t="s">
        <v>1220</v>
      </c>
      <c r="J265" t="s">
        <v>3213</v>
      </c>
      <c r="K265">
        <v>1.03725</v>
      </c>
      <c r="L265">
        <v>0.17851863203125609</v>
      </c>
      <c r="M265">
        <v>478.34325371562738</v>
      </c>
      <c r="N265">
        <v>526.17757908719011</v>
      </c>
    </row>
    <row r="266" spans="1:14">
      <c r="A266" t="s">
        <v>726</v>
      </c>
      <c r="B266" t="s">
        <v>1222</v>
      </c>
      <c r="C266" t="s">
        <v>1223</v>
      </c>
      <c r="D266" t="s">
        <v>11</v>
      </c>
      <c r="E266" t="s">
        <v>13</v>
      </c>
      <c r="F266" t="s">
        <v>729</v>
      </c>
      <c r="G266" t="s">
        <v>12</v>
      </c>
      <c r="I266" t="s">
        <v>1222</v>
      </c>
      <c r="J266" t="s">
        <v>3214</v>
      </c>
      <c r="K266">
        <v>120.42089229792789</v>
      </c>
      <c r="L266">
        <v>0.19586754523481889</v>
      </c>
      <c r="M266">
        <v>214.0546647106259</v>
      </c>
      <c r="N266">
        <v>235.4601311816885</v>
      </c>
    </row>
    <row r="267" spans="1:14">
      <c r="A267" t="s">
        <v>726</v>
      </c>
      <c r="B267" t="s">
        <v>1224</v>
      </c>
      <c r="C267" t="s">
        <v>1225</v>
      </c>
      <c r="D267" t="s">
        <v>11</v>
      </c>
      <c r="E267" t="s">
        <v>13</v>
      </c>
      <c r="F267" t="s">
        <v>729</v>
      </c>
      <c r="G267" t="s">
        <v>12</v>
      </c>
      <c r="I267" t="s">
        <v>1224</v>
      </c>
      <c r="J267" t="s">
        <v>3215</v>
      </c>
      <c r="K267">
        <v>76.675503966426334</v>
      </c>
      <c r="L267">
        <v>0.19776645815573721</v>
      </c>
      <c r="M267">
        <v>98.507492702556959</v>
      </c>
      <c r="N267">
        <v>108.35824197281266</v>
      </c>
    </row>
    <row r="268" spans="1:14">
      <c r="A268" t="s">
        <v>726</v>
      </c>
      <c r="B268" t="s">
        <v>1226</v>
      </c>
      <c r="C268" t="s">
        <v>1227</v>
      </c>
      <c r="D268" t="s">
        <v>11</v>
      </c>
      <c r="E268" t="s">
        <v>13</v>
      </c>
      <c r="F268" t="s">
        <v>729</v>
      </c>
      <c r="G268" t="s">
        <v>12</v>
      </c>
      <c r="I268" t="s">
        <v>1226</v>
      </c>
      <c r="J268" t="s">
        <v>3216</v>
      </c>
      <c r="K268">
        <v>6.5250000000000002E-2</v>
      </c>
      <c r="L268">
        <v>0.1664924814458692</v>
      </c>
      <c r="M268">
        <v>586.81055574529239</v>
      </c>
      <c r="N268">
        <v>645.49161131982169</v>
      </c>
    </row>
    <row r="269" spans="1:14">
      <c r="A269" t="s">
        <v>726</v>
      </c>
      <c r="B269" t="s">
        <v>1228</v>
      </c>
      <c r="C269" t="s">
        <v>1229</v>
      </c>
      <c r="D269" t="s">
        <v>11</v>
      </c>
      <c r="E269" t="s">
        <v>13</v>
      </c>
      <c r="F269" t="s">
        <v>729</v>
      </c>
      <c r="G269" t="s">
        <v>12</v>
      </c>
      <c r="I269" t="s">
        <v>1228</v>
      </c>
      <c r="J269" t="s">
        <v>3217</v>
      </c>
      <c r="K269">
        <v>4.5759921050297168</v>
      </c>
      <c r="L269">
        <v>0.18460953681456041</v>
      </c>
      <c r="M269">
        <v>121.87020784439864</v>
      </c>
      <c r="N269">
        <v>134.05722862883852</v>
      </c>
    </row>
    <row r="270" spans="1:14">
      <c r="A270" t="s">
        <v>726</v>
      </c>
      <c r="B270" t="s">
        <v>1230</v>
      </c>
      <c r="C270" t="s">
        <v>1231</v>
      </c>
      <c r="D270" t="s">
        <v>11</v>
      </c>
      <c r="E270" t="s">
        <v>13</v>
      </c>
      <c r="F270" t="s">
        <v>729</v>
      </c>
      <c r="G270" t="s">
        <v>12</v>
      </c>
      <c r="I270" t="s">
        <v>1230</v>
      </c>
      <c r="J270" t="s">
        <v>3218</v>
      </c>
      <c r="K270">
        <v>5.1586641260930053</v>
      </c>
      <c r="L270">
        <v>0.18189032832328039</v>
      </c>
      <c r="M270">
        <v>72.294122505684655</v>
      </c>
      <c r="N270">
        <v>79.523534756253127</v>
      </c>
    </row>
    <row r="271" spans="1:14">
      <c r="A271" t="s">
        <v>726</v>
      </c>
      <c r="B271" t="s">
        <v>1232</v>
      </c>
      <c r="C271" t="s">
        <v>1233</v>
      </c>
      <c r="D271" t="s">
        <v>11</v>
      </c>
      <c r="E271" t="s">
        <v>13</v>
      </c>
      <c r="F271" t="s">
        <v>729</v>
      </c>
      <c r="G271" t="s">
        <v>12</v>
      </c>
      <c r="I271" t="s">
        <v>1232</v>
      </c>
      <c r="J271" t="s">
        <v>3219</v>
      </c>
      <c r="K271">
        <v>12.984530036716055</v>
      </c>
      <c r="L271">
        <v>0.18842992547423271</v>
      </c>
      <c r="M271">
        <v>27.449626634872388</v>
      </c>
      <c r="N271">
        <v>30.194589298359627</v>
      </c>
    </row>
    <row r="272" spans="1:14">
      <c r="A272" t="s">
        <v>726</v>
      </c>
      <c r="B272" t="s">
        <v>1234</v>
      </c>
      <c r="C272" t="s">
        <v>1235</v>
      </c>
      <c r="D272" t="s">
        <v>11</v>
      </c>
      <c r="E272" t="s">
        <v>13</v>
      </c>
      <c r="F272" t="s">
        <v>729</v>
      </c>
      <c r="G272" t="s">
        <v>12</v>
      </c>
      <c r="I272" t="s">
        <v>1234</v>
      </c>
      <c r="J272" t="s">
        <v>3220</v>
      </c>
      <c r="K272">
        <v>18.220531317101063</v>
      </c>
      <c r="L272">
        <v>0.17566494621633719</v>
      </c>
      <c r="M272">
        <v>30.370479764228527</v>
      </c>
      <c r="N272">
        <v>33.407527740651382</v>
      </c>
    </row>
    <row r="273" spans="1:14">
      <c r="A273" t="s">
        <v>726</v>
      </c>
      <c r="B273" t="s">
        <v>1236</v>
      </c>
      <c r="C273" t="s">
        <v>1237</v>
      </c>
      <c r="D273" t="s">
        <v>11</v>
      </c>
      <c r="E273" t="s">
        <v>13</v>
      </c>
      <c r="F273" t="s">
        <v>729</v>
      </c>
      <c r="G273" t="s">
        <v>12</v>
      </c>
      <c r="I273" t="s">
        <v>1236</v>
      </c>
      <c r="J273" t="s">
        <v>3221</v>
      </c>
      <c r="K273">
        <v>7.7776444424610975</v>
      </c>
      <c r="L273">
        <v>0.20874265612542489</v>
      </c>
      <c r="M273">
        <v>24.218799295822127</v>
      </c>
      <c r="N273">
        <v>26.640679225404341</v>
      </c>
    </row>
    <row r="274" spans="1:14">
      <c r="A274" t="s">
        <v>726</v>
      </c>
      <c r="B274" t="s">
        <v>1238</v>
      </c>
      <c r="C274" t="s">
        <v>1239</v>
      </c>
      <c r="D274" t="s">
        <v>11</v>
      </c>
      <c r="E274" t="s">
        <v>13</v>
      </c>
      <c r="F274" t="s">
        <v>729</v>
      </c>
      <c r="G274" t="s">
        <v>12</v>
      </c>
      <c r="I274" t="s">
        <v>1238</v>
      </c>
      <c r="J274" t="s">
        <v>3222</v>
      </c>
      <c r="K274">
        <v>9.633682486387352</v>
      </c>
      <c r="L274">
        <v>0.1871477902379578</v>
      </c>
      <c r="M274">
        <v>46.125602505669363</v>
      </c>
      <c r="N274">
        <v>50.738162756236306</v>
      </c>
    </row>
    <row r="275" spans="1:14">
      <c r="A275" t="s">
        <v>726</v>
      </c>
      <c r="B275" t="s">
        <v>1240</v>
      </c>
      <c r="C275" t="s">
        <v>1241</v>
      </c>
      <c r="D275" t="s">
        <v>11</v>
      </c>
      <c r="E275" t="s">
        <v>13</v>
      </c>
      <c r="F275" t="s">
        <v>729</v>
      </c>
      <c r="G275" t="s">
        <v>12</v>
      </c>
      <c r="I275" t="s">
        <v>1240</v>
      </c>
      <c r="J275" t="s">
        <v>3223</v>
      </c>
      <c r="K275">
        <v>4.3911646033111973</v>
      </c>
      <c r="L275">
        <v>0.2367921548785874</v>
      </c>
      <c r="M275">
        <v>16.016341703378455</v>
      </c>
      <c r="N275">
        <v>17.617975873716301</v>
      </c>
    </row>
    <row r="276" spans="1:14">
      <c r="A276" t="s">
        <v>726</v>
      </c>
      <c r="B276" t="s">
        <v>1242</v>
      </c>
      <c r="C276" t="s">
        <v>1243</v>
      </c>
      <c r="D276" t="s">
        <v>11</v>
      </c>
      <c r="E276" t="s">
        <v>13</v>
      </c>
      <c r="F276" t="s">
        <v>729</v>
      </c>
      <c r="G276" t="s">
        <v>12</v>
      </c>
      <c r="I276" t="s">
        <v>1242</v>
      </c>
      <c r="J276" t="s">
        <v>3224</v>
      </c>
      <c r="K276">
        <v>5.431018322524432</v>
      </c>
      <c r="L276">
        <v>0.2345149192861001</v>
      </c>
      <c r="M276">
        <v>27.866656333772443</v>
      </c>
      <c r="N276">
        <v>30.65332196714969</v>
      </c>
    </row>
    <row r="277" spans="1:14">
      <c r="A277" t="s">
        <v>726</v>
      </c>
      <c r="B277" t="s">
        <v>1244</v>
      </c>
      <c r="C277" t="s">
        <v>1245</v>
      </c>
      <c r="D277" t="s">
        <v>11</v>
      </c>
      <c r="E277" t="s">
        <v>13</v>
      </c>
      <c r="F277" t="s">
        <v>729</v>
      </c>
      <c r="G277" t="s">
        <v>12</v>
      </c>
      <c r="I277" t="s">
        <v>1244</v>
      </c>
      <c r="J277" t="s">
        <v>3225</v>
      </c>
      <c r="K277">
        <v>3.3736875531954493</v>
      </c>
      <c r="L277">
        <v>0.2241172760771496</v>
      </c>
      <c r="M277">
        <v>21.516088840798744</v>
      </c>
      <c r="N277">
        <v>23.667697724878622</v>
      </c>
    </row>
    <row r="278" spans="1:14">
      <c r="A278" t="s">
        <v>726</v>
      </c>
      <c r="B278" t="s">
        <v>1246</v>
      </c>
      <c r="C278" t="s">
        <v>1247</v>
      </c>
      <c r="D278" t="s">
        <v>11</v>
      </c>
      <c r="E278" t="s">
        <v>13</v>
      </c>
      <c r="F278" t="s">
        <v>729</v>
      </c>
      <c r="G278" t="s">
        <v>12</v>
      </c>
      <c r="I278" t="s">
        <v>1246</v>
      </c>
      <c r="J278" t="s">
        <v>3226</v>
      </c>
      <c r="K278">
        <v>1.7709612653317157</v>
      </c>
      <c r="L278">
        <v>0.22970763497864041</v>
      </c>
      <c r="M278">
        <v>30.279042797240454</v>
      </c>
      <c r="N278">
        <v>33.306947076964505</v>
      </c>
    </row>
    <row r="279" spans="1:14">
      <c r="A279" t="s">
        <v>726</v>
      </c>
      <c r="B279" t="s">
        <v>1248</v>
      </c>
      <c r="C279" t="s">
        <v>1249</v>
      </c>
      <c r="D279" t="s">
        <v>11</v>
      </c>
      <c r="E279" t="s">
        <v>13</v>
      </c>
      <c r="F279" t="s">
        <v>729</v>
      </c>
      <c r="G279" t="s">
        <v>12</v>
      </c>
      <c r="I279" t="s">
        <v>1248</v>
      </c>
      <c r="J279" t="s">
        <v>3227</v>
      </c>
      <c r="K279">
        <v>2.947850710691533</v>
      </c>
      <c r="L279">
        <v>0.2323996145157064</v>
      </c>
      <c r="M279">
        <v>41.384354439180782</v>
      </c>
      <c r="N279">
        <v>45.522789883098866</v>
      </c>
    </row>
    <row r="280" spans="1:14">
      <c r="A280" t="s">
        <v>726</v>
      </c>
      <c r="B280" t="s">
        <v>1250</v>
      </c>
      <c r="C280" t="s">
        <v>1251</v>
      </c>
      <c r="D280" t="s">
        <v>11</v>
      </c>
      <c r="E280" t="s">
        <v>13</v>
      </c>
      <c r="F280" t="s">
        <v>729</v>
      </c>
      <c r="G280" t="s">
        <v>12</v>
      </c>
      <c r="I280" t="s">
        <v>1250</v>
      </c>
      <c r="J280" t="s">
        <v>3228</v>
      </c>
      <c r="K280">
        <v>47.033843516549673</v>
      </c>
      <c r="L280">
        <v>0.14351158110606621</v>
      </c>
      <c r="M280">
        <v>29.237110268877458</v>
      </c>
      <c r="N280">
        <v>32.16082129576521</v>
      </c>
    </row>
    <row r="281" spans="1:14">
      <c r="A281" t="s">
        <v>726</v>
      </c>
      <c r="B281" t="s">
        <v>1252</v>
      </c>
      <c r="C281" t="s">
        <v>1253</v>
      </c>
      <c r="D281" t="s">
        <v>11</v>
      </c>
      <c r="E281" t="s">
        <v>13</v>
      </c>
      <c r="F281" t="s">
        <v>729</v>
      </c>
      <c r="G281" t="s">
        <v>12</v>
      </c>
      <c r="I281" t="s">
        <v>1252</v>
      </c>
      <c r="J281" t="s">
        <v>3229</v>
      </c>
      <c r="K281">
        <v>28.13558352571987</v>
      </c>
      <c r="L281">
        <v>0.14688038669206691</v>
      </c>
      <c r="M281">
        <v>32.139460496955351</v>
      </c>
      <c r="N281">
        <v>35.353406546650888</v>
      </c>
    </row>
    <row r="282" spans="1:14">
      <c r="A282" t="s">
        <v>726</v>
      </c>
      <c r="B282" t="s">
        <v>1254</v>
      </c>
      <c r="C282" t="s">
        <v>1255</v>
      </c>
      <c r="D282" t="s">
        <v>11</v>
      </c>
      <c r="E282" t="s">
        <v>13</v>
      </c>
      <c r="F282" t="s">
        <v>729</v>
      </c>
      <c r="G282" t="s">
        <v>12</v>
      </c>
      <c r="I282" t="s">
        <v>1254</v>
      </c>
      <c r="J282" t="s">
        <v>3230</v>
      </c>
      <c r="K282">
        <v>16.671417870571428</v>
      </c>
      <c r="L282">
        <v>0.13917851214355359</v>
      </c>
      <c r="M282">
        <v>29.207528043854136</v>
      </c>
      <c r="N282">
        <v>32.128280848239555</v>
      </c>
    </row>
    <row r="283" spans="1:14">
      <c r="A283" t="s">
        <v>726</v>
      </c>
      <c r="B283" t="s">
        <v>1256</v>
      </c>
      <c r="C283" t="s">
        <v>1257</v>
      </c>
      <c r="D283" t="s">
        <v>11</v>
      </c>
      <c r="E283" t="s">
        <v>13</v>
      </c>
      <c r="F283" t="s">
        <v>729</v>
      </c>
      <c r="G283" t="s">
        <v>12</v>
      </c>
      <c r="I283" t="s">
        <v>1256</v>
      </c>
      <c r="J283" t="s">
        <v>3231</v>
      </c>
      <c r="K283">
        <v>27.506577242961363</v>
      </c>
      <c r="L283">
        <v>0.1401996891802969</v>
      </c>
      <c r="M283">
        <v>26.324555967858121</v>
      </c>
      <c r="N283">
        <v>28.957011564643935</v>
      </c>
    </row>
    <row r="284" spans="1:14">
      <c r="A284" t="s">
        <v>726</v>
      </c>
      <c r="B284" t="s">
        <v>1258</v>
      </c>
      <c r="C284" t="s">
        <v>1259</v>
      </c>
      <c r="D284" t="s">
        <v>11</v>
      </c>
      <c r="E284" t="s">
        <v>13</v>
      </c>
      <c r="F284" t="s">
        <v>729</v>
      </c>
      <c r="G284" t="s">
        <v>12</v>
      </c>
      <c r="I284" t="s">
        <v>1258</v>
      </c>
      <c r="J284" t="s">
        <v>3232</v>
      </c>
      <c r="K284">
        <v>62.494683701112052</v>
      </c>
      <c r="L284">
        <v>0.1482463426703409</v>
      </c>
      <c r="M284">
        <v>31.911911469302403</v>
      </c>
      <c r="N284">
        <v>35.103102616232647</v>
      </c>
    </row>
    <row r="285" spans="1:14">
      <c r="A285" t="s">
        <v>726</v>
      </c>
      <c r="B285" t="s">
        <v>1260</v>
      </c>
      <c r="C285" t="s">
        <v>1261</v>
      </c>
      <c r="D285" t="s">
        <v>11</v>
      </c>
      <c r="E285" t="s">
        <v>13</v>
      </c>
      <c r="F285" t="s">
        <v>729</v>
      </c>
      <c r="G285" t="s">
        <v>12</v>
      </c>
      <c r="I285" t="s">
        <v>1260</v>
      </c>
      <c r="J285" t="s">
        <v>3233</v>
      </c>
      <c r="K285">
        <v>118.0738685778732</v>
      </c>
      <c r="L285">
        <v>0.14824550291889579</v>
      </c>
      <c r="M285">
        <v>20.455735777572936</v>
      </c>
      <c r="N285">
        <v>22.501309355330232</v>
      </c>
    </row>
    <row r="286" spans="1:14">
      <c r="A286" t="s">
        <v>726</v>
      </c>
      <c r="B286" t="s">
        <v>1262</v>
      </c>
      <c r="C286" t="s">
        <v>1263</v>
      </c>
      <c r="D286" t="s">
        <v>11</v>
      </c>
      <c r="E286" t="s">
        <v>13</v>
      </c>
      <c r="F286" t="s">
        <v>729</v>
      </c>
      <c r="G286" t="s">
        <v>12</v>
      </c>
      <c r="I286" t="s">
        <v>1262</v>
      </c>
      <c r="J286" t="s">
        <v>3234</v>
      </c>
      <c r="K286">
        <v>40.623702581853848</v>
      </c>
      <c r="L286">
        <v>0.1430612728071918</v>
      </c>
      <c r="M286">
        <v>40.460264745555222</v>
      </c>
      <c r="N286">
        <v>44.506291220110747</v>
      </c>
    </row>
    <row r="287" spans="1:14">
      <c r="A287" t="s">
        <v>726</v>
      </c>
      <c r="B287" t="s">
        <v>1264</v>
      </c>
      <c r="C287" t="s">
        <v>1265</v>
      </c>
      <c r="D287" t="s">
        <v>11</v>
      </c>
      <c r="E287" t="s">
        <v>13</v>
      </c>
      <c r="F287" t="s">
        <v>729</v>
      </c>
      <c r="G287" t="s">
        <v>12</v>
      </c>
      <c r="I287" t="s">
        <v>1264</v>
      </c>
      <c r="J287" t="s">
        <v>3235</v>
      </c>
      <c r="K287">
        <v>100.4673410987956</v>
      </c>
      <c r="L287">
        <v>0.134822495499238</v>
      </c>
      <c r="M287">
        <v>22.764204792397919</v>
      </c>
      <c r="N287">
        <v>25.040625271637712</v>
      </c>
    </row>
    <row r="288" spans="1:14">
      <c r="A288" t="s">
        <v>726</v>
      </c>
      <c r="B288" t="s">
        <v>1266</v>
      </c>
      <c r="C288" t="s">
        <v>1267</v>
      </c>
      <c r="D288" t="s">
        <v>11</v>
      </c>
      <c r="E288" t="s">
        <v>13</v>
      </c>
      <c r="F288" t="s">
        <v>729</v>
      </c>
      <c r="G288" t="s">
        <v>12</v>
      </c>
      <c r="I288" t="s">
        <v>1266</v>
      </c>
      <c r="J288" t="s">
        <v>3236</v>
      </c>
      <c r="K288">
        <v>62.737595158447277</v>
      </c>
      <c r="L288">
        <v>0.13879104531802</v>
      </c>
      <c r="M288">
        <v>28.868111084142352</v>
      </c>
      <c r="N288">
        <v>31.754922192556592</v>
      </c>
    </row>
    <row r="289" spans="1:14">
      <c r="A289" t="s">
        <v>726</v>
      </c>
      <c r="B289" t="s">
        <v>1268</v>
      </c>
      <c r="C289" t="s">
        <v>1269</v>
      </c>
      <c r="D289" t="s">
        <v>11</v>
      </c>
      <c r="E289" t="s">
        <v>13</v>
      </c>
      <c r="F289" t="s">
        <v>729</v>
      </c>
      <c r="G289" t="s">
        <v>12</v>
      </c>
      <c r="I289" t="s">
        <v>1268</v>
      </c>
      <c r="J289" t="s">
        <v>3237</v>
      </c>
      <c r="K289">
        <v>43.148190556136051</v>
      </c>
      <c r="L289">
        <v>0.13901770820486381</v>
      </c>
      <c r="M289">
        <v>16.563699977849058</v>
      </c>
      <c r="N289">
        <v>18.220069975633965</v>
      </c>
    </row>
    <row r="290" spans="1:14">
      <c r="A290" t="s">
        <v>726</v>
      </c>
      <c r="B290" t="s">
        <v>1270</v>
      </c>
      <c r="C290" t="s">
        <v>1271</v>
      </c>
      <c r="D290" t="s">
        <v>11</v>
      </c>
      <c r="E290" t="s">
        <v>13</v>
      </c>
      <c r="F290" t="s">
        <v>729</v>
      </c>
      <c r="G290" t="s">
        <v>12</v>
      </c>
      <c r="I290" t="s">
        <v>1270</v>
      </c>
      <c r="J290" t="s">
        <v>3238</v>
      </c>
      <c r="K290">
        <v>43.603851186000796</v>
      </c>
      <c r="L290">
        <v>0.13363189033119549</v>
      </c>
      <c r="M290">
        <v>24.515962861757917</v>
      </c>
      <c r="N290">
        <v>26.967559147933709</v>
      </c>
    </row>
    <row r="291" spans="1:14">
      <c r="A291" t="s">
        <v>726</v>
      </c>
      <c r="B291" t="s">
        <v>1272</v>
      </c>
      <c r="C291" t="s">
        <v>1273</v>
      </c>
      <c r="D291" t="s">
        <v>11</v>
      </c>
      <c r="E291" t="s">
        <v>13</v>
      </c>
      <c r="F291" t="s">
        <v>729</v>
      </c>
      <c r="G291" t="s">
        <v>12</v>
      </c>
      <c r="I291" t="s">
        <v>1272</v>
      </c>
      <c r="J291" t="s">
        <v>3239</v>
      </c>
      <c r="K291">
        <v>57.572223234898082</v>
      </c>
      <c r="L291">
        <v>0.13311030880992869</v>
      </c>
      <c r="M291">
        <v>16.842983571599515</v>
      </c>
      <c r="N291">
        <v>18.527281928759468</v>
      </c>
    </row>
    <row r="292" spans="1:14">
      <c r="A292" t="s">
        <v>726</v>
      </c>
      <c r="B292" t="s">
        <v>1274</v>
      </c>
      <c r="C292" t="s">
        <v>1275</v>
      </c>
      <c r="D292" t="s">
        <v>11</v>
      </c>
      <c r="E292" t="s">
        <v>13</v>
      </c>
      <c r="F292" t="s">
        <v>729</v>
      </c>
      <c r="G292" t="s">
        <v>12</v>
      </c>
      <c r="I292" t="s">
        <v>1274</v>
      </c>
      <c r="J292" t="s">
        <v>3240</v>
      </c>
      <c r="K292">
        <v>7.4368853113635431</v>
      </c>
      <c r="L292">
        <v>0.2419996811069097</v>
      </c>
      <c r="M292">
        <v>91.521735418526106</v>
      </c>
      <c r="N292">
        <v>100.67390896037872</v>
      </c>
    </row>
    <row r="293" spans="1:14">
      <c r="A293" t="s">
        <v>726</v>
      </c>
      <c r="B293" t="s">
        <v>1276</v>
      </c>
      <c r="C293" t="s">
        <v>1277</v>
      </c>
      <c r="D293" t="s">
        <v>11</v>
      </c>
      <c r="E293" t="s">
        <v>13</v>
      </c>
      <c r="F293" t="s">
        <v>729</v>
      </c>
      <c r="G293" t="s">
        <v>12</v>
      </c>
      <c r="I293" t="s">
        <v>1276</v>
      </c>
      <c r="J293" t="s">
        <v>3241</v>
      </c>
      <c r="K293">
        <v>5.9713494490047889</v>
      </c>
      <c r="L293">
        <v>0.23517482209024759</v>
      </c>
      <c r="M293">
        <v>42.4764833729119</v>
      </c>
      <c r="N293">
        <v>46.724131710203096</v>
      </c>
    </row>
    <row r="294" spans="1:14">
      <c r="A294" t="s">
        <v>726</v>
      </c>
      <c r="B294" t="s">
        <v>1278</v>
      </c>
      <c r="C294" t="s">
        <v>1279</v>
      </c>
      <c r="D294" t="s">
        <v>11</v>
      </c>
      <c r="E294" t="s">
        <v>13</v>
      </c>
      <c r="F294" t="s">
        <v>729</v>
      </c>
      <c r="G294" t="s">
        <v>12</v>
      </c>
      <c r="I294" t="s">
        <v>1278</v>
      </c>
      <c r="J294" t="s">
        <v>3242</v>
      </c>
      <c r="K294">
        <v>13.244150946576973</v>
      </c>
      <c r="L294">
        <v>0.15719332160779639</v>
      </c>
      <c r="M294">
        <v>45.666568487986957</v>
      </c>
      <c r="N294">
        <v>50.233225336785658</v>
      </c>
    </row>
    <row r="295" spans="1:14">
      <c r="A295" t="s">
        <v>726</v>
      </c>
      <c r="B295" t="s">
        <v>1280</v>
      </c>
      <c r="C295" t="s">
        <v>1281</v>
      </c>
      <c r="D295" t="s">
        <v>11</v>
      </c>
      <c r="E295" t="s">
        <v>13</v>
      </c>
      <c r="F295" t="s">
        <v>729</v>
      </c>
      <c r="G295" t="s">
        <v>12</v>
      </c>
      <c r="I295" t="s">
        <v>1280</v>
      </c>
      <c r="J295" t="s">
        <v>3243</v>
      </c>
      <c r="K295">
        <v>16.18684825680204</v>
      </c>
      <c r="L295">
        <v>0.1572372662209359</v>
      </c>
      <c r="M295">
        <v>38.990256314836323</v>
      </c>
      <c r="N295">
        <v>42.889281946319961</v>
      </c>
    </row>
    <row r="296" spans="1:14">
      <c r="A296" t="s">
        <v>726</v>
      </c>
      <c r="B296" t="s">
        <v>1282</v>
      </c>
      <c r="C296" t="s">
        <v>1283</v>
      </c>
      <c r="D296" t="s">
        <v>11</v>
      </c>
      <c r="E296" t="s">
        <v>13</v>
      </c>
      <c r="F296" t="s">
        <v>729</v>
      </c>
      <c r="G296" t="s">
        <v>12</v>
      </c>
      <c r="I296" t="s">
        <v>1282</v>
      </c>
      <c r="J296" t="s">
        <v>3244</v>
      </c>
      <c r="K296">
        <v>11.005066119678608</v>
      </c>
      <c r="L296">
        <v>0.1543521575277208</v>
      </c>
      <c r="M296">
        <v>43.719737190332772</v>
      </c>
      <c r="N296">
        <v>48.09171090936605</v>
      </c>
    </row>
    <row r="297" spans="1:14">
      <c r="A297" t="s">
        <v>726</v>
      </c>
      <c r="B297" t="s">
        <v>1284</v>
      </c>
      <c r="C297" t="s">
        <v>1285</v>
      </c>
      <c r="D297" t="s">
        <v>11</v>
      </c>
      <c r="E297" t="s">
        <v>13</v>
      </c>
      <c r="F297" t="s">
        <v>729</v>
      </c>
      <c r="G297" t="s">
        <v>12</v>
      </c>
      <c r="I297" t="s">
        <v>1284</v>
      </c>
      <c r="J297" t="s">
        <v>3245</v>
      </c>
      <c r="K297">
        <v>20.301228845816659</v>
      </c>
      <c r="L297">
        <v>0.14860934658784961</v>
      </c>
      <c r="M297">
        <v>36.575751436801511</v>
      </c>
      <c r="N297">
        <v>40.233326580481666</v>
      </c>
    </row>
    <row r="298" spans="1:14">
      <c r="A298" t="s">
        <v>726</v>
      </c>
      <c r="B298" t="s">
        <v>1286</v>
      </c>
      <c r="C298" t="s">
        <v>1287</v>
      </c>
      <c r="D298" t="s">
        <v>11</v>
      </c>
      <c r="E298" t="s">
        <v>13</v>
      </c>
      <c r="F298" t="s">
        <v>729</v>
      </c>
      <c r="G298" t="s">
        <v>12</v>
      </c>
      <c r="I298" t="s">
        <v>1286</v>
      </c>
      <c r="J298" t="s">
        <v>3246</v>
      </c>
      <c r="K298">
        <v>3.7770909175458867</v>
      </c>
      <c r="L298">
        <v>0.24607875182078179</v>
      </c>
      <c r="M298">
        <v>34.966897045021064</v>
      </c>
      <c r="N298">
        <v>38.463586749523174</v>
      </c>
    </row>
    <row r="299" spans="1:14">
      <c r="A299" t="s">
        <v>726</v>
      </c>
      <c r="B299" t="s">
        <v>1288</v>
      </c>
      <c r="C299" t="s">
        <v>1289</v>
      </c>
      <c r="D299" t="s">
        <v>11</v>
      </c>
      <c r="E299" t="s">
        <v>13</v>
      </c>
      <c r="F299" t="s">
        <v>729</v>
      </c>
      <c r="G299" t="s">
        <v>12</v>
      </c>
      <c r="I299" t="s">
        <v>1288</v>
      </c>
      <c r="J299" t="s">
        <v>3247</v>
      </c>
      <c r="K299">
        <v>1.8323719059707924</v>
      </c>
      <c r="L299">
        <v>0.23089367729621749</v>
      </c>
      <c r="M299">
        <v>15.987535990160866</v>
      </c>
      <c r="N299">
        <v>17.586289589176953</v>
      </c>
    </row>
    <row r="300" spans="1:14">
      <c r="A300" t="s">
        <v>726</v>
      </c>
      <c r="B300" t="s">
        <v>1290</v>
      </c>
      <c r="C300" t="s">
        <v>1291</v>
      </c>
      <c r="D300" t="s">
        <v>11</v>
      </c>
      <c r="E300" t="s">
        <v>13</v>
      </c>
      <c r="F300" t="s">
        <v>729</v>
      </c>
      <c r="G300" t="s">
        <v>12</v>
      </c>
      <c r="I300" t="s">
        <v>1290</v>
      </c>
      <c r="J300" t="s">
        <v>3248</v>
      </c>
      <c r="K300">
        <v>1.0895747588326967</v>
      </c>
      <c r="L300">
        <v>0.22431849893016609</v>
      </c>
      <c r="M300">
        <v>14.44455520111484</v>
      </c>
      <c r="N300">
        <v>15.889010721226326</v>
      </c>
    </row>
    <row r="301" spans="1:14">
      <c r="A301" t="s">
        <v>726</v>
      </c>
      <c r="B301" t="s">
        <v>1292</v>
      </c>
      <c r="C301" t="s">
        <v>1293</v>
      </c>
      <c r="D301" t="s">
        <v>11</v>
      </c>
      <c r="E301" t="s">
        <v>13</v>
      </c>
      <c r="F301" t="s">
        <v>729</v>
      </c>
      <c r="G301" t="s">
        <v>12</v>
      </c>
      <c r="I301" t="s">
        <v>1292</v>
      </c>
      <c r="J301" t="s">
        <v>3249</v>
      </c>
      <c r="K301">
        <v>2.043892837199496</v>
      </c>
      <c r="L301">
        <v>0.22790760930193821</v>
      </c>
      <c r="M301">
        <v>21.582062375885471</v>
      </c>
      <c r="N301">
        <v>23.740268613474019</v>
      </c>
    </row>
    <row r="302" spans="1:14">
      <c r="A302" t="s">
        <v>726</v>
      </c>
      <c r="B302" t="s">
        <v>1294</v>
      </c>
      <c r="C302" t="s">
        <v>1295</v>
      </c>
      <c r="D302" t="s">
        <v>11</v>
      </c>
      <c r="E302" t="s">
        <v>13</v>
      </c>
      <c r="F302" t="s">
        <v>729</v>
      </c>
      <c r="G302" t="s">
        <v>12</v>
      </c>
      <c r="I302" t="s">
        <v>1294</v>
      </c>
      <c r="J302" t="s">
        <v>3250</v>
      </c>
      <c r="K302">
        <v>45.659033849522359</v>
      </c>
      <c r="L302">
        <v>0.25823967256883518</v>
      </c>
      <c r="M302">
        <v>59.147986687524558</v>
      </c>
      <c r="N302">
        <v>65.062785356277018</v>
      </c>
    </row>
    <row r="303" spans="1:14">
      <c r="A303" t="s">
        <v>726</v>
      </c>
      <c r="B303" t="s">
        <v>1296</v>
      </c>
      <c r="C303" t="s">
        <v>1297</v>
      </c>
      <c r="D303" t="s">
        <v>11</v>
      </c>
      <c r="E303" t="s">
        <v>13</v>
      </c>
      <c r="F303" t="s">
        <v>729</v>
      </c>
      <c r="G303" t="s">
        <v>12</v>
      </c>
      <c r="I303" t="s">
        <v>1296</v>
      </c>
      <c r="J303" t="s">
        <v>3251</v>
      </c>
      <c r="K303">
        <v>5.5959898890122366</v>
      </c>
      <c r="L303">
        <v>0.24311470790781139</v>
      </c>
      <c r="M303">
        <v>31.839851505502299</v>
      </c>
      <c r="N303">
        <v>35.023836656052531</v>
      </c>
    </row>
    <row r="304" spans="1:14">
      <c r="A304" t="s">
        <v>726</v>
      </c>
      <c r="B304" t="s">
        <v>1298</v>
      </c>
      <c r="C304" t="s">
        <v>1299</v>
      </c>
      <c r="D304" t="s">
        <v>11</v>
      </c>
      <c r="E304" t="s">
        <v>13</v>
      </c>
      <c r="F304" t="s">
        <v>729</v>
      </c>
      <c r="G304" t="s">
        <v>12</v>
      </c>
      <c r="I304" t="s">
        <v>1298</v>
      </c>
      <c r="J304" t="s">
        <v>3252</v>
      </c>
      <c r="K304">
        <v>3.967168764596948</v>
      </c>
      <c r="L304">
        <v>0.2309857046274075</v>
      </c>
      <c r="M304">
        <v>20.477471001346121</v>
      </c>
      <c r="N304">
        <v>22.525218101480736</v>
      </c>
    </row>
    <row r="305" spans="1:14">
      <c r="A305" t="s">
        <v>726</v>
      </c>
      <c r="B305" t="s">
        <v>1300</v>
      </c>
      <c r="C305" t="s">
        <v>1301</v>
      </c>
      <c r="D305" t="s">
        <v>11</v>
      </c>
      <c r="E305" t="s">
        <v>13</v>
      </c>
      <c r="F305" t="s">
        <v>729</v>
      </c>
      <c r="G305" t="s">
        <v>12</v>
      </c>
      <c r="I305" t="s">
        <v>1300</v>
      </c>
      <c r="J305" t="s">
        <v>3253</v>
      </c>
      <c r="K305">
        <v>243.87071155831919</v>
      </c>
      <c r="L305">
        <v>0.27983086644306637</v>
      </c>
      <c r="M305">
        <v>344.97250139841805</v>
      </c>
      <c r="N305">
        <v>379.46975153825986</v>
      </c>
    </row>
    <row r="306" spans="1:14">
      <c r="A306" t="s">
        <v>726</v>
      </c>
      <c r="B306" t="s">
        <v>1302</v>
      </c>
      <c r="C306" t="s">
        <v>1303</v>
      </c>
      <c r="D306" t="s">
        <v>11</v>
      </c>
      <c r="E306" t="s">
        <v>13</v>
      </c>
      <c r="F306" t="s">
        <v>729</v>
      </c>
      <c r="G306" t="s">
        <v>12</v>
      </c>
      <c r="I306" t="s">
        <v>1302</v>
      </c>
      <c r="J306" t="s">
        <v>3254</v>
      </c>
      <c r="K306">
        <v>144.39591800356726</v>
      </c>
      <c r="L306">
        <v>0.27848331440478602</v>
      </c>
      <c r="M306">
        <v>112.85553765380855</v>
      </c>
      <c r="N306">
        <v>124.14109141918942</v>
      </c>
    </row>
    <row r="307" spans="1:14">
      <c r="A307" t="s">
        <v>726</v>
      </c>
      <c r="B307" t="s">
        <v>1304</v>
      </c>
      <c r="C307" t="s">
        <v>1305</v>
      </c>
      <c r="D307" t="s">
        <v>11</v>
      </c>
      <c r="E307" t="s">
        <v>13</v>
      </c>
      <c r="F307" t="s">
        <v>729</v>
      </c>
      <c r="G307" t="s">
        <v>12</v>
      </c>
      <c r="I307" t="s">
        <v>1304</v>
      </c>
      <c r="J307" t="s">
        <v>3255</v>
      </c>
      <c r="K307">
        <v>270.1982321303708</v>
      </c>
      <c r="L307">
        <v>0.2767594163045613</v>
      </c>
      <c r="M307">
        <v>131.52473110690352</v>
      </c>
      <c r="N307">
        <v>144.67720421759387</v>
      </c>
    </row>
    <row r="308" spans="1:14">
      <c r="A308" t="s">
        <v>726</v>
      </c>
      <c r="B308" t="s">
        <v>1306</v>
      </c>
      <c r="C308" t="s">
        <v>1307</v>
      </c>
      <c r="D308" t="s">
        <v>11</v>
      </c>
      <c r="E308" t="s">
        <v>13</v>
      </c>
      <c r="F308" t="s">
        <v>729</v>
      </c>
      <c r="G308" t="s">
        <v>12</v>
      </c>
      <c r="I308" t="s">
        <v>1306</v>
      </c>
      <c r="J308" t="s">
        <v>3256</v>
      </c>
      <c r="K308">
        <v>185.51182878999049</v>
      </c>
      <c r="L308">
        <v>0.28528344339065848</v>
      </c>
      <c r="M308">
        <v>236.14252405462213</v>
      </c>
      <c r="N308">
        <v>259.75677646008438</v>
      </c>
    </row>
    <row r="309" spans="1:14">
      <c r="A309" t="s">
        <v>726</v>
      </c>
      <c r="B309" t="s">
        <v>1308</v>
      </c>
      <c r="C309" t="s">
        <v>1309</v>
      </c>
      <c r="D309" t="s">
        <v>11</v>
      </c>
      <c r="E309" t="s">
        <v>13</v>
      </c>
      <c r="F309" t="s">
        <v>729</v>
      </c>
      <c r="G309" t="s">
        <v>12</v>
      </c>
      <c r="I309" t="s">
        <v>1308</v>
      </c>
      <c r="J309" t="s">
        <v>3257</v>
      </c>
      <c r="K309">
        <v>303.02233261769635</v>
      </c>
      <c r="L309">
        <v>0.28593349494184961</v>
      </c>
      <c r="M309">
        <v>427.05387584568922</v>
      </c>
      <c r="N309">
        <v>469.75926343025816</v>
      </c>
    </row>
    <row r="310" spans="1:14">
      <c r="A310" t="s">
        <v>726</v>
      </c>
      <c r="B310" t="s">
        <v>1310</v>
      </c>
      <c r="C310" t="s">
        <v>1311</v>
      </c>
      <c r="D310" t="s">
        <v>11</v>
      </c>
      <c r="E310" t="s">
        <v>13</v>
      </c>
      <c r="F310" t="s">
        <v>729</v>
      </c>
      <c r="G310" t="s">
        <v>12</v>
      </c>
      <c r="I310" t="s">
        <v>1310</v>
      </c>
      <c r="J310" t="s">
        <v>3258</v>
      </c>
      <c r="K310">
        <v>170.07858425894136</v>
      </c>
      <c r="L310">
        <v>0.27758843133931771</v>
      </c>
      <c r="M310">
        <v>287.93178923180011</v>
      </c>
      <c r="N310">
        <v>316.72496815498016</v>
      </c>
    </row>
    <row r="311" spans="1:14">
      <c r="A311" t="s">
        <v>726</v>
      </c>
      <c r="B311" t="s">
        <v>1312</v>
      </c>
      <c r="C311" t="s">
        <v>1307</v>
      </c>
      <c r="D311" t="s">
        <v>11</v>
      </c>
      <c r="E311" t="s">
        <v>13</v>
      </c>
      <c r="F311" t="s">
        <v>729</v>
      </c>
      <c r="G311" t="s">
        <v>12</v>
      </c>
      <c r="I311" t="s">
        <v>1312</v>
      </c>
      <c r="J311" t="s">
        <v>3259</v>
      </c>
      <c r="K311">
        <v>320.55546143434162</v>
      </c>
      <c r="L311">
        <v>0.2772421346879424</v>
      </c>
      <c r="M311">
        <v>340.49181875730733</v>
      </c>
      <c r="N311">
        <v>374.5410006330381</v>
      </c>
    </row>
    <row r="312" spans="1:14">
      <c r="A312" t="s">
        <v>726</v>
      </c>
      <c r="B312" t="s">
        <v>1313</v>
      </c>
      <c r="C312" t="s">
        <v>1314</v>
      </c>
      <c r="D312" t="s">
        <v>11</v>
      </c>
      <c r="E312" t="s">
        <v>13</v>
      </c>
      <c r="F312" t="s">
        <v>729</v>
      </c>
      <c r="G312" t="s">
        <v>12</v>
      </c>
      <c r="I312" t="s">
        <v>1313</v>
      </c>
      <c r="J312" t="s">
        <v>3260</v>
      </c>
      <c r="K312">
        <v>254.84604800164749</v>
      </c>
      <c r="L312">
        <v>0.27924166822362678</v>
      </c>
      <c r="M312">
        <v>287.5510680966741</v>
      </c>
      <c r="N312">
        <v>316.30617490634154</v>
      </c>
    </row>
    <row r="313" spans="1:14">
      <c r="A313" t="s">
        <v>726</v>
      </c>
      <c r="B313" t="s">
        <v>1315</v>
      </c>
      <c r="C313" t="s">
        <v>1316</v>
      </c>
      <c r="D313" t="s">
        <v>11</v>
      </c>
      <c r="E313" t="s">
        <v>13</v>
      </c>
      <c r="F313" t="s">
        <v>729</v>
      </c>
      <c r="G313" t="s">
        <v>12</v>
      </c>
      <c r="I313" t="s">
        <v>1315</v>
      </c>
      <c r="J313" t="s">
        <v>3261</v>
      </c>
      <c r="K313">
        <v>133.30280646727994</v>
      </c>
      <c r="L313">
        <v>0.26764869428236138</v>
      </c>
      <c r="M313">
        <v>145.70964957860485</v>
      </c>
      <c r="N313">
        <v>160.28061453646535</v>
      </c>
    </row>
    <row r="314" spans="1:14">
      <c r="A314" t="s">
        <v>726</v>
      </c>
      <c r="B314" t="s">
        <v>1317</v>
      </c>
      <c r="C314" t="s">
        <v>1316</v>
      </c>
      <c r="D314" t="s">
        <v>11</v>
      </c>
      <c r="E314" t="s">
        <v>13</v>
      </c>
      <c r="F314" t="s">
        <v>729</v>
      </c>
      <c r="G314" t="s">
        <v>12</v>
      </c>
      <c r="I314" t="s">
        <v>1317</v>
      </c>
      <c r="J314" t="s">
        <v>3262</v>
      </c>
      <c r="K314">
        <v>131.36478501474153</v>
      </c>
      <c r="L314">
        <v>0.27290436532395662</v>
      </c>
      <c r="M314">
        <v>342.6906607662707</v>
      </c>
      <c r="N314">
        <v>376.95972684289779</v>
      </c>
    </row>
    <row r="315" spans="1:14">
      <c r="A315" t="s">
        <v>726</v>
      </c>
      <c r="B315" t="s">
        <v>1318</v>
      </c>
      <c r="C315" t="s">
        <v>1319</v>
      </c>
      <c r="D315" t="s">
        <v>11</v>
      </c>
      <c r="E315" t="s">
        <v>13</v>
      </c>
      <c r="F315" t="s">
        <v>729</v>
      </c>
      <c r="G315" t="s">
        <v>12</v>
      </c>
      <c r="I315" t="s">
        <v>1318</v>
      </c>
      <c r="J315" t="s">
        <v>3263</v>
      </c>
      <c r="K315">
        <v>45.23931072114938</v>
      </c>
      <c r="L315">
        <v>0.25964317387899599</v>
      </c>
      <c r="M315">
        <v>49.621021964075531</v>
      </c>
      <c r="N315">
        <v>54.583124160483088</v>
      </c>
    </row>
    <row r="316" spans="1:14">
      <c r="A316" t="s">
        <v>726</v>
      </c>
      <c r="B316" t="s">
        <v>1320</v>
      </c>
      <c r="C316" t="s">
        <v>1321</v>
      </c>
      <c r="D316" t="s">
        <v>11</v>
      </c>
      <c r="E316" t="s">
        <v>13</v>
      </c>
      <c r="F316" t="s">
        <v>729</v>
      </c>
      <c r="G316" t="s">
        <v>12</v>
      </c>
      <c r="I316" t="s">
        <v>1320</v>
      </c>
      <c r="J316" t="s">
        <v>3264</v>
      </c>
      <c r="K316">
        <v>105.17216584722537</v>
      </c>
      <c r="L316">
        <v>0.26790456165424797</v>
      </c>
      <c r="M316">
        <v>73.097983055214655</v>
      </c>
      <c r="N316">
        <v>80.407781360736124</v>
      </c>
    </row>
    <row r="317" spans="1:14">
      <c r="A317" t="s">
        <v>726</v>
      </c>
      <c r="B317" t="s">
        <v>1322</v>
      </c>
      <c r="C317" t="s">
        <v>1323</v>
      </c>
      <c r="D317" t="s">
        <v>11</v>
      </c>
      <c r="E317" t="s">
        <v>13</v>
      </c>
      <c r="F317" t="s">
        <v>729</v>
      </c>
      <c r="G317" t="s">
        <v>12</v>
      </c>
      <c r="I317" t="s">
        <v>1322</v>
      </c>
      <c r="J317" t="s">
        <v>3265</v>
      </c>
      <c r="K317">
        <v>0.25612256902451014</v>
      </c>
      <c r="L317">
        <v>0.1942361313618246</v>
      </c>
      <c r="M317">
        <v>156.90814410886961</v>
      </c>
      <c r="N317">
        <v>172.59895851975659</v>
      </c>
    </row>
    <row r="318" spans="1:14">
      <c r="A318" t="s">
        <v>726</v>
      </c>
      <c r="B318" t="s">
        <v>1324</v>
      </c>
      <c r="C318" t="s">
        <v>1325</v>
      </c>
      <c r="D318" t="s">
        <v>11</v>
      </c>
      <c r="E318" t="s">
        <v>13</v>
      </c>
      <c r="F318" t="s">
        <v>729</v>
      </c>
      <c r="G318" t="s">
        <v>12</v>
      </c>
      <c r="I318" t="s">
        <v>1324</v>
      </c>
      <c r="J318" t="s">
        <v>3266</v>
      </c>
      <c r="K318">
        <v>1.1733419066527064</v>
      </c>
      <c r="L318">
        <v>0.17789351441731541</v>
      </c>
      <c r="M318">
        <v>160.25082534189852</v>
      </c>
      <c r="N318">
        <v>176.27590787608838</v>
      </c>
    </row>
    <row r="319" spans="1:14">
      <c r="A319" t="s">
        <v>726</v>
      </c>
      <c r="B319" t="s">
        <v>1326</v>
      </c>
      <c r="C319" t="s">
        <v>1327</v>
      </c>
      <c r="D319" t="s">
        <v>11</v>
      </c>
      <c r="E319" t="s">
        <v>13</v>
      </c>
      <c r="F319" t="s">
        <v>729</v>
      </c>
      <c r="G319" t="s">
        <v>12</v>
      </c>
      <c r="I319" t="s">
        <v>1326</v>
      </c>
      <c r="J319" t="s">
        <v>3267</v>
      </c>
      <c r="K319">
        <v>2.0621962102495122</v>
      </c>
      <c r="L319">
        <v>0.1850735417065168</v>
      </c>
      <c r="M319">
        <v>32.180887367304827</v>
      </c>
      <c r="N319">
        <v>35.398976104035313</v>
      </c>
    </row>
    <row r="320" spans="1:14">
      <c r="A320" t="s">
        <v>726</v>
      </c>
      <c r="B320" t="s">
        <v>1328</v>
      </c>
      <c r="C320" t="s">
        <v>1329</v>
      </c>
      <c r="D320" t="s">
        <v>11</v>
      </c>
      <c r="E320" t="s">
        <v>13</v>
      </c>
      <c r="F320" t="s">
        <v>729</v>
      </c>
      <c r="G320" t="s">
        <v>12</v>
      </c>
      <c r="I320" t="s">
        <v>1328</v>
      </c>
      <c r="J320" t="s">
        <v>3268</v>
      </c>
      <c r="K320">
        <v>0.98528562588823054</v>
      </c>
      <c r="L320">
        <v>0.13380946388448009</v>
      </c>
      <c r="M320">
        <v>57.138611032215977</v>
      </c>
      <c r="N320">
        <v>62.85247213543758</v>
      </c>
    </row>
    <row r="321" spans="1:14">
      <c r="A321" t="s">
        <v>726</v>
      </c>
      <c r="B321" t="s">
        <v>1330</v>
      </c>
      <c r="C321" t="s">
        <v>1331</v>
      </c>
      <c r="D321" t="s">
        <v>11</v>
      </c>
      <c r="E321" t="s">
        <v>13</v>
      </c>
      <c r="F321" t="s">
        <v>729</v>
      </c>
      <c r="G321" t="s">
        <v>12</v>
      </c>
      <c r="I321" t="s">
        <v>1330</v>
      </c>
      <c r="J321" t="s">
        <v>3269</v>
      </c>
      <c r="K321">
        <v>6.1354269699239019</v>
      </c>
      <c r="L321">
        <v>0.13965452499797321</v>
      </c>
      <c r="M321">
        <v>24.87337943815287</v>
      </c>
      <c r="N321">
        <v>27.360717381968161</v>
      </c>
    </row>
    <row r="322" spans="1:14">
      <c r="A322" t="s">
        <v>726</v>
      </c>
      <c r="B322" t="s">
        <v>1332</v>
      </c>
      <c r="C322" t="s">
        <v>1333</v>
      </c>
      <c r="D322" t="s">
        <v>11</v>
      </c>
      <c r="E322" t="s">
        <v>13</v>
      </c>
      <c r="F322" t="s">
        <v>729</v>
      </c>
      <c r="G322" t="s">
        <v>12</v>
      </c>
      <c r="I322" t="s">
        <v>1332</v>
      </c>
      <c r="J322" t="s">
        <v>3270</v>
      </c>
      <c r="K322">
        <v>55.872850899088213</v>
      </c>
      <c r="L322">
        <v>0.27694752976401099</v>
      </c>
      <c r="M322">
        <v>514.34699132629919</v>
      </c>
      <c r="N322">
        <v>565.78169045892912</v>
      </c>
    </row>
    <row r="323" spans="1:14">
      <c r="A323" t="s">
        <v>726</v>
      </c>
      <c r="B323" t="s">
        <v>1334</v>
      </c>
      <c r="C323" t="s">
        <v>1335</v>
      </c>
      <c r="D323" t="s">
        <v>11</v>
      </c>
      <c r="E323" t="s">
        <v>13</v>
      </c>
      <c r="F323" t="s">
        <v>729</v>
      </c>
      <c r="G323" t="s">
        <v>12</v>
      </c>
      <c r="I323" t="s">
        <v>1334</v>
      </c>
      <c r="J323" t="s">
        <v>3271</v>
      </c>
      <c r="K323">
        <v>117.91998575787316</v>
      </c>
      <c r="L323">
        <v>0.29283190333974413</v>
      </c>
      <c r="M323">
        <v>665.40707481334584</v>
      </c>
      <c r="N323">
        <v>731.94778229468045</v>
      </c>
    </row>
    <row r="324" spans="1:14">
      <c r="A324" t="s">
        <v>726</v>
      </c>
      <c r="B324" t="s">
        <v>1336</v>
      </c>
      <c r="C324" t="s">
        <v>1337</v>
      </c>
      <c r="D324" t="s">
        <v>11</v>
      </c>
      <c r="E324" t="s">
        <v>13</v>
      </c>
      <c r="F324" t="s">
        <v>729</v>
      </c>
      <c r="G324" t="s">
        <v>12</v>
      </c>
      <c r="I324" t="s">
        <v>1336</v>
      </c>
      <c r="J324" t="s">
        <v>3272</v>
      </c>
      <c r="K324">
        <v>107.26721225262988</v>
      </c>
      <c r="L324">
        <v>0.27987997766145267</v>
      </c>
      <c r="M324">
        <v>350.65876479760499</v>
      </c>
      <c r="N324">
        <v>385.72464127736549</v>
      </c>
    </row>
    <row r="325" spans="1:14">
      <c r="A325" t="s">
        <v>726</v>
      </c>
      <c r="B325" t="s">
        <v>1338</v>
      </c>
      <c r="C325" t="s">
        <v>1339</v>
      </c>
      <c r="D325" t="s">
        <v>11</v>
      </c>
      <c r="E325" t="s">
        <v>13</v>
      </c>
      <c r="F325" t="s">
        <v>729</v>
      </c>
      <c r="G325" t="s">
        <v>12</v>
      </c>
      <c r="I325" t="s">
        <v>1338</v>
      </c>
      <c r="J325" t="s">
        <v>3273</v>
      </c>
      <c r="K325">
        <v>146.96936939994723</v>
      </c>
      <c r="L325">
        <v>0.28682689154521268</v>
      </c>
      <c r="M325">
        <v>304.69707990187902</v>
      </c>
      <c r="N325">
        <v>335.16678789206696</v>
      </c>
    </row>
    <row r="326" spans="1:14">
      <c r="A326" t="s">
        <v>726</v>
      </c>
      <c r="B326" t="s">
        <v>1340</v>
      </c>
      <c r="C326" t="s">
        <v>1341</v>
      </c>
      <c r="D326" t="s">
        <v>11</v>
      </c>
      <c r="E326" t="s">
        <v>13</v>
      </c>
      <c r="F326" t="s">
        <v>729</v>
      </c>
      <c r="G326" t="s">
        <v>12</v>
      </c>
      <c r="I326" t="s">
        <v>1340</v>
      </c>
      <c r="J326" t="s">
        <v>3274</v>
      </c>
      <c r="K326">
        <v>80.437743388088052</v>
      </c>
      <c r="L326">
        <v>0.28558403691354939</v>
      </c>
      <c r="M326">
        <v>110.96276533147986</v>
      </c>
      <c r="N326">
        <v>122.05904186462786</v>
      </c>
    </row>
    <row r="327" spans="1:14">
      <c r="A327" t="s">
        <v>726</v>
      </c>
      <c r="B327" t="s">
        <v>1342</v>
      </c>
      <c r="C327" t="s">
        <v>1343</v>
      </c>
      <c r="D327" t="s">
        <v>11</v>
      </c>
      <c r="E327" t="s">
        <v>13</v>
      </c>
      <c r="F327" t="s">
        <v>729</v>
      </c>
      <c r="G327" t="s">
        <v>12</v>
      </c>
      <c r="I327" t="s">
        <v>1342</v>
      </c>
      <c r="J327" t="s">
        <v>3275</v>
      </c>
      <c r="K327">
        <v>74.280710501065201</v>
      </c>
      <c r="L327">
        <v>0.27645696874075948</v>
      </c>
      <c r="M327">
        <v>134.08402603092438</v>
      </c>
      <c r="N327">
        <v>147.49242863401682</v>
      </c>
    </row>
    <row r="328" spans="1:14">
      <c r="A328" t="s">
        <v>726</v>
      </c>
      <c r="B328" t="s">
        <v>1344</v>
      </c>
      <c r="C328" t="s">
        <v>1345</v>
      </c>
      <c r="D328" t="s">
        <v>11</v>
      </c>
      <c r="E328" t="s">
        <v>13</v>
      </c>
      <c r="F328" t="s">
        <v>729</v>
      </c>
      <c r="G328" t="s">
        <v>12</v>
      </c>
      <c r="I328" t="s">
        <v>1344</v>
      </c>
      <c r="J328" t="s">
        <v>3276</v>
      </c>
      <c r="K328">
        <v>37.354161878849169</v>
      </c>
      <c r="L328">
        <v>0.26091015642971749</v>
      </c>
      <c r="M328">
        <v>62.242117677271537</v>
      </c>
      <c r="N328">
        <v>68.466329444998692</v>
      </c>
    </row>
    <row r="329" spans="1:14">
      <c r="A329" t="s">
        <v>726</v>
      </c>
      <c r="B329" t="s">
        <v>1346</v>
      </c>
      <c r="C329" t="s">
        <v>1333</v>
      </c>
      <c r="D329" t="s">
        <v>11</v>
      </c>
      <c r="E329" t="s">
        <v>13</v>
      </c>
      <c r="F329" t="s">
        <v>729</v>
      </c>
      <c r="G329" t="s">
        <v>12</v>
      </c>
      <c r="I329" t="s">
        <v>1346</v>
      </c>
      <c r="J329" t="s">
        <v>3277</v>
      </c>
      <c r="K329">
        <v>73.620498671692658</v>
      </c>
      <c r="L329">
        <v>0.27660098920112458</v>
      </c>
      <c r="M329">
        <v>226.0615160015879</v>
      </c>
      <c r="N329">
        <v>248.66766760174673</v>
      </c>
    </row>
    <row r="330" spans="1:14">
      <c r="A330" t="s">
        <v>726</v>
      </c>
      <c r="B330" t="s">
        <v>1347</v>
      </c>
      <c r="C330" t="s">
        <v>1348</v>
      </c>
      <c r="D330" t="s">
        <v>11</v>
      </c>
      <c r="E330" t="s">
        <v>13</v>
      </c>
      <c r="F330" t="s">
        <v>729</v>
      </c>
      <c r="G330" t="s">
        <v>12</v>
      </c>
      <c r="I330" t="s">
        <v>1347</v>
      </c>
      <c r="J330" t="s">
        <v>3278</v>
      </c>
      <c r="K330">
        <v>172.46054126989412</v>
      </c>
      <c r="L330">
        <v>0.29322657989284828</v>
      </c>
      <c r="M330">
        <v>501.04460133680033</v>
      </c>
      <c r="N330">
        <v>551.14906147048043</v>
      </c>
    </row>
    <row r="331" spans="1:14">
      <c r="A331" t="s">
        <v>726</v>
      </c>
      <c r="B331" t="s">
        <v>1349</v>
      </c>
      <c r="C331" t="s">
        <v>1335</v>
      </c>
      <c r="D331" t="s">
        <v>11</v>
      </c>
      <c r="E331" t="s">
        <v>13</v>
      </c>
      <c r="F331" t="s">
        <v>729</v>
      </c>
      <c r="G331" t="s">
        <v>12</v>
      </c>
      <c r="I331" t="s">
        <v>1349</v>
      </c>
      <c r="J331" t="s">
        <v>3279</v>
      </c>
      <c r="K331">
        <v>68.902665451690808</v>
      </c>
      <c r="L331">
        <v>0.28688557385177171</v>
      </c>
      <c r="M331">
        <v>387.72515023672247</v>
      </c>
      <c r="N331">
        <v>426.49766526039474</v>
      </c>
    </row>
    <row r="332" spans="1:14">
      <c r="A332" t="s">
        <v>726</v>
      </c>
      <c r="B332" t="s">
        <v>1350</v>
      </c>
      <c r="C332" t="s">
        <v>1335</v>
      </c>
      <c r="D332" t="s">
        <v>11</v>
      </c>
      <c r="E332" t="s">
        <v>13</v>
      </c>
      <c r="F332" t="s">
        <v>729</v>
      </c>
      <c r="G332" t="s">
        <v>12</v>
      </c>
      <c r="I332" t="s">
        <v>1350</v>
      </c>
      <c r="J332" t="s">
        <v>3280</v>
      </c>
      <c r="K332">
        <v>80.525527654877692</v>
      </c>
      <c r="L332">
        <v>0.28708672473660679</v>
      </c>
      <c r="M332">
        <v>169.94013530162508</v>
      </c>
      <c r="N332">
        <v>186.93414883178761</v>
      </c>
    </row>
    <row r="333" spans="1:14">
      <c r="A333" t="s">
        <v>726</v>
      </c>
      <c r="B333" t="s">
        <v>1351</v>
      </c>
      <c r="C333" t="s">
        <v>1352</v>
      </c>
      <c r="D333" t="s">
        <v>11</v>
      </c>
      <c r="E333" t="s">
        <v>13</v>
      </c>
      <c r="F333" t="s">
        <v>729</v>
      </c>
      <c r="G333" t="s">
        <v>12</v>
      </c>
      <c r="I333" t="s">
        <v>1351</v>
      </c>
      <c r="J333" t="s">
        <v>3281</v>
      </c>
      <c r="K333">
        <v>18.530628166967865</v>
      </c>
      <c r="L333">
        <v>0.2438142476855667</v>
      </c>
      <c r="M333">
        <v>409.24759802840663</v>
      </c>
      <c r="N333">
        <v>450.17235783124733</v>
      </c>
    </row>
    <row r="334" spans="1:14">
      <c r="A334" t="s">
        <v>726</v>
      </c>
      <c r="B334" t="s">
        <v>1353</v>
      </c>
      <c r="C334" t="s">
        <v>1354</v>
      </c>
      <c r="D334" t="s">
        <v>11</v>
      </c>
      <c r="E334" t="s">
        <v>13</v>
      </c>
      <c r="F334" t="s">
        <v>729</v>
      </c>
      <c r="G334" t="s">
        <v>12</v>
      </c>
      <c r="I334" t="s">
        <v>1353</v>
      </c>
      <c r="J334" t="s">
        <v>3282</v>
      </c>
      <c r="K334">
        <v>18.043350891678081</v>
      </c>
      <c r="L334">
        <v>0.2530196728915573</v>
      </c>
      <c r="M334">
        <v>116.59455263628639</v>
      </c>
      <c r="N334">
        <v>128.25400789991505</v>
      </c>
    </row>
    <row r="335" spans="1:14">
      <c r="A335" t="s">
        <v>726</v>
      </c>
      <c r="B335" t="s">
        <v>1355</v>
      </c>
      <c r="C335" t="s">
        <v>1356</v>
      </c>
      <c r="D335" t="s">
        <v>11</v>
      </c>
      <c r="E335" t="s">
        <v>13</v>
      </c>
      <c r="F335" t="s">
        <v>729</v>
      </c>
      <c r="G335" t="s">
        <v>12</v>
      </c>
      <c r="I335" t="s">
        <v>1355</v>
      </c>
      <c r="J335" t="s">
        <v>3283</v>
      </c>
      <c r="K335">
        <v>12.966830457671303</v>
      </c>
      <c r="L335">
        <v>0.25045131928229208</v>
      </c>
      <c r="M335">
        <v>79.72956090069043</v>
      </c>
      <c r="N335">
        <v>87.702516990759477</v>
      </c>
    </row>
    <row r="336" spans="1:14">
      <c r="A336" t="s">
        <v>726</v>
      </c>
      <c r="B336" t="s">
        <v>1357</v>
      </c>
      <c r="C336" t="s">
        <v>1358</v>
      </c>
      <c r="D336" t="s">
        <v>11</v>
      </c>
      <c r="E336" t="s">
        <v>13</v>
      </c>
      <c r="F336" t="s">
        <v>729</v>
      </c>
      <c r="G336" t="s">
        <v>12</v>
      </c>
      <c r="I336" t="s">
        <v>1357</v>
      </c>
      <c r="J336" t="s">
        <v>3284</v>
      </c>
      <c r="K336">
        <v>10.523544006905524</v>
      </c>
      <c r="L336">
        <v>0.24063415956462919</v>
      </c>
      <c r="M336">
        <v>152.34373066333188</v>
      </c>
      <c r="N336">
        <v>167.57810372966509</v>
      </c>
    </row>
    <row r="337" spans="1:14">
      <c r="A337" t="s">
        <v>726</v>
      </c>
      <c r="B337" t="s">
        <v>1359</v>
      </c>
      <c r="C337" t="s">
        <v>1360</v>
      </c>
      <c r="D337" t="s">
        <v>11</v>
      </c>
      <c r="E337" t="s">
        <v>13</v>
      </c>
      <c r="F337" t="s">
        <v>729</v>
      </c>
      <c r="G337" t="s">
        <v>12</v>
      </c>
      <c r="I337" t="s">
        <v>1359</v>
      </c>
      <c r="J337" t="s">
        <v>3285</v>
      </c>
      <c r="K337">
        <v>14.82574906466666</v>
      </c>
      <c r="L337">
        <v>0.2389111732389731</v>
      </c>
      <c r="M337">
        <v>153.45509947750193</v>
      </c>
      <c r="N337">
        <v>168.80060942525213</v>
      </c>
    </row>
    <row r="338" spans="1:14">
      <c r="A338" t="s">
        <v>726</v>
      </c>
      <c r="B338" t="s">
        <v>1361</v>
      </c>
      <c r="C338" t="s">
        <v>1362</v>
      </c>
      <c r="D338" t="s">
        <v>11</v>
      </c>
      <c r="E338" t="s">
        <v>13</v>
      </c>
      <c r="F338" t="s">
        <v>729</v>
      </c>
      <c r="G338" t="s">
        <v>12</v>
      </c>
      <c r="I338" t="s">
        <v>1361</v>
      </c>
      <c r="J338" t="s">
        <v>3286</v>
      </c>
      <c r="K338">
        <v>13.12137918346963</v>
      </c>
      <c r="L338">
        <v>0.18320678732320411</v>
      </c>
      <c r="M338">
        <v>32.972639634637439</v>
      </c>
      <c r="N338">
        <v>36.269903598101187</v>
      </c>
    </row>
    <row r="339" spans="1:14">
      <c r="A339" t="s">
        <v>726</v>
      </c>
      <c r="B339" t="s">
        <v>1363</v>
      </c>
      <c r="C339" t="s">
        <v>1364</v>
      </c>
      <c r="D339" t="s">
        <v>11</v>
      </c>
      <c r="E339" t="s">
        <v>13</v>
      </c>
      <c r="F339" t="s">
        <v>729</v>
      </c>
      <c r="G339" t="s">
        <v>12</v>
      </c>
      <c r="I339" t="s">
        <v>1363</v>
      </c>
      <c r="J339" t="s">
        <v>3287</v>
      </c>
      <c r="K339">
        <v>56.229919883798722</v>
      </c>
      <c r="L339">
        <v>0.22016059850444539</v>
      </c>
      <c r="M339">
        <v>77.865655640526327</v>
      </c>
      <c r="N339">
        <v>85.652221204578964</v>
      </c>
    </row>
    <row r="340" spans="1:14">
      <c r="A340" t="s">
        <v>726</v>
      </c>
      <c r="B340" t="s">
        <v>1365</v>
      </c>
      <c r="C340" t="s">
        <v>1366</v>
      </c>
      <c r="D340" t="s">
        <v>11</v>
      </c>
      <c r="E340" t="s">
        <v>13</v>
      </c>
      <c r="F340" t="s">
        <v>729</v>
      </c>
      <c r="G340" t="s">
        <v>12</v>
      </c>
      <c r="I340" t="s">
        <v>1365</v>
      </c>
      <c r="J340" t="s">
        <v>3288</v>
      </c>
      <c r="K340">
        <v>67.923172831727626</v>
      </c>
      <c r="L340">
        <v>0.22643675136537289</v>
      </c>
      <c r="M340">
        <v>50.610356329786043</v>
      </c>
      <c r="N340">
        <v>55.671391962764652</v>
      </c>
    </row>
    <row r="341" spans="1:14">
      <c r="A341" t="s">
        <v>726</v>
      </c>
      <c r="B341" t="s">
        <v>1367</v>
      </c>
      <c r="C341" t="s">
        <v>1368</v>
      </c>
      <c r="D341" t="s">
        <v>11</v>
      </c>
      <c r="E341" t="s">
        <v>13</v>
      </c>
      <c r="F341" t="s">
        <v>729</v>
      </c>
      <c r="G341" t="s">
        <v>12</v>
      </c>
      <c r="I341" t="s">
        <v>1367</v>
      </c>
      <c r="J341" t="s">
        <v>3289</v>
      </c>
      <c r="K341">
        <v>46.036301313416509</v>
      </c>
      <c r="L341">
        <v>0.23449897092430699</v>
      </c>
      <c r="M341">
        <v>51.949927502945052</v>
      </c>
      <c r="N341">
        <v>57.144920253239562</v>
      </c>
    </row>
    <row r="342" spans="1:14">
      <c r="A342" t="s">
        <v>726</v>
      </c>
      <c r="B342" t="s">
        <v>1369</v>
      </c>
      <c r="C342" t="s">
        <v>1370</v>
      </c>
      <c r="D342" t="s">
        <v>11</v>
      </c>
      <c r="E342" t="s">
        <v>13</v>
      </c>
      <c r="F342" t="s">
        <v>729</v>
      </c>
      <c r="G342" t="s">
        <v>12</v>
      </c>
      <c r="I342" t="s">
        <v>1369</v>
      </c>
      <c r="J342" t="s">
        <v>3290</v>
      </c>
      <c r="K342">
        <v>40.51593333617047</v>
      </c>
      <c r="L342">
        <v>0.24192760842576361</v>
      </c>
      <c r="M342">
        <v>45.28948343451578</v>
      </c>
      <c r="N342">
        <v>49.818431777967362</v>
      </c>
    </row>
    <row r="343" spans="1:14">
      <c r="A343" t="s">
        <v>726</v>
      </c>
      <c r="B343" t="s">
        <v>1371</v>
      </c>
      <c r="C343" t="s">
        <v>1372</v>
      </c>
      <c r="D343" t="s">
        <v>11</v>
      </c>
      <c r="E343" t="s">
        <v>13</v>
      </c>
      <c r="F343" t="s">
        <v>729</v>
      </c>
      <c r="G343" t="s">
        <v>12</v>
      </c>
      <c r="I343" t="s">
        <v>1371</v>
      </c>
      <c r="J343" t="s">
        <v>3291</v>
      </c>
      <c r="K343">
        <v>121.77356842607168</v>
      </c>
      <c r="L343">
        <v>0.23664057979411929</v>
      </c>
      <c r="M343">
        <v>47.660681617562389</v>
      </c>
      <c r="N343">
        <v>52.426749779318634</v>
      </c>
    </row>
    <row r="344" spans="1:14">
      <c r="A344" t="s">
        <v>726</v>
      </c>
      <c r="B344" t="s">
        <v>1373</v>
      </c>
      <c r="C344" t="s">
        <v>1374</v>
      </c>
      <c r="D344" t="s">
        <v>11</v>
      </c>
      <c r="E344" t="s">
        <v>13</v>
      </c>
      <c r="F344" t="s">
        <v>729</v>
      </c>
      <c r="G344" t="s">
        <v>12</v>
      </c>
      <c r="I344" t="s">
        <v>1373</v>
      </c>
      <c r="J344" t="s">
        <v>3292</v>
      </c>
      <c r="K344">
        <v>17.607622711782451</v>
      </c>
      <c r="L344">
        <v>0.18956958046781619</v>
      </c>
      <c r="M344">
        <v>37.981905021953885</v>
      </c>
      <c r="N344">
        <v>41.780095524149274</v>
      </c>
    </row>
    <row r="345" spans="1:14">
      <c r="A345" t="s">
        <v>726</v>
      </c>
      <c r="B345" t="s">
        <v>1375</v>
      </c>
      <c r="C345" t="s">
        <v>1376</v>
      </c>
      <c r="D345" t="s">
        <v>11</v>
      </c>
      <c r="E345" t="s">
        <v>13</v>
      </c>
      <c r="F345" t="s">
        <v>729</v>
      </c>
      <c r="G345" t="s">
        <v>12</v>
      </c>
      <c r="I345" t="s">
        <v>1375</v>
      </c>
      <c r="J345" t="s">
        <v>3293</v>
      </c>
      <c r="K345">
        <v>55.24160885727386</v>
      </c>
      <c r="L345">
        <v>0.21522188351350649</v>
      </c>
      <c r="M345">
        <v>49.582406262675747</v>
      </c>
      <c r="N345">
        <v>54.540646888943328</v>
      </c>
    </row>
    <row r="346" spans="1:14">
      <c r="A346" t="s">
        <v>726</v>
      </c>
      <c r="B346" t="s">
        <v>1377</v>
      </c>
      <c r="C346" t="s">
        <v>1378</v>
      </c>
      <c r="D346" t="s">
        <v>11</v>
      </c>
      <c r="E346" t="s">
        <v>13</v>
      </c>
      <c r="F346" t="s">
        <v>729</v>
      </c>
      <c r="G346" t="s">
        <v>12</v>
      </c>
      <c r="I346" t="s">
        <v>1377</v>
      </c>
      <c r="J346" t="s">
        <v>3294</v>
      </c>
      <c r="K346">
        <v>1.1110688706803498</v>
      </c>
      <c r="L346">
        <v>0.14680126631039461</v>
      </c>
      <c r="M346">
        <v>79.324931924378774</v>
      </c>
      <c r="N346">
        <v>87.257425116816663</v>
      </c>
    </row>
    <row r="347" spans="1:14">
      <c r="A347" t="s">
        <v>726</v>
      </c>
      <c r="B347" t="s">
        <v>1379</v>
      </c>
      <c r="C347" t="s">
        <v>1380</v>
      </c>
      <c r="D347" t="s">
        <v>11</v>
      </c>
      <c r="E347" t="s">
        <v>13</v>
      </c>
      <c r="F347" t="s">
        <v>729</v>
      </c>
      <c r="G347" t="s">
        <v>12</v>
      </c>
      <c r="I347" t="s">
        <v>1379</v>
      </c>
      <c r="J347" t="s">
        <v>3295</v>
      </c>
      <c r="K347">
        <v>0.61333507681910038</v>
      </c>
      <c r="L347">
        <v>0.15374875313338141</v>
      </c>
      <c r="M347">
        <v>142.87650985425859</v>
      </c>
      <c r="N347">
        <v>157.16416083968446</v>
      </c>
    </row>
    <row r="348" spans="1:14">
      <c r="A348" t="s">
        <v>726</v>
      </c>
      <c r="B348" t="s">
        <v>1381</v>
      </c>
      <c r="C348" t="s">
        <v>1382</v>
      </c>
      <c r="D348" t="s">
        <v>11</v>
      </c>
      <c r="E348" t="s">
        <v>13</v>
      </c>
      <c r="F348" t="s">
        <v>729</v>
      </c>
      <c r="G348" t="s">
        <v>12</v>
      </c>
      <c r="I348" t="s">
        <v>1381</v>
      </c>
      <c r="J348" t="s">
        <v>3296</v>
      </c>
      <c r="K348">
        <v>0.71109652669417278</v>
      </c>
      <c r="L348">
        <v>0.14665754357999811</v>
      </c>
      <c r="M348">
        <v>123.57383717931896</v>
      </c>
      <c r="N348">
        <v>135.93122089725085</v>
      </c>
    </row>
    <row r="349" spans="1:14">
      <c r="A349" t="s">
        <v>726</v>
      </c>
      <c r="B349" t="s">
        <v>1383</v>
      </c>
      <c r="C349" t="s">
        <v>1384</v>
      </c>
      <c r="D349" t="s">
        <v>11</v>
      </c>
      <c r="E349" t="s">
        <v>13</v>
      </c>
      <c r="F349" t="s">
        <v>729</v>
      </c>
      <c r="G349" t="s">
        <v>12</v>
      </c>
      <c r="I349" t="s">
        <v>1383</v>
      </c>
      <c r="J349" t="s">
        <v>3297</v>
      </c>
      <c r="K349">
        <v>0.38769921412798619</v>
      </c>
      <c r="L349">
        <v>0.1479775846483454</v>
      </c>
      <c r="M349">
        <v>79.325410203727159</v>
      </c>
      <c r="N349">
        <v>87.257951224099884</v>
      </c>
    </row>
    <row r="350" spans="1:14">
      <c r="A350" t="s">
        <v>726</v>
      </c>
      <c r="B350" t="s">
        <v>1385</v>
      </c>
      <c r="C350" t="s">
        <v>1386</v>
      </c>
      <c r="D350" t="s">
        <v>11</v>
      </c>
      <c r="E350" t="s">
        <v>13</v>
      </c>
      <c r="F350" t="s">
        <v>729</v>
      </c>
      <c r="G350" t="s">
        <v>12</v>
      </c>
      <c r="I350" t="s">
        <v>1385</v>
      </c>
      <c r="J350" t="s">
        <v>3298</v>
      </c>
      <c r="K350">
        <v>81.191756211543819</v>
      </c>
      <c r="L350">
        <v>0.24070116745327241</v>
      </c>
      <c r="M350">
        <v>124.4394163818972</v>
      </c>
      <c r="N350">
        <v>136.88335802008694</v>
      </c>
    </row>
    <row r="351" spans="1:14">
      <c r="A351" t="s">
        <v>726</v>
      </c>
      <c r="B351" t="s">
        <v>1387</v>
      </c>
      <c r="C351" t="s">
        <v>1388</v>
      </c>
      <c r="D351" t="s">
        <v>11</v>
      </c>
      <c r="E351" t="s">
        <v>13</v>
      </c>
      <c r="F351" t="s">
        <v>729</v>
      </c>
      <c r="G351" t="s">
        <v>12</v>
      </c>
      <c r="I351" t="s">
        <v>1387</v>
      </c>
      <c r="J351" t="s">
        <v>3299</v>
      </c>
      <c r="K351">
        <v>97.61884842030679</v>
      </c>
      <c r="L351">
        <v>0.23282067810918519</v>
      </c>
      <c r="M351">
        <v>130.17134723836199</v>
      </c>
      <c r="N351">
        <v>143.18848196219821</v>
      </c>
    </row>
    <row r="352" spans="1:14">
      <c r="A352" t="s">
        <v>726</v>
      </c>
      <c r="B352" t="s">
        <v>1389</v>
      </c>
      <c r="C352" t="s">
        <v>1390</v>
      </c>
      <c r="D352" t="s">
        <v>11</v>
      </c>
      <c r="E352" t="s">
        <v>13</v>
      </c>
      <c r="F352" t="s">
        <v>729</v>
      </c>
      <c r="G352" t="s">
        <v>12</v>
      </c>
      <c r="I352" t="s">
        <v>1389</v>
      </c>
      <c r="J352" t="s">
        <v>3300</v>
      </c>
      <c r="K352">
        <v>69.833122488862031</v>
      </c>
      <c r="L352">
        <v>0.2254242877977338</v>
      </c>
      <c r="M352">
        <v>151.52079745073931</v>
      </c>
      <c r="N352">
        <v>166.67287719581324</v>
      </c>
    </row>
    <row r="353" spans="1:14">
      <c r="A353" t="s">
        <v>726</v>
      </c>
      <c r="B353" t="s">
        <v>1391</v>
      </c>
      <c r="C353" t="s">
        <v>1390</v>
      </c>
      <c r="D353" t="s">
        <v>11</v>
      </c>
      <c r="E353" t="s">
        <v>13</v>
      </c>
      <c r="F353" t="s">
        <v>729</v>
      </c>
      <c r="G353" t="s">
        <v>12</v>
      </c>
      <c r="I353" t="s">
        <v>1391</v>
      </c>
      <c r="J353" t="s">
        <v>3301</v>
      </c>
      <c r="K353">
        <v>79.769352571451577</v>
      </c>
      <c r="L353">
        <v>0.235347319536584</v>
      </c>
      <c r="M353">
        <v>153.72160667258572</v>
      </c>
      <c r="N353">
        <v>169.09376733984431</v>
      </c>
    </row>
    <row r="354" spans="1:14">
      <c r="A354" t="s">
        <v>726</v>
      </c>
      <c r="B354" t="s">
        <v>1392</v>
      </c>
      <c r="C354" t="s">
        <v>1393</v>
      </c>
      <c r="D354" t="s">
        <v>11</v>
      </c>
      <c r="E354" t="s">
        <v>13</v>
      </c>
      <c r="F354" t="s">
        <v>729</v>
      </c>
      <c r="G354" t="s">
        <v>12</v>
      </c>
      <c r="I354" t="s">
        <v>1392</v>
      </c>
      <c r="J354" t="s">
        <v>3302</v>
      </c>
      <c r="K354">
        <v>55.264371744271145</v>
      </c>
      <c r="L354">
        <v>0.21600895996734479</v>
      </c>
      <c r="M354">
        <v>332.62287922648551</v>
      </c>
      <c r="N354">
        <v>365.88516714913408</v>
      </c>
    </row>
    <row r="355" spans="1:14">
      <c r="A355" t="s">
        <v>726</v>
      </c>
      <c r="B355" t="s">
        <v>1394</v>
      </c>
      <c r="C355" t="s">
        <v>1395</v>
      </c>
      <c r="D355" t="s">
        <v>11</v>
      </c>
      <c r="E355" t="s">
        <v>13</v>
      </c>
      <c r="F355" t="s">
        <v>729</v>
      </c>
      <c r="G355" t="s">
        <v>12</v>
      </c>
      <c r="I355" t="s">
        <v>1394</v>
      </c>
      <c r="J355" t="s">
        <v>3303</v>
      </c>
      <c r="K355">
        <v>28.168552445127929</v>
      </c>
      <c r="L355">
        <v>0.20942800070235651</v>
      </c>
      <c r="M355">
        <v>227.77871742375581</v>
      </c>
      <c r="N355">
        <v>250.5565891661314</v>
      </c>
    </row>
    <row r="356" spans="1:14">
      <c r="A356" t="s">
        <v>726</v>
      </c>
      <c r="B356" t="s">
        <v>1396</v>
      </c>
      <c r="C356" t="s">
        <v>1397</v>
      </c>
      <c r="D356" t="s">
        <v>11</v>
      </c>
      <c r="E356" t="s">
        <v>13</v>
      </c>
      <c r="F356" t="s">
        <v>729</v>
      </c>
      <c r="G356" t="s">
        <v>12</v>
      </c>
      <c r="I356" t="s">
        <v>1396</v>
      </c>
      <c r="J356" t="s">
        <v>3304</v>
      </c>
      <c r="K356">
        <v>49.957157649967691</v>
      </c>
      <c r="L356">
        <v>0.241511405185273</v>
      </c>
      <c r="M356">
        <v>228.18426654178052</v>
      </c>
      <c r="N356">
        <v>251.00269319595859</v>
      </c>
    </row>
    <row r="357" spans="1:14">
      <c r="A357" t="s">
        <v>726</v>
      </c>
      <c r="B357" t="s">
        <v>1398</v>
      </c>
      <c r="C357" t="s">
        <v>1399</v>
      </c>
      <c r="D357" t="s">
        <v>11</v>
      </c>
      <c r="E357" t="s">
        <v>13</v>
      </c>
      <c r="F357" t="s">
        <v>729</v>
      </c>
      <c r="G357" t="s">
        <v>12</v>
      </c>
      <c r="I357" t="s">
        <v>1398</v>
      </c>
      <c r="J357" t="s">
        <v>3305</v>
      </c>
      <c r="K357">
        <v>55.156416105373459</v>
      </c>
      <c r="L357">
        <v>0.21791523951042929</v>
      </c>
      <c r="M357">
        <v>317.5152194109732</v>
      </c>
      <c r="N357">
        <v>349.26674135207054</v>
      </c>
    </row>
    <row r="358" spans="1:14">
      <c r="A358" t="s">
        <v>726</v>
      </c>
      <c r="B358" t="s">
        <v>1400</v>
      </c>
      <c r="C358" t="s">
        <v>1401</v>
      </c>
      <c r="D358" t="s">
        <v>11</v>
      </c>
      <c r="E358" t="s">
        <v>13</v>
      </c>
      <c r="F358" t="s">
        <v>729</v>
      </c>
      <c r="G358" t="s">
        <v>12</v>
      </c>
      <c r="I358" t="s">
        <v>1400</v>
      </c>
      <c r="J358" t="s">
        <v>3306</v>
      </c>
      <c r="K358">
        <v>41.373198689535776</v>
      </c>
      <c r="L358">
        <v>0.244509792824158</v>
      </c>
      <c r="M358">
        <v>120.44718495181782</v>
      </c>
      <c r="N358">
        <v>132.4919034469996</v>
      </c>
    </row>
    <row r="359" spans="1:14">
      <c r="A359" t="s">
        <v>726</v>
      </c>
      <c r="B359" t="s">
        <v>1402</v>
      </c>
      <c r="C359" t="s">
        <v>1403</v>
      </c>
      <c r="D359" t="s">
        <v>11</v>
      </c>
      <c r="E359" t="s">
        <v>13</v>
      </c>
      <c r="F359" t="s">
        <v>729</v>
      </c>
      <c r="G359" t="s">
        <v>12</v>
      </c>
      <c r="I359" t="s">
        <v>1402</v>
      </c>
      <c r="J359" t="s">
        <v>3307</v>
      </c>
      <c r="K359">
        <v>8.8779086384122614</v>
      </c>
      <c r="L359">
        <v>0.2481613983006512</v>
      </c>
      <c r="M359">
        <v>90.520188407498637</v>
      </c>
      <c r="N359">
        <v>99.572207248248503</v>
      </c>
    </row>
    <row r="360" spans="1:14">
      <c r="A360" t="s">
        <v>726</v>
      </c>
      <c r="B360" t="s">
        <v>1404</v>
      </c>
      <c r="C360" t="s">
        <v>1405</v>
      </c>
      <c r="D360" t="s">
        <v>11</v>
      </c>
      <c r="E360" t="s">
        <v>13</v>
      </c>
      <c r="F360" t="s">
        <v>729</v>
      </c>
      <c r="G360" t="s">
        <v>12</v>
      </c>
      <c r="I360" t="s">
        <v>1404</v>
      </c>
      <c r="J360" t="s">
        <v>3308</v>
      </c>
      <c r="K360">
        <v>49.378214978226339</v>
      </c>
      <c r="L360">
        <v>0.21804310862914431</v>
      </c>
      <c r="M360">
        <v>252.52558385042536</v>
      </c>
      <c r="N360">
        <v>277.7781422354679</v>
      </c>
    </row>
    <row r="361" spans="1:14">
      <c r="A361" t="s">
        <v>726</v>
      </c>
      <c r="B361" t="s">
        <v>1406</v>
      </c>
      <c r="C361" t="s">
        <v>1407</v>
      </c>
      <c r="D361" t="s">
        <v>11</v>
      </c>
      <c r="E361" t="s">
        <v>13</v>
      </c>
      <c r="F361" t="s">
        <v>729</v>
      </c>
      <c r="G361" t="s">
        <v>12</v>
      </c>
      <c r="I361" t="s">
        <v>1406</v>
      </c>
      <c r="J361" t="s">
        <v>3309</v>
      </c>
      <c r="K361">
        <v>52.835591908947421</v>
      </c>
      <c r="L361">
        <v>0.23609222994907589</v>
      </c>
      <c r="M361">
        <v>88.060792233883433</v>
      </c>
      <c r="N361">
        <v>96.866871457271785</v>
      </c>
    </row>
    <row r="362" spans="1:14">
      <c r="A362" t="s">
        <v>726</v>
      </c>
      <c r="B362" t="s">
        <v>1408</v>
      </c>
      <c r="C362" t="s">
        <v>1409</v>
      </c>
      <c r="D362" t="s">
        <v>11</v>
      </c>
      <c r="E362" t="s">
        <v>13</v>
      </c>
      <c r="F362" t="s">
        <v>729</v>
      </c>
      <c r="G362" t="s">
        <v>12</v>
      </c>
      <c r="I362" t="s">
        <v>1408</v>
      </c>
      <c r="J362" t="s">
        <v>3310</v>
      </c>
      <c r="K362">
        <v>101.5426768015582</v>
      </c>
      <c r="L362">
        <v>0.14829231875135751</v>
      </c>
      <c r="M362">
        <v>29.203379080935694</v>
      </c>
      <c r="N362">
        <v>32.123716989029269</v>
      </c>
    </row>
    <row r="363" spans="1:14">
      <c r="A363" t="s">
        <v>726</v>
      </c>
      <c r="B363" t="s">
        <v>1410</v>
      </c>
      <c r="C363" t="s">
        <v>1411</v>
      </c>
      <c r="D363" t="s">
        <v>11</v>
      </c>
      <c r="E363" t="s">
        <v>13</v>
      </c>
      <c r="F363" t="s">
        <v>729</v>
      </c>
      <c r="G363" t="s">
        <v>12</v>
      </c>
      <c r="I363" t="s">
        <v>1410</v>
      </c>
      <c r="J363" t="s">
        <v>3311</v>
      </c>
      <c r="K363">
        <v>60.869403909368074</v>
      </c>
      <c r="L363">
        <v>0.16446592496130391</v>
      </c>
      <c r="M363">
        <v>30.888556615762983</v>
      </c>
      <c r="N363">
        <v>33.977412277339283</v>
      </c>
    </row>
    <row r="364" spans="1:14">
      <c r="A364" t="s">
        <v>726</v>
      </c>
      <c r="B364" t="s">
        <v>1412</v>
      </c>
      <c r="C364" t="s">
        <v>1413</v>
      </c>
      <c r="D364" t="s">
        <v>11</v>
      </c>
      <c r="E364" t="s">
        <v>13</v>
      </c>
      <c r="F364" t="s">
        <v>729</v>
      </c>
      <c r="G364" t="s">
        <v>12</v>
      </c>
      <c r="I364" t="s">
        <v>1412</v>
      </c>
      <c r="J364" t="s">
        <v>3312</v>
      </c>
      <c r="K364">
        <v>64.953995802300582</v>
      </c>
      <c r="L364">
        <v>0.16666934867709349</v>
      </c>
      <c r="M364">
        <v>39.135155644653068</v>
      </c>
      <c r="N364">
        <v>43.048671209118375</v>
      </c>
    </row>
    <row r="365" spans="1:14">
      <c r="A365" t="s">
        <v>726</v>
      </c>
      <c r="B365" t="s">
        <v>1414</v>
      </c>
      <c r="C365" t="s">
        <v>1415</v>
      </c>
      <c r="D365" t="s">
        <v>11</v>
      </c>
      <c r="E365" t="s">
        <v>13</v>
      </c>
      <c r="F365" t="s">
        <v>729</v>
      </c>
      <c r="G365" t="s">
        <v>12</v>
      </c>
      <c r="I365" t="s">
        <v>1414</v>
      </c>
      <c r="J365" t="s">
        <v>3313</v>
      </c>
      <c r="K365">
        <v>56.960736494888927</v>
      </c>
      <c r="L365">
        <v>0.15036025812698289</v>
      </c>
      <c r="M365">
        <v>44.266050755522848</v>
      </c>
      <c r="N365">
        <v>48.692655831075136</v>
      </c>
    </row>
    <row r="366" spans="1:14">
      <c r="A366" t="s">
        <v>726</v>
      </c>
      <c r="B366" t="s">
        <v>1416</v>
      </c>
      <c r="C366" t="s">
        <v>1417</v>
      </c>
      <c r="D366" t="s">
        <v>11</v>
      </c>
      <c r="E366" t="s">
        <v>13</v>
      </c>
      <c r="F366" t="s">
        <v>729</v>
      </c>
      <c r="G366" t="s">
        <v>12</v>
      </c>
      <c r="I366" t="s">
        <v>1416</v>
      </c>
      <c r="J366" t="s">
        <v>3314</v>
      </c>
      <c r="K366">
        <v>82.718756203456209</v>
      </c>
      <c r="L366">
        <v>0.1461340004999723</v>
      </c>
      <c r="M366">
        <v>47.135136578237059</v>
      </c>
      <c r="N366">
        <v>51.84865023606077</v>
      </c>
    </row>
    <row r="367" spans="1:14">
      <c r="A367" t="s">
        <v>726</v>
      </c>
      <c r="B367" t="s">
        <v>1418</v>
      </c>
      <c r="C367" t="s">
        <v>1419</v>
      </c>
      <c r="D367" t="s">
        <v>11</v>
      </c>
      <c r="E367" t="s">
        <v>13</v>
      </c>
      <c r="F367" t="s">
        <v>729</v>
      </c>
      <c r="G367" t="s">
        <v>12</v>
      </c>
      <c r="I367" t="s">
        <v>1418</v>
      </c>
      <c r="J367" t="s">
        <v>3315</v>
      </c>
      <c r="K367">
        <v>44.310321152561642</v>
      </c>
      <c r="L367">
        <v>0.2054957131822045</v>
      </c>
      <c r="M367">
        <v>37.935206467638722</v>
      </c>
      <c r="N367">
        <v>41.728727114402595</v>
      </c>
    </row>
    <row r="368" spans="1:14">
      <c r="A368" t="s">
        <v>726</v>
      </c>
      <c r="B368" t="s">
        <v>1420</v>
      </c>
      <c r="C368" t="s">
        <v>1421</v>
      </c>
      <c r="D368" t="s">
        <v>11</v>
      </c>
      <c r="E368" t="s">
        <v>13</v>
      </c>
      <c r="F368" t="s">
        <v>729</v>
      </c>
      <c r="G368" t="s">
        <v>12</v>
      </c>
      <c r="I368" t="s">
        <v>1420</v>
      </c>
      <c r="J368" t="s">
        <v>3316</v>
      </c>
      <c r="K368">
        <v>111.72875066780136</v>
      </c>
      <c r="L368">
        <v>0.16654344009885291</v>
      </c>
      <c r="M368">
        <v>34.596768901511858</v>
      </c>
      <c r="N368">
        <v>38.056445791663045</v>
      </c>
    </row>
    <row r="369" spans="1:14">
      <c r="A369" t="s">
        <v>726</v>
      </c>
      <c r="B369" t="s">
        <v>1422</v>
      </c>
      <c r="C369" t="s">
        <v>1423</v>
      </c>
      <c r="D369" t="s">
        <v>11</v>
      </c>
      <c r="E369" t="s">
        <v>13</v>
      </c>
      <c r="F369" t="s">
        <v>729</v>
      </c>
      <c r="G369" t="s">
        <v>12</v>
      </c>
      <c r="I369" t="s">
        <v>1422</v>
      </c>
      <c r="J369" t="s">
        <v>3317</v>
      </c>
      <c r="K369">
        <v>37.85761702958888</v>
      </c>
      <c r="L369">
        <v>0.181159346200573</v>
      </c>
      <c r="M369">
        <v>42.416139992263545</v>
      </c>
      <c r="N369">
        <v>46.657753991489905</v>
      </c>
    </row>
    <row r="370" spans="1:14">
      <c r="A370" t="s">
        <v>726</v>
      </c>
      <c r="B370" t="s">
        <v>1424</v>
      </c>
      <c r="C370" t="s">
        <v>1425</v>
      </c>
      <c r="D370" t="s">
        <v>11</v>
      </c>
      <c r="E370" t="s">
        <v>13</v>
      </c>
      <c r="F370" t="s">
        <v>729</v>
      </c>
      <c r="G370" t="s">
        <v>12</v>
      </c>
      <c r="I370" t="s">
        <v>1424</v>
      </c>
      <c r="J370" t="s">
        <v>3318</v>
      </c>
      <c r="K370">
        <v>126.94934997755648</v>
      </c>
      <c r="L370">
        <v>0.173450365373819</v>
      </c>
      <c r="M370">
        <v>34.277721550749035</v>
      </c>
      <c r="N370">
        <v>37.70549370582394</v>
      </c>
    </row>
    <row r="371" spans="1:14">
      <c r="A371" t="s">
        <v>726</v>
      </c>
      <c r="B371" t="s">
        <v>1426</v>
      </c>
      <c r="C371" t="s">
        <v>1427</v>
      </c>
      <c r="D371" t="s">
        <v>11</v>
      </c>
      <c r="E371" t="s">
        <v>13</v>
      </c>
      <c r="F371" t="s">
        <v>729</v>
      </c>
      <c r="G371" t="s">
        <v>12</v>
      </c>
      <c r="I371" t="s">
        <v>1426</v>
      </c>
      <c r="J371" t="s">
        <v>3319</v>
      </c>
      <c r="K371">
        <v>0.98889166283732277</v>
      </c>
      <c r="L371">
        <v>0.14711708135983731</v>
      </c>
      <c r="M371">
        <v>311.73468313812674</v>
      </c>
      <c r="N371">
        <v>342.90815145193943</v>
      </c>
    </row>
    <row r="372" spans="1:14">
      <c r="A372" t="s">
        <v>726</v>
      </c>
      <c r="B372" t="s">
        <v>1428</v>
      </c>
      <c r="C372" t="s">
        <v>1429</v>
      </c>
      <c r="D372" t="s">
        <v>11</v>
      </c>
      <c r="E372" t="s">
        <v>13</v>
      </c>
      <c r="F372" t="s">
        <v>729</v>
      </c>
      <c r="G372" t="s">
        <v>12</v>
      </c>
      <c r="I372" t="s">
        <v>1428</v>
      </c>
      <c r="J372" t="s">
        <v>3320</v>
      </c>
      <c r="K372">
        <v>1.6630333764207565</v>
      </c>
      <c r="L372">
        <v>0.14754985921191791</v>
      </c>
      <c r="M372">
        <v>149.50691550581979</v>
      </c>
      <c r="N372">
        <v>164.45760705640177</v>
      </c>
    </row>
    <row r="373" spans="1:14">
      <c r="A373" t="s">
        <v>726</v>
      </c>
      <c r="B373" t="s">
        <v>1430</v>
      </c>
      <c r="C373" t="s">
        <v>1427</v>
      </c>
      <c r="D373" t="s">
        <v>11</v>
      </c>
      <c r="E373" t="s">
        <v>13</v>
      </c>
      <c r="F373" t="s">
        <v>729</v>
      </c>
      <c r="G373" t="s">
        <v>12</v>
      </c>
      <c r="I373" t="s">
        <v>1430</v>
      </c>
      <c r="J373" t="s">
        <v>3321</v>
      </c>
      <c r="K373">
        <v>3.496294429659387</v>
      </c>
      <c r="L373">
        <v>0.14611564746956221</v>
      </c>
      <c r="M373">
        <v>264.36146431795379</v>
      </c>
      <c r="N373">
        <v>290.7976107497492</v>
      </c>
    </row>
    <row r="374" spans="1:14">
      <c r="A374" t="s">
        <v>726</v>
      </c>
      <c r="B374" t="s">
        <v>1431</v>
      </c>
      <c r="C374" t="s">
        <v>1432</v>
      </c>
      <c r="D374" t="s">
        <v>11</v>
      </c>
      <c r="E374" t="s">
        <v>13</v>
      </c>
      <c r="F374" t="s">
        <v>729</v>
      </c>
      <c r="G374" t="s">
        <v>12</v>
      </c>
      <c r="I374" t="s">
        <v>1431</v>
      </c>
      <c r="J374" t="s">
        <v>3322</v>
      </c>
      <c r="K374">
        <v>0.59116882336758514</v>
      </c>
      <c r="L374">
        <v>0.16544291681436191</v>
      </c>
      <c r="M374">
        <v>277.78682295216049</v>
      </c>
      <c r="N374">
        <v>305.56550524737656</v>
      </c>
    </row>
    <row r="375" spans="1:14">
      <c r="A375" t="s">
        <v>726</v>
      </c>
      <c r="B375" t="s">
        <v>1433</v>
      </c>
      <c r="C375" t="s">
        <v>1434</v>
      </c>
      <c r="D375" t="s">
        <v>11</v>
      </c>
      <c r="E375" t="s">
        <v>13</v>
      </c>
      <c r="F375" t="s">
        <v>729</v>
      </c>
      <c r="G375" t="s">
        <v>12</v>
      </c>
      <c r="I375" t="s">
        <v>1433</v>
      </c>
      <c r="J375" t="s">
        <v>3323</v>
      </c>
      <c r="K375">
        <v>2.7943439510053594</v>
      </c>
      <c r="L375">
        <v>0.18929667426064339</v>
      </c>
      <c r="M375">
        <v>78.026437882016509</v>
      </c>
      <c r="N375">
        <v>85.829081670218173</v>
      </c>
    </row>
    <row r="376" spans="1:14">
      <c r="A376" t="s">
        <v>726</v>
      </c>
      <c r="B376" t="s">
        <v>1435</v>
      </c>
      <c r="C376" t="s">
        <v>1436</v>
      </c>
      <c r="D376" t="s">
        <v>11</v>
      </c>
      <c r="E376" t="s">
        <v>13</v>
      </c>
      <c r="F376" t="s">
        <v>729</v>
      </c>
      <c r="G376" t="s">
        <v>12</v>
      </c>
      <c r="I376" t="s">
        <v>1435</v>
      </c>
      <c r="J376" t="s">
        <v>3324</v>
      </c>
      <c r="K376">
        <v>5.050175615422976</v>
      </c>
      <c r="L376">
        <v>0.1463217527765418</v>
      </c>
      <c r="M376">
        <v>14.747813652556919</v>
      </c>
      <c r="N376">
        <v>16.222595017812612</v>
      </c>
    </row>
    <row r="377" spans="1:14">
      <c r="A377" t="s">
        <v>726</v>
      </c>
      <c r="B377" t="s">
        <v>1437</v>
      </c>
      <c r="C377" t="s">
        <v>1438</v>
      </c>
      <c r="D377" t="s">
        <v>11</v>
      </c>
      <c r="E377" t="s">
        <v>13</v>
      </c>
      <c r="F377" t="s">
        <v>729</v>
      </c>
      <c r="G377" t="s">
        <v>12</v>
      </c>
      <c r="I377" t="s">
        <v>1437</v>
      </c>
      <c r="J377" t="s">
        <v>3325</v>
      </c>
      <c r="K377">
        <v>6.3346901965926348</v>
      </c>
      <c r="L377">
        <v>0.15854363756877959</v>
      </c>
      <c r="M377">
        <v>77.632975069280903</v>
      </c>
      <c r="N377">
        <v>85.396272576209</v>
      </c>
    </row>
    <row r="378" spans="1:14">
      <c r="A378" t="s">
        <v>726</v>
      </c>
      <c r="B378" t="s">
        <v>1439</v>
      </c>
      <c r="C378" t="s">
        <v>1440</v>
      </c>
      <c r="D378" t="s">
        <v>11</v>
      </c>
      <c r="E378" t="s">
        <v>13</v>
      </c>
      <c r="F378" t="s">
        <v>729</v>
      </c>
      <c r="G378" t="s">
        <v>12</v>
      </c>
      <c r="I378" t="s">
        <v>1439</v>
      </c>
      <c r="J378" t="s">
        <v>3326</v>
      </c>
      <c r="K378">
        <v>12.849467199159005</v>
      </c>
      <c r="L378">
        <v>0.14448019714345819</v>
      </c>
      <c r="M378">
        <v>24.075221260892864</v>
      </c>
      <c r="N378">
        <v>26.482743386982154</v>
      </c>
    </row>
    <row r="379" spans="1:14">
      <c r="A379" t="s">
        <v>726</v>
      </c>
      <c r="B379" t="s">
        <v>1441</v>
      </c>
      <c r="C379" t="s">
        <v>1442</v>
      </c>
      <c r="D379" t="s">
        <v>11</v>
      </c>
      <c r="E379" t="s">
        <v>13</v>
      </c>
      <c r="F379" t="s">
        <v>729</v>
      </c>
      <c r="G379" t="s">
        <v>12</v>
      </c>
      <c r="I379" t="s">
        <v>1441</v>
      </c>
      <c r="J379" t="s">
        <v>3327</v>
      </c>
      <c r="K379">
        <v>7.6710890573181674</v>
      </c>
      <c r="L379">
        <v>0.13381689087848311</v>
      </c>
      <c r="M379">
        <v>43.685451618796229</v>
      </c>
      <c r="N379">
        <v>48.053996780675853</v>
      </c>
    </row>
    <row r="380" spans="1:14">
      <c r="A380" t="s">
        <v>726</v>
      </c>
      <c r="B380" t="s">
        <v>1443</v>
      </c>
      <c r="C380" t="s">
        <v>1444</v>
      </c>
      <c r="D380" t="s">
        <v>11</v>
      </c>
      <c r="E380" t="s">
        <v>13</v>
      </c>
      <c r="F380" t="s">
        <v>729</v>
      </c>
      <c r="G380" t="s">
        <v>12</v>
      </c>
      <c r="I380" t="s">
        <v>1443</v>
      </c>
      <c r="J380" t="s">
        <v>3328</v>
      </c>
      <c r="K380">
        <v>2.2593388328525719</v>
      </c>
      <c r="L380">
        <v>0.13699861309984651</v>
      </c>
      <c r="M380">
        <v>121.31384212058148</v>
      </c>
      <c r="N380">
        <v>133.44522633263963</v>
      </c>
    </row>
    <row r="381" spans="1:14">
      <c r="A381" t="s">
        <v>726</v>
      </c>
      <c r="B381" t="s">
        <v>1445</v>
      </c>
      <c r="C381" t="s">
        <v>1446</v>
      </c>
      <c r="D381" t="s">
        <v>11</v>
      </c>
      <c r="E381" t="s">
        <v>13</v>
      </c>
      <c r="F381" t="s">
        <v>729</v>
      </c>
      <c r="G381" t="s">
        <v>12</v>
      </c>
      <c r="I381" t="s">
        <v>1445</v>
      </c>
      <c r="J381" t="s">
        <v>3329</v>
      </c>
      <c r="K381">
        <v>2.763593257907794</v>
      </c>
      <c r="L381">
        <v>0.12821700353695009</v>
      </c>
      <c r="M381">
        <v>155.39761992864078</v>
      </c>
      <c r="N381">
        <v>170.93738192150488</v>
      </c>
    </row>
    <row r="382" spans="1:14">
      <c r="A382" t="s">
        <v>726</v>
      </c>
      <c r="B382" t="s">
        <v>1447</v>
      </c>
      <c r="C382" t="s">
        <v>1448</v>
      </c>
      <c r="D382" t="s">
        <v>11</v>
      </c>
      <c r="E382" t="s">
        <v>13</v>
      </c>
      <c r="F382" t="s">
        <v>729</v>
      </c>
      <c r="G382" t="s">
        <v>12</v>
      </c>
      <c r="I382" t="s">
        <v>1447</v>
      </c>
      <c r="J382" t="s">
        <v>3330</v>
      </c>
      <c r="K382">
        <v>16.352842089041015</v>
      </c>
      <c r="L382">
        <v>0.1316671107098592</v>
      </c>
      <c r="M382">
        <v>66.73563973766754</v>
      </c>
      <c r="N382">
        <v>73.409203711434301</v>
      </c>
    </row>
    <row r="383" spans="1:14">
      <c r="A383" t="s">
        <v>726</v>
      </c>
      <c r="B383" t="s">
        <v>1449</v>
      </c>
      <c r="C383" t="s">
        <v>1450</v>
      </c>
      <c r="D383" t="s">
        <v>11</v>
      </c>
      <c r="E383" t="s">
        <v>13</v>
      </c>
      <c r="F383" t="s">
        <v>729</v>
      </c>
      <c r="G383" t="s">
        <v>12</v>
      </c>
      <c r="I383" t="s">
        <v>1449</v>
      </c>
      <c r="J383" t="s">
        <v>3331</v>
      </c>
      <c r="K383">
        <v>0.14496164379265966</v>
      </c>
      <c r="L383">
        <v>0.2085525248256288</v>
      </c>
      <c r="M383">
        <v>109.37970192299495</v>
      </c>
      <c r="N383">
        <v>120.31767211529446</v>
      </c>
    </row>
    <row r="384" spans="1:14">
      <c r="A384" t="s">
        <v>726</v>
      </c>
      <c r="B384" t="s">
        <v>1451</v>
      </c>
      <c r="C384" t="s">
        <v>1452</v>
      </c>
      <c r="D384" t="s">
        <v>11</v>
      </c>
      <c r="E384" t="s">
        <v>13</v>
      </c>
      <c r="F384" t="s">
        <v>729</v>
      </c>
      <c r="G384" t="s">
        <v>12</v>
      </c>
      <c r="I384" t="s">
        <v>1451</v>
      </c>
      <c r="J384" t="s">
        <v>3332</v>
      </c>
      <c r="K384">
        <v>5.3325760527796042</v>
      </c>
      <c r="L384">
        <v>0.20207903664365151</v>
      </c>
      <c r="M384">
        <v>108.96065706593092</v>
      </c>
      <c r="N384">
        <v>119.85672277252402</v>
      </c>
    </row>
    <row r="385" spans="1:14">
      <c r="A385" t="s">
        <v>726</v>
      </c>
      <c r="B385" t="s">
        <v>1453</v>
      </c>
      <c r="C385" t="s">
        <v>1454</v>
      </c>
      <c r="D385" t="s">
        <v>11</v>
      </c>
      <c r="E385" t="s">
        <v>13</v>
      </c>
      <c r="F385" t="s">
        <v>729</v>
      </c>
      <c r="G385" t="s">
        <v>12</v>
      </c>
      <c r="I385" t="s">
        <v>1453</v>
      </c>
      <c r="J385" t="s">
        <v>3333</v>
      </c>
      <c r="K385">
        <v>0.10160538277746901</v>
      </c>
      <c r="L385">
        <v>0.1909849768438095</v>
      </c>
      <c r="M385">
        <v>168.81710754536957</v>
      </c>
      <c r="N385">
        <v>185.69881829990655</v>
      </c>
    </row>
    <row r="386" spans="1:14">
      <c r="A386" t="s">
        <v>726</v>
      </c>
      <c r="B386" t="s">
        <v>1455</v>
      </c>
      <c r="C386" t="s">
        <v>1456</v>
      </c>
      <c r="D386" t="s">
        <v>11</v>
      </c>
      <c r="E386" t="s">
        <v>13</v>
      </c>
      <c r="F386" t="s">
        <v>729</v>
      </c>
      <c r="G386" t="s">
        <v>12</v>
      </c>
      <c r="I386" t="s">
        <v>1455</v>
      </c>
      <c r="J386" t="s">
        <v>3334</v>
      </c>
      <c r="K386">
        <v>3.2815793308675008</v>
      </c>
      <c r="L386">
        <v>0.19053794969107071</v>
      </c>
      <c r="M386">
        <v>70.075413975460535</v>
      </c>
      <c r="N386">
        <v>77.082955373006598</v>
      </c>
    </row>
    <row r="387" spans="1:14">
      <c r="A387" t="s">
        <v>726</v>
      </c>
      <c r="B387" t="s">
        <v>1457</v>
      </c>
      <c r="C387" t="s">
        <v>1458</v>
      </c>
      <c r="D387" t="s">
        <v>11</v>
      </c>
      <c r="E387" t="s">
        <v>13</v>
      </c>
      <c r="F387" t="s">
        <v>729</v>
      </c>
      <c r="G387" t="s">
        <v>12</v>
      </c>
      <c r="I387" t="s">
        <v>1457</v>
      </c>
      <c r="J387" t="s">
        <v>3335</v>
      </c>
      <c r="K387">
        <v>19.431426016351551</v>
      </c>
      <c r="L387">
        <v>0.23135331647008051</v>
      </c>
      <c r="M387">
        <v>203.44934550244733</v>
      </c>
      <c r="N387">
        <v>223.79428005269207</v>
      </c>
    </row>
    <row r="388" spans="1:14">
      <c r="A388" t="s">
        <v>726</v>
      </c>
      <c r="B388" t="s">
        <v>1459</v>
      </c>
      <c r="C388" t="s">
        <v>1460</v>
      </c>
      <c r="D388" t="s">
        <v>11</v>
      </c>
      <c r="E388" t="s">
        <v>13</v>
      </c>
      <c r="F388" t="s">
        <v>729</v>
      </c>
      <c r="G388" t="s">
        <v>12</v>
      </c>
      <c r="I388" t="s">
        <v>1459</v>
      </c>
      <c r="J388" t="s">
        <v>3336</v>
      </c>
      <c r="K388">
        <v>20.841291672364477</v>
      </c>
      <c r="L388">
        <v>0.22757771339879929</v>
      </c>
      <c r="M388">
        <v>122.88971021489368</v>
      </c>
      <c r="N388">
        <v>135.17868123638306</v>
      </c>
    </row>
    <row r="389" spans="1:14">
      <c r="A389" t="s">
        <v>726</v>
      </c>
      <c r="B389" t="s">
        <v>1461</v>
      </c>
      <c r="C389" t="s">
        <v>1462</v>
      </c>
      <c r="D389" t="s">
        <v>11</v>
      </c>
      <c r="E389" t="s">
        <v>13</v>
      </c>
      <c r="F389" t="s">
        <v>729</v>
      </c>
      <c r="G389" t="s">
        <v>12</v>
      </c>
      <c r="I389" t="s">
        <v>1461</v>
      </c>
      <c r="J389" t="s">
        <v>3337</v>
      </c>
      <c r="K389">
        <v>9.28781320380428</v>
      </c>
      <c r="L389">
        <v>0.20282322358619231</v>
      </c>
      <c r="M389">
        <v>135.31303165996121</v>
      </c>
      <c r="N389">
        <v>148.84433482595733</v>
      </c>
    </row>
    <row r="390" spans="1:14">
      <c r="A390" t="s">
        <v>726</v>
      </c>
      <c r="B390" t="s">
        <v>1463</v>
      </c>
      <c r="C390" t="s">
        <v>1464</v>
      </c>
      <c r="D390" t="s">
        <v>11</v>
      </c>
      <c r="E390" t="s">
        <v>13</v>
      </c>
      <c r="F390" t="s">
        <v>729</v>
      </c>
      <c r="G390" t="s">
        <v>12</v>
      </c>
      <c r="I390" t="s">
        <v>1463</v>
      </c>
      <c r="J390" t="s">
        <v>3338</v>
      </c>
      <c r="K390">
        <v>5.0827168515745598</v>
      </c>
      <c r="L390">
        <v>0.19899811183488539</v>
      </c>
      <c r="M390">
        <v>79.800809589637879</v>
      </c>
      <c r="N390">
        <v>87.780890548601676</v>
      </c>
    </row>
    <row r="391" spans="1:14">
      <c r="A391" t="s">
        <v>726</v>
      </c>
      <c r="B391" t="s">
        <v>1465</v>
      </c>
      <c r="C391" t="s">
        <v>1466</v>
      </c>
      <c r="D391" t="s">
        <v>11</v>
      </c>
      <c r="E391" t="s">
        <v>13</v>
      </c>
      <c r="F391" t="s">
        <v>729</v>
      </c>
      <c r="G391" t="s">
        <v>12</v>
      </c>
      <c r="I391" t="s">
        <v>1465</v>
      </c>
      <c r="J391" t="s">
        <v>3339</v>
      </c>
      <c r="K391">
        <v>66.322531643399017</v>
      </c>
      <c r="L391">
        <v>0.17709640530609921</v>
      </c>
      <c r="M391">
        <v>54.347214644335374</v>
      </c>
      <c r="N391">
        <v>59.781936108768917</v>
      </c>
    </row>
    <row r="392" spans="1:14">
      <c r="A392" t="s">
        <v>726</v>
      </c>
      <c r="B392" t="s">
        <v>1467</v>
      </c>
      <c r="C392" t="s">
        <v>1468</v>
      </c>
      <c r="D392" t="s">
        <v>11</v>
      </c>
      <c r="E392" t="s">
        <v>13</v>
      </c>
      <c r="F392" t="s">
        <v>729</v>
      </c>
      <c r="G392" t="s">
        <v>12</v>
      </c>
      <c r="I392" t="s">
        <v>1467</v>
      </c>
      <c r="J392" t="s">
        <v>3340</v>
      </c>
      <c r="K392">
        <v>27.452718026503156</v>
      </c>
      <c r="L392">
        <v>0.1825700441775073</v>
      </c>
      <c r="M392">
        <v>100.05713899977739</v>
      </c>
      <c r="N392">
        <v>110.06285289975514</v>
      </c>
    </row>
    <row r="393" spans="1:14">
      <c r="A393" t="s">
        <v>726</v>
      </c>
      <c r="B393" t="s">
        <v>1469</v>
      </c>
      <c r="C393" t="s">
        <v>1470</v>
      </c>
      <c r="D393" t="s">
        <v>11</v>
      </c>
      <c r="E393" t="s">
        <v>13</v>
      </c>
      <c r="F393" t="s">
        <v>729</v>
      </c>
      <c r="G393" t="s">
        <v>12</v>
      </c>
      <c r="I393" t="s">
        <v>1469</v>
      </c>
      <c r="J393" t="s">
        <v>3341</v>
      </c>
      <c r="K393">
        <v>3.6785797982605084</v>
      </c>
      <c r="L393">
        <v>0.19683063989570679</v>
      </c>
      <c r="M393">
        <v>87.800091270605193</v>
      </c>
      <c r="N393">
        <v>96.580100397665717</v>
      </c>
    </row>
    <row r="394" spans="1:14">
      <c r="A394" t="s">
        <v>726</v>
      </c>
      <c r="B394" t="s">
        <v>1471</v>
      </c>
      <c r="C394" t="s">
        <v>1472</v>
      </c>
      <c r="D394" t="s">
        <v>11</v>
      </c>
      <c r="E394" t="s">
        <v>13</v>
      </c>
      <c r="F394" t="s">
        <v>729</v>
      </c>
      <c r="G394" t="s">
        <v>12</v>
      </c>
      <c r="I394" t="s">
        <v>1471</v>
      </c>
      <c r="J394" t="s">
        <v>3342</v>
      </c>
      <c r="K394">
        <v>3.4588609196017988</v>
      </c>
      <c r="L394">
        <v>0.2121146439437501</v>
      </c>
      <c r="M394">
        <v>217.97596750633204</v>
      </c>
      <c r="N394">
        <v>239.77356425696527</v>
      </c>
    </row>
    <row r="395" spans="1:14">
      <c r="A395" t="s">
        <v>726</v>
      </c>
      <c r="B395" t="s">
        <v>1473</v>
      </c>
      <c r="C395" t="s">
        <v>1474</v>
      </c>
      <c r="D395" t="s">
        <v>11</v>
      </c>
      <c r="E395" t="s">
        <v>13</v>
      </c>
      <c r="F395" t="s">
        <v>729</v>
      </c>
      <c r="G395" t="s">
        <v>12</v>
      </c>
      <c r="I395" t="s">
        <v>1473</v>
      </c>
      <c r="J395" t="s">
        <v>3343</v>
      </c>
      <c r="K395">
        <v>9.4487709492467697</v>
      </c>
      <c r="L395">
        <v>0.2327453805400938</v>
      </c>
      <c r="M395">
        <v>125.16890074454859</v>
      </c>
      <c r="N395">
        <v>137.68579081900347</v>
      </c>
    </row>
    <row r="396" spans="1:14">
      <c r="A396" t="s">
        <v>726</v>
      </c>
      <c r="B396" t="s">
        <v>1475</v>
      </c>
      <c r="C396" t="s">
        <v>1476</v>
      </c>
      <c r="D396" t="s">
        <v>11</v>
      </c>
      <c r="E396" t="s">
        <v>13</v>
      </c>
      <c r="F396" t="s">
        <v>729</v>
      </c>
      <c r="G396" t="s">
        <v>12</v>
      </c>
      <c r="I396" t="s">
        <v>1475</v>
      </c>
      <c r="J396" t="s">
        <v>3344</v>
      </c>
      <c r="K396">
        <v>6.766858887061959</v>
      </c>
      <c r="L396">
        <v>0.22855572564549059</v>
      </c>
      <c r="M396">
        <v>58.228417246087197</v>
      </c>
      <c r="N396">
        <v>64.051258970695926</v>
      </c>
    </row>
    <row r="397" spans="1:14">
      <c r="A397" t="s">
        <v>726</v>
      </c>
      <c r="B397" t="s">
        <v>1477</v>
      </c>
      <c r="C397" t="s">
        <v>1478</v>
      </c>
      <c r="D397" t="s">
        <v>11</v>
      </c>
      <c r="E397" t="s">
        <v>13</v>
      </c>
      <c r="F397" t="s">
        <v>729</v>
      </c>
      <c r="G397" t="s">
        <v>12</v>
      </c>
      <c r="I397" t="s">
        <v>1477</v>
      </c>
      <c r="J397" t="s">
        <v>3345</v>
      </c>
      <c r="K397">
        <v>5.8568003608684025</v>
      </c>
      <c r="L397">
        <v>0.18405042724349049</v>
      </c>
      <c r="M397">
        <v>48.224287136139971</v>
      </c>
      <c r="N397">
        <v>53.046715849753973</v>
      </c>
    </row>
    <row r="398" spans="1:14">
      <c r="A398" t="s">
        <v>726</v>
      </c>
      <c r="B398" t="s">
        <v>1479</v>
      </c>
      <c r="C398" t="s">
        <v>1480</v>
      </c>
      <c r="D398" t="s">
        <v>11</v>
      </c>
      <c r="E398" t="s">
        <v>13</v>
      </c>
      <c r="F398" t="s">
        <v>729</v>
      </c>
      <c r="G398" t="s">
        <v>12</v>
      </c>
      <c r="I398" t="s">
        <v>1479</v>
      </c>
      <c r="J398" t="s">
        <v>3346</v>
      </c>
      <c r="K398">
        <v>3.5730633563802581</v>
      </c>
      <c r="L398">
        <v>0.19429745687280939</v>
      </c>
      <c r="M398">
        <v>63.421417791022591</v>
      </c>
      <c r="N398">
        <v>69.763559570124855</v>
      </c>
    </row>
    <row r="399" spans="1:14">
      <c r="A399" t="s">
        <v>726</v>
      </c>
      <c r="B399" t="s">
        <v>1481</v>
      </c>
      <c r="C399" t="s">
        <v>1482</v>
      </c>
      <c r="D399" t="s">
        <v>11</v>
      </c>
      <c r="E399" t="s">
        <v>13</v>
      </c>
      <c r="F399" t="s">
        <v>729</v>
      </c>
      <c r="G399" t="s">
        <v>12</v>
      </c>
      <c r="I399" t="s">
        <v>1481</v>
      </c>
      <c r="J399" t="s">
        <v>3347</v>
      </c>
      <c r="K399">
        <v>0.67328458697014215</v>
      </c>
      <c r="L399">
        <v>0.21120279233972511</v>
      </c>
      <c r="M399">
        <v>65.230362688378108</v>
      </c>
      <c r="N399">
        <v>71.753398957215921</v>
      </c>
    </row>
    <row r="400" spans="1:14">
      <c r="A400" t="s">
        <v>726</v>
      </c>
      <c r="B400" t="s">
        <v>1483</v>
      </c>
      <c r="C400" t="s">
        <v>1484</v>
      </c>
      <c r="D400" t="s">
        <v>11</v>
      </c>
      <c r="E400" t="s">
        <v>13</v>
      </c>
      <c r="F400" t="s">
        <v>729</v>
      </c>
      <c r="G400" t="s">
        <v>12</v>
      </c>
      <c r="I400" t="s">
        <v>1483</v>
      </c>
      <c r="J400" t="s">
        <v>3348</v>
      </c>
      <c r="K400">
        <v>0.95865192489533346</v>
      </c>
      <c r="L400">
        <v>0.21935004746449771</v>
      </c>
      <c r="M400">
        <v>54.520275090122659</v>
      </c>
      <c r="N400">
        <v>59.972302599134927</v>
      </c>
    </row>
    <row r="401" spans="1:14">
      <c r="A401" t="s">
        <v>726</v>
      </c>
      <c r="B401" t="s">
        <v>1485</v>
      </c>
      <c r="C401" t="s">
        <v>1486</v>
      </c>
      <c r="D401" t="s">
        <v>11</v>
      </c>
      <c r="E401" t="s">
        <v>13</v>
      </c>
      <c r="F401" t="s">
        <v>729</v>
      </c>
      <c r="G401" t="s">
        <v>12</v>
      </c>
      <c r="I401" t="s">
        <v>1485</v>
      </c>
      <c r="J401" t="s">
        <v>3349</v>
      </c>
      <c r="K401">
        <v>0.52311506004164776</v>
      </c>
      <c r="L401">
        <v>0.21647647021296351</v>
      </c>
      <c r="M401">
        <v>82.230898063679263</v>
      </c>
      <c r="N401">
        <v>90.4539878700472</v>
      </c>
    </row>
    <row r="402" spans="1:14">
      <c r="A402" t="s">
        <v>726</v>
      </c>
      <c r="B402" t="s">
        <v>1487</v>
      </c>
      <c r="C402" t="s">
        <v>1488</v>
      </c>
      <c r="D402" t="s">
        <v>11</v>
      </c>
      <c r="E402" t="s">
        <v>13</v>
      </c>
      <c r="F402" t="s">
        <v>729</v>
      </c>
      <c r="G402" t="s">
        <v>12</v>
      </c>
      <c r="I402" t="s">
        <v>1487</v>
      </c>
      <c r="J402" t="s">
        <v>3350</v>
      </c>
      <c r="K402">
        <v>0.29120334648128871</v>
      </c>
      <c r="L402">
        <v>0.1576940651105205</v>
      </c>
      <c r="M402">
        <v>75.642883913561931</v>
      </c>
      <c r="N402">
        <v>83.207172304918132</v>
      </c>
    </row>
    <row r="403" spans="1:14">
      <c r="A403" t="s">
        <v>726</v>
      </c>
      <c r="B403" t="s">
        <v>1489</v>
      </c>
      <c r="C403" t="s">
        <v>1490</v>
      </c>
      <c r="D403" t="s">
        <v>11</v>
      </c>
      <c r="E403" t="s">
        <v>13</v>
      </c>
      <c r="F403" t="s">
        <v>729</v>
      </c>
      <c r="G403" t="s">
        <v>12</v>
      </c>
      <c r="I403" t="s">
        <v>1489</v>
      </c>
      <c r="J403" t="s">
        <v>3351</v>
      </c>
      <c r="K403">
        <v>0.17283294470015972</v>
      </c>
      <c r="L403">
        <v>0.15577098552832919</v>
      </c>
      <c r="M403">
        <v>67.581462218509415</v>
      </c>
      <c r="N403">
        <v>74.339608440360365</v>
      </c>
    </row>
    <row r="404" spans="1:14">
      <c r="A404" t="s">
        <v>726</v>
      </c>
      <c r="B404" t="s">
        <v>1491</v>
      </c>
      <c r="C404" t="s">
        <v>1492</v>
      </c>
      <c r="D404" t="s">
        <v>11</v>
      </c>
      <c r="E404" t="s">
        <v>13</v>
      </c>
      <c r="F404" t="s">
        <v>729</v>
      </c>
      <c r="G404" t="s">
        <v>12</v>
      </c>
      <c r="I404" t="s">
        <v>1491</v>
      </c>
      <c r="J404" t="s">
        <v>3352</v>
      </c>
      <c r="K404">
        <v>2.5254848899820748</v>
      </c>
      <c r="L404">
        <v>0.2105341478697309</v>
      </c>
      <c r="M404">
        <v>171.4952247651832</v>
      </c>
      <c r="N404">
        <v>188.64474724170154</v>
      </c>
    </row>
    <row r="405" spans="1:14">
      <c r="A405" t="s">
        <v>726</v>
      </c>
      <c r="B405" t="s">
        <v>1493</v>
      </c>
      <c r="C405" t="s">
        <v>1494</v>
      </c>
      <c r="D405" t="s">
        <v>11</v>
      </c>
      <c r="E405" t="s">
        <v>13</v>
      </c>
      <c r="F405" t="s">
        <v>729</v>
      </c>
      <c r="G405" t="s">
        <v>12</v>
      </c>
      <c r="I405" t="s">
        <v>1493</v>
      </c>
      <c r="J405" t="s">
        <v>3353</v>
      </c>
      <c r="K405">
        <v>2.0693900551598441</v>
      </c>
      <c r="L405">
        <v>0.2075176014678424</v>
      </c>
      <c r="M405">
        <v>47.5712191827445</v>
      </c>
      <c r="N405">
        <v>52.328341101018957</v>
      </c>
    </row>
    <row r="406" spans="1:14">
      <c r="A406" t="s">
        <v>726</v>
      </c>
      <c r="B406" t="s">
        <v>1495</v>
      </c>
      <c r="C406" t="s">
        <v>1496</v>
      </c>
      <c r="D406" t="s">
        <v>11</v>
      </c>
      <c r="E406" t="s">
        <v>13</v>
      </c>
      <c r="F406" t="s">
        <v>729</v>
      </c>
      <c r="G406" t="s">
        <v>12</v>
      </c>
      <c r="I406" t="s">
        <v>1495</v>
      </c>
      <c r="J406" t="s">
        <v>3354</v>
      </c>
      <c r="K406">
        <v>0.28824849089331706</v>
      </c>
      <c r="L406">
        <v>0.2361227830866629</v>
      </c>
      <c r="M406">
        <v>60.155391936121084</v>
      </c>
      <c r="N406">
        <v>66.170931129733205</v>
      </c>
    </row>
    <row r="407" spans="1:14">
      <c r="A407" t="s">
        <v>726</v>
      </c>
      <c r="B407" t="s">
        <v>1497</v>
      </c>
      <c r="C407" t="s">
        <v>1498</v>
      </c>
      <c r="D407" t="s">
        <v>11</v>
      </c>
      <c r="E407" t="s">
        <v>13</v>
      </c>
      <c r="F407" t="s">
        <v>729</v>
      </c>
      <c r="G407" t="s">
        <v>12</v>
      </c>
      <c r="I407" t="s">
        <v>1497</v>
      </c>
      <c r="J407" t="s">
        <v>3355</v>
      </c>
      <c r="K407">
        <v>3.9828846997109175</v>
      </c>
      <c r="L407">
        <v>0.21887734317995039</v>
      </c>
      <c r="M407">
        <v>41.324787317331072</v>
      </c>
      <c r="N407">
        <v>45.457266049064181</v>
      </c>
    </row>
    <row r="408" spans="1:14">
      <c r="A408" t="s">
        <v>726</v>
      </c>
      <c r="B408" t="s">
        <v>1499</v>
      </c>
      <c r="C408" t="s">
        <v>1500</v>
      </c>
      <c r="D408" t="s">
        <v>11</v>
      </c>
      <c r="E408" t="s">
        <v>13</v>
      </c>
      <c r="F408" t="s">
        <v>729</v>
      </c>
      <c r="G408" t="s">
        <v>12</v>
      </c>
      <c r="I408" t="s">
        <v>1499</v>
      </c>
      <c r="J408" t="s">
        <v>3356</v>
      </c>
      <c r="K408">
        <v>0.68518418616238419</v>
      </c>
      <c r="L408">
        <v>0.21421723568014681</v>
      </c>
      <c r="M408">
        <v>60.832834805579722</v>
      </c>
      <c r="N408">
        <v>66.916118286137703</v>
      </c>
    </row>
    <row r="409" spans="1:14">
      <c r="A409" t="s">
        <v>726</v>
      </c>
      <c r="B409" t="s">
        <v>1501</v>
      </c>
      <c r="C409" t="s">
        <v>1502</v>
      </c>
      <c r="D409" t="s">
        <v>11</v>
      </c>
      <c r="E409" t="s">
        <v>13</v>
      </c>
      <c r="F409" t="s">
        <v>729</v>
      </c>
      <c r="G409" t="s">
        <v>12</v>
      </c>
      <c r="I409" t="s">
        <v>1501</v>
      </c>
      <c r="J409" t="s">
        <v>3357</v>
      </c>
      <c r="K409">
        <v>12.00171958638107</v>
      </c>
      <c r="L409">
        <v>0.20706103508550419</v>
      </c>
      <c r="M409">
        <v>33.607365690852887</v>
      </c>
      <c r="N409">
        <v>36.968102259938178</v>
      </c>
    </row>
    <row r="410" spans="1:14">
      <c r="A410" t="s">
        <v>726</v>
      </c>
      <c r="B410" t="s">
        <v>1503</v>
      </c>
      <c r="C410" t="s">
        <v>1504</v>
      </c>
      <c r="D410" t="s">
        <v>11</v>
      </c>
      <c r="E410" t="s">
        <v>13</v>
      </c>
      <c r="F410" t="s">
        <v>729</v>
      </c>
      <c r="G410" t="s">
        <v>12</v>
      </c>
      <c r="I410" t="s">
        <v>1503</v>
      </c>
      <c r="J410" t="s">
        <v>3358</v>
      </c>
      <c r="K410">
        <v>26.846805873524477</v>
      </c>
      <c r="L410">
        <v>0.2234018457101406</v>
      </c>
      <c r="M410">
        <v>19.093155605222311</v>
      </c>
      <c r="N410">
        <v>21.002471165744545</v>
      </c>
    </row>
    <row r="411" spans="1:14">
      <c r="A411" t="s">
        <v>726</v>
      </c>
      <c r="B411" t="s">
        <v>1505</v>
      </c>
      <c r="C411" t="s">
        <v>1506</v>
      </c>
      <c r="D411" t="s">
        <v>11</v>
      </c>
      <c r="E411" t="s">
        <v>13</v>
      </c>
      <c r="F411" t="s">
        <v>729</v>
      </c>
      <c r="G411" t="s">
        <v>12</v>
      </c>
      <c r="I411" t="s">
        <v>1505</v>
      </c>
      <c r="J411" t="s">
        <v>3359</v>
      </c>
      <c r="K411">
        <v>12.951698532704892</v>
      </c>
      <c r="L411">
        <v>0.2029988721449541</v>
      </c>
      <c r="M411">
        <v>25.514972498722504</v>
      </c>
      <c r="N411">
        <v>28.066469748594756</v>
      </c>
    </row>
    <row r="412" spans="1:14">
      <c r="A412" t="s">
        <v>726</v>
      </c>
      <c r="B412" t="s">
        <v>1507</v>
      </c>
      <c r="C412" t="s">
        <v>1508</v>
      </c>
      <c r="D412" t="s">
        <v>11</v>
      </c>
      <c r="E412" t="s">
        <v>13</v>
      </c>
      <c r="F412" t="s">
        <v>729</v>
      </c>
      <c r="G412" t="s">
        <v>12</v>
      </c>
      <c r="I412" t="s">
        <v>1507</v>
      </c>
      <c r="J412" t="s">
        <v>3360</v>
      </c>
      <c r="K412">
        <v>13.959351278232322</v>
      </c>
      <c r="L412">
        <v>0.1857414689753126</v>
      </c>
      <c r="M412">
        <v>22.785693911936299</v>
      </c>
      <c r="N412">
        <v>25.06426330312993</v>
      </c>
    </row>
    <row r="413" spans="1:14">
      <c r="A413" t="s">
        <v>726</v>
      </c>
      <c r="B413" t="s">
        <v>1509</v>
      </c>
      <c r="C413" t="s">
        <v>1510</v>
      </c>
      <c r="D413" t="s">
        <v>11</v>
      </c>
      <c r="E413" t="s">
        <v>13</v>
      </c>
      <c r="F413" t="s">
        <v>729</v>
      </c>
      <c r="G413" t="s">
        <v>12</v>
      </c>
      <c r="I413" t="s">
        <v>1509</v>
      </c>
      <c r="J413" t="s">
        <v>3361</v>
      </c>
      <c r="K413">
        <v>39.637225300435986</v>
      </c>
      <c r="L413">
        <v>0.18595659720560639</v>
      </c>
      <c r="M413">
        <v>60.245734464303119</v>
      </c>
      <c r="N413">
        <v>66.270307910733436</v>
      </c>
    </row>
    <row r="414" spans="1:14">
      <c r="A414" t="s">
        <v>726</v>
      </c>
      <c r="B414" t="s">
        <v>1511</v>
      </c>
      <c r="C414" t="s">
        <v>1512</v>
      </c>
      <c r="D414" t="s">
        <v>11</v>
      </c>
      <c r="E414" t="s">
        <v>13</v>
      </c>
      <c r="F414" t="s">
        <v>729</v>
      </c>
      <c r="G414" t="s">
        <v>12</v>
      </c>
      <c r="I414" t="s">
        <v>1511</v>
      </c>
      <c r="J414" t="s">
        <v>3362</v>
      </c>
      <c r="K414">
        <v>49.67438321409324</v>
      </c>
      <c r="L414">
        <v>0.19354528403774951</v>
      </c>
      <c r="M414">
        <v>64.201948399165616</v>
      </c>
      <c r="N414">
        <v>70.622143239082178</v>
      </c>
    </row>
    <row r="415" spans="1:14">
      <c r="A415" t="s">
        <v>726</v>
      </c>
      <c r="B415" t="s">
        <v>1513</v>
      </c>
      <c r="C415" t="s">
        <v>1514</v>
      </c>
      <c r="D415" t="s">
        <v>11</v>
      </c>
      <c r="E415" t="s">
        <v>13</v>
      </c>
      <c r="F415" t="s">
        <v>729</v>
      </c>
      <c r="G415" t="s">
        <v>12</v>
      </c>
      <c r="I415" t="s">
        <v>1513</v>
      </c>
      <c r="J415" t="s">
        <v>3363</v>
      </c>
      <c r="K415">
        <v>13.235342748802246</v>
      </c>
      <c r="L415">
        <v>0.1906504320500986</v>
      </c>
      <c r="M415">
        <v>375.87250292487028</v>
      </c>
      <c r="N415">
        <v>413.45975321735733</v>
      </c>
    </row>
    <row r="416" spans="1:14">
      <c r="A416" t="s">
        <v>726</v>
      </c>
      <c r="B416" t="s">
        <v>1515</v>
      </c>
      <c r="C416" t="s">
        <v>1516</v>
      </c>
      <c r="D416" t="s">
        <v>11</v>
      </c>
      <c r="E416" t="s">
        <v>13</v>
      </c>
      <c r="F416" t="s">
        <v>729</v>
      </c>
      <c r="G416" t="s">
        <v>12</v>
      </c>
      <c r="I416" t="s">
        <v>1515</v>
      </c>
      <c r="J416" t="s">
        <v>3364</v>
      </c>
      <c r="K416">
        <v>1.6312055164712056</v>
      </c>
      <c r="L416">
        <v>0.19742156393607629</v>
      </c>
      <c r="M416">
        <v>290.54246412802883</v>
      </c>
      <c r="N416">
        <v>319.59671054083174</v>
      </c>
    </row>
    <row r="417" spans="1:14">
      <c r="A417" t="s">
        <v>726</v>
      </c>
      <c r="B417" t="s">
        <v>1517</v>
      </c>
      <c r="C417" t="s">
        <v>1518</v>
      </c>
      <c r="D417" t="s">
        <v>11</v>
      </c>
      <c r="E417" t="s">
        <v>13</v>
      </c>
      <c r="F417" t="s">
        <v>729</v>
      </c>
      <c r="G417" t="s">
        <v>12</v>
      </c>
      <c r="I417" t="s">
        <v>1517</v>
      </c>
      <c r="J417" t="s">
        <v>3365</v>
      </c>
      <c r="K417">
        <v>0.18525</v>
      </c>
      <c r="L417">
        <v>0.18208440407349849</v>
      </c>
      <c r="M417">
        <v>91.26437116844744</v>
      </c>
      <c r="N417">
        <v>100.3908082852922</v>
      </c>
    </row>
    <row r="418" spans="1:14">
      <c r="A418" t="s">
        <v>726</v>
      </c>
      <c r="B418" t="s">
        <v>1519</v>
      </c>
      <c r="C418" t="s">
        <v>1520</v>
      </c>
      <c r="D418" t="s">
        <v>11</v>
      </c>
      <c r="E418" t="s">
        <v>13</v>
      </c>
      <c r="F418" t="s">
        <v>729</v>
      </c>
      <c r="G418" t="s">
        <v>12</v>
      </c>
      <c r="I418" t="s">
        <v>1519</v>
      </c>
      <c r="J418" t="s">
        <v>3366</v>
      </c>
      <c r="K418">
        <v>2.722901589626936</v>
      </c>
      <c r="L418">
        <v>0.20028011924688829</v>
      </c>
      <c r="M418">
        <v>39.624190541950817</v>
      </c>
      <c r="N418">
        <v>43.586609596145905</v>
      </c>
    </row>
    <row r="419" spans="1:14">
      <c r="A419" t="s">
        <v>726</v>
      </c>
      <c r="B419" t="s">
        <v>1521</v>
      </c>
      <c r="C419" t="s">
        <v>1522</v>
      </c>
      <c r="D419" t="s">
        <v>11</v>
      </c>
      <c r="E419" t="s">
        <v>13</v>
      </c>
      <c r="F419" t="s">
        <v>729</v>
      </c>
      <c r="G419" t="s">
        <v>12</v>
      </c>
      <c r="I419" t="s">
        <v>1521</v>
      </c>
      <c r="J419" t="s">
        <v>3367</v>
      </c>
      <c r="K419">
        <v>0.13792453506437416</v>
      </c>
      <c r="L419">
        <v>0.1786250702623004</v>
      </c>
      <c r="M419">
        <v>15.325379619644195</v>
      </c>
      <c r="N419">
        <v>16.857917581608618</v>
      </c>
    </row>
    <row r="420" spans="1:14">
      <c r="A420" t="s">
        <v>726</v>
      </c>
      <c r="B420" t="s">
        <v>1523</v>
      </c>
      <c r="C420" t="s">
        <v>1524</v>
      </c>
      <c r="D420" t="s">
        <v>11</v>
      </c>
      <c r="E420" t="s">
        <v>13</v>
      </c>
      <c r="F420" t="s">
        <v>729</v>
      </c>
      <c r="G420" t="s">
        <v>12</v>
      </c>
      <c r="I420" t="s">
        <v>1523</v>
      </c>
      <c r="J420" t="s">
        <v>3368</v>
      </c>
      <c r="K420">
        <v>6.0919144841464448E-2</v>
      </c>
      <c r="L420">
        <v>0.17640735996908311</v>
      </c>
      <c r="M420">
        <v>15.232688353187823</v>
      </c>
      <c r="N420">
        <v>16.755957188506606</v>
      </c>
    </row>
    <row r="421" spans="1:14">
      <c r="A421" t="s">
        <v>726</v>
      </c>
      <c r="B421" t="s">
        <v>1525</v>
      </c>
      <c r="C421" t="s">
        <v>1526</v>
      </c>
      <c r="D421" t="s">
        <v>11</v>
      </c>
      <c r="E421" t="s">
        <v>13</v>
      </c>
      <c r="F421" t="s">
        <v>729</v>
      </c>
      <c r="G421" t="s">
        <v>12</v>
      </c>
      <c r="I421" t="s">
        <v>1525</v>
      </c>
      <c r="J421" t="s">
        <v>3369</v>
      </c>
      <c r="K421">
        <v>3.4178154597976781E-2</v>
      </c>
      <c r="L421">
        <v>0.1820497439173025</v>
      </c>
      <c r="M421">
        <v>28.184059748015404</v>
      </c>
      <c r="N421">
        <v>31.002465722816947</v>
      </c>
    </row>
    <row r="422" spans="1:14">
      <c r="A422" t="s">
        <v>726</v>
      </c>
      <c r="B422" t="s">
        <v>1527</v>
      </c>
      <c r="C422" t="s">
        <v>1528</v>
      </c>
      <c r="D422" t="s">
        <v>11</v>
      </c>
      <c r="E422" t="s">
        <v>13</v>
      </c>
      <c r="F422" t="s">
        <v>729</v>
      </c>
      <c r="G422" t="s">
        <v>12</v>
      </c>
      <c r="I422" t="s">
        <v>1527</v>
      </c>
      <c r="J422" t="s">
        <v>3370</v>
      </c>
      <c r="K422">
        <v>4.8842284944311087E-2</v>
      </c>
      <c r="L422">
        <v>0.1811995137320285</v>
      </c>
      <c r="M422">
        <v>6.6810569386626026</v>
      </c>
      <c r="N422">
        <v>7.3491626325288637</v>
      </c>
    </row>
    <row r="423" spans="1:14">
      <c r="A423" t="s">
        <v>726</v>
      </c>
      <c r="B423" t="s">
        <v>1529</v>
      </c>
      <c r="C423" t="s">
        <v>1530</v>
      </c>
      <c r="D423" t="s">
        <v>11</v>
      </c>
      <c r="E423" t="s">
        <v>13</v>
      </c>
      <c r="F423" t="s">
        <v>729</v>
      </c>
      <c r="G423" t="s">
        <v>12</v>
      </c>
      <c r="I423" t="s">
        <v>1529</v>
      </c>
      <c r="J423" t="s">
        <v>3371</v>
      </c>
      <c r="K423">
        <v>30.77707519184592</v>
      </c>
      <c r="L423">
        <v>0.19567614998057439</v>
      </c>
      <c r="M423">
        <v>200.69124574449089</v>
      </c>
      <c r="N423">
        <v>220.76037031894001</v>
      </c>
    </row>
    <row r="424" spans="1:14">
      <c r="A424" t="s">
        <v>726</v>
      </c>
      <c r="B424" t="s">
        <v>1531</v>
      </c>
      <c r="C424" t="s">
        <v>1532</v>
      </c>
      <c r="D424" t="s">
        <v>11</v>
      </c>
      <c r="E424" t="s">
        <v>13</v>
      </c>
      <c r="F424" t="s">
        <v>729</v>
      </c>
      <c r="G424" t="s">
        <v>12</v>
      </c>
      <c r="I424" t="s">
        <v>1531</v>
      </c>
      <c r="J424" t="s">
        <v>3372</v>
      </c>
      <c r="K424">
        <v>18.829588508275346</v>
      </c>
      <c r="L424">
        <v>0.19215003303879369</v>
      </c>
      <c r="M424">
        <v>78.925446402589998</v>
      </c>
      <c r="N424">
        <v>86.817991042849002</v>
      </c>
    </row>
    <row r="425" spans="1:14">
      <c r="A425" t="s">
        <v>726</v>
      </c>
      <c r="B425" t="s">
        <v>1533</v>
      </c>
      <c r="C425" t="s">
        <v>1534</v>
      </c>
      <c r="D425" t="s">
        <v>11</v>
      </c>
      <c r="E425" t="s">
        <v>13</v>
      </c>
      <c r="F425" t="s">
        <v>729</v>
      </c>
      <c r="G425" t="s">
        <v>12</v>
      </c>
      <c r="I425" t="s">
        <v>1533</v>
      </c>
      <c r="J425" t="s">
        <v>3373</v>
      </c>
      <c r="K425">
        <v>10.513989708287749</v>
      </c>
      <c r="L425">
        <v>0.22660632706828149</v>
      </c>
      <c r="M425">
        <v>61.528689490330102</v>
      </c>
      <c r="N425">
        <v>67.681558439363116</v>
      </c>
    </row>
    <row r="426" spans="1:14">
      <c r="A426" t="s">
        <v>726</v>
      </c>
      <c r="B426" t="s">
        <v>1535</v>
      </c>
      <c r="C426" t="s">
        <v>1536</v>
      </c>
      <c r="D426" t="s">
        <v>11</v>
      </c>
      <c r="E426" t="s">
        <v>13</v>
      </c>
      <c r="F426" t="s">
        <v>729</v>
      </c>
      <c r="G426" t="s">
        <v>12</v>
      </c>
      <c r="I426" t="s">
        <v>1535</v>
      </c>
      <c r="J426" t="s">
        <v>3374</v>
      </c>
      <c r="K426">
        <v>12.741618405770851</v>
      </c>
      <c r="L426">
        <v>0.19786747688061929</v>
      </c>
      <c r="M426">
        <v>54.182899224494456</v>
      </c>
      <c r="N426">
        <v>59.601189146943909</v>
      </c>
    </row>
    <row r="427" spans="1:14">
      <c r="A427" t="s">
        <v>726</v>
      </c>
      <c r="B427" t="s">
        <v>1537</v>
      </c>
      <c r="C427" t="s">
        <v>1538</v>
      </c>
      <c r="D427" t="s">
        <v>11</v>
      </c>
      <c r="E427" t="s">
        <v>13</v>
      </c>
      <c r="F427" t="s">
        <v>729</v>
      </c>
      <c r="G427" t="s">
        <v>12</v>
      </c>
      <c r="I427" t="s">
        <v>1537</v>
      </c>
      <c r="J427" t="s">
        <v>3375</v>
      </c>
      <c r="K427">
        <v>9.6764823094500407</v>
      </c>
      <c r="L427">
        <v>0.21254408769420591</v>
      </c>
      <c r="M427">
        <v>55.479249399800693</v>
      </c>
      <c r="N427">
        <v>61.027174339780764</v>
      </c>
    </row>
    <row r="428" spans="1:14">
      <c r="A428" t="s">
        <v>726</v>
      </c>
      <c r="B428" t="s">
        <v>1539</v>
      </c>
      <c r="C428" t="s">
        <v>1540</v>
      </c>
      <c r="D428" t="s">
        <v>11</v>
      </c>
      <c r="E428" t="s">
        <v>13</v>
      </c>
      <c r="F428" t="s">
        <v>729</v>
      </c>
      <c r="G428" t="s">
        <v>12</v>
      </c>
      <c r="I428" t="s">
        <v>1539</v>
      </c>
      <c r="J428" t="s">
        <v>3376</v>
      </c>
      <c r="K428">
        <v>3.4137700835105047</v>
      </c>
      <c r="L428">
        <v>0.196973084701759</v>
      </c>
      <c r="M428">
        <v>29.432174016055377</v>
      </c>
      <c r="N428">
        <v>32.375391417660914</v>
      </c>
    </row>
    <row r="429" spans="1:14">
      <c r="A429" t="s">
        <v>726</v>
      </c>
      <c r="B429" t="s">
        <v>1541</v>
      </c>
      <c r="C429" t="s">
        <v>1542</v>
      </c>
      <c r="D429" t="s">
        <v>11</v>
      </c>
      <c r="E429" t="s">
        <v>13</v>
      </c>
      <c r="F429" t="s">
        <v>729</v>
      </c>
      <c r="G429" t="s">
        <v>12</v>
      </c>
      <c r="I429" t="s">
        <v>1541</v>
      </c>
      <c r="J429" t="s">
        <v>3377</v>
      </c>
      <c r="K429">
        <v>2.6402340834799087</v>
      </c>
      <c r="L429">
        <v>0.17542405317783899</v>
      </c>
      <c r="M429">
        <v>32.116054227033089</v>
      </c>
      <c r="N429">
        <v>35.327659649736404</v>
      </c>
    </row>
    <row r="430" spans="1:14">
      <c r="A430" t="s">
        <v>726</v>
      </c>
      <c r="B430" t="s">
        <v>1543</v>
      </c>
      <c r="C430" t="s">
        <v>1544</v>
      </c>
      <c r="D430" t="s">
        <v>11</v>
      </c>
      <c r="E430" t="s">
        <v>13</v>
      </c>
      <c r="F430" t="s">
        <v>729</v>
      </c>
      <c r="G430" t="s">
        <v>12</v>
      </c>
      <c r="I430" t="s">
        <v>1543</v>
      </c>
      <c r="J430" t="s">
        <v>3378</v>
      </c>
      <c r="K430">
        <v>7.2277395088474998</v>
      </c>
      <c r="L430">
        <v>0.1730731870011232</v>
      </c>
      <c r="M430">
        <v>59.1929942222433</v>
      </c>
      <c r="N430">
        <v>65.112293644467641</v>
      </c>
    </row>
    <row r="431" spans="1:14">
      <c r="A431" t="s">
        <v>726</v>
      </c>
      <c r="B431" t="s">
        <v>1545</v>
      </c>
      <c r="C431" t="s">
        <v>1546</v>
      </c>
      <c r="D431" t="s">
        <v>11</v>
      </c>
      <c r="E431" t="s">
        <v>13</v>
      </c>
      <c r="F431" t="s">
        <v>729</v>
      </c>
      <c r="G431" t="s">
        <v>12</v>
      </c>
      <c r="I431" t="s">
        <v>1545</v>
      </c>
      <c r="J431" t="s">
        <v>3379</v>
      </c>
      <c r="K431">
        <v>13.456263290374764</v>
      </c>
      <c r="L431">
        <v>0.16316070714304909</v>
      </c>
      <c r="M431">
        <v>22.928424409032964</v>
      </c>
      <c r="N431">
        <v>25.221266849936264</v>
      </c>
    </row>
    <row r="432" spans="1:14">
      <c r="A432" t="s">
        <v>726</v>
      </c>
      <c r="B432" t="s">
        <v>1547</v>
      </c>
      <c r="C432" t="s">
        <v>1548</v>
      </c>
      <c r="D432" t="s">
        <v>11</v>
      </c>
      <c r="E432" t="s">
        <v>13</v>
      </c>
      <c r="F432" t="s">
        <v>729</v>
      </c>
      <c r="G432" t="s">
        <v>12</v>
      </c>
      <c r="I432" t="s">
        <v>1547</v>
      </c>
      <c r="J432" t="s">
        <v>3380</v>
      </c>
      <c r="K432">
        <v>5.5622219543010925</v>
      </c>
      <c r="L432">
        <v>0.17282471808769059</v>
      </c>
      <c r="M432">
        <v>26.15161538590252</v>
      </c>
      <c r="N432">
        <v>28.766776924492774</v>
      </c>
    </row>
    <row r="433" spans="1:14">
      <c r="A433" t="s">
        <v>726</v>
      </c>
      <c r="B433" t="s">
        <v>1549</v>
      </c>
      <c r="C433" t="s">
        <v>1550</v>
      </c>
      <c r="D433" t="s">
        <v>11</v>
      </c>
      <c r="E433" t="s">
        <v>13</v>
      </c>
      <c r="F433" t="s">
        <v>729</v>
      </c>
      <c r="G433" t="s">
        <v>12</v>
      </c>
      <c r="I433" t="s">
        <v>1549</v>
      </c>
      <c r="J433" t="s">
        <v>3381</v>
      </c>
      <c r="K433">
        <v>16.815640126346874</v>
      </c>
      <c r="L433">
        <v>0.16819937281228281</v>
      </c>
      <c r="M433">
        <v>51.906463526526352</v>
      </c>
      <c r="N433">
        <v>57.097109879178994</v>
      </c>
    </row>
    <row r="434" spans="1:14">
      <c r="A434" t="s">
        <v>726</v>
      </c>
      <c r="B434" t="s">
        <v>1551</v>
      </c>
      <c r="C434" t="s">
        <v>1552</v>
      </c>
      <c r="D434" t="s">
        <v>11</v>
      </c>
      <c r="E434" t="s">
        <v>13</v>
      </c>
      <c r="F434" t="s">
        <v>729</v>
      </c>
      <c r="G434" t="s">
        <v>12</v>
      </c>
      <c r="I434" t="s">
        <v>1551</v>
      </c>
      <c r="J434" t="s">
        <v>3382</v>
      </c>
      <c r="K434">
        <v>2.2618443761488489</v>
      </c>
      <c r="L434">
        <v>0.25818389423732169</v>
      </c>
      <c r="M434">
        <v>23.72389574833932</v>
      </c>
      <c r="N434">
        <v>26.096285323173255</v>
      </c>
    </row>
    <row r="435" spans="1:14">
      <c r="A435" t="s">
        <v>726</v>
      </c>
      <c r="B435" t="s">
        <v>1553</v>
      </c>
      <c r="C435" t="s">
        <v>1554</v>
      </c>
      <c r="D435" t="s">
        <v>11</v>
      </c>
      <c r="E435" t="s">
        <v>13</v>
      </c>
      <c r="F435" t="s">
        <v>729</v>
      </c>
      <c r="G435" t="s">
        <v>12</v>
      </c>
      <c r="I435" t="s">
        <v>1553</v>
      </c>
      <c r="J435" t="s">
        <v>3383</v>
      </c>
      <c r="K435">
        <v>1.4556495632629636</v>
      </c>
      <c r="L435">
        <v>0.24057737649868149</v>
      </c>
      <c r="M435">
        <v>11.448720615632096</v>
      </c>
      <c r="N435">
        <v>12.593592677195307</v>
      </c>
    </row>
    <row r="436" spans="1:14">
      <c r="A436" t="s">
        <v>726</v>
      </c>
      <c r="B436" t="s">
        <v>1555</v>
      </c>
      <c r="C436" t="s">
        <v>1556</v>
      </c>
      <c r="D436" t="s">
        <v>11</v>
      </c>
      <c r="E436" t="s">
        <v>13</v>
      </c>
      <c r="F436" t="s">
        <v>729</v>
      </c>
      <c r="G436" t="s">
        <v>12</v>
      </c>
      <c r="I436" t="s">
        <v>1555</v>
      </c>
      <c r="J436" t="s">
        <v>3384</v>
      </c>
      <c r="K436">
        <v>2.9161160567793787</v>
      </c>
      <c r="L436">
        <v>0.24778890102960299</v>
      </c>
      <c r="M436">
        <v>15.258029395692487</v>
      </c>
      <c r="N436">
        <v>16.783832335261739</v>
      </c>
    </row>
    <row r="437" spans="1:14">
      <c r="A437" t="s">
        <v>726</v>
      </c>
      <c r="B437" t="s">
        <v>1557</v>
      </c>
      <c r="C437" t="s">
        <v>1558</v>
      </c>
      <c r="D437" t="s">
        <v>11</v>
      </c>
      <c r="E437" t="s">
        <v>13</v>
      </c>
      <c r="F437" t="s">
        <v>729</v>
      </c>
      <c r="G437" t="s">
        <v>12</v>
      </c>
      <c r="I437" t="s">
        <v>1557</v>
      </c>
      <c r="J437" t="s">
        <v>3385</v>
      </c>
      <c r="K437">
        <v>0.89832210119085187</v>
      </c>
      <c r="L437">
        <v>0.16277024478517541</v>
      </c>
      <c r="M437">
        <v>29.043768455865891</v>
      </c>
      <c r="N437">
        <v>31.948145301452481</v>
      </c>
    </row>
    <row r="438" spans="1:14">
      <c r="A438" t="s">
        <v>726</v>
      </c>
      <c r="B438" t="s">
        <v>1559</v>
      </c>
      <c r="C438" t="s">
        <v>1560</v>
      </c>
      <c r="D438" t="s">
        <v>11</v>
      </c>
      <c r="E438" t="s">
        <v>13</v>
      </c>
      <c r="F438" t="s">
        <v>729</v>
      </c>
      <c r="G438" t="s">
        <v>12</v>
      </c>
      <c r="I438" t="s">
        <v>1559</v>
      </c>
      <c r="J438" t="s">
        <v>3386</v>
      </c>
      <c r="K438">
        <v>7.4209358242647614</v>
      </c>
      <c r="L438">
        <v>0.1676798256994696</v>
      </c>
      <c r="M438">
        <v>51.847153639405327</v>
      </c>
      <c r="N438">
        <v>57.031869003345868</v>
      </c>
    </row>
    <row r="439" spans="1:14">
      <c r="A439" t="s">
        <v>726</v>
      </c>
      <c r="B439" t="s">
        <v>1561</v>
      </c>
      <c r="C439" t="s">
        <v>1562</v>
      </c>
      <c r="D439" t="s">
        <v>11</v>
      </c>
      <c r="E439" t="s">
        <v>13</v>
      </c>
      <c r="F439" t="s">
        <v>729</v>
      </c>
      <c r="G439" t="s">
        <v>12</v>
      </c>
      <c r="I439" t="s">
        <v>1561</v>
      </c>
      <c r="J439" t="s">
        <v>3387</v>
      </c>
      <c r="K439">
        <v>2.1399325655470762</v>
      </c>
      <c r="L439">
        <v>0.17179829146140349</v>
      </c>
      <c r="M439">
        <v>33.31088279719598</v>
      </c>
      <c r="N439">
        <v>36.641971076915581</v>
      </c>
    </row>
    <row r="440" spans="1:14">
      <c r="A440" t="s">
        <v>726</v>
      </c>
      <c r="B440" t="s">
        <v>1563</v>
      </c>
      <c r="C440" t="s">
        <v>1564</v>
      </c>
      <c r="D440" t="s">
        <v>11</v>
      </c>
      <c r="E440" t="s">
        <v>13</v>
      </c>
      <c r="F440" t="s">
        <v>729</v>
      </c>
      <c r="G440" t="s">
        <v>12</v>
      </c>
      <c r="I440" t="s">
        <v>1563</v>
      </c>
      <c r="J440" t="s">
        <v>3388</v>
      </c>
      <c r="K440">
        <v>3.205649647030643</v>
      </c>
      <c r="L440">
        <v>0.16487997525001391</v>
      </c>
      <c r="M440">
        <v>24.893180426245404</v>
      </c>
      <c r="N440">
        <v>27.382498468869947</v>
      </c>
    </row>
    <row r="441" spans="1:14">
      <c r="A441" t="s">
        <v>726</v>
      </c>
      <c r="B441" t="s">
        <v>1565</v>
      </c>
      <c r="C441" t="s">
        <v>1566</v>
      </c>
      <c r="D441" t="s">
        <v>11</v>
      </c>
      <c r="E441" t="s">
        <v>13</v>
      </c>
      <c r="F441" t="s">
        <v>729</v>
      </c>
      <c r="G441" t="s">
        <v>12</v>
      </c>
      <c r="I441" t="s">
        <v>1565</v>
      </c>
      <c r="J441" t="s">
        <v>3389</v>
      </c>
      <c r="K441">
        <v>164.52523841916218</v>
      </c>
      <c r="L441">
        <v>0.1728044492489183</v>
      </c>
      <c r="M441">
        <v>157.57428419318396</v>
      </c>
      <c r="N441">
        <v>173.33171261250237</v>
      </c>
    </row>
    <row r="442" spans="1:14">
      <c r="A442" t="s">
        <v>726</v>
      </c>
      <c r="B442" t="s">
        <v>1567</v>
      </c>
      <c r="C442" t="s">
        <v>1568</v>
      </c>
      <c r="D442" t="s">
        <v>11</v>
      </c>
      <c r="E442" t="s">
        <v>13</v>
      </c>
      <c r="F442" t="s">
        <v>729</v>
      </c>
      <c r="G442" t="s">
        <v>12</v>
      </c>
      <c r="I442" t="s">
        <v>1567</v>
      </c>
      <c r="J442" t="s">
        <v>3390</v>
      </c>
      <c r="K442">
        <v>284.19084812622481</v>
      </c>
      <c r="L442">
        <v>0.17488608797779581</v>
      </c>
      <c r="M442">
        <v>217.6754011069076</v>
      </c>
      <c r="N442">
        <v>239.44294121759839</v>
      </c>
    </row>
    <row r="443" spans="1:14">
      <c r="A443" t="s">
        <v>726</v>
      </c>
      <c r="B443" t="s">
        <v>1569</v>
      </c>
      <c r="C443" t="s">
        <v>1570</v>
      </c>
      <c r="D443" t="s">
        <v>11</v>
      </c>
      <c r="E443" t="s">
        <v>13</v>
      </c>
      <c r="F443" t="s">
        <v>729</v>
      </c>
      <c r="G443" t="s">
        <v>12</v>
      </c>
      <c r="I443" t="s">
        <v>1569</v>
      </c>
      <c r="J443" t="s">
        <v>3391</v>
      </c>
      <c r="K443">
        <v>202.84879892991088</v>
      </c>
      <c r="L443">
        <v>0.1663161691712009</v>
      </c>
      <c r="M443">
        <v>243.80649064424924</v>
      </c>
      <c r="N443">
        <v>268.18713970867418</v>
      </c>
    </row>
    <row r="444" spans="1:14">
      <c r="A444" t="s">
        <v>726</v>
      </c>
      <c r="B444" t="s">
        <v>1571</v>
      </c>
      <c r="C444" t="s">
        <v>1572</v>
      </c>
      <c r="D444" t="s">
        <v>11</v>
      </c>
      <c r="E444" t="s">
        <v>13</v>
      </c>
      <c r="F444" t="s">
        <v>729</v>
      </c>
      <c r="G444" t="s">
        <v>12</v>
      </c>
      <c r="I444" t="s">
        <v>1571</v>
      </c>
      <c r="J444" t="s">
        <v>3392</v>
      </c>
      <c r="K444">
        <v>93.902259040280398</v>
      </c>
      <c r="L444">
        <v>0.18042099309407569</v>
      </c>
      <c r="M444">
        <v>155.66964447044987</v>
      </c>
      <c r="N444">
        <v>171.23660891749486</v>
      </c>
    </row>
    <row r="445" spans="1:14">
      <c r="A445" t="s">
        <v>726</v>
      </c>
      <c r="B445" t="s">
        <v>1573</v>
      </c>
      <c r="C445" t="s">
        <v>1574</v>
      </c>
      <c r="D445" t="s">
        <v>11</v>
      </c>
      <c r="E445" t="s">
        <v>13</v>
      </c>
      <c r="F445" t="s">
        <v>729</v>
      </c>
      <c r="G445" t="s">
        <v>12</v>
      </c>
      <c r="I445" t="s">
        <v>1573</v>
      </c>
      <c r="J445" t="s">
        <v>3393</v>
      </c>
      <c r="K445">
        <v>119.2713086635946</v>
      </c>
      <c r="L445">
        <v>0.17373732958563021</v>
      </c>
      <c r="M445">
        <v>198.99305818047836</v>
      </c>
      <c r="N445">
        <v>218.89236399852621</v>
      </c>
    </row>
    <row r="446" spans="1:14">
      <c r="A446" t="s">
        <v>726</v>
      </c>
      <c r="B446" t="s">
        <v>1575</v>
      </c>
      <c r="C446" t="s">
        <v>1576</v>
      </c>
      <c r="D446" t="s">
        <v>11</v>
      </c>
      <c r="E446" t="s">
        <v>13</v>
      </c>
      <c r="F446" t="s">
        <v>729</v>
      </c>
      <c r="G446" t="s">
        <v>12</v>
      </c>
      <c r="I446" t="s">
        <v>1575</v>
      </c>
      <c r="J446" t="s">
        <v>3394</v>
      </c>
      <c r="K446">
        <v>162.6177120093453</v>
      </c>
      <c r="L446">
        <v>0.1702230525452155</v>
      </c>
      <c r="M446">
        <v>111.04496922559002</v>
      </c>
      <c r="N446">
        <v>122.14946614814903</v>
      </c>
    </row>
    <row r="447" spans="1:14">
      <c r="A447" t="s">
        <v>726</v>
      </c>
      <c r="B447" t="s">
        <v>1577</v>
      </c>
      <c r="C447" t="s">
        <v>1578</v>
      </c>
      <c r="D447" t="s">
        <v>11</v>
      </c>
      <c r="E447" t="s">
        <v>13</v>
      </c>
      <c r="F447" t="s">
        <v>729</v>
      </c>
      <c r="G447" t="s">
        <v>12</v>
      </c>
      <c r="I447" t="s">
        <v>1577</v>
      </c>
      <c r="J447" t="s">
        <v>3395</v>
      </c>
      <c r="K447">
        <v>367.5254100023717</v>
      </c>
      <c r="L447">
        <v>0.1778115981125073</v>
      </c>
      <c r="M447">
        <v>124.34713344769089</v>
      </c>
      <c r="N447">
        <v>136.78184679245999</v>
      </c>
    </row>
    <row r="448" spans="1:14">
      <c r="A448" t="s">
        <v>726</v>
      </c>
      <c r="B448" t="s">
        <v>1579</v>
      </c>
      <c r="C448" t="s">
        <v>1580</v>
      </c>
      <c r="D448" t="s">
        <v>11</v>
      </c>
      <c r="E448" t="s">
        <v>13</v>
      </c>
      <c r="F448" t="s">
        <v>729</v>
      </c>
      <c r="G448" t="s">
        <v>12</v>
      </c>
      <c r="I448" t="s">
        <v>1579</v>
      </c>
      <c r="J448" t="s">
        <v>3396</v>
      </c>
      <c r="K448">
        <v>42.754091532782624</v>
      </c>
      <c r="L448">
        <v>0.1846218881855064</v>
      </c>
      <c r="M448">
        <v>314.42740599404527</v>
      </c>
      <c r="N448">
        <v>345.87014659344982</v>
      </c>
    </row>
    <row r="449" spans="1:14">
      <c r="A449" t="s">
        <v>726</v>
      </c>
      <c r="B449" t="s">
        <v>1581</v>
      </c>
      <c r="C449" t="s">
        <v>1582</v>
      </c>
      <c r="D449" t="s">
        <v>11</v>
      </c>
      <c r="E449" t="s">
        <v>13</v>
      </c>
      <c r="F449" t="s">
        <v>729</v>
      </c>
      <c r="G449" t="s">
        <v>12</v>
      </c>
      <c r="I449" t="s">
        <v>1581</v>
      </c>
      <c r="J449" t="s">
        <v>3397</v>
      </c>
      <c r="K449">
        <v>200.78397048417443</v>
      </c>
      <c r="L449">
        <v>0.14140661306147201</v>
      </c>
      <c r="M449">
        <v>420.25384187966921</v>
      </c>
      <c r="N449">
        <v>462.27922606763616</v>
      </c>
    </row>
    <row r="450" spans="1:14">
      <c r="A450" t="s">
        <v>726</v>
      </c>
      <c r="B450" t="s">
        <v>1583</v>
      </c>
      <c r="C450" t="s">
        <v>1584</v>
      </c>
      <c r="D450" t="s">
        <v>11</v>
      </c>
      <c r="E450" t="s">
        <v>13</v>
      </c>
      <c r="F450" t="s">
        <v>729</v>
      </c>
      <c r="G450" t="s">
        <v>12</v>
      </c>
      <c r="I450" t="s">
        <v>1583</v>
      </c>
      <c r="J450" t="s">
        <v>3398</v>
      </c>
      <c r="K450">
        <v>111.50249840809022</v>
      </c>
      <c r="L450">
        <v>0.1667854311850431</v>
      </c>
      <c r="M450">
        <v>571.52870393836918</v>
      </c>
      <c r="N450">
        <v>628.6815743322062</v>
      </c>
    </row>
    <row r="451" spans="1:14">
      <c r="A451" t="s">
        <v>726</v>
      </c>
      <c r="B451" t="s">
        <v>1585</v>
      </c>
      <c r="C451" t="s">
        <v>1582</v>
      </c>
      <c r="D451" t="s">
        <v>11</v>
      </c>
      <c r="E451" t="s">
        <v>13</v>
      </c>
      <c r="F451" t="s">
        <v>729</v>
      </c>
      <c r="G451" t="s">
        <v>12</v>
      </c>
      <c r="I451" t="s">
        <v>1585</v>
      </c>
      <c r="J451" t="s">
        <v>3399</v>
      </c>
      <c r="K451">
        <v>127.24291461096176</v>
      </c>
      <c r="L451">
        <v>0.1593890251938398</v>
      </c>
      <c r="M451">
        <v>267.40989185483352</v>
      </c>
      <c r="N451">
        <v>294.1508810403169</v>
      </c>
    </row>
    <row r="452" spans="1:14">
      <c r="A452" t="s">
        <v>726</v>
      </c>
      <c r="B452" t="s">
        <v>1586</v>
      </c>
      <c r="C452" t="s">
        <v>1587</v>
      </c>
      <c r="D452" t="s">
        <v>11</v>
      </c>
      <c r="E452" t="s">
        <v>13</v>
      </c>
      <c r="F452" t="s">
        <v>729</v>
      </c>
      <c r="G452" t="s">
        <v>12</v>
      </c>
      <c r="I452" t="s">
        <v>1586</v>
      </c>
      <c r="J452" t="s">
        <v>3400</v>
      </c>
      <c r="K452">
        <v>188.2422851228477</v>
      </c>
      <c r="L452">
        <v>0.1751976494629478</v>
      </c>
      <c r="M452">
        <v>222.36467646557844</v>
      </c>
      <c r="N452">
        <v>244.6011441121363</v>
      </c>
    </row>
    <row r="453" spans="1:14">
      <c r="A453" t="s">
        <v>726</v>
      </c>
      <c r="B453" t="s">
        <v>1588</v>
      </c>
      <c r="C453" t="s">
        <v>1589</v>
      </c>
      <c r="D453" t="s">
        <v>11</v>
      </c>
      <c r="E453" t="s">
        <v>13</v>
      </c>
      <c r="F453" t="s">
        <v>729</v>
      </c>
      <c r="G453" t="s">
        <v>12</v>
      </c>
      <c r="I453" t="s">
        <v>1588</v>
      </c>
      <c r="J453" t="s">
        <v>3401</v>
      </c>
      <c r="K453">
        <v>71.774144966379893</v>
      </c>
      <c r="L453">
        <v>0.18536966910221589</v>
      </c>
      <c r="M453">
        <v>292.69761696026802</v>
      </c>
      <c r="N453">
        <v>321.96737865629484</v>
      </c>
    </row>
    <row r="454" spans="1:14">
      <c r="A454" t="s">
        <v>726</v>
      </c>
      <c r="B454" t="s">
        <v>1590</v>
      </c>
      <c r="C454" t="s">
        <v>1591</v>
      </c>
      <c r="D454" t="s">
        <v>11</v>
      </c>
      <c r="E454" t="s">
        <v>13</v>
      </c>
      <c r="F454" t="s">
        <v>729</v>
      </c>
      <c r="G454" t="s">
        <v>12</v>
      </c>
      <c r="I454" t="s">
        <v>1590</v>
      </c>
      <c r="J454" t="s">
        <v>3402</v>
      </c>
      <c r="K454">
        <v>102.053446971887</v>
      </c>
      <c r="L454">
        <v>0.19735483642334611</v>
      </c>
      <c r="M454">
        <v>65.377521802511879</v>
      </c>
      <c r="N454">
        <v>71.915273982763068</v>
      </c>
    </row>
    <row r="455" spans="1:14">
      <c r="A455" t="s">
        <v>726</v>
      </c>
      <c r="B455" t="s">
        <v>1592</v>
      </c>
      <c r="C455" t="s">
        <v>1593</v>
      </c>
      <c r="D455" t="s">
        <v>11</v>
      </c>
      <c r="E455" t="s">
        <v>13</v>
      </c>
      <c r="F455" t="s">
        <v>729</v>
      </c>
      <c r="G455" t="s">
        <v>12</v>
      </c>
      <c r="I455" t="s">
        <v>1592</v>
      </c>
      <c r="J455" t="s">
        <v>3403</v>
      </c>
      <c r="K455">
        <v>78.363097168303028</v>
      </c>
      <c r="L455">
        <v>0.18870166919609591</v>
      </c>
      <c r="M455">
        <v>46.923905173087022</v>
      </c>
      <c r="N455">
        <v>51.616295690395731</v>
      </c>
    </row>
    <row r="456" spans="1:14">
      <c r="A456" t="s">
        <v>726</v>
      </c>
      <c r="B456" t="s">
        <v>1594</v>
      </c>
      <c r="C456" t="s">
        <v>1595</v>
      </c>
      <c r="D456" t="s">
        <v>11</v>
      </c>
      <c r="E456" t="s">
        <v>13</v>
      </c>
      <c r="F456" t="s">
        <v>729</v>
      </c>
      <c r="G456" t="s">
        <v>12</v>
      </c>
      <c r="I456" t="s">
        <v>1594</v>
      </c>
      <c r="J456" t="s">
        <v>3404</v>
      </c>
      <c r="K456">
        <v>62.016019361973903</v>
      </c>
      <c r="L456">
        <v>0.210043771545845</v>
      </c>
      <c r="M456">
        <v>251.24498245747088</v>
      </c>
      <c r="N456">
        <v>276.36948070321802</v>
      </c>
    </row>
    <row r="457" spans="1:14">
      <c r="A457" t="s">
        <v>726</v>
      </c>
      <c r="B457" t="s">
        <v>1596</v>
      </c>
      <c r="C457" t="s">
        <v>1597</v>
      </c>
      <c r="D457" t="s">
        <v>11</v>
      </c>
      <c r="E457" t="s">
        <v>13</v>
      </c>
      <c r="F457" t="s">
        <v>729</v>
      </c>
      <c r="G457" t="s">
        <v>12</v>
      </c>
      <c r="I457" t="s">
        <v>1596</v>
      </c>
      <c r="J457" t="s">
        <v>3405</v>
      </c>
      <c r="K457">
        <v>105.95628477700885</v>
      </c>
      <c r="L457">
        <v>0.1809976225629884</v>
      </c>
      <c r="M457">
        <v>577.54802432763915</v>
      </c>
      <c r="N457">
        <v>635.30282676040315</v>
      </c>
    </row>
    <row r="458" spans="1:14">
      <c r="A458" t="s">
        <v>726</v>
      </c>
      <c r="B458" t="s">
        <v>1598</v>
      </c>
      <c r="C458" t="s">
        <v>1599</v>
      </c>
      <c r="D458" t="s">
        <v>11</v>
      </c>
      <c r="E458" t="s">
        <v>13</v>
      </c>
      <c r="F458" t="s">
        <v>729</v>
      </c>
      <c r="G458" t="s">
        <v>12</v>
      </c>
      <c r="I458" t="s">
        <v>1598</v>
      </c>
      <c r="J458" t="s">
        <v>3406</v>
      </c>
      <c r="K458">
        <v>267.95347784164204</v>
      </c>
      <c r="L458">
        <v>0.19981528526959799</v>
      </c>
      <c r="M458">
        <v>32.553776265094484</v>
      </c>
      <c r="N458">
        <v>35.809153891603934</v>
      </c>
    </row>
    <row r="459" spans="1:14">
      <c r="A459" t="s">
        <v>726</v>
      </c>
      <c r="B459" t="s">
        <v>1600</v>
      </c>
      <c r="C459" t="s">
        <v>1601</v>
      </c>
      <c r="D459" t="s">
        <v>11</v>
      </c>
      <c r="E459" t="s">
        <v>13</v>
      </c>
      <c r="F459" t="s">
        <v>729</v>
      </c>
      <c r="G459" t="s">
        <v>12</v>
      </c>
      <c r="I459" t="s">
        <v>1600</v>
      </c>
      <c r="J459" t="s">
        <v>3407</v>
      </c>
      <c r="K459">
        <v>74.419974315858084</v>
      </c>
      <c r="L459">
        <v>0.1862355900810054</v>
      </c>
      <c r="M459">
        <v>43.626746710705042</v>
      </c>
      <c r="N459">
        <v>47.98942138177555</v>
      </c>
    </row>
    <row r="460" spans="1:14">
      <c r="A460" t="s">
        <v>726</v>
      </c>
      <c r="B460" t="s">
        <v>1602</v>
      </c>
      <c r="C460" t="s">
        <v>1603</v>
      </c>
      <c r="D460" t="s">
        <v>11</v>
      </c>
      <c r="E460" t="s">
        <v>13</v>
      </c>
      <c r="F460" t="s">
        <v>729</v>
      </c>
      <c r="G460" t="s">
        <v>12</v>
      </c>
      <c r="I460" t="s">
        <v>1602</v>
      </c>
      <c r="J460" t="s">
        <v>3408</v>
      </c>
      <c r="K460">
        <v>113.64708977157539</v>
      </c>
      <c r="L460">
        <v>0.18586544825694939</v>
      </c>
      <c r="M460">
        <v>93.240600414738594</v>
      </c>
      <c r="N460">
        <v>102.56466045621247</v>
      </c>
    </row>
    <row r="461" spans="1:14">
      <c r="A461" t="s">
        <v>726</v>
      </c>
      <c r="B461" t="s">
        <v>1604</v>
      </c>
      <c r="C461" t="s">
        <v>1605</v>
      </c>
      <c r="D461" t="s">
        <v>11</v>
      </c>
      <c r="E461" t="s">
        <v>13</v>
      </c>
      <c r="F461" t="s">
        <v>729</v>
      </c>
      <c r="G461" t="s">
        <v>12</v>
      </c>
      <c r="I461" t="s">
        <v>1604</v>
      </c>
      <c r="J461" t="s">
        <v>3409</v>
      </c>
      <c r="K461">
        <v>138.7228425316753</v>
      </c>
      <c r="L461">
        <v>0.1905523288587625</v>
      </c>
      <c r="M461">
        <v>53.575915155783697</v>
      </c>
      <c r="N461">
        <v>58.933506671362075</v>
      </c>
    </row>
    <row r="462" spans="1:14">
      <c r="A462" t="s">
        <v>726</v>
      </c>
      <c r="B462" t="s">
        <v>1606</v>
      </c>
      <c r="C462" t="s">
        <v>1607</v>
      </c>
      <c r="D462" t="s">
        <v>11</v>
      </c>
      <c r="E462" t="s">
        <v>13</v>
      </c>
      <c r="F462" t="s">
        <v>729</v>
      </c>
      <c r="G462" t="s">
        <v>12</v>
      </c>
      <c r="I462" t="s">
        <v>1606</v>
      </c>
      <c r="J462" t="s">
        <v>3410</v>
      </c>
      <c r="K462">
        <v>206.19985943324664</v>
      </c>
      <c r="L462">
        <v>0.20387291919702299</v>
      </c>
      <c r="M462">
        <v>29.849415072003499</v>
      </c>
      <c r="N462">
        <v>32.834356579203849</v>
      </c>
    </row>
    <row r="463" spans="1:14">
      <c r="A463" t="s">
        <v>726</v>
      </c>
      <c r="B463" t="s">
        <v>1608</v>
      </c>
      <c r="C463" t="s">
        <v>1609</v>
      </c>
      <c r="D463" t="s">
        <v>11</v>
      </c>
      <c r="E463" t="s">
        <v>13</v>
      </c>
      <c r="F463" t="s">
        <v>729</v>
      </c>
      <c r="G463" t="s">
        <v>12</v>
      </c>
      <c r="I463" t="s">
        <v>1608</v>
      </c>
      <c r="J463" t="s">
        <v>3411</v>
      </c>
      <c r="K463">
        <v>8.3853598972426635</v>
      </c>
      <c r="L463">
        <v>0.19958971332988801</v>
      </c>
      <c r="M463">
        <v>159.65932175020677</v>
      </c>
      <c r="N463">
        <v>175.62525392522747</v>
      </c>
    </row>
    <row r="464" spans="1:14">
      <c r="A464" t="s">
        <v>726</v>
      </c>
      <c r="B464" t="s">
        <v>1610</v>
      </c>
      <c r="C464" t="s">
        <v>1611</v>
      </c>
      <c r="D464" t="s">
        <v>11</v>
      </c>
      <c r="E464" t="s">
        <v>13</v>
      </c>
      <c r="F464" t="s">
        <v>729</v>
      </c>
      <c r="G464" t="s">
        <v>12</v>
      </c>
      <c r="I464" t="s">
        <v>1610</v>
      </c>
      <c r="J464" t="s">
        <v>3412</v>
      </c>
      <c r="K464">
        <v>159.64136079999659</v>
      </c>
      <c r="L464">
        <v>0.2109218526827982</v>
      </c>
      <c r="M464">
        <v>35.778478521081453</v>
      </c>
      <c r="N464">
        <v>39.356326373189603</v>
      </c>
    </row>
    <row r="465" spans="1:14">
      <c r="A465" t="s">
        <v>726</v>
      </c>
      <c r="B465" t="s">
        <v>1612</v>
      </c>
      <c r="C465" t="s">
        <v>1613</v>
      </c>
      <c r="D465" t="s">
        <v>11</v>
      </c>
      <c r="E465" t="s">
        <v>13</v>
      </c>
      <c r="F465" t="s">
        <v>729</v>
      </c>
      <c r="G465" t="s">
        <v>12</v>
      </c>
      <c r="I465" t="s">
        <v>1612</v>
      </c>
      <c r="J465" t="s">
        <v>3413</v>
      </c>
      <c r="K465">
        <v>144.4465897704828</v>
      </c>
      <c r="L465">
        <v>0.20764544555999259</v>
      </c>
      <c r="M465">
        <v>22.630818194280664</v>
      </c>
      <c r="N465">
        <v>24.893900013708734</v>
      </c>
    </row>
    <row r="466" spans="1:14">
      <c r="A466" t="s">
        <v>726</v>
      </c>
      <c r="B466" t="s">
        <v>1614</v>
      </c>
      <c r="C466" t="s">
        <v>1615</v>
      </c>
      <c r="D466" t="s">
        <v>11</v>
      </c>
      <c r="E466" t="s">
        <v>13</v>
      </c>
      <c r="F466" t="s">
        <v>729</v>
      </c>
      <c r="G466" t="s">
        <v>12</v>
      </c>
      <c r="I466" t="s">
        <v>1614</v>
      </c>
      <c r="J466" t="s">
        <v>3414</v>
      </c>
      <c r="K466">
        <v>377.15545541987052</v>
      </c>
      <c r="L466">
        <v>0.2158993959762163</v>
      </c>
      <c r="M466">
        <v>37.825867990041651</v>
      </c>
      <c r="N466">
        <v>41.608454789045823</v>
      </c>
    </row>
    <row r="467" spans="1:14">
      <c r="A467" t="s">
        <v>726</v>
      </c>
      <c r="B467" t="s">
        <v>1616</v>
      </c>
      <c r="C467" t="s">
        <v>1617</v>
      </c>
      <c r="D467" t="s">
        <v>11</v>
      </c>
      <c r="E467" t="s">
        <v>13</v>
      </c>
      <c r="F467" t="s">
        <v>729</v>
      </c>
      <c r="G467" t="s">
        <v>12</v>
      </c>
      <c r="I467" t="s">
        <v>1616</v>
      </c>
      <c r="J467" t="s">
        <v>3415</v>
      </c>
      <c r="K467">
        <v>260.35568156570741</v>
      </c>
      <c r="L467">
        <v>0.20433450951530069</v>
      </c>
      <c r="M467">
        <v>45.390923278309785</v>
      </c>
      <c r="N467">
        <v>49.930015606140771</v>
      </c>
    </row>
    <row r="468" spans="1:14">
      <c r="A468" t="s">
        <v>726</v>
      </c>
      <c r="B468" t="s">
        <v>1618</v>
      </c>
      <c r="C468" t="s">
        <v>1619</v>
      </c>
      <c r="D468" t="s">
        <v>11</v>
      </c>
      <c r="E468" t="s">
        <v>13</v>
      </c>
      <c r="F468" t="s">
        <v>729</v>
      </c>
      <c r="G468" t="s">
        <v>12</v>
      </c>
      <c r="I468" t="s">
        <v>1618</v>
      </c>
      <c r="J468" t="s">
        <v>3416</v>
      </c>
      <c r="K468">
        <v>481.60327065724363</v>
      </c>
      <c r="L468">
        <v>0.2096699568636787</v>
      </c>
      <c r="M468">
        <v>34.167055934136329</v>
      </c>
      <c r="N468">
        <v>37.583761527549967</v>
      </c>
    </row>
    <row r="469" spans="1:14">
      <c r="A469" t="s">
        <v>726</v>
      </c>
      <c r="B469" t="s">
        <v>1620</v>
      </c>
      <c r="C469" t="s">
        <v>1621</v>
      </c>
      <c r="D469" t="s">
        <v>11</v>
      </c>
      <c r="E469" t="s">
        <v>13</v>
      </c>
      <c r="F469" t="s">
        <v>729</v>
      </c>
      <c r="G469" t="s">
        <v>12</v>
      </c>
      <c r="I469" t="s">
        <v>1620</v>
      </c>
      <c r="J469" t="s">
        <v>3417</v>
      </c>
      <c r="K469">
        <v>373.1777902774449</v>
      </c>
      <c r="L469">
        <v>0.22781737536657251</v>
      </c>
      <c r="M469">
        <v>33.045724704590633</v>
      </c>
      <c r="N469">
        <v>36.350297175049697</v>
      </c>
    </row>
    <row r="470" spans="1:14">
      <c r="A470" t="s">
        <v>726</v>
      </c>
      <c r="B470" t="s">
        <v>1622</v>
      </c>
      <c r="C470" t="s">
        <v>1623</v>
      </c>
      <c r="D470" t="s">
        <v>11</v>
      </c>
      <c r="E470" t="s">
        <v>13</v>
      </c>
      <c r="F470" t="s">
        <v>729</v>
      </c>
      <c r="G470" t="s">
        <v>12</v>
      </c>
      <c r="I470" t="s">
        <v>1622</v>
      </c>
      <c r="J470" t="s">
        <v>3418</v>
      </c>
      <c r="K470">
        <v>383.98801295291497</v>
      </c>
      <c r="L470">
        <v>0.23479351767251291</v>
      </c>
      <c r="M470">
        <v>68.579290246748684</v>
      </c>
      <c r="N470">
        <v>75.437219271423558</v>
      </c>
    </row>
    <row r="471" spans="1:14">
      <c r="A471" t="s">
        <v>726</v>
      </c>
      <c r="B471" t="s">
        <v>1624</v>
      </c>
      <c r="C471" t="s">
        <v>1625</v>
      </c>
      <c r="D471" t="s">
        <v>11</v>
      </c>
      <c r="E471" t="s">
        <v>13</v>
      </c>
      <c r="F471" t="s">
        <v>729</v>
      </c>
      <c r="G471" t="s">
        <v>12</v>
      </c>
      <c r="I471" t="s">
        <v>1624</v>
      </c>
      <c r="J471" t="s">
        <v>3419</v>
      </c>
      <c r="K471">
        <v>256.18467188596037</v>
      </c>
      <c r="L471">
        <v>0.2067340906208644</v>
      </c>
      <c r="M471">
        <v>43.448077638012535</v>
      </c>
      <c r="N471">
        <v>47.792885401813791</v>
      </c>
    </row>
    <row r="472" spans="1:14">
      <c r="A472" t="s">
        <v>726</v>
      </c>
      <c r="B472" t="s">
        <v>1626</v>
      </c>
      <c r="C472" t="s">
        <v>1627</v>
      </c>
      <c r="D472" t="s">
        <v>11</v>
      </c>
      <c r="E472" t="s">
        <v>13</v>
      </c>
      <c r="F472" t="s">
        <v>729</v>
      </c>
      <c r="G472" t="s">
        <v>12</v>
      </c>
      <c r="I472" t="s">
        <v>1626</v>
      </c>
      <c r="J472" t="s">
        <v>3420</v>
      </c>
      <c r="K472">
        <v>262.0303726638241</v>
      </c>
      <c r="L472">
        <v>0.19895839792853631</v>
      </c>
      <c r="M472">
        <v>61.881143175489868</v>
      </c>
      <c r="N472">
        <v>68.069257493038862</v>
      </c>
    </row>
    <row r="473" spans="1:14">
      <c r="A473" t="s">
        <v>726</v>
      </c>
      <c r="B473" t="s">
        <v>1628</v>
      </c>
      <c r="C473" t="s">
        <v>1629</v>
      </c>
      <c r="D473" t="s">
        <v>11</v>
      </c>
      <c r="E473" t="s">
        <v>13</v>
      </c>
      <c r="F473" t="s">
        <v>729</v>
      </c>
      <c r="G473" t="s">
        <v>12</v>
      </c>
      <c r="I473" t="s">
        <v>1628</v>
      </c>
      <c r="J473" t="s">
        <v>3421</v>
      </c>
      <c r="K473">
        <v>671.897964681556</v>
      </c>
      <c r="L473">
        <v>0.2162259318189593</v>
      </c>
      <c r="M473">
        <v>37.511248874692129</v>
      </c>
      <c r="N473">
        <v>41.262373762161346</v>
      </c>
    </row>
    <row r="474" spans="1:14">
      <c r="A474" t="s">
        <v>726</v>
      </c>
      <c r="B474" t="s">
        <v>1630</v>
      </c>
      <c r="C474" t="s">
        <v>1631</v>
      </c>
      <c r="D474" t="s">
        <v>11</v>
      </c>
      <c r="E474" t="s">
        <v>13</v>
      </c>
      <c r="F474" t="s">
        <v>729</v>
      </c>
      <c r="G474" t="s">
        <v>12</v>
      </c>
      <c r="I474" t="s">
        <v>1630</v>
      </c>
      <c r="J474" t="s">
        <v>3422</v>
      </c>
      <c r="K474">
        <v>191.00550454832887</v>
      </c>
      <c r="L474">
        <v>0.2382030328814255</v>
      </c>
      <c r="M474">
        <v>146.58822583985852</v>
      </c>
      <c r="N474">
        <v>161.24704842384438</v>
      </c>
    </row>
    <row r="475" spans="1:14">
      <c r="A475" t="s">
        <v>726</v>
      </c>
      <c r="B475" t="s">
        <v>1632</v>
      </c>
      <c r="C475" t="s">
        <v>1633</v>
      </c>
      <c r="D475" t="s">
        <v>11</v>
      </c>
      <c r="E475" t="s">
        <v>13</v>
      </c>
      <c r="F475" t="s">
        <v>729</v>
      </c>
      <c r="G475" t="s">
        <v>12</v>
      </c>
      <c r="I475" t="s">
        <v>1632</v>
      </c>
      <c r="J475" t="s">
        <v>3423</v>
      </c>
      <c r="K475">
        <v>387.08490479615693</v>
      </c>
      <c r="L475">
        <v>0.21469158811576081</v>
      </c>
      <c r="M475">
        <v>34.041119722519838</v>
      </c>
      <c r="N475">
        <v>37.445231694771827</v>
      </c>
    </row>
    <row r="476" spans="1:14">
      <c r="A476" t="s">
        <v>726</v>
      </c>
      <c r="B476" t="s">
        <v>1634</v>
      </c>
      <c r="C476" t="s">
        <v>1635</v>
      </c>
      <c r="D476" t="s">
        <v>11</v>
      </c>
      <c r="E476" t="s">
        <v>13</v>
      </c>
      <c r="F476" t="s">
        <v>729</v>
      </c>
      <c r="G476" t="s">
        <v>12</v>
      </c>
      <c r="I476" t="s">
        <v>1634</v>
      </c>
      <c r="J476" t="s">
        <v>3424</v>
      </c>
      <c r="K476">
        <v>8.9854629802654387</v>
      </c>
      <c r="L476">
        <v>0.14239016001893831</v>
      </c>
      <c r="M476">
        <v>40.500378754541103</v>
      </c>
      <c r="N476">
        <v>44.550416629995219</v>
      </c>
    </row>
    <row r="477" spans="1:14">
      <c r="A477" t="s">
        <v>726</v>
      </c>
      <c r="B477" t="s">
        <v>1636</v>
      </c>
      <c r="C477" t="s">
        <v>1637</v>
      </c>
      <c r="D477" t="s">
        <v>11</v>
      </c>
      <c r="E477" t="s">
        <v>13</v>
      </c>
      <c r="F477" t="s">
        <v>729</v>
      </c>
      <c r="G477" t="s">
        <v>12</v>
      </c>
      <c r="I477" t="s">
        <v>1636</v>
      </c>
      <c r="J477" t="s">
        <v>3425</v>
      </c>
      <c r="K477">
        <v>19.430101084496059</v>
      </c>
      <c r="L477">
        <v>0.13244599803664039</v>
      </c>
      <c r="M477">
        <v>43.937886975036449</v>
      </c>
      <c r="N477">
        <v>48.331675672540101</v>
      </c>
    </row>
    <row r="478" spans="1:14">
      <c r="A478" t="s">
        <v>726</v>
      </c>
      <c r="B478" t="s">
        <v>1638</v>
      </c>
      <c r="C478" t="s">
        <v>1639</v>
      </c>
      <c r="D478" t="s">
        <v>11</v>
      </c>
      <c r="E478" t="s">
        <v>13</v>
      </c>
      <c r="F478" t="s">
        <v>729</v>
      </c>
      <c r="G478" t="s">
        <v>12</v>
      </c>
      <c r="I478" t="s">
        <v>1638</v>
      </c>
      <c r="J478" t="s">
        <v>3426</v>
      </c>
      <c r="K478">
        <v>1.703139235787527</v>
      </c>
      <c r="L478">
        <v>0.12806308174104319</v>
      </c>
      <c r="M478">
        <v>150.50563501660395</v>
      </c>
      <c r="N478">
        <v>165.55619851826435</v>
      </c>
    </row>
    <row r="479" spans="1:14">
      <c r="A479" t="s">
        <v>726</v>
      </c>
      <c r="B479" t="s">
        <v>1640</v>
      </c>
      <c r="C479" t="s">
        <v>1641</v>
      </c>
      <c r="D479" t="s">
        <v>11</v>
      </c>
      <c r="E479" t="s">
        <v>13</v>
      </c>
      <c r="F479" t="s">
        <v>729</v>
      </c>
      <c r="G479" t="s">
        <v>12</v>
      </c>
      <c r="I479" t="s">
        <v>1640</v>
      </c>
      <c r="J479" t="s">
        <v>3427</v>
      </c>
      <c r="K479">
        <v>9.9545488788693657</v>
      </c>
      <c r="L479">
        <v>0.13307268675529749</v>
      </c>
      <c r="M479">
        <v>60.206766245965241</v>
      </c>
      <c r="N479">
        <v>66.227442870561774</v>
      </c>
    </row>
    <row r="480" spans="1:14">
      <c r="A480" t="s">
        <v>726</v>
      </c>
      <c r="B480" t="s">
        <v>1642</v>
      </c>
      <c r="C480" t="s">
        <v>1643</v>
      </c>
      <c r="D480" t="s">
        <v>11</v>
      </c>
      <c r="E480" t="s">
        <v>13</v>
      </c>
      <c r="F480" t="s">
        <v>729</v>
      </c>
      <c r="G480" t="s">
        <v>12</v>
      </c>
      <c r="I480" t="s">
        <v>1642</v>
      </c>
      <c r="J480" t="s">
        <v>3428</v>
      </c>
      <c r="K480">
        <v>26.373142604313497</v>
      </c>
      <c r="L480">
        <v>0.24470358349438789</v>
      </c>
      <c r="M480">
        <v>138.37219314565945</v>
      </c>
      <c r="N480">
        <v>152.20941246022542</v>
      </c>
    </row>
    <row r="481" spans="1:14">
      <c r="A481" t="s">
        <v>726</v>
      </c>
      <c r="B481" t="s">
        <v>1644</v>
      </c>
      <c r="C481" t="s">
        <v>1645</v>
      </c>
      <c r="D481" t="s">
        <v>11</v>
      </c>
      <c r="E481" t="s">
        <v>13</v>
      </c>
      <c r="F481" t="s">
        <v>729</v>
      </c>
      <c r="G481" t="s">
        <v>12</v>
      </c>
      <c r="I481" t="s">
        <v>1644</v>
      </c>
      <c r="J481" t="s">
        <v>3429</v>
      </c>
      <c r="K481">
        <v>90.829284453855777</v>
      </c>
      <c r="L481">
        <v>0.25752561766182858</v>
      </c>
      <c r="M481">
        <v>127.44915947157482</v>
      </c>
      <c r="N481">
        <v>140.1940754187323</v>
      </c>
    </row>
    <row r="482" spans="1:14">
      <c r="A482" t="s">
        <v>726</v>
      </c>
      <c r="B482" t="s">
        <v>1646</v>
      </c>
      <c r="C482" t="s">
        <v>1647</v>
      </c>
      <c r="D482" t="s">
        <v>11</v>
      </c>
      <c r="E482" t="s">
        <v>13</v>
      </c>
      <c r="F482" t="s">
        <v>729</v>
      </c>
      <c r="G482" t="s">
        <v>12</v>
      </c>
      <c r="I482" t="s">
        <v>1646</v>
      </c>
      <c r="J482" t="s">
        <v>3430</v>
      </c>
      <c r="K482">
        <v>269.30785607440652</v>
      </c>
      <c r="L482">
        <v>0.27025620690048002</v>
      </c>
      <c r="M482">
        <v>154.66552916132721</v>
      </c>
      <c r="N482">
        <v>170.13208207745996</v>
      </c>
    </row>
    <row r="483" spans="1:14">
      <c r="A483" t="s">
        <v>726</v>
      </c>
      <c r="B483" t="s">
        <v>1648</v>
      </c>
      <c r="C483" t="s">
        <v>1649</v>
      </c>
      <c r="D483" t="s">
        <v>11</v>
      </c>
      <c r="E483" t="s">
        <v>13</v>
      </c>
      <c r="F483" t="s">
        <v>729</v>
      </c>
      <c r="G483" t="s">
        <v>12</v>
      </c>
      <c r="I483" t="s">
        <v>1648</v>
      </c>
      <c r="J483" t="s">
        <v>3431</v>
      </c>
      <c r="K483">
        <v>152.65571878727985</v>
      </c>
      <c r="L483">
        <v>0.26671584781417229</v>
      </c>
      <c r="M483">
        <v>286.55506837377715</v>
      </c>
      <c r="N483">
        <v>315.21057521115489</v>
      </c>
    </row>
    <row r="484" spans="1:14">
      <c r="A484" t="s">
        <v>726</v>
      </c>
      <c r="B484" t="s">
        <v>1650</v>
      </c>
      <c r="C484" t="s">
        <v>1651</v>
      </c>
      <c r="D484" t="s">
        <v>11</v>
      </c>
      <c r="E484" t="s">
        <v>13</v>
      </c>
      <c r="F484" t="s">
        <v>729</v>
      </c>
      <c r="G484" t="s">
        <v>12</v>
      </c>
      <c r="I484" t="s">
        <v>1650</v>
      </c>
      <c r="J484" t="s">
        <v>3432</v>
      </c>
      <c r="K484">
        <v>165.19410850772286</v>
      </c>
      <c r="L484">
        <v>0.2650784290205867</v>
      </c>
      <c r="M484">
        <v>179.07091813113226</v>
      </c>
      <c r="N484">
        <v>196.97800994424551</v>
      </c>
    </row>
    <row r="485" spans="1:14">
      <c r="A485" t="s">
        <v>726</v>
      </c>
      <c r="B485" t="s">
        <v>1652</v>
      </c>
      <c r="C485" t="s">
        <v>1653</v>
      </c>
      <c r="D485" t="s">
        <v>11</v>
      </c>
      <c r="E485" t="s">
        <v>13</v>
      </c>
      <c r="F485" t="s">
        <v>729</v>
      </c>
      <c r="G485" t="s">
        <v>12</v>
      </c>
      <c r="I485" t="s">
        <v>1652</v>
      </c>
      <c r="J485" t="s">
        <v>3433</v>
      </c>
      <c r="K485">
        <v>22.712987388299233</v>
      </c>
      <c r="L485">
        <v>0.25608849342807832</v>
      </c>
      <c r="M485">
        <v>63.103166262276254</v>
      </c>
      <c r="N485">
        <v>69.413482888503879</v>
      </c>
    </row>
    <row r="486" spans="1:14">
      <c r="A486" t="s">
        <v>726</v>
      </c>
      <c r="B486" t="s">
        <v>1654</v>
      </c>
      <c r="C486" t="s">
        <v>1655</v>
      </c>
      <c r="D486" t="s">
        <v>11</v>
      </c>
      <c r="E486" t="s">
        <v>13</v>
      </c>
      <c r="F486" t="s">
        <v>729</v>
      </c>
      <c r="G486" t="s">
        <v>12</v>
      </c>
      <c r="I486" t="s">
        <v>1654</v>
      </c>
      <c r="J486" t="s">
        <v>3434</v>
      </c>
      <c r="K486">
        <v>60.033789532362619</v>
      </c>
      <c r="L486">
        <v>0.25038894716792831</v>
      </c>
      <c r="M486">
        <v>63.082365096478732</v>
      </c>
      <c r="N486">
        <v>69.390601606126609</v>
      </c>
    </row>
    <row r="487" spans="1:14">
      <c r="A487" t="s">
        <v>726</v>
      </c>
      <c r="B487" t="s">
        <v>1656</v>
      </c>
      <c r="C487" t="s">
        <v>1657</v>
      </c>
      <c r="D487" t="s">
        <v>11</v>
      </c>
      <c r="E487" t="s">
        <v>13</v>
      </c>
      <c r="F487" t="s">
        <v>729</v>
      </c>
      <c r="G487" t="s">
        <v>12</v>
      </c>
      <c r="I487" t="s">
        <v>1656</v>
      </c>
      <c r="J487" t="s">
        <v>3435</v>
      </c>
      <c r="K487">
        <v>27.680972860140376</v>
      </c>
      <c r="L487">
        <v>0.25135733331096838</v>
      </c>
      <c r="M487">
        <v>146.47338548248592</v>
      </c>
      <c r="N487">
        <v>161.12072403073452</v>
      </c>
    </row>
    <row r="488" spans="1:14">
      <c r="A488" t="s">
        <v>726</v>
      </c>
      <c r="B488" t="s">
        <v>1658</v>
      </c>
      <c r="C488" t="s">
        <v>1659</v>
      </c>
      <c r="D488" t="s">
        <v>11</v>
      </c>
      <c r="E488" t="s">
        <v>13</v>
      </c>
      <c r="F488" t="s">
        <v>729</v>
      </c>
      <c r="G488" t="s">
        <v>12</v>
      </c>
      <c r="I488" t="s">
        <v>1658</v>
      </c>
      <c r="J488" t="s">
        <v>3436</v>
      </c>
      <c r="K488">
        <v>49.624694151612182</v>
      </c>
      <c r="L488">
        <v>0.25775633178044011</v>
      </c>
      <c r="M488">
        <v>43.930402940501367</v>
      </c>
      <c r="N488">
        <v>48.323443234551505</v>
      </c>
    </row>
    <row r="489" spans="1:14">
      <c r="A489" t="s">
        <v>726</v>
      </c>
      <c r="B489" t="s">
        <v>1660</v>
      </c>
      <c r="C489" t="s">
        <v>1661</v>
      </c>
      <c r="D489" t="s">
        <v>11</v>
      </c>
      <c r="E489" t="s">
        <v>13</v>
      </c>
      <c r="F489" t="s">
        <v>729</v>
      </c>
      <c r="G489" t="s">
        <v>12</v>
      </c>
      <c r="I489" t="s">
        <v>1660</v>
      </c>
      <c r="J489" t="s">
        <v>3437</v>
      </c>
      <c r="K489">
        <v>323.72202935558721</v>
      </c>
      <c r="L489">
        <v>0.26992032548059031</v>
      </c>
      <c r="M489">
        <v>128.60164534360342</v>
      </c>
      <c r="N489">
        <v>141.46180987796379</v>
      </c>
    </row>
    <row r="490" spans="1:14">
      <c r="A490" t="s">
        <v>726</v>
      </c>
      <c r="B490" t="s">
        <v>1662</v>
      </c>
      <c r="C490" t="s">
        <v>1663</v>
      </c>
      <c r="D490" t="s">
        <v>11</v>
      </c>
      <c r="E490" t="s">
        <v>13</v>
      </c>
      <c r="F490" t="s">
        <v>729</v>
      </c>
      <c r="G490" t="s">
        <v>12</v>
      </c>
      <c r="I490" t="s">
        <v>1662</v>
      </c>
      <c r="J490" t="s">
        <v>3438</v>
      </c>
      <c r="K490">
        <v>65.490814504504641</v>
      </c>
      <c r="L490">
        <v>0.26776594925037828</v>
      </c>
      <c r="M490">
        <v>142.05801332488161</v>
      </c>
      <c r="N490">
        <v>156.26381465736978</v>
      </c>
    </row>
    <row r="491" spans="1:14">
      <c r="A491" t="s">
        <v>726</v>
      </c>
      <c r="B491" t="s">
        <v>1664</v>
      </c>
      <c r="C491" t="s">
        <v>1665</v>
      </c>
      <c r="D491" t="s">
        <v>11</v>
      </c>
      <c r="E491" t="s">
        <v>13</v>
      </c>
      <c r="F491" t="s">
        <v>729</v>
      </c>
      <c r="G491" t="s">
        <v>12</v>
      </c>
      <c r="I491" t="s">
        <v>1664</v>
      </c>
      <c r="J491" t="s">
        <v>3439</v>
      </c>
      <c r="K491">
        <v>40.978027806185914</v>
      </c>
      <c r="L491">
        <v>0.26569034281278359</v>
      </c>
      <c r="M491">
        <v>126.51265078502448</v>
      </c>
      <c r="N491">
        <v>139.16391586352694</v>
      </c>
    </row>
    <row r="492" spans="1:14">
      <c r="A492" t="s">
        <v>726</v>
      </c>
      <c r="B492" t="s">
        <v>1666</v>
      </c>
      <c r="C492" t="s">
        <v>1667</v>
      </c>
      <c r="D492" t="s">
        <v>11</v>
      </c>
      <c r="E492" t="s">
        <v>13</v>
      </c>
      <c r="F492" t="s">
        <v>729</v>
      </c>
      <c r="G492" t="s">
        <v>12</v>
      </c>
      <c r="I492" t="s">
        <v>1666</v>
      </c>
      <c r="J492" t="s">
        <v>3440</v>
      </c>
      <c r="K492">
        <v>4.692816042447272</v>
      </c>
      <c r="L492">
        <v>0.2025894470580861</v>
      </c>
      <c r="M492">
        <v>113.35817265587316</v>
      </c>
      <c r="N492">
        <v>124.69398992146048</v>
      </c>
    </row>
    <row r="493" spans="1:14">
      <c r="A493" t="s">
        <v>726</v>
      </c>
      <c r="B493" t="s">
        <v>1668</v>
      </c>
      <c r="C493" t="s">
        <v>1669</v>
      </c>
      <c r="D493" t="s">
        <v>11</v>
      </c>
      <c r="E493" t="s">
        <v>13</v>
      </c>
      <c r="F493" t="s">
        <v>729</v>
      </c>
      <c r="G493" t="s">
        <v>12</v>
      </c>
      <c r="I493" t="s">
        <v>1668</v>
      </c>
      <c r="J493" t="s">
        <v>3441</v>
      </c>
      <c r="K493">
        <v>67.129476852052221</v>
      </c>
      <c r="L493">
        <v>0.2474694602007835</v>
      </c>
      <c r="M493">
        <v>109.6399759995424</v>
      </c>
      <c r="N493">
        <v>120.60397359949665</v>
      </c>
    </row>
    <row r="494" spans="1:14">
      <c r="A494" t="s">
        <v>726</v>
      </c>
      <c r="B494" t="s">
        <v>1670</v>
      </c>
      <c r="C494" t="s">
        <v>1671</v>
      </c>
      <c r="D494" t="s">
        <v>11</v>
      </c>
      <c r="E494" t="s">
        <v>13</v>
      </c>
      <c r="F494" t="s">
        <v>729</v>
      </c>
      <c r="G494" t="s">
        <v>12</v>
      </c>
      <c r="I494" t="s">
        <v>1670</v>
      </c>
      <c r="J494" t="s">
        <v>3442</v>
      </c>
      <c r="K494">
        <v>128.30665055609265</v>
      </c>
      <c r="L494">
        <v>0.26571599006976843</v>
      </c>
      <c r="M494">
        <v>344.67936489871619</v>
      </c>
      <c r="N494">
        <v>379.14730138858783</v>
      </c>
    </row>
    <row r="495" spans="1:14">
      <c r="A495" t="s">
        <v>726</v>
      </c>
      <c r="B495" t="s">
        <v>1672</v>
      </c>
      <c r="C495" t="s">
        <v>1673</v>
      </c>
      <c r="D495" t="s">
        <v>11</v>
      </c>
      <c r="E495" t="s">
        <v>13</v>
      </c>
      <c r="F495" t="s">
        <v>729</v>
      </c>
      <c r="G495" t="s">
        <v>12</v>
      </c>
      <c r="I495" t="s">
        <v>1672</v>
      </c>
      <c r="J495" t="s">
        <v>3443</v>
      </c>
      <c r="K495">
        <v>11.568907563687064</v>
      </c>
      <c r="L495">
        <v>0.24941292090215539</v>
      </c>
      <c r="M495">
        <v>65.688735870756275</v>
      </c>
      <c r="N495">
        <v>72.257609457831904</v>
      </c>
    </row>
    <row r="496" spans="1:14">
      <c r="A496" t="s">
        <v>726</v>
      </c>
      <c r="B496" t="s">
        <v>1674</v>
      </c>
      <c r="C496" t="s">
        <v>1675</v>
      </c>
      <c r="D496" t="s">
        <v>11</v>
      </c>
      <c r="E496" t="s">
        <v>13</v>
      </c>
      <c r="F496" t="s">
        <v>729</v>
      </c>
      <c r="G496" t="s">
        <v>12</v>
      </c>
      <c r="I496" t="s">
        <v>1674</v>
      </c>
      <c r="J496" t="s">
        <v>3444</v>
      </c>
      <c r="K496">
        <v>21.794092188866721</v>
      </c>
      <c r="L496">
        <v>0.24918329146578369</v>
      </c>
      <c r="M496">
        <v>60.751810845932688</v>
      </c>
      <c r="N496">
        <v>66.826991930525963</v>
      </c>
    </row>
    <row r="497" spans="1:14">
      <c r="A497" t="s">
        <v>726</v>
      </c>
      <c r="B497" t="s">
        <v>1676</v>
      </c>
      <c r="C497" t="s">
        <v>1677</v>
      </c>
      <c r="D497" t="s">
        <v>11</v>
      </c>
      <c r="E497" t="s">
        <v>13</v>
      </c>
      <c r="F497" t="s">
        <v>729</v>
      </c>
      <c r="G497" t="s">
        <v>12</v>
      </c>
      <c r="I497" t="s">
        <v>1676</v>
      </c>
      <c r="J497" t="s">
        <v>3445</v>
      </c>
      <c r="K497">
        <v>52.434066663424417</v>
      </c>
      <c r="L497">
        <v>0.25010526384303261</v>
      </c>
      <c r="M497">
        <v>73.852557244088331</v>
      </c>
      <c r="N497">
        <v>81.237812968497167</v>
      </c>
    </row>
    <row r="498" spans="1:14">
      <c r="A498" t="s">
        <v>726</v>
      </c>
      <c r="B498" t="s">
        <v>1678</v>
      </c>
      <c r="C498" t="s">
        <v>1679</v>
      </c>
      <c r="D498" t="s">
        <v>11</v>
      </c>
      <c r="E498" t="s">
        <v>13</v>
      </c>
      <c r="F498" t="s">
        <v>729</v>
      </c>
      <c r="G498" t="s">
        <v>12</v>
      </c>
      <c r="I498" t="s">
        <v>1678</v>
      </c>
      <c r="J498" t="s">
        <v>3446</v>
      </c>
      <c r="K498">
        <v>104.82727998698446</v>
      </c>
      <c r="L498">
        <v>0.2599223589192175</v>
      </c>
      <c r="M498">
        <v>132.26745439452478</v>
      </c>
      <c r="N498">
        <v>145.49419983397726</v>
      </c>
    </row>
    <row r="499" spans="1:14">
      <c r="A499" t="s">
        <v>726</v>
      </c>
      <c r="B499" t="s">
        <v>1680</v>
      </c>
      <c r="C499" t="s">
        <v>1681</v>
      </c>
      <c r="D499" t="s">
        <v>11</v>
      </c>
      <c r="E499" t="s">
        <v>13</v>
      </c>
      <c r="F499" t="s">
        <v>729</v>
      </c>
      <c r="G499" t="s">
        <v>12</v>
      </c>
      <c r="I499" t="s">
        <v>1680</v>
      </c>
      <c r="J499" t="s">
        <v>3447</v>
      </c>
      <c r="K499">
        <v>120.18474311719555</v>
      </c>
      <c r="L499">
        <v>0.26444843651798988</v>
      </c>
      <c r="M499">
        <v>190.60820864677984</v>
      </c>
      <c r="N499">
        <v>209.66902951145784</v>
      </c>
    </row>
    <row r="500" spans="1:14">
      <c r="A500" t="s">
        <v>726</v>
      </c>
      <c r="B500" t="s">
        <v>1682</v>
      </c>
      <c r="C500" t="s">
        <v>1683</v>
      </c>
      <c r="D500" t="s">
        <v>11</v>
      </c>
      <c r="E500" t="s">
        <v>13</v>
      </c>
      <c r="F500" t="s">
        <v>729</v>
      </c>
      <c r="G500" t="s">
        <v>12</v>
      </c>
      <c r="I500" t="s">
        <v>1682</v>
      </c>
      <c r="J500" t="s">
        <v>3448</v>
      </c>
      <c r="K500">
        <v>62.099489056504368</v>
      </c>
      <c r="L500">
        <v>0.25093359518804093</v>
      </c>
      <c r="M500">
        <v>70.823958152031778</v>
      </c>
      <c r="N500">
        <v>77.906353967234963</v>
      </c>
    </row>
    <row r="501" spans="1:14">
      <c r="A501" t="s">
        <v>726</v>
      </c>
      <c r="B501" t="s">
        <v>1684</v>
      </c>
      <c r="C501" t="s">
        <v>1671</v>
      </c>
      <c r="D501" t="s">
        <v>11</v>
      </c>
      <c r="E501" t="s">
        <v>13</v>
      </c>
      <c r="F501" t="s">
        <v>729</v>
      </c>
      <c r="G501" t="s">
        <v>12</v>
      </c>
      <c r="I501" t="s">
        <v>1684</v>
      </c>
      <c r="J501" t="s">
        <v>3449</v>
      </c>
      <c r="K501">
        <v>97.419347842396704</v>
      </c>
      <c r="L501">
        <v>0.25792946217447249</v>
      </c>
      <c r="M501">
        <v>144.00321636702006</v>
      </c>
      <c r="N501">
        <v>158.40353800372208</v>
      </c>
    </row>
    <row r="502" spans="1:14">
      <c r="A502" t="s">
        <v>726</v>
      </c>
      <c r="B502" t="s">
        <v>1685</v>
      </c>
      <c r="C502" t="s">
        <v>1686</v>
      </c>
      <c r="D502" t="s">
        <v>11</v>
      </c>
      <c r="E502" t="s">
        <v>13</v>
      </c>
      <c r="F502" t="s">
        <v>729</v>
      </c>
      <c r="G502" t="s">
        <v>12</v>
      </c>
      <c r="I502" t="s">
        <v>1685</v>
      </c>
      <c r="J502" t="s">
        <v>3450</v>
      </c>
      <c r="K502">
        <v>18.291975295932211</v>
      </c>
      <c r="L502">
        <v>0.27542598609579849</v>
      </c>
      <c r="M502">
        <v>106.16528089423728</v>
      </c>
      <c r="N502">
        <v>116.78180898366102</v>
      </c>
    </row>
    <row r="503" spans="1:14">
      <c r="A503" t="s">
        <v>726</v>
      </c>
      <c r="B503" t="s">
        <v>1687</v>
      </c>
      <c r="C503" t="s">
        <v>1688</v>
      </c>
      <c r="D503" t="s">
        <v>11</v>
      </c>
      <c r="E503" t="s">
        <v>13</v>
      </c>
      <c r="F503" t="s">
        <v>729</v>
      </c>
      <c r="G503" t="s">
        <v>12</v>
      </c>
      <c r="I503" t="s">
        <v>1687</v>
      </c>
      <c r="J503" t="s">
        <v>3451</v>
      </c>
      <c r="K503">
        <v>9.0375658375163699</v>
      </c>
      <c r="L503">
        <v>0.24346888963532801</v>
      </c>
      <c r="M503">
        <v>25.600589215518877</v>
      </c>
      <c r="N503">
        <v>28.160648137070766</v>
      </c>
    </row>
    <row r="504" spans="1:14">
      <c r="A504" t="s">
        <v>726</v>
      </c>
      <c r="B504" t="s">
        <v>1689</v>
      </c>
      <c r="C504" t="s">
        <v>1690</v>
      </c>
      <c r="D504" t="s">
        <v>11</v>
      </c>
      <c r="E504" t="s">
        <v>13</v>
      </c>
      <c r="F504" t="s">
        <v>729</v>
      </c>
      <c r="G504" t="s">
        <v>12</v>
      </c>
      <c r="I504" t="s">
        <v>1689</v>
      </c>
      <c r="J504" t="s">
        <v>3452</v>
      </c>
      <c r="K504">
        <v>16.425372364620433</v>
      </c>
      <c r="L504">
        <v>0.25464677235261629</v>
      </c>
      <c r="M504">
        <v>24.854537385346525</v>
      </c>
      <c r="N504">
        <v>27.33999112388118</v>
      </c>
    </row>
    <row r="505" spans="1:14">
      <c r="A505" t="s">
        <v>726</v>
      </c>
      <c r="B505" t="s">
        <v>1691</v>
      </c>
      <c r="C505" t="s">
        <v>1692</v>
      </c>
      <c r="D505" t="s">
        <v>11</v>
      </c>
      <c r="E505" t="s">
        <v>13</v>
      </c>
      <c r="F505" t="s">
        <v>729</v>
      </c>
      <c r="G505" t="s">
        <v>12</v>
      </c>
      <c r="I505" t="s">
        <v>1691</v>
      </c>
      <c r="J505" t="s">
        <v>3453</v>
      </c>
      <c r="K505">
        <v>41.724289610790706</v>
      </c>
      <c r="L505">
        <v>0.1766429716392425</v>
      </c>
      <c r="M505">
        <v>14.685120521841002</v>
      </c>
      <c r="N505">
        <v>16.153632574025103</v>
      </c>
    </row>
    <row r="506" spans="1:14">
      <c r="A506" t="s">
        <v>726</v>
      </c>
      <c r="B506" t="s">
        <v>1693</v>
      </c>
      <c r="C506" t="s">
        <v>1694</v>
      </c>
      <c r="D506" t="s">
        <v>11</v>
      </c>
      <c r="E506" t="s">
        <v>13</v>
      </c>
      <c r="F506" t="s">
        <v>729</v>
      </c>
      <c r="G506" t="s">
        <v>12</v>
      </c>
      <c r="I506" t="s">
        <v>1693</v>
      </c>
      <c r="J506" t="s">
        <v>3454</v>
      </c>
      <c r="K506">
        <v>5.9223017635949358</v>
      </c>
      <c r="L506">
        <v>0.17198167604372111</v>
      </c>
      <c r="M506">
        <v>15.63135244857895</v>
      </c>
      <c r="N506">
        <v>17.194487693436844</v>
      </c>
    </row>
    <row r="507" spans="1:14">
      <c r="A507" t="s">
        <v>726</v>
      </c>
      <c r="B507" t="s">
        <v>1695</v>
      </c>
      <c r="C507" t="s">
        <v>1696</v>
      </c>
      <c r="D507" t="s">
        <v>11</v>
      </c>
      <c r="E507" t="s">
        <v>13</v>
      </c>
      <c r="F507" t="s">
        <v>729</v>
      </c>
      <c r="G507" t="s">
        <v>12</v>
      </c>
      <c r="I507" t="s">
        <v>1695</v>
      </c>
      <c r="J507" t="s">
        <v>3455</v>
      </c>
      <c r="K507">
        <v>54.404144363607713</v>
      </c>
      <c r="L507">
        <v>0.1782066690908532</v>
      </c>
      <c r="M507">
        <v>12.783149529582422</v>
      </c>
      <c r="N507">
        <v>14.061464482540666</v>
      </c>
    </row>
    <row r="508" spans="1:14">
      <c r="A508" t="s">
        <v>726</v>
      </c>
      <c r="B508" t="s">
        <v>1697</v>
      </c>
      <c r="C508" t="s">
        <v>1698</v>
      </c>
      <c r="D508" t="s">
        <v>11</v>
      </c>
      <c r="E508" t="s">
        <v>13</v>
      </c>
      <c r="F508" t="s">
        <v>729</v>
      </c>
      <c r="G508" t="s">
        <v>12</v>
      </c>
      <c r="I508" t="s">
        <v>1697</v>
      </c>
      <c r="J508" t="s">
        <v>3456</v>
      </c>
      <c r="K508">
        <v>18.520727514393968</v>
      </c>
      <c r="L508">
        <v>0.21853643356753771</v>
      </c>
      <c r="M508">
        <v>45.991546364339719</v>
      </c>
      <c r="N508">
        <v>50.590701000773691</v>
      </c>
    </row>
    <row r="509" spans="1:14">
      <c r="A509" t="s">
        <v>726</v>
      </c>
      <c r="B509" t="s">
        <v>1699</v>
      </c>
      <c r="C509" t="s">
        <v>1700</v>
      </c>
      <c r="D509" t="s">
        <v>11</v>
      </c>
      <c r="E509" t="s">
        <v>13</v>
      </c>
      <c r="F509" t="s">
        <v>729</v>
      </c>
      <c r="G509" t="s">
        <v>12</v>
      </c>
      <c r="I509" t="s">
        <v>1699</v>
      </c>
      <c r="J509" t="s">
        <v>3457</v>
      </c>
      <c r="K509">
        <v>49.021078071074598</v>
      </c>
      <c r="L509">
        <v>0.2193817138765228</v>
      </c>
      <c r="M509">
        <v>14.969436541239777</v>
      </c>
      <c r="N509">
        <v>16.466380195363755</v>
      </c>
    </row>
    <row r="510" spans="1:14">
      <c r="A510" t="s">
        <v>726</v>
      </c>
      <c r="B510" t="s">
        <v>1701</v>
      </c>
      <c r="C510" t="s">
        <v>1702</v>
      </c>
      <c r="D510" t="s">
        <v>11</v>
      </c>
      <c r="E510" t="s">
        <v>13</v>
      </c>
      <c r="F510" t="s">
        <v>729</v>
      </c>
      <c r="G510" t="s">
        <v>12</v>
      </c>
      <c r="I510" t="s">
        <v>1701</v>
      </c>
      <c r="J510" t="s">
        <v>3458</v>
      </c>
      <c r="K510">
        <v>18.870241596289144</v>
      </c>
      <c r="L510">
        <v>0.1699116378152602</v>
      </c>
      <c r="M510">
        <v>17.316149351503505</v>
      </c>
      <c r="N510">
        <v>19.047764286653855</v>
      </c>
    </row>
    <row r="511" spans="1:14">
      <c r="A511" t="s">
        <v>726</v>
      </c>
      <c r="B511" t="s">
        <v>1703</v>
      </c>
      <c r="C511" t="s">
        <v>1704</v>
      </c>
      <c r="D511" t="s">
        <v>11</v>
      </c>
      <c r="E511" t="s">
        <v>13</v>
      </c>
      <c r="F511" t="s">
        <v>729</v>
      </c>
      <c r="G511" t="s">
        <v>12</v>
      </c>
      <c r="I511" t="s">
        <v>1703</v>
      </c>
      <c r="J511" t="s">
        <v>3459</v>
      </c>
      <c r="K511">
        <v>37.517128968234573</v>
      </c>
      <c r="L511">
        <v>0.20306923104866839</v>
      </c>
      <c r="M511">
        <v>16.944856745129819</v>
      </c>
      <c r="N511">
        <v>18.639342419642801</v>
      </c>
    </row>
    <row r="512" spans="1:14">
      <c r="A512" t="s">
        <v>726</v>
      </c>
      <c r="B512" t="s">
        <v>1705</v>
      </c>
      <c r="C512" t="s">
        <v>1706</v>
      </c>
      <c r="D512" t="s">
        <v>11</v>
      </c>
      <c r="E512" t="s">
        <v>13</v>
      </c>
      <c r="F512" t="s">
        <v>729</v>
      </c>
      <c r="G512" t="s">
        <v>12</v>
      </c>
      <c r="I512" t="s">
        <v>1705</v>
      </c>
      <c r="J512" t="s">
        <v>3460</v>
      </c>
      <c r="K512">
        <v>35.104035254790098</v>
      </c>
      <c r="L512">
        <v>0.18443131634723109</v>
      </c>
      <c r="M512">
        <v>15.646738227974543</v>
      </c>
      <c r="N512">
        <v>17.211412050771997</v>
      </c>
    </row>
    <row r="513" spans="1:14">
      <c r="A513" t="s">
        <v>726</v>
      </c>
      <c r="B513" t="s">
        <v>1707</v>
      </c>
      <c r="C513" t="s">
        <v>1708</v>
      </c>
      <c r="D513" t="s">
        <v>11</v>
      </c>
      <c r="E513" t="s">
        <v>13</v>
      </c>
      <c r="F513" t="s">
        <v>729</v>
      </c>
      <c r="G513" t="s">
        <v>12</v>
      </c>
      <c r="I513" t="s">
        <v>1707</v>
      </c>
      <c r="J513" t="s">
        <v>3461</v>
      </c>
      <c r="K513">
        <v>3.2754868267072031E-2</v>
      </c>
      <c r="L513">
        <v>0.24722373948716</v>
      </c>
      <c r="M513">
        <v>39.604923467060843</v>
      </c>
      <c r="N513">
        <v>43.565415813766933</v>
      </c>
    </row>
    <row r="514" spans="1:14">
      <c r="A514" t="s">
        <v>726</v>
      </c>
      <c r="B514" t="s">
        <v>1709</v>
      </c>
      <c r="C514" t="s">
        <v>1710</v>
      </c>
      <c r="D514" t="s">
        <v>11</v>
      </c>
      <c r="E514" t="s">
        <v>13</v>
      </c>
      <c r="F514" t="s">
        <v>729</v>
      </c>
      <c r="G514" t="s">
        <v>12</v>
      </c>
      <c r="I514" t="s">
        <v>1709</v>
      </c>
      <c r="J514" t="s">
        <v>3462</v>
      </c>
      <c r="K514">
        <v>0.87352485771258948</v>
      </c>
      <c r="L514">
        <v>0.24490961600231609</v>
      </c>
      <c r="M514">
        <v>46.156438223806383</v>
      </c>
      <c r="N514">
        <v>50.772082046187023</v>
      </c>
    </row>
    <row r="515" spans="1:14">
      <c r="A515" t="s">
        <v>726</v>
      </c>
      <c r="B515" t="s">
        <v>1711</v>
      </c>
      <c r="C515" t="s">
        <v>1712</v>
      </c>
      <c r="D515" t="s">
        <v>11</v>
      </c>
      <c r="E515" t="s">
        <v>13</v>
      </c>
      <c r="F515" t="s">
        <v>729</v>
      </c>
      <c r="G515" t="s">
        <v>12</v>
      </c>
      <c r="I515" t="s">
        <v>1711</v>
      </c>
      <c r="J515" t="s">
        <v>3463</v>
      </c>
      <c r="K515">
        <v>42.981843794027846</v>
      </c>
      <c r="L515">
        <v>0.27914202819721562</v>
      </c>
      <c r="M515">
        <v>211.20290994956611</v>
      </c>
      <c r="N515">
        <v>232.32320094452274</v>
      </c>
    </row>
    <row r="516" spans="1:14">
      <c r="A516" t="s">
        <v>726</v>
      </c>
      <c r="B516" t="s">
        <v>1713</v>
      </c>
      <c r="C516" t="s">
        <v>1712</v>
      </c>
      <c r="D516" t="s">
        <v>11</v>
      </c>
      <c r="E516" t="s">
        <v>13</v>
      </c>
      <c r="F516" t="s">
        <v>729</v>
      </c>
      <c r="G516" t="s">
        <v>12</v>
      </c>
      <c r="I516" t="s">
        <v>1713</v>
      </c>
      <c r="J516" t="s">
        <v>3464</v>
      </c>
      <c r="K516">
        <v>25.834384471761076</v>
      </c>
      <c r="L516">
        <v>0.28327874595961311</v>
      </c>
      <c r="M516">
        <v>220.58079872949347</v>
      </c>
      <c r="N516">
        <v>242.63887860244284</v>
      </c>
    </row>
    <row r="517" spans="1:14">
      <c r="A517" t="s">
        <v>726</v>
      </c>
      <c r="B517" t="s">
        <v>1714</v>
      </c>
      <c r="C517" t="s">
        <v>1715</v>
      </c>
      <c r="D517" t="s">
        <v>11</v>
      </c>
      <c r="E517" t="s">
        <v>13</v>
      </c>
      <c r="F517" t="s">
        <v>729</v>
      </c>
      <c r="G517" t="s">
        <v>12</v>
      </c>
      <c r="I517" t="s">
        <v>1714</v>
      </c>
      <c r="J517" t="s">
        <v>3465</v>
      </c>
      <c r="K517">
        <v>17.078857796861911</v>
      </c>
      <c r="L517">
        <v>0.26631896419043732</v>
      </c>
      <c r="M517">
        <v>58.347542958894977</v>
      </c>
      <c r="N517">
        <v>64.182297254784473</v>
      </c>
    </row>
    <row r="518" spans="1:14">
      <c r="A518" t="s">
        <v>726</v>
      </c>
      <c r="B518" t="s">
        <v>1716</v>
      </c>
      <c r="C518" t="s">
        <v>1717</v>
      </c>
      <c r="D518" t="s">
        <v>11</v>
      </c>
      <c r="E518" t="s">
        <v>13</v>
      </c>
      <c r="F518" t="s">
        <v>729</v>
      </c>
      <c r="G518" t="s">
        <v>12</v>
      </c>
      <c r="I518" t="s">
        <v>1716</v>
      </c>
      <c r="J518" t="s">
        <v>3466</v>
      </c>
      <c r="K518">
        <v>59.454063252076473</v>
      </c>
      <c r="L518">
        <v>0.26945961286205328</v>
      </c>
      <c r="M518">
        <v>213.57220887644655</v>
      </c>
      <c r="N518">
        <v>234.92942976409122</v>
      </c>
    </row>
    <row r="519" spans="1:14">
      <c r="A519" t="s">
        <v>726</v>
      </c>
      <c r="B519" t="s">
        <v>1718</v>
      </c>
      <c r="C519" t="s">
        <v>1719</v>
      </c>
      <c r="D519" t="s">
        <v>11</v>
      </c>
      <c r="E519" t="s">
        <v>13</v>
      </c>
      <c r="F519" t="s">
        <v>729</v>
      </c>
      <c r="G519" t="s">
        <v>12</v>
      </c>
      <c r="I519" t="s">
        <v>1718</v>
      </c>
      <c r="J519" t="s">
        <v>3467</v>
      </c>
      <c r="K519">
        <v>20.389157575064967</v>
      </c>
      <c r="L519">
        <v>0.17184296750830419</v>
      </c>
      <c r="M519">
        <v>48.314479569389981</v>
      </c>
      <c r="N519">
        <v>53.145927526328983</v>
      </c>
    </row>
    <row r="520" spans="1:14">
      <c r="A520" t="s">
        <v>726</v>
      </c>
      <c r="B520" t="s">
        <v>1720</v>
      </c>
      <c r="C520" t="s">
        <v>1721</v>
      </c>
      <c r="D520" t="s">
        <v>11</v>
      </c>
      <c r="E520" t="s">
        <v>13</v>
      </c>
      <c r="F520" t="s">
        <v>729</v>
      </c>
      <c r="G520" t="s">
        <v>12</v>
      </c>
      <c r="I520" t="s">
        <v>1720</v>
      </c>
      <c r="J520" t="s">
        <v>3468</v>
      </c>
      <c r="K520">
        <v>30.652142716866944</v>
      </c>
      <c r="L520">
        <v>0.1738884011415652</v>
      </c>
      <c r="M520">
        <v>74.573164257574447</v>
      </c>
      <c r="N520">
        <v>82.030480683331902</v>
      </c>
    </row>
    <row r="521" spans="1:14">
      <c r="A521" t="s">
        <v>726</v>
      </c>
      <c r="B521" t="s">
        <v>1722</v>
      </c>
      <c r="C521" t="s">
        <v>1723</v>
      </c>
      <c r="D521" t="s">
        <v>11</v>
      </c>
      <c r="E521" t="s">
        <v>13</v>
      </c>
      <c r="F521" t="s">
        <v>729</v>
      </c>
      <c r="G521" t="s">
        <v>12</v>
      </c>
      <c r="I521" t="s">
        <v>1722</v>
      </c>
      <c r="J521" t="s">
        <v>3469</v>
      </c>
      <c r="K521">
        <v>13.726620534920865</v>
      </c>
      <c r="L521">
        <v>0.18141335350585239</v>
      </c>
      <c r="M521">
        <v>37.274627583881177</v>
      </c>
      <c r="N521">
        <v>41.002090342269298</v>
      </c>
    </row>
    <row r="522" spans="1:14">
      <c r="A522" t="s">
        <v>726</v>
      </c>
      <c r="B522" t="s">
        <v>1724</v>
      </c>
      <c r="C522" t="s">
        <v>1725</v>
      </c>
      <c r="D522" t="s">
        <v>11</v>
      </c>
      <c r="E522" t="s">
        <v>13</v>
      </c>
      <c r="F522" t="s">
        <v>729</v>
      </c>
      <c r="G522" t="s">
        <v>12</v>
      </c>
      <c r="I522" t="s">
        <v>1724</v>
      </c>
      <c r="J522" t="s">
        <v>3470</v>
      </c>
      <c r="K522">
        <v>24.056939197839149</v>
      </c>
      <c r="L522">
        <v>0.19776583711212001</v>
      </c>
      <c r="M522">
        <v>23.282821944085985</v>
      </c>
      <c r="N522">
        <v>25.611104138494586</v>
      </c>
    </row>
    <row r="523" spans="1:14">
      <c r="A523" t="s">
        <v>726</v>
      </c>
      <c r="B523" t="s">
        <v>1726</v>
      </c>
      <c r="C523" t="s">
        <v>1727</v>
      </c>
      <c r="D523" t="s">
        <v>11</v>
      </c>
      <c r="E523" t="s">
        <v>13</v>
      </c>
      <c r="F523" t="s">
        <v>729</v>
      </c>
      <c r="G523" t="s">
        <v>12</v>
      </c>
      <c r="I523" t="s">
        <v>1726</v>
      </c>
      <c r="J523" t="s">
        <v>3471</v>
      </c>
      <c r="K523">
        <v>18.922773978954542</v>
      </c>
      <c r="L523">
        <v>0.18966638602777211</v>
      </c>
      <c r="M523">
        <v>33.647684004349927</v>
      </c>
      <c r="N523">
        <v>37.012452404784923</v>
      </c>
    </row>
    <row r="524" spans="1:14">
      <c r="A524" t="s">
        <v>726</v>
      </c>
      <c r="B524" t="s">
        <v>1728</v>
      </c>
      <c r="C524" t="s">
        <v>1729</v>
      </c>
      <c r="D524" t="s">
        <v>11</v>
      </c>
      <c r="E524" t="s">
        <v>13</v>
      </c>
      <c r="F524" t="s">
        <v>729</v>
      </c>
      <c r="G524" t="s">
        <v>12</v>
      </c>
      <c r="I524" t="s">
        <v>1728</v>
      </c>
      <c r="J524" t="s">
        <v>3472</v>
      </c>
      <c r="K524">
        <v>1.6234968356964046</v>
      </c>
      <c r="L524">
        <v>0.18449882428207709</v>
      </c>
      <c r="M524">
        <v>174.87283002696202</v>
      </c>
      <c r="N524">
        <v>192.36011302965824</v>
      </c>
    </row>
    <row r="525" spans="1:14">
      <c r="A525" t="s">
        <v>726</v>
      </c>
      <c r="B525" t="s">
        <v>1730</v>
      </c>
      <c r="C525" t="s">
        <v>1731</v>
      </c>
      <c r="D525" t="s">
        <v>11</v>
      </c>
      <c r="E525" t="s">
        <v>13</v>
      </c>
      <c r="F525" t="s">
        <v>729</v>
      </c>
      <c r="G525" t="s">
        <v>12</v>
      </c>
      <c r="I525" t="s">
        <v>1730</v>
      </c>
      <c r="J525" t="s">
        <v>3473</v>
      </c>
      <c r="K525">
        <v>32.286920769421435</v>
      </c>
      <c r="L525">
        <v>0.18788899864306199</v>
      </c>
      <c r="M525">
        <v>18.433963104473836</v>
      </c>
      <c r="N525">
        <v>20.277359414921222</v>
      </c>
    </row>
    <row r="526" spans="1:14">
      <c r="A526" t="s">
        <v>726</v>
      </c>
      <c r="B526" t="s">
        <v>1732</v>
      </c>
      <c r="C526" t="s">
        <v>1733</v>
      </c>
      <c r="D526" t="s">
        <v>11</v>
      </c>
      <c r="E526" t="s">
        <v>13</v>
      </c>
      <c r="F526" t="s">
        <v>729</v>
      </c>
      <c r="G526" t="s">
        <v>12</v>
      </c>
      <c r="I526" t="s">
        <v>1732</v>
      </c>
      <c r="J526" t="s">
        <v>3474</v>
      </c>
      <c r="K526">
        <v>16.903633009724807</v>
      </c>
      <c r="L526">
        <v>0.17653661081650049</v>
      </c>
      <c r="M526">
        <v>38.544333628786703</v>
      </c>
      <c r="N526">
        <v>42.398766991665376</v>
      </c>
    </row>
    <row r="527" spans="1:14">
      <c r="A527" t="s">
        <v>726</v>
      </c>
      <c r="B527" t="s">
        <v>1734</v>
      </c>
      <c r="C527" t="s">
        <v>1735</v>
      </c>
      <c r="D527" t="s">
        <v>11</v>
      </c>
      <c r="E527" t="s">
        <v>13</v>
      </c>
      <c r="F527" t="s">
        <v>729</v>
      </c>
      <c r="G527" t="s">
        <v>12</v>
      </c>
      <c r="I527" t="s">
        <v>1734</v>
      </c>
      <c r="J527" t="s">
        <v>3475</v>
      </c>
      <c r="K527">
        <v>13.518591089982879</v>
      </c>
      <c r="L527">
        <v>0.17992738924569629</v>
      </c>
      <c r="M527">
        <v>35.30689721642819</v>
      </c>
      <c r="N527">
        <v>38.837586938071013</v>
      </c>
    </row>
    <row r="528" spans="1:14">
      <c r="A528" t="s">
        <v>726</v>
      </c>
      <c r="B528" t="s">
        <v>1736</v>
      </c>
      <c r="C528" t="s">
        <v>1737</v>
      </c>
      <c r="D528" t="s">
        <v>11</v>
      </c>
      <c r="E528" t="s">
        <v>13</v>
      </c>
      <c r="F528" t="s">
        <v>729</v>
      </c>
      <c r="G528" t="s">
        <v>12</v>
      </c>
      <c r="I528" t="s">
        <v>1736</v>
      </c>
      <c r="J528" t="s">
        <v>3476</v>
      </c>
      <c r="K528">
        <v>79.996006855789744</v>
      </c>
      <c r="L528">
        <v>0.17439290289246151</v>
      </c>
      <c r="M528">
        <v>106.78874125931806</v>
      </c>
      <c r="N528">
        <v>117.46761538524987</v>
      </c>
    </row>
    <row r="529" spans="1:14">
      <c r="A529" t="s">
        <v>726</v>
      </c>
      <c r="B529" t="s">
        <v>1738</v>
      </c>
      <c r="C529" t="s">
        <v>1737</v>
      </c>
      <c r="D529" t="s">
        <v>11</v>
      </c>
      <c r="E529" t="s">
        <v>13</v>
      </c>
      <c r="F529" t="s">
        <v>729</v>
      </c>
      <c r="G529" t="s">
        <v>12</v>
      </c>
      <c r="I529" t="s">
        <v>1738</v>
      </c>
      <c r="J529" t="s">
        <v>3477</v>
      </c>
      <c r="K529">
        <v>88.916344452940507</v>
      </c>
      <c r="L529">
        <v>0.16481185658406289</v>
      </c>
      <c r="M529">
        <v>219.68185823216876</v>
      </c>
      <c r="N529">
        <v>241.65004405538565</v>
      </c>
    </row>
    <row r="530" spans="1:14">
      <c r="A530" t="s">
        <v>726</v>
      </c>
      <c r="B530" t="s">
        <v>1739</v>
      </c>
      <c r="C530" t="s">
        <v>1740</v>
      </c>
      <c r="D530" t="s">
        <v>11</v>
      </c>
      <c r="E530" t="s">
        <v>13</v>
      </c>
      <c r="F530" t="s">
        <v>729</v>
      </c>
      <c r="G530" t="s">
        <v>12</v>
      </c>
      <c r="I530" t="s">
        <v>1739</v>
      </c>
      <c r="J530" t="s">
        <v>3478</v>
      </c>
      <c r="K530">
        <v>119.89016423680557</v>
      </c>
      <c r="L530">
        <v>0.16865171080099661</v>
      </c>
      <c r="M530">
        <v>283.18741590874322</v>
      </c>
      <c r="N530">
        <v>311.50615749961759</v>
      </c>
    </row>
    <row r="531" spans="1:14">
      <c r="A531" t="s">
        <v>726</v>
      </c>
      <c r="B531" t="s">
        <v>1741</v>
      </c>
      <c r="C531" t="s">
        <v>1742</v>
      </c>
      <c r="D531" t="s">
        <v>11</v>
      </c>
      <c r="E531" t="s">
        <v>13</v>
      </c>
      <c r="F531" t="s">
        <v>729</v>
      </c>
      <c r="G531" t="s">
        <v>12</v>
      </c>
      <c r="I531" t="s">
        <v>1741</v>
      </c>
      <c r="J531" t="s">
        <v>3479</v>
      </c>
      <c r="K531">
        <v>116.48791382885911</v>
      </c>
      <c r="L531">
        <v>0.1552940331065063</v>
      </c>
      <c r="M531">
        <v>162.48176048165763</v>
      </c>
      <c r="N531">
        <v>178.72993652982342</v>
      </c>
    </row>
    <row r="532" spans="1:14">
      <c r="A532" t="s">
        <v>726</v>
      </c>
      <c r="B532" t="s">
        <v>1743</v>
      </c>
      <c r="C532" t="s">
        <v>1744</v>
      </c>
      <c r="D532" t="s">
        <v>11</v>
      </c>
      <c r="E532" t="s">
        <v>13</v>
      </c>
      <c r="F532" t="s">
        <v>729</v>
      </c>
      <c r="G532" t="s">
        <v>12</v>
      </c>
      <c r="I532" t="s">
        <v>1743</v>
      </c>
      <c r="J532" t="s">
        <v>3480</v>
      </c>
      <c r="K532">
        <v>95.917699462770798</v>
      </c>
      <c r="L532">
        <v>0.1619504518316226</v>
      </c>
      <c r="M532">
        <v>185.04370075113991</v>
      </c>
      <c r="N532">
        <v>203.54807082625391</v>
      </c>
    </row>
    <row r="533" spans="1:14">
      <c r="A533" t="s">
        <v>726</v>
      </c>
      <c r="B533" t="s">
        <v>1745</v>
      </c>
      <c r="C533" t="s">
        <v>1746</v>
      </c>
      <c r="D533" t="s">
        <v>11</v>
      </c>
      <c r="E533" t="s">
        <v>13</v>
      </c>
      <c r="F533" t="s">
        <v>729</v>
      </c>
      <c r="G533" t="s">
        <v>12</v>
      </c>
      <c r="I533" t="s">
        <v>1745</v>
      </c>
      <c r="J533" t="s">
        <v>3481</v>
      </c>
      <c r="K533">
        <v>86.655834721695911</v>
      </c>
      <c r="L533">
        <v>0.1776220604080859</v>
      </c>
      <c r="M533">
        <v>188.93557422478528</v>
      </c>
      <c r="N533">
        <v>207.82913164726384</v>
      </c>
    </row>
    <row r="534" spans="1:14">
      <c r="A534" t="s">
        <v>726</v>
      </c>
      <c r="B534" t="s">
        <v>1747</v>
      </c>
      <c r="C534" t="s">
        <v>1748</v>
      </c>
      <c r="D534" t="s">
        <v>11</v>
      </c>
      <c r="E534" t="s">
        <v>13</v>
      </c>
      <c r="F534" t="s">
        <v>729</v>
      </c>
      <c r="G534" t="s">
        <v>12</v>
      </c>
      <c r="I534" t="s">
        <v>1747</v>
      </c>
      <c r="J534" t="s">
        <v>3482</v>
      </c>
      <c r="K534">
        <v>136.78119764801809</v>
      </c>
      <c r="L534">
        <v>0.1806970404933626</v>
      </c>
      <c r="M534">
        <v>367.93582472095312</v>
      </c>
      <c r="N534">
        <v>404.72940719304847</v>
      </c>
    </row>
    <row r="535" spans="1:14">
      <c r="A535" t="s">
        <v>726</v>
      </c>
      <c r="B535" t="s">
        <v>1749</v>
      </c>
      <c r="C535" t="s">
        <v>1750</v>
      </c>
      <c r="D535" t="s">
        <v>11</v>
      </c>
      <c r="E535" t="s">
        <v>13</v>
      </c>
      <c r="F535" t="s">
        <v>729</v>
      </c>
      <c r="G535" t="s">
        <v>12</v>
      </c>
      <c r="I535" t="s">
        <v>1749</v>
      </c>
      <c r="J535" t="s">
        <v>3483</v>
      </c>
      <c r="K535">
        <v>139.11973607544761</v>
      </c>
      <c r="L535">
        <v>0.19083736234030391</v>
      </c>
      <c r="M535">
        <v>191.29429692056465</v>
      </c>
      <c r="N535">
        <v>210.42372661262112</v>
      </c>
    </row>
    <row r="536" spans="1:14">
      <c r="A536" t="s">
        <v>726</v>
      </c>
      <c r="B536" t="s">
        <v>1751</v>
      </c>
      <c r="C536" t="s">
        <v>1752</v>
      </c>
      <c r="D536" t="s">
        <v>11</v>
      </c>
      <c r="E536" t="s">
        <v>13</v>
      </c>
      <c r="F536" t="s">
        <v>729</v>
      </c>
      <c r="G536" t="s">
        <v>12</v>
      </c>
      <c r="I536" t="s">
        <v>1751</v>
      </c>
      <c r="J536" t="s">
        <v>3484</v>
      </c>
      <c r="K536">
        <v>100.54856515789596</v>
      </c>
      <c r="L536">
        <v>0.21164003782997981</v>
      </c>
      <c r="M536">
        <v>261.42596127375492</v>
      </c>
      <c r="N536">
        <v>287.56855740113042</v>
      </c>
    </row>
    <row r="537" spans="1:14">
      <c r="A537" t="s">
        <v>726</v>
      </c>
      <c r="B537" t="s">
        <v>1753</v>
      </c>
      <c r="C537" t="s">
        <v>1754</v>
      </c>
      <c r="D537" t="s">
        <v>11</v>
      </c>
      <c r="E537" t="s">
        <v>13</v>
      </c>
      <c r="F537" t="s">
        <v>729</v>
      </c>
      <c r="G537" t="s">
        <v>12</v>
      </c>
      <c r="I537" t="s">
        <v>1753</v>
      </c>
      <c r="J537" t="s">
        <v>3485</v>
      </c>
      <c r="K537">
        <v>318.81012099496667</v>
      </c>
      <c r="L537">
        <v>0.21015806431480399</v>
      </c>
      <c r="M537">
        <v>317.63698591473542</v>
      </c>
      <c r="N537">
        <v>349.40068450620896</v>
      </c>
    </row>
    <row r="538" spans="1:14">
      <c r="A538" t="s">
        <v>726</v>
      </c>
      <c r="B538" t="s">
        <v>1755</v>
      </c>
      <c r="C538" t="s">
        <v>1756</v>
      </c>
      <c r="D538" t="s">
        <v>11</v>
      </c>
      <c r="E538" t="s">
        <v>13</v>
      </c>
      <c r="F538" t="s">
        <v>729</v>
      </c>
      <c r="G538" t="s">
        <v>12</v>
      </c>
      <c r="I538" t="s">
        <v>1755</v>
      </c>
      <c r="J538" t="s">
        <v>3486</v>
      </c>
      <c r="K538">
        <v>223.4176902713873</v>
      </c>
      <c r="L538">
        <v>0.22442251781007949</v>
      </c>
      <c r="M538">
        <v>240.68717188309671</v>
      </c>
      <c r="N538">
        <v>264.75588907140639</v>
      </c>
    </row>
    <row r="539" spans="1:14">
      <c r="A539" t="s">
        <v>726</v>
      </c>
      <c r="B539" t="s">
        <v>1757</v>
      </c>
      <c r="C539" t="s">
        <v>1746</v>
      </c>
      <c r="D539" t="s">
        <v>11</v>
      </c>
      <c r="E539" t="s">
        <v>13</v>
      </c>
      <c r="F539" t="s">
        <v>729</v>
      </c>
      <c r="G539" t="s">
        <v>12</v>
      </c>
      <c r="I539" t="s">
        <v>1757</v>
      </c>
      <c r="J539" t="s">
        <v>3487</v>
      </c>
      <c r="K539">
        <v>81.172063509782234</v>
      </c>
      <c r="L539">
        <v>0.17040819073403859</v>
      </c>
      <c r="M539">
        <v>256.52659036014961</v>
      </c>
      <c r="N539">
        <v>282.17924939616461</v>
      </c>
    </row>
    <row r="540" spans="1:14">
      <c r="A540" t="s">
        <v>726</v>
      </c>
      <c r="B540" t="s">
        <v>1758</v>
      </c>
      <c r="C540" t="s">
        <v>1759</v>
      </c>
      <c r="D540" t="s">
        <v>11</v>
      </c>
      <c r="E540" t="s">
        <v>13</v>
      </c>
      <c r="F540" t="s">
        <v>729</v>
      </c>
      <c r="G540" t="s">
        <v>12</v>
      </c>
      <c r="I540" t="s">
        <v>1758</v>
      </c>
      <c r="J540" t="s">
        <v>3488</v>
      </c>
      <c r="K540">
        <v>101.96920253622808</v>
      </c>
      <c r="L540">
        <v>0.16763919034267499</v>
      </c>
      <c r="M540">
        <v>279.94684370597247</v>
      </c>
      <c r="N540">
        <v>307.94152807656974</v>
      </c>
    </row>
    <row r="541" spans="1:14">
      <c r="A541" t="s">
        <v>726</v>
      </c>
      <c r="B541" t="s">
        <v>1760</v>
      </c>
      <c r="C541" t="s">
        <v>1761</v>
      </c>
      <c r="D541" t="s">
        <v>11</v>
      </c>
      <c r="E541" t="s">
        <v>13</v>
      </c>
      <c r="F541" t="s">
        <v>729</v>
      </c>
      <c r="G541" t="s">
        <v>12</v>
      </c>
      <c r="I541" t="s">
        <v>1760</v>
      </c>
      <c r="J541" t="s">
        <v>3489</v>
      </c>
      <c r="K541">
        <v>210.94705746970746</v>
      </c>
      <c r="L541">
        <v>0.2227584320543782</v>
      </c>
      <c r="M541">
        <v>178.6628538759314</v>
      </c>
      <c r="N541">
        <v>196.52913926352457</v>
      </c>
    </row>
    <row r="542" spans="1:14">
      <c r="A542" t="s">
        <v>726</v>
      </c>
      <c r="B542" t="s">
        <v>1762</v>
      </c>
      <c r="C542" t="s">
        <v>1763</v>
      </c>
      <c r="D542" t="s">
        <v>11</v>
      </c>
      <c r="E542" t="s">
        <v>13</v>
      </c>
      <c r="F542" t="s">
        <v>729</v>
      </c>
      <c r="G542" t="s">
        <v>12</v>
      </c>
      <c r="I542" t="s">
        <v>1762</v>
      </c>
      <c r="J542" t="s">
        <v>3490</v>
      </c>
      <c r="K542">
        <v>289.84965780501159</v>
      </c>
      <c r="L542">
        <v>0.19603354743337631</v>
      </c>
      <c r="M542">
        <v>363.80120911246269</v>
      </c>
      <c r="N542">
        <v>400.18133002370899</v>
      </c>
    </row>
    <row r="543" spans="1:14">
      <c r="A543" t="s">
        <v>726</v>
      </c>
      <c r="B543" t="s">
        <v>1764</v>
      </c>
      <c r="C543" t="s">
        <v>1765</v>
      </c>
      <c r="D543" t="s">
        <v>11</v>
      </c>
      <c r="E543" t="s">
        <v>13</v>
      </c>
      <c r="F543" t="s">
        <v>729</v>
      </c>
      <c r="G543" t="s">
        <v>12</v>
      </c>
      <c r="I543" t="s">
        <v>1764</v>
      </c>
      <c r="J543" t="s">
        <v>3491</v>
      </c>
      <c r="K543">
        <v>206.86266595687243</v>
      </c>
      <c r="L543">
        <v>0.1976723724954228</v>
      </c>
      <c r="M543">
        <v>248.98048349865735</v>
      </c>
      <c r="N543">
        <v>273.8785318485231</v>
      </c>
    </row>
    <row r="544" spans="1:14">
      <c r="A544" t="s">
        <v>726</v>
      </c>
      <c r="B544" t="s">
        <v>1766</v>
      </c>
      <c r="C544" t="s">
        <v>1767</v>
      </c>
      <c r="D544" t="s">
        <v>11</v>
      </c>
      <c r="E544" t="s">
        <v>13</v>
      </c>
      <c r="F544" t="s">
        <v>729</v>
      </c>
      <c r="G544" t="s">
        <v>12</v>
      </c>
      <c r="I544" t="s">
        <v>1766</v>
      </c>
      <c r="J544" t="s">
        <v>3492</v>
      </c>
      <c r="K544">
        <v>465.6548417622235</v>
      </c>
      <c r="L544">
        <v>0.20551659772339881</v>
      </c>
      <c r="M544">
        <v>339.77188533393132</v>
      </c>
      <c r="N544">
        <v>373.74907386732451</v>
      </c>
    </row>
    <row r="545" spans="1:14">
      <c r="A545" t="s">
        <v>726</v>
      </c>
      <c r="B545" t="s">
        <v>1768</v>
      </c>
      <c r="C545" t="s">
        <v>1769</v>
      </c>
      <c r="D545" t="s">
        <v>11</v>
      </c>
      <c r="E545" t="s">
        <v>13</v>
      </c>
      <c r="F545" t="s">
        <v>729</v>
      </c>
      <c r="G545" t="s">
        <v>12</v>
      </c>
      <c r="I545" t="s">
        <v>1768</v>
      </c>
      <c r="J545" t="s">
        <v>3493</v>
      </c>
      <c r="K545">
        <v>3.3002742904993783</v>
      </c>
      <c r="L545">
        <v>0.23564485290490619</v>
      </c>
      <c r="M545">
        <v>364.38131508515642</v>
      </c>
      <c r="N545">
        <v>400.81944659367207</v>
      </c>
    </row>
    <row r="546" spans="1:14">
      <c r="A546" t="s">
        <v>726</v>
      </c>
      <c r="B546" t="s">
        <v>1770</v>
      </c>
      <c r="C546" t="s">
        <v>1771</v>
      </c>
      <c r="D546" t="s">
        <v>11</v>
      </c>
      <c r="E546" t="s">
        <v>13</v>
      </c>
      <c r="F546" t="s">
        <v>729</v>
      </c>
      <c r="G546" t="s">
        <v>12</v>
      </c>
      <c r="I546" t="s">
        <v>1770</v>
      </c>
      <c r="J546" t="s">
        <v>3494</v>
      </c>
      <c r="K546">
        <v>47.857703752481079</v>
      </c>
      <c r="L546">
        <v>0.2509127305538339</v>
      </c>
      <c r="M546">
        <v>142.81205785314165</v>
      </c>
      <c r="N546">
        <v>157.09326363845582</v>
      </c>
    </row>
    <row r="547" spans="1:14">
      <c r="A547" t="s">
        <v>726</v>
      </c>
      <c r="B547" t="s">
        <v>1772</v>
      </c>
      <c r="C547" t="s">
        <v>1773</v>
      </c>
      <c r="D547" t="s">
        <v>11</v>
      </c>
      <c r="E547" t="s">
        <v>13</v>
      </c>
      <c r="F547" t="s">
        <v>729</v>
      </c>
      <c r="G547" t="s">
        <v>12</v>
      </c>
      <c r="I547" t="s">
        <v>1772</v>
      </c>
      <c r="J547" t="s">
        <v>3495</v>
      </c>
      <c r="K547">
        <v>23.406311490485322</v>
      </c>
      <c r="L547">
        <v>0.23220065302465381</v>
      </c>
      <c r="M547">
        <v>79.151770753551943</v>
      </c>
      <c r="N547">
        <v>87.066947828907146</v>
      </c>
    </row>
    <row r="548" spans="1:14">
      <c r="A548" t="s">
        <v>726</v>
      </c>
      <c r="B548" t="s">
        <v>1774</v>
      </c>
      <c r="C548" t="s">
        <v>1775</v>
      </c>
      <c r="D548" t="s">
        <v>11</v>
      </c>
      <c r="E548" t="s">
        <v>13</v>
      </c>
      <c r="F548" t="s">
        <v>729</v>
      </c>
      <c r="G548" t="s">
        <v>12</v>
      </c>
      <c r="I548" t="s">
        <v>1774</v>
      </c>
      <c r="J548" t="s">
        <v>3496</v>
      </c>
      <c r="K548">
        <v>62.323053179205402</v>
      </c>
      <c r="L548">
        <v>0.24288521347762049</v>
      </c>
      <c r="M548">
        <v>112.3359854133588</v>
      </c>
      <c r="N548">
        <v>123.56958395469469</v>
      </c>
    </row>
    <row r="549" spans="1:14">
      <c r="A549" t="s">
        <v>726</v>
      </c>
      <c r="B549" t="s">
        <v>1776</v>
      </c>
      <c r="C549" t="s">
        <v>1777</v>
      </c>
      <c r="D549" t="s">
        <v>11</v>
      </c>
      <c r="E549" t="s">
        <v>13</v>
      </c>
      <c r="F549" t="s">
        <v>729</v>
      </c>
      <c r="G549" t="s">
        <v>12</v>
      </c>
      <c r="I549" t="s">
        <v>1776</v>
      </c>
      <c r="J549" t="s">
        <v>3497</v>
      </c>
      <c r="K549">
        <v>76.505092605157159</v>
      </c>
      <c r="L549">
        <v>0.22327130460763919</v>
      </c>
      <c r="M549">
        <v>253.00689642846507</v>
      </c>
      <c r="N549">
        <v>278.30758607131162</v>
      </c>
    </row>
    <row r="550" spans="1:14">
      <c r="A550" t="s">
        <v>726</v>
      </c>
      <c r="B550" t="s">
        <v>1778</v>
      </c>
      <c r="C550" t="s">
        <v>1779</v>
      </c>
      <c r="D550" t="s">
        <v>11</v>
      </c>
      <c r="E550" t="s">
        <v>13</v>
      </c>
      <c r="F550" t="s">
        <v>729</v>
      </c>
      <c r="G550" t="s">
        <v>12</v>
      </c>
      <c r="I550" t="s">
        <v>1778</v>
      </c>
      <c r="J550" t="s">
        <v>3498</v>
      </c>
      <c r="K550">
        <v>26.074858838461928</v>
      </c>
      <c r="L550">
        <v>0.22530569151020149</v>
      </c>
      <c r="M550">
        <v>116.13878606707216</v>
      </c>
      <c r="N550">
        <v>127.75266467377939</v>
      </c>
    </row>
    <row r="551" spans="1:14">
      <c r="A551" t="s">
        <v>726</v>
      </c>
      <c r="B551" t="s">
        <v>1780</v>
      </c>
      <c r="C551" t="s">
        <v>1781</v>
      </c>
      <c r="D551" t="s">
        <v>11</v>
      </c>
      <c r="E551" t="s">
        <v>13</v>
      </c>
      <c r="F551" t="s">
        <v>729</v>
      </c>
      <c r="G551" t="s">
        <v>12</v>
      </c>
      <c r="I551" t="s">
        <v>1780</v>
      </c>
      <c r="J551" t="s">
        <v>3499</v>
      </c>
      <c r="K551">
        <v>41.327086897542721</v>
      </c>
      <c r="L551">
        <v>0.22521118025117401</v>
      </c>
      <c r="M551">
        <v>175.92519715228565</v>
      </c>
      <c r="N551">
        <v>193.51771686751422</v>
      </c>
    </row>
    <row r="552" spans="1:14">
      <c r="A552" t="s">
        <v>726</v>
      </c>
      <c r="B552" t="s">
        <v>1782</v>
      </c>
      <c r="C552" t="s">
        <v>1783</v>
      </c>
      <c r="D552" t="s">
        <v>11</v>
      </c>
      <c r="E552" t="s">
        <v>13</v>
      </c>
      <c r="F552" t="s">
        <v>729</v>
      </c>
      <c r="G552" t="s">
        <v>12</v>
      </c>
      <c r="I552" t="s">
        <v>1782</v>
      </c>
      <c r="J552" t="s">
        <v>3500</v>
      </c>
      <c r="K552">
        <v>55.081163286998141</v>
      </c>
      <c r="L552">
        <v>0.24357056897552851</v>
      </c>
      <c r="M552">
        <v>168.40953975449241</v>
      </c>
      <c r="N552">
        <v>185.25049372994167</v>
      </c>
    </row>
    <row r="553" spans="1:14">
      <c r="A553" t="s">
        <v>726</v>
      </c>
      <c r="B553" t="s">
        <v>1784</v>
      </c>
      <c r="C553" t="s">
        <v>1777</v>
      </c>
      <c r="D553" t="s">
        <v>11</v>
      </c>
      <c r="E553" t="s">
        <v>13</v>
      </c>
      <c r="F553" t="s">
        <v>729</v>
      </c>
      <c r="G553" t="s">
        <v>12</v>
      </c>
      <c r="I553" t="s">
        <v>1784</v>
      </c>
      <c r="J553" t="s">
        <v>3501</v>
      </c>
      <c r="K553">
        <v>44.935940745510948</v>
      </c>
      <c r="L553">
        <v>0.22636458450104921</v>
      </c>
      <c r="M553">
        <v>199.2764681287245</v>
      </c>
      <c r="N553">
        <v>219.20411494159697</v>
      </c>
    </row>
    <row r="554" spans="1:14">
      <c r="A554" t="s">
        <v>726</v>
      </c>
      <c r="B554" t="s">
        <v>1785</v>
      </c>
      <c r="C554" t="s">
        <v>1786</v>
      </c>
      <c r="D554" t="s">
        <v>11</v>
      </c>
      <c r="E554" t="s">
        <v>13</v>
      </c>
      <c r="F554" t="s">
        <v>729</v>
      </c>
      <c r="G554" t="s">
        <v>12</v>
      </c>
      <c r="I554" t="s">
        <v>1785</v>
      </c>
      <c r="J554" t="s">
        <v>3502</v>
      </c>
      <c r="K554">
        <v>7.8907449922075754</v>
      </c>
      <c r="L554">
        <v>0.2335806422535161</v>
      </c>
      <c r="M554">
        <v>72.328336627825124</v>
      </c>
      <c r="N554">
        <v>79.561170290607649</v>
      </c>
    </row>
    <row r="555" spans="1:14">
      <c r="A555" t="s">
        <v>726</v>
      </c>
      <c r="B555" t="s">
        <v>1787</v>
      </c>
      <c r="C555" t="s">
        <v>1788</v>
      </c>
      <c r="D555" t="s">
        <v>11</v>
      </c>
      <c r="E555" t="s">
        <v>13</v>
      </c>
      <c r="F555" t="s">
        <v>729</v>
      </c>
      <c r="G555" t="s">
        <v>12</v>
      </c>
      <c r="I555" t="s">
        <v>1787</v>
      </c>
      <c r="J555" t="s">
        <v>3503</v>
      </c>
      <c r="K555">
        <v>16.486274217559274</v>
      </c>
      <c r="L555">
        <v>0.22712445659502151</v>
      </c>
      <c r="M555">
        <v>30.873696293590957</v>
      </c>
      <c r="N555">
        <v>33.961065922950056</v>
      </c>
    </row>
    <row r="556" spans="1:14">
      <c r="A556" t="s">
        <v>726</v>
      </c>
      <c r="B556" t="s">
        <v>1789</v>
      </c>
      <c r="C556" t="s">
        <v>1790</v>
      </c>
      <c r="D556" t="s">
        <v>11</v>
      </c>
      <c r="E556" t="s">
        <v>13</v>
      </c>
      <c r="F556" t="s">
        <v>729</v>
      </c>
      <c r="G556" t="s">
        <v>12</v>
      </c>
      <c r="I556" t="s">
        <v>1789</v>
      </c>
      <c r="J556" t="s">
        <v>3504</v>
      </c>
      <c r="K556">
        <v>33.786538115871572</v>
      </c>
      <c r="L556">
        <v>0.22631930152097299</v>
      </c>
      <c r="M556">
        <v>56.020390658609799</v>
      </c>
      <c r="N556">
        <v>61.622429724470784</v>
      </c>
    </row>
    <row r="557" spans="1:14">
      <c r="A557" t="s">
        <v>726</v>
      </c>
      <c r="B557" t="s">
        <v>1791</v>
      </c>
      <c r="C557" t="s">
        <v>1792</v>
      </c>
      <c r="D557" t="s">
        <v>11</v>
      </c>
      <c r="E557" t="s">
        <v>13</v>
      </c>
      <c r="F557" t="s">
        <v>729</v>
      </c>
      <c r="G557" t="s">
        <v>12</v>
      </c>
      <c r="I557" t="s">
        <v>1791</v>
      </c>
      <c r="J557" t="s">
        <v>3505</v>
      </c>
      <c r="K557">
        <v>8.5450359739726345</v>
      </c>
      <c r="L557">
        <v>0.25067495572736009</v>
      </c>
      <c r="M557">
        <v>87.692101186961253</v>
      </c>
      <c r="N557">
        <v>96.461311305657389</v>
      </c>
    </row>
    <row r="558" spans="1:14">
      <c r="A558" t="s">
        <v>726</v>
      </c>
      <c r="B558" t="s">
        <v>1793</v>
      </c>
      <c r="C558" t="s">
        <v>1794</v>
      </c>
      <c r="D558" t="s">
        <v>11</v>
      </c>
      <c r="E558" t="s">
        <v>13</v>
      </c>
      <c r="F558" t="s">
        <v>729</v>
      </c>
      <c r="G558" t="s">
        <v>12</v>
      </c>
      <c r="I558" t="s">
        <v>1793</v>
      </c>
      <c r="J558" t="s">
        <v>3506</v>
      </c>
      <c r="K558">
        <v>12.536417857567709</v>
      </c>
      <c r="L558">
        <v>0.24772656026229009</v>
      </c>
      <c r="M558">
        <v>58.688732271528913</v>
      </c>
      <c r="N558">
        <v>64.557605498681809</v>
      </c>
    </row>
    <row r="559" spans="1:14">
      <c r="A559" t="s">
        <v>726</v>
      </c>
      <c r="B559" t="s">
        <v>1795</v>
      </c>
      <c r="C559" t="s">
        <v>1796</v>
      </c>
      <c r="D559" t="s">
        <v>11</v>
      </c>
      <c r="E559" t="s">
        <v>13</v>
      </c>
      <c r="F559" t="s">
        <v>729</v>
      </c>
      <c r="G559" t="s">
        <v>12</v>
      </c>
      <c r="I559" t="s">
        <v>1795</v>
      </c>
      <c r="J559" t="s">
        <v>3507</v>
      </c>
      <c r="K559">
        <v>15.692577998699496</v>
      </c>
      <c r="L559">
        <v>0.20225837235430871</v>
      </c>
      <c r="M559">
        <v>106.43934290841732</v>
      </c>
      <c r="N559">
        <v>117.08327719925906</v>
      </c>
    </row>
    <row r="560" spans="1:14">
      <c r="A560" t="s">
        <v>726</v>
      </c>
      <c r="B560" t="s">
        <v>1797</v>
      </c>
      <c r="C560" t="s">
        <v>1798</v>
      </c>
      <c r="D560" t="s">
        <v>11</v>
      </c>
      <c r="E560" t="s">
        <v>13</v>
      </c>
      <c r="F560" t="s">
        <v>729</v>
      </c>
      <c r="G560" t="s">
        <v>12</v>
      </c>
      <c r="I560" t="s">
        <v>1797</v>
      </c>
      <c r="J560" t="s">
        <v>3508</v>
      </c>
      <c r="K560">
        <v>43.574417999715727</v>
      </c>
      <c r="L560">
        <v>0.20031726250335419</v>
      </c>
      <c r="M560">
        <v>52.185366417144806</v>
      </c>
      <c r="N560">
        <v>57.403903058859292</v>
      </c>
    </row>
    <row r="561" spans="1:14">
      <c r="A561" t="s">
        <v>726</v>
      </c>
      <c r="B561" t="s">
        <v>1799</v>
      </c>
      <c r="C561" t="s">
        <v>1800</v>
      </c>
      <c r="D561" t="s">
        <v>11</v>
      </c>
      <c r="E561" t="s">
        <v>13</v>
      </c>
      <c r="F561" t="s">
        <v>729</v>
      </c>
      <c r="G561" t="s">
        <v>12</v>
      </c>
      <c r="I561" t="s">
        <v>1799</v>
      </c>
      <c r="J561" t="s">
        <v>3509</v>
      </c>
      <c r="K561">
        <v>8.7997158315636703</v>
      </c>
      <c r="L561">
        <v>0.19427724120672579</v>
      </c>
      <c r="M561">
        <v>236.54788124635871</v>
      </c>
      <c r="N561">
        <v>260.20266937099461</v>
      </c>
    </row>
    <row r="562" spans="1:14">
      <c r="A562" t="s">
        <v>726</v>
      </c>
      <c r="B562" t="s">
        <v>1801</v>
      </c>
      <c r="C562" t="s">
        <v>1802</v>
      </c>
      <c r="D562" t="s">
        <v>11</v>
      </c>
      <c r="E562" t="s">
        <v>13</v>
      </c>
      <c r="F562" t="s">
        <v>729</v>
      </c>
      <c r="G562" t="s">
        <v>12</v>
      </c>
      <c r="I562" t="s">
        <v>1801</v>
      </c>
      <c r="J562" t="s">
        <v>3510</v>
      </c>
      <c r="K562">
        <v>2.3441042721550769</v>
      </c>
      <c r="L562">
        <v>0.187889836407511</v>
      </c>
      <c r="M562">
        <v>133.42173518937852</v>
      </c>
      <c r="N562">
        <v>146.76390870831639</v>
      </c>
    </row>
    <row r="563" spans="1:14">
      <c r="A563" t="s">
        <v>726</v>
      </c>
      <c r="B563" t="s">
        <v>1803</v>
      </c>
      <c r="C563" t="s">
        <v>1804</v>
      </c>
      <c r="D563" t="s">
        <v>11</v>
      </c>
      <c r="E563" t="s">
        <v>13</v>
      </c>
      <c r="F563" t="s">
        <v>729</v>
      </c>
      <c r="G563" t="s">
        <v>12</v>
      </c>
      <c r="I563" t="s">
        <v>1803</v>
      </c>
      <c r="J563" t="s">
        <v>3511</v>
      </c>
      <c r="K563">
        <v>20.140695854497704</v>
      </c>
      <c r="L563">
        <v>0.2044159530178801</v>
      </c>
      <c r="M563">
        <v>97.859552242276877</v>
      </c>
      <c r="N563">
        <v>107.64550746650457</v>
      </c>
    </row>
    <row r="564" spans="1:14">
      <c r="A564" t="s">
        <v>726</v>
      </c>
      <c r="B564" t="s">
        <v>1805</v>
      </c>
      <c r="C564" t="s">
        <v>1806</v>
      </c>
      <c r="D564" t="s">
        <v>11</v>
      </c>
      <c r="E564" t="s">
        <v>13</v>
      </c>
      <c r="F564" t="s">
        <v>729</v>
      </c>
      <c r="G564" t="s">
        <v>12</v>
      </c>
      <c r="I564" t="s">
        <v>1805</v>
      </c>
      <c r="J564" t="s">
        <v>3512</v>
      </c>
      <c r="K564">
        <v>43.23609477454297</v>
      </c>
      <c r="L564">
        <v>0.2013482912504542</v>
      </c>
      <c r="M564">
        <v>86.873189109167143</v>
      </c>
      <c r="N564">
        <v>95.560508020083859</v>
      </c>
    </row>
    <row r="565" spans="1:14">
      <c r="A565" t="s">
        <v>726</v>
      </c>
      <c r="B565" t="s">
        <v>1807</v>
      </c>
      <c r="C565" t="s">
        <v>1808</v>
      </c>
      <c r="D565" t="s">
        <v>11</v>
      </c>
      <c r="E565" t="s">
        <v>13</v>
      </c>
      <c r="F565" t="s">
        <v>729</v>
      </c>
      <c r="G565" t="s">
        <v>12</v>
      </c>
      <c r="I565" t="s">
        <v>1807</v>
      </c>
      <c r="J565" t="s">
        <v>3513</v>
      </c>
      <c r="K565">
        <v>14.129393578621286</v>
      </c>
      <c r="L565">
        <v>0.19435623041682079</v>
      </c>
      <c r="M565">
        <v>48.244142052771082</v>
      </c>
      <c r="N565">
        <v>53.068556258048197</v>
      </c>
    </row>
    <row r="566" spans="1:14">
      <c r="A566" t="s">
        <v>726</v>
      </c>
      <c r="B566" t="s">
        <v>1809</v>
      </c>
      <c r="C566" t="s">
        <v>1810</v>
      </c>
      <c r="D566" t="s">
        <v>11</v>
      </c>
      <c r="E566" t="s">
        <v>13</v>
      </c>
      <c r="F566" t="s">
        <v>729</v>
      </c>
      <c r="G566" t="s">
        <v>12</v>
      </c>
      <c r="I566" t="s">
        <v>1809</v>
      </c>
      <c r="J566" t="s">
        <v>3514</v>
      </c>
      <c r="K566">
        <v>19.59649067965832</v>
      </c>
      <c r="L566">
        <v>0.19280171133255569</v>
      </c>
      <c r="M566">
        <v>48.962981697724167</v>
      </c>
      <c r="N566">
        <v>53.859279867496589</v>
      </c>
    </row>
    <row r="567" spans="1:14">
      <c r="A567" t="s">
        <v>726</v>
      </c>
      <c r="B567" t="s">
        <v>1811</v>
      </c>
      <c r="C567" t="s">
        <v>1812</v>
      </c>
      <c r="D567" t="s">
        <v>11</v>
      </c>
      <c r="E567" t="s">
        <v>13</v>
      </c>
      <c r="F567" t="s">
        <v>729</v>
      </c>
      <c r="G567" t="s">
        <v>12</v>
      </c>
      <c r="I567" t="s">
        <v>1811</v>
      </c>
      <c r="J567" t="s">
        <v>3515</v>
      </c>
      <c r="K567">
        <v>7.6041294945768216</v>
      </c>
      <c r="L567">
        <v>0.19589859665598261</v>
      </c>
      <c r="M567">
        <v>82.894994033224691</v>
      </c>
      <c r="N567">
        <v>91.184493436547172</v>
      </c>
    </row>
    <row r="568" spans="1:14">
      <c r="A568" t="s">
        <v>726</v>
      </c>
      <c r="B568" t="s">
        <v>1813</v>
      </c>
      <c r="C568" t="s">
        <v>1814</v>
      </c>
      <c r="D568" t="s">
        <v>11</v>
      </c>
      <c r="E568" t="s">
        <v>13</v>
      </c>
      <c r="F568" t="s">
        <v>729</v>
      </c>
      <c r="G568" t="s">
        <v>12</v>
      </c>
      <c r="I568" t="s">
        <v>1813</v>
      </c>
      <c r="J568" t="s">
        <v>3516</v>
      </c>
      <c r="K568">
        <v>9.7276388789899304</v>
      </c>
      <c r="L568">
        <v>0.2048028719906495</v>
      </c>
      <c r="M568">
        <v>48.229908669464969</v>
      </c>
      <c r="N568">
        <v>53.052899536411473</v>
      </c>
    </row>
    <row r="569" spans="1:14">
      <c r="A569" t="s">
        <v>726</v>
      </c>
      <c r="B569" t="s">
        <v>1815</v>
      </c>
      <c r="C569" t="s">
        <v>1816</v>
      </c>
      <c r="D569" t="s">
        <v>11</v>
      </c>
      <c r="E569" t="s">
        <v>13</v>
      </c>
      <c r="F569" t="s">
        <v>729</v>
      </c>
      <c r="G569" t="s">
        <v>12</v>
      </c>
      <c r="I569" t="s">
        <v>1815</v>
      </c>
      <c r="J569" t="s">
        <v>3517</v>
      </c>
      <c r="K569">
        <v>13.503026282598809</v>
      </c>
      <c r="L569">
        <v>0.1973800864242703</v>
      </c>
      <c r="M569">
        <v>69.665869937429918</v>
      </c>
      <c r="N569">
        <v>76.632456931172911</v>
      </c>
    </row>
    <row r="570" spans="1:14">
      <c r="A570" t="s">
        <v>726</v>
      </c>
      <c r="B570" t="s">
        <v>1817</v>
      </c>
      <c r="C570" t="s">
        <v>1818</v>
      </c>
      <c r="D570" t="s">
        <v>11</v>
      </c>
      <c r="E570" t="s">
        <v>13</v>
      </c>
      <c r="F570" t="s">
        <v>729</v>
      </c>
      <c r="G570" t="s">
        <v>12</v>
      </c>
      <c r="I570" t="s">
        <v>1817</v>
      </c>
      <c r="J570" t="s">
        <v>3518</v>
      </c>
      <c r="K570">
        <v>9.5352182945746016</v>
      </c>
      <c r="L570">
        <v>0.25660870001321018</v>
      </c>
      <c r="M570">
        <v>40.91504894487219</v>
      </c>
      <c r="N570">
        <v>45.006553839359412</v>
      </c>
    </row>
    <row r="571" spans="1:14">
      <c r="A571" t="s">
        <v>726</v>
      </c>
      <c r="B571" t="s">
        <v>1819</v>
      </c>
      <c r="C571" t="s">
        <v>1820</v>
      </c>
      <c r="D571" t="s">
        <v>11</v>
      </c>
      <c r="E571" t="s">
        <v>13</v>
      </c>
      <c r="F571" t="s">
        <v>729</v>
      </c>
      <c r="G571" t="s">
        <v>12</v>
      </c>
      <c r="I571" t="s">
        <v>1819</v>
      </c>
      <c r="J571" t="s">
        <v>3519</v>
      </c>
      <c r="K571">
        <v>18.023981190994228</v>
      </c>
      <c r="L571">
        <v>0.2610433340060182</v>
      </c>
      <c r="M571">
        <v>76.275734232356186</v>
      </c>
      <c r="N571">
        <v>83.903307655591817</v>
      </c>
    </row>
    <row r="572" spans="1:14">
      <c r="A572" t="s">
        <v>726</v>
      </c>
      <c r="B572" t="s">
        <v>1821</v>
      </c>
      <c r="C572" t="s">
        <v>1822</v>
      </c>
      <c r="D572" t="s">
        <v>11</v>
      </c>
      <c r="E572" t="s">
        <v>13</v>
      </c>
      <c r="F572" t="s">
        <v>729</v>
      </c>
      <c r="G572" t="s">
        <v>12</v>
      </c>
      <c r="I572" t="s">
        <v>1821</v>
      </c>
      <c r="J572" t="s">
        <v>3520</v>
      </c>
      <c r="K572">
        <v>0.2674697098404466</v>
      </c>
      <c r="L572">
        <v>0.16782130527034139</v>
      </c>
      <c r="M572">
        <v>129.10711394094133</v>
      </c>
      <c r="N572">
        <v>142.01782533503547</v>
      </c>
    </row>
    <row r="573" spans="1:14">
      <c r="A573" t="s">
        <v>726</v>
      </c>
      <c r="B573" t="s">
        <v>1823</v>
      </c>
      <c r="C573" t="s">
        <v>1824</v>
      </c>
      <c r="D573" t="s">
        <v>11</v>
      </c>
      <c r="E573" t="s">
        <v>13</v>
      </c>
      <c r="F573" t="s">
        <v>729</v>
      </c>
      <c r="G573" t="s">
        <v>12</v>
      </c>
      <c r="I573" t="s">
        <v>1823</v>
      </c>
      <c r="J573" t="s">
        <v>3521</v>
      </c>
      <c r="K573">
        <v>17.253366958628384</v>
      </c>
      <c r="L573">
        <v>0.19948051522789181</v>
      </c>
      <c r="M573">
        <v>66.999520171247923</v>
      </c>
      <c r="N573">
        <v>73.699472188372724</v>
      </c>
    </row>
    <row r="574" spans="1:14">
      <c r="A574" t="s">
        <v>726</v>
      </c>
      <c r="B574" t="s">
        <v>1825</v>
      </c>
      <c r="C574" t="s">
        <v>1826</v>
      </c>
      <c r="D574" t="s">
        <v>11</v>
      </c>
      <c r="E574" t="s">
        <v>13</v>
      </c>
      <c r="F574" t="s">
        <v>729</v>
      </c>
      <c r="G574" t="s">
        <v>12</v>
      </c>
      <c r="I574" t="s">
        <v>1825</v>
      </c>
      <c r="J574" t="s">
        <v>3522</v>
      </c>
      <c r="K574">
        <v>18.435153566443208</v>
      </c>
      <c r="L574">
        <v>0.19481161346705439</v>
      </c>
      <c r="M574">
        <v>72.333491433007111</v>
      </c>
      <c r="N574">
        <v>79.566840576307825</v>
      </c>
    </row>
    <row r="575" spans="1:14">
      <c r="A575" t="s">
        <v>726</v>
      </c>
      <c r="B575" t="s">
        <v>1827</v>
      </c>
      <c r="C575" t="s">
        <v>1828</v>
      </c>
      <c r="D575" t="s">
        <v>11</v>
      </c>
      <c r="E575" t="s">
        <v>13</v>
      </c>
      <c r="F575" t="s">
        <v>729</v>
      </c>
      <c r="G575" t="s">
        <v>12</v>
      </c>
      <c r="I575" t="s">
        <v>1827</v>
      </c>
      <c r="J575" t="s">
        <v>3523</v>
      </c>
      <c r="K575">
        <v>0.34265698920544302</v>
      </c>
      <c r="L575">
        <v>0.1678582995992271</v>
      </c>
      <c r="M575">
        <v>149.93677842345261</v>
      </c>
      <c r="N575">
        <v>164.93045626579789</v>
      </c>
    </row>
    <row r="576" spans="1:14">
      <c r="A576" t="s">
        <v>726</v>
      </c>
      <c r="B576" t="s">
        <v>1829</v>
      </c>
      <c r="C576" t="s">
        <v>1830</v>
      </c>
      <c r="D576" t="s">
        <v>11</v>
      </c>
      <c r="E576" t="s">
        <v>13</v>
      </c>
      <c r="F576" t="s">
        <v>729</v>
      </c>
      <c r="G576" t="s">
        <v>12</v>
      </c>
      <c r="I576" t="s">
        <v>1829</v>
      </c>
      <c r="J576" t="s">
        <v>3524</v>
      </c>
      <c r="K576">
        <v>31.525915972791339</v>
      </c>
      <c r="L576">
        <v>0.19758694890938741</v>
      </c>
      <c r="M576">
        <v>86.189386425586804</v>
      </c>
      <c r="N576">
        <v>94.808325068145493</v>
      </c>
    </row>
    <row r="577" spans="1:14">
      <c r="A577" t="s">
        <v>726</v>
      </c>
      <c r="B577" t="s">
        <v>1831</v>
      </c>
      <c r="C577" t="s">
        <v>1832</v>
      </c>
      <c r="D577" t="s">
        <v>11</v>
      </c>
      <c r="E577" t="s">
        <v>13</v>
      </c>
      <c r="F577" t="s">
        <v>729</v>
      </c>
      <c r="G577" t="s">
        <v>12</v>
      </c>
      <c r="I577" t="s">
        <v>1831</v>
      </c>
      <c r="J577" t="s">
        <v>3525</v>
      </c>
      <c r="K577">
        <v>5.7112993131198158</v>
      </c>
      <c r="L577">
        <v>0.19960561322070061</v>
      </c>
      <c r="M577">
        <v>205.04707763043419</v>
      </c>
      <c r="N577">
        <v>225.55178539347762</v>
      </c>
    </row>
    <row r="578" spans="1:14">
      <c r="A578" t="s">
        <v>726</v>
      </c>
      <c r="B578" t="s">
        <v>1833</v>
      </c>
      <c r="C578" t="s">
        <v>1834</v>
      </c>
      <c r="D578" t="s">
        <v>11</v>
      </c>
      <c r="E578" t="s">
        <v>13</v>
      </c>
      <c r="F578" t="s">
        <v>729</v>
      </c>
      <c r="G578" t="s">
        <v>12</v>
      </c>
      <c r="I578" t="s">
        <v>1833</v>
      </c>
      <c r="J578" t="s">
        <v>3526</v>
      </c>
      <c r="K578">
        <v>1.5217977101713001</v>
      </c>
      <c r="L578">
        <v>0.19174392203620569</v>
      </c>
      <c r="M578">
        <v>90.473128466045097</v>
      </c>
      <c r="N578">
        <v>99.520441312649609</v>
      </c>
    </row>
    <row r="579" spans="1:14">
      <c r="A579" t="s">
        <v>726</v>
      </c>
      <c r="B579" t="s">
        <v>1835</v>
      </c>
      <c r="C579" t="s">
        <v>1836</v>
      </c>
      <c r="D579" t="s">
        <v>11</v>
      </c>
      <c r="E579" t="s">
        <v>13</v>
      </c>
      <c r="F579" t="s">
        <v>729</v>
      </c>
      <c r="G579" t="s">
        <v>12</v>
      </c>
      <c r="I579" t="s">
        <v>1835</v>
      </c>
      <c r="J579" t="s">
        <v>3527</v>
      </c>
      <c r="K579">
        <v>1.4952017520937835</v>
      </c>
      <c r="L579">
        <v>0.25035699928623739</v>
      </c>
      <c r="M579">
        <v>22.774749999109844</v>
      </c>
      <c r="N579">
        <v>25.052224999020829</v>
      </c>
    </row>
    <row r="580" spans="1:14">
      <c r="A580" t="s">
        <v>726</v>
      </c>
      <c r="B580" t="s">
        <v>1837</v>
      </c>
      <c r="C580" t="s">
        <v>1838</v>
      </c>
      <c r="D580" t="s">
        <v>11</v>
      </c>
      <c r="E580" t="s">
        <v>13</v>
      </c>
      <c r="F580" t="s">
        <v>729</v>
      </c>
      <c r="G580" t="s">
        <v>12</v>
      </c>
      <c r="I580" t="s">
        <v>1837</v>
      </c>
      <c r="J580" t="s">
        <v>3528</v>
      </c>
      <c r="K580">
        <v>5.0572198589415303</v>
      </c>
      <c r="L580">
        <v>0.26224152102355991</v>
      </c>
      <c r="M580">
        <v>40.639865165106031</v>
      </c>
      <c r="N580">
        <v>44.703851681616641</v>
      </c>
    </row>
    <row r="581" spans="1:14">
      <c r="A581" t="s">
        <v>726</v>
      </c>
      <c r="B581" t="s">
        <v>1839</v>
      </c>
      <c r="C581" t="s">
        <v>1840</v>
      </c>
      <c r="D581" t="s">
        <v>11</v>
      </c>
      <c r="E581" t="s">
        <v>13</v>
      </c>
      <c r="F581" t="s">
        <v>729</v>
      </c>
      <c r="G581" t="s">
        <v>12</v>
      </c>
      <c r="I581" t="s">
        <v>1839</v>
      </c>
      <c r="J581" t="s">
        <v>3529</v>
      </c>
      <c r="K581">
        <v>6.1714442035957173</v>
      </c>
      <c r="L581">
        <v>0.17106447984221279</v>
      </c>
      <c r="M581">
        <v>147.53489522439733</v>
      </c>
      <c r="N581">
        <v>162.28838474683707</v>
      </c>
    </row>
    <row r="582" spans="1:14">
      <c r="A582" t="s">
        <v>726</v>
      </c>
      <c r="B582" t="s">
        <v>1841</v>
      </c>
      <c r="C582" t="s">
        <v>1842</v>
      </c>
      <c r="D582" t="s">
        <v>11</v>
      </c>
      <c r="E582" t="s">
        <v>13</v>
      </c>
      <c r="F582" t="s">
        <v>729</v>
      </c>
      <c r="G582" t="s">
        <v>12</v>
      </c>
      <c r="I582" t="s">
        <v>1841</v>
      </c>
      <c r="J582" t="s">
        <v>3530</v>
      </c>
      <c r="K582">
        <v>8.090169741226882</v>
      </c>
      <c r="L582">
        <v>0.1747242295351886</v>
      </c>
      <c r="M582">
        <v>216.72043597157665</v>
      </c>
      <c r="N582">
        <v>238.39247956873433</v>
      </c>
    </row>
    <row r="583" spans="1:14">
      <c r="A583" t="s">
        <v>726</v>
      </c>
      <c r="B583" t="s">
        <v>1843</v>
      </c>
      <c r="C583" t="s">
        <v>1844</v>
      </c>
      <c r="D583" t="s">
        <v>11</v>
      </c>
      <c r="E583" t="s">
        <v>13</v>
      </c>
      <c r="F583" t="s">
        <v>729</v>
      </c>
      <c r="G583" t="s">
        <v>12</v>
      </c>
      <c r="I583" t="s">
        <v>1843</v>
      </c>
      <c r="J583" t="s">
        <v>3531</v>
      </c>
      <c r="K583">
        <v>2.2812943951463067</v>
      </c>
      <c r="L583">
        <v>0.16919386665102271</v>
      </c>
      <c r="M583">
        <v>60.615663068500538</v>
      </c>
      <c r="N583">
        <v>66.677229375350592</v>
      </c>
    </row>
    <row r="584" spans="1:14">
      <c r="A584" t="s">
        <v>726</v>
      </c>
      <c r="B584" t="s">
        <v>1845</v>
      </c>
      <c r="C584" t="s">
        <v>1846</v>
      </c>
      <c r="D584" t="s">
        <v>11</v>
      </c>
      <c r="E584" t="s">
        <v>13</v>
      </c>
      <c r="F584" t="s">
        <v>729</v>
      </c>
      <c r="G584" t="s">
        <v>12</v>
      </c>
      <c r="I584" t="s">
        <v>1845</v>
      </c>
      <c r="J584" t="s">
        <v>3532</v>
      </c>
      <c r="K584">
        <v>8.7373698798474759</v>
      </c>
      <c r="L584">
        <v>0.16554249701031579</v>
      </c>
      <c r="M584">
        <v>92.921124753576521</v>
      </c>
      <c r="N584">
        <v>102.21323722893418</v>
      </c>
    </row>
    <row r="585" spans="1:14">
      <c r="A585" t="s">
        <v>726</v>
      </c>
      <c r="B585" t="s">
        <v>1847</v>
      </c>
      <c r="C585" t="s">
        <v>1848</v>
      </c>
      <c r="D585" t="s">
        <v>11</v>
      </c>
      <c r="E585" t="s">
        <v>13</v>
      </c>
      <c r="F585" t="s">
        <v>729</v>
      </c>
      <c r="G585" t="s">
        <v>12</v>
      </c>
      <c r="I585" t="s">
        <v>1847</v>
      </c>
      <c r="J585" t="s">
        <v>3533</v>
      </c>
      <c r="K585">
        <v>325.65203411683711</v>
      </c>
      <c r="L585">
        <v>0.28425324351042441</v>
      </c>
      <c r="M585">
        <v>277.20146923883613</v>
      </c>
      <c r="N585">
        <v>304.92161616271977</v>
      </c>
    </row>
    <row r="586" spans="1:14">
      <c r="A586" t="s">
        <v>726</v>
      </c>
      <c r="B586" t="s">
        <v>1849</v>
      </c>
      <c r="C586" t="s">
        <v>1850</v>
      </c>
      <c r="D586" t="s">
        <v>11</v>
      </c>
      <c r="E586" t="s">
        <v>13</v>
      </c>
      <c r="F586" t="s">
        <v>729</v>
      </c>
      <c r="G586" t="s">
        <v>12</v>
      </c>
      <c r="I586" t="s">
        <v>1849</v>
      </c>
      <c r="J586" t="s">
        <v>3534</v>
      </c>
      <c r="K586">
        <v>69.441951252886469</v>
      </c>
      <c r="L586">
        <v>0.2596448644911637</v>
      </c>
      <c r="M586">
        <v>268.66523603519681</v>
      </c>
      <c r="N586">
        <v>295.53175963871649</v>
      </c>
    </row>
    <row r="587" spans="1:14">
      <c r="A587" t="s">
        <v>726</v>
      </c>
      <c r="B587" t="s">
        <v>1851</v>
      </c>
      <c r="C587" t="s">
        <v>1852</v>
      </c>
      <c r="D587" t="s">
        <v>11</v>
      </c>
      <c r="E587" t="s">
        <v>13</v>
      </c>
      <c r="F587" t="s">
        <v>729</v>
      </c>
      <c r="G587" t="s">
        <v>12</v>
      </c>
      <c r="I587" t="s">
        <v>1851</v>
      </c>
      <c r="J587" t="s">
        <v>3535</v>
      </c>
      <c r="K587">
        <v>149.25244024920462</v>
      </c>
      <c r="L587">
        <v>0.27051910533278162</v>
      </c>
      <c r="M587">
        <v>284.37573647149253</v>
      </c>
      <c r="N587">
        <v>312.81331011864182</v>
      </c>
    </row>
    <row r="588" spans="1:14">
      <c r="A588" t="s">
        <v>726</v>
      </c>
      <c r="B588" t="s">
        <v>1853</v>
      </c>
      <c r="C588" t="s">
        <v>1854</v>
      </c>
      <c r="D588" t="s">
        <v>11</v>
      </c>
      <c r="E588" t="s">
        <v>13</v>
      </c>
      <c r="F588" t="s">
        <v>729</v>
      </c>
      <c r="G588" t="s">
        <v>12</v>
      </c>
      <c r="I588" t="s">
        <v>1853</v>
      </c>
      <c r="J588" t="s">
        <v>3536</v>
      </c>
      <c r="K588">
        <v>122.40665193516296</v>
      </c>
      <c r="L588">
        <v>0.26950984997585881</v>
      </c>
      <c r="M588">
        <v>252.24636829276901</v>
      </c>
      <c r="N588">
        <v>277.47100512204594</v>
      </c>
    </row>
    <row r="589" spans="1:14">
      <c r="A589" t="s">
        <v>726</v>
      </c>
      <c r="B589" t="s">
        <v>1855</v>
      </c>
      <c r="C589" t="s">
        <v>1856</v>
      </c>
      <c r="D589" t="s">
        <v>11</v>
      </c>
      <c r="E589" t="s">
        <v>13</v>
      </c>
      <c r="F589" t="s">
        <v>729</v>
      </c>
      <c r="G589" t="s">
        <v>12</v>
      </c>
      <c r="I589" t="s">
        <v>1855</v>
      </c>
      <c r="J589" t="s">
        <v>3537</v>
      </c>
      <c r="K589">
        <v>79.312967138823126</v>
      </c>
      <c r="L589">
        <v>0.25816605933813641</v>
      </c>
      <c r="M589">
        <v>123.40206352601308</v>
      </c>
      <c r="N589">
        <v>135.74226987861439</v>
      </c>
    </row>
    <row r="590" spans="1:14">
      <c r="A590" t="s">
        <v>726</v>
      </c>
      <c r="B590" t="s">
        <v>1857</v>
      </c>
      <c r="C590" t="s">
        <v>1858</v>
      </c>
      <c r="D590" t="s">
        <v>11</v>
      </c>
      <c r="E590" t="s">
        <v>13</v>
      </c>
      <c r="F590" t="s">
        <v>729</v>
      </c>
      <c r="G590" t="s">
        <v>12</v>
      </c>
      <c r="I590" t="s">
        <v>1857</v>
      </c>
      <c r="J590" t="s">
        <v>3538</v>
      </c>
      <c r="K590">
        <v>313.69423288056191</v>
      </c>
      <c r="L590">
        <v>0.29491922629509582</v>
      </c>
      <c r="M590">
        <v>961.59448403677675</v>
      </c>
      <c r="N590">
        <v>1057.7539324404545</v>
      </c>
    </row>
    <row r="591" spans="1:14">
      <c r="A591" t="s">
        <v>726</v>
      </c>
      <c r="B591" t="s">
        <v>1859</v>
      </c>
      <c r="C591" t="s">
        <v>1848</v>
      </c>
      <c r="D591" t="s">
        <v>11</v>
      </c>
      <c r="E591" t="s">
        <v>13</v>
      </c>
      <c r="F591" t="s">
        <v>729</v>
      </c>
      <c r="G591" t="s">
        <v>12</v>
      </c>
      <c r="I591" t="s">
        <v>1859</v>
      </c>
      <c r="J591" t="s">
        <v>3539</v>
      </c>
      <c r="K591">
        <v>283.95522533286731</v>
      </c>
      <c r="L591">
        <v>0.28458616666093389</v>
      </c>
      <c r="M591">
        <v>543.4141816262146</v>
      </c>
      <c r="N591">
        <v>597.75559978883609</v>
      </c>
    </row>
    <row r="592" spans="1:14">
      <c r="A592" t="s">
        <v>726</v>
      </c>
      <c r="B592" t="s">
        <v>1860</v>
      </c>
      <c r="C592" t="s">
        <v>1861</v>
      </c>
      <c r="D592" t="s">
        <v>11</v>
      </c>
      <c r="E592" t="s">
        <v>13</v>
      </c>
      <c r="F592" t="s">
        <v>729</v>
      </c>
      <c r="G592" t="s">
        <v>12</v>
      </c>
      <c r="I592" t="s">
        <v>1860</v>
      </c>
      <c r="J592" t="s">
        <v>3540</v>
      </c>
      <c r="K592">
        <v>56.326733413332263</v>
      </c>
      <c r="L592">
        <v>0.2651656250549429</v>
      </c>
      <c r="M592">
        <v>342.492255677522</v>
      </c>
      <c r="N592">
        <v>376.7414812452742</v>
      </c>
    </row>
    <row r="593" spans="1:14">
      <c r="A593" t="s">
        <v>726</v>
      </c>
      <c r="B593" t="s">
        <v>1862</v>
      </c>
      <c r="C593" t="s">
        <v>1863</v>
      </c>
      <c r="D593" t="s">
        <v>11</v>
      </c>
      <c r="E593" t="s">
        <v>13</v>
      </c>
      <c r="F593" t="s">
        <v>729</v>
      </c>
      <c r="G593" t="s">
        <v>12</v>
      </c>
      <c r="I593" t="s">
        <v>1862</v>
      </c>
      <c r="J593" t="s">
        <v>3541</v>
      </c>
      <c r="K593">
        <v>103.63464445137936</v>
      </c>
      <c r="L593">
        <v>0.27861529906476018</v>
      </c>
      <c r="M593">
        <v>468.64360252470442</v>
      </c>
      <c r="N593">
        <v>515.50796277717495</v>
      </c>
    </row>
    <row r="594" spans="1:14">
      <c r="A594" t="s">
        <v>726</v>
      </c>
      <c r="B594" t="s">
        <v>1864</v>
      </c>
      <c r="C594" t="s">
        <v>1865</v>
      </c>
      <c r="D594" t="s">
        <v>11</v>
      </c>
      <c r="E594" t="s">
        <v>13</v>
      </c>
      <c r="F594" t="s">
        <v>729</v>
      </c>
      <c r="G594" t="s">
        <v>12</v>
      </c>
      <c r="I594" t="s">
        <v>1864</v>
      </c>
      <c r="J594" t="s">
        <v>3542</v>
      </c>
      <c r="K594">
        <v>35.681658201775953</v>
      </c>
      <c r="L594">
        <v>0.26376440797485712</v>
      </c>
      <c r="M594">
        <v>103.58247599621544</v>
      </c>
      <c r="N594">
        <v>113.94072359583699</v>
      </c>
    </row>
    <row r="595" spans="1:14">
      <c r="A595" t="s">
        <v>726</v>
      </c>
      <c r="B595" t="s">
        <v>1866</v>
      </c>
      <c r="C595" t="s">
        <v>1867</v>
      </c>
      <c r="D595" t="s">
        <v>11</v>
      </c>
      <c r="E595" t="s">
        <v>13</v>
      </c>
      <c r="F595" t="s">
        <v>729</v>
      </c>
      <c r="G595" t="s">
        <v>12</v>
      </c>
      <c r="I595" t="s">
        <v>1866</v>
      </c>
      <c r="J595" t="s">
        <v>3543</v>
      </c>
      <c r="K595">
        <v>34.111546403817819</v>
      </c>
      <c r="L595">
        <v>0.26142753573734262</v>
      </c>
      <c r="M595">
        <v>80.072694597350463</v>
      </c>
      <c r="N595">
        <v>88.079964057085519</v>
      </c>
    </row>
    <row r="596" spans="1:14">
      <c r="A596" t="s">
        <v>726</v>
      </c>
      <c r="B596" t="s">
        <v>1868</v>
      </c>
      <c r="C596" t="s">
        <v>1869</v>
      </c>
      <c r="D596" t="s">
        <v>11</v>
      </c>
      <c r="E596" t="s">
        <v>13</v>
      </c>
      <c r="F596" t="s">
        <v>729</v>
      </c>
      <c r="G596" t="s">
        <v>12</v>
      </c>
      <c r="I596" t="s">
        <v>1868</v>
      </c>
      <c r="J596" t="s">
        <v>3544</v>
      </c>
      <c r="K596">
        <v>121.62828347474036</v>
      </c>
      <c r="L596">
        <v>0.27427560155990932</v>
      </c>
      <c r="M596">
        <v>272.7781142052371</v>
      </c>
      <c r="N596">
        <v>300.05592562576084</v>
      </c>
    </row>
    <row r="597" spans="1:14">
      <c r="A597" t="s">
        <v>726</v>
      </c>
      <c r="B597" t="s">
        <v>1870</v>
      </c>
      <c r="C597" t="s">
        <v>1858</v>
      </c>
      <c r="D597" t="s">
        <v>11</v>
      </c>
      <c r="E597" t="s">
        <v>13</v>
      </c>
      <c r="F597" t="s">
        <v>729</v>
      </c>
      <c r="G597" t="s">
        <v>12</v>
      </c>
      <c r="I597" t="s">
        <v>1870</v>
      </c>
      <c r="J597" t="s">
        <v>3545</v>
      </c>
      <c r="K597">
        <v>88.061124368710992</v>
      </c>
      <c r="L597">
        <v>0.28524072296936898</v>
      </c>
      <c r="M597">
        <v>616.93840106772177</v>
      </c>
      <c r="N597">
        <v>678.63224117449397</v>
      </c>
    </row>
    <row r="598" spans="1:14">
      <c r="A598" t="s">
        <v>726</v>
      </c>
      <c r="B598" t="s">
        <v>1871</v>
      </c>
      <c r="C598" t="s">
        <v>1865</v>
      </c>
      <c r="D598" t="s">
        <v>11</v>
      </c>
      <c r="E598" t="s">
        <v>13</v>
      </c>
      <c r="F598" t="s">
        <v>729</v>
      </c>
      <c r="G598" t="s">
        <v>12</v>
      </c>
      <c r="I598" t="s">
        <v>1871</v>
      </c>
      <c r="J598" t="s">
        <v>3546</v>
      </c>
      <c r="K598">
        <v>100.32439826048871</v>
      </c>
      <c r="L598">
        <v>0.27895956645350972</v>
      </c>
      <c r="M598">
        <v>343.51524872081944</v>
      </c>
      <c r="N598">
        <v>377.86677359290144</v>
      </c>
    </row>
    <row r="599" spans="1:14">
      <c r="A599" t="s">
        <v>726</v>
      </c>
      <c r="B599" t="s">
        <v>1872</v>
      </c>
      <c r="C599" t="s">
        <v>1873</v>
      </c>
      <c r="D599" t="s">
        <v>11</v>
      </c>
      <c r="E599" t="s">
        <v>13</v>
      </c>
      <c r="F599" t="s">
        <v>729</v>
      </c>
      <c r="G599" t="s">
        <v>12</v>
      </c>
      <c r="I599" t="s">
        <v>1872</v>
      </c>
      <c r="J599" t="s">
        <v>3547</v>
      </c>
      <c r="K599">
        <v>4.0669453924092283</v>
      </c>
      <c r="L599">
        <v>0.20876515326623091</v>
      </c>
      <c r="M599">
        <v>42.56997036400562</v>
      </c>
      <c r="N599">
        <v>46.826967400406183</v>
      </c>
    </row>
    <row r="600" spans="1:14">
      <c r="A600" t="s">
        <v>726</v>
      </c>
      <c r="B600" t="s">
        <v>1874</v>
      </c>
      <c r="C600" t="s">
        <v>1875</v>
      </c>
      <c r="D600" t="s">
        <v>11</v>
      </c>
      <c r="E600" t="s">
        <v>13</v>
      </c>
      <c r="F600" t="s">
        <v>729</v>
      </c>
      <c r="G600" t="s">
        <v>12</v>
      </c>
      <c r="I600" t="s">
        <v>1874</v>
      </c>
      <c r="J600" t="s">
        <v>3548</v>
      </c>
      <c r="K600">
        <v>2.4575316317461238</v>
      </c>
      <c r="L600">
        <v>0.2111963030455842</v>
      </c>
      <c r="M600">
        <v>41.271234143824472</v>
      </c>
      <c r="N600">
        <v>45.398357558206925</v>
      </c>
    </row>
    <row r="601" spans="1:14">
      <c r="A601" t="s">
        <v>726</v>
      </c>
      <c r="B601" t="s">
        <v>1876</v>
      </c>
      <c r="C601" t="s">
        <v>1877</v>
      </c>
      <c r="D601" t="s">
        <v>11</v>
      </c>
      <c r="E601" t="s">
        <v>13</v>
      </c>
      <c r="F601" t="s">
        <v>729</v>
      </c>
      <c r="G601" t="s">
        <v>12</v>
      </c>
      <c r="I601" t="s">
        <v>1876</v>
      </c>
      <c r="J601" t="s">
        <v>3549</v>
      </c>
      <c r="K601">
        <v>2.0393467811713286</v>
      </c>
      <c r="L601">
        <v>0.19628386841629</v>
      </c>
      <c r="M601">
        <v>23.970327444023699</v>
      </c>
      <c r="N601">
        <v>26.367360188426069</v>
      </c>
    </row>
    <row r="602" spans="1:14">
      <c r="A602" t="s">
        <v>726</v>
      </c>
      <c r="B602" t="s">
        <v>1878</v>
      </c>
      <c r="C602" t="s">
        <v>1879</v>
      </c>
      <c r="D602" t="s">
        <v>11</v>
      </c>
      <c r="E602" t="s">
        <v>13</v>
      </c>
      <c r="F602" t="s">
        <v>729</v>
      </c>
      <c r="G602" t="s">
        <v>12</v>
      </c>
      <c r="I602" t="s">
        <v>1878</v>
      </c>
      <c r="J602" t="s">
        <v>3550</v>
      </c>
      <c r="K602">
        <v>6.6684233092012031</v>
      </c>
      <c r="L602">
        <v>0.2080661495839542</v>
      </c>
      <c r="M602">
        <v>36.753803836157246</v>
      </c>
      <c r="N602">
        <v>40.429184219772971</v>
      </c>
    </row>
    <row r="603" spans="1:14">
      <c r="A603" t="s">
        <v>726</v>
      </c>
      <c r="B603" t="s">
        <v>1880</v>
      </c>
      <c r="C603" t="s">
        <v>1881</v>
      </c>
      <c r="D603" t="s">
        <v>11</v>
      </c>
      <c r="E603" t="s">
        <v>13</v>
      </c>
      <c r="F603" t="s">
        <v>729</v>
      </c>
      <c r="G603" t="s">
        <v>12</v>
      </c>
      <c r="I603" t="s">
        <v>1880</v>
      </c>
      <c r="J603" t="s">
        <v>3551</v>
      </c>
      <c r="K603">
        <v>2.1134632808758096</v>
      </c>
      <c r="L603">
        <v>0.24631084212180021</v>
      </c>
      <c r="M603">
        <v>20.791491266458969</v>
      </c>
      <c r="N603">
        <v>22.870640393104868</v>
      </c>
    </row>
    <row r="604" spans="1:14">
      <c r="A604" t="s">
        <v>726</v>
      </c>
      <c r="B604" t="s">
        <v>1882</v>
      </c>
      <c r="C604" t="s">
        <v>1883</v>
      </c>
      <c r="D604" t="s">
        <v>11</v>
      </c>
      <c r="E604" t="s">
        <v>13</v>
      </c>
      <c r="F604" t="s">
        <v>729</v>
      </c>
      <c r="G604" t="s">
        <v>12</v>
      </c>
      <c r="I604" t="s">
        <v>1882</v>
      </c>
      <c r="J604" t="s">
        <v>3552</v>
      </c>
      <c r="K604">
        <v>1.2514995569030214</v>
      </c>
      <c r="L604">
        <v>0.21927937225819721</v>
      </c>
      <c r="M604">
        <v>157.19031398883351</v>
      </c>
      <c r="N604">
        <v>172.90934538771688</v>
      </c>
    </row>
    <row r="605" spans="1:14">
      <c r="A605" t="s">
        <v>726</v>
      </c>
      <c r="B605" t="s">
        <v>1884</v>
      </c>
      <c r="C605" t="s">
        <v>1885</v>
      </c>
      <c r="D605" t="s">
        <v>11</v>
      </c>
      <c r="E605" t="s">
        <v>13</v>
      </c>
      <c r="F605" t="s">
        <v>729</v>
      </c>
      <c r="G605" t="s">
        <v>12</v>
      </c>
      <c r="I605" t="s">
        <v>1884</v>
      </c>
      <c r="J605" t="s">
        <v>3553</v>
      </c>
      <c r="K605">
        <v>7.1348021871320416E-2</v>
      </c>
      <c r="L605">
        <v>0.24684322798933139</v>
      </c>
      <c r="M605">
        <v>74.903084682895283</v>
      </c>
      <c r="N605">
        <v>82.393393151184824</v>
      </c>
    </row>
    <row r="606" spans="1:14">
      <c r="A606" t="s">
        <v>726</v>
      </c>
      <c r="B606" t="s">
        <v>1886</v>
      </c>
      <c r="C606" t="s">
        <v>1887</v>
      </c>
      <c r="D606" t="s">
        <v>11</v>
      </c>
      <c r="E606" t="s">
        <v>13</v>
      </c>
      <c r="F606" t="s">
        <v>729</v>
      </c>
      <c r="G606" t="s">
        <v>12</v>
      </c>
      <c r="I606" t="s">
        <v>1886</v>
      </c>
      <c r="J606" t="s">
        <v>3554</v>
      </c>
      <c r="K606">
        <v>1.3089317202044182</v>
      </c>
      <c r="L606">
        <v>0.13697987236287329</v>
      </c>
      <c r="M606">
        <v>55.608526824472101</v>
      </c>
      <c r="N606">
        <v>61.169379506919313</v>
      </c>
    </row>
    <row r="607" spans="1:14">
      <c r="A607" t="s">
        <v>726</v>
      </c>
      <c r="B607" t="s">
        <v>1888</v>
      </c>
      <c r="C607" t="s">
        <v>1889</v>
      </c>
      <c r="D607" t="s">
        <v>11</v>
      </c>
      <c r="E607" t="s">
        <v>13</v>
      </c>
      <c r="F607" t="s">
        <v>729</v>
      </c>
      <c r="G607" t="s">
        <v>12</v>
      </c>
      <c r="I607" t="s">
        <v>1888</v>
      </c>
      <c r="J607" t="s">
        <v>3555</v>
      </c>
      <c r="K607">
        <v>2.5426157035349766</v>
      </c>
      <c r="L607">
        <v>0.1372222824891115</v>
      </c>
      <c r="M607">
        <v>56.854091833806649</v>
      </c>
      <c r="N607">
        <v>62.53950101718732</v>
      </c>
    </row>
    <row r="608" spans="1:14">
      <c r="A608" t="s">
        <v>726</v>
      </c>
      <c r="B608" t="s">
        <v>1890</v>
      </c>
      <c r="C608" t="s">
        <v>1891</v>
      </c>
      <c r="D608" t="s">
        <v>11</v>
      </c>
      <c r="E608" t="s">
        <v>13</v>
      </c>
      <c r="F608" t="s">
        <v>729</v>
      </c>
      <c r="G608" t="s">
        <v>12</v>
      </c>
      <c r="I608" t="s">
        <v>1890</v>
      </c>
      <c r="J608" t="s">
        <v>3556</v>
      </c>
      <c r="K608">
        <v>3.0762059723049697</v>
      </c>
      <c r="L608">
        <v>0.13708777625027241</v>
      </c>
      <c r="M608">
        <v>79.26437616886021</v>
      </c>
      <c r="N608">
        <v>87.190813785746244</v>
      </c>
    </row>
    <row r="609" spans="1:14">
      <c r="A609" t="s">
        <v>726</v>
      </c>
      <c r="B609" t="s">
        <v>1892</v>
      </c>
      <c r="C609" t="s">
        <v>1893</v>
      </c>
      <c r="D609" t="s">
        <v>11</v>
      </c>
      <c r="E609" t="s">
        <v>13</v>
      </c>
      <c r="F609" t="s">
        <v>729</v>
      </c>
      <c r="G609" t="s">
        <v>12</v>
      </c>
      <c r="I609" t="s">
        <v>1892</v>
      </c>
      <c r="J609" t="s">
        <v>3557</v>
      </c>
      <c r="K609">
        <v>2.1956208680831293</v>
      </c>
      <c r="L609">
        <v>0.14011971853124799</v>
      </c>
      <c r="M609">
        <v>69.683787035001288</v>
      </c>
      <c r="N609">
        <v>76.652165738501424</v>
      </c>
    </row>
    <row r="610" spans="1:14">
      <c r="A610" t="s">
        <v>726</v>
      </c>
      <c r="B610" t="s">
        <v>1894</v>
      </c>
      <c r="C610" t="s">
        <v>1895</v>
      </c>
      <c r="D610" t="s">
        <v>11</v>
      </c>
      <c r="E610" t="s">
        <v>13</v>
      </c>
      <c r="F610" t="s">
        <v>729</v>
      </c>
      <c r="G610" t="s">
        <v>12</v>
      </c>
      <c r="I610" t="s">
        <v>1894</v>
      </c>
      <c r="J610" t="s">
        <v>3558</v>
      </c>
      <c r="K610">
        <v>0.24461212931450679</v>
      </c>
      <c r="L610">
        <v>0.13639086577606849</v>
      </c>
      <c r="M610">
        <v>40.639775652825229</v>
      </c>
      <c r="N610">
        <v>44.703753218107757</v>
      </c>
    </row>
    <row r="611" spans="1:14">
      <c r="A611" t="s">
        <v>726</v>
      </c>
      <c r="B611" t="s">
        <v>1896</v>
      </c>
      <c r="C611" t="s">
        <v>1897</v>
      </c>
      <c r="D611" t="s">
        <v>11</v>
      </c>
      <c r="E611" t="s">
        <v>13</v>
      </c>
      <c r="F611" t="s">
        <v>729</v>
      </c>
      <c r="G611" t="s">
        <v>12</v>
      </c>
      <c r="I611" t="s">
        <v>1896</v>
      </c>
      <c r="J611" t="s">
        <v>3559</v>
      </c>
      <c r="K611">
        <v>4.5789007661232742E-2</v>
      </c>
      <c r="L611">
        <v>0.13620008518757051</v>
      </c>
      <c r="M611">
        <v>30.640297115049517</v>
      </c>
      <c r="N611">
        <v>33.704326826554471</v>
      </c>
    </row>
    <row r="612" spans="1:14">
      <c r="A612" t="s">
        <v>726</v>
      </c>
      <c r="B612" t="s">
        <v>1898</v>
      </c>
      <c r="C612" t="s">
        <v>1897</v>
      </c>
      <c r="D612" t="s">
        <v>11</v>
      </c>
      <c r="E612" t="s">
        <v>13</v>
      </c>
      <c r="F612" t="s">
        <v>729</v>
      </c>
      <c r="G612" t="s">
        <v>12</v>
      </c>
      <c r="I612" t="s">
        <v>1898</v>
      </c>
      <c r="J612" t="s">
        <v>3560</v>
      </c>
      <c r="K612">
        <v>2.4683800232523163E-2</v>
      </c>
      <c r="L612">
        <v>0.1396419235069534</v>
      </c>
      <c r="M612">
        <v>27.7699112065735</v>
      </c>
      <c r="N612">
        <v>30.546902327230853</v>
      </c>
    </row>
    <row r="613" spans="1:14">
      <c r="A613" t="s">
        <v>726</v>
      </c>
      <c r="B613" t="s">
        <v>1899</v>
      </c>
      <c r="C613" t="s">
        <v>1897</v>
      </c>
      <c r="D613" t="s">
        <v>11</v>
      </c>
      <c r="E613" t="s">
        <v>13</v>
      </c>
      <c r="F613" t="s">
        <v>729</v>
      </c>
      <c r="G613" t="s">
        <v>12</v>
      </c>
      <c r="I613" t="s">
        <v>1899</v>
      </c>
      <c r="J613" t="s">
        <v>3561</v>
      </c>
      <c r="K613">
        <v>8.5716812091384362E-2</v>
      </c>
      <c r="L613">
        <v>0.14106508723040179</v>
      </c>
      <c r="M613">
        <v>22.059309693841627</v>
      </c>
      <c r="N613">
        <v>24.265240663225793</v>
      </c>
    </row>
    <row r="614" spans="1:14">
      <c r="A614" t="s">
        <v>726</v>
      </c>
      <c r="B614" t="s">
        <v>1900</v>
      </c>
      <c r="C614" t="s">
        <v>1895</v>
      </c>
      <c r="D614" t="s">
        <v>11</v>
      </c>
      <c r="E614" t="s">
        <v>13</v>
      </c>
      <c r="F614" t="s">
        <v>729</v>
      </c>
      <c r="G614" t="s">
        <v>12</v>
      </c>
      <c r="I614" t="s">
        <v>1900</v>
      </c>
      <c r="J614" t="s">
        <v>3562</v>
      </c>
      <c r="K614">
        <v>7.3739316413407807E-2</v>
      </c>
      <c r="L614">
        <v>0.14050529096517289</v>
      </c>
      <c r="M614">
        <v>24.306154525418119</v>
      </c>
      <c r="N614">
        <v>26.736769977959934</v>
      </c>
    </row>
    <row r="615" spans="1:14">
      <c r="A615" t="s">
        <v>726</v>
      </c>
      <c r="B615" t="s">
        <v>1901</v>
      </c>
      <c r="C615" t="s">
        <v>1902</v>
      </c>
      <c r="D615" t="s">
        <v>11</v>
      </c>
      <c r="E615" t="s">
        <v>13</v>
      </c>
      <c r="F615" t="s">
        <v>729</v>
      </c>
      <c r="G615" t="s">
        <v>12</v>
      </c>
      <c r="I615" t="s">
        <v>1901</v>
      </c>
      <c r="J615" t="s">
        <v>3563</v>
      </c>
      <c r="K615">
        <v>0.27884680705408749</v>
      </c>
      <c r="L615">
        <v>0.14213580257744349</v>
      </c>
      <c r="M615">
        <v>8.141112074385342</v>
      </c>
      <c r="N615">
        <v>8.9552232818238764</v>
      </c>
    </row>
    <row r="616" spans="1:14">
      <c r="A616" t="s">
        <v>726</v>
      </c>
      <c r="B616" t="s">
        <v>1903</v>
      </c>
      <c r="C616" t="s">
        <v>1904</v>
      </c>
      <c r="D616" t="s">
        <v>11</v>
      </c>
      <c r="E616" t="s">
        <v>13</v>
      </c>
      <c r="F616" t="s">
        <v>729</v>
      </c>
      <c r="G616" t="s">
        <v>12</v>
      </c>
      <c r="I616" t="s">
        <v>1903</v>
      </c>
      <c r="J616" t="s">
        <v>3564</v>
      </c>
      <c r="K616">
        <v>0.95346138510775802</v>
      </c>
      <c r="L616">
        <v>0.14495853946239939</v>
      </c>
      <c r="M616">
        <v>65.388030687426337</v>
      </c>
      <c r="N616">
        <v>71.926833756168975</v>
      </c>
    </row>
    <row r="617" spans="1:14">
      <c r="A617" t="s">
        <v>726</v>
      </c>
      <c r="B617" t="s">
        <v>1905</v>
      </c>
      <c r="C617" t="s">
        <v>1906</v>
      </c>
      <c r="D617" t="s">
        <v>11</v>
      </c>
      <c r="E617" t="s">
        <v>13</v>
      </c>
      <c r="F617" t="s">
        <v>729</v>
      </c>
      <c r="G617" t="s">
        <v>12</v>
      </c>
      <c r="I617" t="s">
        <v>1905</v>
      </c>
      <c r="J617" t="s">
        <v>3565</v>
      </c>
      <c r="K617">
        <v>2.073047710513042</v>
      </c>
      <c r="L617">
        <v>0.13962959849845269</v>
      </c>
      <c r="M617">
        <v>155.32939576049111</v>
      </c>
      <c r="N617">
        <v>170.86233533654024</v>
      </c>
    </row>
    <row r="618" spans="1:14">
      <c r="A618" t="s">
        <v>726</v>
      </c>
      <c r="B618" t="s">
        <v>1907</v>
      </c>
      <c r="C618" t="s">
        <v>1908</v>
      </c>
      <c r="D618" t="s">
        <v>11</v>
      </c>
      <c r="E618" t="s">
        <v>13</v>
      </c>
      <c r="F618" t="s">
        <v>729</v>
      </c>
      <c r="G618" t="s">
        <v>12</v>
      </c>
      <c r="I618" t="s">
        <v>1907</v>
      </c>
      <c r="J618" t="s">
        <v>3566</v>
      </c>
      <c r="K618">
        <v>1.0122618889112061</v>
      </c>
      <c r="L618">
        <v>0.13830165996391519</v>
      </c>
      <c r="M618">
        <v>83.700508574333199</v>
      </c>
      <c r="N618">
        <v>92.070559431766526</v>
      </c>
    </row>
    <row r="619" spans="1:14">
      <c r="A619" t="s">
        <v>726</v>
      </c>
      <c r="B619" t="s">
        <v>1909</v>
      </c>
      <c r="C619" t="s">
        <v>1910</v>
      </c>
      <c r="D619" t="s">
        <v>11</v>
      </c>
      <c r="E619" t="s">
        <v>13</v>
      </c>
      <c r="F619" t="s">
        <v>729</v>
      </c>
      <c r="G619" t="s">
        <v>12</v>
      </c>
      <c r="I619" t="s">
        <v>1909</v>
      </c>
      <c r="J619" t="s">
        <v>3567</v>
      </c>
      <c r="K619">
        <v>0.84262137774426527</v>
      </c>
      <c r="L619">
        <v>0.14460420285211539</v>
      </c>
      <c r="M619">
        <v>134.18604915616476</v>
      </c>
      <c r="N619">
        <v>147.60465407178125</v>
      </c>
    </row>
    <row r="620" spans="1:14">
      <c r="A620" t="s">
        <v>726</v>
      </c>
      <c r="B620" t="s">
        <v>1911</v>
      </c>
      <c r="C620" t="s">
        <v>1912</v>
      </c>
      <c r="D620" t="s">
        <v>11</v>
      </c>
      <c r="E620" t="s">
        <v>13</v>
      </c>
      <c r="F620" t="s">
        <v>729</v>
      </c>
      <c r="G620" t="s">
        <v>12</v>
      </c>
      <c r="I620" t="s">
        <v>1911</v>
      </c>
      <c r="J620" t="s">
        <v>3568</v>
      </c>
      <c r="K620">
        <v>32.456421546439074</v>
      </c>
      <c r="L620">
        <v>0.2813600131962386</v>
      </c>
      <c r="M620">
        <v>121.33394292261104</v>
      </c>
      <c r="N620">
        <v>133.46733721487215</v>
      </c>
    </row>
    <row r="621" spans="1:14">
      <c r="A621" t="s">
        <v>726</v>
      </c>
      <c r="B621" t="s">
        <v>1913</v>
      </c>
      <c r="C621" t="s">
        <v>1914</v>
      </c>
      <c r="D621" t="s">
        <v>11</v>
      </c>
      <c r="E621" t="s">
        <v>13</v>
      </c>
      <c r="F621" t="s">
        <v>729</v>
      </c>
      <c r="G621" t="s">
        <v>12</v>
      </c>
      <c r="I621" t="s">
        <v>1913</v>
      </c>
      <c r="J621" t="s">
        <v>3569</v>
      </c>
      <c r="K621">
        <v>29.089247702183755</v>
      </c>
      <c r="L621">
        <v>0.26561471507072659</v>
      </c>
      <c r="M621">
        <v>67.462659894228622</v>
      </c>
      <c r="N621">
        <v>74.208925883651489</v>
      </c>
    </row>
    <row r="622" spans="1:14">
      <c r="A622" t="s">
        <v>726</v>
      </c>
      <c r="B622" t="s">
        <v>1915</v>
      </c>
      <c r="C622" t="s">
        <v>1916</v>
      </c>
      <c r="D622" t="s">
        <v>11</v>
      </c>
      <c r="E622" t="s">
        <v>13</v>
      </c>
      <c r="F622" t="s">
        <v>729</v>
      </c>
      <c r="G622" t="s">
        <v>12</v>
      </c>
      <c r="I622" t="s">
        <v>1915</v>
      </c>
      <c r="J622" t="s">
        <v>3570</v>
      </c>
      <c r="K622">
        <v>14.796867548448207</v>
      </c>
      <c r="L622">
        <v>0.262675715095748</v>
      </c>
      <c r="M622">
        <v>40.331481752153273</v>
      </c>
      <c r="N622">
        <v>44.364629927368604</v>
      </c>
    </row>
    <row r="623" spans="1:14">
      <c r="A623" t="s">
        <v>726</v>
      </c>
      <c r="B623" t="s">
        <v>1917</v>
      </c>
      <c r="C623" t="s">
        <v>1918</v>
      </c>
      <c r="D623" t="s">
        <v>11</v>
      </c>
      <c r="E623" t="s">
        <v>13</v>
      </c>
      <c r="F623" t="s">
        <v>729</v>
      </c>
      <c r="G623" t="s">
        <v>12</v>
      </c>
      <c r="I623" t="s">
        <v>1917</v>
      </c>
      <c r="J623" t="s">
        <v>3571</v>
      </c>
      <c r="K623">
        <v>3.9088610120872</v>
      </c>
      <c r="L623">
        <v>0.2473394313442614</v>
      </c>
      <c r="M623">
        <v>20.159608601904107</v>
      </c>
      <c r="N623">
        <v>22.175569462094519</v>
      </c>
    </row>
    <row r="624" spans="1:14">
      <c r="A624" t="s">
        <v>726</v>
      </c>
      <c r="B624" t="s">
        <v>1919</v>
      </c>
      <c r="C624" t="s">
        <v>1920</v>
      </c>
      <c r="D624" t="s">
        <v>11</v>
      </c>
      <c r="E624" t="s">
        <v>13</v>
      </c>
      <c r="F624" t="s">
        <v>729</v>
      </c>
      <c r="G624" t="s">
        <v>12</v>
      </c>
      <c r="I624" t="s">
        <v>1919</v>
      </c>
      <c r="J624" t="s">
        <v>3572</v>
      </c>
      <c r="K624">
        <v>5.6328306530590817</v>
      </c>
      <c r="L624">
        <v>0.24126774402524359</v>
      </c>
      <c r="M624">
        <v>17.645540762315669</v>
      </c>
      <c r="N624">
        <v>19.410094838547238</v>
      </c>
    </row>
    <row r="625" spans="1:14">
      <c r="A625" t="s">
        <v>726</v>
      </c>
      <c r="B625" t="s">
        <v>1921</v>
      </c>
      <c r="C625" t="s">
        <v>1922</v>
      </c>
      <c r="D625" t="s">
        <v>11</v>
      </c>
      <c r="E625" t="s">
        <v>13</v>
      </c>
      <c r="F625" t="s">
        <v>729</v>
      </c>
      <c r="G625" t="s">
        <v>12</v>
      </c>
      <c r="I625" t="s">
        <v>1921</v>
      </c>
      <c r="J625" t="s">
        <v>3573</v>
      </c>
      <c r="K625">
        <v>79.045105513467647</v>
      </c>
      <c r="L625">
        <v>0.28204595761797208</v>
      </c>
      <c r="M625">
        <v>105.4093205453302</v>
      </c>
      <c r="N625">
        <v>115.95025259986323</v>
      </c>
    </row>
    <row r="626" spans="1:14">
      <c r="A626" t="s">
        <v>726</v>
      </c>
      <c r="B626" t="s">
        <v>1923</v>
      </c>
      <c r="C626" t="s">
        <v>1924</v>
      </c>
      <c r="D626" t="s">
        <v>11</v>
      </c>
      <c r="E626" t="s">
        <v>13</v>
      </c>
      <c r="F626" t="s">
        <v>729</v>
      </c>
      <c r="G626" t="s">
        <v>12</v>
      </c>
      <c r="I626" t="s">
        <v>1923</v>
      </c>
      <c r="J626" t="s">
        <v>3574</v>
      </c>
      <c r="K626">
        <v>13.494406127344098</v>
      </c>
      <c r="L626">
        <v>0.2556972588801309</v>
      </c>
      <c r="M626">
        <v>66.303380388589886</v>
      </c>
      <c r="N626">
        <v>72.933718427448881</v>
      </c>
    </row>
    <row r="627" spans="1:14">
      <c r="A627" t="s">
        <v>726</v>
      </c>
      <c r="B627" t="s">
        <v>1925</v>
      </c>
      <c r="C627" t="s">
        <v>1926</v>
      </c>
      <c r="D627" t="s">
        <v>11</v>
      </c>
      <c r="E627" t="s">
        <v>13</v>
      </c>
      <c r="F627" t="s">
        <v>729</v>
      </c>
      <c r="G627" t="s">
        <v>12</v>
      </c>
      <c r="I627" t="s">
        <v>1925</v>
      </c>
      <c r="J627" t="s">
        <v>3575</v>
      </c>
      <c r="K627">
        <v>51.269549950905478</v>
      </c>
      <c r="L627">
        <v>0.2775864944646016</v>
      </c>
      <c r="M627">
        <v>99.276258055373802</v>
      </c>
      <c r="N627">
        <v>109.20388386091119</v>
      </c>
    </row>
    <row r="628" spans="1:14">
      <c r="A628" t="s">
        <v>726</v>
      </c>
      <c r="B628" t="s">
        <v>1927</v>
      </c>
      <c r="C628" t="s">
        <v>1928</v>
      </c>
      <c r="D628" t="s">
        <v>11</v>
      </c>
      <c r="E628" t="s">
        <v>13</v>
      </c>
      <c r="F628" t="s">
        <v>729</v>
      </c>
      <c r="G628" t="s">
        <v>12</v>
      </c>
      <c r="I628" t="s">
        <v>1927</v>
      </c>
      <c r="J628" t="s">
        <v>3576</v>
      </c>
      <c r="K628">
        <v>17.719037364856014</v>
      </c>
      <c r="L628">
        <v>0.16891466817473461</v>
      </c>
      <c r="M628">
        <v>32.46498756033558</v>
      </c>
      <c r="N628">
        <v>35.71148631636914</v>
      </c>
    </row>
    <row r="629" spans="1:14">
      <c r="A629" t="s">
        <v>726</v>
      </c>
      <c r="B629" t="s">
        <v>1929</v>
      </c>
      <c r="C629" t="s">
        <v>1930</v>
      </c>
      <c r="D629" t="s">
        <v>11</v>
      </c>
      <c r="E629" t="s">
        <v>13</v>
      </c>
      <c r="F629" t="s">
        <v>729</v>
      </c>
      <c r="G629" t="s">
        <v>12</v>
      </c>
      <c r="I629" t="s">
        <v>1929</v>
      </c>
      <c r="J629" t="s">
        <v>3577</v>
      </c>
      <c r="K629">
        <v>6.1398667906754865</v>
      </c>
      <c r="L629">
        <v>0.15978439340020889</v>
      </c>
      <c r="M629">
        <v>26.275899128858654</v>
      </c>
      <c r="N629">
        <v>28.903489041744521</v>
      </c>
    </row>
    <row r="630" spans="1:14">
      <c r="A630" t="s">
        <v>726</v>
      </c>
      <c r="B630" t="s">
        <v>1931</v>
      </c>
      <c r="C630" t="s">
        <v>1932</v>
      </c>
      <c r="D630" t="s">
        <v>11</v>
      </c>
      <c r="E630" t="s">
        <v>13</v>
      </c>
      <c r="F630" t="s">
        <v>729</v>
      </c>
      <c r="G630" t="s">
        <v>12</v>
      </c>
      <c r="I630" t="s">
        <v>1931</v>
      </c>
      <c r="J630" t="s">
        <v>3578</v>
      </c>
      <c r="K630">
        <v>12.532597214120626</v>
      </c>
      <c r="L630">
        <v>0.15871819567952231</v>
      </c>
      <c r="M630">
        <v>45.31217450650837</v>
      </c>
      <c r="N630">
        <v>49.843391957159213</v>
      </c>
    </row>
    <row r="631" spans="1:14">
      <c r="A631" t="s">
        <v>726</v>
      </c>
      <c r="B631" t="s">
        <v>1933</v>
      </c>
      <c r="C631" t="s">
        <v>1934</v>
      </c>
      <c r="D631" t="s">
        <v>11</v>
      </c>
      <c r="E631" t="s">
        <v>13</v>
      </c>
      <c r="F631" t="s">
        <v>729</v>
      </c>
      <c r="G631" t="s">
        <v>12</v>
      </c>
      <c r="I631" t="s">
        <v>1933</v>
      </c>
      <c r="J631" t="s">
        <v>3579</v>
      </c>
      <c r="K631">
        <v>12.043427103538404</v>
      </c>
      <c r="L631">
        <v>0.18570717635126949</v>
      </c>
      <c r="M631">
        <v>25.127037780009982</v>
      </c>
      <c r="N631">
        <v>27.639741558010982</v>
      </c>
    </row>
    <row r="632" spans="1:14">
      <c r="A632" t="s">
        <v>726</v>
      </c>
      <c r="B632" t="s">
        <v>1935</v>
      </c>
      <c r="C632" t="s">
        <v>1936</v>
      </c>
      <c r="D632" t="s">
        <v>11</v>
      </c>
      <c r="E632" t="s">
        <v>13</v>
      </c>
      <c r="F632" t="s">
        <v>729</v>
      </c>
      <c r="G632" t="s">
        <v>12</v>
      </c>
      <c r="I632" t="s">
        <v>1935</v>
      </c>
      <c r="J632" t="s">
        <v>3580</v>
      </c>
      <c r="K632">
        <v>7.8276592089447261</v>
      </c>
      <c r="L632">
        <v>0.20554442275821549</v>
      </c>
      <c r="M632">
        <v>24.307699338268016</v>
      </c>
      <c r="N632">
        <v>26.738469272094818</v>
      </c>
    </row>
    <row r="633" spans="1:14">
      <c r="A633" t="s">
        <v>726</v>
      </c>
      <c r="B633" t="s">
        <v>1937</v>
      </c>
      <c r="C633" t="s">
        <v>1938</v>
      </c>
      <c r="D633" t="s">
        <v>11</v>
      </c>
      <c r="E633" t="s">
        <v>13</v>
      </c>
      <c r="F633" t="s">
        <v>729</v>
      </c>
      <c r="G633" t="s">
        <v>12</v>
      </c>
      <c r="I633" t="s">
        <v>1937</v>
      </c>
      <c r="J633" t="s">
        <v>3581</v>
      </c>
      <c r="K633">
        <v>13.832451149165095</v>
      </c>
      <c r="L633">
        <v>0.2214054848973227</v>
      </c>
      <c r="M633">
        <v>15.523473537656008</v>
      </c>
      <c r="N633">
        <v>17.075820891421611</v>
      </c>
    </row>
    <row r="634" spans="1:14">
      <c r="A634" t="s">
        <v>726</v>
      </c>
      <c r="B634" t="s">
        <v>1939</v>
      </c>
      <c r="C634" t="s">
        <v>1940</v>
      </c>
      <c r="D634" t="s">
        <v>11</v>
      </c>
      <c r="E634" t="s">
        <v>13</v>
      </c>
      <c r="F634" t="s">
        <v>729</v>
      </c>
      <c r="G634" t="s">
        <v>12</v>
      </c>
      <c r="I634" t="s">
        <v>1939</v>
      </c>
      <c r="J634" t="s">
        <v>3582</v>
      </c>
      <c r="K634">
        <v>23.230939511768803</v>
      </c>
      <c r="L634">
        <v>0.1915635395662425</v>
      </c>
      <c r="M634">
        <v>15.198902464505078</v>
      </c>
      <c r="N634">
        <v>16.718792710955587</v>
      </c>
    </row>
    <row r="635" spans="1:14">
      <c r="A635" t="s">
        <v>726</v>
      </c>
      <c r="B635" t="s">
        <v>1941</v>
      </c>
      <c r="C635" t="s">
        <v>1942</v>
      </c>
      <c r="D635" t="s">
        <v>11</v>
      </c>
      <c r="E635" t="s">
        <v>13</v>
      </c>
      <c r="F635" t="s">
        <v>729</v>
      </c>
      <c r="G635" t="s">
        <v>12</v>
      </c>
      <c r="I635" t="s">
        <v>1941</v>
      </c>
      <c r="J635" t="s">
        <v>3583</v>
      </c>
      <c r="K635">
        <v>28.190008698687105</v>
      </c>
      <c r="L635">
        <v>0.23140950602679281</v>
      </c>
      <c r="M635">
        <v>19.840483400116856</v>
      </c>
      <c r="N635">
        <v>21.824531740128542</v>
      </c>
    </row>
    <row r="636" spans="1:14">
      <c r="A636" t="s">
        <v>726</v>
      </c>
      <c r="B636" t="s">
        <v>1943</v>
      </c>
      <c r="C636" t="s">
        <v>1944</v>
      </c>
      <c r="D636" t="s">
        <v>11</v>
      </c>
      <c r="E636" t="s">
        <v>13</v>
      </c>
      <c r="F636" t="s">
        <v>729</v>
      </c>
      <c r="G636" t="s">
        <v>12</v>
      </c>
      <c r="I636" t="s">
        <v>1943</v>
      </c>
      <c r="J636" t="s">
        <v>3584</v>
      </c>
      <c r="K636">
        <v>89.707411973104271</v>
      </c>
      <c r="L636">
        <v>0.23855061602163971</v>
      </c>
      <c r="M636">
        <v>34.494559961047244</v>
      </c>
      <c r="N636">
        <v>37.944015957151969</v>
      </c>
    </row>
    <row r="637" spans="1:14">
      <c r="A637" t="s">
        <v>726</v>
      </c>
      <c r="B637" t="s">
        <v>1945</v>
      </c>
      <c r="C637" t="s">
        <v>1946</v>
      </c>
      <c r="D637" t="s">
        <v>11</v>
      </c>
      <c r="E637" t="s">
        <v>13</v>
      </c>
      <c r="F637" t="s">
        <v>729</v>
      </c>
      <c r="G637" t="s">
        <v>12</v>
      </c>
      <c r="I637" t="s">
        <v>1945</v>
      </c>
      <c r="J637" t="s">
        <v>3585</v>
      </c>
      <c r="K637">
        <v>9.243938156420576</v>
      </c>
      <c r="L637">
        <v>0.19577608514583991</v>
      </c>
      <c r="M637">
        <v>19.920246403008026</v>
      </c>
      <c r="N637">
        <v>21.912271043308831</v>
      </c>
    </row>
    <row r="638" spans="1:14">
      <c r="A638" t="s">
        <v>726</v>
      </c>
      <c r="B638" t="s">
        <v>1947</v>
      </c>
      <c r="C638" t="s">
        <v>1948</v>
      </c>
      <c r="D638" t="s">
        <v>11</v>
      </c>
      <c r="E638" t="s">
        <v>13</v>
      </c>
      <c r="F638" t="s">
        <v>729</v>
      </c>
      <c r="G638" t="s">
        <v>12</v>
      </c>
      <c r="I638" t="s">
        <v>1947</v>
      </c>
      <c r="J638" t="s">
        <v>3586</v>
      </c>
      <c r="K638">
        <v>92.008564227758001</v>
      </c>
      <c r="L638">
        <v>0.2333359249813306</v>
      </c>
      <c r="M638">
        <v>47.44548656588222</v>
      </c>
      <c r="N638">
        <v>52.190035222470449</v>
      </c>
    </row>
    <row r="639" spans="1:14">
      <c r="A639" t="s">
        <v>726</v>
      </c>
      <c r="B639" t="s">
        <v>1949</v>
      </c>
      <c r="C639" t="s">
        <v>1950</v>
      </c>
      <c r="D639" t="s">
        <v>11</v>
      </c>
      <c r="E639" t="s">
        <v>13</v>
      </c>
      <c r="F639" t="s">
        <v>729</v>
      </c>
      <c r="G639" t="s">
        <v>12</v>
      </c>
      <c r="I639" t="s">
        <v>1949</v>
      </c>
      <c r="J639" t="s">
        <v>3587</v>
      </c>
      <c r="K639">
        <v>28.355775200477151</v>
      </c>
      <c r="L639">
        <v>0.2343720687762765</v>
      </c>
      <c r="M639">
        <v>25.501403379439918</v>
      </c>
      <c r="N639">
        <v>28.051543717383911</v>
      </c>
    </row>
    <row r="640" spans="1:14">
      <c r="A640" t="s">
        <v>726</v>
      </c>
      <c r="B640" t="s">
        <v>1951</v>
      </c>
      <c r="C640" t="s">
        <v>1952</v>
      </c>
      <c r="D640" t="s">
        <v>11</v>
      </c>
      <c r="E640" t="s">
        <v>13</v>
      </c>
      <c r="F640" t="s">
        <v>729</v>
      </c>
      <c r="G640" t="s">
        <v>12</v>
      </c>
      <c r="I640" t="s">
        <v>1951</v>
      </c>
      <c r="J640" t="s">
        <v>3588</v>
      </c>
      <c r="K640">
        <v>3.0015776360649498</v>
      </c>
      <c r="L640">
        <v>0.2044983081851573</v>
      </c>
      <c r="M640">
        <v>87.512542968635273</v>
      </c>
      <c r="N640">
        <v>96.263797265498809</v>
      </c>
    </row>
    <row r="641" spans="1:14">
      <c r="A641" t="s">
        <v>726</v>
      </c>
      <c r="B641" t="s">
        <v>1953</v>
      </c>
      <c r="C641" t="s">
        <v>1954</v>
      </c>
      <c r="D641" t="s">
        <v>11</v>
      </c>
      <c r="E641" t="s">
        <v>13</v>
      </c>
      <c r="F641" t="s">
        <v>729</v>
      </c>
      <c r="G641" t="s">
        <v>12</v>
      </c>
      <c r="I641" t="s">
        <v>1953</v>
      </c>
      <c r="J641" t="s">
        <v>3589</v>
      </c>
      <c r="K641">
        <v>13.492090433433869</v>
      </c>
      <c r="L641">
        <v>0.20815193859249201</v>
      </c>
      <c r="M641">
        <v>89.406425837161876</v>
      </c>
      <c r="N641">
        <v>98.347068420878074</v>
      </c>
    </row>
    <row r="642" spans="1:14">
      <c r="A642" t="s">
        <v>726</v>
      </c>
      <c r="B642" t="s">
        <v>1955</v>
      </c>
      <c r="C642" t="s">
        <v>1956</v>
      </c>
      <c r="D642" t="s">
        <v>11</v>
      </c>
      <c r="E642" t="s">
        <v>13</v>
      </c>
      <c r="F642" t="s">
        <v>729</v>
      </c>
      <c r="G642" t="s">
        <v>12</v>
      </c>
      <c r="I642" t="s">
        <v>1955</v>
      </c>
      <c r="J642" t="s">
        <v>3590</v>
      </c>
      <c r="K642">
        <v>14.642903047767856</v>
      </c>
      <c r="L642">
        <v>0.18771454137036139</v>
      </c>
      <c r="M642">
        <v>49.119112418294641</v>
      </c>
      <c r="N642">
        <v>54.031023660124113</v>
      </c>
    </row>
    <row r="643" spans="1:14">
      <c r="A643" t="s">
        <v>726</v>
      </c>
      <c r="B643" t="s">
        <v>1957</v>
      </c>
      <c r="C643" t="s">
        <v>1958</v>
      </c>
      <c r="D643" t="s">
        <v>11</v>
      </c>
      <c r="E643" t="s">
        <v>13</v>
      </c>
      <c r="F643" t="s">
        <v>729</v>
      </c>
      <c r="G643" t="s">
        <v>12</v>
      </c>
      <c r="I643" t="s">
        <v>1957</v>
      </c>
      <c r="J643" t="s">
        <v>3591</v>
      </c>
      <c r="K643">
        <v>27.197544778892588</v>
      </c>
      <c r="L643">
        <v>0.2350998349141204</v>
      </c>
      <c r="M643">
        <v>93.415441112708422</v>
      </c>
      <c r="N643">
        <v>102.75698522397927</v>
      </c>
    </row>
    <row r="644" spans="1:14">
      <c r="A644" t="s">
        <v>726</v>
      </c>
      <c r="B644" t="s">
        <v>1959</v>
      </c>
      <c r="C644" t="s">
        <v>1960</v>
      </c>
      <c r="D644" t="s">
        <v>11</v>
      </c>
      <c r="E644" t="s">
        <v>13</v>
      </c>
      <c r="F644" t="s">
        <v>729</v>
      </c>
      <c r="G644" t="s">
        <v>12</v>
      </c>
      <c r="I644" t="s">
        <v>1959</v>
      </c>
      <c r="J644" t="s">
        <v>3592</v>
      </c>
      <c r="K644">
        <v>11.98325482952179</v>
      </c>
      <c r="L644">
        <v>0.1921245861971882</v>
      </c>
      <c r="M644">
        <v>52.763129284314623</v>
      </c>
      <c r="N644">
        <v>58.039442212746089</v>
      </c>
    </row>
    <row r="645" spans="1:14">
      <c r="A645" t="s">
        <v>726</v>
      </c>
      <c r="B645" t="s">
        <v>1961</v>
      </c>
      <c r="C645" t="s">
        <v>1962</v>
      </c>
      <c r="D645" t="s">
        <v>11</v>
      </c>
      <c r="E645" t="s">
        <v>13</v>
      </c>
      <c r="F645" t="s">
        <v>729</v>
      </c>
      <c r="G645" t="s">
        <v>12</v>
      </c>
      <c r="I645" t="s">
        <v>1961</v>
      </c>
      <c r="J645" t="s">
        <v>3593</v>
      </c>
      <c r="K645">
        <v>9.6595348486044283</v>
      </c>
      <c r="L645">
        <v>0.2382469223465295</v>
      </c>
      <c r="M645">
        <v>86.907882935787185</v>
      </c>
      <c r="N645">
        <v>95.598671229365905</v>
      </c>
    </row>
    <row r="646" spans="1:14">
      <c r="A646" t="s">
        <v>726</v>
      </c>
      <c r="B646" t="s">
        <v>1963</v>
      </c>
      <c r="C646" t="s">
        <v>1964</v>
      </c>
      <c r="D646" t="s">
        <v>11</v>
      </c>
      <c r="E646" t="s">
        <v>13</v>
      </c>
      <c r="F646" t="s">
        <v>729</v>
      </c>
      <c r="G646" t="s">
        <v>12</v>
      </c>
      <c r="I646" t="s">
        <v>1963</v>
      </c>
      <c r="J646" t="s">
        <v>3594</v>
      </c>
      <c r="K646">
        <v>127.80476169890964</v>
      </c>
      <c r="L646">
        <v>0.2682000370113431</v>
      </c>
      <c r="M646">
        <v>114.980860148518</v>
      </c>
      <c r="N646">
        <v>126.47894616336981</v>
      </c>
    </row>
    <row r="647" spans="1:14">
      <c r="A647" t="s">
        <v>726</v>
      </c>
      <c r="B647" t="s">
        <v>1965</v>
      </c>
      <c r="C647" t="s">
        <v>1966</v>
      </c>
      <c r="D647" t="s">
        <v>11</v>
      </c>
      <c r="E647" t="s">
        <v>13</v>
      </c>
      <c r="F647" t="s">
        <v>729</v>
      </c>
      <c r="G647" t="s">
        <v>12</v>
      </c>
      <c r="I647" t="s">
        <v>1965</v>
      </c>
      <c r="J647" t="s">
        <v>3595</v>
      </c>
      <c r="K647">
        <v>31.422742604029768</v>
      </c>
      <c r="L647">
        <v>0.25859816070962932</v>
      </c>
      <c r="M647">
        <v>56.160992011555024</v>
      </c>
      <c r="N647">
        <v>61.77709121271053</v>
      </c>
    </row>
    <row r="648" spans="1:14">
      <c r="A648" t="s">
        <v>726</v>
      </c>
      <c r="B648" t="s">
        <v>1967</v>
      </c>
      <c r="C648" t="s">
        <v>1968</v>
      </c>
      <c r="D648" t="s">
        <v>11</v>
      </c>
      <c r="E648" t="s">
        <v>13</v>
      </c>
      <c r="F648" t="s">
        <v>729</v>
      </c>
      <c r="G648" t="s">
        <v>12</v>
      </c>
      <c r="I648" t="s">
        <v>1967</v>
      </c>
      <c r="J648" t="s">
        <v>3596</v>
      </c>
      <c r="K648">
        <v>131.18747682531964</v>
      </c>
      <c r="L648">
        <v>0.27879392049530161</v>
      </c>
      <c r="M648">
        <v>112.69986205536708</v>
      </c>
      <c r="N648">
        <v>123.9698482609038</v>
      </c>
    </row>
    <row r="649" spans="1:14">
      <c r="A649" t="s">
        <v>726</v>
      </c>
      <c r="B649" t="s">
        <v>1969</v>
      </c>
      <c r="C649" t="s">
        <v>1970</v>
      </c>
      <c r="D649" t="s">
        <v>11</v>
      </c>
      <c r="E649" t="s">
        <v>13</v>
      </c>
      <c r="F649" t="s">
        <v>729</v>
      </c>
      <c r="G649" t="s">
        <v>12</v>
      </c>
      <c r="I649" t="s">
        <v>1969</v>
      </c>
      <c r="J649" t="s">
        <v>3597</v>
      </c>
      <c r="K649">
        <v>188.704601663256</v>
      </c>
      <c r="L649">
        <v>0.28397095401410227</v>
      </c>
      <c r="M649">
        <v>174.17172736052237</v>
      </c>
      <c r="N649">
        <v>191.58890009657463</v>
      </c>
    </row>
    <row r="650" spans="1:14">
      <c r="A650" t="s">
        <v>726</v>
      </c>
      <c r="B650" t="s">
        <v>1971</v>
      </c>
      <c r="C650" t="s">
        <v>1972</v>
      </c>
      <c r="D650" t="s">
        <v>11</v>
      </c>
      <c r="E650" t="s">
        <v>13</v>
      </c>
      <c r="F650" t="s">
        <v>729</v>
      </c>
      <c r="G650" t="s">
        <v>12</v>
      </c>
      <c r="I650" t="s">
        <v>1971</v>
      </c>
      <c r="J650" t="s">
        <v>3598</v>
      </c>
      <c r="K650">
        <v>0.76174865951742632</v>
      </c>
      <c r="L650">
        <v>0.25063889675750411</v>
      </c>
      <c r="M650">
        <v>60.868098459206152</v>
      </c>
      <c r="N650">
        <v>66.954908305126779</v>
      </c>
    </row>
    <row r="651" spans="1:14">
      <c r="A651" t="s">
        <v>726</v>
      </c>
      <c r="B651" t="s">
        <v>1973</v>
      </c>
      <c r="C651" t="s">
        <v>1974</v>
      </c>
      <c r="D651" t="s">
        <v>11</v>
      </c>
      <c r="E651" t="s">
        <v>13</v>
      </c>
      <c r="F651" t="s">
        <v>729</v>
      </c>
      <c r="G651" t="s">
        <v>12</v>
      </c>
      <c r="I651" t="s">
        <v>1973</v>
      </c>
      <c r="J651" t="s">
        <v>3599</v>
      </c>
      <c r="K651">
        <v>165.93604388247041</v>
      </c>
      <c r="L651">
        <v>0.28068348662903148</v>
      </c>
      <c r="M651">
        <v>126.67605842537898</v>
      </c>
      <c r="N651">
        <v>139.34366426791689</v>
      </c>
    </row>
    <row r="652" spans="1:14">
      <c r="A652" t="s">
        <v>726</v>
      </c>
      <c r="B652" t="s">
        <v>1975</v>
      </c>
      <c r="C652" t="s">
        <v>1976</v>
      </c>
      <c r="D652" t="s">
        <v>11</v>
      </c>
      <c r="E652" t="s">
        <v>13</v>
      </c>
      <c r="F652" t="s">
        <v>729</v>
      </c>
      <c r="G652" t="s">
        <v>12</v>
      </c>
      <c r="I652" t="s">
        <v>1975</v>
      </c>
      <c r="J652" t="s">
        <v>3600</v>
      </c>
      <c r="K652">
        <v>34.030374772298778</v>
      </c>
      <c r="L652">
        <v>0.22000959624892669</v>
      </c>
      <c r="M652">
        <v>88.239692383577491</v>
      </c>
      <c r="N652">
        <v>97.063661621935253</v>
      </c>
    </row>
    <row r="653" spans="1:14">
      <c r="A653" t="s">
        <v>726</v>
      </c>
      <c r="B653" t="s">
        <v>1977</v>
      </c>
      <c r="C653" t="s">
        <v>1978</v>
      </c>
      <c r="D653" t="s">
        <v>11</v>
      </c>
      <c r="E653" t="s">
        <v>13</v>
      </c>
      <c r="F653" t="s">
        <v>729</v>
      </c>
      <c r="G653" t="s">
        <v>12</v>
      </c>
      <c r="I653" t="s">
        <v>1977</v>
      </c>
      <c r="J653" t="s">
        <v>3601</v>
      </c>
      <c r="K653">
        <v>139.77619797552705</v>
      </c>
      <c r="L653">
        <v>0.26662913628286689</v>
      </c>
      <c r="M653">
        <v>155.39910640223457</v>
      </c>
      <c r="N653">
        <v>170.93901704245803</v>
      </c>
    </row>
    <row r="654" spans="1:14">
      <c r="A654" t="s">
        <v>726</v>
      </c>
      <c r="B654" t="s">
        <v>1979</v>
      </c>
      <c r="C654" t="s">
        <v>1980</v>
      </c>
      <c r="D654" t="s">
        <v>11</v>
      </c>
      <c r="E654" t="s">
        <v>13</v>
      </c>
      <c r="F654" t="s">
        <v>729</v>
      </c>
      <c r="G654" t="s">
        <v>12</v>
      </c>
      <c r="I654" t="s">
        <v>1979</v>
      </c>
      <c r="J654" t="s">
        <v>3602</v>
      </c>
      <c r="K654">
        <v>89.707068689352141</v>
      </c>
      <c r="L654">
        <v>0.2354859041704869</v>
      </c>
      <c r="M654">
        <v>63.118077717171033</v>
      </c>
      <c r="N654">
        <v>69.429885488888146</v>
      </c>
    </row>
    <row r="655" spans="1:14">
      <c r="A655" t="s">
        <v>726</v>
      </c>
      <c r="B655" t="s">
        <v>1981</v>
      </c>
      <c r="C655" t="s">
        <v>1982</v>
      </c>
      <c r="D655" t="s">
        <v>11</v>
      </c>
      <c r="E655" t="s">
        <v>13</v>
      </c>
      <c r="F655" t="s">
        <v>729</v>
      </c>
      <c r="G655" t="s">
        <v>12</v>
      </c>
      <c r="I655" t="s">
        <v>1981</v>
      </c>
      <c r="J655" t="s">
        <v>3603</v>
      </c>
      <c r="K655">
        <v>3.2500728161411607</v>
      </c>
      <c r="L655">
        <v>0.20115301899339741</v>
      </c>
      <c r="M655">
        <v>25.482052657867008</v>
      </c>
      <c r="N655">
        <v>28.030257923653711</v>
      </c>
    </row>
    <row r="656" spans="1:14">
      <c r="A656" t="s">
        <v>726</v>
      </c>
      <c r="B656" t="s">
        <v>1983</v>
      </c>
      <c r="C656" t="s">
        <v>1984</v>
      </c>
      <c r="D656" t="s">
        <v>11</v>
      </c>
      <c r="E656" t="s">
        <v>13</v>
      </c>
      <c r="F656" t="s">
        <v>729</v>
      </c>
      <c r="G656" t="s">
        <v>12</v>
      </c>
      <c r="I656" t="s">
        <v>1983</v>
      </c>
      <c r="J656" t="s">
        <v>3604</v>
      </c>
      <c r="K656">
        <v>2.9262187309890471</v>
      </c>
      <c r="L656">
        <v>0.2036293479729204</v>
      </c>
      <c r="M656">
        <v>27.406712255615329</v>
      </c>
      <c r="N656">
        <v>30.147383481176863</v>
      </c>
    </row>
    <row r="657" spans="1:14">
      <c r="A657" t="s">
        <v>726</v>
      </c>
      <c r="B657" t="s">
        <v>1985</v>
      </c>
      <c r="C657" t="s">
        <v>1986</v>
      </c>
      <c r="D657" t="s">
        <v>11</v>
      </c>
      <c r="E657" t="s">
        <v>13</v>
      </c>
      <c r="F657" t="s">
        <v>729</v>
      </c>
      <c r="G657" t="s">
        <v>12</v>
      </c>
      <c r="I657" t="s">
        <v>1985</v>
      </c>
      <c r="J657" t="s">
        <v>3605</v>
      </c>
      <c r="K657">
        <v>2.4465254922863848</v>
      </c>
      <c r="L657">
        <v>0.19887751077647961</v>
      </c>
      <c r="M657">
        <v>17.793348563470886</v>
      </c>
      <c r="N657">
        <v>19.572683419817977</v>
      </c>
    </row>
    <row r="658" spans="1:14">
      <c r="A658" t="s">
        <v>726</v>
      </c>
      <c r="B658" t="s">
        <v>1987</v>
      </c>
      <c r="C658" t="s">
        <v>1988</v>
      </c>
      <c r="D658" t="s">
        <v>11</v>
      </c>
      <c r="E658" t="s">
        <v>13</v>
      </c>
      <c r="F658" t="s">
        <v>729</v>
      </c>
      <c r="G658" t="s">
        <v>12</v>
      </c>
      <c r="I658" t="s">
        <v>1987</v>
      </c>
      <c r="J658" t="s">
        <v>3606</v>
      </c>
      <c r="K658">
        <v>3.0982767588654925</v>
      </c>
      <c r="L658">
        <v>0.20324614341016409</v>
      </c>
      <c r="M658">
        <v>21.586016180614461</v>
      </c>
      <c r="N658">
        <v>23.744617798675907</v>
      </c>
    </row>
    <row r="659" spans="1:14">
      <c r="A659" t="s">
        <v>726</v>
      </c>
      <c r="B659" t="s">
        <v>1989</v>
      </c>
      <c r="C659" t="s">
        <v>1990</v>
      </c>
      <c r="D659" t="s">
        <v>11</v>
      </c>
      <c r="E659" t="s">
        <v>13</v>
      </c>
      <c r="F659" t="s">
        <v>729</v>
      </c>
      <c r="G659" t="s">
        <v>12</v>
      </c>
      <c r="I659" t="s">
        <v>1989</v>
      </c>
      <c r="J659" t="s">
        <v>3607</v>
      </c>
      <c r="K659">
        <v>232.90976811421652</v>
      </c>
      <c r="L659">
        <v>0.27134854296535271</v>
      </c>
      <c r="M659">
        <v>252.65697119613705</v>
      </c>
      <c r="N659">
        <v>277.9226683157508</v>
      </c>
    </row>
    <row r="660" spans="1:14">
      <c r="A660" t="s">
        <v>726</v>
      </c>
      <c r="B660" t="s">
        <v>1991</v>
      </c>
      <c r="C660" t="s">
        <v>1992</v>
      </c>
      <c r="D660" t="s">
        <v>11</v>
      </c>
      <c r="E660" t="s">
        <v>13</v>
      </c>
      <c r="F660" t="s">
        <v>729</v>
      </c>
      <c r="G660" t="s">
        <v>12</v>
      </c>
      <c r="I660" t="s">
        <v>1991</v>
      </c>
      <c r="J660" t="s">
        <v>3608</v>
      </c>
      <c r="K660">
        <v>53.975514033698637</v>
      </c>
      <c r="L660">
        <v>0.25911243770025572</v>
      </c>
      <c r="M660">
        <v>57.925532949930123</v>
      </c>
      <c r="N660">
        <v>63.718086244923143</v>
      </c>
    </row>
    <row r="661" spans="1:14">
      <c r="A661" t="s">
        <v>726</v>
      </c>
      <c r="B661" t="s">
        <v>1993</v>
      </c>
      <c r="C661" t="s">
        <v>1994</v>
      </c>
      <c r="D661" t="s">
        <v>11</v>
      </c>
      <c r="E661" t="s">
        <v>13</v>
      </c>
      <c r="F661" t="s">
        <v>729</v>
      </c>
      <c r="G661" t="s">
        <v>12</v>
      </c>
      <c r="I661" t="s">
        <v>1993</v>
      </c>
      <c r="J661" t="s">
        <v>3609</v>
      </c>
      <c r="K661">
        <v>98.912845281304286</v>
      </c>
      <c r="L661">
        <v>0.27772902740798072</v>
      </c>
      <c r="M661">
        <v>587.60937529714022</v>
      </c>
      <c r="N661">
        <v>646.37031282685427</v>
      </c>
    </row>
    <row r="662" spans="1:14">
      <c r="A662" t="s">
        <v>726</v>
      </c>
      <c r="B662" t="s">
        <v>1995</v>
      </c>
      <c r="C662" t="s">
        <v>1996</v>
      </c>
      <c r="D662" t="s">
        <v>11</v>
      </c>
      <c r="E662" t="s">
        <v>13</v>
      </c>
      <c r="F662" t="s">
        <v>729</v>
      </c>
      <c r="G662" t="s">
        <v>12</v>
      </c>
      <c r="I662" t="s">
        <v>1995</v>
      </c>
      <c r="J662" t="s">
        <v>3610</v>
      </c>
      <c r="K662">
        <v>185.60413498304789</v>
      </c>
      <c r="L662">
        <v>0.27511085233099081</v>
      </c>
      <c r="M662">
        <v>301.40777687773118</v>
      </c>
      <c r="N662">
        <v>331.54855456550433</v>
      </c>
    </row>
    <row r="663" spans="1:14">
      <c r="A663" t="s">
        <v>726</v>
      </c>
      <c r="B663" t="s">
        <v>1997</v>
      </c>
      <c r="C663" t="s">
        <v>1998</v>
      </c>
      <c r="D663" t="s">
        <v>11</v>
      </c>
      <c r="E663" t="s">
        <v>13</v>
      </c>
      <c r="F663" t="s">
        <v>729</v>
      </c>
      <c r="G663" t="s">
        <v>12</v>
      </c>
      <c r="I663" t="s">
        <v>1997</v>
      </c>
      <c r="J663" t="s">
        <v>3611</v>
      </c>
      <c r="K663">
        <v>108.42865195793728</v>
      </c>
      <c r="L663">
        <v>0.27861170956561471</v>
      </c>
      <c r="M663">
        <v>417.69180035463683</v>
      </c>
      <c r="N663">
        <v>459.46098039010053</v>
      </c>
    </row>
    <row r="664" spans="1:14">
      <c r="A664" t="s">
        <v>726</v>
      </c>
      <c r="B664" t="s">
        <v>1999</v>
      </c>
      <c r="C664" t="s">
        <v>1998</v>
      </c>
      <c r="D664" t="s">
        <v>11</v>
      </c>
      <c r="E664" t="s">
        <v>13</v>
      </c>
      <c r="F664" t="s">
        <v>729</v>
      </c>
      <c r="G664" t="s">
        <v>12</v>
      </c>
      <c r="I664" t="s">
        <v>1999</v>
      </c>
      <c r="J664" t="s">
        <v>3612</v>
      </c>
      <c r="K664">
        <v>120.49048140285159</v>
      </c>
      <c r="L664">
        <v>0.27601660380079313</v>
      </c>
      <c r="M664">
        <v>772.73581636507708</v>
      </c>
      <c r="N664">
        <v>850.00939800158483</v>
      </c>
    </row>
    <row r="665" spans="1:14">
      <c r="A665" t="s">
        <v>726</v>
      </c>
      <c r="B665" t="s">
        <v>2000</v>
      </c>
      <c r="C665" t="s">
        <v>2001</v>
      </c>
      <c r="D665" t="s">
        <v>11</v>
      </c>
      <c r="E665" t="s">
        <v>13</v>
      </c>
      <c r="F665" t="s">
        <v>729</v>
      </c>
      <c r="G665" t="s">
        <v>12</v>
      </c>
      <c r="I665" t="s">
        <v>2000</v>
      </c>
      <c r="J665" t="s">
        <v>3613</v>
      </c>
      <c r="K665">
        <v>47.335341510961797</v>
      </c>
      <c r="L665">
        <v>0.24757807710300181</v>
      </c>
      <c r="M665">
        <v>56.201916288534839</v>
      </c>
      <c r="N665">
        <v>61.82210791738833</v>
      </c>
    </row>
    <row r="666" spans="1:14">
      <c r="A666" t="s">
        <v>726</v>
      </c>
      <c r="B666" t="s">
        <v>2002</v>
      </c>
      <c r="C666" t="s">
        <v>2003</v>
      </c>
      <c r="D666" t="s">
        <v>11</v>
      </c>
      <c r="E666" t="s">
        <v>13</v>
      </c>
      <c r="F666" t="s">
        <v>729</v>
      </c>
      <c r="G666" t="s">
        <v>12</v>
      </c>
      <c r="I666" t="s">
        <v>2002</v>
      </c>
      <c r="J666" t="s">
        <v>3614</v>
      </c>
      <c r="K666">
        <v>24.772433243654156</v>
      </c>
      <c r="L666">
        <v>0.2373526901825373</v>
      </c>
      <c r="M666">
        <v>47.290206476065819</v>
      </c>
      <c r="N666">
        <v>52.019227123672408</v>
      </c>
    </row>
    <row r="667" spans="1:14">
      <c r="A667" t="s">
        <v>726</v>
      </c>
      <c r="B667" t="s">
        <v>2004</v>
      </c>
      <c r="C667" t="s">
        <v>2005</v>
      </c>
      <c r="D667" t="s">
        <v>11</v>
      </c>
      <c r="E667" t="s">
        <v>13</v>
      </c>
      <c r="F667" t="s">
        <v>729</v>
      </c>
      <c r="G667" t="s">
        <v>12</v>
      </c>
      <c r="I667" t="s">
        <v>2004</v>
      </c>
      <c r="J667" t="s">
        <v>3615</v>
      </c>
      <c r="K667">
        <v>43.523458037311784</v>
      </c>
      <c r="L667">
        <v>0.2359404564347157</v>
      </c>
      <c r="M667">
        <v>35.412452475457819</v>
      </c>
      <c r="N667">
        <v>38.953697723003607</v>
      </c>
    </row>
    <row r="668" spans="1:14">
      <c r="A668" t="s">
        <v>726</v>
      </c>
      <c r="B668" t="s">
        <v>2006</v>
      </c>
      <c r="C668" t="s">
        <v>2007</v>
      </c>
      <c r="D668" t="s">
        <v>11</v>
      </c>
      <c r="E668" t="s">
        <v>13</v>
      </c>
      <c r="F668" t="s">
        <v>729</v>
      </c>
      <c r="G668" t="s">
        <v>12</v>
      </c>
      <c r="I668" t="s">
        <v>2006</v>
      </c>
      <c r="J668" t="s">
        <v>3616</v>
      </c>
      <c r="K668">
        <v>83.257829734724297</v>
      </c>
      <c r="L668">
        <v>0.2648353936255961</v>
      </c>
      <c r="M668">
        <v>113.05991266220759</v>
      </c>
      <c r="N668">
        <v>124.36590392842837</v>
      </c>
    </row>
    <row r="669" spans="1:14">
      <c r="A669" t="s">
        <v>726</v>
      </c>
      <c r="B669" t="s">
        <v>2008</v>
      </c>
      <c r="C669" t="s">
        <v>2009</v>
      </c>
      <c r="D669" t="s">
        <v>11</v>
      </c>
      <c r="E669" t="s">
        <v>13</v>
      </c>
      <c r="F669" t="s">
        <v>729</v>
      </c>
      <c r="G669" t="s">
        <v>12</v>
      </c>
      <c r="I669" t="s">
        <v>2008</v>
      </c>
      <c r="J669" t="s">
        <v>3617</v>
      </c>
      <c r="K669">
        <v>38.404457954486787</v>
      </c>
      <c r="L669">
        <v>0.2465775857823358</v>
      </c>
      <c r="M669">
        <v>31.120799966543597</v>
      </c>
      <c r="N669">
        <v>34.232879963197959</v>
      </c>
    </row>
    <row r="670" spans="1:14">
      <c r="A670" t="s">
        <v>726</v>
      </c>
      <c r="B670" t="s">
        <v>2010</v>
      </c>
      <c r="C670" t="s">
        <v>2011</v>
      </c>
      <c r="D670" t="s">
        <v>11</v>
      </c>
      <c r="E670" t="s">
        <v>13</v>
      </c>
      <c r="F670" t="s">
        <v>729</v>
      </c>
      <c r="G670" t="s">
        <v>12</v>
      </c>
      <c r="I670" t="s">
        <v>2010</v>
      </c>
      <c r="J670" t="s">
        <v>3618</v>
      </c>
      <c r="K670">
        <v>51.120184509337683</v>
      </c>
      <c r="L670">
        <v>0.25202771726946532</v>
      </c>
      <c r="M670">
        <v>46.372197423582286</v>
      </c>
      <c r="N670">
        <v>51.009417165940519</v>
      </c>
    </row>
    <row r="671" spans="1:14">
      <c r="A671" t="s">
        <v>726</v>
      </c>
      <c r="B671" t="s">
        <v>2012</v>
      </c>
      <c r="C671" t="s">
        <v>2013</v>
      </c>
      <c r="D671" t="s">
        <v>11</v>
      </c>
      <c r="E671" t="s">
        <v>13</v>
      </c>
      <c r="F671" t="s">
        <v>729</v>
      </c>
      <c r="G671" t="s">
        <v>12</v>
      </c>
      <c r="I671" t="s">
        <v>2012</v>
      </c>
      <c r="J671" t="s">
        <v>3619</v>
      </c>
      <c r="K671">
        <v>55.658840304844276</v>
      </c>
      <c r="L671">
        <v>0.1855994857200248</v>
      </c>
      <c r="M671">
        <v>131.09876470316649</v>
      </c>
      <c r="N671">
        <v>144.20864117348316</v>
      </c>
    </row>
    <row r="672" spans="1:14">
      <c r="A672" t="s">
        <v>726</v>
      </c>
      <c r="B672" t="s">
        <v>2014</v>
      </c>
      <c r="C672" t="s">
        <v>2015</v>
      </c>
      <c r="D672" t="s">
        <v>11</v>
      </c>
      <c r="E672" t="s">
        <v>13</v>
      </c>
      <c r="F672" t="s">
        <v>729</v>
      </c>
      <c r="G672" t="s">
        <v>12</v>
      </c>
      <c r="I672" t="s">
        <v>2014</v>
      </c>
      <c r="J672" t="s">
        <v>3620</v>
      </c>
      <c r="K672">
        <v>40.226490876679883</v>
      </c>
      <c r="L672">
        <v>0.2041007681371845</v>
      </c>
      <c r="M672">
        <v>172.16268869951116</v>
      </c>
      <c r="N672">
        <v>189.3789575694623</v>
      </c>
    </row>
    <row r="673" spans="1:14">
      <c r="A673" t="s">
        <v>726</v>
      </c>
      <c r="B673" t="s">
        <v>2016</v>
      </c>
      <c r="C673" t="s">
        <v>2017</v>
      </c>
      <c r="D673" t="s">
        <v>11</v>
      </c>
      <c r="E673" t="s">
        <v>13</v>
      </c>
      <c r="F673" t="s">
        <v>729</v>
      </c>
      <c r="G673" t="s">
        <v>12</v>
      </c>
      <c r="I673" t="s">
        <v>2016</v>
      </c>
      <c r="J673" t="s">
        <v>3621</v>
      </c>
      <c r="K673">
        <v>74.006832541637124</v>
      </c>
      <c r="L673">
        <v>0.19164759565717909</v>
      </c>
      <c r="M673">
        <v>148.57959601052499</v>
      </c>
      <c r="N673">
        <v>163.43755561157749</v>
      </c>
    </row>
    <row r="674" spans="1:14">
      <c r="A674" t="s">
        <v>726</v>
      </c>
      <c r="B674" t="s">
        <v>2018</v>
      </c>
      <c r="C674" t="s">
        <v>2019</v>
      </c>
      <c r="D674" t="s">
        <v>11</v>
      </c>
      <c r="E674" t="s">
        <v>13</v>
      </c>
      <c r="F674" t="s">
        <v>729</v>
      </c>
      <c r="G674" t="s">
        <v>12</v>
      </c>
      <c r="I674" t="s">
        <v>2018</v>
      </c>
      <c r="J674" t="s">
        <v>3622</v>
      </c>
      <c r="K674">
        <v>106.35026518703178</v>
      </c>
      <c r="L674">
        <v>0.20364201482252181</v>
      </c>
      <c r="M674">
        <v>74.27793761453286</v>
      </c>
      <c r="N674">
        <v>81.705731375986147</v>
      </c>
    </row>
    <row r="675" spans="1:14">
      <c r="A675" t="s">
        <v>726</v>
      </c>
      <c r="B675" t="s">
        <v>2020</v>
      </c>
      <c r="C675" t="s">
        <v>2021</v>
      </c>
      <c r="D675" t="s">
        <v>11</v>
      </c>
      <c r="E675" t="s">
        <v>13</v>
      </c>
      <c r="F675" t="s">
        <v>729</v>
      </c>
      <c r="G675" t="s">
        <v>12</v>
      </c>
      <c r="I675" t="s">
        <v>2020</v>
      </c>
      <c r="J675" t="s">
        <v>3623</v>
      </c>
      <c r="K675">
        <v>52.991277825869254</v>
      </c>
      <c r="L675">
        <v>0.19819808225870189</v>
      </c>
      <c r="M675">
        <v>58.643880079615457</v>
      </c>
      <c r="N675">
        <v>64.508268087577008</v>
      </c>
    </row>
    <row r="676" spans="1:14">
      <c r="A676" t="s">
        <v>726</v>
      </c>
      <c r="B676" t="s">
        <v>2022</v>
      </c>
      <c r="C676" t="s">
        <v>2023</v>
      </c>
      <c r="D676" t="s">
        <v>11</v>
      </c>
      <c r="E676" t="s">
        <v>13</v>
      </c>
      <c r="F676" t="s">
        <v>729</v>
      </c>
      <c r="G676" t="s">
        <v>12</v>
      </c>
      <c r="I676" t="s">
        <v>2022</v>
      </c>
      <c r="J676" t="s">
        <v>3624</v>
      </c>
      <c r="K676">
        <v>35.3847688692817</v>
      </c>
      <c r="L676">
        <v>0.19184071584309059</v>
      </c>
      <c r="M676">
        <v>129.24966724025148</v>
      </c>
      <c r="N676">
        <v>142.17463396427664</v>
      </c>
    </row>
    <row r="677" spans="1:14">
      <c r="A677" t="s">
        <v>726</v>
      </c>
      <c r="B677" t="s">
        <v>2024</v>
      </c>
      <c r="C677" t="s">
        <v>2025</v>
      </c>
      <c r="D677" t="s">
        <v>11</v>
      </c>
      <c r="E677" t="s">
        <v>13</v>
      </c>
      <c r="F677" t="s">
        <v>729</v>
      </c>
      <c r="G677" t="s">
        <v>12</v>
      </c>
      <c r="I677" t="s">
        <v>2024</v>
      </c>
      <c r="J677" t="s">
        <v>3625</v>
      </c>
      <c r="K677">
        <v>30.410447509107581</v>
      </c>
      <c r="L677">
        <v>0.1960385898463331</v>
      </c>
      <c r="M677">
        <v>69.385745099194381</v>
      </c>
      <c r="N677">
        <v>76.324319609113829</v>
      </c>
    </row>
    <row r="678" spans="1:14">
      <c r="A678" t="s">
        <v>726</v>
      </c>
      <c r="B678" t="s">
        <v>2026</v>
      </c>
      <c r="C678" t="s">
        <v>2027</v>
      </c>
      <c r="D678" t="s">
        <v>11</v>
      </c>
      <c r="E678" t="s">
        <v>13</v>
      </c>
      <c r="F678" t="s">
        <v>729</v>
      </c>
      <c r="G678" t="s">
        <v>12</v>
      </c>
      <c r="I678" t="s">
        <v>2026</v>
      </c>
      <c r="J678" t="s">
        <v>3626</v>
      </c>
      <c r="K678">
        <v>167.6218285557101</v>
      </c>
      <c r="L678">
        <v>0.20159801073891229</v>
      </c>
      <c r="M678">
        <v>62.813053498234851</v>
      </c>
      <c r="N678">
        <v>69.094358848058334</v>
      </c>
    </row>
    <row r="679" spans="1:14">
      <c r="A679" t="s">
        <v>726</v>
      </c>
      <c r="B679" t="s">
        <v>2028</v>
      </c>
      <c r="C679" t="s">
        <v>2029</v>
      </c>
      <c r="D679" t="s">
        <v>11</v>
      </c>
      <c r="E679" t="s">
        <v>13</v>
      </c>
      <c r="F679" t="s">
        <v>729</v>
      </c>
      <c r="G679" t="s">
        <v>12</v>
      </c>
      <c r="I679" t="s">
        <v>2028</v>
      </c>
      <c r="J679" t="s">
        <v>3627</v>
      </c>
      <c r="K679">
        <v>65.896283816337274</v>
      </c>
      <c r="L679">
        <v>0.19232057964826479</v>
      </c>
      <c r="M679">
        <v>54.51966313424569</v>
      </c>
      <c r="N679">
        <v>59.97162944767026</v>
      </c>
    </row>
    <row r="680" spans="1:14">
      <c r="A680" t="s">
        <v>726</v>
      </c>
      <c r="B680" t="s">
        <v>2030</v>
      </c>
      <c r="C680" t="s">
        <v>2031</v>
      </c>
      <c r="D680" t="s">
        <v>11</v>
      </c>
      <c r="E680" t="s">
        <v>13</v>
      </c>
      <c r="F680" t="s">
        <v>729</v>
      </c>
      <c r="G680" t="s">
        <v>12</v>
      </c>
      <c r="I680" t="s">
        <v>2030</v>
      </c>
      <c r="J680" t="s">
        <v>3628</v>
      </c>
      <c r="K680">
        <v>50.407099083357593</v>
      </c>
      <c r="L680">
        <v>0.1869851628500914</v>
      </c>
      <c r="M680">
        <v>68.437449258171057</v>
      </c>
      <c r="N680">
        <v>75.281194183988163</v>
      </c>
    </row>
    <row r="681" spans="1:14">
      <c r="A681" t="s">
        <v>726</v>
      </c>
      <c r="B681" t="s">
        <v>2032</v>
      </c>
      <c r="C681" t="s">
        <v>2033</v>
      </c>
      <c r="D681" t="s">
        <v>11</v>
      </c>
      <c r="E681" t="s">
        <v>13</v>
      </c>
      <c r="F681" t="s">
        <v>729</v>
      </c>
      <c r="G681" t="s">
        <v>12</v>
      </c>
      <c r="I681" t="s">
        <v>2032</v>
      </c>
      <c r="J681" t="s">
        <v>3629</v>
      </c>
      <c r="K681">
        <v>3.1403582017044602</v>
      </c>
      <c r="L681">
        <v>0.19332335363028191</v>
      </c>
      <c r="M681">
        <v>18.85292872651133</v>
      </c>
      <c r="N681">
        <v>20.738221599162465</v>
      </c>
    </row>
    <row r="682" spans="1:14">
      <c r="A682" t="s">
        <v>726</v>
      </c>
      <c r="B682" t="s">
        <v>2034</v>
      </c>
      <c r="C682" t="s">
        <v>2035</v>
      </c>
      <c r="D682" t="s">
        <v>11</v>
      </c>
      <c r="E682" t="s">
        <v>13</v>
      </c>
      <c r="F682" t="s">
        <v>729</v>
      </c>
      <c r="G682" t="s">
        <v>12</v>
      </c>
      <c r="I682" t="s">
        <v>2034</v>
      </c>
      <c r="J682" t="s">
        <v>3630</v>
      </c>
      <c r="K682">
        <v>0.61275465450374211</v>
      </c>
      <c r="L682">
        <v>0.1896958774260378</v>
      </c>
      <c r="M682">
        <v>44.815191102100883</v>
      </c>
      <c r="N682">
        <v>49.296710212310977</v>
      </c>
    </row>
    <row r="683" spans="1:14">
      <c r="A683" t="s">
        <v>726</v>
      </c>
      <c r="B683" t="s">
        <v>2036</v>
      </c>
      <c r="C683" t="s">
        <v>2037</v>
      </c>
      <c r="D683" t="s">
        <v>11</v>
      </c>
      <c r="E683" t="s">
        <v>13</v>
      </c>
      <c r="F683" t="s">
        <v>729</v>
      </c>
      <c r="G683" t="s">
        <v>12</v>
      </c>
      <c r="I683" t="s">
        <v>2036</v>
      </c>
      <c r="J683" t="s">
        <v>3631</v>
      </c>
      <c r="K683">
        <v>0.98789041580667591</v>
      </c>
      <c r="L683">
        <v>0.1883730832846901</v>
      </c>
      <c r="M683">
        <v>27.323608403469571</v>
      </c>
      <c r="N683">
        <v>30.055969243816531</v>
      </c>
    </row>
    <row r="684" spans="1:14">
      <c r="A684" t="s">
        <v>726</v>
      </c>
      <c r="B684" t="s">
        <v>2038</v>
      </c>
      <c r="C684" t="s">
        <v>2039</v>
      </c>
      <c r="D684" t="s">
        <v>11</v>
      </c>
      <c r="E684" t="s">
        <v>13</v>
      </c>
      <c r="F684" t="s">
        <v>729</v>
      </c>
      <c r="G684" t="s">
        <v>12</v>
      </c>
      <c r="I684" t="s">
        <v>2038</v>
      </c>
      <c r="J684" t="s">
        <v>3632</v>
      </c>
      <c r="K684">
        <v>71.73010898277191</v>
      </c>
      <c r="L684">
        <v>0.25101571132811218</v>
      </c>
      <c r="M684">
        <v>909.85802365518418</v>
      </c>
      <c r="N684">
        <v>1000.8438260207026</v>
      </c>
    </row>
    <row r="685" spans="1:14">
      <c r="A685" t="s">
        <v>726</v>
      </c>
      <c r="B685" t="s">
        <v>2040</v>
      </c>
      <c r="C685" t="s">
        <v>2041</v>
      </c>
      <c r="D685" t="s">
        <v>11</v>
      </c>
      <c r="E685" t="s">
        <v>13</v>
      </c>
      <c r="F685" t="s">
        <v>729</v>
      </c>
      <c r="G685" t="s">
        <v>12</v>
      </c>
      <c r="I685" t="s">
        <v>2040</v>
      </c>
      <c r="J685" t="s">
        <v>3633</v>
      </c>
      <c r="K685">
        <v>91.225844970732993</v>
      </c>
      <c r="L685">
        <v>0.23844183219832199</v>
      </c>
      <c r="M685">
        <v>878.04378060278066</v>
      </c>
      <c r="N685">
        <v>965.84815866305883</v>
      </c>
    </row>
    <row r="686" spans="1:14">
      <c r="A686" t="s">
        <v>726</v>
      </c>
      <c r="B686" t="s">
        <v>2042</v>
      </c>
      <c r="C686" t="s">
        <v>2043</v>
      </c>
      <c r="D686" t="s">
        <v>11</v>
      </c>
      <c r="E686" t="s">
        <v>13</v>
      </c>
      <c r="F686" t="s">
        <v>729</v>
      </c>
      <c r="G686" t="s">
        <v>12</v>
      </c>
      <c r="I686" t="s">
        <v>2042</v>
      </c>
      <c r="J686" t="s">
        <v>3634</v>
      </c>
      <c r="K686">
        <v>27.558108561118797</v>
      </c>
      <c r="L686">
        <v>0.25414000859441699</v>
      </c>
      <c r="M686">
        <v>398.96063913237498</v>
      </c>
      <c r="N686">
        <v>438.85670304561251</v>
      </c>
    </row>
    <row r="687" spans="1:14">
      <c r="A687" t="s">
        <v>726</v>
      </c>
      <c r="B687" t="s">
        <v>2044</v>
      </c>
      <c r="C687" t="s">
        <v>2045</v>
      </c>
      <c r="D687" t="s">
        <v>11</v>
      </c>
      <c r="E687" t="s">
        <v>13</v>
      </c>
      <c r="F687" t="s">
        <v>729</v>
      </c>
      <c r="G687" t="s">
        <v>12</v>
      </c>
      <c r="I687" t="s">
        <v>2044</v>
      </c>
      <c r="J687" t="s">
        <v>3635</v>
      </c>
      <c r="K687">
        <v>236.17127809689367</v>
      </c>
      <c r="L687">
        <v>0.25292590445419633</v>
      </c>
      <c r="M687">
        <v>689.70850216470433</v>
      </c>
      <c r="N687">
        <v>758.67935238117479</v>
      </c>
    </row>
    <row r="688" spans="1:14">
      <c r="A688" t="s">
        <v>726</v>
      </c>
      <c r="B688" t="s">
        <v>2046</v>
      </c>
      <c r="C688" t="s">
        <v>2047</v>
      </c>
      <c r="D688" t="s">
        <v>11</v>
      </c>
      <c r="E688" t="s">
        <v>13</v>
      </c>
      <c r="F688" t="s">
        <v>729</v>
      </c>
      <c r="G688" t="s">
        <v>12</v>
      </c>
      <c r="I688" t="s">
        <v>2046</v>
      </c>
      <c r="J688" t="s">
        <v>3636</v>
      </c>
      <c r="K688">
        <v>107.27426091697235</v>
      </c>
      <c r="L688">
        <v>0.24755707694215601</v>
      </c>
      <c r="M688">
        <v>609.08735982148971</v>
      </c>
      <c r="N688">
        <v>669.9960958036387</v>
      </c>
    </row>
    <row r="689" spans="1:14">
      <c r="A689" t="s">
        <v>726</v>
      </c>
      <c r="B689" t="s">
        <v>2048</v>
      </c>
      <c r="C689" t="s">
        <v>2049</v>
      </c>
      <c r="D689" t="s">
        <v>11</v>
      </c>
      <c r="E689" t="s">
        <v>13</v>
      </c>
      <c r="F689" t="s">
        <v>729</v>
      </c>
      <c r="G689" t="s">
        <v>12</v>
      </c>
      <c r="I689" t="s">
        <v>2048</v>
      </c>
      <c r="J689" t="s">
        <v>3637</v>
      </c>
      <c r="K689">
        <v>10.050345656069673</v>
      </c>
      <c r="L689">
        <v>0.23689966060714851</v>
      </c>
      <c r="M689">
        <v>158.11347051588692</v>
      </c>
      <c r="N689">
        <v>173.92481756747563</v>
      </c>
    </row>
    <row r="690" spans="1:14">
      <c r="A690" t="s">
        <v>726</v>
      </c>
      <c r="B690" t="s">
        <v>2050</v>
      </c>
      <c r="C690" t="s">
        <v>2051</v>
      </c>
      <c r="D690" t="s">
        <v>11</v>
      </c>
      <c r="E690" t="s">
        <v>13</v>
      </c>
      <c r="F690" t="s">
        <v>729</v>
      </c>
      <c r="G690" t="s">
        <v>12</v>
      </c>
      <c r="I690" t="s">
        <v>2050</v>
      </c>
      <c r="J690" t="s">
        <v>3638</v>
      </c>
      <c r="K690">
        <v>50.107778798183205</v>
      </c>
      <c r="L690">
        <v>0.21501137095847619</v>
      </c>
      <c r="M690">
        <v>1181.4393558469108</v>
      </c>
      <c r="N690">
        <v>1299.583291431602</v>
      </c>
    </row>
    <row r="691" spans="1:14">
      <c r="A691" t="s">
        <v>726</v>
      </c>
      <c r="B691" t="s">
        <v>2052</v>
      </c>
      <c r="C691" t="s">
        <v>2051</v>
      </c>
      <c r="D691" t="s">
        <v>11</v>
      </c>
      <c r="E691" t="s">
        <v>13</v>
      </c>
      <c r="F691" t="s">
        <v>729</v>
      </c>
      <c r="G691" t="s">
        <v>12</v>
      </c>
      <c r="I691" t="s">
        <v>2052</v>
      </c>
      <c r="J691" t="s">
        <v>3639</v>
      </c>
      <c r="K691">
        <v>67.517956573998831</v>
      </c>
      <c r="L691">
        <v>0.2135861614110936</v>
      </c>
      <c r="M691">
        <v>810.54128081697479</v>
      </c>
      <c r="N691">
        <v>891.5954088986723</v>
      </c>
    </row>
    <row r="692" spans="1:14">
      <c r="A692" t="s">
        <v>726</v>
      </c>
      <c r="B692" t="s">
        <v>2053</v>
      </c>
      <c r="C692" t="s">
        <v>2054</v>
      </c>
      <c r="D692" t="s">
        <v>11</v>
      </c>
      <c r="E692" t="s">
        <v>13</v>
      </c>
      <c r="F692" t="s">
        <v>729</v>
      </c>
      <c r="G692" t="s">
        <v>12</v>
      </c>
      <c r="I692" t="s">
        <v>2053</v>
      </c>
      <c r="J692" t="s">
        <v>3640</v>
      </c>
      <c r="K692">
        <v>105.53767020857414</v>
      </c>
      <c r="L692">
        <v>0.22306421305576141</v>
      </c>
      <c r="M692">
        <v>772.40333816239252</v>
      </c>
      <c r="N692">
        <v>849.6436719786318</v>
      </c>
    </row>
    <row r="693" spans="1:14">
      <c r="A693" t="s">
        <v>726</v>
      </c>
      <c r="B693" t="s">
        <v>2055</v>
      </c>
      <c r="C693" t="s">
        <v>2056</v>
      </c>
      <c r="D693" t="s">
        <v>11</v>
      </c>
      <c r="E693" t="s">
        <v>13</v>
      </c>
      <c r="F693" t="s">
        <v>729</v>
      </c>
      <c r="G693" t="s">
        <v>12</v>
      </c>
      <c r="I693" t="s">
        <v>2055</v>
      </c>
      <c r="J693" t="s">
        <v>3641</v>
      </c>
      <c r="K693">
        <v>31.730338661324151</v>
      </c>
      <c r="L693">
        <v>0.22246087078689469</v>
      </c>
      <c r="M693">
        <v>144.31609759818815</v>
      </c>
      <c r="N693">
        <v>158.74770735800698</v>
      </c>
    </row>
    <row r="694" spans="1:14">
      <c r="A694" t="s">
        <v>726</v>
      </c>
      <c r="B694" t="s">
        <v>2057</v>
      </c>
      <c r="C694" t="s">
        <v>2058</v>
      </c>
      <c r="D694" t="s">
        <v>11</v>
      </c>
      <c r="E694" t="s">
        <v>13</v>
      </c>
      <c r="F694" t="s">
        <v>729</v>
      </c>
      <c r="G694" t="s">
        <v>12</v>
      </c>
      <c r="I694" t="s">
        <v>2057</v>
      </c>
      <c r="J694" t="s">
        <v>3642</v>
      </c>
      <c r="K694">
        <v>36.313105199981003</v>
      </c>
      <c r="L694">
        <v>0.2309436572289893</v>
      </c>
      <c r="M694">
        <v>228.04443047251581</v>
      </c>
      <c r="N694">
        <v>250.84887351976741</v>
      </c>
    </row>
    <row r="695" spans="1:14">
      <c r="A695" t="s">
        <v>726</v>
      </c>
      <c r="B695" t="s">
        <v>2059</v>
      </c>
      <c r="C695" t="s">
        <v>2060</v>
      </c>
      <c r="D695" t="s">
        <v>11</v>
      </c>
      <c r="E695" t="s">
        <v>13</v>
      </c>
      <c r="F695" t="s">
        <v>729</v>
      </c>
      <c r="G695" t="s">
        <v>12</v>
      </c>
      <c r="I695" t="s">
        <v>2059</v>
      </c>
      <c r="J695" t="s">
        <v>3643</v>
      </c>
      <c r="K695">
        <v>267.9159629796215</v>
      </c>
      <c r="L695">
        <v>0.2433578499718112</v>
      </c>
      <c r="M695">
        <v>559.92311329678989</v>
      </c>
      <c r="N695">
        <v>615.91542462646896</v>
      </c>
    </row>
    <row r="696" spans="1:14">
      <c r="A696" t="s">
        <v>726</v>
      </c>
      <c r="B696" t="s">
        <v>2061</v>
      </c>
      <c r="C696" t="s">
        <v>2062</v>
      </c>
      <c r="D696" t="s">
        <v>11</v>
      </c>
      <c r="E696" t="s">
        <v>13</v>
      </c>
      <c r="F696" t="s">
        <v>729</v>
      </c>
      <c r="G696" t="s">
        <v>12</v>
      </c>
      <c r="I696" t="s">
        <v>2061</v>
      </c>
      <c r="J696" t="s">
        <v>3644</v>
      </c>
      <c r="K696">
        <v>138.67069881372737</v>
      </c>
      <c r="L696">
        <v>0.23724749518106991</v>
      </c>
      <c r="M696">
        <v>629.82741186100338</v>
      </c>
      <c r="N696">
        <v>692.81015304710377</v>
      </c>
    </row>
    <row r="697" spans="1:14">
      <c r="A697" t="s">
        <v>726</v>
      </c>
      <c r="B697" t="s">
        <v>2063</v>
      </c>
      <c r="C697" t="s">
        <v>2064</v>
      </c>
      <c r="D697" t="s">
        <v>11</v>
      </c>
      <c r="E697" t="s">
        <v>13</v>
      </c>
      <c r="F697" t="s">
        <v>729</v>
      </c>
      <c r="G697" t="s">
        <v>12</v>
      </c>
      <c r="I697" t="s">
        <v>2063</v>
      </c>
      <c r="J697" t="s">
        <v>3645</v>
      </c>
      <c r="K697">
        <v>142.27922568904424</v>
      </c>
      <c r="L697">
        <v>0.23290669950313561</v>
      </c>
      <c r="M697">
        <v>304.419934414816</v>
      </c>
      <c r="N697">
        <v>334.8619278562976</v>
      </c>
    </row>
    <row r="698" spans="1:14">
      <c r="A698" t="s">
        <v>726</v>
      </c>
      <c r="B698" t="s">
        <v>2065</v>
      </c>
      <c r="C698" t="s">
        <v>2066</v>
      </c>
      <c r="D698" t="s">
        <v>11</v>
      </c>
      <c r="E698" t="s">
        <v>13</v>
      </c>
      <c r="F698" t="s">
        <v>729</v>
      </c>
      <c r="G698" t="s">
        <v>12</v>
      </c>
      <c r="I698" t="s">
        <v>2065</v>
      </c>
      <c r="J698" t="s">
        <v>3646</v>
      </c>
      <c r="K698">
        <v>29.195314134188081</v>
      </c>
      <c r="L698">
        <v>0.20802886670729309</v>
      </c>
      <c r="M698">
        <v>320.10872709102711</v>
      </c>
      <c r="N698">
        <v>352.11959980012983</v>
      </c>
    </row>
    <row r="699" spans="1:14">
      <c r="A699" t="s">
        <v>726</v>
      </c>
      <c r="B699" t="s">
        <v>2067</v>
      </c>
      <c r="C699" t="s">
        <v>2068</v>
      </c>
      <c r="D699" t="s">
        <v>11</v>
      </c>
      <c r="E699" t="s">
        <v>13</v>
      </c>
      <c r="F699" t="s">
        <v>729</v>
      </c>
      <c r="G699" t="s">
        <v>12</v>
      </c>
      <c r="I699" t="s">
        <v>2067</v>
      </c>
      <c r="J699" t="s">
        <v>3647</v>
      </c>
      <c r="K699">
        <v>6.9105795764965352</v>
      </c>
      <c r="L699">
        <v>0.1848642612420765</v>
      </c>
      <c r="M699">
        <v>98.442656974575939</v>
      </c>
      <c r="N699">
        <v>108.28692267203354</v>
      </c>
    </row>
    <row r="700" spans="1:14">
      <c r="A700" t="s">
        <v>726</v>
      </c>
      <c r="B700" t="s">
        <v>2069</v>
      </c>
      <c r="C700" t="s">
        <v>2070</v>
      </c>
      <c r="D700" t="s">
        <v>11</v>
      </c>
      <c r="E700" t="s">
        <v>13</v>
      </c>
      <c r="F700" t="s">
        <v>729</v>
      </c>
      <c r="G700" t="s">
        <v>12</v>
      </c>
      <c r="I700" t="s">
        <v>2069</v>
      </c>
      <c r="J700" t="s">
        <v>3648</v>
      </c>
      <c r="K700">
        <v>20.578852544365869</v>
      </c>
      <c r="L700">
        <v>0.1932402564392369</v>
      </c>
      <c r="M700">
        <v>288.27864299006399</v>
      </c>
      <c r="N700">
        <v>317.10650728907041</v>
      </c>
    </row>
    <row r="701" spans="1:14">
      <c r="A701" t="s">
        <v>726</v>
      </c>
      <c r="B701" t="s">
        <v>2071</v>
      </c>
      <c r="C701" t="s">
        <v>2072</v>
      </c>
      <c r="D701" t="s">
        <v>11</v>
      </c>
      <c r="E701" t="s">
        <v>13</v>
      </c>
      <c r="F701" t="s">
        <v>729</v>
      </c>
      <c r="G701" t="s">
        <v>12</v>
      </c>
      <c r="I701" t="s">
        <v>2071</v>
      </c>
      <c r="J701" t="s">
        <v>3649</v>
      </c>
      <c r="K701">
        <v>36.359999801437702</v>
      </c>
      <c r="L701">
        <v>0.22129405591433721</v>
      </c>
      <c r="M701">
        <v>228.34063620681627</v>
      </c>
      <c r="N701">
        <v>251.17469982749793</v>
      </c>
    </row>
    <row r="702" spans="1:14">
      <c r="A702" t="s">
        <v>726</v>
      </c>
      <c r="B702" t="s">
        <v>2073</v>
      </c>
      <c r="C702" t="s">
        <v>2074</v>
      </c>
      <c r="D702" t="s">
        <v>11</v>
      </c>
      <c r="E702" t="s">
        <v>13</v>
      </c>
      <c r="F702" t="s">
        <v>729</v>
      </c>
      <c r="G702" t="s">
        <v>12</v>
      </c>
      <c r="I702" t="s">
        <v>2073</v>
      </c>
      <c r="J702" t="s">
        <v>3650</v>
      </c>
      <c r="K702">
        <v>1.9239062508117641</v>
      </c>
      <c r="L702">
        <v>0.2183449914193521</v>
      </c>
      <c r="M702">
        <v>83.980207478464663</v>
      </c>
      <c r="N702">
        <v>92.378228226311137</v>
      </c>
    </row>
    <row r="703" spans="1:14">
      <c r="A703" t="s">
        <v>726</v>
      </c>
      <c r="B703" t="s">
        <v>2075</v>
      </c>
      <c r="C703" t="s">
        <v>2076</v>
      </c>
      <c r="D703" t="s">
        <v>11</v>
      </c>
      <c r="E703" t="s">
        <v>13</v>
      </c>
      <c r="F703" t="s">
        <v>729</v>
      </c>
      <c r="G703" t="s">
        <v>12</v>
      </c>
      <c r="I703" t="s">
        <v>2075</v>
      </c>
      <c r="J703" t="s">
        <v>3651</v>
      </c>
      <c r="K703">
        <v>27.220426864028362</v>
      </c>
      <c r="L703">
        <v>0.2167392138291977</v>
      </c>
      <c r="M703">
        <v>228.14443563522769</v>
      </c>
      <c r="N703">
        <v>250.95887919875048</v>
      </c>
    </row>
    <row r="704" spans="1:14">
      <c r="A704" t="s">
        <v>726</v>
      </c>
      <c r="B704" t="s">
        <v>2077</v>
      </c>
      <c r="C704" t="s">
        <v>2078</v>
      </c>
      <c r="D704" t="s">
        <v>11</v>
      </c>
      <c r="E704" t="s">
        <v>13</v>
      </c>
      <c r="F704" t="s">
        <v>729</v>
      </c>
      <c r="G704" t="s">
        <v>12</v>
      </c>
      <c r="I704" t="s">
        <v>2077</v>
      </c>
      <c r="J704" t="s">
        <v>3652</v>
      </c>
      <c r="K704">
        <v>15.977148259936252</v>
      </c>
      <c r="L704">
        <v>0.21554125497766491</v>
      </c>
      <c r="M704">
        <v>137.49668272953508</v>
      </c>
      <c r="N704">
        <v>151.24635100248861</v>
      </c>
    </row>
    <row r="705" spans="1:14">
      <c r="A705" t="s">
        <v>726</v>
      </c>
      <c r="B705" t="s">
        <v>2079</v>
      </c>
      <c r="C705" t="s">
        <v>2080</v>
      </c>
      <c r="D705" t="s">
        <v>11</v>
      </c>
      <c r="E705" t="s">
        <v>13</v>
      </c>
      <c r="F705" t="s">
        <v>729</v>
      </c>
      <c r="G705" t="s">
        <v>12</v>
      </c>
      <c r="I705" t="s">
        <v>2079</v>
      </c>
      <c r="J705" t="s">
        <v>3653</v>
      </c>
      <c r="K705">
        <v>13.395309793740223</v>
      </c>
      <c r="L705">
        <v>0.2065291695290728</v>
      </c>
      <c r="M705">
        <v>136.47252517197117</v>
      </c>
      <c r="N705">
        <v>150.1197776891683</v>
      </c>
    </row>
    <row r="706" spans="1:14">
      <c r="A706" t="s">
        <v>726</v>
      </c>
      <c r="B706" t="s">
        <v>2081</v>
      </c>
      <c r="C706" t="s">
        <v>2082</v>
      </c>
      <c r="D706" t="s">
        <v>11</v>
      </c>
      <c r="E706" t="s">
        <v>13</v>
      </c>
      <c r="F706" t="s">
        <v>729</v>
      </c>
      <c r="G706" t="s">
        <v>12</v>
      </c>
      <c r="I706" t="s">
        <v>2081</v>
      </c>
      <c r="J706" t="s">
        <v>3654</v>
      </c>
      <c r="K706">
        <v>27.297872712025882</v>
      </c>
      <c r="L706">
        <v>0.215803791341101</v>
      </c>
      <c r="M706">
        <v>98.341402030511276</v>
      </c>
      <c r="N706">
        <v>108.17554223356241</v>
      </c>
    </row>
    <row r="707" spans="1:14">
      <c r="A707" t="s">
        <v>726</v>
      </c>
      <c r="B707" t="s">
        <v>2083</v>
      </c>
      <c r="C707" t="s">
        <v>2084</v>
      </c>
      <c r="D707" t="s">
        <v>11</v>
      </c>
      <c r="E707" t="s">
        <v>13</v>
      </c>
      <c r="F707" t="s">
        <v>729</v>
      </c>
      <c r="G707" t="s">
        <v>12</v>
      </c>
      <c r="I707" t="s">
        <v>2083</v>
      </c>
      <c r="J707" t="s">
        <v>3655</v>
      </c>
      <c r="K707">
        <v>45.552041903232585</v>
      </c>
      <c r="L707">
        <v>0.22888040235450821</v>
      </c>
      <c r="M707">
        <v>157.81064154078095</v>
      </c>
      <c r="N707">
        <v>173.59170569485906</v>
      </c>
    </row>
    <row r="708" spans="1:14">
      <c r="A708" t="s">
        <v>726</v>
      </c>
      <c r="B708" t="s">
        <v>2085</v>
      </c>
      <c r="C708" t="s">
        <v>2086</v>
      </c>
      <c r="D708" t="s">
        <v>11</v>
      </c>
      <c r="E708" t="s">
        <v>13</v>
      </c>
      <c r="F708" t="s">
        <v>729</v>
      </c>
      <c r="G708" t="s">
        <v>12</v>
      </c>
      <c r="I708" t="s">
        <v>2085</v>
      </c>
      <c r="J708" t="s">
        <v>3656</v>
      </c>
      <c r="K708">
        <v>86.745456200203733</v>
      </c>
      <c r="L708">
        <v>0.27354270434591688</v>
      </c>
      <c r="M708">
        <v>216.78104969009729</v>
      </c>
      <c r="N708">
        <v>238.45915465910704</v>
      </c>
    </row>
    <row r="709" spans="1:14">
      <c r="A709" t="s">
        <v>726</v>
      </c>
      <c r="B709" t="s">
        <v>2087</v>
      </c>
      <c r="C709" t="s">
        <v>2088</v>
      </c>
      <c r="D709" t="s">
        <v>11</v>
      </c>
      <c r="E709" t="s">
        <v>13</v>
      </c>
      <c r="F709" t="s">
        <v>729</v>
      </c>
      <c r="G709" t="s">
        <v>12</v>
      </c>
      <c r="I709" t="s">
        <v>2087</v>
      </c>
      <c r="J709" t="s">
        <v>3657</v>
      </c>
      <c r="K709">
        <v>29.601283363237869</v>
      </c>
      <c r="L709">
        <v>0.26370525007823348</v>
      </c>
      <c r="M709">
        <v>144.42766308940904</v>
      </c>
      <c r="N709">
        <v>158.87042939834996</v>
      </c>
    </row>
    <row r="710" spans="1:14">
      <c r="A710" t="s">
        <v>726</v>
      </c>
      <c r="B710" t="s">
        <v>2089</v>
      </c>
      <c r="C710" t="s">
        <v>2090</v>
      </c>
      <c r="D710" t="s">
        <v>11</v>
      </c>
      <c r="E710" t="s">
        <v>13</v>
      </c>
      <c r="F710" t="s">
        <v>729</v>
      </c>
      <c r="G710" t="s">
        <v>12</v>
      </c>
      <c r="I710" t="s">
        <v>2089</v>
      </c>
      <c r="J710" t="s">
        <v>3658</v>
      </c>
      <c r="K710">
        <v>86.779720418454062</v>
      </c>
      <c r="L710">
        <v>0.27245840992637499</v>
      </c>
      <c r="M710">
        <v>384.7929668780256</v>
      </c>
      <c r="N710">
        <v>423.27226356582821</v>
      </c>
    </row>
    <row r="711" spans="1:14">
      <c r="A711" t="s">
        <v>726</v>
      </c>
      <c r="B711" t="s">
        <v>2091</v>
      </c>
      <c r="C711" t="s">
        <v>2092</v>
      </c>
      <c r="D711" t="s">
        <v>11</v>
      </c>
      <c r="E711" t="s">
        <v>13</v>
      </c>
      <c r="F711" t="s">
        <v>729</v>
      </c>
      <c r="G711" t="s">
        <v>12</v>
      </c>
      <c r="I711" t="s">
        <v>2091</v>
      </c>
      <c r="J711" t="s">
        <v>3659</v>
      </c>
      <c r="K711">
        <v>39.514954790625438</v>
      </c>
      <c r="L711">
        <v>0.26024663363516798</v>
      </c>
      <c r="M711">
        <v>390.7313132097816</v>
      </c>
      <c r="N711">
        <v>429.80444453075978</v>
      </c>
    </row>
    <row r="712" spans="1:14">
      <c r="A712" t="s">
        <v>726</v>
      </c>
      <c r="B712" t="s">
        <v>2093</v>
      </c>
      <c r="C712" t="s">
        <v>2094</v>
      </c>
      <c r="D712" t="s">
        <v>11</v>
      </c>
      <c r="E712" t="s">
        <v>13</v>
      </c>
      <c r="F712" t="s">
        <v>729</v>
      </c>
      <c r="G712" t="s">
        <v>12</v>
      </c>
      <c r="I712" t="s">
        <v>2093</v>
      </c>
      <c r="J712" t="s">
        <v>3660</v>
      </c>
      <c r="K712">
        <v>110.60191627157997</v>
      </c>
      <c r="L712">
        <v>0.2644386417848299</v>
      </c>
      <c r="M712">
        <v>660.89691559387552</v>
      </c>
      <c r="N712">
        <v>726.98660715326309</v>
      </c>
    </row>
    <row r="713" spans="1:14">
      <c r="A713" t="s">
        <v>726</v>
      </c>
      <c r="B713" t="s">
        <v>2095</v>
      </c>
      <c r="C713" t="s">
        <v>2096</v>
      </c>
      <c r="D713" t="s">
        <v>11</v>
      </c>
      <c r="E713" t="s">
        <v>13</v>
      </c>
      <c r="F713" t="s">
        <v>729</v>
      </c>
      <c r="G713" t="s">
        <v>12</v>
      </c>
      <c r="I713" t="s">
        <v>2095</v>
      </c>
      <c r="J713" t="s">
        <v>3661</v>
      </c>
      <c r="K713">
        <v>192.1394359503299</v>
      </c>
      <c r="L713">
        <v>0.2800561096826843</v>
      </c>
      <c r="M713">
        <v>964.48254842687766</v>
      </c>
      <c r="N713">
        <v>1060.9308032695656</v>
      </c>
    </row>
    <row r="714" spans="1:14">
      <c r="A714" t="s">
        <v>726</v>
      </c>
      <c r="B714" t="s">
        <v>2097</v>
      </c>
      <c r="C714" t="s">
        <v>2096</v>
      </c>
      <c r="D714" t="s">
        <v>11</v>
      </c>
      <c r="E714" t="s">
        <v>13</v>
      </c>
      <c r="F714" t="s">
        <v>729</v>
      </c>
      <c r="G714" t="s">
        <v>12</v>
      </c>
      <c r="I714" t="s">
        <v>2097</v>
      </c>
      <c r="J714" t="s">
        <v>3662</v>
      </c>
      <c r="K714">
        <v>136.36288755748171</v>
      </c>
      <c r="L714">
        <v>0.27293170230909392</v>
      </c>
      <c r="M714">
        <v>1030.8786521101338</v>
      </c>
      <c r="N714">
        <v>1133.9665173211472</v>
      </c>
    </row>
    <row r="715" spans="1:14">
      <c r="A715" t="s">
        <v>726</v>
      </c>
      <c r="B715" t="s">
        <v>2098</v>
      </c>
      <c r="C715" t="s">
        <v>2099</v>
      </c>
      <c r="D715" t="s">
        <v>11</v>
      </c>
      <c r="E715" t="s">
        <v>13</v>
      </c>
      <c r="F715" t="s">
        <v>729</v>
      </c>
      <c r="G715" t="s">
        <v>12</v>
      </c>
      <c r="I715" t="s">
        <v>2098</v>
      </c>
      <c r="J715" t="s">
        <v>3663</v>
      </c>
      <c r="K715">
        <v>59.671960181181902</v>
      </c>
      <c r="L715">
        <v>0.27822757024484501</v>
      </c>
      <c r="M715">
        <v>786.15527289796137</v>
      </c>
      <c r="N715">
        <v>864.77080018775757</v>
      </c>
    </row>
    <row r="716" spans="1:14">
      <c r="A716" t="s">
        <v>726</v>
      </c>
      <c r="B716" t="s">
        <v>2100</v>
      </c>
      <c r="C716" t="s">
        <v>2099</v>
      </c>
      <c r="D716" t="s">
        <v>11</v>
      </c>
      <c r="E716" t="s">
        <v>13</v>
      </c>
      <c r="F716" t="s">
        <v>729</v>
      </c>
      <c r="G716" t="s">
        <v>12</v>
      </c>
      <c r="I716" t="s">
        <v>2100</v>
      </c>
      <c r="J716" t="s">
        <v>3664</v>
      </c>
      <c r="K716">
        <v>108.07184438834673</v>
      </c>
      <c r="L716">
        <v>0.27782455149363527</v>
      </c>
      <c r="M716">
        <v>648.0697583960374</v>
      </c>
      <c r="N716">
        <v>712.87673423564115</v>
      </c>
    </row>
    <row r="717" spans="1:14">
      <c r="A717" t="s">
        <v>726</v>
      </c>
      <c r="B717" t="s">
        <v>2101</v>
      </c>
      <c r="C717" t="s">
        <v>2090</v>
      </c>
      <c r="D717" t="s">
        <v>11</v>
      </c>
      <c r="E717" t="s">
        <v>13</v>
      </c>
      <c r="F717" t="s">
        <v>729</v>
      </c>
      <c r="G717" t="s">
        <v>12</v>
      </c>
      <c r="I717" t="s">
        <v>2101</v>
      </c>
      <c r="J717" t="s">
        <v>3665</v>
      </c>
      <c r="K717">
        <v>261.98070424587246</v>
      </c>
      <c r="L717">
        <v>0.281640816950953</v>
      </c>
      <c r="M717">
        <v>854.63728492412054</v>
      </c>
      <c r="N717">
        <v>940.10101341653262</v>
      </c>
    </row>
    <row r="718" spans="1:14">
      <c r="A718" t="s">
        <v>726</v>
      </c>
      <c r="B718" t="s">
        <v>2102</v>
      </c>
      <c r="C718" t="s">
        <v>2099</v>
      </c>
      <c r="D718" t="s">
        <v>11</v>
      </c>
      <c r="E718" t="s">
        <v>13</v>
      </c>
      <c r="F718" t="s">
        <v>729</v>
      </c>
      <c r="G718" t="s">
        <v>12</v>
      </c>
      <c r="I718" t="s">
        <v>2102</v>
      </c>
      <c r="J718" t="s">
        <v>3666</v>
      </c>
      <c r="K718">
        <v>289.74365316742131</v>
      </c>
      <c r="L718">
        <v>0.27992058962222688</v>
      </c>
      <c r="M718">
        <v>1103.4735875558597</v>
      </c>
      <c r="N718">
        <v>1213.8209463114458</v>
      </c>
    </row>
    <row r="719" spans="1:14">
      <c r="A719" t="s">
        <v>726</v>
      </c>
      <c r="B719" t="s">
        <v>2103</v>
      </c>
      <c r="C719" t="s">
        <v>2104</v>
      </c>
      <c r="D719" t="s">
        <v>11</v>
      </c>
      <c r="E719" t="s">
        <v>13</v>
      </c>
      <c r="F719" t="s">
        <v>729</v>
      </c>
      <c r="G719" t="s">
        <v>12</v>
      </c>
      <c r="I719" t="s">
        <v>2103</v>
      </c>
      <c r="J719" t="s">
        <v>3667</v>
      </c>
      <c r="K719">
        <v>1.6888956129686805</v>
      </c>
      <c r="L719">
        <v>0.2283027490898395</v>
      </c>
      <c r="M719">
        <v>179.30555562568151</v>
      </c>
      <c r="N719">
        <v>197.23611118824968</v>
      </c>
    </row>
    <row r="720" spans="1:14">
      <c r="A720" t="s">
        <v>726</v>
      </c>
      <c r="B720" t="s">
        <v>2105</v>
      </c>
      <c r="C720" t="s">
        <v>2106</v>
      </c>
      <c r="D720" t="s">
        <v>11</v>
      </c>
      <c r="E720" t="s">
        <v>13</v>
      </c>
      <c r="F720" t="s">
        <v>729</v>
      </c>
      <c r="G720" t="s">
        <v>12</v>
      </c>
      <c r="I720" t="s">
        <v>2105</v>
      </c>
      <c r="J720" t="s">
        <v>3668</v>
      </c>
      <c r="K720">
        <v>2.2250569024205187</v>
      </c>
      <c r="L720">
        <v>0.23480621764866011</v>
      </c>
      <c r="M720">
        <v>104.61125399022356</v>
      </c>
      <c r="N720">
        <v>115.07237938924592</v>
      </c>
    </row>
    <row r="721" spans="1:14">
      <c r="A721" t="s">
        <v>726</v>
      </c>
      <c r="B721" t="s">
        <v>2107</v>
      </c>
      <c r="C721" t="s">
        <v>2108</v>
      </c>
      <c r="D721" t="s">
        <v>11</v>
      </c>
      <c r="E721" t="s">
        <v>13</v>
      </c>
      <c r="F721" t="s">
        <v>729</v>
      </c>
      <c r="G721" t="s">
        <v>12</v>
      </c>
      <c r="I721" t="s">
        <v>2107</v>
      </c>
      <c r="J721" t="s">
        <v>3669</v>
      </c>
      <c r="K721">
        <v>5.7130671732627576</v>
      </c>
      <c r="L721">
        <v>0.21795536479130881</v>
      </c>
      <c r="M721">
        <v>97.763727497260078</v>
      </c>
      <c r="N721">
        <v>107.5401002469861</v>
      </c>
    </row>
    <row r="722" spans="1:14">
      <c r="A722" t="s">
        <v>726</v>
      </c>
      <c r="B722" t="s">
        <v>2109</v>
      </c>
      <c r="C722" t="s">
        <v>2110</v>
      </c>
      <c r="D722" t="s">
        <v>11</v>
      </c>
      <c r="E722" t="s">
        <v>13</v>
      </c>
      <c r="F722" t="s">
        <v>729</v>
      </c>
      <c r="G722" t="s">
        <v>12</v>
      </c>
      <c r="I722" t="s">
        <v>2109</v>
      </c>
      <c r="J722" t="s">
        <v>3670</v>
      </c>
      <c r="K722">
        <v>0.83084291962317025</v>
      </c>
      <c r="L722">
        <v>0.2277034252891654</v>
      </c>
      <c r="M722">
        <v>121.49506903697916</v>
      </c>
      <c r="N722">
        <v>133.6445759406771</v>
      </c>
    </row>
    <row r="723" spans="1:14">
      <c r="A723" t="s">
        <v>726</v>
      </c>
      <c r="B723" t="s">
        <v>2111</v>
      </c>
      <c r="C723" t="s">
        <v>2112</v>
      </c>
      <c r="D723" t="s">
        <v>11</v>
      </c>
      <c r="E723" t="s">
        <v>13</v>
      </c>
      <c r="F723" t="s">
        <v>729</v>
      </c>
      <c r="G723" t="s">
        <v>12</v>
      </c>
      <c r="I723" t="s">
        <v>2111</v>
      </c>
      <c r="J723" t="s">
        <v>3671</v>
      </c>
      <c r="K723">
        <v>1.7899622221679308</v>
      </c>
      <c r="L723">
        <v>0.23511459040125329</v>
      </c>
      <c r="M723">
        <v>66.531246063016098</v>
      </c>
      <c r="N723">
        <v>73.184370669317715</v>
      </c>
    </row>
    <row r="724" spans="1:14">
      <c r="A724" t="s">
        <v>726</v>
      </c>
      <c r="B724" t="s">
        <v>2113</v>
      </c>
      <c r="C724" t="s">
        <v>2114</v>
      </c>
      <c r="D724" t="s">
        <v>11</v>
      </c>
      <c r="E724" t="s">
        <v>13</v>
      </c>
      <c r="F724" t="s">
        <v>729</v>
      </c>
      <c r="G724" t="s">
        <v>12</v>
      </c>
      <c r="I724" t="s">
        <v>2113</v>
      </c>
      <c r="J724" t="s">
        <v>3672</v>
      </c>
      <c r="K724">
        <v>36.978816117110952</v>
      </c>
      <c r="L724">
        <v>0.18532743840311569</v>
      </c>
      <c r="M724">
        <v>55.419532102529182</v>
      </c>
      <c r="N724">
        <v>60.961485312782102</v>
      </c>
    </row>
    <row r="725" spans="1:14">
      <c r="A725" t="s">
        <v>726</v>
      </c>
      <c r="B725" t="s">
        <v>2115</v>
      </c>
      <c r="C725" t="s">
        <v>2116</v>
      </c>
      <c r="D725" t="s">
        <v>11</v>
      </c>
      <c r="E725" t="s">
        <v>13</v>
      </c>
      <c r="F725" t="s">
        <v>729</v>
      </c>
      <c r="G725" t="s">
        <v>12</v>
      </c>
      <c r="I725" t="s">
        <v>2115</v>
      </c>
      <c r="J725" t="s">
        <v>3673</v>
      </c>
      <c r="K725">
        <v>84.420579142599678</v>
      </c>
      <c r="L725">
        <v>0.1712166413857498</v>
      </c>
      <c r="M725">
        <v>153.00078797669144</v>
      </c>
      <c r="N725">
        <v>168.3008667743606</v>
      </c>
    </row>
    <row r="726" spans="1:14">
      <c r="A726" t="s">
        <v>726</v>
      </c>
      <c r="B726" t="s">
        <v>2117</v>
      </c>
      <c r="C726" t="s">
        <v>2118</v>
      </c>
      <c r="D726" t="s">
        <v>11</v>
      </c>
      <c r="E726" t="s">
        <v>13</v>
      </c>
      <c r="F726" t="s">
        <v>729</v>
      </c>
      <c r="G726" t="s">
        <v>12</v>
      </c>
      <c r="I726" t="s">
        <v>2117</v>
      </c>
      <c r="J726" t="s">
        <v>3674</v>
      </c>
      <c r="K726">
        <v>34.391185035109999</v>
      </c>
      <c r="L726">
        <v>0.1878536402663</v>
      </c>
      <c r="M726">
        <v>196.84904475151609</v>
      </c>
      <c r="N726">
        <v>216.53394922666772</v>
      </c>
    </row>
    <row r="727" spans="1:14">
      <c r="A727" t="s">
        <v>726</v>
      </c>
      <c r="B727" t="s">
        <v>2119</v>
      </c>
      <c r="C727" t="s">
        <v>2116</v>
      </c>
      <c r="D727" t="s">
        <v>11</v>
      </c>
      <c r="E727" t="s">
        <v>13</v>
      </c>
      <c r="F727" t="s">
        <v>729</v>
      </c>
      <c r="G727" t="s">
        <v>12</v>
      </c>
      <c r="I727" t="s">
        <v>2119</v>
      </c>
      <c r="J727" t="s">
        <v>3675</v>
      </c>
      <c r="K727">
        <v>10.433941872254914</v>
      </c>
      <c r="L727">
        <v>0.16868023603376631</v>
      </c>
      <c r="M727">
        <v>367.05002425846681</v>
      </c>
      <c r="N727">
        <v>403.75502668431352</v>
      </c>
    </row>
    <row r="728" spans="1:14">
      <c r="A728" t="s">
        <v>726</v>
      </c>
      <c r="B728" t="s">
        <v>2120</v>
      </c>
      <c r="C728" t="s">
        <v>2118</v>
      </c>
      <c r="D728" t="s">
        <v>11</v>
      </c>
      <c r="E728" t="s">
        <v>13</v>
      </c>
      <c r="F728" t="s">
        <v>729</v>
      </c>
      <c r="G728" t="s">
        <v>12</v>
      </c>
      <c r="I728" t="s">
        <v>2120</v>
      </c>
      <c r="J728" t="s">
        <v>3676</v>
      </c>
      <c r="K728">
        <v>43.168140370667963</v>
      </c>
      <c r="L728">
        <v>0.1771896414463949</v>
      </c>
      <c r="M728">
        <v>361.9881767539913</v>
      </c>
      <c r="N728">
        <v>398.18699442939044</v>
      </c>
    </row>
    <row r="729" spans="1:14">
      <c r="A729" t="s">
        <v>726</v>
      </c>
      <c r="B729" t="s">
        <v>2121</v>
      </c>
      <c r="C729" t="s">
        <v>2122</v>
      </c>
      <c r="D729" t="s">
        <v>11</v>
      </c>
      <c r="E729" t="s">
        <v>13</v>
      </c>
      <c r="F729" t="s">
        <v>729</v>
      </c>
      <c r="G729" t="s">
        <v>12</v>
      </c>
      <c r="I729" t="s">
        <v>2121</v>
      </c>
      <c r="J729" t="s">
        <v>3677</v>
      </c>
      <c r="K729">
        <v>64.996613865009991</v>
      </c>
      <c r="L729">
        <v>0.1858267659267924</v>
      </c>
      <c r="M729">
        <v>101.32268043981315</v>
      </c>
      <c r="N729">
        <v>111.45494848379448</v>
      </c>
    </row>
    <row r="730" spans="1:14">
      <c r="A730" t="s">
        <v>726</v>
      </c>
      <c r="B730" t="s">
        <v>2123</v>
      </c>
      <c r="C730" t="s">
        <v>2124</v>
      </c>
      <c r="D730" t="s">
        <v>11</v>
      </c>
      <c r="E730" t="s">
        <v>13</v>
      </c>
      <c r="F730" t="s">
        <v>729</v>
      </c>
      <c r="G730" t="s">
        <v>12</v>
      </c>
      <c r="I730" t="s">
        <v>2123</v>
      </c>
      <c r="J730" t="s">
        <v>3678</v>
      </c>
      <c r="K730">
        <v>90.554196434521756</v>
      </c>
      <c r="L730">
        <v>0.18019521652791379</v>
      </c>
      <c r="M730">
        <v>60.980844069771663</v>
      </c>
      <c r="N730">
        <v>67.078928476748828</v>
      </c>
    </row>
    <row r="731" spans="1:14">
      <c r="A731" t="s">
        <v>726</v>
      </c>
      <c r="B731" t="s">
        <v>2125</v>
      </c>
      <c r="C731" t="s">
        <v>2126</v>
      </c>
      <c r="D731" t="s">
        <v>11</v>
      </c>
      <c r="E731" t="s">
        <v>13</v>
      </c>
      <c r="F731" t="s">
        <v>729</v>
      </c>
      <c r="G731" t="s">
        <v>12</v>
      </c>
      <c r="I731" t="s">
        <v>2125</v>
      </c>
      <c r="J731" t="s">
        <v>3679</v>
      </c>
      <c r="K731">
        <v>63.183286657622823</v>
      </c>
      <c r="L731">
        <v>0.18080927314993619</v>
      </c>
      <c r="M731">
        <v>80.771801910032764</v>
      </c>
      <c r="N731">
        <v>88.848982101036043</v>
      </c>
    </row>
    <row r="732" spans="1:14">
      <c r="A732" t="s">
        <v>726</v>
      </c>
      <c r="B732" t="s">
        <v>2127</v>
      </c>
      <c r="C732" t="s">
        <v>2128</v>
      </c>
      <c r="D732" t="s">
        <v>11</v>
      </c>
      <c r="E732" t="s">
        <v>13</v>
      </c>
      <c r="F732" t="s">
        <v>729</v>
      </c>
      <c r="G732" t="s">
        <v>12</v>
      </c>
      <c r="I732" t="s">
        <v>2127</v>
      </c>
      <c r="J732" t="s">
        <v>3680</v>
      </c>
      <c r="K732">
        <v>24.715045556553186</v>
      </c>
      <c r="L732">
        <v>0.24156402962108031</v>
      </c>
      <c r="M732">
        <v>361.11782926627762</v>
      </c>
      <c r="N732">
        <v>397.22961219290539</v>
      </c>
    </row>
    <row r="733" spans="1:14">
      <c r="A733" t="s">
        <v>726</v>
      </c>
      <c r="B733" t="s">
        <v>2129</v>
      </c>
      <c r="C733" t="s">
        <v>2130</v>
      </c>
      <c r="D733" t="s">
        <v>11</v>
      </c>
      <c r="E733" t="s">
        <v>13</v>
      </c>
      <c r="F733" t="s">
        <v>729</v>
      </c>
      <c r="G733" t="s">
        <v>12</v>
      </c>
      <c r="I733" t="s">
        <v>2129</v>
      </c>
      <c r="J733" t="s">
        <v>3681</v>
      </c>
      <c r="K733">
        <v>39.444381486789275</v>
      </c>
      <c r="L733">
        <v>0.25280014891940661</v>
      </c>
      <c r="M733">
        <v>103.67014691534897</v>
      </c>
      <c r="N733">
        <v>114.03716160688387</v>
      </c>
    </row>
    <row r="734" spans="1:14">
      <c r="A734" t="s">
        <v>726</v>
      </c>
      <c r="B734" t="s">
        <v>2131</v>
      </c>
      <c r="C734" t="s">
        <v>2132</v>
      </c>
      <c r="D734" t="s">
        <v>11</v>
      </c>
      <c r="E734" t="s">
        <v>13</v>
      </c>
      <c r="F734" t="s">
        <v>729</v>
      </c>
      <c r="G734" t="s">
        <v>12</v>
      </c>
      <c r="I734" t="s">
        <v>2131</v>
      </c>
      <c r="J734" t="s">
        <v>3682</v>
      </c>
      <c r="K734">
        <v>117.36436731714373</v>
      </c>
      <c r="L734">
        <v>0.2525179498131685</v>
      </c>
      <c r="M734">
        <v>224.74197428118529</v>
      </c>
      <c r="N734">
        <v>247.21617170930384</v>
      </c>
    </row>
    <row r="735" spans="1:14">
      <c r="A735" t="s">
        <v>726</v>
      </c>
      <c r="B735" t="s">
        <v>2133</v>
      </c>
      <c r="C735" t="s">
        <v>2134</v>
      </c>
      <c r="D735" t="s">
        <v>11</v>
      </c>
      <c r="E735" t="s">
        <v>13</v>
      </c>
      <c r="F735" t="s">
        <v>729</v>
      </c>
      <c r="G735" t="s">
        <v>12</v>
      </c>
      <c r="I735" t="s">
        <v>2133</v>
      </c>
      <c r="J735" t="s">
        <v>3683</v>
      </c>
      <c r="K735">
        <v>182.12512955769031</v>
      </c>
      <c r="L735">
        <v>0.27003205601162722</v>
      </c>
      <c r="M735">
        <v>230.46091533790019</v>
      </c>
      <c r="N735">
        <v>253.50700687169024</v>
      </c>
    </row>
    <row r="736" spans="1:14">
      <c r="A736" t="s">
        <v>726</v>
      </c>
      <c r="B736" t="s">
        <v>2135</v>
      </c>
      <c r="C736" t="s">
        <v>2136</v>
      </c>
      <c r="D736" t="s">
        <v>11</v>
      </c>
      <c r="E736" t="s">
        <v>13</v>
      </c>
      <c r="F736" t="s">
        <v>729</v>
      </c>
      <c r="G736" t="s">
        <v>12</v>
      </c>
      <c r="I736" t="s">
        <v>2135</v>
      </c>
      <c r="J736" t="s">
        <v>3684</v>
      </c>
      <c r="K736">
        <v>85.623432004279223</v>
      </c>
      <c r="L736">
        <v>0.27107663349702599</v>
      </c>
      <c r="M736">
        <v>492.96199592683791</v>
      </c>
      <c r="N736">
        <v>542.25819551952179</v>
      </c>
    </row>
    <row r="737" spans="1:14">
      <c r="A737" t="s">
        <v>726</v>
      </c>
      <c r="B737" t="s">
        <v>2137</v>
      </c>
      <c r="C737" t="s">
        <v>2138</v>
      </c>
      <c r="D737" t="s">
        <v>11</v>
      </c>
      <c r="E737" t="s">
        <v>13</v>
      </c>
      <c r="F737" t="s">
        <v>729</v>
      </c>
      <c r="G737" t="s">
        <v>12</v>
      </c>
      <c r="I737" t="s">
        <v>2137</v>
      </c>
      <c r="J737" t="s">
        <v>3685</v>
      </c>
      <c r="K737">
        <v>46.040852585016985</v>
      </c>
      <c r="L737">
        <v>0.2731519978655938</v>
      </c>
      <c r="M737">
        <v>292.17244463804218</v>
      </c>
      <c r="N737">
        <v>321.38968910184644</v>
      </c>
    </row>
    <row r="738" spans="1:14">
      <c r="A738" t="s">
        <v>726</v>
      </c>
      <c r="B738" t="s">
        <v>2139</v>
      </c>
      <c r="C738" t="s">
        <v>2134</v>
      </c>
      <c r="D738" t="s">
        <v>11</v>
      </c>
      <c r="E738" t="s">
        <v>13</v>
      </c>
      <c r="F738" t="s">
        <v>729</v>
      </c>
      <c r="G738" t="s">
        <v>12</v>
      </c>
      <c r="I738" t="s">
        <v>2139</v>
      </c>
      <c r="J738" t="s">
        <v>3686</v>
      </c>
      <c r="K738">
        <v>93.551373079152768</v>
      </c>
      <c r="L738">
        <v>0.27917496728924229</v>
      </c>
      <c r="M738">
        <v>238.63428689817189</v>
      </c>
      <c r="N738">
        <v>262.49771558798909</v>
      </c>
    </row>
    <row r="739" spans="1:14">
      <c r="A739" t="s">
        <v>726</v>
      </c>
      <c r="B739" t="s">
        <v>2140</v>
      </c>
      <c r="C739" t="s">
        <v>2141</v>
      </c>
      <c r="D739" t="s">
        <v>11</v>
      </c>
      <c r="E739" t="s">
        <v>13</v>
      </c>
      <c r="F739" t="s">
        <v>729</v>
      </c>
      <c r="G739" t="s">
        <v>12</v>
      </c>
      <c r="I739" t="s">
        <v>2140</v>
      </c>
      <c r="J739" t="s">
        <v>3687</v>
      </c>
      <c r="K739">
        <v>74.591160763508356</v>
      </c>
      <c r="L739">
        <v>0.27245971567190391</v>
      </c>
      <c r="M739">
        <v>245.41897845582545</v>
      </c>
      <c r="N739">
        <v>269.96087630140801</v>
      </c>
    </row>
    <row r="740" spans="1:14">
      <c r="A740" t="s">
        <v>726</v>
      </c>
      <c r="B740" t="s">
        <v>2142</v>
      </c>
      <c r="C740" t="s">
        <v>2143</v>
      </c>
      <c r="D740" t="s">
        <v>11</v>
      </c>
      <c r="E740" t="s">
        <v>13</v>
      </c>
      <c r="F740" t="s">
        <v>729</v>
      </c>
      <c r="G740" t="s">
        <v>12</v>
      </c>
      <c r="I740" t="s">
        <v>2142</v>
      </c>
      <c r="J740" t="s">
        <v>3688</v>
      </c>
      <c r="K740">
        <v>119.4227922867624</v>
      </c>
      <c r="L740">
        <v>0.26178394693028112</v>
      </c>
      <c r="M740">
        <v>142.05708423829759</v>
      </c>
      <c r="N740">
        <v>156.26279266212737</v>
      </c>
    </row>
    <row r="741" spans="1:14">
      <c r="A741" t="s">
        <v>726</v>
      </c>
      <c r="B741" t="s">
        <v>2144</v>
      </c>
      <c r="C741" t="s">
        <v>2145</v>
      </c>
      <c r="D741" t="s">
        <v>11</v>
      </c>
      <c r="E741" t="s">
        <v>13</v>
      </c>
      <c r="F741" t="s">
        <v>729</v>
      </c>
      <c r="G741" t="s">
        <v>12</v>
      </c>
      <c r="I741" t="s">
        <v>2144</v>
      </c>
      <c r="J741" t="s">
        <v>3689</v>
      </c>
      <c r="K741">
        <v>65.075614804157638</v>
      </c>
      <c r="L741">
        <v>0.2674428095623077</v>
      </c>
      <c r="M741">
        <v>151.81846730090123</v>
      </c>
      <c r="N741">
        <v>167.00031403099138</v>
      </c>
    </row>
    <row r="742" spans="1:14">
      <c r="A742" t="s">
        <v>726</v>
      </c>
      <c r="B742" t="s">
        <v>2146</v>
      </c>
      <c r="C742" t="s">
        <v>2147</v>
      </c>
      <c r="D742" t="s">
        <v>11</v>
      </c>
      <c r="E742" t="s">
        <v>13</v>
      </c>
      <c r="F742" t="s">
        <v>729</v>
      </c>
      <c r="G742" t="s">
        <v>12</v>
      </c>
      <c r="I742" t="s">
        <v>2146</v>
      </c>
      <c r="J742" t="s">
        <v>3690</v>
      </c>
      <c r="K742">
        <v>0.519972648839235</v>
      </c>
      <c r="L742">
        <v>0.204594158350179</v>
      </c>
      <c r="M742">
        <v>204.05648442028064</v>
      </c>
      <c r="N742">
        <v>224.46213286230872</v>
      </c>
    </row>
    <row r="743" spans="1:14">
      <c r="A743" t="s">
        <v>726</v>
      </c>
      <c r="B743" t="s">
        <v>2148</v>
      </c>
      <c r="C743" t="s">
        <v>2149</v>
      </c>
      <c r="D743" t="s">
        <v>11</v>
      </c>
      <c r="E743" t="s">
        <v>13</v>
      </c>
      <c r="F743" t="s">
        <v>729</v>
      </c>
      <c r="G743" t="s">
        <v>12</v>
      </c>
      <c r="I743" t="s">
        <v>2148</v>
      </c>
      <c r="J743" t="s">
        <v>3691</v>
      </c>
      <c r="K743">
        <v>3.2302886853306588E-2</v>
      </c>
      <c r="L743">
        <v>0.2020333113424298</v>
      </c>
      <c r="M743">
        <v>170.91734307242558</v>
      </c>
      <c r="N743">
        <v>188.00907737966816</v>
      </c>
    </row>
    <row r="744" spans="1:14">
      <c r="A744" t="s">
        <v>726</v>
      </c>
      <c r="B744" t="s">
        <v>2150</v>
      </c>
      <c r="C744" t="s">
        <v>2151</v>
      </c>
      <c r="D744" t="s">
        <v>11</v>
      </c>
      <c r="E744" t="s">
        <v>13</v>
      </c>
      <c r="F744" t="s">
        <v>729</v>
      </c>
      <c r="G744" t="s">
        <v>12</v>
      </c>
      <c r="I744" t="s">
        <v>2150</v>
      </c>
      <c r="J744" t="s">
        <v>3692</v>
      </c>
      <c r="K744">
        <v>0.29210066797702039</v>
      </c>
      <c r="L744">
        <v>0.20005962891377199</v>
      </c>
      <c r="M744">
        <v>35.519086935868444</v>
      </c>
      <c r="N744">
        <v>39.07099562945529</v>
      </c>
    </row>
    <row r="745" spans="1:14">
      <c r="A745" t="s">
        <v>726</v>
      </c>
      <c r="B745" t="s">
        <v>2152</v>
      </c>
      <c r="C745" t="s">
        <v>2153</v>
      </c>
      <c r="D745" t="s">
        <v>11</v>
      </c>
      <c r="E745" t="s">
        <v>13</v>
      </c>
      <c r="F745" t="s">
        <v>729</v>
      </c>
      <c r="G745" t="s">
        <v>12</v>
      </c>
      <c r="I745" t="s">
        <v>2152</v>
      </c>
      <c r="J745" t="s">
        <v>3693</v>
      </c>
      <c r="K745">
        <v>101.98067809118989</v>
      </c>
      <c r="L745">
        <v>0.28916807064228162</v>
      </c>
      <c r="M745">
        <v>818.60335555654592</v>
      </c>
      <c r="N745">
        <v>900.46369111220054</v>
      </c>
    </row>
    <row r="746" spans="1:14">
      <c r="A746" t="s">
        <v>726</v>
      </c>
      <c r="B746" t="s">
        <v>2154</v>
      </c>
      <c r="C746" t="s">
        <v>2153</v>
      </c>
      <c r="D746" t="s">
        <v>11</v>
      </c>
      <c r="E746" t="s">
        <v>13</v>
      </c>
      <c r="F746" t="s">
        <v>729</v>
      </c>
      <c r="G746" t="s">
        <v>12</v>
      </c>
      <c r="I746" t="s">
        <v>2154</v>
      </c>
      <c r="J746" t="s">
        <v>3694</v>
      </c>
      <c r="K746">
        <v>156.71136197115914</v>
      </c>
      <c r="L746">
        <v>0.28700192482332693</v>
      </c>
      <c r="M746">
        <v>690.53078443954314</v>
      </c>
      <c r="N746">
        <v>759.58386288349755</v>
      </c>
    </row>
    <row r="747" spans="1:14">
      <c r="A747" t="s">
        <v>726</v>
      </c>
      <c r="B747" t="s">
        <v>2155</v>
      </c>
      <c r="C747" t="s">
        <v>2156</v>
      </c>
      <c r="D747" t="s">
        <v>11</v>
      </c>
      <c r="E747" t="s">
        <v>13</v>
      </c>
      <c r="F747" t="s">
        <v>729</v>
      </c>
      <c r="G747" t="s">
        <v>12</v>
      </c>
      <c r="I747" t="s">
        <v>2155</v>
      </c>
      <c r="J747" t="s">
        <v>3695</v>
      </c>
      <c r="K747">
        <v>22.218099812151756</v>
      </c>
      <c r="L747">
        <v>0.26470443305353908</v>
      </c>
      <c r="M747">
        <v>420.65004931870283</v>
      </c>
      <c r="N747">
        <v>462.71505425057313</v>
      </c>
    </row>
    <row r="748" spans="1:14">
      <c r="A748" t="s">
        <v>726</v>
      </c>
      <c r="B748" t="s">
        <v>2157</v>
      </c>
      <c r="C748" t="s">
        <v>2158</v>
      </c>
      <c r="D748" t="s">
        <v>11</v>
      </c>
      <c r="E748" t="s">
        <v>13</v>
      </c>
      <c r="F748" t="s">
        <v>729</v>
      </c>
      <c r="G748" t="s">
        <v>12</v>
      </c>
      <c r="I748" t="s">
        <v>2157</v>
      </c>
      <c r="J748" t="s">
        <v>3696</v>
      </c>
      <c r="K748">
        <v>194.17759174109628</v>
      </c>
      <c r="L748">
        <v>0.2847116995381847</v>
      </c>
      <c r="M748">
        <v>599.52299260506493</v>
      </c>
      <c r="N748">
        <v>659.47529186557142</v>
      </c>
    </row>
    <row r="749" spans="1:14">
      <c r="A749" t="s">
        <v>726</v>
      </c>
      <c r="B749" t="s">
        <v>2159</v>
      </c>
      <c r="C749" t="s">
        <v>2160</v>
      </c>
      <c r="D749" t="s">
        <v>11</v>
      </c>
      <c r="E749" t="s">
        <v>13</v>
      </c>
      <c r="F749" t="s">
        <v>729</v>
      </c>
      <c r="G749" t="s">
        <v>12</v>
      </c>
      <c r="I749" t="s">
        <v>2159</v>
      </c>
      <c r="J749" t="s">
        <v>3697</v>
      </c>
      <c r="K749">
        <v>27.323041490623826</v>
      </c>
      <c r="L749">
        <v>0.24389542317476551</v>
      </c>
      <c r="M749">
        <v>159.16938878382999</v>
      </c>
      <c r="N749">
        <v>175.08632766221299</v>
      </c>
    </row>
    <row r="750" spans="1:14">
      <c r="A750" t="s">
        <v>726</v>
      </c>
      <c r="B750" t="s">
        <v>2161</v>
      </c>
      <c r="C750" t="s">
        <v>2162</v>
      </c>
      <c r="D750" t="s">
        <v>11</v>
      </c>
      <c r="E750" t="s">
        <v>13</v>
      </c>
      <c r="F750" t="s">
        <v>729</v>
      </c>
      <c r="G750" t="s">
        <v>12</v>
      </c>
      <c r="I750" t="s">
        <v>2161</v>
      </c>
      <c r="J750" t="s">
        <v>3698</v>
      </c>
      <c r="K750">
        <v>42.398419034950052</v>
      </c>
      <c r="L750">
        <v>0.25688182812465898</v>
      </c>
      <c r="M750">
        <v>154.74395283186522</v>
      </c>
      <c r="N750">
        <v>170.21834811505175</v>
      </c>
    </row>
    <row r="751" spans="1:14">
      <c r="A751" t="s">
        <v>726</v>
      </c>
      <c r="B751" t="s">
        <v>2163</v>
      </c>
      <c r="C751" t="s">
        <v>2153</v>
      </c>
      <c r="D751" t="s">
        <v>11</v>
      </c>
      <c r="E751" t="s">
        <v>13</v>
      </c>
      <c r="F751" t="s">
        <v>729</v>
      </c>
      <c r="G751" t="s">
        <v>12</v>
      </c>
      <c r="I751" t="s">
        <v>2163</v>
      </c>
      <c r="J751" t="s">
        <v>3699</v>
      </c>
      <c r="K751">
        <v>106.01348414394889</v>
      </c>
      <c r="L751">
        <v>0.27925439021058179</v>
      </c>
      <c r="M751">
        <v>293.28752326401104</v>
      </c>
      <c r="N751">
        <v>322.61627559041216</v>
      </c>
    </row>
    <row r="752" spans="1:14">
      <c r="A752" t="s">
        <v>726</v>
      </c>
      <c r="B752" t="s">
        <v>2164</v>
      </c>
      <c r="C752" t="s">
        <v>2165</v>
      </c>
      <c r="D752" t="s">
        <v>11</v>
      </c>
      <c r="E752" t="s">
        <v>13</v>
      </c>
      <c r="F752" t="s">
        <v>729</v>
      </c>
      <c r="G752" t="s">
        <v>12</v>
      </c>
      <c r="I752" t="s">
        <v>2164</v>
      </c>
      <c r="J752" t="s">
        <v>3700</v>
      </c>
      <c r="K752">
        <v>41.276571913789077</v>
      </c>
      <c r="L752">
        <v>0.26236988711848058</v>
      </c>
      <c r="M752">
        <v>120.72166042320502</v>
      </c>
      <c r="N752">
        <v>132.79382646552554</v>
      </c>
    </row>
    <row r="753" spans="1:14">
      <c r="A753" t="s">
        <v>726</v>
      </c>
      <c r="B753" t="s">
        <v>2166</v>
      </c>
      <c r="C753" t="s">
        <v>2153</v>
      </c>
      <c r="D753" t="s">
        <v>11</v>
      </c>
      <c r="E753" t="s">
        <v>13</v>
      </c>
      <c r="F753" t="s">
        <v>729</v>
      </c>
      <c r="G753" t="s">
        <v>12</v>
      </c>
      <c r="I753" t="s">
        <v>2166</v>
      </c>
      <c r="J753" t="s">
        <v>3701</v>
      </c>
      <c r="K753">
        <v>262.32928706503026</v>
      </c>
      <c r="L753">
        <v>0.28876809232523848</v>
      </c>
      <c r="M753">
        <v>386.60428503769361</v>
      </c>
      <c r="N753">
        <v>425.26471354146304</v>
      </c>
    </row>
    <row r="754" spans="1:14">
      <c r="A754" t="s">
        <v>726</v>
      </c>
      <c r="B754" t="s">
        <v>2167</v>
      </c>
      <c r="C754" t="s">
        <v>2168</v>
      </c>
      <c r="D754" t="s">
        <v>11</v>
      </c>
      <c r="E754" t="s">
        <v>13</v>
      </c>
      <c r="F754" t="s">
        <v>729</v>
      </c>
      <c r="G754" t="s">
        <v>12</v>
      </c>
      <c r="I754" t="s">
        <v>2167</v>
      </c>
      <c r="J754" t="s">
        <v>3702</v>
      </c>
      <c r="K754">
        <v>25.772988298810642</v>
      </c>
      <c r="L754">
        <v>0.2664051459470404</v>
      </c>
      <c r="M754">
        <v>147.23834081118366</v>
      </c>
      <c r="N754">
        <v>161.96217489230204</v>
      </c>
    </row>
    <row r="755" spans="1:14">
      <c r="A755" t="s">
        <v>726</v>
      </c>
      <c r="B755" t="s">
        <v>2169</v>
      </c>
      <c r="C755" t="s">
        <v>2153</v>
      </c>
      <c r="D755" t="s">
        <v>11</v>
      </c>
      <c r="E755" t="s">
        <v>13</v>
      </c>
      <c r="F755" t="s">
        <v>729</v>
      </c>
      <c r="G755" t="s">
        <v>12</v>
      </c>
      <c r="I755" t="s">
        <v>2169</v>
      </c>
      <c r="J755" t="s">
        <v>3703</v>
      </c>
      <c r="K755">
        <v>78.815651070987528</v>
      </c>
      <c r="L755">
        <v>0.2869921006662392</v>
      </c>
      <c r="M755">
        <v>240.48277270258237</v>
      </c>
      <c r="N755">
        <v>264.53104997284061</v>
      </c>
    </row>
    <row r="756" spans="1:14">
      <c r="A756" t="s">
        <v>726</v>
      </c>
      <c r="B756" t="s">
        <v>2170</v>
      </c>
      <c r="C756" t="s">
        <v>2171</v>
      </c>
      <c r="D756" t="s">
        <v>11</v>
      </c>
      <c r="E756" t="s">
        <v>13</v>
      </c>
      <c r="F756" t="s">
        <v>729</v>
      </c>
      <c r="G756" t="s">
        <v>12</v>
      </c>
      <c r="I756" t="s">
        <v>2170</v>
      </c>
      <c r="J756" t="s">
        <v>3704</v>
      </c>
      <c r="K756">
        <v>47.553625010769686</v>
      </c>
      <c r="L756">
        <v>0.27250748063152108</v>
      </c>
      <c r="M756">
        <v>116.03301221239148</v>
      </c>
      <c r="N756">
        <v>127.63631343363065</v>
      </c>
    </row>
    <row r="757" spans="1:14">
      <c r="A757" t="s">
        <v>726</v>
      </c>
      <c r="B757" t="s">
        <v>2172</v>
      </c>
      <c r="C757" t="s">
        <v>2173</v>
      </c>
      <c r="D757" t="s">
        <v>11</v>
      </c>
      <c r="E757" t="s">
        <v>13</v>
      </c>
      <c r="F757" t="s">
        <v>729</v>
      </c>
      <c r="G757" t="s">
        <v>12</v>
      </c>
      <c r="I757" t="s">
        <v>2172</v>
      </c>
      <c r="J757" t="s">
        <v>3705</v>
      </c>
      <c r="K757">
        <v>40.867175579695868</v>
      </c>
      <c r="L757">
        <v>0.17786590807625269</v>
      </c>
      <c r="M757">
        <v>42.68055239317534</v>
      </c>
      <c r="N757">
        <v>46.94860763249288</v>
      </c>
    </row>
    <row r="758" spans="1:14">
      <c r="A758" t="s">
        <v>726</v>
      </c>
      <c r="B758" t="s">
        <v>2174</v>
      </c>
      <c r="C758" t="s">
        <v>2175</v>
      </c>
      <c r="D758" t="s">
        <v>11</v>
      </c>
      <c r="E758" t="s">
        <v>13</v>
      </c>
      <c r="F758" t="s">
        <v>729</v>
      </c>
      <c r="G758" t="s">
        <v>12</v>
      </c>
      <c r="I758" t="s">
        <v>2174</v>
      </c>
      <c r="J758" t="s">
        <v>3706</v>
      </c>
      <c r="K758">
        <v>15.84</v>
      </c>
      <c r="L758">
        <v>0.1570295361515989</v>
      </c>
      <c r="M758">
        <v>52.877682553538932</v>
      </c>
      <c r="N758">
        <v>58.165450808892828</v>
      </c>
    </row>
    <row r="759" spans="1:14">
      <c r="A759" t="s">
        <v>726</v>
      </c>
      <c r="B759" t="s">
        <v>2176</v>
      </c>
      <c r="C759" t="s">
        <v>2177</v>
      </c>
      <c r="D759" t="s">
        <v>11</v>
      </c>
      <c r="E759" t="s">
        <v>13</v>
      </c>
      <c r="F759" t="s">
        <v>729</v>
      </c>
      <c r="G759" t="s">
        <v>12</v>
      </c>
      <c r="I759" t="s">
        <v>2176</v>
      </c>
      <c r="J759" t="s">
        <v>3707</v>
      </c>
      <c r="K759">
        <v>13.528468915549594</v>
      </c>
      <c r="L759">
        <v>0.1636984759218047</v>
      </c>
      <c r="M759">
        <v>69.61368987132046</v>
      </c>
      <c r="N759">
        <v>76.575058858452508</v>
      </c>
    </row>
    <row r="760" spans="1:14">
      <c r="A760" t="s">
        <v>726</v>
      </c>
      <c r="B760" t="s">
        <v>2178</v>
      </c>
      <c r="C760" t="s">
        <v>2179</v>
      </c>
      <c r="D760" t="s">
        <v>11</v>
      </c>
      <c r="E760" t="s">
        <v>13</v>
      </c>
      <c r="F760" t="s">
        <v>729</v>
      </c>
      <c r="G760" t="s">
        <v>12</v>
      </c>
      <c r="I760" t="s">
        <v>2178</v>
      </c>
      <c r="J760" t="s">
        <v>3708</v>
      </c>
      <c r="K760">
        <v>23.434477098334987</v>
      </c>
      <c r="L760">
        <v>0.232068400553296</v>
      </c>
      <c r="M760">
        <v>128.2438526779751</v>
      </c>
      <c r="N760">
        <v>141.06823794577261</v>
      </c>
    </row>
    <row r="761" spans="1:14">
      <c r="A761" t="s">
        <v>726</v>
      </c>
      <c r="B761" t="s">
        <v>2180</v>
      </c>
      <c r="C761" t="s">
        <v>2181</v>
      </c>
      <c r="D761" t="s">
        <v>11</v>
      </c>
      <c r="E761" t="s">
        <v>13</v>
      </c>
      <c r="F761" t="s">
        <v>729</v>
      </c>
      <c r="G761" t="s">
        <v>12</v>
      </c>
      <c r="I761" t="s">
        <v>2180</v>
      </c>
      <c r="J761" t="s">
        <v>3709</v>
      </c>
      <c r="K761">
        <v>82.420910298659265</v>
      </c>
      <c r="L761">
        <v>0.25073843053956318</v>
      </c>
      <c r="M761">
        <v>135.01076317531101</v>
      </c>
      <c r="N761">
        <v>148.51183949284211</v>
      </c>
    </row>
    <row r="762" spans="1:14">
      <c r="A762" t="s">
        <v>726</v>
      </c>
      <c r="B762" t="s">
        <v>2182</v>
      </c>
      <c r="C762" t="s">
        <v>2183</v>
      </c>
      <c r="D762" t="s">
        <v>11</v>
      </c>
      <c r="E762" t="s">
        <v>13</v>
      </c>
      <c r="F762" t="s">
        <v>729</v>
      </c>
      <c r="G762" t="s">
        <v>12</v>
      </c>
      <c r="I762" t="s">
        <v>2182</v>
      </c>
      <c r="J762" t="s">
        <v>3710</v>
      </c>
      <c r="K762">
        <v>3.1028951076717157</v>
      </c>
      <c r="L762">
        <v>0.20364618204759211</v>
      </c>
      <c r="M762">
        <v>186.66368810249497</v>
      </c>
      <c r="N762">
        <v>205.33005691274448</v>
      </c>
    </row>
    <row r="763" spans="1:14">
      <c r="A763" t="s">
        <v>726</v>
      </c>
      <c r="B763" t="s">
        <v>2184</v>
      </c>
      <c r="C763" t="s">
        <v>2185</v>
      </c>
      <c r="D763" t="s">
        <v>11</v>
      </c>
      <c r="E763" t="s">
        <v>13</v>
      </c>
      <c r="F763" t="s">
        <v>729</v>
      </c>
      <c r="G763" t="s">
        <v>12</v>
      </c>
      <c r="I763" t="s">
        <v>2184</v>
      </c>
      <c r="J763" t="s">
        <v>3711</v>
      </c>
      <c r="K763">
        <v>7.3285489741651979</v>
      </c>
      <c r="L763">
        <v>0.19415438447699529</v>
      </c>
      <c r="M763">
        <v>151.62975739737192</v>
      </c>
      <c r="N763">
        <v>166.79273313710911</v>
      </c>
    </row>
    <row r="764" spans="1:14">
      <c r="A764" t="s">
        <v>726</v>
      </c>
      <c r="B764" t="s">
        <v>2186</v>
      </c>
      <c r="C764" t="s">
        <v>2187</v>
      </c>
      <c r="D764" t="s">
        <v>11</v>
      </c>
      <c r="E764" t="s">
        <v>13</v>
      </c>
      <c r="F764" t="s">
        <v>729</v>
      </c>
      <c r="G764" t="s">
        <v>12</v>
      </c>
      <c r="I764" t="s">
        <v>2186</v>
      </c>
      <c r="J764" t="s">
        <v>3712</v>
      </c>
      <c r="K764">
        <v>40.400146680949803</v>
      </c>
      <c r="L764">
        <v>0.21194708213651331</v>
      </c>
      <c r="M764">
        <v>91.088635383409638</v>
      </c>
      <c r="N764">
        <v>100.19749892175061</v>
      </c>
    </row>
    <row r="765" spans="1:14">
      <c r="A765" t="s">
        <v>726</v>
      </c>
      <c r="B765" t="s">
        <v>2188</v>
      </c>
      <c r="C765" t="s">
        <v>2189</v>
      </c>
      <c r="D765" t="s">
        <v>11</v>
      </c>
      <c r="E765" t="s">
        <v>13</v>
      </c>
      <c r="F765" t="s">
        <v>729</v>
      </c>
      <c r="G765" t="s">
        <v>12</v>
      </c>
      <c r="I765" t="s">
        <v>2188</v>
      </c>
      <c r="J765" t="s">
        <v>3713</v>
      </c>
      <c r="K765">
        <v>90.416860728092161</v>
      </c>
      <c r="L765">
        <v>0.2522772822929753</v>
      </c>
      <c r="M765">
        <v>120.2557816924222</v>
      </c>
      <c r="N765">
        <v>132.28135986166444</v>
      </c>
    </row>
    <row r="766" spans="1:14">
      <c r="A766" t="s">
        <v>726</v>
      </c>
      <c r="B766" t="s">
        <v>2190</v>
      </c>
      <c r="C766" t="s">
        <v>2191</v>
      </c>
      <c r="D766" t="s">
        <v>11</v>
      </c>
      <c r="E766" t="s">
        <v>13</v>
      </c>
      <c r="F766" t="s">
        <v>729</v>
      </c>
      <c r="G766" t="s">
        <v>12</v>
      </c>
      <c r="I766" t="s">
        <v>2190</v>
      </c>
      <c r="J766" t="s">
        <v>3714</v>
      </c>
      <c r="K766">
        <v>57.911388282532933</v>
      </c>
      <c r="L766">
        <v>0.24086377417474039</v>
      </c>
      <c r="M766">
        <v>337.27467994250628</v>
      </c>
      <c r="N766">
        <v>371.00214793675696</v>
      </c>
    </row>
    <row r="767" spans="1:14">
      <c r="A767" t="s">
        <v>726</v>
      </c>
      <c r="B767" t="s">
        <v>2192</v>
      </c>
      <c r="C767" t="s">
        <v>2193</v>
      </c>
      <c r="D767" t="s">
        <v>11</v>
      </c>
      <c r="E767" t="s">
        <v>13</v>
      </c>
      <c r="F767" t="s">
        <v>729</v>
      </c>
      <c r="G767" t="s">
        <v>12</v>
      </c>
      <c r="I767" t="s">
        <v>2192</v>
      </c>
      <c r="J767" t="s">
        <v>3715</v>
      </c>
      <c r="K767">
        <v>91.171152038487037</v>
      </c>
      <c r="L767">
        <v>0.2239892538012449</v>
      </c>
      <c r="M767">
        <v>153.19597174613682</v>
      </c>
      <c r="N767">
        <v>168.51556892075052</v>
      </c>
    </row>
    <row r="768" spans="1:14">
      <c r="A768" t="s">
        <v>726</v>
      </c>
      <c r="B768" t="s">
        <v>2194</v>
      </c>
      <c r="C768" t="s">
        <v>2195</v>
      </c>
      <c r="D768" t="s">
        <v>11</v>
      </c>
      <c r="E768" t="s">
        <v>13</v>
      </c>
      <c r="F768" t="s">
        <v>729</v>
      </c>
      <c r="G768" t="s">
        <v>12</v>
      </c>
      <c r="I768" t="s">
        <v>2194</v>
      </c>
      <c r="J768" t="s">
        <v>3716</v>
      </c>
      <c r="K768">
        <v>4.3009370453713682</v>
      </c>
      <c r="L768">
        <v>0.21293335122997681</v>
      </c>
      <c r="M768">
        <v>25.00698332936053</v>
      </c>
      <c r="N768">
        <v>27.507681662296584</v>
      </c>
    </row>
    <row r="769" spans="1:14">
      <c r="A769" t="s">
        <v>726</v>
      </c>
      <c r="B769" t="s">
        <v>2196</v>
      </c>
      <c r="C769" t="s">
        <v>2197</v>
      </c>
      <c r="D769" t="s">
        <v>11</v>
      </c>
      <c r="E769" t="s">
        <v>13</v>
      </c>
      <c r="F769" t="s">
        <v>729</v>
      </c>
      <c r="G769" t="s">
        <v>12</v>
      </c>
      <c r="I769" t="s">
        <v>2196</v>
      </c>
      <c r="J769" t="s">
        <v>3717</v>
      </c>
      <c r="K769">
        <v>10.031564304770031</v>
      </c>
      <c r="L769">
        <v>0.16780092826742229</v>
      </c>
      <c r="M769">
        <v>32.732885792754438</v>
      </c>
      <c r="N769">
        <v>36.006174372029882</v>
      </c>
    </row>
    <row r="770" spans="1:14">
      <c r="A770" t="s">
        <v>726</v>
      </c>
      <c r="B770" t="s">
        <v>2198</v>
      </c>
      <c r="C770" t="s">
        <v>2199</v>
      </c>
      <c r="D770" t="s">
        <v>11</v>
      </c>
      <c r="E770" t="s">
        <v>13</v>
      </c>
      <c r="F770" t="s">
        <v>729</v>
      </c>
      <c r="G770" t="s">
        <v>12</v>
      </c>
      <c r="I770" t="s">
        <v>2198</v>
      </c>
      <c r="J770" t="s">
        <v>3718</v>
      </c>
      <c r="K770">
        <v>1.0275663341495265</v>
      </c>
      <c r="L770">
        <v>0.18856835363389879</v>
      </c>
      <c r="M770">
        <v>32.394924127485631</v>
      </c>
      <c r="N770">
        <v>35.634416540234199</v>
      </c>
    </row>
    <row r="771" spans="1:14">
      <c r="A771" t="s">
        <v>726</v>
      </c>
      <c r="B771" t="s">
        <v>2200</v>
      </c>
      <c r="C771" t="s">
        <v>2201</v>
      </c>
      <c r="D771" t="s">
        <v>11</v>
      </c>
      <c r="E771" t="s">
        <v>13</v>
      </c>
      <c r="F771" t="s">
        <v>729</v>
      </c>
      <c r="G771" t="s">
        <v>12</v>
      </c>
      <c r="I771" t="s">
        <v>2200</v>
      </c>
      <c r="J771" t="s">
        <v>3719</v>
      </c>
      <c r="K771">
        <v>3.4821276434319297</v>
      </c>
      <c r="L771">
        <v>0.1916720504758572</v>
      </c>
      <c r="M771">
        <v>40.788910440533023</v>
      </c>
      <c r="N771">
        <v>44.86780148458633</v>
      </c>
    </row>
    <row r="772" spans="1:14">
      <c r="A772" t="s">
        <v>726</v>
      </c>
      <c r="B772" t="s">
        <v>2202</v>
      </c>
      <c r="C772" t="s">
        <v>2203</v>
      </c>
      <c r="D772" t="s">
        <v>11</v>
      </c>
      <c r="E772" t="s">
        <v>13</v>
      </c>
      <c r="F772" t="s">
        <v>729</v>
      </c>
      <c r="G772" t="s">
        <v>12</v>
      </c>
      <c r="I772" t="s">
        <v>2202</v>
      </c>
      <c r="J772" t="s">
        <v>3720</v>
      </c>
      <c r="K772">
        <v>8.4844431500138402</v>
      </c>
      <c r="L772">
        <v>0.176297936995816</v>
      </c>
      <c r="M772">
        <v>45.726401464897393</v>
      </c>
      <c r="N772">
        <v>50.299041611387139</v>
      </c>
    </row>
    <row r="773" spans="1:14">
      <c r="A773" t="s">
        <v>726</v>
      </c>
      <c r="B773" t="s">
        <v>2204</v>
      </c>
      <c r="C773" t="s">
        <v>2205</v>
      </c>
      <c r="D773" t="s">
        <v>11</v>
      </c>
      <c r="E773" t="s">
        <v>13</v>
      </c>
      <c r="F773" t="s">
        <v>729</v>
      </c>
      <c r="G773" t="s">
        <v>12</v>
      </c>
      <c r="I773" t="s">
        <v>2204</v>
      </c>
      <c r="J773" t="s">
        <v>3721</v>
      </c>
      <c r="K773">
        <v>7.3912131590304968</v>
      </c>
      <c r="L773">
        <v>0.14408871808961421</v>
      </c>
      <c r="M773">
        <v>22.53034927623246</v>
      </c>
      <c r="N773">
        <v>24.783384203855707</v>
      </c>
    </row>
    <row r="774" spans="1:14">
      <c r="A774" t="s">
        <v>726</v>
      </c>
      <c r="B774" t="s">
        <v>2206</v>
      </c>
      <c r="C774" t="s">
        <v>2207</v>
      </c>
      <c r="D774" t="s">
        <v>11</v>
      </c>
      <c r="E774" t="s">
        <v>13</v>
      </c>
      <c r="F774" t="s">
        <v>729</v>
      </c>
      <c r="G774" t="s">
        <v>12</v>
      </c>
      <c r="I774" t="s">
        <v>2206</v>
      </c>
      <c r="J774" t="s">
        <v>3722</v>
      </c>
      <c r="K774">
        <v>16.153146089050011</v>
      </c>
      <c r="L774">
        <v>0.139031716771187</v>
      </c>
      <c r="M774">
        <v>16.517494383674759</v>
      </c>
      <c r="N774">
        <v>18.169243822042237</v>
      </c>
    </row>
    <row r="775" spans="1:14">
      <c r="A775" t="s">
        <v>726</v>
      </c>
      <c r="B775" t="s">
        <v>2208</v>
      </c>
      <c r="C775" t="s">
        <v>2209</v>
      </c>
      <c r="D775" t="s">
        <v>11</v>
      </c>
      <c r="E775" t="s">
        <v>13</v>
      </c>
      <c r="F775" t="s">
        <v>729</v>
      </c>
      <c r="G775" t="s">
        <v>12</v>
      </c>
      <c r="I775" t="s">
        <v>2208</v>
      </c>
      <c r="J775" t="s">
        <v>3723</v>
      </c>
      <c r="K775">
        <v>21.277686929564872</v>
      </c>
      <c r="L775">
        <v>0.13477124699416079</v>
      </c>
      <c r="M775">
        <v>19.822527295906127</v>
      </c>
      <c r="N775">
        <v>21.80478002549674</v>
      </c>
    </row>
    <row r="776" spans="1:14">
      <c r="A776" t="s">
        <v>726</v>
      </c>
      <c r="B776" t="s">
        <v>2210</v>
      </c>
      <c r="C776" t="s">
        <v>2211</v>
      </c>
      <c r="D776" t="s">
        <v>11</v>
      </c>
      <c r="E776" t="s">
        <v>13</v>
      </c>
      <c r="F776" t="s">
        <v>729</v>
      </c>
      <c r="G776" t="s">
        <v>12</v>
      </c>
      <c r="I776" t="s">
        <v>2210</v>
      </c>
      <c r="J776" t="s">
        <v>3724</v>
      </c>
      <c r="K776">
        <v>4.2381737770362964</v>
      </c>
      <c r="L776">
        <v>0.14333415321499179</v>
      </c>
      <c r="M776">
        <v>50.016539280394611</v>
      </c>
      <c r="N776">
        <v>55.018193208434077</v>
      </c>
    </row>
    <row r="777" spans="1:14">
      <c r="A777" t="s">
        <v>726</v>
      </c>
      <c r="B777" t="s">
        <v>2212</v>
      </c>
      <c r="C777" t="s">
        <v>2213</v>
      </c>
      <c r="D777" t="s">
        <v>11</v>
      </c>
      <c r="E777" t="s">
        <v>13</v>
      </c>
      <c r="F777" t="s">
        <v>729</v>
      </c>
      <c r="G777" t="s">
        <v>12</v>
      </c>
      <c r="I777" t="s">
        <v>2212</v>
      </c>
      <c r="J777" t="s">
        <v>3725</v>
      </c>
      <c r="K777">
        <v>13.535888157167696</v>
      </c>
      <c r="L777">
        <v>0.1510486741264416</v>
      </c>
      <c r="M777">
        <v>50.384575772350637</v>
      </c>
      <c r="N777">
        <v>55.423033349585708</v>
      </c>
    </row>
    <row r="778" spans="1:14">
      <c r="A778" t="s">
        <v>726</v>
      </c>
      <c r="B778" t="s">
        <v>2214</v>
      </c>
      <c r="C778" t="s">
        <v>2215</v>
      </c>
      <c r="D778" t="s">
        <v>11</v>
      </c>
      <c r="E778" t="s">
        <v>13</v>
      </c>
      <c r="F778" t="s">
        <v>729</v>
      </c>
      <c r="G778" t="s">
        <v>12</v>
      </c>
      <c r="I778" t="s">
        <v>2214</v>
      </c>
      <c r="J778" t="s">
        <v>3726</v>
      </c>
      <c r="K778">
        <v>13.832758637429695</v>
      </c>
      <c r="L778">
        <v>0.15265619690216831</v>
      </c>
      <c r="M778">
        <v>30.168289335972819</v>
      </c>
      <c r="N778">
        <v>33.185118269570104</v>
      </c>
    </row>
    <row r="779" spans="1:14">
      <c r="A779" t="s">
        <v>726</v>
      </c>
      <c r="B779" t="s">
        <v>2216</v>
      </c>
      <c r="C779" t="s">
        <v>2217</v>
      </c>
      <c r="D779" t="s">
        <v>11</v>
      </c>
      <c r="E779" t="s">
        <v>13</v>
      </c>
      <c r="F779" t="s">
        <v>729</v>
      </c>
      <c r="G779" t="s">
        <v>12</v>
      </c>
      <c r="I779" t="s">
        <v>2216</v>
      </c>
      <c r="J779" t="s">
        <v>3727</v>
      </c>
      <c r="K779">
        <v>9.3421463446175022</v>
      </c>
      <c r="L779">
        <v>0.15208044279520211</v>
      </c>
      <c r="M779">
        <v>91.731301284704983</v>
      </c>
      <c r="N779">
        <v>100.90443141317549</v>
      </c>
    </row>
    <row r="780" spans="1:14">
      <c r="A780" t="s">
        <v>726</v>
      </c>
      <c r="B780" t="s">
        <v>2218</v>
      </c>
      <c r="C780" t="s">
        <v>2219</v>
      </c>
      <c r="D780" t="s">
        <v>11</v>
      </c>
      <c r="E780" t="s">
        <v>13</v>
      </c>
      <c r="F780" t="s">
        <v>729</v>
      </c>
      <c r="G780" t="s">
        <v>12</v>
      </c>
      <c r="I780" t="s">
        <v>2218</v>
      </c>
      <c r="J780" t="s">
        <v>3728</v>
      </c>
      <c r="K780">
        <v>7.1752931385230774</v>
      </c>
      <c r="L780">
        <v>0.1962682946484377</v>
      </c>
      <c r="M780">
        <v>35.735687054009901</v>
      </c>
      <c r="N780">
        <v>39.309255759410895</v>
      </c>
    </row>
    <row r="781" spans="1:14">
      <c r="A781" t="s">
        <v>726</v>
      </c>
      <c r="B781" t="s">
        <v>2220</v>
      </c>
      <c r="C781" t="s">
        <v>2221</v>
      </c>
      <c r="D781" t="s">
        <v>11</v>
      </c>
      <c r="E781" t="s">
        <v>13</v>
      </c>
      <c r="F781" t="s">
        <v>729</v>
      </c>
      <c r="G781" t="s">
        <v>12</v>
      </c>
      <c r="I781" t="s">
        <v>2220</v>
      </c>
      <c r="J781" t="s">
        <v>3729</v>
      </c>
      <c r="K781">
        <v>18.200260117127197</v>
      </c>
      <c r="L781">
        <v>0.21278671365539131</v>
      </c>
      <c r="M781">
        <v>36.19414246169741</v>
      </c>
      <c r="N781">
        <v>39.813556707867157</v>
      </c>
    </row>
    <row r="782" spans="1:14">
      <c r="A782" t="s">
        <v>726</v>
      </c>
      <c r="B782" t="s">
        <v>2222</v>
      </c>
      <c r="C782" t="s">
        <v>2223</v>
      </c>
      <c r="D782" t="s">
        <v>11</v>
      </c>
      <c r="E782" t="s">
        <v>13</v>
      </c>
      <c r="F782" t="s">
        <v>729</v>
      </c>
      <c r="G782" t="s">
        <v>12</v>
      </c>
      <c r="I782" t="s">
        <v>2222</v>
      </c>
      <c r="J782" t="s">
        <v>3730</v>
      </c>
      <c r="K782">
        <v>11.583106962641388</v>
      </c>
      <c r="L782">
        <v>0.2095489734448758</v>
      </c>
      <c r="M782">
        <v>33.34084028360563</v>
      </c>
      <c r="N782">
        <v>36.674924311966194</v>
      </c>
    </row>
    <row r="783" spans="1:14">
      <c r="A783" t="s">
        <v>726</v>
      </c>
      <c r="B783" t="s">
        <v>2224</v>
      </c>
      <c r="C783" t="s">
        <v>2225</v>
      </c>
      <c r="D783" t="s">
        <v>11</v>
      </c>
      <c r="E783" t="s">
        <v>13</v>
      </c>
      <c r="F783" t="s">
        <v>729</v>
      </c>
      <c r="G783" t="s">
        <v>12</v>
      </c>
      <c r="I783" t="s">
        <v>2224</v>
      </c>
      <c r="J783" t="s">
        <v>3731</v>
      </c>
      <c r="K783">
        <v>9.6557362427867073</v>
      </c>
      <c r="L783">
        <v>0.20446475206656481</v>
      </c>
      <c r="M783">
        <v>30.02721637555408</v>
      </c>
      <c r="N783">
        <v>33.029938013109494</v>
      </c>
    </row>
    <row r="784" spans="1:14">
      <c r="A784" t="s">
        <v>726</v>
      </c>
      <c r="B784" t="s">
        <v>2226</v>
      </c>
      <c r="C784" t="s">
        <v>2227</v>
      </c>
      <c r="D784" t="s">
        <v>11</v>
      </c>
      <c r="E784" t="s">
        <v>13</v>
      </c>
      <c r="F784" t="s">
        <v>729</v>
      </c>
      <c r="G784" t="s">
        <v>12</v>
      </c>
      <c r="I784" t="s">
        <v>2226</v>
      </c>
      <c r="J784" t="s">
        <v>3732</v>
      </c>
      <c r="K784">
        <v>14.703515544593534</v>
      </c>
      <c r="L784">
        <v>0.18394567124097769</v>
      </c>
      <c r="M784">
        <v>140.14718271891016</v>
      </c>
      <c r="N784">
        <v>154.1619009908012</v>
      </c>
    </row>
    <row r="785" spans="1:14">
      <c r="A785" t="s">
        <v>726</v>
      </c>
      <c r="B785" t="s">
        <v>2228</v>
      </c>
      <c r="C785" t="s">
        <v>2229</v>
      </c>
      <c r="D785" t="s">
        <v>11</v>
      </c>
      <c r="E785" t="s">
        <v>13</v>
      </c>
      <c r="F785" t="s">
        <v>729</v>
      </c>
      <c r="G785" t="s">
        <v>12</v>
      </c>
      <c r="I785" t="s">
        <v>2228</v>
      </c>
      <c r="J785" t="s">
        <v>3733</v>
      </c>
      <c r="K785">
        <v>19.199314029984329</v>
      </c>
      <c r="L785">
        <v>0.18686888039232349</v>
      </c>
      <c r="M785">
        <v>84.624819036872438</v>
      </c>
      <c r="N785">
        <v>93.087300940559686</v>
      </c>
    </row>
    <row r="786" spans="1:14">
      <c r="A786" t="s">
        <v>726</v>
      </c>
      <c r="B786" t="s">
        <v>2230</v>
      </c>
      <c r="C786" t="s">
        <v>2231</v>
      </c>
      <c r="D786" t="s">
        <v>11</v>
      </c>
      <c r="E786" t="s">
        <v>13</v>
      </c>
      <c r="F786" t="s">
        <v>729</v>
      </c>
      <c r="G786" t="s">
        <v>12</v>
      </c>
      <c r="I786" t="s">
        <v>2230</v>
      </c>
      <c r="J786" t="s">
        <v>3734</v>
      </c>
      <c r="K786">
        <v>33.554962491178934</v>
      </c>
      <c r="L786">
        <v>0.18087337152308941</v>
      </c>
      <c r="M786">
        <v>88.860521080256035</v>
      </c>
      <c r="N786">
        <v>97.746573188281644</v>
      </c>
    </row>
    <row r="787" spans="1:14">
      <c r="A787" t="s">
        <v>726</v>
      </c>
      <c r="B787" t="s">
        <v>2232</v>
      </c>
      <c r="C787" t="s">
        <v>2233</v>
      </c>
      <c r="D787" t="s">
        <v>11</v>
      </c>
      <c r="E787" t="s">
        <v>13</v>
      </c>
      <c r="F787" t="s">
        <v>729</v>
      </c>
      <c r="G787" t="s">
        <v>12</v>
      </c>
      <c r="I787" t="s">
        <v>2232</v>
      </c>
      <c r="J787" t="s">
        <v>3735</v>
      </c>
      <c r="K787">
        <v>28.859563036397763</v>
      </c>
      <c r="L787">
        <v>0.15628275428679411</v>
      </c>
      <c r="M787">
        <v>461.19181481824427</v>
      </c>
      <c r="N787">
        <v>507.31099630006872</v>
      </c>
    </row>
    <row r="788" spans="1:14">
      <c r="A788" t="s">
        <v>726</v>
      </c>
      <c r="B788" t="s">
        <v>2234</v>
      </c>
      <c r="C788" t="s">
        <v>2235</v>
      </c>
      <c r="D788" t="s">
        <v>11</v>
      </c>
      <c r="E788" t="s">
        <v>13</v>
      </c>
      <c r="F788" t="s">
        <v>729</v>
      </c>
      <c r="G788" t="s">
        <v>12</v>
      </c>
      <c r="I788" t="s">
        <v>2234</v>
      </c>
      <c r="J788" t="s">
        <v>3736</v>
      </c>
      <c r="K788">
        <v>21.246965427446568</v>
      </c>
      <c r="L788">
        <v>0.17260082171337821</v>
      </c>
      <c r="M788">
        <v>162.39079993794772</v>
      </c>
      <c r="N788">
        <v>178.62987993174249</v>
      </c>
    </row>
    <row r="789" spans="1:14">
      <c r="A789" t="s">
        <v>726</v>
      </c>
      <c r="B789" t="s">
        <v>2236</v>
      </c>
      <c r="C789" t="s">
        <v>2237</v>
      </c>
      <c r="D789" t="s">
        <v>11</v>
      </c>
      <c r="E789" t="s">
        <v>13</v>
      </c>
      <c r="F789" t="s">
        <v>729</v>
      </c>
      <c r="G789" t="s">
        <v>12</v>
      </c>
      <c r="I789" t="s">
        <v>2236</v>
      </c>
      <c r="J789" t="s">
        <v>3737</v>
      </c>
      <c r="K789">
        <v>4.1853519219127389</v>
      </c>
      <c r="L789">
        <v>0.16524433529089999</v>
      </c>
      <c r="M789">
        <v>221.95332239233596</v>
      </c>
      <c r="N789">
        <v>244.14865463156957</v>
      </c>
    </row>
    <row r="790" spans="1:14">
      <c r="A790" t="s">
        <v>726</v>
      </c>
      <c r="B790" t="s">
        <v>2238</v>
      </c>
      <c r="C790" t="s">
        <v>2239</v>
      </c>
      <c r="D790" t="s">
        <v>11</v>
      </c>
      <c r="E790" t="s">
        <v>13</v>
      </c>
      <c r="F790" t="s">
        <v>729</v>
      </c>
      <c r="G790" t="s">
        <v>12</v>
      </c>
      <c r="I790" t="s">
        <v>2238</v>
      </c>
      <c r="J790" t="s">
        <v>3738</v>
      </c>
      <c r="K790">
        <v>58.925021183705312</v>
      </c>
      <c r="L790">
        <v>0.2559525924335605</v>
      </c>
      <c r="M790">
        <v>147.2157465373499</v>
      </c>
      <c r="N790">
        <v>161.93732119108489</v>
      </c>
    </row>
    <row r="791" spans="1:14">
      <c r="A791" t="s">
        <v>726</v>
      </c>
      <c r="B791" t="s">
        <v>2240</v>
      </c>
      <c r="C791" t="s">
        <v>2241</v>
      </c>
      <c r="D791" t="s">
        <v>11</v>
      </c>
      <c r="E791" t="s">
        <v>13</v>
      </c>
      <c r="F791" t="s">
        <v>729</v>
      </c>
      <c r="G791" t="s">
        <v>12</v>
      </c>
      <c r="I791" t="s">
        <v>2240</v>
      </c>
      <c r="J791" t="s">
        <v>3739</v>
      </c>
      <c r="K791">
        <v>24.85592896228842</v>
      </c>
      <c r="L791">
        <v>0.2564318495670902</v>
      </c>
      <c r="M791">
        <v>408.53882578961992</v>
      </c>
      <c r="N791">
        <v>449.39270836858196</v>
      </c>
    </row>
    <row r="792" spans="1:14">
      <c r="A792" t="s">
        <v>726</v>
      </c>
      <c r="B792" t="s">
        <v>2242</v>
      </c>
      <c r="C792" t="s">
        <v>2239</v>
      </c>
      <c r="D792" t="s">
        <v>11</v>
      </c>
      <c r="E792" t="s">
        <v>13</v>
      </c>
      <c r="F792" t="s">
        <v>729</v>
      </c>
      <c r="G792" t="s">
        <v>12</v>
      </c>
      <c r="I792" t="s">
        <v>2242</v>
      </c>
      <c r="J792" t="s">
        <v>3740</v>
      </c>
      <c r="K792">
        <v>100.33693495564827</v>
      </c>
      <c r="L792">
        <v>0.25651984018458401</v>
      </c>
      <c r="M792">
        <v>274.59495687474083</v>
      </c>
      <c r="N792">
        <v>302.05445256221492</v>
      </c>
    </row>
    <row r="793" spans="1:14">
      <c r="A793" t="s">
        <v>726</v>
      </c>
      <c r="B793" t="s">
        <v>2243</v>
      </c>
      <c r="C793" t="s">
        <v>2244</v>
      </c>
      <c r="D793" t="s">
        <v>11</v>
      </c>
      <c r="E793" t="s">
        <v>13</v>
      </c>
      <c r="F793" t="s">
        <v>729</v>
      </c>
      <c r="G793" t="s">
        <v>12</v>
      </c>
      <c r="I793" t="s">
        <v>2243</v>
      </c>
      <c r="J793" t="s">
        <v>3741</v>
      </c>
      <c r="K793">
        <v>52.588816072917211</v>
      </c>
      <c r="L793">
        <v>0.2575365694276831</v>
      </c>
      <c r="M793">
        <v>311.57369222981953</v>
      </c>
      <c r="N793">
        <v>342.7310614528015</v>
      </c>
    </row>
    <row r="794" spans="1:14">
      <c r="A794" t="s">
        <v>726</v>
      </c>
      <c r="B794" t="s">
        <v>2245</v>
      </c>
      <c r="C794" t="s">
        <v>2246</v>
      </c>
      <c r="D794" t="s">
        <v>11</v>
      </c>
      <c r="E794" t="s">
        <v>13</v>
      </c>
      <c r="F794" t="s">
        <v>729</v>
      </c>
      <c r="G794" t="s">
        <v>12</v>
      </c>
      <c r="I794" t="s">
        <v>2245</v>
      </c>
      <c r="J794" t="s">
        <v>3742</v>
      </c>
      <c r="K794">
        <v>96.39153486401807</v>
      </c>
      <c r="L794">
        <v>0.2655557386621068</v>
      </c>
      <c r="M794">
        <v>345.29722222870134</v>
      </c>
      <c r="N794">
        <v>379.82694445157153</v>
      </c>
    </row>
    <row r="795" spans="1:14">
      <c r="A795" t="s">
        <v>726</v>
      </c>
      <c r="B795" t="s">
        <v>2247</v>
      </c>
      <c r="C795" t="s">
        <v>2246</v>
      </c>
      <c r="D795" t="s">
        <v>11</v>
      </c>
      <c r="E795" t="s">
        <v>13</v>
      </c>
      <c r="F795" t="s">
        <v>729</v>
      </c>
      <c r="G795" t="s">
        <v>12</v>
      </c>
      <c r="I795" t="s">
        <v>2247</v>
      </c>
      <c r="J795" t="s">
        <v>3743</v>
      </c>
      <c r="K795">
        <v>15.762010608837166</v>
      </c>
      <c r="L795">
        <v>0.26134854346951558</v>
      </c>
      <c r="M795">
        <v>109.54084901450776</v>
      </c>
      <c r="N795">
        <v>120.49493391595854</v>
      </c>
    </row>
    <row r="796" spans="1:14">
      <c r="A796" t="s">
        <v>726</v>
      </c>
      <c r="B796" t="s">
        <v>2248</v>
      </c>
      <c r="C796" t="s">
        <v>2246</v>
      </c>
      <c r="D796" t="s">
        <v>11</v>
      </c>
      <c r="E796" t="s">
        <v>13</v>
      </c>
      <c r="F796" t="s">
        <v>729</v>
      </c>
      <c r="G796" t="s">
        <v>12</v>
      </c>
      <c r="I796" t="s">
        <v>2248</v>
      </c>
      <c r="J796" t="s">
        <v>3744</v>
      </c>
      <c r="K796">
        <v>102.44126740228911</v>
      </c>
      <c r="L796">
        <v>0.2700305979198494</v>
      </c>
      <c r="M796">
        <v>200.9701578746425</v>
      </c>
      <c r="N796">
        <v>221.06717366210677</v>
      </c>
    </row>
    <row r="797" spans="1:14">
      <c r="A797" t="s">
        <v>726</v>
      </c>
      <c r="B797" t="s">
        <v>2249</v>
      </c>
      <c r="C797" t="s">
        <v>2250</v>
      </c>
      <c r="D797" t="s">
        <v>11</v>
      </c>
      <c r="E797" t="s">
        <v>13</v>
      </c>
      <c r="F797" t="s">
        <v>729</v>
      </c>
      <c r="G797" t="s">
        <v>12</v>
      </c>
      <c r="I797" t="s">
        <v>2249</v>
      </c>
      <c r="J797" t="s">
        <v>3745</v>
      </c>
      <c r="K797">
        <v>48.853277945716172</v>
      </c>
      <c r="L797">
        <v>0.2290545275925569</v>
      </c>
      <c r="M797">
        <v>60.556911460177282</v>
      </c>
      <c r="N797">
        <v>66.612602606195011</v>
      </c>
    </row>
    <row r="798" spans="1:14">
      <c r="A798" t="s">
        <v>726</v>
      </c>
      <c r="B798" t="s">
        <v>2251</v>
      </c>
      <c r="C798" t="s">
        <v>2252</v>
      </c>
      <c r="D798" t="s">
        <v>11</v>
      </c>
      <c r="E798" t="s">
        <v>13</v>
      </c>
      <c r="F798" t="s">
        <v>729</v>
      </c>
      <c r="G798" t="s">
        <v>12</v>
      </c>
      <c r="I798" t="s">
        <v>2251</v>
      </c>
      <c r="J798" t="s">
        <v>3746</v>
      </c>
      <c r="K798">
        <v>62.517438098517538</v>
      </c>
      <c r="L798">
        <v>0.2404082370274738</v>
      </c>
      <c r="M798">
        <v>88.143803432355938</v>
      </c>
      <c r="N798">
        <v>96.958183775591536</v>
      </c>
    </row>
    <row r="799" spans="1:14">
      <c r="A799" t="s">
        <v>726</v>
      </c>
      <c r="B799" t="s">
        <v>2253</v>
      </c>
      <c r="C799" t="s">
        <v>2254</v>
      </c>
      <c r="D799" t="s">
        <v>11</v>
      </c>
      <c r="E799" t="s">
        <v>13</v>
      </c>
      <c r="F799" t="s">
        <v>729</v>
      </c>
      <c r="G799" t="s">
        <v>12</v>
      </c>
      <c r="I799" t="s">
        <v>2253</v>
      </c>
      <c r="J799" t="s">
        <v>3747</v>
      </c>
      <c r="K799">
        <v>139.07128443609105</v>
      </c>
      <c r="L799">
        <v>0.2280989091187445</v>
      </c>
      <c r="M799">
        <v>62.303296004033164</v>
      </c>
      <c r="N799">
        <v>68.53362560443648</v>
      </c>
    </row>
    <row r="800" spans="1:14">
      <c r="A800" t="s">
        <v>726</v>
      </c>
      <c r="B800" t="s">
        <v>2255</v>
      </c>
      <c r="C800" t="s">
        <v>2256</v>
      </c>
      <c r="D800" t="s">
        <v>11</v>
      </c>
      <c r="E800" t="s">
        <v>13</v>
      </c>
      <c r="F800" t="s">
        <v>729</v>
      </c>
      <c r="G800" t="s">
        <v>12</v>
      </c>
      <c r="I800" t="s">
        <v>2255</v>
      </c>
      <c r="J800" t="s">
        <v>3748</v>
      </c>
      <c r="K800">
        <v>68.861737189332558</v>
      </c>
      <c r="L800">
        <v>0.26049745624036241</v>
      </c>
      <c r="M800">
        <v>449.62815372991821</v>
      </c>
      <c r="N800">
        <v>494.59096910291009</v>
      </c>
    </row>
    <row r="801" spans="1:14">
      <c r="A801" t="s">
        <v>726</v>
      </c>
      <c r="B801" t="s">
        <v>2257</v>
      </c>
      <c r="C801" t="s">
        <v>2258</v>
      </c>
      <c r="D801" t="s">
        <v>11</v>
      </c>
      <c r="E801" t="s">
        <v>13</v>
      </c>
      <c r="F801" t="s">
        <v>729</v>
      </c>
      <c r="G801" t="s">
        <v>12</v>
      </c>
      <c r="I801" t="s">
        <v>2257</v>
      </c>
      <c r="J801" t="s">
        <v>3749</v>
      </c>
      <c r="K801">
        <v>97.062637527366903</v>
      </c>
      <c r="L801">
        <v>0.27256214327915718</v>
      </c>
      <c r="M801">
        <v>429.38389033642159</v>
      </c>
      <c r="N801">
        <v>472.32227937006377</v>
      </c>
    </row>
    <row r="802" spans="1:14">
      <c r="A802" t="s">
        <v>726</v>
      </c>
      <c r="B802" t="s">
        <v>2259</v>
      </c>
      <c r="C802" t="s">
        <v>2260</v>
      </c>
      <c r="D802" t="s">
        <v>11</v>
      </c>
      <c r="E802" t="s">
        <v>13</v>
      </c>
      <c r="F802" t="s">
        <v>729</v>
      </c>
      <c r="G802" t="s">
        <v>12</v>
      </c>
      <c r="I802" t="s">
        <v>2259</v>
      </c>
      <c r="J802" t="s">
        <v>3750</v>
      </c>
      <c r="K802">
        <v>47.513364045513988</v>
      </c>
      <c r="L802">
        <v>0.2343084024789816</v>
      </c>
      <c r="M802">
        <v>122.14517528796266</v>
      </c>
      <c r="N802">
        <v>134.35969281675892</v>
      </c>
    </row>
    <row r="803" spans="1:14">
      <c r="A803" t="s">
        <v>726</v>
      </c>
      <c r="B803" t="s">
        <v>2261</v>
      </c>
      <c r="C803" t="s">
        <v>2262</v>
      </c>
      <c r="D803" t="s">
        <v>11</v>
      </c>
      <c r="E803" t="s">
        <v>13</v>
      </c>
      <c r="F803" t="s">
        <v>729</v>
      </c>
      <c r="G803" t="s">
        <v>12</v>
      </c>
      <c r="I803" t="s">
        <v>2261</v>
      </c>
      <c r="J803" t="s">
        <v>3751</v>
      </c>
      <c r="K803">
        <v>60.795309303961851</v>
      </c>
      <c r="L803">
        <v>0.23978604916614149</v>
      </c>
      <c r="M803">
        <v>136.82717407197248</v>
      </c>
      <c r="N803">
        <v>150.50989147916974</v>
      </c>
    </row>
    <row r="804" spans="1:14">
      <c r="A804" t="s">
        <v>726</v>
      </c>
      <c r="B804" t="s">
        <v>2263</v>
      </c>
      <c r="C804" t="s">
        <v>2258</v>
      </c>
      <c r="D804" t="s">
        <v>11</v>
      </c>
      <c r="E804" t="s">
        <v>13</v>
      </c>
      <c r="F804" t="s">
        <v>729</v>
      </c>
      <c r="G804" t="s">
        <v>12</v>
      </c>
      <c r="I804" t="s">
        <v>2263</v>
      </c>
      <c r="J804" t="s">
        <v>3752</v>
      </c>
      <c r="K804">
        <v>68.727940151020448</v>
      </c>
      <c r="L804">
        <v>0.27132615776587299</v>
      </c>
      <c r="M804">
        <v>151.77522582027319</v>
      </c>
      <c r="N804">
        <v>166.95274840230053</v>
      </c>
    </row>
    <row r="805" spans="1:14">
      <c r="A805" t="s">
        <v>726</v>
      </c>
      <c r="B805" t="s">
        <v>2264</v>
      </c>
      <c r="C805" t="s">
        <v>2256</v>
      </c>
      <c r="D805" t="s">
        <v>11</v>
      </c>
      <c r="E805" t="s">
        <v>13</v>
      </c>
      <c r="F805" t="s">
        <v>729</v>
      </c>
      <c r="G805" t="s">
        <v>12</v>
      </c>
      <c r="I805" t="s">
        <v>2264</v>
      </c>
      <c r="J805" t="s">
        <v>3753</v>
      </c>
      <c r="K805">
        <v>40.774351661057835</v>
      </c>
      <c r="L805">
        <v>0.25858356757487139</v>
      </c>
      <c r="M805">
        <v>210.21927242532485</v>
      </c>
      <c r="N805">
        <v>231.24119966785736</v>
      </c>
    </row>
    <row r="806" spans="1:14">
      <c r="A806" t="s">
        <v>726</v>
      </c>
      <c r="B806" t="s">
        <v>2265</v>
      </c>
      <c r="C806" t="s">
        <v>2266</v>
      </c>
      <c r="D806" t="s">
        <v>11</v>
      </c>
      <c r="E806" t="s">
        <v>13</v>
      </c>
      <c r="F806" t="s">
        <v>729</v>
      </c>
      <c r="G806" t="s">
        <v>12</v>
      </c>
      <c r="I806" t="s">
        <v>2265</v>
      </c>
      <c r="J806" t="s">
        <v>3754</v>
      </c>
      <c r="K806">
        <v>140.4475782177004</v>
      </c>
      <c r="L806">
        <v>0.24862369881436269</v>
      </c>
      <c r="M806">
        <v>72.77445280086323</v>
      </c>
      <c r="N806">
        <v>80.051898080949556</v>
      </c>
    </row>
    <row r="807" spans="1:14">
      <c r="A807" t="s">
        <v>726</v>
      </c>
      <c r="B807" t="s">
        <v>2267</v>
      </c>
      <c r="C807" t="s">
        <v>2268</v>
      </c>
      <c r="D807" t="s">
        <v>11</v>
      </c>
      <c r="E807" t="s">
        <v>13</v>
      </c>
      <c r="F807" t="s">
        <v>729</v>
      </c>
      <c r="G807" t="s">
        <v>12</v>
      </c>
      <c r="I807" t="s">
        <v>2267</v>
      </c>
      <c r="J807" t="s">
        <v>3755</v>
      </c>
      <c r="K807">
        <v>20.898330738820295</v>
      </c>
      <c r="L807">
        <v>0.1677625914191547</v>
      </c>
      <c r="M807">
        <v>181.05763836941287</v>
      </c>
      <c r="N807">
        <v>199.16340220635416</v>
      </c>
    </row>
    <row r="808" spans="1:14">
      <c r="A808" t="s">
        <v>726</v>
      </c>
      <c r="B808" t="s">
        <v>2269</v>
      </c>
      <c r="C808" t="s">
        <v>2270</v>
      </c>
      <c r="D808" t="s">
        <v>11</v>
      </c>
      <c r="E808" t="s">
        <v>13</v>
      </c>
      <c r="F808" t="s">
        <v>729</v>
      </c>
      <c r="G808" t="s">
        <v>12</v>
      </c>
      <c r="I808" t="s">
        <v>2269</v>
      </c>
      <c r="J808" t="s">
        <v>3756</v>
      </c>
      <c r="K808">
        <v>15.040072914873232</v>
      </c>
      <c r="L808">
        <v>0.1911633607177185</v>
      </c>
      <c r="M808">
        <v>103.99504729273092</v>
      </c>
      <c r="N808">
        <v>114.39455202200402</v>
      </c>
    </row>
    <row r="809" spans="1:14">
      <c r="A809" t="s">
        <v>726</v>
      </c>
      <c r="B809" t="s">
        <v>2271</v>
      </c>
      <c r="C809" t="s">
        <v>2272</v>
      </c>
      <c r="D809" t="s">
        <v>11</v>
      </c>
      <c r="E809" t="s">
        <v>13</v>
      </c>
      <c r="F809" t="s">
        <v>729</v>
      </c>
      <c r="G809" t="s">
        <v>12</v>
      </c>
      <c r="I809" t="s">
        <v>2271</v>
      </c>
      <c r="J809" t="s">
        <v>3757</v>
      </c>
      <c r="K809">
        <v>10.907642718323187</v>
      </c>
      <c r="L809">
        <v>0.1805852646414832</v>
      </c>
      <c r="M809">
        <v>40.491433704432559</v>
      </c>
      <c r="N809">
        <v>44.54057707487582</v>
      </c>
    </row>
    <row r="810" spans="1:14">
      <c r="A810" t="s">
        <v>726</v>
      </c>
      <c r="B810" t="s">
        <v>2273</v>
      </c>
      <c r="C810" t="s">
        <v>2274</v>
      </c>
      <c r="D810" t="s">
        <v>11</v>
      </c>
      <c r="E810" t="s">
        <v>13</v>
      </c>
      <c r="F810" t="s">
        <v>729</v>
      </c>
      <c r="G810" t="s">
        <v>12</v>
      </c>
      <c r="I810" t="s">
        <v>2273</v>
      </c>
      <c r="J810" t="s">
        <v>3758</v>
      </c>
      <c r="K810">
        <v>7.907086620697009</v>
      </c>
      <c r="L810">
        <v>0.1742459465723496</v>
      </c>
      <c r="M810">
        <v>104.5621419652194</v>
      </c>
      <c r="N810">
        <v>115.01835616174135</v>
      </c>
    </row>
    <row r="811" spans="1:14">
      <c r="A811" t="s">
        <v>726</v>
      </c>
      <c r="B811" t="s">
        <v>2275</v>
      </c>
      <c r="C811" t="s">
        <v>2276</v>
      </c>
      <c r="D811" t="s">
        <v>11</v>
      </c>
      <c r="E811" t="s">
        <v>13</v>
      </c>
      <c r="F811" t="s">
        <v>729</v>
      </c>
      <c r="G811" t="s">
        <v>12</v>
      </c>
      <c r="I811" t="s">
        <v>2275</v>
      </c>
      <c r="J811" t="s">
        <v>3759</v>
      </c>
      <c r="K811">
        <v>196.86787710978612</v>
      </c>
      <c r="L811">
        <v>0.1812119742106012</v>
      </c>
      <c r="M811">
        <v>172.45706972607886</v>
      </c>
      <c r="N811">
        <v>189.70277669868676</v>
      </c>
    </row>
    <row r="812" spans="1:14">
      <c r="A812" t="s">
        <v>726</v>
      </c>
      <c r="B812" t="s">
        <v>2277</v>
      </c>
      <c r="C812" t="s">
        <v>2278</v>
      </c>
      <c r="D812" t="s">
        <v>11</v>
      </c>
      <c r="E812" t="s">
        <v>13</v>
      </c>
      <c r="F812" t="s">
        <v>729</v>
      </c>
      <c r="G812" t="s">
        <v>12</v>
      </c>
      <c r="I812" t="s">
        <v>2277</v>
      </c>
      <c r="J812" t="s">
        <v>3760</v>
      </c>
      <c r="K812">
        <v>92.392604458550124</v>
      </c>
      <c r="L812">
        <v>0.1714331322415388</v>
      </c>
      <c r="M812">
        <v>399.23379595629962</v>
      </c>
      <c r="N812">
        <v>439.15717555192964</v>
      </c>
    </row>
    <row r="813" spans="1:14">
      <c r="A813" t="s">
        <v>726</v>
      </c>
      <c r="B813" t="s">
        <v>2279</v>
      </c>
      <c r="C813" t="s">
        <v>2276</v>
      </c>
      <c r="D813" t="s">
        <v>11</v>
      </c>
      <c r="E813" t="s">
        <v>13</v>
      </c>
      <c r="F813" t="s">
        <v>729</v>
      </c>
      <c r="G813" t="s">
        <v>12</v>
      </c>
      <c r="I813" t="s">
        <v>2279</v>
      </c>
      <c r="J813" t="s">
        <v>3761</v>
      </c>
      <c r="K813">
        <v>65.908192133192429</v>
      </c>
      <c r="L813">
        <v>0.18807733760391859</v>
      </c>
      <c r="M813">
        <v>313.05472924578078</v>
      </c>
      <c r="N813">
        <v>344.36020217035889</v>
      </c>
    </row>
    <row r="814" spans="1:14">
      <c r="A814" t="s">
        <v>726</v>
      </c>
      <c r="B814" t="s">
        <v>2280</v>
      </c>
      <c r="C814" t="s">
        <v>2278</v>
      </c>
      <c r="D814" t="s">
        <v>11</v>
      </c>
      <c r="E814" t="s">
        <v>13</v>
      </c>
      <c r="F814" t="s">
        <v>729</v>
      </c>
      <c r="G814" t="s">
        <v>12</v>
      </c>
      <c r="I814" t="s">
        <v>2280</v>
      </c>
      <c r="J814" t="s">
        <v>3762</v>
      </c>
      <c r="K814">
        <v>291.67725000000002</v>
      </c>
      <c r="L814">
        <v>0.16839129757799259</v>
      </c>
      <c r="M814">
        <v>197.71359488547344</v>
      </c>
      <c r="N814">
        <v>217.48495437402082</v>
      </c>
    </row>
    <row r="815" spans="1:14">
      <c r="A815" t="s">
        <v>726</v>
      </c>
      <c r="B815" t="s">
        <v>2281</v>
      </c>
      <c r="C815" t="s">
        <v>2278</v>
      </c>
      <c r="D815" t="s">
        <v>11</v>
      </c>
      <c r="E815" t="s">
        <v>13</v>
      </c>
      <c r="F815" t="s">
        <v>729</v>
      </c>
      <c r="G815" t="s">
        <v>12</v>
      </c>
      <c r="I815" t="s">
        <v>2281</v>
      </c>
      <c r="J815" t="s">
        <v>3763</v>
      </c>
      <c r="K815">
        <v>178.4205</v>
      </c>
      <c r="L815">
        <v>0.17090781241725531</v>
      </c>
      <c r="M815">
        <v>305.06817363883749</v>
      </c>
      <c r="N815">
        <v>335.57499100272128</v>
      </c>
    </row>
    <row r="816" spans="1:14">
      <c r="A816" t="s">
        <v>726</v>
      </c>
      <c r="B816" t="s">
        <v>2282</v>
      </c>
      <c r="C816" t="s">
        <v>2278</v>
      </c>
      <c r="D816" t="s">
        <v>11</v>
      </c>
      <c r="E816" t="s">
        <v>13</v>
      </c>
      <c r="F816" t="s">
        <v>729</v>
      </c>
      <c r="G816" t="s">
        <v>12</v>
      </c>
      <c r="I816" t="s">
        <v>2282</v>
      </c>
      <c r="J816" t="s">
        <v>3764</v>
      </c>
      <c r="K816">
        <v>249.50624999999999</v>
      </c>
      <c r="L816">
        <v>0.17047868724758211</v>
      </c>
      <c r="M816">
        <v>220.75630500773431</v>
      </c>
      <c r="N816">
        <v>242.83193550850777</v>
      </c>
    </row>
    <row r="817" spans="1:14">
      <c r="A817" t="s">
        <v>726</v>
      </c>
      <c r="B817" t="s">
        <v>2283</v>
      </c>
      <c r="C817" t="s">
        <v>2284</v>
      </c>
      <c r="D817" t="s">
        <v>11</v>
      </c>
      <c r="E817" t="s">
        <v>13</v>
      </c>
      <c r="F817" t="s">
        <v>729</v>
      </c>
      <c r="G817" t="s">
        <v>12</v>
      </c>
      <c r="I817" t="s">
        <v>2283</v>
      </c>
      <c r="J817" t="s">
        <v>3765</v>
      </c>
      <c r="K817">
        <v>62.00112288252263</v>
      </c>
      <c r="L817">
        <v>0.23321700409999291</v>
      </c>
      <c r="M817">
        <v>77.696256502154299</v>
      </c>
      <c r="N817">
        <v>85.46588215236973</v>
      </c>
    </row>
    <row r="818" spans="1:14">
      <c r="A818" t="s">
        <v>726</v>
      </c>
      <c r="B818" t="s">
        <v>2285</v>
      </c>
      <c r="C818" t="s">
        <v>2286</v>
      </c>
      <c r="D818" t="s">
        <v>11</v>
      </c>
      <c r="E818" t="s">
        <v>13</v>
      </c>
      <c r="F818" t="s">
        <v>729</v>
      </c>
      <c r="G818" t="s">
        <v>12</v>
      </c>
      <c r="I818" t="s">
        <v>2285</v>
      </c>
      <c r="J818" t="s">
        <v>3766</v>
      </c>
      <c r="K818">
        <v>51.636494754447121</v>
      </c>
      <c r="L818">
        <v>0.25329893277075499</v>
      </c>
      <c r="M818">
        <v>84.26793161446156</v>
      </c>
      <c r="N818">
        <v>92.69472477590773</v>
      </c>
    </row>
    <row r="819" spans="1:14">
      <c r="A819" t="s">
        <v>726</v>
      </c>
      <c r="B819" t="s">
        <v>2287</v>
      </c>
      <c r="C819" t="s">
        <v>2288</v>
      </c>
      <c r="D819" t="s">
        <v>11</v>
      </c>
      <c r="E819" t="s">
        <v>13</v>
      </c>
      <c r="F819" t="s">
        <v>729</v>
      </c>
      <c r="G819" t="s">
        <v>12</v>
      </c>
      <c r="I819" t="s">
        <v>2287</v>
      </c>
      <c r="J819" t="s">
        <v>3767</v>
      </c>
      <c r="K819">
        <v>127.1031784098771</v>
      </c>
      <c r="L819">
        <v>0.18631422783037571</v>
      </c>
      <c r="M819">
        <v>165.85766712031332</v>
      </c>
      <c r="N819">
        <v>182.44343383234468</v>
      </c>
    </row>
    <row r="820" spans="1:14">
      <c r="A820" t="s">
        <v>726</v>
      </c>
      <c r="B820" t="s">
        <v>2289</v>
      </c>
      <c r="C820" t="s">
        <v>2290</v>
      </c>
      <c r="D820" t="s">
        <v>11</v>
      </c>
      <c r="E820" t="s">
        <v>13</v>
      </c>
      <c r="F820" t="s">
        <v>729</v>
      </c>
      <c r="G820" t="s">
        <v>12</v>
      </c>
      <c r="I820" t="s">
        <v>2289</v>
      </c>
      <c r="J820" t="s">
        <v>3768</v>
      </c>
      <c r="K820">
        <v>117.86452498526585</v>
      </c>
      <c r="L820">
        <v>0.18162033677421191</v>
      </c>
      <c r="M820">
        <v>247.13563775590967</v>
      </c>
      <c r="N820">
        <v>271.84920153150068</v>
      </c>
    </row>
    <row r="821" spans="1:14">
      <c r="A821" t="s">
        <v>726</v>
      </c>
      <c r="B821" t="s">
        <v>2291</v>
      </c>
      <c r="C821" t="s">
        <v>2292</v>
      </c>
      <c r="D821" t="s">
        <v>11</v>
      </c>
      <c r="E821" t="s">
        <v>13</v>
      </c>
      <c r="F821" t="s">
        <v>729</v>
      </c>
      <c r="G821" t="s">
        <v>12</v>
      </c>
      <c r="I821" t="s">
        <v>2291</v>
      </c>
      <c r="J821" t="s">
        <v>3769</v>
      </c>
      <c r="K821">
        <v>249.50821743970761</v>
      </c>
      <c r="L821">
        <v>0.1892192324603304</v>
      </c>
      <c r="M821">
        <v>314.3652757474548</v>
      </c>
      <c r="N821">
        <v>345.80180332220033</v>
      </c>
    </row>
    <row r="822" spans="1:14">
      <c r="A822" t="s">
        <v>726</v>
      </c>
      <c r="B822" t="s">
        <v>2293</v>
      </c>
      <c r="C822" t="s">
        <v>2294</v>
      </c>
      <c r="D822" t="s">
        <v>11</v>
      </c>
      <c r="E822" t="s">
        <v>13</v>
      </c>
      <c r="F822" t="s">
        <v>729</v>
      </c>
      <c r="G822" t="s">
        <v>12</v>
      </c>
      <c r="I822" t="s">
        <v>2293</v>
      </c>
      <c r="J822" t="s">
        <v>3770</v>
      </c>
      <c r="K822">
        <v>43.982080659064444</v>
      </c>
      <c r="L822">
        <v>0.19817481737647721</v>
      </c>
      <c r="M822">
        <v>22.410602523896223</v>
      </c>
      <c r="N822">
        <v>24.651662776285846</v>
      </c>
    </row>
    <row r="823" spans="1:14">
      <c r="A823" t="s">
        <v>726</v>
      </c>
      <c r="B823" t="s">
        <v>2295</v>
      </c>
      <c r="C823" t="s">
        <v>2296</v>
      </c>
      <c r="D823" t="s">
        <v>11</v>
      </c>
      <c r="E823" t="s">
        <v>13</v>
      </c>
      <c r="F823" t="s">
        <v>729</v>
      </c>
      <c r="G823" t="s">
        <v>12</v>
      </c>
      <c r="I823" t="s">
        <v>2295</v>
      </c>
      <c r="J823" t="s">
        <v>3771</v>
      </c>
      <c r="K823">
        <v>8.9168576086451754</v>
      </c>
      <c r="L823">
        <v>0.2070347118774766</v>
      </c>
      <c r="M823">
        <v>82.243572255812921</v>
      </c>
      <c r="N823">
        <v>90.467929481394222</v>
      </c>
    </row>
    <row r="824" spans="1:14">
      <c r="A824" t="s">
        <v>726</v>
      </c>
      <c r="B824" t="s">
        <v>2297</v>
      </c>
      <c r="C824" t="s">
        <v>2298</v>
      </c>
      <c r="D824" t="s">
        <v>11</v>
      </c>
      <c r="E824" t="s">
        <v>13</v>
      </c>
      <c r="F824" t="s">
        <v>729</v>
      </c>
      <c r="G824" t="s">
        <v>12</v>
      </c>
      <c r="I824" t="s">
        <v>2297</v>
      </c>
      <c r="J824" t="s">
        <v>3772</v>
      </c>
      <c r="K824">
        <v>11.143681983466397</v>
      </c>
      <c r="L824">
        <v>0.1903998998990738</v>
      </c>
      <c r="M824">
        <v>32.251944379997909</v>
      </c>
      <c r="N824">
        <v>35.477138817997705</v>
      </c>
    </row>
    <row r="825" spans="1:14">
      <c r="A825" t="s">
        <v>726</v>
      </c>
      <c r="B825" t="s">
        <v>2299</v>
      </c>
      <c r="C825" t="s">
        <v>2300</v>
      </c>
      <c r="D825" t="s">
        <v>11</v>
      </c>
      <c r="E825" t="s">
        <v>13</v>
      </c>
      <c r="F825" t="s">
        <v>729</v>
      </c>
      <c r="G825" t="s">
        <v>12</v>
      </c>
      <c r="I825" t="s">
        <v>2299</v>
      </c>
      <c r="J825" t="s">
        <v>3773</v>
      </c>
      <c r="K825">
        <v>54.555090910310248</v>
      </c>
      <c r="L825">
        <v>0.1877155347032306</v>
      </c>
      <c r="M825">
        <v>16.946747977173956</v>
      </c>
      <c r="N825">
        <v>18.641422774891353</v>
      </c>
    </row>
    <row r="826" spans="1:14">
      <c r="A826" t="s">
        <v>726</v>
      </c>
      <c r="B826" t="s">
        <v>2301</v>
      </c>
      <c r="C826" t="s">
        <v>2302</v>
      </c>
      <c r="D826" t="s">
        <v>11</v>
      </c>
      <c r="E826" t="s">
        <v>13</v>
      </c>
      <c r="F826" t="s">
        <v>729</v>
      </c>
      <c r="G826" t="s">
        <v>12</v>
      </c>
      <c r="I826" t="s">
        <v>2301</v>
      </c>
      <c r="J826" t="s">
        <v>3774</v>
      </c>
      <c r="K826">
        <v>28.027993466466846</v>
      </c>
      <c r="L826">
        <v>0.18107902959519209</v>
      </c>
      <c r="M826">
        <v>22.418320301712431</v>
      </c>
      <c r="N826">
        <v>24.660152331883676</v>
      </c>
    </row>
    <row r="827" spans="1:14">
      <c r="A827" t="s">
        <v>726</v>
      </c>
      <c r="B827" t="s">
        <v>2303</v>
      </c>
      <c r="C827" t="s">
        <v>2304</v>
      </c>
      <c r="D827" t="s">
        <v>11</v>
      </c>
      <c r="E827" t="s">
        <v>13</v>
      </c>
      <c r="F827" t="s">
        <v>729</v>
      </c>
      <c r="G827" t="s">
        <v>12</v>
      </c>
      <c r="I827" t="s">
        <v>2303</v>
      </c>
      <c r="J827" t="s">
        <v>3775</v>
      </c>
      <c r="K827">
        <v>6.2801259032276233</v>
      </c>
      <c r="L827">
        <v>0.20406164717670849</v>
      </c>
      <c r="M827">
        <v>33.918474931805065</v>
      </c>
      <c r="N827">
        <v>37.310322424985571</v>
      </c>
    </row>
    <row r="828" spans="1:14">
      <c r="A828" t="s">
        <v>726</v>
      </c>
      <c r="B828" t="s">
        <v>2305</v>
      </c>
      <c r="C828" t="s">
        <v>2306</v>
      </c>
      <c r="D828" t="s">
        <v>11</v>
      </c>
      <c r="E828" t="s">
        <v>13</v>
      </c>
      <c r="F828" t="s">
        <v>729</v>
      </c>
      <c r="G828" t="s">
        <v>12</v>
      </c>
      <c r="I828" t="s">
        <v>2305</v>
      </c>
      <c r="J828" t="s">
        <v>3776</v>
      </c>
      <c r="K828">
        <v>5.6612812302751436</v>
      </c>
      <c r="L828">
        <v>0.20355553087840911</v>
      </c>
      <c r="M828">
        <v>30.662098352810755</v>
      </c>
      <c r="N828">
        <v>33.72830818809183</v>
      </c>
    </row>
    <row r="829" spans="1:14">
      <c r="A829" t="s">
        <v>726</v>
      </c>
      <c r="B829" t="s">
        <v>2307</v>
      </c>
      <c r="C829" t="s">
        <v>2308</v>
      </c>
      <c r="D829" t="s">
        <v>11</v>
      </c>
      <c r="E829" t="s">
        <v>13</v>
      </c>
      <c r="F829" t="s">
        <v>729</v>
      </c>
      <c r="G829" t="s">
        <v>12</v>
      </c>
      <c r="I829" t="s">
        <v>2307</v>
      </c>
      <c r="J829" t="s">
        <v>3777</v>
      </c>
      <c r="K829">
        <v>31.887467990014201</v>
      </c>
      <c r="L829">
        <v>0.19742477406504669</v>
      </c>
      <c r="M829">
        <v>8.8152869951578356</v>
      </c>
      <c r="N829">
        <v>9.6968156946736208</v>
      </c>
    </row>
    <row r="830" spans="1:14">
      <c r="A830" t="s">
        <v>726</v>
      </c>
      <c r="B830" t="s">
        <v>2309</v>
      </c>
      <c r="C830" t="s">
        <v>2310</v>
      </c>
      <c r="D830" t="s">
        <v>11</v>
      </c>
      <c r="E830" t="s">
        <v>13</v>
      </c>
      <c r="F830" t="s">
        <v>729</v>
      </c>
      <c r="G830" t="s">
        <v>12</v>
      </c>
      <c r="I830" t="s">
        <v>2309</v>
      </c>
      <c r="J830" t="s">
        <v>3778</v>
      </c>
      <c r="K830">
        <v>30.587033511446467</v>
      </c>
      <c r="L830">
        <v>0.19735376340660959</v>
      </c>
      <c r="M830">
        <v>19.067016075912424</v>
      </c>
      <c r="N830">
        <v>20.973717683503668</v>
      </c>
    </row>
    <row r="831" spans="1:14">
      <c r="A831" t="s">
        <v>726</v>
      </c>
      <c r="B831" t="s">
        <v>2311</v>
      </c>
      <c r="C831" t="s">
        <v>2312</v>
      </c>
      <c r="D831" t="s">
        <v>11</v>
      </c>
      <c r="E831" t="s">
        <v>13</v>
      </c>
      <c r="F831" t="s">
        <v>729</v>
      </c>
      <c r="G831" t="s">
        <v>12</v>
      </c>
      <c r="I831" t="s">
        <v>2311</v>
      </c>
      <c r="J831" t="s">
        <v>3779</v>
      </c>
      <c r="K831">
        <v>2.562756578970605</v>
      </c>
      <c r="L831">
        <v>0.15198708430527469</v>
      </c>
      <c r="M831">
        <v>78.982283953155701</v>
      </c>
      <c r="N831">
        <v>86.880512348471271</v>
      </c>
    </row>
    <row r="832" spans="1:14">
      <c r="A832" t="s">
        <v>726</v>
      </c>
      <c r="B832" t="s">
        <v>2313</v>
      </c>
      <c r="C832" t="s">
        <v>2314</v>
      </c>
      <c r="D832" t="s">
        <v>11</v>
      </c>
      <c r="E832" t="s">
        <v>13</v>
      </c>
      <c r="F832" t="s">
        <v>729</v>
      </c>
      <c r="G832" t="s">
        <v>12</v>
      </c>
      <c r="I832" t="s">
        <v>2313</v>
      </c>
      <c r="J832" t="s">
        <v>3780</v>
      </c>
      <c r="K832">
        <v>2.4307500000000002</v>
      </c>
      <c r="L832">
        <v>0.15620254397227881</v>
      </c>
      <c r="M832">
        <v>174.67088828990526</v>
      </c>
      <c r="N832">
        <v>192.1379771188958</v>
      </c>
    </row>
    <row r="833" spans="1:14">
      <c r="A833" t="s">
        <v>726</v>
      </c>
      <c r="B833" t="s">
        <v>2315</v>
      </c>
      <c r="C833" t="s">
        <v>2314</v>
      </c>
      <c r="D833" t="s">
        <v>11</v>
      </c>
      <c r="E833" t="s">
        <v>13</v>
      </c>
      <c r="F833" t="s">
        <v>729</v>
      </c>
      <c r="G833" t="s">
        <v>12</v>
      </c>
      <c r="I833" t="s">
        <v>2315</v>
      </c>
      <c r="J833" t="s">
        <v>3781</v>
      </c>
      <c r="K833">
        <v>3.069</v>
      </c>
      <c r="L833">
        <v>0.15651373605142579</v>
      </c>
      <c r="M833">
        <v>258.61892675789147</v>
      </c>
      <c r="N833">
        <v>284.48081943368067</v>
      </c>
    </row>
    <row r="834" spans="1:14">
      <c r="A834" t="s">
        <v>726</v>
      </c>
      <c r="B834" t="s">
        <v>2316</v>
      </c>
      <c r="C834" t="s">
        <v>2317</v>
      </c>
      <c r="D834" t="s">
        <v>11</v>
      </c>
      <c r="E834" t="s">
        <v>13</v>
      </c>
      <c r="F834" t="s">
        <v>729</v>
      </c>
      <c r="G834" t="s">
        <v>12</v>
      </c>
      <c r="I834" t="s">
        <v>2316</v>
      </c>
      <c r="J834" t="s">
        <v>3782</v>
      </c>
      <c r="K834">
        <v>4.7189120632940416</v>
      </c>
      <c r="L834">
        <v>0.1627490682584441</v>
      </c>
      <c r="M834">
        <v>301.73422020377643</v>
      </c>
      <c r="N834">
        <v>331.90764222415407</v>
      </c>
    </row>
    <row r="835" spans="1:14">
      <c r="A835" t="s">
        <v>726</v>
      </c>
      <c r="B835" t="s">
        <v>2318</v>
      </c>
      <c r="C835" t="s">
        <v>2319</v>
      </c>
      <c r="D835" t="s">
        <v>11</v>
      </c>
      <c r="E835" t="s">
        <v>13</v>
      </c>
      <c r="F835" t="s">
        <v>729</v>
      </c>
      <c r="G835" t="s">
        <v>12</v>
      </c>
      <c r="I835" t="s">
        <v>2318</v>
      </c>
      <c r="J835" t="s">
        <v>3783</v>
      </c>
      <c r="K835">
        <v>0.15705066118656186</v>
      </c>
      <c r="L835">
        <v>0.16728127610056939</v>
      </c>
      <c r="M835">
        <v>137.20587157602003</v>
      </c>
      <c r="N835">
        <v>150.92645873362204</v>
      </c>
    </row>
    <row r="836" spans="1:14">
      <c r="A836" t="s">
        <v>726</v>
      </c>
      <c r="B836" t="s">
        <v>2320</v>
      </c>
      <c r="C836" t="s">
        <v>2321</v>
      </c>
      <c r="D836" t="s">
        <v>11</v>
      </c>
      <c r="E836" t="s">
        <v>13</v>
      </c>
      <c r="F836" t="s">
        <v>729</v>
      </c>
      <c r="G836" t="s">
        <v>12</v>
      </c>
      <c r="I836" t="s">
        <v>2320</v>
      </c>
      <c r="J836" t="s">
        <v>3784</v>
      </c>
      <c r="K836">
        <v>0.33686718436612173</v>
      </c>
      <c r="L836">
        <v>0.13719203388942161</v>
      </c>
      <c r="M836">
        <v>47.59045747597844</v>
      </c>
      <c r="N836">
        <v>52.349503223576285</v>
      </c>
    </row>
    <row r="837" spans="1:14">
      <c r="A837" t="s">
        <v>726</v>
      </c>
      <c r="B837" t="s">
        <v>2322</v>
      </c>
      <c r="C837" t="s">
        <v>2323</v>
      </c>
      <c r="D837" t="s">
        <v>11</v>
      </c>
      <c r="E837" t="s">
        <v>13</v>
      </c>
      <c r="F837" t="s">
        <v>729</v>
      </c>
      <c r="G837" t="s">
        <v>12</v>
      </c>
      <c r="I837" t="s">
        <v>2322</v>
      </c>
      <c r="J837" t="s">
        <v>3785</v>
      </c>
      <c r="K837">
        <v>2.647881320269367</v>
      </c>
      <c r="L837">
        <v>0.17977474650096659</v>
      </c>
      <c r="M837">
        <v>103.53025328408472</v>
      </c>
      <c r="N837">
        <v>113.8832786124932</v>
      </c>
    </row>
    <row r="838" spans="1:14">
      <c r="A838" t="s">
        <v>726</v>
      </c>
      <c r="B838" t="s">
        <v>2324</v>
      </c>
      <c r="C838" t="s">
        <v>2325</v>
      </c>
      <c r="D838" t="s">
        <v>11</v>
      </c>
      <c r="E838" t="s">
        <v>13</v>
      </c>
      <c r="F838" t="s">
        <v>729</v>
      </c>
      <c r="G838" t="s">
        <v>12</v>
      </c>
      <c r="I838" t="s">
        <v>2324</v>
      </c>
      <c r="J838" t="s">
        <v>3786</v>
      </c>
      <c r="K838">
        <v>1.5073445261681311</v>
      </c>
      <c r="L838">
        <v>0.1365704829145096</v>
      </c>
      <c r="M838">
        <v>46.688524839783007</v>
      </c>
      <c r="N838">
        <v>51.357377323761312</v>
      </c>
    </row>
    <row r="839" spans="1:14">
      <c r="A839" t="s">
        <v>726</v>
      </c>
      <c r="B839" t="s">
        <v>2326</v>
      </c>
      <c r="C839" t="s">
        <v>2327</v>
      </c>
      <c r="D839" t="s">
        <v>11</v>
      </c>
      <c r="E839" t="s">
        <v>13</v>
      </c>
      <c r="F839" t="s">
        <v>729</v>
      </c>
      <c r="G839" t="s">
        <v>12</v>
      </c>
      <c r="I839" t="s">
        <v>2326</v>
      </c>
      <c r="J839" t="s">
        <v>3787</v>
      </c>
      <c r="K839">
        <v>1.1973497329338045</v>
      </c>
      <c r="L839">
        <v>0.13837283937607109</v>
      </c>
      <c r="M839">
        <v>43.158070914494928</v>
      </c>
      <c r="N839">
        <v>47.473878005944428</v>
      </c>
    </row>
    <row r="840" spans="1:14">
      <c r="A840" t="s">
        <v>726</v>
      </c>
      <c r="B840" t="s">
        <v>2328</v>
      </c>
      <c r="C840" t="s">
        <v>2329</v>
      </c>
      <c r="D840" t="s">
        <v>11</v>
      </c>
      <c r="E840" t="s">
        <v>13</v>
      </c>
      <c r="F840" t="s">
        <v>729</v>
      </c>
      <c r="G840" t="s">
        <v>12</v>
      </c>
      <c r="I840" t="s">
        <v>2328</v>
      </c>
      <c r="J840" t="s">
        <v>3788</v>
      </c>
      <c r="K840">
        <v>2.4957929494802218</v>
      </c>
      <c r="L840">
        <v>0.1414569586174049</v>
      </c>
      <c r="M840">
        <v>50.089557775350443</v>
      </c>
      <c r="N840">
        <v>55.098513552885493</v>
      </c>
    </row>
    <row r="841" spans="1:14">
      <c r="A841" t="s">
        <v>726</v>
      </c>
      <c r="B841" t="s">
        <v>2330</v>
      </c>
      <c r="C841" t="s">
        <v>2331</v>
      </c>
      <c r="D841" t="s">
        <v>11</v>
      </c>
      <c r="E841" t="s">
        <v>13</v>
      </c>
      <c r="F841" t="s">
        <v>729</v>
      </c>
      <c r="G841" t="s">
        <v>12</v>
      </c>
      <c r="I841" t="s">
        <v>2330</v>
      </c>
      <c r="J841" t="s">
        <v>3789</v>
      </c>
      <c r="K841">
        <v>6.6673607058262574</v>
      </c>
      <c r="L841">
        <v>0.13809533735822269</v>
      </c>
      <c r="M841">
        <v>53.183657682203361</v>
      </c>
      <c r="N841">
        <v>58.5020234504237</v>
      </c>
    </row>
    <row r="842" spans="1:14">
      <c r="A842" t="s">
        <v>726</v>
      </c>
      <c r="B842" t="s">
        <v>2332</v>
      </c>
      <c r="C842" t="s">
        <v>2333</v>
      </c>
      <c r="D842" t="s">
        <v>11</v>
      </c>
      <c r="E842" t="s">
        <v>13</v>
      </c>
      <c r="F842" t="s">
        <v>729</v>
      </c>
      <c r="G842" t="s">
        <v>12</v>
      </c>
      <c r="I842" t="s">
        <v>2332</v>
      </c>
      <c r="J842" t="s">
        <v>3790</v>
      </c>
      <c r="K842">
        <v>2.9572510479575884</v>
      </c>
      <c r="L842">
        <v>0.14318683676325589</v>
      </c>
      <c r="M842">
        <v>47.926416591953313</v>
      </c>
      <c r="N842">
        <v>52.719058251148645</v>
      </c>
    </row>
    <row r="843" spans="1:14">
      <c r="A843" t="s">
        <v>726</v>
      </c>
      <c r="B843" t="s">
        <v>2334</v>
      </c>
      <c r="C843" t="s">
        <v>2335</v>
      </c>
      <c r="D843" t="s">
        <v>11</v>
      </c>
      <c r="E843" t="s">
        <v>13</v>
      </c>
      <c r="F843" t="s">
        <v>729</v>
      </c>
      <c r="G843" t="s">
        <v>12</v>
      </c>
      <c r="I843" t="s">
        <v>2334</v>
      </c>
      <c r="J843" t="s">
        <v>3791</v>
      </c>
      <c r="K843">
        <v>1.5635566527364984</v>
      </c>
      <c r="L843">
        <v>0.14092839050685249</v>
      </c>
      <c r="M843">
        <v>30.069003849334511</v>
      </c>
      <c r="N843">
        <v>33.075904234267966</v>
      </c>
    </row>
    <row r="844" spans="1:14">
      <c r="A844" t="s">
        <v>726</v>
      </c>
      <c r="B844" t="s">
        <v>2336</v>
      </c>
      <c r="C844" t="s">
        <v>2337</v>
      </c>
      <c r="D844" t="s">
        <v>11</v>
      </c>
      <c r="E844" t="s">
        <v>13</v>
      </c>
      <c r="F844" t="s">
        <v>729</v>
      </c>
      <c r="G844" t="s">
        <v>12</v>
      </c>
      <c r="I844" t="s">
        <v>2336</v>
      </c>
      <c r="J844" t="s">
        <v>3792</v>
      </c>
      <c r="K844">
        <v>1.8330898163660136</v>
      </c>
      <c r="L844">
        <v>0.13840616820887369</v>
      </c>
      <c r="M844">
        <v>26.411293181045131</v>
      </c>
      <c r="N844">
        <v>29.052422499149646</v>
      </c>
    </row>
    <row r="845" spans="1:14">
      <c r="A845" t="s">
        <v>726</v>
      </c>
      <c r="B845" t="s">
        <v>2338</v>
      </c>
      <c r="C845" t="s">
        <v>2339</v>
      </c>
      <c r="D845" t="s">
        <v>11</v>
      </c>
      <c r="E845" t="s">
        <v>13</v>
      </c>
      <c r="F845" t="s">
        <v>729</v>
      </c>
      <c r="G845" t="s">
        <v>12</v>
      </c>
      <c r="I845" t="s">
        <v>2338</v>
      </c>
      <c r="J845" t="s">
        <v>3793</v>
      </c>
      <c r="K845">
        <v>0.54895299589835045</v>
      </c>
      <c r="L845">
        <v>0.24135793121613661</v>
      </c>
      <c r="M845">
        <v>30.247339190751362</v>
      </c>
      <c r="N845">
        <v>33.272073109826501</v>
      </c>
    </row>
    <row r="846" spans="1:14">
      <c r="A846" t="s">
        <v>726</v>
      </c>
      <c r="B846" t="s">
        <v>2340</v>
      </c>
      <c r="C846" t="s">
        <v>2341</v>
      </c>
      <c r="D846" t="s">
        <v>11</v>
      </c>
      <c r="E846" t="s">
        <v>13</v>
      </c>
      <c r="F846" t="s">
        <v>729</v>
      </c>
      <c r="G846" t="s">
        <v>12</v>
      </c>
      <c r="I846" t="s">
        <v>2340</v>
      </c>
      <c r="J846" t="s">
        <v>3794</v>
      </c>
      <c r="K846">
        <v>1.300058303768127</v>
      </c>
      <c r="L846">
        <v>0.24853722085970489</v>
      </c>
      <c r="M846">
        <v>39.761084175696411</v>
      </c>
      <c r="N846">
        <v>43.737192593266052</v>
      </c>
    </row>
    <row r="847" spans="1:14">
      <c r="A847" t="s">
        <v>726</v>
      </c>
      <c r="B847" t="s">
        <v>2342</v>
      </c>
      <c r="C847" t="s">
        <v>2343</v>
      </c>
      <c r="D847" t="s">
        <v>11</v>
      </c>
      <c r="E847" t="s">
        <v>13</v>
      </c>
      <c r="F847" t="s">
        <v>729</v>
      </c>
      <c r="G847" t="s">
        <v>12</v>
      </c>
      <c r="I847" t="s">
        <v>2342</v>
      </c>
      <c r="J847" t="s">
        <v>3795</v>
      </c>
      <c r="K847">
        <v>1.4058216733149871</v>
      </c>
      <c r="L847">
        <v>0.2387918653509844</v>
      </c>
      <c r="M847">
        <v>10.246468264160784</v>
      </c>
      <c r="N847">
        <v>11.271115090576863</v>
      </c>
    </row>
    <row r="848" spans="1:14">
      <c r="A848" t="s">
        <v>726</v>
      </c>
      <c r="B848" t="s">
        <v>2344</v>
      </c>
      <c r="C848" t="s">
        <v>2345</v>
      </c>
      <c r="D848" t="s">
        <v>11</v>
      </c>
      <c r="E848" t="s">
        <v>13</v>
      </c>
      <c r="F848" t="s">
        <v>729</v>
      </c>
      <c r="G848" t="s">
        <v>12</v>
      </c>
      <c r="I848" t="s">
        <v>2344</v>
      </c>
      <c r="J848" t="s">
        <v>3796</v>
      </c>
      <c r="K848">
        <v>4.6733039185300651</v>
      </c>
      <c r="L848">
        <v>0.2017739744450868</v>
      </c>
      <c r="M848">
        <v>59.281908772713976</v>
      </c>
      <c r="N848">
        <v>65.210099649985381</v>
      </c>
    </row>
    <row r="849" spans="1:14">
      <c r="A849" t="s">
        <v>726</v>
      </c>
      <c r="B849" t="s">
        <v>2346</v>
      </c>
      <c r="C849" t="s">
        <v>2347</v>
      </c>
      <c r="D849" t="s">
        <v>11</v>
      </c>
      <c r="E849" t="s">
        <v>13</v>
      </c>
      <c r="F849" t="s">
        <v>729</v>
      </c>
      <c r="G849" t="s">
        <v>12</v>
      </c>
      <c r="I849" t="s">
        <v>2346</v>
      </c>
      <c r="J849" t="s">
        <v>3797</v>
      </c>
      <c r="K849">
        <v>23.459218299961556</v>
      </c>
      <c r="L849">
        <v>0.1952161733732044</v>
      </c>
      <c r="M849">
        <v>67.603223825063196</v>
      </c>
      <c r="N849">
        <v>74.363546207569527</v>
      </c>
    </row>
    <row r="850" spans="1:14">
      <c r="A850" t="s">
        <v>726</v>
      </c>
      <c r="B850" t="s">
        <v>2348</v>
      </c>
      <c r="C850" t="s">
        <v>2349</v>
      </c>
      <c r="D850" t="s">
        <v>11</v>
      </c>
      <c r="E850" t="s">
        <v>13</v>
      </c>
      <c r="F850" t="s">
        <v>729</v>
      </c>
      <c r="G850" t="s">
        <v>12</v>
      </c>
      <c r="I850" t="s">
        <v>2348</v>
      </c>
      <c r="J850" t="s">
        <v>3798</v>
      </c>
      <c r="K850">
        <v>11.481579765678404</v>
      </c>
      <c r="L850">
        <v>0.19683824163611149</v>
      </c>
      <c r="M850">
        <v>52.295470853530269</v>
      </c>
      <c r="N850">
        <v>57.525017938883302</v>
      </c>
    </row>
    <row r="851" spans="1:14">
      <c r="A851" t="s">
        <v>726</v>
      </c>
      <c r="B851" t="s">
        <v>2350</v>
      </c>
      <c r="C851" t="s">
        <v>2351</v>
      </c>
      <c r="D851" t="s">
        <v>11</v>
      </c>
      <c r="E851" t="s">
        <v>13</v>
      </c>
      <c r="F851" t="s">
        <v>729</v>
      </c>
      <c r="G851" t="s">
        <v>12</v>
      </c>
      <c r="I851" t="s">
        <v>2350</v>
      </c>
      <c r="J851" t="s">
        <v>3799</v>
      </c>
      <c r="K851">
        <v>3.827080132854543</v>
      </c>
      <c r="L851">
        <v>0.20148659202316679</v>
      </c>
      <c r="M851">
        <v>42.175866028084513</v>
      </c>
      <c r="N851">
        <v>46.393452630892966</v>
      </c>
    </row>
    <row r="852" spans="1:14">
      <c r="A852" t="s">
        <v>726</v>
      </c>
      <c r="B852" t="s">
        <v>2352</v>
      </c>
      <c r="C852" t="s">
        <v>2353</v>
      </c>
      <c r="D852" t="s">
        <v>11</v>
      </c>
      <c r="E852" t="s">
        <v>13</v>
      </c>
      <c r="F852" t="s">
        <v>729</v>
      </c>
      <c r="G852" t="s">
        <v>12</v>
      </c>
      <c r="I852" t="s">
        <v>2352</v>
      </c>
      <c r="J852" t="s">
        <v>3800</v>
      </c>
      <c r="K852">
        <v>9.3268922555309981</v>
      </c>
      <c r="L852">
        <v>0.20452325644602229</v>
      </c>
      <c r="M852">
        <v>119.13271188459696</v>
      </c>
      <c r="N852">
        <v>131.04598307305668</v>
      </c>
    </row>
    <row r="853" spans="1:14">
      <c r="A853" t="s">
        <v>726</v>
      </c>
      <c r="B853" t="s">
        <v>2354</v>
      </c>
      <c r="C853" t="s">
        <v>2355</v>
      </c>
      <c r="D853" t="s">
        <v>11</v>
      </c>
      <c r="E853" t="s">
        <v>13</v>
      </c>
      <c r="F853" t="s">
        <v>729</v>
      </c>
      <c r="G853" t="s">
        <v>12</v>
      </c>
      <c r="I853" t="s">
        <v>2354</v>
      </c>
      <c r="J853" t="s">
        <v>3801</v>
      </c>
      <c r="K853">
        <v>4.1301746160794872</v>
      </c>
      <c r="L853">
        <v>0.2181375353251899</v>
      </c>
      <c r="M853">
        <v>24.89521444078223</v>
      </c>
      <c r="N853">
        <v>27.384735884860454</v>
      </c>
    </row>
    <row r="854" spans="1:14">
      <c r="A854" t="s">
        <v>726</v>
      </c>
      <c r="B854" t="s">
        <v>2356</v>
      </c>
      <c r="C854" t="s">
        <v>2357</v>
      </c>
      <c r="D854" t="s">
        <v>11</v>
      </c>
      <c r="E854" t="s">
        <v>13</v>
      </c>
      <c r="F854" t="s">
        <v>729</v>
      </c>
      <c r="G854" t="s">
        <v>12</v>
      </c>
      <c r="I854" t="s">
        <v>2356</v>
      </c>
      <c r="J854" t="s">
        <v>3802</v>
      </c>
      <c r="K854">
        <v>1.6626685918494234E-2</v>
      </c>
      <c r="L854">
        <v>0.2004544117763489</v>
      </c>
      <c r="M854">
        <v>106.47444348876222</v>
      </c>
      <c r="N854">
        <v>117.12188783763845</v>
      </c>
    </row>
    <row r="855" spans="1:14">
      <c r="A855" t="s">
        <v>726</v>
      </c>
      <c r="B855" t="s">
        <v>2358</v>
      </c>
      <c r="C855" t="s">
        <v>2359</v>
      </c>
      <c r="D855" t="s">
        <v>11</v>
      </c>
      <c r="E855" t="s">
        <v>13</v>
      </c>
      <c r="F855" t="s">
        <v>729</v>
      </c>
      <c r="G855" t="s">
        <v>12</v>
      </c>
      <c r="I855" t="s">
        <v>2358</v>
      </c>
      <c r="J855" t="s">
        <v>3803</v>
      </c>
      <c r="K855">
        <v>4.3404434691448923</v>
      </c>
      <c r="L855">
        <v>0.2405394056701034</v>
      </c>
      <c r="M855">
        <v>57.216627738286633</v>
      </c>
      <c r="N855">
        <v>62.938290512115302</v>
      </c>
    </row>
    <row r="856" spans="1:14">
      <c r="A856" t="s">
        <v>726</v>
      </c>
      <c r="B856" t="s">
        <v>2360</v>
      </c>
      <c r="C856" t="s">
        <v>2361</v>
      </c>
      <c r="D856" t="s">
        <v>11</v>
      </c>
      <c r="E856" t="s">
        <v>13</v>
      </c>
      <c r="F856" t="s">
        <v>729</v>
      </c>
      <c r="G856" t="s">
        <v>12</v>
      </c>
      <c r="I856" t="s">
        <v>2360</v>
      </c>
      <c r="J856" t="s">
        <v>3804</v>
      </c>
      <c r="K856">
        <v>4.4497601183818958</v>
      </c>
      <c r="L856">
        <v>0.22866156291725701</v>
      </c>
      <c r="M856">
        <v>58.301645810414733</v>
      </c>
      <c r="N856">
        <v>64.131810391456213</v>
      </c>
    </row>
    <row r="857" spans="1:14">
      <c r="A857" t="s">
        <v>726</v>
      </c>
      <c r="B857" t="s">
        <v>2362</v>
      </c>
      <c r="C857" t="s">
        <v>2363</v>
      </c>
      <c r="D857" t="s">
        <v>11</v>
      </c>
      <c r="E857" t="s">
        <v>13</v>
      </c>
      <c r="F857" t="s">
        <v>729</v>
      </c>
      <c r="G857" t="s">
        <v>12</v>
      </c>
      <c r="I857" t="s">
        <v>2362</v>
      </c>
      <c r="J857" t="s">
        <v>3805</v>
      </c>
      <c r="K857">
        <v>3.1803530627777152</v>
      </c>
      <c r="L857">
        <v>0.22865126056863949</v>
      </c>
      <c r="M857">
        <v>19.712028055182454</v>
      </c>
      <c r="N857">
        <v>21.6832308607007</v>
      </c>
    </row>
    <row r="858" spans="1:14">
      <c r="A858" t="s">
        <v>726</v>
      </c>
      <c r="B858" t="s">
        <v>2364</v>
      </c>
      <c r="C858" t="s">
        <v>2365</v>
      </c>
      <c r="D858" t="s">
        <v>11</v>
      </c>
      <c r="E858" t="s">
        <v>13</v>
      </c>
      <c r="F858" t="s">
        <v>729</v>
      </c>
      <c r="G858" t="s">
        <v>12</v>
      </c>
      <c r="I858" t="s">
        <v>2364</v>
      </c>
      <c r="J858" t="s">
        <v>3806</v>
      </c>
      <c r="K858">
        <v>18.242641295798176</v>
      </c>
      <c r="L858">
        <v>0.1908466508606371</v>
      </c>
      <c r="M858">
        <v>567.84334121326697</v>
      </c>
      <c r="N858">
        <v>624.62767533459373</v>
      </c>
    </row>
    <row r="859" spans="1:14">
      <c r="A859" t="s">
        <v>726</v>
      </c>
      <c r="B859" t="s">
        <v>2366</v>
      </c>
      <c r="C859" t="s">
        <v>2365</v>
      </c>
      <c r="D859" t="s">
        <v>11</v>
      </c>
      <c r="E859" t="s">
        <v>13</v>
      </c>
      <c r="F859" t="s">
        <v>729</v>
      </c>
      <c r="G859" t="s">
        <v>12</v>
      </c>
      <c r="I859" t="s">
        <v>2366</v>
      </c>
      <c r="J859" t="s">
        <v>3807</v>
      </c>
      <c r="K859">
        <v>19.474068877063264</v>
      </c>
      <c r="L859">
        <v>0.1973886025881405</v>
      </c>
      <c r="M859">
        <v>431.05200908667302</v>
      </c>
      <c r="N859">
        <v>474.15720999534034</v>
      </c>
    </row>
    <row r="860" spans="1:14">
      <c r="A860" t="s">
        <v>726</v>
      </c>
      <c r="B860" t="s">
        <v>2367</v>
      </c>
      <c r="C860" t="s">
        <v>2368</v>
      </c>
      <c r="D860" t="s">
        <v>11</v>
      </c>
      <c r="E860" t="s">
        <v>13</v>
      </c>
      <c r="F860" t="s">
        <v>729</v>
      </c>
      <c r="G860" t="s">
        <v>12</v>
      </c>
      <c r="I860" t="s">
        <v>2367</v>
      </c>
      <c r="J860" t="s">
        <v>3808</v>
      </c>
      <c r="K860">
        <v>15.893932029284377</v>
      </c>
      <c r="L860">
        <v>0.20130841368730851</v>
      </c>
      <c r="M860">
        <v>89.987117298591897</v>
      </c>
      <c r="N860">
        <v>98.985829028451093</v>
      </c>
    </row>
    <row r="861" spans="1:14">
      <c r="A861" t="s">
        <v>726</v>
      </c>
      <c r="B861" t="s">
        <v>2369</v>
      </c>
      <c r="C861" t="s">
        <v>2370</v>
      </c>
      <c r="D861" t="s">
        <v>11</v>
      </c>
      <c r="E861" t="s">
        <v>13</v>
      </c>
      <c r="F861" t="s">
        <v>729</v>
      </c>
      <c r="G861" t="s">
        <v>12</v>
      </c>
      <c r="I861" t="s">
        <v>2369</v>
      </c>
      <c r="J861" t="s">
        <v>3809</v>
      </c>
      <c r="K861">
        <v>19.369961853035317</v>
      </c>
      <c r="L861">
        <v>0.20168722743860379</v>
      </c>
      <c r="M861">
        <v>83.844148998450905</v>
      </c>
      <c r="N861">
        <v>92.228563898296002</v>
      </c>
    </row>
    <row r="862" spans="1:14">
      <c r="A862" t="s">
        <v>726</v>
      </c>
      <c r="B862" t="s">
        <v>2371</v>
      </c>
      <c r="C862" t="s">
        <v>2372</v>
      </c>
      <c r="D862" t="s">
        <v>11</v>
      </c>
      <c r="E862" t="s">
        <v>13</v>
      </c>
      <c r="F862" t="s">
        <v>729</v>
      </c>
      <c r="G862" t="s">
        <v>12</v>
      </c>
      <c r="I862" t="s">
        <v>2371</v>
      </c>
      <c r="J862" t="s">
        <v>3810</v>
      </c>
      <c r="K862">
        <v>8.2071163081890717</v>
      </c>
      <c r="L862">
        <v>0.20371143886620571</v>
      </c>
      <c r="M862">
        <v>398.71897256889912</v>
      </c>
      <c r="N862">
        <v>438.59086982578907</v>
      </c>
    </row>
    <row r="863" spans="1:14">
      <c r="A863" t="s">
        <v>726</v>
      </c>
      <c r="B863" t="s">
        <v>2373</v>
      </c>
      <c r="C863" t="s">
        <v>2372</v>
      </c>
      <c r="D863" t="s">
        <v>11</v>
      </c>
      <c r="E863" t="s">
        <v>13</v>
      </c>
      <c r="F863" t="s">
        <v>729</v>
      </c>
      <c r="G863" t="s">
        <v>12</v>
      </c>
      <c r="I863" t="s">
        <v>2373</v>
      </c>
      <c r="J863" t="s">
        <v>3811</v>
      </c>
      <c r="K863">
        <v>14.34711255634952</v>
      </c>
      <c r="L863">
        <v>0.20196819360162169</v>
      </c>
      <c r="M863">
        <v>232.75954065428857</v>
      </c>
      <c r="N863">
        <v>256.03549471971746</v>
      </c>
    </row>
    <row r="864" spans="1:14">
      <c r="A864" t="s">
        <v>726</v>
      </c>
      <c r="B864" t="s">
        <v>2374</v>
      </c>
      <c r="C864" t="s">
        <v>2375</v>
      </c>
      <c r="D864" t="s">
        <v>11</v>
      </c>
      <c r="E864" t="s">
        <v>13</v>
      </c>
      <c r="F864" t="s">
        <v>729</v>
      </c>
      <c r="G864" t="s">
        <v>12</v>
      </c>
      <c r="I864" t="s">
        <v>2374</v>
      </c>
      <c r="J864" t="s">
        <v>3812</v>
      </c>
      <c r="K864">
        <v>2.7273626882436925</v>
      </c>
      <c r="L864">
        <v>0.19255362636304579</v>
      </c>
      <c r="M864">
        <v>81.109971208155542</v>
      </c>
      <c r="N864">
        <v>89.220968328971111</v>
      </c>
    </row>
    <row r="865" spans="1:14">
      <c r="A865" t="s">
        <v>726</v>
      </c>
      <c r="B865" t="s">
        <v>2376</v>
      </c>
      <c r="C865" t="s">
        <v>2377</v>
      </c>
      <c r="D865" t="s">
        <v>11</v>
      </c>
      <c r="E865" t="s">
        <v>13</v>
      </c>
      <c r="F865" t="s">
        <v>729</v>
      </c>
      <c r="G865" t="s">
        <v>12</v>
      </c>
      <c r="I865" t="s">
        <v>2376</v>
      </c>
      <c r="J865" t="s">
        <v>3813</v>
      </c>
      <c r="K865">
        <v>4.6300156974533531</v>
      </c>
      <c r="L865">
        <v>0.2016789515676457</v>
      </c>
      <c r="M865">
        <v>80.519517405623688</v>
      </c>
      <c r="N865">
        <v>88.571469146186061</v>
      </c>
    </row>
    <row r="866" spans="1:14">
      <c r="A866" t="s">
        <v>726</v>
      </c>
      <c r="B866" t="s">
        <v>2378</v>
      </c>
      <c r="C866" t="s">
        <v>2379</v>
      </c>
      <c r="D866" t="s">
        <v>11</v>
      </c>
      <c r="E866" t="s">
        <v>13</v>
      </c>
      <c r="F866" t="s">
        <v>729</v>
      </c>
      <c r="G866" t="s">
        <v>12</v>
      </c>
      <c r="I866" t="s">
        <v>2378</v>
      </c>
      <c r="J866" t="s">
        <v>3814</v>
      </c>
      <c r="K866">
        <v>0</v>
      </c>
      <c r="L866">
        <v>0.2621766471450504</v>
      </c>
      <c r="M866">
        <v>0</v>
      </c>
      <c r="N866">
        <v>0</v>
      </c>
    </row>
    <row r="867" spans="1:14">
      <c r="A867" t="s">
        <v>726</v>
      </c>
      <c r="B867" t="s">
        <v>2380</v>
      </c>
      <c r="C867" t="s">
        <v>2379</v>
      </c>
      <c r="D867" t="s">
        <v>11</v>
      </c>
      <c r="E867" t="s">
        <v>13</v>
      </c>
      <c r="F867" t="s">
        <v>729</v>
      </c>
      <c r="G867" t="s">
        <v>12</v>
      </c>
      <c r="I867" t="s">
        <v>2380</v>
      </c>
      <c r="J867" t="s">
        <v>3815</v>
      </c>
      <c r="K867">
        <v>0</v>
      </c>
      <c r="L867">
        <v>0.2600390860354026</v>
      </c>
      <c r="M867">
        <v>0</v>
      </c>
      <c r="N867">
        <v>0</v>
      </c>
    </row>
    <row r="868" spans="1:14">
      <c r="A868" t="s">
        <v>726</v>
      </c>
      <c r="B868" t="s">
        <v>2381</v>
      </c>
      <c r="C868" t="s">
        <v>2382</v>
      </c>
      <c r="D868" t="s">
        <v>11</v>
      </c>
      <c r="E868" t="s">
        <v>13</v>
      </c>
      <c r="F868" t="s">
        <v>729</v>
      </c>
      <c r="G868" t="s">
        <v>12</v>
      </c>
      <c r="I868" t="s">
        <v>2381</v>
      </c>
      <c r="J868" t="s">
        <v>3816</v>
      </c>
      <c r="K868">
        <v>0</v>
      </c>
      <c r="L868">
        <v>0.25683581676983208</v>
      </c>
      <c r="M868">
        <v>0</v>
      </c>
      <c r="N868">
        <v>0</v>
      </c>
    </row>
    <row r="869" spans="1:14">
      <c r="A869" t="s">
        <v>726</v>
      </c>
      <c r="B869" t="s">
        <v>2383</v>
      </c>
      <c r="C869" t="s">
        <v>2384</v>
      </c>
      <c r="D869" t="s">
        <v>11</v>
      </c>
      <c r="E869" t="s">
        <v>13</v>
      </c>
      <c r="F869" t="s">
        <v>729</v>
      </c>
      <c r="G869" t="s">
        <v>12</v>
      </c>
      <c r="I869" t="s">
        <v>2383</v>
      </c>
      <c r="J869" t="s">
        <v>3817</v>
      </c>
      <c r="K869">
        <v>19.126676031606664</v>
      </c>
      <c r="L869">
        <v>0.18539724095371191</v>
      </c>
      <c r="M869">
        <v>37.364925102228632</v>
      </c>
      <c r="N869">
        <v>41.101417612451499</v>
      </c>
    </row>
    <row r="870" spans="1:14">
      <c r="A870" t="s">
        <v>726</v>
      </c>
      <c r="B870" t="s">
        <v>2385</v>
      </c>
      <c r="C870" t="s">
        <v>2386</v>
      </c>
      <c r="D870" t="s">
        <v>11</v>
      </c>
      <c r="E870" t="s">
        <v>13</v>
      </c>
      <c r="F870" t="s">
        <v>729</v>
      </c>
      <c r="G870" t="s">
        <v>12</v>
      </c>
      <c r="I870" t="s">
        <v>2385</v>
      </c>
      <c r="J870" t="s">
        <v>3818</v>
      </c>
      <c r="K870">
        <v>21.200579140820548</v>
      </c>
      <c r="L870">
        <v>0.16905573851855471</v>
      </c>
      <c r="M870">
        <v>39.424738160252346</v>
      </c>
      <c r="N870">
        <v>43.367211976277581</v>
      </c>
    </row>
    <row r="871" spans="1:14">
      <c r="A871" t="s">
        <v>726</v>
      </c>
      <c r="B871" t="s">
        <v>2387</v>
      </c>
      <c r="C871" t="s">
        <v>2388</v>
      </c>
      <c r="D871" t="s">
        <v>11</v>
      </c>
      <c r="E871" t="s">
        <v>13</v>
      </c>
      <c r="F871" t="s">
        <v>729</v>
      </c>
      <c r="G871" t="s">
        <v>12</v>
      </c>
      <c r="I871" t="s">
        <v>2387</v>
      </c>
      <c r="J871" t="s">
        <v>3819</v>
      </c>
      <c r="K871">
        <v>19.105640766500258</v>
      </c>
      <c r="L871">
        <v>0.1871286088853005</v>
      </c>
      <c r="M871">
        <v>36.890746879228359</v>
      </c>
      <c r="N871">
        <v>40.5798215671512</v>
      </c>
    </row>
    <row r="872" spans="1:14">
      <c r="A872" t="s">
        <v>726</v>
      </c>
      <c r="B872" t="s">
        <v>2389</v>
      </c>
      <c r="C872" t="s">
        <v>2390</v>
      </c>
      <c r="D872" t="s">
        <v>11</v>
      </c>
      <c r="E872" t="s">
        <v>13</v>
      </c>
      <c r="F872" t="s">
        <v>729</v>
      </c>
      <c r="G872" t="s">
        <v>12</v>
      </c>
      <c r="I872" t="s">
        <v>2389</v>
      </c>
      <c r="J872" t="s">
        <v>3820</v>
      </c>
      <c r="K872">
        <v>8.7774212133318397</v>
      </c>
      <c r="L872">
        <v>0.1725947739813474</v>
      </c>
      <c r="M872">
        <v>39.260557826657575</v>
      </c>
      <c r="N872">
        <v>43.186613609323338</v>
      </c>
    </row>
    <row r="873" spans="1:14">
      <c r="A873" t="s">
        <v>726</v>
      </c>
      <c r="B873" t="s">
        <v>2391</v>
      </c>
      <c r="C873" t="s">
        <v>2392</v>
      </c>
      <c r="D873" t="s">
        <v>11</v>
      </c>
      <c r="E873" t="s">
        <v>13</v>
      </c>
      <c r="F873" t="s">
        <v>729</v>
      </c>
      <c r="G873" t="s">
        <v>12</v>
      </c>
      <c r="I873" t="s">
        <v>2391</v>
      </c>
      <c r="J873" t="s">
        <v>3821</v>
      </c>
      <c r="K873">
        <v>10.754171831005412</v>
      </c>
      <c r="L873">
        <v>0.17305599338034511</v>
      </c>
      <c r="M873">
        <v>52.589503807310443</v>
      </c>
      <c r="N873">
        <v>57.848454188041494</v>
      </c>
    </row>
    <row r="874" spans="1:14">
      <c r="A874" t="s">
        <v>726</v>
      </c>
      <c r="B874" t="s">
        <v>2393</v>
      </c>
      <c r="C874" t="s">
        <v>2394</v>
      </c>
      <c r="D874" t="s">
        <v>11</v>
      </c>
      <c r="E874" t="s">
        <v>13</v>
      </c>
      <c r="F874" t="s">
        <v>729</v>
      </c>
      <c r="G874" t="s">
        <v>12</v>
      </c>
      <c r="I874" t="s">
        <v>2393</v>
      </c>
      <c r="J874" t="s">
        <v>3822</v>
      </c>
      <c r="K874">
        <v>12.717828585326602</v>
      </c>
      <c r="L874">
        <v>0.17257680322872129</v>
      </c>
      <c r="M874">
        <v>26.419486109250361</v>
      </c>
      <c r="N874">
        <v>29.061434720175399</v>
      </c>
    </row>
    <row r="875" spans="1:14">
      <c r="A875" t="s">
        <v>726</v>
      </c>
      <c r="B875" t="s">
        <v>2395</v>
      </c>
      <c r="C875" t="s">
        <v>2396</v>
      </c>
      <c r="D875" t="s">
        <v>11</v>
      </c>
      <c r="E875" t="s">
        <v>13</v>
      </c>
      <c r="F875" t="s">
        <v>729</v>
      </c>
      <c r="G875" t="s">
        <v>12</v>
      </c>
      <c r="I875" t="s">
        <v>2395</v>
      </c>
      <c r="J875" t="s">
        <v>3823</v>
      </c>
      <c r="K875">
        <v>314.23394189267157</v>
      </c>
      <c r="L875">
        <v>0.18804242172768729</v>
      </c>
      <c r="M875">
        <v>235.52147996088121</v>
      </c>
      <c r="N875">
        <v>259.07362795696935</v>
      </c>
    </row>
    <row r="876" spans="1:14">
      <c r="A876" t="s">
        <v>726</v>
      </c>
      <c r="B876" t="s">
        <v>2397</v>
      </c>
      <c r="C876" t="s">
        <v>2398</v>
      </c>
      <c r="D876" t="s">
        <v>11</v>
      </c>
      <c r="E876" t="s">
        <v>13</v>
      </c>
      <c r="F876" t="s">
        <v>729</v>
      </c>
      <c r="G876" t="s">
        <v>12</v>
      </c>
      <c r="I876" t="s">
        <v>2397</v>
      </c>
      <c r="J876" t="s">
        <v>3824</v>
      </c>
      <c r="K876">
        <v>262.2908204892687</v>
      </c>
      <c r="L876">
        <v>0.17233444666153419</v>
      </c>
      <c r="M876">
        <v>291.97358141881438</v>
      </c>
      <c r="N876">
        <v>321.17093956069584</v>
      </c>
    </row>
    <row r="877" spans="1:14">
      <c r="A877" t="s">
        <v>726</v>
      </c>
      <c r="B877" t="s">
        <v>2399</v>
      </c>
      <c r="C877" t="s">
        <v>2400</v>
      </c>
      <c r="D877" t="s">
        <v>11</v>
      </c>
      <c r="E877" t="s">
        <v>13</v>
      </c>
      <c r="F877" t="s">
        <v>729</v>
      </c>
      <c r="G877" t="s">
        <v>12</v>
      </c>
      <c r="I877" t="s">
        <v>2399</v>
      </c>
      <c r="J877" t="s">
        <v>3825</v>
      </c>
      <c r="K877">
        <v>84.166696675916342</v>
      </c>
      <c r="L877">
        <v>0.15433088662285269</v>
      </c>
      <c r="M877">
        <v>1176.9054440520567</v>
      </c>
      <c r="N877">
        <v>1294.5959884572626</v>
      </c>
    </row>
    <row r="878" spans="1:14">
      <c r="A878" t="s">
        <v>726</v>
      </c>
      <c r="B878" t="s">
        <v>2401</v>
      </c>
      <c r="C878" t="s">
        <v>2400</v>
      </c>
      <c r="D878" t="s">
        <v>11</v>
      </c>
      <c r="E878" t="s">
        <v>13</v>
      </c>
      <c r="F878" t="s">
        <v>729</v>
      </c>
      <c r="G878" t="s">
        <v>12</v>
      </c>
      <c r="I878" t="s">
        <v>2401</v>
      </c>
      <c r="J878" t="s">
        <v>3826</v>
      </c>
      <c r="K878">
        <v>358.81545885548439</v>
      </c>
      <c r="L878">
        <v>0.1681176108180179</v>
      </c>
      <c r="M878">
        <v>711.53903556400644</v>
      </c>
      <c r="N878">
        <v>782.69293912040712</v>
      </c>
    </row>
    <row r="879" spans="1:14">
      <c r="A879" t="s">
        <v>726</v>
      </c>
      <c r="B879" t="s">
        <v>2402</v>
      </c>
      <c r="C879" t="s">
        <v>2403</v>
      </c>
      <c r="D879" t="s">
        <v>11</v>
      </c>
      <c r="E879" t="s">
        <v>13</v>
      </c>
      <c r="F879" t="s">
        <v>729</v>
      </c>
      <c r="G879" t="s">
        <v>12</v>
      </c>
      <c r="I879" t="s">
        <v>2402</v>
      </c>
      <c r="J879" t="s">
        <v>3827</v>
      </c>
      <c r="K879">
        <v>823.13238311109365</v>
      </c>
      <c r="L879">
        <v>0.19934122475298</v>
      </c>
      <c r="M879">
        <v>340.99805099600405</v>
      </c>
      <c r="N879">
        <v>375.09785609560447</v>
      </c>
    </row>
    <row r="880" spans="1:14">
      <c r="A880" t="s">
        <v>726</v>
      </c>
      <c r="B880" t="s">
        <v>2404</v>
      </c>
      <c r="C880" t="s">
        <v>2405</v>
      </c>
      <c r="D880" t="s">
        <v>11</v>
      </c>
      <c r="E880" t="s">
        <v>13</v>
      </c>
      <c r="F880" t="s">
        <v>729</v>
      </c>
      <c r="G880" t="s">
        <v>12</v>
      </c>
      <c r="I880" t="s">
        <v>2404</v>
      </c>
      <c r="J880" t="s">
        <v>3828</v>
      </c>
      <c r="K880">
        <v>502.50555755294897</v>
      </c>
      <c r="L880">
        <v>0.18122082713941601</v>
      </c>
      <c r="M880">
        <v>505.38372255681372</v>
      </c>
      <c r="N880">
        <v>555.92209481249517</v>
      </c>
    </row>
    <row r="881" spans="1:14">
      <c r="A881" t="s">
        <v>726</v>
      </c>
      <c r="B881" t="s">
        <v>2406</v>
      </c>
      <c r="C881" t="s">
        <v>2407</v>
      </c>
      <c r="D881" t="s">
        <v>11</v>
      </c>
      <c r="E881" t="s">
        <v>13</v>
      </c>
      <c r="F881" t="s">
        <v>729</v>
      </c>
      <c r="G881" t="s">
        <v>12</v>
      </c>
      <c r="I881" t="s">
        <v>2406</v>
      </c>
      <c r="J881" t="s">
        <v>3829</v>
      </c>
      <c r="K881">
        <v>429.98189987628984</v>
      </c>
      <c r="L881">
        <v>0.1647596701974948</v>
      </c>
      <c r="M881">
        <v>772.61800748162977</v>
      </c>
      <c r="N881">
        <v>849.87980822979284</v>
      </c>
    </row>
    <row r="882" spans="1:14">
      <c r="A882" t="s">
        <v>726</v>
      </c>
      <c r="B882" t="s">
        <v>2408</v>
      </c>
      <c r="C882" t="s">
        <v>2409</v>
      </c>
      <c r="D882" t="s">
        <v>11</v>
      </c>
      <c r="E882" t="s">
        <v>13</v>
      </c>
      <c r="F882" t="s">
        <v>729</v>
      </c>
      <c r="G882" t="s">
        <v>12</v>
      </c>
      <c r="I882" t="s">
        <v>2408</v>
      </c>
      <c r="J882" t="s">
        <v>3830</v>
      </c>
      <c r="K882">
        <v>807.07191991330262</v>
      </c>
      <c r="L882">
        <v>0.1404253247213669</v>
      </c>
      <c r="M882">
        <v>163.4709158015342</v>
      </c>
      <c r="N882">
        <v>179.81800738168764</v>
      </c>
    </row>
    <row r="883" spans="1:14">
      <c r="A883" t="s">
        <v>726</v>
      </c>
      <c r="B883" t="s">
        <v>2410</v>
      </c>
      <c r="C883" t="s">
        <v>2411</v>
      </c>
      <c r="D883" t="s">
        <v>11</v>
      </c>
      <c r="E883" t="s">
        <v>13</v>
      </c>
      <c r="F883" t="s">
        <v>729</v>
      </c>
      <c r="G883" t="s">
        <v>12</v>
      </c>
      <c r="I883" t="s">
        <v>2410</v>
      </c>
      <c r="J883" t="s">
        <v>3831</v>
      </c>
      <c r="K883">
        <v>328.79139018618895</v>
      </c>
      <c r="L883">
        <v>0.13505408958697279</v>
      </c>
      <c r="M883">
        <v>135.8423571649125</v>
      </c>
      <c r="N883">
        <v>149.42659288140376</v>
      </c>
    </row>
    <row r="884" spans="1:14">
      <c r="A884" t="s">
        <v>726</v>
      </c>
      <c r="B884" t="s">
        <v>2412</v>
      </c>
      <c r="C884" t="s">
        <v>2413</v>
      </c>
      <c r="D884" t="s">
        <v>11</v>
      </c>
      <c r="E884" t="s">
        <v>13</v>
      </c>
      <c r="F884" t="s">
        <v>729</v>
      </c>
      <c r="G884" t="s">
        <v>12</v>
      </c>
      <c r="I884" t="s">
        <v>2412</v>
      </c>
      <c r="J884" t="s">
        <v>3832</v>
      </c>
      <c r="K884">
        <v>194.0529834132856</v>
      </c>
      <c r="L884">
        <v>0.14677098712576189</v>
      </c>
      <c r="M884">
        <v>129.08208484469731</v>
      </c>
      <c r="N884">
        <v>141.99029332916706</v>
      </c>
    </row>
    <row r="885" spans="1:14">
      <c r="A885" t="s">
        <v>726</v>
      </c>
      <c r="B885" t="s">
        <v>2414</v>
      </c>
      <c r="C885" t="s">
        <v>2415</v>
      </c>
      <c r="D885" t="s">
        <v>11</v>
      </c>
      <c r="E885" t="s">
        <v>13</v>
      </c>
      <c r="F885" t="s">
        <v>729</v>
      </c>
      <c r="G885" t="s">
        <v>12</v>
      </c>
      <c r="I885" t="s">
        <v>2414</v>
      </c>
      <c r="J885" t="s">
        <v>3833</v>
      </c>
      <c r="K885">
        <v>320.54709821340924</v>
      </c>
      <c r="L885">
        <v>0.13526970191390281</v>
      </c>
      <c r="M885">
        <v>108.91223239121602</v>
      </c>
      <c r="N885">
        <v>119.80345563033764</v>
      </c>
    </row>
    <row r="886" spans="1:14">
      <c r="A886" t="s">
        <v>726</v>
      </c>
      <c r="B886" t="s">
        <v>2416</v>
      </c>
      <c r="C886" t="s">
        <v>2417</v>
      </c>
      <c r="D886" t="s">
        <v>11</v>
      </c>
      <c r="E886" t="s">
        <v>13</v>
      </c>
      <c r="F886" t="s">
        <v>729</v>
      </c>
      <c r="G886" t="s">
        <v>12</v>
      </c>
      <c r="I886" t="s">
        <v>2416</v>
      </c>
      <c r="J886" t="s">
        <v>3834</v>
      </c>
      <c r="K886">
        <v>295.46736222611599</v>
      </c>
      <c r="L886">
        <v>0.15657583735466549</v>
      </c>
      <c r="M886">
        <v>350.52104233234712</v>
      </c>
      <c r="N886">
        <v>385.57314656558185</v>
      </c>
    </row>
    <row r="887" spans="1:14">
      <c r="A887" t="s">
        <v>726</v>
      </c>
      <c r="B887" t="s">
        <v>2418</v>
      </c>
      <c r="C887" t="s">
        <v>2419</v>
      </c>
      <c r="D887" t="s">
        <v>11</v>
      </c>
      <c r="E887" t="s">
        <v>13</v>
      </c>
      <c r="F887" t="s">
        <v>729</v>
      </c>
      <c r="G887" t="s">
        <v>12</v>
      </c>
      <c r="I887" t="s">
        <v>2418</v>
      </c>
      <c r="J887" t="s">
        <v>3835</v>
      </c>
      <c r="K887">
        <v>344.44457007402582</v>
      </c>
      <c r="L887">
        <v>0.14707373921415129</v>
      </c>
      <c r="M887">
        <v>246.42082182256587</v>
      </c>
      <c r="N887">
        <v>271.06290400482249</v>
      </c>
    </row>
    <row r="888" spans="1:14">
      <c r="A888" t="s">
        <v>726</v>
      </c>
      <c r="B888" t="s">
        <v>2420</v>
      </c>
      <c r="C888" t="s">
        <v>2421</v>
      </c>
      <c r="D888" t="s">
        <v>11</v>
      </c>
      <c r="E888" t="s">
        <v>13</v>
      </c>
      <c r="F888" t="s">
        <v>729</v>
      </c>
      <c r="G888" t="s">
        <v>12</v>
      </c>
      <c r="I888" t="s">
        <v>2420</v>
      </c>
      <c r="J888" t="s">
        <v>3836</v>
      </c>
      <c r="K888">
        <v>194.37225736232321</v>
      </c>
      <c r="L888">
        <v>0.18404910221507251</v>
      </c>
      <c r="M888">
        <v>301.71778699695045</v>
      </c>
      <c r="N888">
        <v>331.88956569664555</v>
      </c>
    </row>
    <row r="889" spans="1:14">
      <c r="A889" t="s">
        <v>726</v>
      </c>
      <c r="B889" t="s">
        <v>2422</v>
      </c>
      <c r="C889" t="s">
        <v>2423</v>
      </c>
      <c r="D889" t="s">
        <v>11</v>
      </c>
      <c r="E889" t="s">
        <v>13</v>
      </c>
      <c r="F889" t="s">
        <v>729</v>
      </c>
      <c r="G889" t="s">
        <v>12</v>
      </c>
      <c r="I889" t="s">
        <v>2422</v>
      </c>
      <c r="J889" t="s">
        <v>3837</v>
      </c>
      <c r="K889">
        <v>285.31521185790325</v>
      </c>
      <c r="L889">
        <v>0.1566204080733048</v>
      </c>
      <c r="M889">
        <v>159.05124957594782</v>
      </c>
      <c r="N889">
        <v>174.95637453354263</v>
      </c>
    </row>
    <row r="890" spans="1:14">
      <c r="A890" t="s">
        <v>726</v>
      </c>
      <c r="B890" t="s">
        <v>2424</v>
      </c>
      <c r="C890" t="s">
        <v>2425</v>
      </c>
      <c r="D890" t="s">
        <v>11</v>
      </c>
      <c r="E890" t="s">
        <v>13</v>
      </c>
      <c r="F890" t="s">
        <v>729</v>
      </c>
      <c r="G890" t="s">
        <v>12</v>
      </c>
      <c r="I890" t="s">
        <v>2424</v>
      </c>
      <c r="J890" t="s">
        <v>3838</v>
      </c>
      <c r="K890">
        <v>244.95487139498695</v>
      </c>
      <c r="L890">
        <v>0.16997437799396051</v>
      </c>
      <c r="M890">
        <v>633.73732486506105</v>
      </c>
      <c r="N890">
        <v>697.11105735156718</v>
      </c>
    </row>
    <row r="891" spans="1:14">
      <c r="A891" t="s">
        <v>726</v>
      </c>
      <c r="B891" t="s">
        <v>2426</v>
      </c>
      <c r="C891" t="s">
        <v>2425</v>
      </c>
      <c r="D891" t="s">
        <v>11</v>
      </c>
      <c r="E891" t="s">
        <v>13</v>
      </c>
      <c r="F891" t="s">
        <v>729</v>
      </c>
      <c r="G891" t="s">
        <v>12</v>
      </c>
      <c r="I891" t="s">
        <v>2426</v>
      </c>
      <c r="J891" t="s">
        <v>3839</v>
      </c>
      <c r="K891">
        <v>267.99262529527601</v>
      </c>
      <c r="L891">
        <v>0.16847524605138831</v>
      </c>
      <c r="M891">
        <v>330.7741917077476</v>
      </c>
      <c r="N891">
        <v>363.85161087852242</v>
      </c>
    </row>
    <row r="892" spans="1:14">
      <c r="A892" t="s">
        <v>726</v>
      </c>
      <c r="B892" t="s">
        <v>2427</v>
      </c>
      <c r="C892" t="s">
        <v>2428</v>
      </c>
      <c r="D892" t="s">
        <v>11</v>
      </c>
      <c r="E892" t="s">
        <v>13</v>
      </c>
      <c r="F892" t="s">
        <v>729</v>
      </c>
      <c r="G892" t="s">
        <v>12</v>
      </c>
      <c r="I892" t="s">
        <v>2427</v>
      </c>
      <c r="J892" t="s">
        <v>3840</v>
      </c>
      <c r="K892">
        <v>228.86919424273998</v>
      </c>
      <c r="L892">
        <v>0.1555684632138053</v>
      </c>
      <c r="M892">
        <v>377.56129901595739</v>
      </c>
      <c r="N892">
        <v>415.31742891755317</v>
      </c>
    </row>
    <row r="893" spans="1:14">
      <c r="A893" t="s">
        <v>726</v>
      </c>
      <c r="B893" t="s">
        <v>2429</v>
      </c>
      <c r="C893" t="s">
        <v>2430</v>
      </c>
      <c r="D893" t="s">
        <v>11</v>
      </c>
      <c r="E893" t="s">
        <v>13</v>
      </c>
      <c r="F893" t="s">
        <v>729</v>
      </c>
      <c r="G893" t="s">
        <v>12</v>
      </c>
      <c r="I893" t="s">
        <v>2429</v>
      </c>
      <c r="J893" t="s">
        <v>3841</v>
      </c>
      <c r="K893">
        <v>288.97896848663339</v>
      </c>
      <c r="L893">
        <v>0.17103294276969469</v>
      </c>
      <c r="M893">
        <v>98.089518453746322</v>
      </c>
      <c r="N893">
        <v>107.89847029912096</v>
      </c>
    </row>
    <row r="894" spans="1:14">
      <c r="A894" t="s">
        <v>726</v>
      </c>
      <c r="B894" t="s">
        <v>2431</v>
      </c>
      <c r="C894" t="s">
        <v>2432</v>
      </c>
      <c r="D894" t="s">
        <v>11</v>
      </c>
      <c r="E894" t="s">
        <v>13</v>
      </c>
      <c r="F894" t="s">
        <v>729</v>
      </c>
      <c r="G894" t="s">
        <v>12</v>
      </c>
      <c r="I894" t="s">
        <v>2431</v>
      </c>
      <c r="J894" t="s">
        <v>3842</v>
      </c>
      <c r="K894">
        <v>129.06896674060997</v>
      </c>
      <c r="L894">
        <v>0.13614634667248551</v>
      </c>
      <c r="M894">
        <v>282.90794524630007</v>
      </c>
      <c r="N894">
        <v>311.1987397709301</v>
      </c>
    </row>
    <row r="895" spans="1:14">
      <c r="A895" t="s">
        <v>726</v>
      </c>
      <c r="B895" t="s">
        <v>2433</v>
      </c>
      <c r="C895" t="s">
        <v>2434</v>
      </c>
      <c r="D895" t="s">
        <v>11</v>
      </c>
      <c r="E895" t="s">
        <v>13</v>
      </c>
      <c r="F895" t="s">
        <v>729</v>
      </c>
      <c r="G895" t="s">
        <v>12</v>
      </c>
      <c r="I895" t="s">
        <v>2433</v>
      </c>
      <c r="J895" t="s">
        <v>3843</v>
      </c>
      <c r="K895">
        <v>318.26789499922751</v>
      </c>
      <c r="L895">
        <v>0.1433208083898708</v>
      </c>
      <c r="M895">
        <v>307.01680709801354</v>
      </c>
      <c r="N895">
        <v>337.71848780781494</v>
      </c>
    </row>
    <row r="896" spans="1:14">
      <c r="A896" t="s">
        <v>726</v>
      </c>
      <c r="B896" t="s">
        <v>2435</v>
      </c>
      <c r="C896" t="s">
        <v>2436</v>
      </c>
      <c r="D896" t="s">
        <v>11</v>
      </c>
      <c r="E896" t="s">
        <v>13</v>
      </c>
      <c r="F896" t="s">
        <v>729</v>
      </c>
      <c r="G896" t="s">
        <v>12</v>
      </c>
      <c r="I896" t="s">
        <v>2435</v>
      </c>
      <c r="J896" t="s">
        <v>3844</v>
      </c>
      <c r="K896">
        <v>478.81914356320374</v>
      </c>
      <c r="L896">
        <v>0.15087022126555</v>
      </c>
      <c r="M896">
        <v>115.07425936477576</v>
      </c>
      <c r="N896">
        <v>126.58168530125334</v>
      </c>
    </row>
    <row r="897" spans="1:14">
      <c r="A897" t="s">
        <v>726</v>
      </c>
      <c r="B897" t="s">
        <v>2437</v>
      </c>
      <c r="C897" t="s">
        <v>2438</v>
      </c>
      <c r="D897" t="s">
        <v>11</v>
      </c>
      <c r="E897" t="s">
        <v>13</v>
      </c>
      <c r="F897" t="s">
        <v>729</v>
      </c>
      <c r="G897" t="s">
        <v>12</v>
      </c>
      <c r="I897" t="s">
        <v>2437</v>
      </c>
      <c r="J897" t="s">
        <v>3845</v>
      </c>
      <c r="K897">
        <v>356.03870254301052</v>
      </c>
      <c r="L897">
        <v>0.14159575445881739</v>
      </c>
      <c r="M897">
        <v>149.65320640190194</v>
      </c>
      <c r="N897">
        <v>164.61852704209215</v>
      </c>
    </row>
    <row r="898" spans="1:14">
      <c r="A898" t="s">
        <v>726</v>
      </c>
      <c r="B898" t="s">
        <v>2439</v>
      </c>
      <c r="C898" t="s">
        <v>2440</v>
      </c>
      <c r="D898" t="s">
        <v>11</v>
      </c>
      <c r="E898" t="s">
        <v>13</v>
      </c>
      <c r="F898" t="s">
        <v>729</v>
      </c>
      <c r="G898" t="s">
        <v>12</v>
      </c>
      <c r="I898" t="s">
        <v>2439</v>
      </c>
      <c r="J898" t="s">
        <v>3846</v>
      </c>
      <c r="K898">
        <v>207.61310151839157</v>
      </c>
      <c r="L898">
        <v>0.14659740023590179</v>
      </c>
      <c r="M898">
        <v>278.98786607206114</v>
      </c>
      <c r="N898">
        <v>306.88665267926729</v>
      </c>
    </row>
    <row r="899" spans="1:14">
      <c r="A899" t="s">
        <v>726</v>
      </c>
      <c r="B899" t="s">
        <v>2441</v>
      </c>
      <c r="C899" t="s">
        <v>2442</v>
      </c>
      <c r="D899" t="s">
        <v>11</v>
      </c>
      <c r="E899" t="s">
        <v>13</v>
      </c>
      <c r="F899" t="s">
        <v>729</v>
      </c>
      <c r="G899" t="s">
        <v>12</v>
      </c>
      <c r="I899" t="s">
        <v>2441</v>
      </c>
      <c r="J899" t="s">
        <v>3847</v>
      </c>
      <c r="K899">
        <v>5.9975223876559625</v>
      </c>
      <c r="L899">
        <v>0.22201848242269681</v>
      </c>
      <c r="M899">
        <v>27.18338098546165</v>
      </c>
      <c r="N899">
        <v>29.901719084007816</v>
      </c>
    </row>
    <row r="900" spans="1:14">
      <c r="A900" t="s">
        <v>726</v>
      </c>
      <c r="B900" t="s">
        <v>2443</v>
      </c>
      <c r="C900" t="s">
        <v>2444</v>
      </c>
      <c r="D900" t="s">
        <v>11</v>
      </c>
      <c r="E900" t="s">
        <v>13</v>
      </c>
      <c r="F900" t="s">
        <v>729</v>
      </c>
      <c r="G900" t="s">
        <v>12</v>
      </c>
      <c r="I900" t="s">
        <v>2443</v>
      </c>
      <c r="J900" t="s">
        <v>3848</v>
      </c>
      <c r="K900">
        <v>2.510159781054035</v>
      </c>
      <c r="L900">
        <v>0.21020761206246841</v>
      </c>
      <c r="M900">
        <v>27.996002221622032</v>
      </c>
      <c r="N900">
        <v>30.795602443784237</v>
      </c>
    </row>
    <row r="901" spans="1:14">
      <c r="A901" t="s">
        <v>726</v>
      </c>
      <c r="B901" t="s">
        <v>2445</v>
      </c>
      <c r="C901" t="s">
        <v>2446</v>
      </c>
      <c r="D901" t="s">
        <v>11</v>
      </c>
      <c r="E901" t="s">
        <v>13</v>
      </c>
      <c r="F901" t="s">
        <v>729</v>
      </c>
      <c r="G901" t="s">
        <v>12</v>
      </c>
      <c r="I901" t="s">
        <v>2445</v>
      </c>
      <c r="J901" t="s">
        <v>3849</v>
      </c>
      <c r="K901">
        <v>64.951394580539059</v>
      </c>
      <c r="L901">
        <v>0.25894471960878829</v>
      </c>
      <c r="M901">
        <v>100.01270346109426</v>
      </c>
      <c r="N901">
        <v>110.0139738072037</v>
      </c>
    </row>
    <row r="902" spans="1:14">
      <c r="A902" t="s">
        <v>726</v>
      </c>
      <c r="B902" t="s">
        <v>2447</v>
      </c>
      <c r="C902" t="s">
        <v>2448</v>
      </c>
      <c r="D902" t="s">
        <v>11</v>
      </c>
      <c r="E902" t="s">
        <v>13</v>
      </c>
      <c r="F902" t="s">
        <v>729</v>
      </c>
      <c r="G902" t="s">
        <v>12</v>
      </c>
      <c r="I902" t="s">
        <v>2447</v>
      </c>
      <c r="J902" t="s">
        <v>3850</v>
      </c>
      <c r="K902">
        <v>156.33673828412245</v>
      </c>
      <c r="L902">
        <v>0.2712556225336335</v>
      </c>
      <c r="M902">
        <v>176.92211824358975</v>
      </c>
      <c r="N902">
        <v>194.61433006794874</v>
      </c>
    </row>
    <row r="903" spans="1:14">
      <c r="A903" t="s">
        <v>726</v>
      </c>
      <c r="B903" t="s">
        <v>2449</v>
      </c>
      <c r="C903" t="s">
        <v>2450</v>
      </c>
      <c r="D903" t="s">
        <v>11</v>
      </c>
      <c r="E903" t="s">
        <v>13</v>
      </c>
      <c r="F903" t="s">
        <v>729</v>
      </c>
      <c r="G903" t="s">
        <v>12</v>
      </c>
      <c r="I903" t="s">
        <v>2449</v>
      </c>
      <c r="J903" t="s">
        <v>3851</v>
      </c>
      <c r="K903">
        <v>115.40753777700007</v>
      </c>
      <c r="L903">
        <v>0.28225034218561929</v>
      </c>
      <c r="M903">
        <v>143.84063248095799</v>
      </c>
      <c r="N903">
        <v>158.22469572905379</v>
      </c>
    </row>
    <row r="904" spans="1:14">
      <c r="A904" t="s">
        <v>726</v>
      </c>
      <c r="B904" t="s">
        <v>2451</v>
      </c>
      <c r="C904" t="s">
        <v>2452</v>
      </c>
      <c r="D904" t="s">
        <v>11</v>
      </c>
      <c r="E904" t="s">
        <v>13</v>
      </c>
      <c r="F904" t="s">
        <v>729</v>
      </c>
      <c r="G904" t="s">
        <v>12</v>
      </c>
      <c r="I904" t="s">
        <v>2451</v>
      </c>
      <c r="J904" t="s">
        <v>3852</v>
      </c>
      <c r="K904">
        <v>163.84675976067811</v>
      </c>
      <c r="L904">
        <v>0.280716365111573</v>
      </c>
      <c r="M904">
        <v>313.39062094090451</v>
      </c>
      <c r="N904">
        <v>344.72968303499499</v>
      </c>
    </row>
    <row r="905" spans="1:14">
      <c r="A905" t="s">
        <v>726</v>
      </c>
      <c r="B905" t="s">
        <v>2453</v>
      </c>
      <c r="C905" t="s">
        <v>2454</v>
      </c>
      <c r="D905" t="s">
        <v>11</v>
      </c>
      <c r="E905" t="s">
        <v>13</v>
      </c>
      <c r="F905" t="s">
        <v>729</v>
      </c>
      <c r="G905" t="s">
        <v>12</v>
      </c>
      <c r="I905" t="s">
        <v>2453</v>
      </c>
      <c r="J905" t="s">
        <v>3853</v>
      </c>
      <c r="K905">
        <v>122.75329455608048</v>
      </c>
      <c r="L905">
        <v>0.27371491118739449</v>
      </c>
      <c r="M905">
        <v>414.0149382373055</v>
      </c>
      <c r="N905">
        <v>455.41643206103606</v>
      </c>
    </row>
    <row r="906" spans="1:14">
      <c r="A906" t="s">
        <v>726</v>
      </c>
      <c r="B906" t="s">
        <v>2455</v>
      </c>
      <c r="C906" t="s">
        <v>2454</v>
      </c>
      <c r="D906" t="s">
        <v>11</v>
      </c>
      <c r="E906" t="s">
        <v>13</v>
      </c>
      <c r="F906" t="s">
        <v>729</v>
      </c>
      <c r="G906" t="s">
        <v>12</v>
      </c>
      <c r="I906" t="s">
        <v>2455</v>
      </c>
      <c r="J906" t="s">
        <v>3854</v>
      </c>
      <c r="K906">
        <v>117.66737632648281</v>
      </c>
      <c r="L906">
        <v>0.2711226433618662</v>
      </c>
      <c r="M906">
        <v>604.27330800815423</v>
      </c>
      <c r="N906">
        <v>664.70063880896976</v>
      </c>
    </row>
    <row r="907" spans="1:14">
      <c r="A907" t="s">
        <v>726</v>
      </c>
      <c r="B907" t="s">
        <v>2456</v>
      </c>
      <c r="C907" t="s">
        <v>2457</v>
      </c>
      <c r="D907" t="s">
        <v>11</v>
      </c>
      <c r="E907" t="s">
        <v>13</v>
      </c>
      <c r="F907" t="s">
        <v>729</v>
      </c>
      <c r="G907" t="s">
        <v>12</v>
      </c>
      <c r="I907" t="s">
        <v>2456</v>
      </c>
      <c r="J907" t="s">
        <v>3855</v>
      </c>
      <c r="K907">
        <v>186.88961555180217</v>
      </c>
      <c r="L907">
        <v>0.27031623570125057</v>
      </c>
      <c r="M907">
        <v>336.55663808822828</v>
      </c>
      <c r="N907">
        <v>370.21230189705113</v>
      </c>
    </row>
    <row r="908" spans="1:14">
      <c r="A908" t="s">
        <v>726</v>
      </c>
      <c r="B908" t="s">
        <v>2458</v>
      </c>
      <c r="C908" t="s">
        <v>2459</v>
      </c>
      <c r="D908" t="s">
        <v>11</v>
      </c>
      <c r="E908" t="s">
        <v>13</v>
      </c>
      <c r="F908" t="s">
        <v>729</v>
      </c>
      <c r="G908" t="s">
        <v>12</v>
      </c>
      <c r="I908" t="s">
        <v>2458</v>
      </c>
      <c r="J908" t="s">
        <v>3856</v>
      </c>
      <c r="K908">
        <v>190.10284450809044</v>
      </c>
      <c r="L908">
        <v>0.26540092689062289</v>
      </c>
      <c r="M908">
        <v>382.16843808801042</v>
      </c>
      <c r="N908">
        <v>420.38528189681148</v>
      </c>
    </row>
    <row r="909" spans="1:14">
      <c r="A909" t="s">
        <v>726</v>
      </c>
      <c r="B909" t="s">
        <v>2460</v>
      </c>
      <c r="C909" t="s">
        <v>2461</v>
      </c>
      <c r="D909" t="s">
        <v>11</v>
      </c>
      <c r="E909" t="s">
        <v>13</v>
      </c>
      <c r="F909" t="s">
        <v>729</v>
      </c>
      <c r="G909" t="s">
        <v>12</v>
      </c>
      <c r="I909" t="s">
        <v>2460</v>
      </c>
      <c r="J909" t="s">
        <v>3857</v>
      </c>
      <c r="K909">
        <v>193.50908596649487</v>
      </c>
      <c r="L909">
        <v>0.26809948141660872</v>
      </c>
      <c r="M909">
        <v>291.07538811641962</v>
      </c>
      <c r="N909">
        <v>320.18292692806159</v>
      </c>
    </row>
    <row r="910" spans="1:14">
      <c r="A910" t="s">
        <v>726</v>
      </c>
      <c r="B910" t="s">
        <v>2462</v>
      </c>
      <c r="C910" t="s">
        <v>2463</v>
      </c>
      <c r="D910" t="s">
        <v>11</v>
      </c>
      <c r="E910" t="s">
        <v>13</v>
      </c>
      <c r="F910" t="s">
        <v>729</v>
      </c>
      <c r="G910" t="s">
        <v>12</v>
      </c>
      <c r="I910" t="s">
        <v>2462</v>
      </c>
      <c r="J910" t="s">
        <v>3858</v>
      </c>
      <c r="K910">
        <v>324.98720921434017</v>
      </c>
      <c r="L910">
        <v>0.27084821457217861</v>
      </c>
      <c r="M910">
        <v>552.01803589820497</v>
      </c>
      <c r="N910">
        <v>607.21983948802551</v>
      </c>
    </row>
    <row r="911" spans="1:14">
      <c r="A911" t="s">
        <v>726</v>
      </c>
      <c r="B911" t="s">
        <v>2464</v>
      </c>
      <c r="C911" t="s">
        <v>2465</v>
      </c>
      <c r="D911" t="s">
        <v>11</v>
      </c>
      <c r="E911" t="s">
        <v>13</v>
      </c>
      <c r="F911" t="s">
        <v>729</v>
      </c>
      <c r="G911" t="s">
        <v>12</v>
      </c>
      <c r="I911" t="s">
        <v>2464</v>
      </c>
      <c r="J911" t="s">
        <v>3859</v>
      </c>
      <c r="K911">
        <v>49.845085336993236</v>
      </c>
      <c r="L911">
        <v>0.24972328181393569</v>
      </c>
      <c r="M911">
        <v>398.43013269399268</v>
      </c>
      <c r="N911">
        <v>438.27314596339198</v>
      </c>
    </row>
    <row r="912" spans="1:14">
      <c r="A912" t="s">
        <v>726</v>
      </c>
      <c r="B912" t="s">
        <v>2466</v>
      </c>
      <c r="C912" t="s">
        <v>2463</v>
      </c>
      <c r="D912" t="s">
        <v>11</v>
      </c>
      <c r="E912" t="s">
        <v>13</v>
      </c>
      <c r="F912" t="s">
        <v>729</v>
      </c>
      <c r="G912" t="s">
        <v>12</v>
      </c>
      <c r="I912" t="s">
        <v>2466</v>
      </c>
      <c r="J912" t="s">
        <v>3860</v>
      </c>
      <c r="K912">
        <v>179.71488614823807</v>
      </c>
      <c r="L912">
        <v>0.26769106886674288</v>
      </c>
      <c r="M912">
        <v>262.68953602977109</v>
      </c>
      <c r="N912">
        <v>288.95848963274824</v>
      </c>
    </row>
    <row r="913" spans="1:14">
      <c r="A913" t="s">
        <v>726</v>
      </c>
      <c r="B913" t="s">
        <v>2467</v>
      </c>
      <c r="C913" t="s">
        <v>2468</v>
      </c>
      <c r="D913" t="s">
        <v>11</v>
      </c>
      <c r="E913" t="s">
        <v>13</v>
      </c>
      <c r="F913" t="s">
        <v>729</v>
      </c>
      <c r="G913" t="s">
        <v>12</v>
      </c>
      <c r="I913" t="s">
        <v>2467</v>
      </c>
      <c r="J913" t="s">
        <v>3861</v>
      </c>
      <c r="K913">
        <v>359.14655008696428</v>
      </c>
      <c r="L913">
        <v>0.26783716912349359</v>
      </c>
      <c r="M913">
        <v>649.47466231935118</v>
      </c>
      <c r="N913">
        <v>714.42212855128639</v>
      </c>
    </row>
    <row r="914" spans="1:14">
      <c r="A914" t="s">
        <v>726</v>
      </c>
      <c r="B914" t="s">
        <v>2469</v>
      </c>
      <c r="C914" t="s">
        <v>2468</v>
      </c>
      <c r="D914" t="s">
        <v>11</v>
      </c>
      <c r="E914" t="s">
        <v>13</v>
      </c>
      <c r="F914" t="s">
        <v>729</v>
      </c>
      <c r="G914" t="s">
        <v>12</v>
      </c>
      <c r="I914" t="s">
        <v>2469</v>
      </c>
      <c r="J914" t="s">
        <v>3862</v>
      </c>
      <c r="K914">
        <v>223.34689234651131</v>
      </c>
      <c r="L914">
        <v>0.26849434996051291</v>
      </c>
      <c r="M914">
        <v>319.48772252592079</v>
      </c>
      <c r="N914">
        <v>351.43649477851289</v>
      </c>
    </row>
    <row r="915" spans="1:14">
      <c r="A915" t="s">
        <v>726</v>
      </c>
      <c r="B915" t="s">
        <v>2470</v>
      </c>
      <c r="C915" t="s">
        <v>2459</v>
      </c>
      <c r="D915" t="s">
        <v>11</v>
      </c>
      <c r="E915" t="s">
        <v>13</v>
      </c>
      <c r="F915" t="s">
        <v>729</v>
      </c>
      <c r="G915" t="s">
        <v>12</v>
      </c>
      <c r="I915" t="s">
        <v>2470</v>
      </c>
      <c r="J915" t="s">
        <v>3863</v>
      </c>
      <c r="K915">
        <v>156.61080944945613</v>
      </c>
      <c r="L915">
        <v>0.26723184066646832</v>
      </c>
      <c r="M915">
        <v>114.4799432699747</v>
      </c>
      <c r="N915">
        <v>125.92793759697217</v>
      </c>
    </row>
    <row r="916" spans="1:14">
      <c r="A916" t="s">
        <v>726</v>
      </c>
      <c r="B916" t="s">
        <v>2471</v>
      </c>
      <c r="C916" t="s">
        <v>2472</v>
      </c>
      <c r="D916" t="s">
        <v>11</v>
      </c>
      <c r="E916" t="s">
        <v>13</v>
      </c>
      <c r="F916" t="s">
        <v>729</v>
      </c>
      <c r="G916" t="s">
        <v>12</v>
      </c>
      <c r="I916" t="s">
        <v>2471</v>
      </c>
      <c r="J916" t="s">
        <v>3864</v>
      </c>
      <c r="K916">
        <v>65.11672914252344</v>
      </c>
      <c r="L916">
        <v>0.25318781705686599</v>
      </c>
      <c r="M916">
        <v>435.09141376659983</v>
      </c>
      <c r="N916">
        <v>478.60055514325984</v>
      </c>
    </row>
    <row r="917" spans="1:14">
      <c r="A917" t="s">
        <v>726</v>
      </c>
      <c r="B917" t="s">
        <v>2473</v>
      </c>
      <c r="C917" t="s">
        <v>2474</v>
      </c>
      <c r="D917" t="s">
        <v>11</v>
      </c>
      <c r="E917" t="s">
        <v>13</v>
      </c>
      <c r="F917" t="s">
        <v>729</v>
      </c>
      <c r="G917" t="s">
        <v>12</v>
      </c>
      <c r="I917" t="s">
        <v>2473</v>
      </c>
      <c r="J917" t="s">
        <v>3865</v>
      </c>
      <c r="K917">
        <v>45.358388145810693</v>
      </c>
      <c r="L917">
        <v>0.25371781105660951</v>
      </c>
      <c r="M917">
        <v>246.71005545456401</v>
      </c>
      <c r="N917">
        <v>271.38106100002045</v>
      </c>
    </row>
    <row r="918" spans="1:14">
      <c r="A918" t="s">
        <v>726</v>
      </c>
      <c r="B918" t="s">
        <v>2475</v>
      </c>
      <c r="C918" t="s">
        <v>2476</v>
      </c>
      <c r="D918" t="s">
        <v>11</v>
      </c>
      <c r="E918" t="s">
        <v>13</v>
      </c>
      <c r="F918" t="s">
        <v>729</v>
      </c>
      <c r="G918" t="s">
        <v>12</v>
      </c>
      <c r="I918" t="s">
        <v>2475</v>
      </c>
      <c r="J918" t="s">
        <v>3866</v>
      </c>
      <c r="K918">
        <v>198.39056738593709</v>
      </c>
      <c r="L918">
        <v>0.29778872299844228</v>
      </c>
      <c r="M918">
        <v>659.60653113632645</v>
      </c>
      <c r="N918">
        <v>725.56718424995915</v>
      </c>
    </row>
    <row r="919" spans="1:14">
      <c r="A919" t="s">
        <v>726</v>
      </c>
      <c r="B919" t="s">
        <v>2477</v>
      </c>
      <c r="C919" t="s">
        <v>2476</v>
      </c>
      <c r="D919" t="s">
        <v>11</v>
      </c>
      <c r="E919" t="s">
        <v>13</v>
      </c>
      <c r="F919" t="s">
        <v>729</v>
      </c>
      <c r="G919" t="s">
        <v>12</v>
      </c>
      <c r="I919" t="s">
        <v>2477</v>
      </c>
      <c r="J919" t="s">
        <v>3867</v>
      </c>
      <c r="K919">
        <v>76.710529725972719</v>
      </c>
      <c r="L919">
        <v>0.28192552054962589</v>
      </c>
      <c r="M919">
        <v>304.80533793517122</v>
      </c>
      <c r="N919">
        <v>335.28587172868839</v>
      </c>
    </row>
    <row r="920" spans="1:14">
      <c r="A920" t="s">
        <v>726</v>
      </c>
      <c r="B920" t="s">
        <v>2478</v>
      </c>
      <c r="C920" t="s">
        <v>2479</v>
      </c>
      <c r="D920" t="s">
        <v>11</v>
      </c>
      <c r="E920" t="s">
        <v>13</v>
      </c>
      <c r="F920" t="s">
        <v>729</v>
      </c>
      <c r="G920" t="s">
        <v>12</v>
      </c>
      <c r="I920" t="s">
        <v>2478</v>
      </c>
      <c r="J920" t="s">
        <v>3868</v>
      </c>
      <c r="K920">
        <v>51.688143074780015</v>
      </c>
      <c r="L920">
        <v>0.24520164112268181</v>
      </c>
      <c r="M920">
        <v>495.61458955802237</v>
      </c>
      <c r="N920">
        <v>545.17604851382464</v>
      </c>
    </row>
    <row r="921" spans="1:14">
      <c r="A921" t="s">
        <v>726</v>
      </c>
      <c r="B921" t="s">
        <v>2480</v>
      </c>
      <c r="C921" t="s">
        <v>2481</v>
      </c>
      <c r="D921" t="s">
        <v>11</v>
      </c>
      <c r="E921" t="s">
        <v>13</v>
      </c>
      <c r="F921" t="s">
        <v>729</v>
      </c>
      <c r="G921" t="s">
        <v>12</v>
      </c>
      <c r="I921" t="s">
        <v>2480</v>
      </c>
      <c r="J921" t="s">
        <v>3869</v>
      </c>
      <c r="K921">
        <v>97.314363350950643</v>
      </c>
      <c r="L921">
        <v>0.24557334853726689</v>
      </c>
      <c r="M921">
        <v>307.5722710495827</v>
      </c>
      <c r="N921">
        <v>338.329498154541</v>
      </c>
    </row>
    <row r="922" spans="1:14">
      <c r="A922" t="s">
        <v>726</v>
      </c>
      <c r="B922" t="s">
        <v>2482</v>
      </c>
      <c r="C922" t="s">
        <v>2483</v>
      </c>
      <c r="D922" t="s">
        <v>11</v>
      </c>
      <c r="E922" t="s">
        <v>13</v>
      </c>
      <c r="F922" t="s">
        <v>729</v>
      </c>
      <c r="G922" t="s">
        <v>12</v>
      </c>
      <c r="I922" t="s">
        <v>2482</v>
      </c>
      <c r="J922" t="s">
        <v>3870</v>
      </c>
      <c r="K922">
        <v>85.933750433968029</v>
      </c>
      <c r="L922">
        <v>0.24775436839761319</v>
      </c>
      <c r="M922">
        <v>634.79091714648951</v>
      </c>
      <c r="N922">
        <v>698.27000886113854</v>
      </c>
    </row>
    <row r="923" spans="1:14">
      <c r="A923" t="s">
        <v>726</v>
      </c>
      <c r="B923" t="s">
        <v>2484</v>
      </c>
      <c r="C923" t="s">
        <v>2485</v>
      </c>
      <c r="D923" t="s">
        <v>11</v>
      </c>
      <c r="E923" t="s">
        <v>13</v>
      </c>
      <c r="F923" t="s">
        <v>729</v>
      </c>
      <c r="G923" t="s">
        <v>12</v>
      </c>
      <c r="I923" t="s">
        <v>2484</v>
      </c>
      <c r="J923" t="s">
        <v>3871</v>
      </c>
      <c r="K923">
        <v>46.879250549782348</v>
      </c>
      <c r="L923">
        <v>0.28185408536432421</v>
      </c>
      <c r="M923">
        <v>525.87731167478978</v>
      </c>
      <c r="N923">
        <v>578.46504284226876</v>
      </c>
    </row>
    <row r="924" spans="1:14">
      <c r="A924" t="s">
        <v>726</v>
      </c>
      <c r="B924" t="s">
        <v>2486</v>
      </c>
      <c r="C924" t="s">
        <v>2485</v>
      </c>
      <c r="D924" t="s">
        <v>11</v>
      </c>
      <c r="E924" t="s">
        <v>13</v>
      </c>
      <c r="F924" t="s">
        <v>729</v>
      </c>
      <c r="G924" t="s">
        <v>12</v>
      </c>
      <c r="I924" t="s">
        <v>2486</v>
      </c>
      <c r="J924" t="s">
        <v>3872</v>
      </c>
      <c r="K924">
        <v>125.8430931768545</v>
      </c>
      <c r="L924">
        <v>0.27451721438112958</v>
      </c>
      <c r="M924">
        <v>275.48807490428828</v>
      </c>
      <c r="N924">
        <v>303.03688239471711</v>
      </c>
    </row>
    <row r="925" spans="1:14">
      <c r="A925" t="s">
        <v>726</v>
      </c>
      <c r="B925" t="s">
        <v>2487</v>
      </c>
      <c r="C925" t="s">
        <v>2488</v>
      </c>
      <c r="D925" t="s">
        <v>11</v>
      </c>
      <c r="E925" t="s">
        <v>13</v>
      </c>
      <c r="F925" t="s">
        <v>729</v>
      </c>
      <c r="G925" t="s">
        <v>12</v>
      </c>
      <c r="I925" t="s">
        <v>2487</v>
      </c>
      <c r="J925" t="s">
        <v>3873</v>
      </c>
      <c r="K925">
        <v>179.95550816060575</v>
      </c>
      <c r="L925">
        <v>0.28076577996691371</v>
      </c>
      <c r="M925">
        <v>455.571710879183</v>
      </c>
      <c r="N925">
        <v>501.12888196710134</v>
      </c>
    </row>
    <row r="926" spans="1:14">
      <c r="A926" t="s">
        <v>726</v>
      </c>
      <c r="B926" t="s">
        <v>2489</v>
      </c>
      <c r="C926" t="s">
        <v>2488</v>
      </c>
      <c r="D926" t="s">
        <v>11</v>
      </c>
      <c r="E926" t="s">
        <v>13</v>
      </c>
      <c r="F926" t="s">
        <v>729</v>
      </c>
      <c r="G926" t="s">
        <v>12</v>
      </c>
      <c r="I926" t="s">
        <v>2489</v>
      </c>
      <c r="J926" t="s">
        <v>3874</v>
      </c>
      <c r="K926">
        <v>252.05004586020397</v>
      </c>
      <c r="L926">
        <v>0.29088730003113739</v>
      </c>
      <c r="M926">
        <v>639.45758874060846</v>
      </c>
      <c r="N926">
        <v>703.40334761466931</v>
      </c>
    </row>
    <row r="927" spans="1:14">
      <c r="A927" t="s">
        <v>726</v>
      </c>
      <c r="B927" t="s">
        <v>2490</v>
      </c>
      <c r="C927" t="s">
        <v>2491</v>
      </c>
      <c r="D927" t="s">
        <v>11</v>
      </c>
      <c r="E927" t="s">
        <v>13</v>
      </c>
      <c r="F927" t="s">
        <v>729</v>
      </c>
      <c r="G927" t="s">
        <v>12</v>
      </c>
      <c r="I927" t="s">
        <v>2490</v>
      </c>
      <c r="J927" t="s">
        <v>3875</v>
      </c>
      <c r="K927">
        <v>214.67830109760169</v>
      </c>
      <c r="L927">
        <v>0.26938794045081699</v>
      </c>
      <c r="M927">
        <v>214.55401913798417</v>
      </c>
      <c r="N927">
        <v>236.0094210517826</v>
      </c>
    </row>
    <row r="928" spans="1:14">
      <c r="A928" t="s">
        <v>726</v>
      </c>
      <c r="B928" t="s">
        <v>2492</v>
      </c>
      <c r="C928" t="s">
        <v>2493</v>
      </c>
      <c r="D928" t="s">
        <v>11</v>
      </c>
      <c r="E928" t="s">
        <v>13</v>
      </c>
      <c r="F928" t="s">
        <v>729</v>
      </c>
      <c r="G928" t="s">
        <v>12</v>
      </c>
      <c r="I928" t="s">
        <v>2492</v>
      </c>
      <c r="J928" t="s">
        <v>3876</v>
      </c>
      <c r="K928">
        <v>9.1524652693481041</v>
      </c>
      <c r="L928">
        <v>0.23844363576766631</v>
      </c>
      <c r="M928">
        <v>197.04677221644587</v>
      </c>
      <c r="N928">
        <v>216.75144943809048</v>
      </c>
    </row>
    <row r="929" spans="1:14">
      <c r="A929" t="s">
        <v>726</v>
      </c>
      <c r="B929" t="s">
        <v>2494</v>
      </c>
      <c r="C929" t="s">
        <v>2493</v>
      </c>
      <c r="D929" t="s">
        <v>11</v>
      </c>
      <c r="E929" t="s">
        <v>13</v>
      </c>
      <c r="F929" t="s">
        <v>729</v>
      </c>
      <c r="G929" t="s">
        <v>12</v>
      </c>
      <c r="I929" t="s">
        <v>2494</v>
      </c>
      <c r="J929" t="s">
        <v>3877</v>
      </c>
      <c r="K929">
        <v>65.116591752945439</v>
      </c>
      <c r="L929">
        <v>0.26729496030455879</v>
      </c>
      <c r="M929">
        <v>228.11474372947765</v>
      </c>
      <c r="N929">
        <v>250.92621810242545</v>
      </c>
    </row>
    <row r="930" spans="1:14">
      <c r="A930" t="s">
        <v>726</v>
      </c>
      <c r="B930" t="s">
        <v>2495</v>
      </c>
      <c r="C930" t="s">
        <v>2496</v>
      </c>
      <c r="D930" t="s">
        <v>11</v>
      </c>
      <c r="E930" t="s">
        <v>13</v>
      </c>
      <c r="F930" t="s">
        <v>729</v>
      </c>
      <c r="G930" t="s">
        <v>12</v>
      </c>
      <c r="I930" t="s">
        <v>2495</v>
      </c>
      <c r="J930" t="s">
        <v>3878</v>
      </c>
      <c r="K930">
        <v>14.885889242274498</v>
      </c>
      <c r="L930">
        <v>0.2508979746366708</v>
      </c>
      <c r="M930">
        <v>49.928471824167879</v>
      </c>
      <c r="N930">
        <v>54.921319006584675</v>
      </c>
    </row>
    <row r="931" spans="1:14">
      <c r="A931" t="s">
        <v>726</v>
      </c>
      <c r="B931" t="s">
        <v>2497</v>
      </c>
      <c r="C931" t="s">
        <v>2498</v>
      </c>
      <c r="D931" t="s">
        <v>11</v>
      </c>
      <c r="E931" t="s">
        <v>13</v>
      </c>
      <c r="F931" t="s">
        <v>729</v>
      </c>
      <c r="G931" t="s">
        <v>12</v>
      </c>
      <c r="I931" t="s">
        <v>2497</v>
      </c>
      <c r="J931" t="s">
        <v>3879</v>
      </c>
      <c r="K931">
        <v>17.520269192320892</v>
      </c>
      <c r="L931">
        <v>0.24534828672043571</v>
      </c>
      <c r="M931">
        <v>339.80192155676031</v>
      </c>
      <c r="N931">
        <v>373.78211371243634</v>
      </c>
    </row>
    <row r="932" spans="1:14">
      <c r="A932" t="s">
        <v>726</v>
      </c>
      <c r="B932" t="s">
        <v>2499</v>
      </c>
      <c r="C932" t="s">
        <v>2498</v>
      </c>
      <c r="D932" t="s">
        <v>11</v>
      </c>
      <c r="E932" t="s">
        <v>13</v>
      </c>
      <c r="F932" t="s">
        <v>729</v>
      </c>
      <c r="G932" t="s">
        <v>12</v>
      </c>
      <c r="I932" t="s">
        <v>2499</v>
      </c>
      <c r="J932" t="s">
        <v>3880</v>
      </c>
      <c r="K932">
        <v>36.757425253384</v>
      </c>
      <c r="L932">
        <v>0.25055639248359168</v>
      </c>
      <c r="M932">
        <v>190.49382913024959</v>
      </c>
      <c r="N932">
        <v>209.54321204327456</v>
      </c>
    </row>
    <row r="933" spans="1:14">
      <c r="A933" t="s">
        <v>726</v>
      </c>
      <c r="B933" t="s">
        <v>2500</v>
      </c>
      <c r="C933" t="s">
        <v>2501</v>
      </c>
      <c r="D933" t="s">
        <v>11</v>
      </c>
      <c r="E933" t="s">
        <v>13</v>
      </c>
      <c r="F933" t="s">
        <v>729</v>
      </c>
      <c r="G933" t="s">
        <v>12</v>
      </c>
      <c r="I933" t="s">
        <v>2500</v>
      </c>
      <c r="J933" t="s">
        <v>3881</v>
      </c>
      <c r="K933">
        <v>11.575373717896809</v>
      </c>
      <c r="L933">
        <v>0.23077613596355759</v>
      </c>
      <c r="M933">
        <v>388.23472394391052</v>
      </c>
      <c r="N933">
        <v>427.05819633830163</v>
      </c>
    </row>
    <row r="934" spans="1:14">
      <c r="A934" t="s">
        <v>726</v>
      </c>
      <c r="B934" t="s">
        <v>2502</v>
      </c>
      <c r="C934" t="s">
        <v>2503</v>
      </c>
      <c r="D934" t="s">
        <v>11</v>
      </c>
      <c r="E934" t="s">
        <v>13</v>
      </c>
      <c r="F934" t="s">
        <v>729</v>
      </c>
      <c r="G934" t="s">
        <v>12</v>
      </c>
      <c r="I934" t="s">
        <v>2502</v>
      </c>
      <c r="J934" t="s">
        <v>3882</v>
      </c>
      <c r="K934">
        <v>16.523182522171851</v>
      </c>
      <c r="L934">
        <v>0.23600132311077901</v>
      </c>
      <c r="M934">
        <v>62.448451648505056</v>
      </c>
      <c r="N934">
        <v>68.693296813355573</v>
      </c>
    </row>
    <row r="935" spans="1:14">
      <c r="A935" t="s">
        <v>726</v>
      </c>
      <c r="B935" t="s">
        <v>2504</v>
      </c>
      <c r="C935" t="s">
        <v>2505</v>
      </c>
      <c r="D935" t="s">
        <v>11</v>
      </c>
      <c r="E935" t="s">
        <v>13</v>
      </c>
      <c r="F935" t="s">
        <v>729</v>
      </c>
      <c r="G935" t="s">
        <v>12</v>
      </c>
      <c r="I935" t="s">
        <v>2504</v>
      </c>
      <c r="J935" t="s">
        <v>3883</v>
      </c>
      <c r="K935">
        <v>23.530415631871509</v>
      </c>
      <c r="L935">
        <v>0.2323735009050529</v>
      </c>
      <c r="M935">
        <v>206.03716928874115</v>
      </c>
      <c r="N935">
        <v>226.64088621761528</v>
      </c>
    </row>
    <row r="936" spans="1:14">
      <c r="A936" t="s">
        <v>726</v>
      </c>
      <c r="B936" t="s">
        <v>2506</v>
      </c>
      <c r="C936" t="s">
        <v>2507</v>
      </c>
      <c r="D936" t="s">
        <v>11</v>
      </c>
      <c r="E936" t="s">
        <v>13</v>
      </c>
      <c r="F936" t="s">
        <v>729</v>
      </c>
      <c r="G936" t="s">
        <v>12</v>
      </c>
      <c r="I936" t="s">
        <v>2506</v>
      </c>
      <c r="J936" t="s">
        <v>3884</v>
      </c>
      <c r="K936">
        <v>0.20838563084535341</v>
      </c>
      <c r="L936">
        <v>0.18054141668315959</v>
      </c>
      <c r="M936">
        <v>21.62401963836346</v>
      </c>
      <c r="N936">
        <v>23.786421602199809</v>
      </c>
    </row>
    <row r="937" spans="1:14">
      <c r="A937" t="s">
        <v>726</v>
      </c>
      <c r="B937" t="s">
        <v>2508</v>
      </c>
      <c r="C937" t="s">
        <v>2507</v>
      </c>
      <c r="D937" t="s">
        <v>11</v>
      </c>
      <c r="E937" t="s">
        <v>13</v>
      </c>
      <c r="F937" t="s">
        <v>729</v>
      </c>
      <c r="G937" t="s">
        <v>12</v>
      </c>
      <c r="I937" t="s">
        <v>2508</v>
      </c>
      <c r="J937" t="s">
        <v>3885</v>
      </c>
      <c r="K937">
        <v>0.53878169292694233</v>
      </c>
      <c r="L937">
        <v>0.18167338607510999</v>
      </c>
      <c r="M937">
        <v>11.960182440521685</v>
      </c>
      <c r="N937">
        <v>13.156200684573854</v>
      </c>
    </row>
    <row r="938" spans="1:14">
      <c r="A938" t="s">
        <v>726</v>
      </c>
      <c r="B938" t="s">
        <v>2509</v>
      </c>
      <c r="C938" t="s">
        <v>2510</v>
      </c>
      <c r="D938" t="s">
        <v>11</v>
      </c>
      <c r="E938" t="s">
        <v>13</v>
      </c>
      <c r="F938" t="s">
        <v>729</v>
      </c>
      <c r="G938" t="s">
        <v>12</v>
      </c>
      <c r="I938" t="s">
        <v>2509</v>
      </c>
      <c r="J938" t="s">
        <v>3886</v>
      </c>
      <c r="K938">
        <v>0.59301003407727515</v>
      </c>
      <c r="L938">
        <v>0.18053000536401981</v>
      </c>
      <c r="M938">
        <v>13.542508917143952</v>
      </c>
      <c r="N938">
        <v>14.896759808858349</v>
      </c>
    </row>
    <row r="939" spans="1:14">
      <c r="A939" t="s">
        <v>726</v>
      </c>
      <c r="B939" t="s">
        <v>2511</v>
      </c>
      <c r="C939" t="s">
        <v>2512</v>
      </c>
      <c r="D939" t="s">
        <v>11</v>
      </c>
      <c r="E939" t="s">
        <v>13</v>
      </c>
      <c r="F939" t="s">
        <v>729</v>
      </c>
      <c r="G939" t="s">
        <v>12</v>
      </c>
      <c r="I939" t="s">
        <v>2511</v>
      </c>
      <c r="J939" t="s">
        <v>3887</v>
      </c>
      <c r="K939">
        <v>0.63450312474804549</v>
      </c>
      <c r="L939">
        <v>0.1833333578137748</v>
      </c>
      <c r="M939">
        <v>8.2887689652292895</v>
      </c>
      <c r="N939">
        <v>9.1176458617522194</v>
      </c>
    </row>
    <row r="940" spans="1:14">
      <c r="A940" t="s">
        <v>726</v>
      </c>
      <c r="B940" t="s">
        <v>2513</v>
      </c>
      <c r="C940" t="s">
        <v>2514</v>
      </c>
      <c r="D940" t="s">
        <v>11</v>
      </c>
      <c r="E940" t="s">
        <v>13</v>
      </c>
      <c r="F940" t="s">
        <v>729</v>
      </c>
      <c r="G940" t="s">
        <v>12</v>
      </c>
      <c r="I940" t="s">
        <v>2513</v>
      </c>
      <c r="J940" t="s">
        <v>3888</v>
      </c>
      <c r="K940">
        <v>6.3809375768856045</v>
      </c>
      <c r="L940">
        <v>0.1868685693103109</v>
      </c>
      <c r="M940">
        <v>92.280205440015905</v>
      </c>
      <c r="N940">
        <v>101.5082259840175</v>
      </c>
    </row>
    <row r="941" spans="1:14">
      <c r="A941" t="s">
        <v>726</v>
      </c>
      <c r="B941" t="s">
        <v>2515</v>
      </c>
      <c r="C941" t="s">
        <v>2516</v>
      </c>
      <c r="D941" t="s">
        <v>11</v>
      </c>
      <c r="E941" t="s">
        <v>13</v>
      </c>
      <c r="F941" t="s">
        <v>729</v>
      </c>
      <c r="G941" t="s">
        <v>12</v>
      </c>
      <c r="I941" t="s">
        <v>2515</v>
      </c>
      <c r="J941" t="s">
        <v>3889</v>
      </c>
      <c r="K941">
        <v>2.1848188134652298</v>
      </c>
      <c r="L941">
        <v>0.1913965101721217</v>
      </c>
      <c r="M941">
        <v>66.726896239235458</v>
      </c>
      <c r="N941">
        <v>73.399585863159004</v>
      </c>
    </row>
    <row r="942" spans="1:14">
      <c r="A942" t="s">
        <v>726</v>
      </c>
      <c r="B942" t="s">
        <v>2517</v>
      </c>
      <c r="C942" t="s">
        <v>2518</v>
      </c>
      <c r="D942" t="s">
        <v>11</v>
      </c>
      <c r="E942" t="s">
        <v>13</v>
      </c>
      <c r="F942" t="s">
        <v>729</v>
      </c>
      <c r="G942" t="s">
        <v>12</v>
      </c>
      <c r="I942" t="s">
        <v>2517</v>
      </c>
      <c r="J942" t="s">
        <v>3890</v>
      </c>
      <c r="K942">
        <v>8.9795423519942457</v>
      </c>
      <c r="L942">
        <v>0.17611796882482689</v>
      </c>
      <c r="M942">
        <v>60.946852319003263</v>
      </c>
      <c r="N942">
        <v>67.041537550903598</v>
      </c>
    </row>
    <row r="943" spans="1:14">
      <c r="A943" t="s">
        <v>726</v>
      </c>
      <c r="B943" t="s">
        <v>2519</v>
      </c>
      <c r="C943" t="s">
        <v>2520</v>
      </c>
      <c r="D943" t="s">
        <v>11</v>
      </c>
      <c r="E943" t="s">
        <v>13</v>
      </c>
      <c r="F943" t="s">
        <v>729</v>
      </c>
      <c r="G943" t="s">
        <v>12</v>
      </c>
      <c r="I943" t="s">
        <v>2519</v>
      </c>
      <c r="J943" t="s">
        <v>3891</v>
      </c>
      <c r="K943">
        <v>4.5125241296104797</v>
      </c>
      <c r="L943">
        <v>0.17327231268420731</v>
      </c>
      <c r="M943">
        <v>40.476972120265472</v>
      </c>
      <c r="N943">
        <v>44.524669332292021</v>
      </c>
    </row>
    <row r="944" spans="1:14">
      <c r="A944" t="s">
        <v>726</v>
      </c>
      <c r="B944" t="s">
        <v>2521</v>
      </c>
      <c r="C944" t="s">
        <v>2522</v>
      </c>
      <c r="D944" t="s">
        <v>11</v>
      </c>
      <c r="E944" t="s">
        <v>13</v>
      </c>
      <c r="F944" t="s">
        <v>729</v>
      </c>
      <c r="G944" t="s">
        <v>12</v>
      </c>
      <c r="I944" t="s">
        <v>2521</v>
      </c>
      <c r="J944" t="s">
        <v>3892</v>
      </c>
      <c r="K944">
        <v>5.3344494397106441</v>
      </c>
      <c r="L944">
        <v>0.2409084135301664</v>
      </c>
      <c r="M944">
        <v>25.625774181668849</v>
      </c>
      <c r="N944">
        <v>28.188351599835737</v>
      </c>
    </row>
    <row r="945" spans="1:14">
      <c r="A945" t="s">
        <v>726</v>
      </c>
      <c r="B945" t="s">
        <v>2523</v>
      </c>
      <c r="C945" t="s">
        <v>2524</v>
      </c>
      <c r="D945" t="s">
        <v>11</v>
      </c>
      <c r="E945" t="s">
        <v>13</v>
      </c>
      <c r="F945" t="s">
        <v>729</v>
      </c>
      <c r="G945" t="s">
        <v>12</v>
      </c>
      <c r="I945" t="s">
        <v>2523</v>
      </c>
      <c r="J945" t="s">
        <v>3893</v>
      </c>
      <c r="K945">
        <v>9.0805551695313955</v>
      </c>
      <c r="L945">
        <v>0.2305524297766228</v>
      </c>
      <c r="M945">
        <v>14.964652660583187</v>
      </c>
      <c r="N945">
        <v>16.461117926641506</v>
      </c>
    </row>
    <row r="946" spans="1:14">
      <c r="A946" t="s">
        <v>726</v>
      </c>
      <c r="B946" t="s">
        <v>2525</v>
      </c>
      <c r="C946" t="s">
        <v>2526</v>
      </c>
      <c r="D946" t="s">
        <v>11</v>
      </c>
      <c r="E946" t="s">
        <v>13</v>
      </c>
      <c r="F946" t="s">
        <v>729</v>
      </c>
      <c r="G946" t="s">
        <v>12</v>
      </c>
      <c r="I946" t="s">
        <v>2525</v>
      </c>
      <c r="J946" t="s">
        <v>3894</v>
      </c>
      <c r="K946">
        <v>31.125507782565961</v>
      </c>
      <c r="L946">
        <v>0.2346800660889527</v>
      </c>
      <c r="M946">
        <v>96.398296296230825</v>
      </c>
      <c r="N946">
        <v>106.03812592585392</v>
      </c>
    </row>
    <row r="947" spans="1:14">
      <c r="A947" t="s">
        <v>726</v>
      </c>
      <c r="B947" t="s">
        <v>2527</v>
      </c>
      <c r="C947" t="s">
        <v>2528</v>
      </c>
      <c r="D947" t="s">
        <v>11</v>
      </c>
      <c r="E947" t="s">
        <v>13</v>
      </c>
      <c r="F947" t="s">
        <v>729</v>
      </c>
      <c r="G947" t="s">
        <v>12</v>
      </c>
      <c r="I947" t="s">
        <v>2527</v>
      </c>
      <c r="J947" t="s">
        <v>3895</v>
      </c>
      <c r="K947">
        <v>59.13925324529162</v>
      </c>
      <c r="L947">
        <v>0.2367859430080132</v>
      </c>
      <c r="M947">
        <v>99.434217045344965</v>
      </c>
      <c r="N947">
        <v>109.37763874987947</v>
      </c>
    </row>
    <row r="948" spans="1:14">
      <c r="A948" t="s">
        <v>726</v>
      </c>
      <c r="B948" t="s">
        <v>2529</v>
      </c>
      <c r="C948" t="s">
        <v>2530</v>
      </c>
      <c r="D948" t="s">
        <v>11</v>
      </c>
      <c r="E948" t="s">
        <v>13</v>
      </c>
      <c r="F948" t="s">
        <v>729</v>
      </c>
      <c r="G948" t="s">
        <v>12</v>
      </c>
      <c r="I948" t="s">
        <v>2529</v>
      </c>
      <c r="J948" t="s">
        <v>3896</v>
      </c>
      <c r="K948">
        <v>44.270308084788319</v>
      </c>
      <c r="L948">
        <v>0.23929759193738459</v>
      </c>
      <c r="M948">
        <v>110.13035155450621</v>
      </c>
      <c r="N948">
        <v>121.14338670995683</v>
      </c>
    </row>
    <row r="949" spans="1:14">
      <c r="A949" t="s">
        <v>726</v>
      </c>
      <c r="B949" t="s">
        <v>2531</v>
      </c>
      <c r="C949" t="s">
        <v>2532</v>
      </c>
      <c r="D949" t="s">
        <v>11</v>
      </c>
      <c r="E949" t="s">
        <v>13</v>
      </c>
      <c r="F949" t="s">
        <v>729</v>
      </c>
      <c r="G949" t="s">
        <v>12</v>
      </c>
      <c r="I949" t="s">
        <v>2531</v>
      </c>
      <c r="J949" t="s">
        <v>3897</v>
      </c>
      <c r="K949">
        <v>52.120021843282636</v>
      </c>
      <c r="L949">
        <v>0.24070667014414959</v>
      </c>
      <c r="M949">
        <v>112.40686973004084</v>
      </c>
      <c r="N949">
        <v>123.64755670304493</v>
      </c>
    </row>
    <row r="950" spans="1:14">
      <c r="A950" t="s">
        <v>726</v>
      </c>
      <c r="B950" t="s">
        <v>2533</v>
      </c>
      <c r="C950" t="s">
        <v>2534</v>
      </c>
      <c r="D950" t="s">
        <v>11</v>
      </c>
      <c r="E950" t="s">
        <v>13</v>
      </c>
      <c r="F950" t="s">
        <v>729</v>
      </c>
      <c r="G950" t="s">
        <v>12</v>
      </c>
      <c r="I950" t="s">
        <v>2533</v>
      </c>
      <c r="J950" t="s">
        <v>3898</v>
      </c>
      <c r="K950">
        <v>42.889800462781118</v>
      </c>
      <c r="L950">
        <v>0.24024600367323901</v>
      </c>
      <c r="M950">
        <v>121.3195918964809</v>
      </c>
      <c r="N950">
        <v>133.451551086129</v>
      </c>
    </row>
    <row r="951" spans="1:14">
      <c r="A951" t="s">
        <v>726</v>
      </c>
      <c r="B951" t="s">
        <v>2535</v>
      </c>
      <c r="C951" t="s">
        <v>2536</v>
      </c>
      <c r="D951" t="s">
        <v>11</v>
      </c>
      <c r="E951" t="s">
        <v>13</v>
      </c>
      <c r="F951" t="s">
        <v>729</v>
      </c>
      <c r="G951" t="s">
        <v>12</v>
      </c>
      <c r="I951" t="s">
        <v>2535</v>
      </c>
      <c r="J951" t="s">
        <v>3899</v>
      </c>
      <c r="K951">
        <v>19.272357198064022</v>
      </c>
      <c r="L951">
        <v>0.22818060419836361</v>
      </c>
      <c r="M951">
        <v>201.05078397355655</v>
      </c>
      <c r="N951">
        <v>221.15586237091222</v>
      </c>
    </row>
    <row r="952" spans="1:14">
      <c r="A952" t="s">
        <v>726</v>
      </c>
      <c r="B952" t="s">
        <v>2537</v>
      </c>
      <c r="C952" t="s">
        <v>2538</v>
      </c>
      <c r="D952" t="s">
        <v>11</v>
      </c>
      <c r="E952" t="s">
        <v>13</v>
      </c>
      <c r="F952" t="s">
        <v>729</v>
      </c>
      <c r="G952" t="s">
        <v>12</v>
      </c>
      <c r="I952" t="s">
        <v>2537</v>
      </c>
      <c r="J952" t="s">
        <v>3900</v>
      </c>
      <c r="K952">
        <v>32.839800974794997</v>
      </c>
      <c r="L952">
        <v>0.23810292971497929</v>
      </c>
      <c r="M952">
        <v>208.41546633542839</v>
      </c>
      <c r="N952">
        <v>229.25701296897125</v>
      </c>
    </row>
    <row r="953" spans="1:14">
      <c r="A953" t="s">
        <v>726</v>
      </c>
      <c r="B953" t="s">
        <v>2539</v>
      </c>
      <c r="C953" t="s">
        <v>2538</v>
      </c>
      <c r="D953" t="s">
        <v>11</v>
      </c>
      <c r="E953" t="s">
        <v>13</v>
      </c>
      <c r="F953" t="s">
        <v>729</v>
      </c>
      <c r="G953" t="s">
        <v>12</v>
      </c>
      <c r="I953" t="s">
        <v>2539</v>
      </c>
      <c r="J953" t="s">
        <v>3901</v>
      </c>
      <c r="K953">
        <v>39.563901364137742</v>
      </c>
      <c r="L953">
        <v>0.2308188955044467</v>
      </c>
      <c r="M953">
        <v>89.35086732065966</v>
      </c>
      <c r="N953">
        <v>98.285954052725629</v>
      </c>
    </row>
    <row r="954" spans="1:14">
      <c r="A954" t="s">
        <v>726</v>
      </c>
      <c r="B954" t="s">
        <v>2540</v>
      </c>
      <c r="C954" t="s">
        <v>2541</v>
      </c>
      <c r="D954" t="s">
        <v>11</v>
      </c>
      <c r="E954" t="s">
        <v>13</v>
      </c>
      <c r="F954" t="s">
        <v>729</v>
      </c>
      <c r="G954" t="s">
        <v>12</v>
      </c>
      <c r="I954" t="s">
        <v>2540</v>
      </c>
      <c r="J954" t="s">
        <v>3902</v>
      </c>
      <c r="K954">
        <v>118.72575750225896</v>
      </c>
      <c r="L954">
        <v>0.2371929709062911</v>
      </c>
      <c r="M954">
        <v>120.5004821443102</v>
      </c>
      <c r="N954">
        <v>132.55053035874124</v>
      </c>
    </row>
    <row r="955" spans="1:14">
      <c r="A955" t="s">
        <v>726</v>
      </c>
      <c r="B955" t="s">
        <v>2542</v>
      </c>
      <c r="C955" t="s">
        <v>2543</v>
      </c>
      <c r="D955" t="s">
        <v>11</v>
      </c>
      <c r="E955" t="s">
        <v>13</v>
      </c>
      <c r="F955" t="s">
        <v>729</v>
      </c>
      <c r="G955" t="s">
        <v>12</v>
      </c>
      <c r="I955" t="s">
        <v>2542</v>
      </c>
      <c r="J955" t="s">
        <v>3903</v>
      </c>
      <c r="K955">
        <v>17.966361782920121</v>
      </c>
      <c r="L955">
        <v>0.1738931185618903</v>
      </c>
      <c r="M955">
        <v>33.793843981503215</v>
      </c>
      <c r="N955">
        <v>37.173228379653537</v>
      </c>
    </row>
    <row r="956" spans="1:14">
      <c r="A956" t="s">
        <v>726</v>
      </c>
      <c r="B956" t="s">
        <v>2544</v>
      </c>
      <c r="C956" t="s">
        <v>2545</v>
      </c>
      <c r="D956" t="s">
        <v>11</v>
      </c>
      <c r="E956" t="s">
        <v>13</v>
      </c>
      <c r="F956" t="s">
        <v>729</v>
      </c>
      <c r="G956" t="s">
        <v>12</v>
      </c>
      <c r="I956" t="s">
        <v>2544</v>
      </c>
      <c r="J956" t="s">
        <v>3904</v>
      </c>
      <c r="K956">
        <v>11.234242113838627</v>
      </c>
      <c r="L956">
        <v>0.17603137785921949</v>
      </c>
      <c r="M956">
        <v>16.540289099664562</v>
      </c>
      <c r="N956">
        <v>18.194318009631019</v>
      </c>
    </row>
    <row r="957" spans="1:14">
      <c r="A957" t="s">
        <v>726</v>
      </c>
      <c r="B957" t="s">
        <v>2546</v>
      </c>
      <c r="C957" t="s">
        <v>2547</v>
      </c>
      <c r="D957" t="s">
        <v>11</v>
      </c>
      <c r="E957" t="s">
        <v>13</v>
      </c>
      <c r="F957" t="s">
        <v>729</v>
      </c>
      <c r="G957" t="s">
        <v>12</v>
      </c>
      <c r="I957" t="s">
        <v>2546</v>
      </c>
      <c r="J957" t="s">
        <v>3905</v>
      </c>
      <c r="K957">
        <v>11.139496882657188</v>
      </c>
      <c r="L957">
        <v>0.17635576226237809</v>
      </c>
      <c r="M957">
        <v>19.400034338949691</v>
      </c>
      <c r="N957">
        <v>21.340037772844664</v>
      </c>
    </row>
    <row r="958" spans="1:14">
      <c r="A958" t="s">
        <v>726</v>
      </c>
      <c r="B958" t="s">
        <v>2548</v>
      </c>
      <c r="C958" t="s">
        <v>2549</v>
      </c>
      <c r="D958" t="s">
        <v>11</v>
      </c>
      <c r="E958" t="s">
        <v>13</v>
      </c>
      <c r="F958" t="s">
        <v>729</v>
      </c>
      <c r="G958" t="s">
        <v>12</v>
      </c>
      <c r="I958" t="s">
        <v>2548</v>
      </c>
      <c r="J958" t="s">
        <v>3906</v>
      </c>
      <c r="K958">
        <v>11.360539579011965</v>
      </c>
      <c r="L958">
        <v>0.1825503565161086</v>
      </c>
      <c r="M958">
        <v>22.887007236924649</v>
      </c>
      <c r="N958">
        <v>25.175707960617117</v>
      </c>
    </row>
    <row r="959" spans="1:14">
      <c r="A959" t="s">
        <v>726</v>
      </c>
      <c r="B959" t="s">
        <v>2550</v>
      </c>
      <c r="C959" t="s">
        <v>2551</v>
      </c>
      <c r="D959" t="s">
        <v>11</v>
      </c>
      <c r="E959" t="s">
        <v>13</v>
      </c>
      <c r="F959" t="s">
        <v>729</v>
      </c>
      <c r="G959" t="s">
        <v>12</v>
      </c>
      <c r="I959" t="s">
        <v>2550</v>
      </c>
      <c r="J959" t="s">
        <v>3907</v>
      </c>
      <c r="K959">
        <v>7.7150192910582529</v>
      </c>
      <c r="L959">
        <v>0.19219393407774429</v>
      </c>
      <c r="M959">
        <v>25.334328105549378</v>
      </c>
      <c r="N959">
        <v>27.86776091610432</v>
      </c>
    </row>
    <row r="960" spans="1:14">
      <c r="A960" t="s">
        <v>726</v>
      </c>
      <c r="B960" t="s">
        <v>2552</v>
      </c>
      <c r="C960" t="s">
        <v>2553</v>
      </c>
      <c r="D960" t="s">
        <v>11</v>
      </c>
      <c r="E960" t="s">
        <v>13</v>
      </c>
      <c r="F960" t="s">
        <v>729</v>
      </c>
      <c r="G960" t="s">
        <v>12</v>
      </c>
      <c r="I960" t="s">
        <v>2552</v>
      </c>
      <c r="J960" t="s">
        <v>3908</v>
      </c>
      <c r="K960">
        <v>10.744765788282091</v>
      </c>
      <c r="L960">
        <v>0.1837509357062749</v>
      </c>
      <c r="M960">
        <v>23.136898034794971</v>
      </c>
      <c r="N960">
        <v>25.450587838274469</v>
      </c>
    </row>
    <row r="961" spans="1:14">
      <c r="A961" t="s">
        <v>726</v>
      </c>
      <c r="B961" t="s">
        <v>2554</v>
      </c>
      <c r="C961" t="s">
        <v>2555</v>
      </c>
      <c r="D961" t="s">
        <v>11</v>
      </c>
      <c r="E961" t="s">
        <v>13</v>
      </c>
      <c r="F961" t="s">
        <v>729</v>
      </c>
      <c r="G961" t="s">
        <v>12</v>
      </c>
      <c r="I961" t="s">
        <v>2554</v>
      </c>
      <c r="J961" t="s">
        <v>3909</v>
      </c>
      <c r="K961">
        <v>27.902029934215872</v>
      </c>
      <c r="L961">
        <v>0.24496437479880959</v>
      </c>
      <c r="M961">
        <v>372.26659146390665</v>
      </c>
      <c r="N961">
        <v>409.49325061029737</v>
      </c>
    </row>
    <row r="962" spans="1:14">
      <c r="A962" t="s">
        <v>726</v>
      </c>
      <c r="B962" t="s">
        <v>2556</v>
      </c>
      <c r="C962" t="s">
        <v>2557</v>
      </c>
      <c r="D962" t="s">
        <v>11</v>
      </c>
      <c r="E962" t="s">
        <v>13</v>
      </c>
      <c r="F962" t="s">
        <v>729</v>
      </c>
      <c r="G962" t="s">
        <v>12</v>
      </c>
      <c r="I962" t="s">
        <v>2556</v>
      </c>
      <c r="J962" t="s">
        <v>3910</v>
      </c>
      <c r="K962">
        <v>138.44171084840781</v>
      </c>
      <c r="L962">
        <v>0.21945569508519669</v>
      </c>
      <c r="M962">
        <v>212.62050597345447</v>
      </c>
      <c r="N962">
        <v>233.88255657079995</v>
      </c>
    </row>
    <row r="963" spans="1:14">
      <c r="A963" t="s">
        <v>726</v>
      </c>
      <c r="B963" t="s">
        <v>2558</v>
      </c>
      <c r="C963" t="s">
        <v>2559</v>
      </c>
      <c r="D963" t="s">
        <v>11</v>
      </c>
      <c r="E963" t="s">
        <v>13</v>
      </c>
      <c r="F963" t="s">
        <v>729</v>
      </c>
      <c r="G963" t="s">
        <v>12</v>
      </c>
      <c r="I963" t="s">
        <v>2558</v>
      </c>
      <c r="J963" t="s">
        <v>3911</v>
      </c>
      <c r="K963">
        <v>58.230224784109268</v>
      </c>
      <c r="L963">
        <v>0.2281179994250884</v>
      </c>
      <c r="M963">
        <v>250.27175636866244</v>
      </c>
      <c r="N963">
        <v>275.29893200552868</v>
      </c>
    </row>
    <row r="964" spans="1:14">
      <c r="A964" t="s">
        <v>726</v>
      </c>
      <c r="B964" t="s">
        <v>2560</v>
      </c>
      <c r="C964" t="s">
        <v>2561</v>
      </c>
      <c r="D964" t="s">
        <v>11</v>
      </c>
      <c r="E964" t="s">
        <v>13</v>
      </c>
      <c r="F964" t="s">
        <v>729</v>
      </c>
      <c r="G964" t="s">
        <v>12</v>
      </c>
      <c r="I964" t="s">
        <v>2560</v>
      </c>
      <c r="J964" t="s">
        <v>3912</v>
      </c>
      <c r="K964">
        <v>82.835335697614582</v>
      </c>
      <c r="L964">
        <v>0.22467755568971851</v>
      </c>
      <c r="M964">
        <v>80.146557014862182</v>
      </c>
      <c r="N964">
        <v>88.161212716348402</v>
      </c>
    </row>
    <row r="965" spans="1:14">
      <c r="A965" t="s">
        <v>726</v>
      </c>
      <c r="B965" t="s">
        <v>2562</v>
      </c>
      <c r="C965" t="s">
        <v>2563</v>
      </c>
      <c r="D965" t="s">
        <v>11</v>
      </c>
      <c r="E965" t="s">
        <v>13</v>
      </c>
      <c r="F965" t="s">
        <v>729</v>
      </c>
      <c r="G965" t="s">
        <v>12</v>
      </c>
      <c r="I965" t="s">
        <v>2562</v>
      </c>
      <c r="J965" t="s">
        <v>3913</v>
      </c>
      <c r="K965">
        <v>64.556681503779302</v>
      </c>
      <c r="L965">
        <v>0.23117232814365651</v>
      </c>
      <c r="M965">
        <v>149.50471897324081</v>
      </c>
      <c r="N965">
        <v>164.45519087056491</v>
      </c>
    </row>
    <row r="966" spans="1:14">
      <c r="A966" t="s">
        <v>726</v>
      </c>
      <c r="B966" t="s">
        <v>2564</v>
      </c>
      <c r="C966" t="s">
        <v>2565</v>
      </c>
      <c r="D966" t="s">
        <v>11</v>
      </c>
      <c r="E966" t="s">
        <v>13</v>
      </c>
      <c r="F966" t="s">
        <v>729</v>
      </c>
      <c r="G966" t="s">
        <v>12</v>
      </c>
      <c r="I966" t="s">
        <v>2564</v>
      </c>
      <c r="J966" t="s">
        <v>3914</v>
      </c>
      <c r="K966">
        <v>73.780132180851908</v>
      </c>
      <c r="L966">
        <v>0.23413925087296611</v>
      </c>
      <c r="M966">
        <v>185.27185058490559</v>
      </c>
      <c r="N966">
        <v>203.79903564339617</v>
      </c>
    </row>
    <row r="967" spans="1:14">
      <c r="A967" t="s">
        <v>726</v>
      </c>
      <c r="B967" t="s">
        <v>2566</v>
      </c>
      <c r="C967" t="s">
        <v>2567</v>
      </c>
      <c r="D967" t="s">
        <v>11</v>
      </c>
      <c r="E967" t="s">
        <v>13</v>
      </c>
      <c r="F967" t="s">
        <v>729</v>
      </c>
      <c r="G967" t="s">
        <v>12</v>
      </c>
      <c r="I967" t="s">
        <v>2566</v>
      </c>
      <c r="J967" t="s">
        <v>3915</v>
      </c>
      <c r="K967">
        <v>37.730596668807365</v>
      </c>
      <c r="L967">
        <v>0.23883605673410019</v>
      </c>
      <c r="M967">
        <v>179.59602220368689</v>
      </c>
      <c r="N967">
        <v>197.55562442405559</v>
      </c>
    </row>
    <row r="968" spans="1:14">
      <c r="A968" t="s">
        <v>726</v>
      </c>
      <c r="B968" t="s">
        <v>2568</v>
      </c>
      <c r="C968" t="s">
        <v>2569</v>
      </c>
      <c r="D968" t="s">
        <v>11</v>
      </c>
      <c r="E968" t="s">
        <v>13</v>
      </c>
      <c r="F968" t="s">
        <v>729</v>
      </c>
      <c r="G968" t="s">
        <v>12</v>
      </c>
      <c r="I968" t="s">
        <v>2568</v>
      </c>
      <c r="J968" t="s">
        <v>3916</v>
      </c>
      <c r="K968">
        <v>0.86324999999999996</v>
      </c>
      <c r="L968">
        <v>0.22020345969190691</v>
      </c>
      <c r="M968">
        <v>113.17736389933184</v>
      </c>
      <c r="N968">
        <v>124.49510028926503</v>
      </c>
    </row>
    <row r="969" spans="1:14">
      <c r="A969" t="s">
        <v>726</v>
      </c>
      <c r="B969" t="s">
        <v>2570</v>
      </c>
      <c r="C969" t="s">
        <v>2571</v>
      </c>
      <c r="D969" t="s">
        <v>11</v>
      </c>
      <c r="E969" t="s">
        <v>13</v>
      </c>
      <c r="F969" t="s">
        <v>729</v>
      </c>
      <c r="G969" t="s">
        <v>12</v>
      </c>
      <c r="I969" t="s">
        <v>2570</v>
      </c>
      <c r="J969" t="s">
        <v>3917</v>
      </c>
      <c r="K969">
        <v>78.132000000000005</v>
      </c>
      <c r="L969">
        <v>0.22726342253201759</v>
      </c>
      <c r="M969">
        <v>148.53131655164066</v>
      </c>
      <c r="N969">
        <v>163.38444820680473</v>
      </c>
    </row>
    <row r="970" spans="1:14">
      <c r="A970" t="s">
        <v>726</v>
      </c>
      <c r="B970" t="s">
        <v>2572</v>
      </c>
      <c r="C970" t="s">
        <v>2573</v>
      </c>
      <c r="D970" t="s">
        <v>11</v>
      </c>
      <c r="E970" t="s">
        <v>13</v>
      </c>
      <c r="F970" t="s">
        <v>729</v>
      </c>
      <c r="G970" t="s">
        <v>12</v>
      </c>
      <c r="I970" t="s">
        <v>2572</v>
      </c>
      <c r="J970" t="s">
        <v>3918</v>
      </c>
      <c r="K970">
        <v>2.2576661476736906</v>
      </c>
      <c r="L970">
        <v>0.18869588226980061</v>
      </c>
      <c r="M970">
        <v>272.15002791919159</v>
      </c>
      <c r="N970">
        <v>299.36503071111076</v>
      </c>
    </row>
    <row r="971" spans="1:14">
      <c r="A971" t="s">
        <v>726</v>
      </c>
      <c r="B971" t="s">
        <v>2574</v>
      </c>
      <c r="C971" t="s">
        <v>2575</v>
      </c>
      <c r="D971" t="s">
        <v>11</v>
      </c>
      <c r="E971" t="s">
        <v>13</v>
      </c>
      <c r="F971" t="s">
        <v>729</v>
      </c>
      <c r="G971" t="s">
        <v>12</v>
      </c>
      <c r="I971" t="s">
        <v>2574</v>
      </c>
      <c r="J971" t="s">
        <v>3919</v>
      </c>
      <c r="K971">
        <v>0.2063020531212641</v>
      </c>
      <c r="L971">
        <v>0.1903500627568834</v>
      </c>
      <c r="M971">
        <v>231.94261679399335</v>
      </c>
      <c r="N971">
        <v>255.1368784733927</v>
      </c>
    </row>
    <row r="972" spans="1:14">
      <c r="A972" t="s">
        <v>726</v>
      </c>
      <c r="B972" t="s">
        <v>2576</v>
      </c>
      <c r="C972" t="s">
        <v>2577</v>
      </c>
      <c r="D972" t="s">
        <v>11</v>
      </c>
      <c r="E972" t="s">
        <v>13</v>
      </c>
      <c r="F972" t="s">
        <v>729</v>
      </c>
      <c r="G972" t="s">
        <v>12</v>
      </c>
      <c r="I972" t="s">
        <v>2576</v>
      </c>
      <c r="J972" t="s">
        <v>3920</v>
      </c>
      <c r="K972">
        <v>1.6947365299070587</v>
      </c>
      <c r="L972">
        <v>0.20321231762515279</v>
      </c>
      <c r="M972">
        <v>92.030821751130915</v>
      </c>
      <c r="N972">
        <v>101.23390392624401</v>
      </c>
    </row>
    <row r="973" spans="1:14">
      <c r="A973" t="s">
        <v>726</v>
      </c>
      <c r="B973" t="s">
        <v>2578</v>
      </c>
      <c r="C973" t="s">
        <v>2579</v>
      </c>
      <c r="D973" t="s">
        <v>11</v>
      </c>
      <c r="E973" t="s">
        <v>13</v>
      </c>
      <c r="F973" t="s">
        <v>729</v>
      </c>
      <c r="G973" t="s">
        <v>12</v>
      </c>
      <c r="I973" t="s">
        <v>2578</v>
      </c>
      <c r="J973" t="s">
        <v>3921</v>
      </c>
      <c r="K973">
        <v>22.917186830850408</v>
      </c>
      <c r="L973">
        <v>0.1546088320088749</v>
      </c>
      <c r="M973">
        <v>31.437164853339741</v>
      </c>
      <c r="N973">
        <v>34.58088133867372</v>
      </c>
    </row>
    <row r="974" spans="1:14">
      <c r="A974" t="s">
        <v>726</v>
      </c>
      <c r="B974" t="s">
        <v>2580</v>
      </c>
      <c r="C974" t="s">
        <v>2581</v>
      </c>
      <c r="D974" t="s">
        <v>11</v>
      </c>
      <c r="E974" t="s">
        <v>13</v>
      </c>
      <c r="F974" t="s">
        <v>729</v>
      </c>
      <c r="G974" t="s">
        <v>12</v>
      </c>
      <c r="I974" t="s">
        <v>2580</v>
      </c>
      <c r="J974" t="s">
        <v>3922</v>
      </c>
      <c r="K974">
        <v>19.292911570523589</v>
      </c>
      <c r="L974">
        <v>0.15537789629853421</v>
      </c>
      <c r="M974">
        <v>25.028902980302881</v>
      </c>
      <c r="N974">
        <v>27.531793278333172</v>
      </c>
    </row>
    <row r="975" spans="1:14">
      <c r="A975" t="s">
        <v>726</v>
      </c>
      <c r="B975" t="s">
        <v>2582</v>
      </c>
      <c r="C975" t="s">
        <v>2583</v>
      </c>
      <c r="D975" t="s">
        <v>11</v>
      </c>
      <c r="E975" t="s">
        <v>13</v>
      </c>
      <c r="F975" t="s">
        <v>729</v>
      </c>
      <c r="G975" t="s">
        <v>12</v>
      </c>
      <c r="I975" t="s">
        <v>2582</v>
      </c>
      <c r="J975" t="s">
        <v>3923</v>
      </c>
      <c r="K975">
        <v>18.087936734889002</v>
      </c>
      <c r="L975">
        <v>0.1566722485974763</v>
      </c>
      <c r="M975">
        <v>34.335958938458184</v>
      </c>
      <c r="N975">
        <v>37.769554832304003</v>
      </c>
    </row>
    <row r="976" spans="1:14">
      <c r="A976" t="s">
        <v>726</v>
      </c>
      <c r="B976" t="s">
        <v>2584</v>
      </c>
      <c r="C976" t="s">
        <v>2585</v>
      </c>
      <c r="D976" t="s">
        <v>11</v>
      </c>
      <c r="E976" t="s">
        <v>13</v>
      </c>
      <c r="F976" t="s">
        <v>729</v>
      </c>
      <c r="G976" t="s">
        <v>12</v>
      </c>
      <c r="I976" t="s">
        <v>2584</v>
      </c>
      <c r="J976" t="s">
        <v>3924</v>
      </c>
      <c r="K976">
        <v>18.156128081983869</v>
      </c>
      <c r="L976">
        <v>0.15980844630573279</v>
      </c>
      <c r="M976">
        <v>28.706839434429533</v>
      </c>
      <c r="N976">
        <v>31.577523377872488</v>
      </c>
    </row>
    <row r="977" spans="1:14">
      <c r="A977" t="s">
        <v>726</v>
      </c>
      <c r="B977" t="s">
        <v>2586</v>
      </c>
      <c r="C977" t="s">
        <v>2587</v>
      </c>
      <c r="D977" t="s">
        <v>11</v>
      </c>
      <c r="E977" t="s">
        <v>13</v>
      </c>
      <c r="F977" t="s">
        <v>729</v>
      </c>
      <c r="G977" t="s">
        <v>12</v>
      </c>
      <c r="I977" t="s">
        <v>2586</v>
      </c>
      <c r="J977" t="s">
        <v>3925</v>
      </c>
      <c r="K977">
        <v>6.6347706459682732</v>
      </c>
      <c r="L977">
        <v>0.15979619243494911</v>
      </c>
      <c r="M977">
        <v>18.510490355892991</v>
      </c>
      <c r="N977">
        <v>20.361539391482292</v>
      </c>
    </row>
    <row r="978" spans="1:14">
      <c r="A978" t="s">
        <v>726</v>
      </c>
      <c r="B978" t="s">
        <v>2588</v>
      </c>
      <c r="C978" t="s">
        <v>2589</v>
      </c>
      <c r="D978" t="s">
        <v>11</v>
      </c>
      <c r="E978" t="s">
        <v>13</v>
      </c>
      <c r="F978" t="s">
        <v>729</v>
      </c>
      <c r="G978" t="s">
        <v>12</v>
      </c>
      <c r="I978" t="s">
        <v>2588</v>
      </c>
      <c r="J978" t="s">
        <v>3926</v>
      </c>
      <c r="K978">
        <v>8.416297906402475</v>
      </c>
      <c r="L978">
        <v>0.1488732053270036</v>
      </c>
      <c r="M978">
        <v>35.058084573668218</v>
      </c>
      <c r="N978">
        <v>38.563893031035043</v>
      </c>
    </row>
    <row r="979" spans="1:14">
      <c r="A979" t="s">
        <v>726</v>
      </c>
      <c r="B979" t="s">
        <v>2590</v>
      </c>
      <c r="C979" t="s">
        <v>2591</v>
      </c>
      <c r="D979" t="s">
        <v>11</v>
      </c>
      <c r="E979" t="s">
        <v>13</v>
      </c>
      <c r="F979" t="s">
        <v>729</v>
      </c>
      <c r="G979" t="s">
        <v>12</v>
      </c>
      <c r="I979" t="s">
        <v>2590</v>
      </c>
      <c r="J979" t="s">
        <v>3927</v>
      </c>
      <c r="K979">
        <v>0.73981566015423983</v>
      </c>
      <c r="L979">
        <v>0.15322805935760739</v>
      </c>
      <c r="M979">
        <v>59.662190542346721</v>
      </c>
      <c r="N979">
        <v>65.628409596581392</v>
      </c>
    </row>
    <row r="980" spans="1:14">
      <c r="A980" t="s">
        <v>726</v>
      </c>
      <c r="B980" t="s">
        <v>2592</v>
      </c>
      <c r="C980" t="s">
        <v>2593</v>
      </c>
      <c r="D980" t="s">
        <v>11</v>
      </c>
      <c r="E980" t="s">
        <v>13</v>
      </c>
      <c r="F980" t="s">
        <v>729</v>
      </c>
      <c r="G980" t="s">
        <v>12</v>
      </c>
      <c r="I980" t="s">
        <v>2592</v>
      </c>
      <c r="J980" t="s">
        <v>3928</v>
      </c>
      <c r="K980">
        <v>6.3127817766128205</v>
      </c>
      <c r="L980">
        <v>0.1516328092349408</v>
      </c>
      <c r="M980">
        <v>38.420815610051662</v>
      </c>
      <c r="N980">
        <v>42.262897171056828</v>
      </c>
    </row>
    <row r="981" spans="1:14">
      <c r="A981" t="s">
        <v>726</v>
      </c>
      <c r="B981" t="s">
        <v>2594</v>
      </c>
      <c r="C981" t="s">
        <v>2595</v>
      </c>
      <c r="D981" t="s">
        <v>11</v>
      </c>
      <c r="E981" t="s">
        <v>13</v>
      </c>
      <c r="F981" t="s">
        <v>729</v>
      </c>
      <c r="G981" t="s">
        <v>12</v>
      </c>
      <c r="I981" t="s">
        <v>2594</v>
      </c>
      <c r="J981" t="s">
        <v>3929</v>
      </c>
      <c r="K981">
        <v>0.60123049850696952</v>
      </c>
      <c r="L981">
        <v>0.15391427636916441</v>
      </c>
      <c r="M981">
        <v>56.586358135387727</v>
      </c>
      <c r="N981">
        <v>62.244993948926506</v>
      </c>
    </row>
    <row r="982" spans="1:14">
      <c r="A982" t="s">
        <v>726</v>
      </c>
      <c r="B982" t="s">
        <v>2596</v>
      </c>
      <c r="C982" t="s">
        <v>2597</v>
      </c>
      <c r="D982" t="s">
        <v>11</v>
      </c>
      <c r="E982" t="s">
        <v>13</v>
      </c>
      <c r="F982" t="s">
        <v>729</v>
      </c>
      <c r="G982" t="s">
        <v>12</v>
      </c>
      <c r="I982" t="s">
        <v>2596</v>
      </c>
      <c r="J982" t="s">
        <v>3930</v>
      </c>
      <c r="K982">
        <v>1.237524831103938</v>
      </c>
      <c r="L982">
        <v>0.14163617971264339</v>
      </c>
      <c r="M982">
        <v>44.945756631662974</v>
      </c>
      <c r="N982">
        <v>49.440332294829275</v>
      </c>
    </row>
    <row r="983" spans="1:14">
      <c r="A983" t="s">
        <v>726</v>
      </c>
      <c r="B983" t="s">
        <v>2598</v>
      </c>
      <c r="C983" t="s">
        <v>2599</v>
      </c>
      <c r="D983" t="s">
        <v>11</v>
      </c>
      <c r="E983" t="s">
        <v>13</v>
      </c>
      <c r="F983" t="s">
        <v>729</v>
      </c>
      <c r="G983" t="s">
        <v>12</v>
      </c>
      <c r="I983" t="s">
        <v>2598</v>
      </c>
      <c r="J983" t="s">
        <v>3931</v>
      </c>
      <c r="K983">
        <v>19.385457587733701</v>
      </c>
      <c r="L983">
        <v>0.25496472163262718</v>
      </c>
      <c r="M983">
        <v>93.1547089372024</v>
      </c>
      <c r="N983">
        <v>102.47017983092265</v>
      </c>
    </row>
    <row r="984" spans="1:14">
      <c r="A984" t="s">
        <v>726</v>
      </c>
      <c r="B984" t="s">
        <v>2600</v>
      </c>
      <c r="C984" t="s">
        <v>2601</v>
      </c>
      <c r="D984" t="s">
        <v>11</v>
      </c>
      <c r="E984" t="s">
        <v>13</v>
      </c>
      <c r="F984" t="s">
        <v>729</v>
      </c>
      <c r="G984" t="s">
        <v>12</v>
      </c>
      <c r="I984" t="s">
        <v>2600</v>
      </c>
      <c r="J984" t="s">
        <v>3932</v>
      </c>
      <c r="K984">
        <v>10.047633182427941</v>
      </c>
      <c r="L984">
        <v>0.2414575010005291</v>
      </c>
      <c r="M984">
        <v>38.039733457044768</v>
      </c>
      <c r="N984">
        <v>41.843706802749246</v>
      </c>
    </row>
    <row r="985" spans="1:14">
      <c r="A985" t="s">
        <v>726</v>
      </c>
      <c r="B985" t="s">
        <v>2602</v>
      </c>
      <c r="C985" t="s">
        <v>2603</v>
      </c>
      <c r="D985" t="s">
        <v>11</v>
      </c>
      <c r="E985" t="s">
        <v>13</v>
      </c>
      <c r="F985" t="s">
        <v>729</v>
      </c>
      <c r="G985" t="s">
        <v>12</v>
      </c>
      <c r="I985" t="s">
        <v>2602</v>
      </c>
      <c r="J985" t="s">
        <v>3933</v>
      </c>
      <c r="K985">
        <v>39.177292292462369</v>
      </c>
      <c r="L985">
        <v>0.26378571589732208</v>
      </c>
      <c r="M985">
        <v>69.772143565103448</v>
      </c>
      <c r="N985">
        <v>76.749357921613793</v>
      </c>
    </row>
    <row r="986" spans="1:14">
      <c r="A986" t="s">
        <v>726</v>
      </c>
      <c r="B986" t="s">
        <v>2604</v>
      </c>
      <c r="C986" t="s">
        <v>2605</v>
      </c>
      <c r="D986" t="s">
        <v>11</v>
      </c>
      <c r="E986" t="s">
        <v>13</v>
      </c>
      <c r="F986" t="s">
        <v>729</v>
      </c>
      <c r="G986" t="s">
        <v>12</v>
      </c>
      <c r="I986" t="s">
        <v>2604</v>
      </c>
      <c r="J986" t="s">
        <v>3934</v>
      </c>
      <c r="K986">
        <v>38.425042861294251</v>
      </c>
      <c r="L986">
        <v>0.24979951043511819</v>
      </c>
      <c r="M986">
        <v>67.5223005450936</v>
      </c>
      <c r="N986">
        <v>74.274530599602969</v>
      </c>
    </row>
    <row r="987" spans="1:14">
      <c r="A987" t="s">
        <v>726</v>
      </c>
      <c r="B987" t="s">
        <v>2606</v>
      </c>
      <c r="C987" t="s">
        <v>2607</v>
      </c>
      <c r="D987" t="s">
        <v>11</v>
      </c>
      <c r="E987" t="s">
        <v>13</v>
      </c>
      <c r="F987" t="s">
        <v>729</v>
      </c>
      <c r="G987" t="s">
        <v>12</v>
      </c>
      <c r="I987" t="s">
        <v>2606</v>
      </c>
      <c r="J987" t="s">
        <v>3935</v>
      </c>
      <c r="K987">
        <v>46.957361596414678</v>
      </c>
      <c r="L987">
        <v>0.25962414609885948</v>
      </c>
      <c r="M987">
        <v>69.921660572773831</v>
      </c>
      <c r="N987">
        <v>76.913826630051219</v>
      </c>
    </row>
    <row r="988" spans="1:14">
      <c r="A988" t="s">
        <v>726</v>
      </c>
      <c r="B988" t="s">
        <v>2608</v>
      </c>
      <c r="C988" t="s">
        <v>2609</v>
      </c>
      <c r="D988" t="s">
        <v>11</v>
      </c>
      <c r="E988" t="s">
        <v>13</v>
      </c>
      <c r="F988" t="s">
        <v>729</v>
      </c>
      <c r="G988" t="s">
        <v>12</v>
      </c>
      <c r="I988" t="s">
        <v>2608</v>
      </c>
      <c r="J988" t="s">
        <v>3936</v>
      </c>
      <c r="K988">
        <v>94.257466523490436</v>
      </c>
      <c r="L988">
        <v>0.26543752558980321</v>
      </c>
      <c r="M988">
        <v>141.2179527305305</v>
      </c>
      <c r="N988">
        <v>155.33974800358357</v>
      </c>
    </row>
    <row r="989" spans="1:14">
      <c r="A989" t="s">
        <v>726</v>
      </c>
      <c r="B989" t="s">
        <v>2610</v>
      </c>
      <c r="C989" t="s">
        <v>2611</v>
      </c>
      <c r="D989" t="s">
        <v>11</v>
      </c>
      <c r="E989" t="s">
        <v>13</v>
      </c>
      <c r="F989" t="s">
        <v>729</v>
      </c>
      <c r="G989" t="s">
        <v>12</v>
      </c>
      <c r="I989" t="s">
        <v>2610</v>
      </c>
      <c r="J989" t="s">
        <v>3937</v>
      </c>
      <c r="K989">
        <v>158.98947161575941</v>
      </c>
      <c r="L989">
        <v>0.28800948066141968</v>
      </c>
      <c r="M989">
        <v>199.22735186281969</v>
      </c>
      <c r="N989">
        <v>219.15008704910167</v>
      </c>
    </row>
    <row r="990" spans="1:14">
      <c r="A990" t="s">
        <v>726</v>
      </c>
      <c r="B990" t="s">
        <v>2612</v>
      </c>
      <c r="C990" t="s">
        <v>2613</v>
      </c>
      <c r="D990" t="s">
        <v>11</v>
      </c>
      <c r="E990" t="s">
        <v>13</v>
      </c>
      <c r="F990" t="s">
        <v>729</v>
      </c>
      <c r="G990" t="s">
        <v>12</v>
      </c>
      <c r="I990" t="s">
        <v>2612</v>
      </c>
      <c r="J990" t="s">
        <v>3938</v>
      </c>
      <c r="K990">
        <v>184.63012110601989</v>
      </c>
      <c r="L990">
        <v>0.29128434681683502</v>
      </c>
      <c r="M990">
        <v>365.8865279678925</v>
      </c>
      <c r="N990">
        <v>402.4751807646818</v>
      </c>
    </row>
    <row r="991" spans="1:14">
      <c r="A991" t="s">
        <v>726</v>
      </c>
      <c r="B991" t="s">
        <v>2614</v>
      </c>
      <c r="C991" t="s">
        <v>2615</v>
      </c>
      <c r="D991" t="s">
        <v>11</v>
      </c>
      <c r="E991" t="s">
        <v>13</v>
      </c>
      <c r="F991" t="s">
        <v>729</v>
      </c>
      <c r="G991" t="s">
        <v>12</v>
      </c>
      <c r="I991" t="s">
        <v>2614</v>
      </c>
      <c r="J991" t="s">
        <v>3939</v>
      </c>
      <c r="K991">
        <v>172.74820859578699</v>
      </c>
      <c r="L991">
        <v>0.28701847254140062</v>
      </c>
      <c r="M991">
        <v>472.31966197281611</v>
      </c>
      <c r="N991">
        <v>519.55162817009773</v>
      </c>
    </row>
    <row r="992" spans="1:14">
      <c r="A992" t="s">
        <v>726</v>
      </c>
      <c r="B992" t="s">
        <v>2616</v>
      </c>
      <c r="C992" t="s">
        <v>2617</v>
      </c>
      <c r="D992" t="s">
        <v>11</v>
      </c>
      <c r="E992" t="s">
        <v>13</v>
      </c>
      <c r="F992" t="s">
        <v>729</v>
      </c>
      <c r="G992" t="s">
        <v>12</v>
      </c>
      <c r="I992" t="s">
        <v>2616</v>
      </c>
      <c r="J992" t="s">
        <v>3940</v>
      </c>
      <c r="K992">
        <v>51.639343807450558</v>
      </c>
      <c r="L992">
        <v>0.26627165619264448</v>
      </c>
      <c r="M992">
        <v>107.91949988685349</v>
      </c>
      <c r="N992">
        <v>118.71144987553885</v>
      </c>
    </row>
    <row r="993" spans="1:14">
      <c r="A993" t="s">
        <v>726</v>
      </c>
      <c r="B993" t="s">
        <v>2618</v>
      </c>
      <c r="C993" t="s">
        <v>2611</v>
      </c>
      <c r="D993" t="s">
        <v>11</v>
      </c>
      <c r="E993" t="s">
        <v>13</v>
      </c>
      <c r="F993" t="s">
        <v>729</v>
      </c>
      <c r="G993" t="s">
        <v>12</v>
      </c>
      <c r="I993" t="s">
        <v>2618</v>
      </c>
      <c r="J993" t="s">
        <v>3941</v>
      </c>
      <c r="K993">
        <v>147.039226922805</v>
      </c>
      <c r="L993">
        <v>0.28211004822839258</v>
      </c>
      <c r="M993">
        <v>280.31828402862385</v>
      </c>
      <c r="N993">
        <v>308.35011243148625</v>
      </c>
    </row>
    <row r="994" spans="1:14">
      <c r="A994" t="s">
        <v>726</v>
      </c>
      <c r="B994" t="s">
        <v>2619</v>
      </c>
      <c r="C994" t="s">
        <v>2620</v>
      </c>
      <c r="D994" t="s">
        <v>11</v>
      </c>
      <c r="E994" t="s">
        <v>13</v>
      </c>
      <c r="F994" t="s">
        <v>729</v>
      </c>
      <c r="G994" t="s">
        <v>12</v>
      </c>
      <c r="I994" t="s">
        <v>2619</v>
      </c>
      <c r="J994" t="s">
        <v>3942</v>
      </c>
      <c r="K994">
        <v>46.796062531449245</v>
      </c>
      <c r="L994">
        <v>0.2345033378097591</v>
      </c>
      <c r="M994">
        <v>66.53365671967974</v>
      </c>
      <c r="N994">
        <v>73.187022391647716</v>
      </c>
    </row>
    <row r="995" spans="1:14">
      <c r="A995" t="s">
        <v>726</v>
      </c>
      <c r="B995" t="s">
        <v>2621</v>
      </c>
      <c r="C995" t="s">
        <v>2622</v>
      </c>
      <c r="D995" t="s">
        <v>11</v>
      </c>
      <c r="E995" t="s">
        <v>13</v>
      </c>
      <c r="F995" t="s">
        <v>729</v>
      </c>
      <c r="G995" t="s">
        <v>12</v>
      </c>
      <c r="I995" t="s">
        <v>2621</v>
      </c>
      <c r="J995" t="s">
        <v>3943</v>
      </c>
      <c r="K995">
        <v>36.114932908774691</v>
      </c>
      <c r="L995">
        <v>0.2394344200600132</v>
      </c>
      <c r="M995">
        <v>65.977768920623788</v>
      </c>
      <c r="N995">
        <v>72.575545812686173</v>
      </c>
    </row>
    <row r="996" spans="1:14">
      <c r="A996" t="s">
        <v>726</v>
      </c>
      <c r="B996" t="s">
        <v>2623</v>
      </c>
      <c r="C996" t="s">
        <v>2624</v>
      </c>
      <c r="D996" t="s">
        <v>11</v>
      </c>
      <c r="E996" t="s">
        <v>13</v>
      </c>
      <c r="F996" t="s">
        <v>729</v>
      </c>
      <c r="G996" t="s">
        <v>12</v>
      </c>
      <c r="I996" t="s">
        <v>2623</v>
      </c>
      <c r="J996" t="s">
        <v>3944</v>
      </c>
      <c r="K996">
        <v>86.191131996198152</v>
      </c>
      <c r="L996">
        <v>0.2413065354835294</v>
      </c>
      <c r="M996">
        <v>126.97114049345321</v>
      </c>
      <c r="N996">
        <v>139.66825454279854</v>
      </c>
    </row>
    <row r="997" spans="1:14">
      <c r="A997" t="s">
        <v>726</v>
      </c>
      <c r="B997" t="s">
        <v>2625</v>
      </c>
      <c r="C997" t="s">
        <v>2626</v>
      </c>
      <c r="D997" t="s">
        <v>11</v>
      </c>
      <c r="E997" t="s">
        <v>13</v>
      </c>
      <c r="F997" t="s">
        <v>729</v>
      </c>
      <c r="G997" t="s">
        <v>12</v>
      </c>
      <c r="I997" t="s">
        <v>2625</v>
      </c>
      <c r="J997" t="s">
        <v>3945</v>
      </c>
      <c r="K997">
        <v>110.09913565988604</v>
      </c>
      <c r="L997">
        <v>0.265299517363844</v>
      </c>
      <c r="M997">
        <v>159.71831755256929</v>
      </c>
      <c r="N997">
        <v>175.69014930782623</v>
      </c>
    </row>
    <row r="998" spans="1:14">
      <c r="A998" t="s">
        <v>726</v>
      </c>
      <c r="B998" t="s">
        <v>2627</v>
      </c>
      <c r="C998" t="s">
        <v>2628</v>
      </c>
      <c r="D998" t="s">
        <v>11</v>
      </c>
      <c r="E998" t="s">
        <v>13</v>
      </c>
      <c r="F998" t="s">
        <v>729</v>
      </c>
      <c r="G998" t="s">
        <v>12</v>
      </c>
      <c r="I998" t="s">
        <v>2627</v>
      </c>
      <c r="J998" t="s">
        <v>3946</v>
      </c>
      <c r="K998">
        <v>105.07862691502045</v>
      </c>
      <c r="L998">
        <v>0.23788747672251381</v>
      </c>
      <c r="M998">
        <v>198.16667077025519</v>
      </c>
      <c r="N998">
        <v>217.98333784728072</v>
      </c>
    </row>
    <row r="999" spans="1:14">
      <c r="A999" t="s">
        <v>726</v>
      </c>
      <c r="B999" t="s">
        <v>2629</v>
      </c>
      <c r="C999" t="s">
        <v>2630</v>
      </c>
      <c r="D999" t="s">
        <v>11</v>
      </c>
      <c r="E999" t="s">
        <v>13</v>
      </c>
      <c r="F999" t="s">
        <v>729</v>
      </c>
      <c r="G999" t="s">
        <v>12</v>
      </c>
      <c r="I999" t="s">
        <v>2629</v>
      </c>
      <c r="J999" t="s">
        <v>3947</v>
      </c>
      <c r="K999">
        <v>28.748541672034104</v>
      </c>
      <c r="L999">
        <v>0.24524772018932681</v>
      </c>
      <c r="M999">
        <v>137.40115158551734</v>
      </c>
      <c r="N999">
        <v>151.1412667440691</v>
      </c>
    </row>
    <row r="1000" spans="1:14">
      <c r="A1000" t="s">
        <v>726</v>
      </c>
      <c r="B1000" t="s">
        <v>2631</v>
      </c>
      <c r="C1000" t="s">
        <v>2632</v>
      </c>
      <c r="D1000" t="s">
        <v>11</v>
      </c>
      <c r="E1000" t="s">
        <v>13</v>
      </c>
      <c r="F1000" t="s">
        <v>729</v>
      </c>
      <c r="G1000" t="s">
        <v>12</v>
      </c>
      <c r="I1000" t="s">
        <v>2631</v>
      </c>
      <c r="J1000" t="s">
        <v>3948</v>
      </c>
      <c r="K1000">
        <v>55.67454447622692</v>
      </c>
      <c r="L1000">
        <v>0.262333571670405</v>
      </c>
      <c r="M1000">
        <v>88.739301388014141</v>
      </c>
      <c r="N1000">
        <v>97.613231526815568</v>
      </c>
    </row>
    <row r="1001" spans="1:14">
      <c r="A1001" t="s">
        <v>726</v>
      </c>
      <c r="B1001" t="s">
        <v>2633</v>
      </c>
      <c r="C1001" t="s">
        <v>2634</v>
      </c>
      <c r="D1001" t="s">
        <v>11</v>
      </c>
      <c r="E1001" t="s">
        <v>13</v>
      </c>
      <c r="F1001" t="s">
        <v>729</v>
      </c>
      <c r="G1001" t="s">
        <v>12</v>
      </c>
      <c r="I1001" t="s">
        <v>2633</v>
      </c>
      <c r="J1001" t="s">
        <v>3949</v>
      </c>
      <c r="K1001">
        <v>50.973090395974978</v>
      </c>
      <c r="L1001">
        <v>0.22361970669639619</v>
      </c>
      <c r="M1001">
        <v>143.38420835447585</v>
      </c>
      <c r="N1001">
        <v>157.72262918992345</v>
      </c>
    </row>
    <row r="1002" spans="1:14">
      <c r="A1002" t="s">
        <v>726</v>
      </c>
      <c r="B1002" t="s">
        <v>2635</v>
      </c>
      <c r="C1002" t="s">
        <v>2636</v>
      </c>
      <c r="D1002" t="s">
        <v>11</v>
      </c>
      <c r="E1002" t="s">
        <v>13</v>
      </c>
      <c r="F1002" t="s">
        <v>729</v>
      </c>
      <c r="G1002" t="s">
        <v>12</v>
      </c>
      <c r="I1002" t="s">
        <v>2635</v>
      </c>
      <c r="J1002" t="s">
        <v>3950</v>
      </c>
      <c r="K1002">
        <v>21.890088880007639</v>
      </c>
      <c r="L1002">
        <v>0.19376607669870749</v>
      </c>
      <c r="M1002">
        <v>68.509923211630849</v>
      </c>
      <c r="N1002">
        <v>75.360915532793939</v>
      </c>
    </row>
    <row r="1003" spans="1:14">
      <c r="A1003" t="s">
        <v>726</v>
      </c>
      <c r="B1003" t="s">
        <v>2637</v>
      </c>
      <c r="C1003" t="s">
        <v>2638</v>
      </c>
      <c r="D1003" t="s">
        <v>11</v>
      </c>
      <c r="E1003" t="s">
        <v>13</v>
      </c>
      <c r="F1003" t="s">
        <v>729</v>
      </c>
      <c r="G1003" t="s">
        <v>12</v>
      </c>
      <c r="I1003" t="s">
        <v>2637</v>
      </c>
      <c r="J1003" t="s">
        <v>3951</v>
      </c>
      <c r="K1003">
        <v>27.704311184364411</v>
      </c>
      <c r="L1003">
        <v>0.2106609750282129</v>
      </c>
      <c r="M1003">
        <v>46.643652900370178</v>
      </c>
      <c r="N1003">
        <v>51.308018190407196</v>
      </c>
    </row>
    <row r="1004" spans="1:14">
      <c r="A1004" t="s">
        <v>726</v>
      </c>
      <c r="B1004" t="s">
        <v>2639</v>
      </c>
      <c r="C1004" t="s">
        <v>2640</v>
      </c>
      <c r="D1004" t="s">
        <v>11</v>
      </c>
      <c r="E1004" t="s">
        <v>13</v>
      </c>
      <c r="F1004" t="s">
        <v>729</v>
      </c>
      <c r="G1004" t="s">
        <v>12</v>
      </c>
      <c r="I1004" t="s">
        <v>2639</v>
      </c>
      <c r="J1004" t="s">
        <v>3952</v>
      </c>
      <c r="K1004">
        <v>34.11288523975395</v>
      </c>
      <c r="L1004">
        <v>0.20279768587840269</v>
      </c>
      <c r="M1004">
        <v>58.855675888444544</v>
      </c>
      <c r="N1004">
        <v>64.741243477289004</v>
      </c>
    </row>
    <row r="1005" spans="1:14">
      <c r="A1005" t="s">
        <v>726</v>
      </c>
      <c r="B1005" t="s">
        <v>2641</v>
      </c>
      <c r="C1005" t="s">
        <v>2642</v>
      </c>
      <c r="D1005" t="s">
        <v>11</v>
      </c>
      <c r="E1005" t="s">
        <v>13</v>
      </c>
      <c r="F1005" t="s">
        <v>729</v>
      </c>
      <c r="G1005" t="s">
        <v>12</v>
      </c>
      <c r="I1005" t="s">
        <v>2641</v>
      </c>
      <c r="J1005" t="s">
        <v>3953</v>
      </c>
      <c r="K1005">
        <v>128.93822498890853</v>
      </c>
      <c r="L1005">
        <v>0.20335792666885449</v>
      </c>
      <c r="M1005">
        <v>79.147778289481707</v>
      </c>
      <c r="N1005">
        <v>87.062556118429882</v>
      </c>
    </row>
    <row r="1006" spans="1:14">
      <c r="A1006" t="s">
        <v>726</v>
      </c>
      <c r="B1006" t="s">
        <v>2643</v>
      </c>
      <c r="C1006" t="s">
        <v>2644</v>
      </c>
      <c r="D1006" t="s">
        <v>11</v>
      </c>
      <c r="E1006" t="s">
        <v>13</v>
      </c>
      <c r="F1006" t="s">
        <v>729</v>
      </c>
      <c r="G1006" t="s">
        <v>12</v>
      </c>
      <c r="I1006" t="s">
        <v>2643</v>
      </c>
      <c r="J1006" t="s">
        <v>3954</v>
      </c>
      <c r="K1006">
        <v>42.543363559858577</v>
      </c>
      <c r="L1006">
        <v>0.20389077549699641</v>
      </c>
      <c r="M1006">
        <v>163.00136589102448</v>
      </c>
      <c r="N1006">
        <v>179.30150248012694</v>
      </c>
    </row>
    <row r="1007" spans="1:14">
      <c r="A1007" t="s">
        <v>726</v>
      </c>
      <c r="B1007" t="s">
        <v>2645</v>
      </c>
      <c r="C1007" t="s">
        <v>2646</v>
      </c>
      <c r="D1007" t="s">
        <v>11</v>
      </c>
      <c r="E1007" t="s">
        <v>13</v>
      </c>
      <c r="F1007" t="s">
        <v>729</v>
      </c>
      <c r="G1007" t="s">
        <v>12</v>
      </c>
      <c r="I1007" t="s">
        <v>2645</v>
      </c>
      <c r="J1007" t="s">
        <v>3955</v>
      </c>
      <c r="K1007">
        <v>45.706285784620086</v>
      </c>
      <c r="L1007">
        <v>0.19918257291750491</v>
      </c>
      <c r="M1007">
        <v>106.1572839515202</v>
      </c>
      <c r="N1007">
        <v>116.77301234667223</v>
      </c>
    </row>
    <row r="1008" spans="1:14">
      <c r="A1008" t="s">
        <v>726</v>
      </c>
      <c r="B1008" t="s">
        <v>2647</v>
      </c>
      <c r="C1008" t="s">
        <v>2648</v>
      </c>
      <c r="D1008" t="s">
        <v>11</v>
      </c>
      <c r="E1008" t="s">
        <v>13</v>
      </c>
      <c r="F1008" t="s">
        <v>729</v>
      </c>
      <c r="G1008" t="s">
        <v>12</v>
      </c>
      <c r="I1008" t="s">
        <v>2647</v>
      </c>
      <c r="J1008" t="s">
        <v>3956</v>
      </c>
      <c r="K1008">
        <v>4.8424006972025975</v>
      </c>
      <c r="L1008">
        <v>0.19485909278487229</v>
      </c>
      <c r="M1008">
        <v>169.80561101441515</v>
      </c>
      <c r="N1008">
        <v>186.78617211585669</v>
      </c>
    </row>
    <row r="1009" spans="1:14">
      <c r="A1009" t="s">
        <v>726</v>
      </c>
      <c r="B1009" t="s">
        <v>2649</v>
      </c>
      <c r="C1009" t="s">
        <v>2650</v>
      </c>
      <c r="D1009" t="s">
        <v>11</v>
      </c>
      <c r="E1009" t="s">
        <v>13</v>
      </c>
      <c r="F1009" t="s">
        <v>729</v>
      </c>
      <c r="G1009" t="s">
        <v>12</v>
      </c>
      <c r="I1009" t="s">
        <v>2649</v>
      </c>
      <c r="J1009" t="s">
        <v>3957</v>
      </c>
      <c r="K1009">
        <v>18.933680289771061</v>
      </c>
      <c r="L1009">
        <v>0.1916909123295355</v>
      </c>
      <c r="M1009">
        <v>68.485420206372211</v>
      </c>
      <c r="N1009">
        <v>75.333962227009437</v>
      </c>
    </row>
    <row r="1010" spans="1:14">
      <c r="A1010" t="s">
        <v>726</v>
      </c>
      <c r="B1010" t="s">
        <v>2651</v>
      </c>
      <c r="C1010" t="s">
        <v>2652</v>
      </c>
      <c r="D1010" t="s">
        <v>11</v>
      </c>
      <c r="E1010" t="s">
        <v>13</v>
      </c>
      <c r="F1010" t="s">
        <v>729</v>
      </c>
      <c r="G1010" t="s">
        <v>12</v>
      </c>
      <c r="I1010" t="s">
        <v>2651</v>
      </c>
      <c r="J1010" t="s">
        <v>3958</v>
      </c>
      <c r="K1010">
        <v>28.44638146879883</v>
      </c>
      <c r="L1010">
        <v>0.19915634878149871</v>
      </c>
      <c r="M1010">
        <v>125.35680319879302</v>
      </c>
      <c r="N1010">
        <v>137.89248351867232</v>
      </c>
    </row>
    <row r="1011" spans="1:14">
      <c r="A1011" t="s">
        <v>726</v>
      </c>
      <c r="B1011" t="s">
        <v>2653</v>
      </c>
      <c r="C1011" t="s">
        <v>2654</v>
      </c>
      <c r="D1011" t="s">
        <v>11</v>
      </c>
      <c r="E1011" t="s">
        <v>13</v>
      </c>
      <c r="F1011" t="s">
        <v>729</v>
      </c>
      <c r="G1011" t="s">
        <v>12</v>
      </c>
      <c r="I1011" t="s">
        <v>2653</v>
      </c>
      <c r="J1011" t="s">
        <v>3959</v>
      </c>
      <c r="K1011">
        <v>9.0098459159711961</v>
      </c>
      <c r="L1011">
        <v>0.1988679337706912</v>
      </c>
      <c r="M1011">
        <v>119.41436703246436</v>
      </c>
      <c r="N1011">
        <v>131.35580373571079</v>
      </c>
    </row>
    <row r="1012" spans="1:14">
      <c r="A1012" t="s">
        <v>726</v>
      </c>
      <c r="B1012" t="s">
        <v>2655</v>
      </c>
      <c r="C1012" t="s">
        <v>2656</v>
      </c>
      <c r="D1012" t="s">
        <v>11</v>
      </c>
      <c r="E1012" t="s">
        <v>13</v>
      </c>
      <c r="F1012" t="s">
        <v>729</v>
      </c>
      <c r="G1012" t="s">
        <v>12</v>
      </c>
      <c r="I1012" t="s">
        <v>2655</v>
      </c>
      <c r="J1012" t="s">
        <v>3960</v>
      </c>
      <c r="K1012">
        <v>6.9162305721077333</v>
      </c>
      <c r="L1012">
        <v>0.1879231991241988</v>
      </c>
      <c r="M1012">
        <v>187.52829675507652</v>
      </c>
      <c r="N1012">
        <v>206.28112643058418</v>
      </c>
    </row>
    <row r="1013" spans="1:14">
      <c r="A1013" t="s">
        <v>726</v>
      </c>
      <c r="B1013" t="s">
        <v>2657</v>
      </c>
      <c r="C1013" t="s">
        <v>2658</v>
      </c>
      <c r="D1013" t="s">
        <v>11</v>
      </c>
      <c r="E1013" t="s">
        <v>13</v>
      </c>
      <c r="F1013" t="s">
        <v>729</v>
      </c>
      <c r="G1013" t="s">
        <v>12</v>
      </c>
      <c r="I1013" t="s">
        <v>2657</v>
      </c>
      <c r="J1013" t="s">
        <v>3961</v>
      </c>
      <c r="K1013">
        <v>74.928431778246761</v>
      </c>
      <c r="L1013">
        <v>0.2015743633394747</v>
      </c>
      <c r="M1013">
        <v>65.285741837728423</v>
      </c>
      <c r="N1013">
        <v>71.81431602150127</v>
      </c>
    </row>
    <row r="1014" spans="1:14">
      <c r="A1014" t="s">
        <v>726</v>
      </c>
      <c r="B1014" t="s">
        <v>2659</v>
      </c>
      <c r="C1014" t="s">
        <v>2660</v>
      </c>
      <c r="D1014" t="s">
        <v>11</v>
      </c>
      <c r="E1014" t="s">
        <v>13</v>
      </c>
      <c r="F1014" t="s">
        <v>729</v>
      </c>
      <c r="G1014" t="s">
        <v>12</v>
      </c>
      <c r="I1014" t="s">
        <v>2659</v>
      </c>
      <c r="J1014" t="s">
        <v>3962</v>
      </c>
      <c r="K1014">
        <v>2.4150167199028125</v>
      </c>
      <c r="L1014">
        <v>0.23793904942372479</v>
      </c>
      <c r="M1014">
        <v>73.297888679377436</v>
      </c>
      <c r="N1014">
        <v>80.627677547315187</v>
      </c>
    </row>
    <row r="1015" spans="1:14">
      <c r="A1015" t="s">
        <v>726</v>
      </c>
      <c r="B1015" t="s">
        <v>2661</v>
      </c>
      <c r="C1015" t="s">
        <v>2662</v>
      </c>
      <c r="D1015" t="s">
        <v>11</v>
      </c>
      <c r="E1015" t="s">
        <v>13</v>
      </c>
      <c r="F1015" t="s">
        <v>729</v>
      </c>
      <c r="G1015" t="s">
        <v>12</v>
      </c>
      <c r="I1015" t="s">
        <v>2661</v>
      </c>
      <c r="J1015" t="s">
        <v>3963</v>
      </c>
      <c r="K1015">
        <v>34.194698140060098</v>
      </c>
      <c r="L1015">
        <v>0.2359677695209228</v>
      </c>
      <c r="M1015">
        <v>61.387445843353802</v>
      </c>
      <c r="N1015">
        <v>67.526190427689187</v>
      </c>
    </row>
    <row r="1016" spans="1:14">
      <c r="A1016" t="s">
        <v>726</v>
      </c>
      <c r="B1016" t="s">
        <v>2663</v>
      </c>
      <c r="C1016" t="s">
        <v>2660</v>
      </c>
      <c r="D1016" t="s">
        <v>11</v>
      </c>
      <c r="E1016" t="s">
        <v>13</v>
      </c>
      <c r="F1016" t="s">
        <v>729</v>
      </c>
      <c r="G1016" t="s">
        <v>12</v>
      </c>
      <c r="I1016" t="s">
        <v>2663</v>
      </c>
      <c r="J1016" t="s">
        <v>3964</v>
      </c>
      <c r="K1016">
        <v>0.26718941185227185</v>
      </c>
      <c r="L1016">
        <v>0.2545761088260749</v>
      </c>
      <c r="M1016">
        <v>60.207719830958766</v>
      </c>
      <c r="N1016">
        <v>66.228491814054649</v>
      </c>
    </row>
    <row r="1017" spans="1:14">
      <c r="A1017" t="s">
        <v>726</v>
      </c>
      <c r="B1017" t="s">
        <v>2664</v>
      </c>
      <c r="C1017" t="s">
        <v>2665</v>
      </c>
      <c r="D1017" t="s">
        <v>11</v>
      </c>
      <c r="E1017" t="s">
        <v>13</v>
      </c>
      <c r="F1017" t="s">
        <v>729</v>
      </c>
      <c r="G1017" t="s">
        <v>12</v>
      </c>
      <c r="I1017" t="s">
        <v>2664</v>
      </c>
      <c r="J1017" t="s">
        <v>3965</v>
      </c>
      <c r="K1017">
        <v>21.918700163407358</v>
      </c>
      <c r="L1017">
        <v>0.22975405275286689</v>
      </c>
      <c r="M1017">
        <v>45.345340573610088</v>
      </c>
      <c r="N1017">
        <v>49.879874630971102</v>
      </c>
    </row>
    <row r="1018" spans="1:14">
      <c r="A1018" t="s">
        <v>726</v>
      </c>
      <c r="B1018" t="s">
        <v>2666</v>
      </c>
      <c r="C1018" t="s">
        <v>2667</v>
      </c>
      <c r="D1018" t="s">
        <v>11</v>
      </c>
      <c r="E1018" t="s">
        <v>13</v>
      </c>
      <c r="F1018" t="s">
        <v>729</v>
      </c>
      <c r="G1018" t="s">
        <v>12</v>
      </c>
      <c r="I1018" t="s">
        <v>2666</v>
      </c>
      <c r="J1018" t="s">
        <v>3966</v>
      </c>
      <c r="K1018">
        <v>48.86651840336058</v>
      </c>
      <c r="L1018">
        <v>0.22038272865033279</v>
      </c>
      <c r="M1018">
        <v>140.88440611179342</v>
      </c>
      <c r="N1018">
        <v>154.97284672297278</v>
      </c>
    </row>
    <row r="1019" spans="1:14">
      <c r="A1019" t="s">
        <v>726</v>
      </c>
      <c r="B1019" t="s">
        <v>2668</v>
      </c>
      <c r="C1019" t="s">
        <v>2669</v>
      </c>
      <c r="D1019" t="s">
        <v>11</v>
      </c>
      <c r="E1019" t="s">
        <v>13</v>
      </c>
      <c r="F1019" t="s">
        <v>729</v>
      </c>
      <c r="G1019" t="s">
        <v>12</v>
      </c>
      <c r="I1019" t="s">
        <v>2668</v>
      </c>
      <c r="J1019" t="s">
        <v>3967</v>
      </c>
      <c r="K1019">
        <v>65.601837789151702</v>
      </c>
      <c r="L1019">
        <v>0.21338984343453779</v>
      </c>
      <c r="M1019">
        <v>173.1670933000494</v>
      </c>
      <c r="N1019">
        <v>190.48380263005436</v>
      </c>
    </row>
    <row r="1020" spans="1:14">
      <c r="A1020" t="s">
        <v>726</v>
      </c>
      <c r="B1020" t="s">
        <v>2670</v>
      </c>
      <c r="C1020" t="s">
        <v>2671</v>
      </c>
      <c r="D1020" t="s">
        <v>11</v>
      </c>
      <c r="E1020" t="s">
        <v>13</v>
      </c>
      <c r="F1020" t="s">
        <v>729</v>
      </c>
      <c r="G1020" t="s">
        <v>12</v>
      </c>
      <c r="I1020" t="s">
        <v>2670</v>
      </c>
      <c r="J1020" t="s">
        <v>3968</v>
      </c>
      <c r="K1020">
        <v>87.101990219950139</v>
      </c>
      <c r="L1020">
        <v>0.24046628329329839</v>
      </c>
      <c r="M1020">
        <v>126.45916402729092</v>
      </c>
      <c r="N1020">
        <v>139.10508043002002</v>
      </c>
    </row>
    <row r="1021" spans="1:14">
      <c r="A1021" t="s">
        <v>726</v>
      </c>
      <c r="B1021" t="s">
        <v>2672</v>
      </c>
      <c r="C1021" t="s">
        <v>2673</v>
      </c>
      <c r="D1021" t="s">
        <v>11</v>
      </c>
      <c r="E1021" t="s">
        <v>13</v>
      </c>
      <c r="F1021" t="s">
        <v>729</v>
      </c>
      <c r="G1021" t="s">
        <v>12</v>
      </c>
      <c r="I1021" t="s">
        <v>2672</v>
      </c>
      <c r="J1021" t="s">
        <v>3969</v>
      </c>
      <c r="K1021">
        <v>94.421061631779082</v>
      </c>
      <c r="L1021">
        <v>0.2380400653766209</v>
      </c>
      <c r="M1021">
        <v>96.371383001811623</v>
      </c>
      <c r="N1021">
        <v>106.0085213019928</v>
      </c>
    </row>
    <row r="1022" spans="1:14">
      <c r="A1022" t="s">
        <v>726</v>
      </c>
      <c r="B1022" t="s">
        <v>2674</v>
      </c>
      <c r="C1022" t="s">
        <v>2675</v>
      </c>
      <c r="D1022" t="s">
        <v>11</v>
      </c>
      <c r="E1022" t="s">
        <v>13</v>
      </c>
      <c r="F1022" t="s">
        <v>729</v>
      </c>
      <c r="G1022" t="s">
        <v>12</v>
      </c>
      <c r="I1022" t="s">
        <v>2674</v>
      </c>
      <c r="J1022" t="s">
        <v>3970</v>
      </c>
      <c r="K1022">
        <v>78.755688494399919</v>
      </c>
      <c r="L1022">
        <v>0.2386914673410386</v>
      </c>
      <c r="M1022">
        <v>156.48411755193891</v>
      </c>
      <c r="N1022">
        <v>172.13252930713281</v>
      </c>
    </row>
    <row r="1023" spans="1:14">
      <c r="A1023" t="s">
        <v>726</v>
      </c>
      <c r="B1023" t="s">
        <v>2676</v>
      </c>
      <c r="C1023" t="s">
        <v>2677</v>
      </c>
      <c r="D1023" t="s">
        <v>11</v>
      </c>
      <c r="E1023" t="s">
        <v>13</v>
      </c>
      <c r="F1023" t="s">
        <v>729</v>
      </c>
      <c r="G1023" t="s">
        <v>12</v>
      </c>
      <c r="I1023" t="s">
        <v>2676</v>
      </c>
      <c r="J1023" t="s">
        <v>3971</v>
      </c>
      <c r="K1023">
        <v>118.13748692265128</v>
      </c>
      <c r="L1023">
        <v>0.22109112690813329</v>
      </c>
      <c r="M1023">
        <v>206.36595159787177</v>
      </c>
      <c r="N1023">
        <v>227.00254675765896</v>
      </c>
    </row>
    <row r="1024" spans="1:14">
      <c r="A1024" t="s">
        <v>726</v>
      </c>
      <c r="B1024" t="s">
        <v>2678</v>
      </c>
      <c r="C1024" t="s">
        <v>2679</v>
      </c>
      <c r="D1024" t="s">
        <v>11</v>
      </c>
      <c r="E1024" t="s">
        <v>13</v>
      </c>
      <c r="F1024" t="s">
        <v>729</v>
      </c>
      <c r="G1024" t="s">
        <v>12</v>
      </c>
      <c r="I1024" t="s">
        <v>2678</v>
      </c>
      <c r="J1024" t="s">
        <v>3972</v>
      </c>
      <c r="K1024">
        <v>51.909312696370399</v>
      </c>
      <c r="L1024">
        <v>0.22754706802106389</v>
      </c>
      <c r="M1024">
        <v>167.98498899343247</v>
      </c>
      <c r="N1024">
        <v>184.78348789277572</v>
      </c>
    </row>
    <row r="1025" spans="1:14">
      <c r="A1025" t="s">
        <v>726</v>
      </c>
      <c r="B1025" t="s">
        <v>2680</v>
      </c>
      <c r="C1025" t="s">
        <v>2679</v>
      </c>
      <c r="D1025" t="s">
        <v>11</v>
      </c>
      <c r="E1025" t="s">
        <v>13</v>
      </c>
      <c r="F1025" t="s">
        <v>729</v>
      </c>
      <c r="G1025" t="s">
        <v>12</v>
      </c>
      <c r="I1025" t="s">
        <v>2680</v>
      </c>
      <c r="J1025" t="s">
        <v>3973</v>
      </c>
      <c r="K1025">
        <v>64.884305800533198</v>
      </c>
      <c r="L1025">
        <v>0.2349256001968334</v>
      </c>
      <c r="M1025">
        <v>187.33383321350189</v>
      </c>
      <c r="N1025">
        <v>206.06721653485209</v>
      </c>
    </row>
    <row r="1026" spans="1:14">
      <c r="A1026" t="s">
        <v>726</v>
      </c>
      <c r="B1026" t="s">
        <v>2681</v>
      </c>
      <c r="C1026" t="s">
        <v>2682</v>
      </c>
      <c r="D1026" t="s">
        <v>11</v>
      </c>
      <c r="E1026" t="s">
        <v>13</v>
      </c>
      <c r="F1026" t="s">
        <v>729</v>
      </c>
      <c r="G1026" t="s">
        <v>12</v>
      </c>
      <c r="I1026" t="s">
        <v>2681</v>
      </c>
      <c r="J1026" t="s">
        <v>3974</v>
      </c>
      <c r="K1026">
        <v>76.602794825761919</v>
      </c>
      <c r="L1026">
        <v>0.2304249464994754</v>
      </c>
      <c r="M1026">
        <v>184.63077708296532</v>
      </c>
      <c r="N1026">
        <v>203.09385479126186</v>
      </c>
    </row>
    <row r="1027" spans="1:14">
      <c r="A1027" t="s">
        <v>726</v>
      </c>
      <c r="B1027" t="s">
        <v>2683</v>
      </c>
      <c r="C1027" t="s">
        <v>2684</v>
      </c>
      <c r="D1027" t="s">
        <v>11</v>
      </c>
      <c r="E1027" t="s">
        <v>13</v>
      </c>
      <c r="F1027" t="s">
        <v>729</v>
      </c>
      <c r="G1027" t="s">
        <v>12</v>
      </c>
      <c r="I1027" t="s">
        <v>2683</v>
      </c>
      <c r="J1027" t="s">
        <v>3975</v>
      </c>
      <c r="K1027">
        <v>88.415781849634911</v>
      </c>
      <c r="L1027">
        <v>0.26119357029493723</v>
      </c>
      <c r="M1027">
        <v>134.72230718289296</v>
      </c>
      <c r="N1027">
        <v>148.19453790118226</v>
      </c>
    </row>
    <row r="1028" spans="1:14">
      <c r="A1028" t="s">
        <v>726</v>
      </c>
      <c r="B1028" t="s">
        <v>2685</v>
      </c>
      <c r="C1028" t="s">
        <v>2686</v>
      </c>
      <c r="D1028" t="s">
        <v>11</v>
      </c>
      <c r="E1028" t="s">
        <v>13</v>
      </c>
      <c r="F1028" t="s">
        <v>729</v>
      </c>
      <c r="G1028" t="s">
        <v>12</v>
      </c>
      <c r="I1028" t="s">
        <v>2685</v>
      </c>
      <c r="J1028" t="s">
        <v>3976</v>
      </c>
      <c r="K1028">
        <v>12.324014901322986</v>
      </c>
      <c r="L1028">
        <v>0.25150794330721687</v>
      </c>
      <c r="M1028">
        <v>39.117302184809724</v>
      </c>
      <c r="N1028">
        <v>43.029032403290699</v>
      </c>
    </row>
    <row r="1029" spans="1:14">
      <c r="A1029" t="s">
        <v>726</v>
      </c>
      <c r="B1029" t="s">
        <v>2687</v>
      </c>
      <c r="C1029" t="s">
        <v>2688</v>
      </c>
      <c r="D1029" t="s">
        <v>11</v>
      </c>
      <c r="E1029" t="s">
        <v>13</v>
      </c>
      <c r="F1029" t="s">
        <v>729</v>
      </c>
      <c r="G1029" t="s">
        <v>12</v>
      </c>
      <c r="I1029" t="s">
        <v>2687</v>
      </c>
      <c r="J1029" t="s">
        <v>3977</v>
      </c>
      <c r="K1029">
        <v>10.233322326491416</v>
      </c>
      <c r="L1029">
        <v>0.2372533482672213</v>
      </c>
      <c r="M1029">
        <v>24.330332873262268</v>
      </c>
      <c r="N1029">
        <v>26.763366160588497</v>
      </c>
    </row>
    <row r="1030" spans="1:14">
      <c r="A1030" t="s">
        <v>726</v>
      </c>
      <c r="B1030" t="s">
        <v>2689</v>
      </c>
      <c r="C1030" t="s">
        <v>2690</v>
      </c>
      <c r="D1030" t="s">
        <v>11</v>
      </c>
      <c r="E1030" t="s">
        <v>13</v>
      </c>
      <c r="F1030" t="s">
        <v>729</v>
      </c>
      <c r="G1030" t="s">
        <v>12</v>
      </c>
      <c r="I1030" t="s">
        <v>2689</v>
      </c>
      <c r="J1030" t="s">
        <v>3978</v>
      </c>
      <c r="K1030">
        <v>0.52638545444602525</v>
      </c>
      <c r="L1030">
        <v>0.22520661173178361</v>
      </c>
      <c r="M1030">
        <v>16.473503529901521</v>
      </c>
      <c r="N1030">
        <v>18.120853882891673</v>
      </c>
    </row>
    <row r="1031" spans="1:14">
      <c r="A1031" t="s">
        <v>726</v>
      </c>
      <c r="B1031" t="s">
        <v>2691</v>
      </c>
      <c r="C1031" t="s">
        <v>2692</v>
      </c>
      <c r="D1031" t="s">
        <v>11</v>
      </c>
      <c r="E1031" t="s">
        <v>13</v>
      </c>
      <c r="F1031" t="s">
        <v>729</v>
      </c>
      <c r="G1031" t="s">
        <v>12</v>
      </c>
      <c r="I1031" t="s">
        <v>2691</v>
      </c>
      <c r="J1031" t="s">
        <v>3979</v>
      </c>
      <c r="K1031">
        <v>2.3929161257969978</v>
      </c>
      <c r="L1031">
        <v>0.2328242302664531</v>
      </c>
      <c r="M1031">
        <v>50.890108218986285</v>
      </c>
      <c r="N1031">
        <v>55.979119040884918</v>
      </c>
    </row>
    <row r="1032" spans="1:14">
      <c r="A1032" t="s">
        <v>726</v>
      </c>
      <c r="B1032" t="s">
        <v>2693</v>
      </c>
      <c r="C1032" t="s">
        <v>2694</v>
      </c>
      <c r="D1032" t="s">
        <v>11</v>
      </c>
      <c r="E1032" t="s">
        <v>13</v>
      </c>
      <c r="F1032" t="s">
        <v>729</v>
      </c>
      <c r="G1032" t="s">
        <v>12</v>
      </c>
      <c r="I1032" t="s">
        <v>2693</v>
      </c>
      <c r="J1032" t="s">
        <v>3980</v>
      </c>
      <c r="K1032">
        <v>13.578679912833751</v>
      </c>
      <c r="L1032">
        <v>0.23703614585954561</v>
      </c>
      <c r="M1032">
        <v>43.661347094417259</v>
      </c>
      <c r="N1032">
        <v>48.02748180385899</v>
      </c>
    </row>
    <row r="1033" spans="1:14">
      <c r="A1033" t="s">
        <v>726</v>
      </c>
      <c r="B1033" t="s">
        <v>2695</v>
      </c>
      <c r="C1033" t="s">
        <v>2696</v>
      </c>
      <c r="D1033" t="s">
        <v>11</v>
      </c>
      <c r="E1033" t="s">
        <v>13</v>
      </c>
      <c r="F1033" t="s">
        <v>729</v>
      </c>
      <c r="G1033" t="s">
        <v>12</v>
      </c>
      <c r="I1033" t="s">
        <v>2695</v>
      </c>
      <c r="J1033" t="s">
        <v>3981</v>
      </c>
      <c r="K1033">
        <v>2.7741471560169888</v>
      </c>
      <c r="L1033">
        <v>0.21008330850363449</v>
      </c>
      <c r="M1033">
        <v>38.081211113082674</v>
      </c>
      <c r="N1033">
        <v>41.889332224390941</v>
      </c>
    </row>
    <row r="1034" spans="1:14">
      <c r="A1034" t="s">
        <v>726</v>
      </c>
      <c r="B1034" t="s">
        <v>2697</v>
      </c>
      <c r="C1034" t="s">
        <v>2698</v>
      </c>
      <c r="D1034" t="s">
        <v>11</v>
      </c>
      <c r="E1034" t="s">
        <v>13</v>
      </c>
      <c r="F1034" t="s">
        <v>729</v>
      </c>
      <c r="G1034" t="s">
        <v>12</v>
      </c>
      <c r="I1034" t="s">
        <v>2697</v>
      </c>
      <c r="J1034" t="s">
        <v>3982</v>
      </c>
      <c r="K1034">
        <v>1.2777817557634572</v>
      </c>
      <c r="L1034">
        <v>0.20935099279259339</v>
      </c>
      <c r="M1034">
        <v>88.645909151566542</v>
      </c>
      <c r="N1034">
        <v>97.51050006672321</v>
      </c>
    </row>
    <row r="1035" spans="1:14">
      <c r="A1035" t="s">
        <v>726</v>
      </c>
      <c r="B1035" t="s">
        <v>2699</v>
      </c>
      <c r="C1035" t="s">
        <v>2700</v>
      </c>
      <c r="D1035" t="s">
        <v>11</v>
      </c>
      <c r="E1035" t="s">
        <v>13</v>
      </c>
      <c r="F1035" t="s">
        <v>729</v>
      </c>
      <c r="G1035" t="s">
        <v>12</v>
      </c>
      <c r="I1035" t="s">
        <v>2699</v>
      </c>
      <c r="J1035" t="s">
        <v>3983</v>
      </c>
      <c r="K1035">
        <v>4.2844951396293993</v>
      </c>
      <c r="L1035">
        <v>0.20598595465410729</v>
      </c>
      <c r="M1035">
        <v>54.295610033640045</v>
      </c>
      <c r="N1035">
        <v>59.725171037004053</v>
      </c>
    </row>
    <row r="1036" spans="1:14">
      <c r="A1036" t="s">
        <v>726</v>
      </c>
      <c r="B1036" t="s">
        <v>2701</v>
      </c>
      <c r="C1036" t="s">
        <v>2702</v>
      </c>
      <c r="D1036" t="s">
        <v>11</v>
      </c>
      <c r="E1036" t="s">
        <v>13</v>
      </c>
      <c r="F1036" t="s">
        <v>729</v>
      </c>
      <c r="G1036" t="s">
        <v>12</v>
      </c>
      <c r="I1036" t="s">
        <v>2701</v>
      </c>
      <c r="J1036" t="s">
        <v>3984</v>
      </c>
      <c r="K1036">
        <v>7.0461461261095009</v>
      </c>
      <c r="L1036">
        <v>0.250248036773696</v>
      </c>
      <c r="M1036">
        <v>124.92088787867146</v>
      </c>
      <c r="N1036">
        <v>137.41297666653861</v>
      </c>
    </row>
    <row r="1037" spans="1:14">
      <c r="A1037" t="s">
        <v>726</v>
      </c>
      <c r="B1037" t="s">
        <v>2703</v>
      </c>
      <c r="C1037" t="s">
        <v>2704</v>
      </c>
      <c r="D1037" t="s">
        <v>11</v>
      </c>
      <c r="E1037" t="s">
        <v>13</v>
      </c>
      <c r="F1037" t="s">
        <v>729</v>
      </c>
      <c r="G1037" t="s">
        <v>12</v>
      </c>
      <c r="I1037" t="s">
        <v>2703</v>
      </c>
      <c r="J1037" t="s">
        <v>3985</v>
      </c>
      <c r="K1037">
        <v>6.6091171316963475</v>
      </c>
      <c r="L1037">
        <v>0.23726915317814309</v>
      </c>
      <c r="M1037">
        <v>173.29183467365877</v>
      </c>
      <c r="N1037">
        <v>190.62101814102465</v>
      </c>
    </row>
    <row r="1038" spans="1:14">
      <c r="A1038" t="s">
        <v>726</v>
      </c>
      <c r="B1038" t="s">
        <v>2705</v>
      </c>
      <c r="C1038" t="s">
        <v>2706</v>
      </c>
      <c r="D1038" t="s">
        <v>11</v>
      </c>
      <c r="E1038" t="s">
        <v>13</v>
      </c>
      <c r="F1038" t="s">
        <v>729</v>
      </c>
      <c r="G1038" t="s">
        <v>12</v>
      </c>
      <c r="I1038" t="s">
        <v>2705</v>
      </c>
      <c r="J1038" t="s">
        <v>3986</v>
      </c>
      <c r="K1038">
        <v>2.4381436912341878</v>
      </c>
      <c r="L1038">
        <v>0.24127606172401389</v>
      </c>
      <c r="M1038">
        <v>77.68909899266724</v>
      </c>
      <c r="N1038">
        <v>85.458008891933972</v>
      </c>
    </row>
    <row r="1039" spans="1:14">
      <c r="A1039" t="s">
        <v>726</v>
      </c>
      <c r="B1039" t="s">
        <v>2707</v>
      </c>
      <c r="C1039" t="s">
        <v>2708</v>
      </c>
      <c r="D1039" t="s">
        <v>11</v>
      </c>
      <c r="E1039" t="s">
        <v>13</v>
      </c>
      <c r="F1039" t="s">
        <v>729</v>
      </c>
      <c r="G1039" t="s">
        <v>12</v>
      </c>
      <c r="I1039" t="s">
        <v>2707</v>
      </c>
      <c r="J1039" t="s">
        <v>3987</v>
      </c>
      <c r="K1039">
        <v>4.8499465176694239</v>
      </c>
      <c r="L1039">
        <v>0.21763200253442291</v>
      </c>
      <c r="M1039">
        <v>74.635352274601971</v>
      </c>
      <c r="N1039">
        <v>82.098887502062169</v>
      </c>
    </row>
    <row r="1040" spans="1:14">
      <c r="A1040" t="s">
        <v>726</v>
      </c>
      <c r="B1040" t="s">
        <v>2709</v>
      </c>
      <c r="C1040" t="s">
        <v>2710</v>
      </c>
      <c r="D1040" t="s">
        <v>11</v>
      </c>
      <c r="E1040" t="s">
        <v>13</v>
      </c>
      <c r="F1040" t="s">
        <v>729</v>
      </c>
      <c r="G1040" t="s">
        <v>12</v>
      </c>
      <c r="I1040" t="s">
        <v>2709</v>
      </c>
      <c r="J1040" t="s">
        <v>3988</v>
      </c>
      <c r="K1040">
        <v>36.45904240163707</v>
      </c>
      <c r="L1040">
        <v>0.2466386433553775</v>
      </c>
      <c r="M1040">
        <v>58.273389703933837</v>
      </c>
      <c r="N1040">
        <v>64.100728674327229</v>
      </c>
    </row>
    <row r="1041" spans="1:14">
      <c r="A1041" t="s">
        <v>726</v>
      </c>
      <c r="B1041" t="s">
        <v>2711</v>
      </c>
      <c r="C1041" t="s">
        <v>2712</v>
      </c>
      <c r="D1041" t="s">
        <v>11</v>
      </c>
      <c r="E1041" t="s">
        <v>13</v>
      </c>
      <c r="F1041" t="s">
        <v>729</v>
      </c>
      <c r="G1041" t="s">
        <v>12</v>
      </c>
      <c r="I1041" t="s">
        <v>2711</v>
      </c>
      <c r="J1041" t="s">
        <v>3989</v>
      </c>
      <c r="K1041">
        <v>50.080431724643738</v>
      </c>
      <c r="L1041">
        <v>0.2429506264358903</v>
      </c>
      <c r="M1041">
        <v>39.661281102594224</v>
      </c>
      <c r="N1041">
        <v>43.627409212853649</v>
      </c>
    </row>
    <row r="1042" spans="1:14">
      <c r="A1042" t="s">
        <v>726</v>
      </c>
      <c r="B1042" t="s">
        <v>2713</v>
      </c>
      <c r="C1042" t="s">
        <v>2714</v>
      </c>
      <c r="D1042" t="s">
        <v>11</v>
      </c>
      <c r="E1042" t="s">
        <v>13</v>
      </c>
      <c r="F1042" t="s">
        <v>729</v>
      </c>
      <c r="G1042" t="s">
        <v>12</v>
      </c>
      <c r="I1042" t="s">
        <v>2713</v>
      </c>
      <c r="J1042" t="s">
        <v>3990</v>
      </c>
      <c r="K1042">
        <v>2.3211677009360714</v>
      </c>
      <c r="L1042">
        <v>0.19066352941311629</v>
      </c>
      <c r="M1042">
        <v>24.488244140138828</v>
      </c>
      <c r="N1042">
        <v>26.937068554152713</v>
      </c>
    </row>
    <row r="1043" spans="1:14">
      <c r="A1043" t="s">
        <v>726</v>
      </c>
      <c r="B1043" t="s">
        <v>2715</v>
      </c>
      <c r="C1043" t="s">
        <v>2716</v>
      </c>
      <c r="D1043" t="s">
        <v>11</v>
      </c>
      <c r="E1043" t="s">
        <v>13</v>
      </c>
      <c r="F1043" t="s">
        <v>729</v>
      </c>
      <c r="G1043" t="s">
        <v>12</v>
      </c>
      <c r="I1043" t="s">
        <v>2715</v>
      </c>
      <c r="J1043" t="s">
        <v>3991</v>
      </c>
      <c r="K1043">
        <v>0.26102756748942924</v>
      </c>
      <c r="L1043">
        <v>0.1649540218342288</v>
      </c>
      <c r="M1043">
        <v>43.770010862294477</v>
      </c>
      <c r="N1043">
        <v>48.147011948523925</v>
      </c>
    </row>
    <row r="1044" spans="1:14">
      <c r="A1044" t="s">
        <v>726</v>
      </c>
      <c r="B1044" t="s">
        <v>2717</v>
      </c>
      <c r="C1044" t="s">
        <v>2718</v>
      </c>
      <c r="D1044" t="s">
        <v>11</v>
      </c>
      <c r="E1044" t="s">
        <v>13</v>
      </c>
      <c r="F1044" t="s">
        <v>729</v>
      </c>
      <c r="G1044" t="s">
        <v>12</v>
      </c>
      <c r="I1044" t="s">
        <v>2717</v>
      </c>
      <c r="J1044" t="s">
        <v>3992</v>
      </c>
      <c r="K1044">
        <v>5.1988639937670951E-2</v>
      </c>
      <c r="L1044">
        <v>0.18576917432821469</v>
      </c>
      <c r="M1044">
        <v>237.29644198395303</v>
      </c>
      <c r="N1044">
        <v>261.02608618234837</v>
      </c>
    </row>
    <row r="1045" spans="1:14">
      <c r="A1045" t="s">
        <v>726</v>
      </c>
      <c r="B1045" t="s">
        <v>2719</v>
      </c>
      <c r="C1045" t="s">
        <v>2720</v>
      </c>
      <c r="D1045" t="s">
        <v>11</v>
      </c>
      <c r="E1045" t="s">
        <v>13</v>
      </c>
      <c r="F1045" t="s">
        <v>729</v>
      </c>
      <c r="G1045" t="s">
        <v>12</v>
      </c>
      <c r="I1045" t="s">
        <v>2719</v>
      </c>
      <c r="J1045" t="s">
        <v>3993</v>
      </c>
      <c r="K1045">
        <v>10.467026270982936</v>
      </c>
      <c r="L1045">
        <v>0.2267920299022968</v>
      </c>
      <c r="M1045">
        <v>105.06323706719948</v>
      </c>
      <c r="N1045">
        <v>115.56956077391943</v>
      </c>
    </row>
    <row r="1046" spans="1:14">
      <c r="A1046" t="s">
        <v>726</v>
      </c>
      <c r="B1046" t="s">
        <v>2721</v>
      </c>
      <c r="C1046" t="s">
        <v>2722</v>
      </c>
      <c r="D1046" t="s">
        <v>11</v>
      </c>
      <c r="E1046" t="s">
        <v>13</v>
      </c>
      <c r="F1046" t="s">
        <v>729</v>
      </c>
      <c r="G1046" t="s">
        <v>12</v>
      </c>
      <c r="I1046" t="s">
        <v>2721</v>
      </c>
      <c r="J1046" t="s">
        <v>3994</v>
      </c>
      <c r="K1046">
        <v>34.479090289216209</v>
      </c>
      <c r="L1046">
        <v>0.2483117660000739</v>
      </c>
      <c r="M1046">
        <v>101.43768610860111</v>
      </c>
      <c r="N1046">
        <v>111.58145471946123</v>
      </c>
    </row>
    <row r="1047" spans="1:14">
      <c r="A1047" t="s">
        <v>726</v>
      </c>
      <c r="B1047" t="s">
        <v>2723</v>
      </c>
      <c r="C1047" t="s">
        <v>2724</v>
      </c>
      <c r="D1047" t="s">
        <v>11</v>
      </c>
      <c r="E1047" t="s">
        <v>13</v>
      </c>
      <c r="F1047" t="s">
        <v>729</v>
      </c>
      <c r="G1047" t="s">
        <v>12</v>
      </c>
      <c r="I1047" t="s">
        <v>2723</v>
      </c>
      <c r="J1047" t="s">
        <v>3995</v>
      </c>
      <c r="K1047">
        <v>44.657245258959804</v>
      </c>
      <c r="L1047">
        <v>0.2480492810746853</v>
      </c>
      <c r="M1047">
        <v>169.54866867207738</v>
      </c>
      <c r="N1047">
        <v>186.50353553928514</v>
      </c>
    </row>
    <row r="1048" spans="1:14">
      <c r="A1048" t="s">
        <v>726</v>
      </c>
      <c r="B1048" t="s">
        <v>2725</v>
      </c>
      <c r="C1048" t="s">
        <v>2726</v>
      </c>
      <c r="D1048" t="s">
        <v>11</v>
      </c>
      <c r="E1048" t="s">
        <v>13</v>
      </c>
      <c r="F1048" t="s">
        <v>729</v>
      </c>
      <c r="G1048" t="s">
        <v>12</v>
      </c>
      <c r="I1048" t="s">
        <v>2725</v>
      </c>
      <c r="J1048" t="s">
        <v>3996</v>
      </c>
      <c r="K1048">
        <v>38.445618206379393</v>
      </c>
      <c r="L1048">
        <v>0.23239443205103269</v>
      </c>
      <c r="M1048">
        <v>97.996522014253927</v>
      </c>
      <c r="N1048">
        <v>107.79617421567933</v>
      </c>
    </row>
    <row r="1049" spans="1:14">
      <c r="A1049" t="s">
        <v>726</v>
      </c>
      <c r="B1049" t="s">
        <v>2727</v>
      </c>
      <c r="C1049" t="s">
        <v>2728</v>
      </c>
      <c r="D1049" t="s">
        <v>11</v>
      </c>
      <c r="E1049" t="s">
        <v>13</v>
      </c>
      <c r="F1049" t="s">
        <v>729</v>
      </c>
      <c r="G1049" t="s">
        <v>12</v>
      </c>
      <c r="I1049" t="s">
        <v>2727</v>
      </c>
      <c r="J1049" t="s">
        <v>3997</v>
      </c>
      <c r="K1049">
        <v>66.118442840697938</v>
      </c>
      <c r="L1049">
        <v>0.2307413501348605</v>
      </c>
      <c r="M1049">
        <v>128.34763399430238</v>
      </c>
      <c r="N1049">
        <v>141.18239739373263</v>
      </c>
    </row>
    <row r="1050" spans="1:14">
      <c r="A1050" t="s">
        <v>726</v>
      </c>
      <c r="B1050" t="s">
        <v>2729</v>
      </c>
      <c r="C1050" t="s">
        <v>2730</v>
      </c>
      <c r="D1050" t="s">
        <v>11</v>
      </c>
      <c r="E1050" t="s">
        <v>13</v>
      </c>
      <c r="F1050" t="s">
        <v>729</v>
      </c>
      <c r="G1050" t="s">
        <v>12</v>
      </c>
      <c r="I1050" t="s">
        <v>2729</v>
      </c>
      <c r="J1050" t="s">
        <v>3998</v>
      </c>
      <c r="K1050">
        <v>25.59578863425039</v>
      </c>
      <c r="L1050">
        <v>0.2289638219884941</v>
      </c>
      <c r="M1050">
        <v>133.66193337756647</v>
      </c>
      <c r="N1050">
        <v>147.02812671532314</v>
      </c>
    </row>
    <row r="1051" spans="1:14">
      <c r="A1051" t="s">
        <v>726</v>
      </c>
      <c r="B1051" t="s">
        <v>2731</v>
      </c>
      <c r="C1051" t="s">
        <v>2732</v>
      </c>
      <c r="D1051" t="s">
        <v>11</v>
      </c>
      <c r="E1051" t="s">
        <v>13</v>
      </c>
      <c r="F1051" t="s">
        <v>729</v>
      </c>
      <c r="G1051" t="s">
        <v>12</v>
      </c>
      <c r="I1051" t="s">
        <v>2731</v>
      </c>
      <c r="J1051" t="s">
        <v>3999</v>
      </c>
      <c r="K1051">
        <v>17.283496296448561</v>
      </c>
      <c r="L1051">
        <v>0.21577202664198389</v>
      </c>
      <c r="M1051">
        <v>91.711637017504003</v>
      </c>
      <c r="N1051">
        <v>100.8828007192544</v>
      </c>
    </row>
    <row r="1052" spans="1:14">
      <c r="A1052" t="s">
        <v>726</v>
      </c>
      <c r="B1052" t="s">
        <v>2733</v>
      </c>
      <c r="C1052" t="s">
        <v>2734</v>
      </c>
      <c r="D1052" t="s">
        <v>11</v>
      </c>
      <c r="E1052" t="s">
        <v>13</v>
      </c>
      <c r="F1052" t="s">
        <v>729</v>
      </c>
      <c r="G1052" t="s">
        <v>12</v>
      </c>
      <c r="I1052" t="s">
        <v>2733</v>
      </c>
      <c r="J1052" t="s">
        <v>4000</v>
      </c>
      <c r="K1052">
        <v>2.7490894047814405</v>
      </c>
      <c r="L1052">
        <v>0.22185380384655939</v>
      </c>
      <c r="M1052">
        <v>133.42464327482685</v>
      </c>
      <c r="N1052">
        <v>146.76710760230955</v>
      </c>
    </row>
    <row r="1053" spans="1:14">
      <c r="A1053" t="s">
        <v>726</v>
      </c>
      <c r="B1053" t="s">
        <v>2735</v>
      </c>
      <c r="C1053" t="s">
        <v>2736</v>
      </c>
      <c r="D1053" t="s">
        <v>11</v>
      </c>
      <c r="E1053" t="s">
        <v>13</v>
      </c>
      <c r="F1053" t="s">
        <v>729</v>
      </c>
      <c r="G1053" t="s">
        <v>12</v>
      </c>
      <c r="I1053" t="s">
        <v>2735</v>
      </c>
      <c r="J1053" t="s">
        <v>4001</v>
      </c>
      <c r="K1053">
        <v>53.55798197889203</v>
      </c>
      <c r="L1053">
        <v>0.25595363504045138</v>
      </c>
      <c r="M1053">
        <v>134.94642990730986</v>
      </c>
      <c r="N1053">
        <v>148.44107289804086</v>
      </c>
    </row>
    <row r="1054" spans="1:14">
      <c r="A1054" t="s">
        <v>726</v>
      </c>
      <c r="B1054" t="s">
        <v>2737</v>
      </c>
      <c r="C1054" t="s">
        <v>2738</v>
      </c>
      <c r="D1054" t="s">
        <v>11</v>
      </c>
      <c r="E1054" t="s">
        <v>13</v>
      </c>
      <c r="F1054" t="s">
        <v>729</v>
      </c>
      <c r="G1054" t="s">
        <v>12</v>
      </c>
      <c r="I1054" t="s">
        <v>2737</v>
      </c>
      <c r="J1054" t="s">
        <v>4002</v>
      </c>
      <c r="K1054">
        <v>4.8986461306837636</v>
      </c>
      <c r="L1054">
        <v>0.2164960110297488</v>
      </c>
      <c r="M1054">
        <v>299.46563406038814</v>
      </c>
      <c r="N1054">
        <v>329.41219746642696</v>
      </c>
    </row>
    <row r="1055" spans="1:14">
      <c r="A1055" t="s">
        <v>726</v>
      </c>
      <c r="B1055" t="s">
        <v>2739</v>
      </c>
      <c r="C1055" t="s">
        <v>2740</v>
      </c>
      <c r="D1055" t="s">
        <v>11</v>
      </c>
      <c r="E1055" t="s">
        <v>13</v>
      </c>
      <c r="F1055" t="s">
        <v>729</v>
      </c>
      <c r="G1055" t="s">
        <v>12</v>
      </c>
      <c r="I1055" t="s">
        <v>2739</v>
      </c>
      <c r="J1055" t="s">
        <v>4003</v>
      </c>
      <c r="K1055">
        <v>12.632632663990769</v>
      </c>
      <c r="L1055">
        <v>0.2200904200339211</v>
      </c>
      <c r="M1055">
        <v>343.97905548501234</v>
      </c>
      <c r="N1055">
        <v>378.37696103351362</v>
      </c>
    </row>
    <row r="1056" spans="1:14">
      <c r="A1056" t="s">
        <v>726</v>
      </c>
      <c r="B1056" t="s">
        <v>2741</v>
      </c>
      <c r="C1056" t="s">
        <v>2742</v>
      </c>
      <c r="D1056" t="s">
        <v>11</v>
      </c>
      <c r="E1056" t="s">
        <v>13</v>
      </c>
      <c r="F1056" t="s">
        <v>729</v>
      </c>
      <c r="G1056" t="s">
        <v>12</v>
      </c>
      <c r="I1056" t="s">
        <v>2741</v>
      </c>
      <c r="J1056" t="s">
        <v>4004</v>
      </c>
      <c r="K1056">
        <v>2.9317135519101076</v>
      </c>
      <c r="L1056">
        <v>0.2178928793672191</v>
      </c>
      <c r="M1056">
        <v>54.189102596367803</v>
      </c>
      <c r="N1056">
        <v>59.608012856004585</v>
      </c>
    </row>
    <row r="1057" spans="1:14">
      <c r="A1057" t="s">
        <v>726</v>
      </c>
      <c r="B1057" t="s">
        <v>2743</v>
      </c>
      <c r="C1057" t="s">
        <v>2744</v>
      </c>
      <c r="D1057" t="s">
        <v>11</v>
      </c>
      <c r="E1057" t="s">
        <v>13</v>
      </c>
      <c r="F1057" t="s">
        <v>729</v>
      </c>
      <c r="G1057" t="s">
        <v>12</v>
      </c>
      <c r="I1057" t="s">
        <v>2743</v>
      </c>
      <c r="J1057" t="s">
        <v>4005</v>
      </c>
      <c r="K1057">
        <v>29.912719631365171</v>
      </c>
      <c r="L1057">
        <v>0.22001289587460629</v>
      </c>
      <c r="M1057">
        <v>43.623588091253559</v>
      </c>
      <c r="N1057">
        <v>47.98594690037892</v>
      </c>
    </row>
    <row r="1058" spans="1:14">
      <c r="A1058" t="s">
        <v>726</v>
      </c>
      <c r="B1058" t="s">
        <v>2745</v>
      </c>
      <c r="C1058" t="s">
        <v>2746</v>
      </c>
      <c r="D1058" t="s">
        <v>11</v>
      </c>
      <c r="E1058" t="s">
        <v>13</v>
      </c>
      <c r="F1058" t="s">
        <v>729</v>
      </c>
      <c r="G1058" t="s">
        <v>12</v>
      </c>
      <c r="I1058" t="s">
        <v>2745</v>
      </c>
      <c r="J1058" t="s">
        <v>4006</v>
      </c>
      <c r="K1058">
        <v>37.815130622488169</v>
      </c>
      <c r="L1058">
        <v>0.22994333672103379</v>
      </c>
      <c r="M1058">
        <v>44.663926845558507</v>
      </c>
      <c r="N1058">
        <v>49.130319530114363</v>
      </c>
    </row>
    <row r="1059" spans="1:14">
      <c r="A1059" t="s">
        <v>726</v>
      </c>
      <c r="B1059" t="s">
        <v>2747</v>
      </c>
      <c r="C1059" t="s">
        <v>2748</v>
      </c>
      <c r="D1059" t="s">
        <v>11</v>
      </c>
      <c r="E1059" t="s">
        <v>13</v>
      </c>
      <c r="F1059" t="s">
        <v>729</v>
      </c>
      <c r="G1059" t="s">
        <v>12</v>
      </c>
      <c r="I1059" t="s">
        <v>2747</v>
      </c>
      <c r="J1059" t="s">
        <v>4007</v>
      </c>
      <c r="K1059">
        <v>17.93141741922221</v>
      </c>
      <c r="L1059">
        <v>0.2384179894849254</v>
      </c>
      <c r="M1059">
        <v>87.39708075024221</v>
      </c>
      <c r="N1059">
        <v>96.136788825266436</v>
      </c>
    </row>
    <row r="1060" spans="1:14">
      <c r="A1060" t="s">
        <v>726</v>
      </c>
      <c r="B1060" t="s">
        <v>2749</v>
      </c>
      <c r="C1060" t="s">
        <v>2750</v>
      </c>
      <c r="D1060" t="s">
        <v>11</v>
      </c>
      <c r="E1060" t="s">
        <v>13</v>
      </c>
      <c r="F1060" t="s">
        <v>729</v>
      </c>
      <c r="G1060" t="s">
        <v>12</v>
      </c>
      <c r="I1060" t="s">
        <v>2749</v>
      </c>
      <c r="J1060" t="s">
        <v>4008</v>
      </c>
      <c r="K1060">
        <v>18.428718534750658</v>
      </c>
      <c r="L1060">
        <v>0.22672254874424569</v>
      </c>
      <c r="M1060">
        <v>42.561197607725241</v>
      </c>
      <c r="N1060">
        <v>46.817317368497768</v>
      </c>
    </row>
    <row r="1061" spans="1:14">
      <c r="A1061" t="s">
        <v>726</v>
      </c>
      <c r="B1061" t="s">
        <v>2751</v>
      </c>
      <c r="C1061" t="s">
        <v>2752</v>
      </c>
      <c r="D1061" t="s">
        <v>11</v>
      </c>
      <c r="E1061" t="s">
        <v>13</v>
      </c>
      <c r="F1061" t="s">
        <v>729</v>
      </c>
      <c r="G1061" t="s">
        <v>12</v>
      </c>
      <c r="I1061" t="s">
        <v>2751</v>
      </c>
      <c r="J1061" t="s">
        <v>4009</v>
      </c>
      <c r="K1061">
        <v>50.908211149636564</v>
      </c>
      <c r="L1061">
        <v>0.2236138264072072</v>
      </c>
      <c r="M1061">
        <v>32.618987263735605</v>
      </c>
      <c r="N1061">
        <v>35.880885990109171</v>
      </c>
    </row>
    <row r="1062" spans="1:14">
      <c r="A1062" t="s">
        <v>726</v>
      </c>
      <c r="B1062" t="s">
        <v>2753</v>
      </c>
      <c r="C1062" t="s">
        <v>2754</v>
      </c>
      <c r="D1062" t="s">
        <v>11</v>
      </c>
      <c r="E1062" t="s">
        <v>13</v>
      </c>
      <c r="F1062" t="s">
        <v>729</v>
      </c>
      <c r="G1062" t="s">
        <v>12</v>
      </c>
      <c r="I1062" t="s">
        <v>2753</v>
      </c>
      <c r="J1062" t="s">
        <v>4010</v>
      </c>
      <c r="K1062">
        <v>48.485965693997109</v>
      </c>
      <c r="L1062">
        <v>0.15293549594888281</v>
      </c>
      <c r="M1062">
        <v>78.738327823328333</v>
      </c>
      <c r="N1062">
        <v>86.612160605661174</v>
      </c>
    </row>
    <row r="1063" spans="1:14">
      <c r="A1063" t="s">
        <v>726</v>
      </c>
      <c r="B1063" t="s">
        <v>2755</v>
      </c>
      <c r="C1063" t="s">
        <v>2756</v>
      </c>
      <c r="D1063" t="s">
        <v>11</v>
      </c>
      <c r="E1063" t="s">
        <v>13</v>
      </c>
      <c r="F1063" t="s">
        <v>729</v>
      </c>
      <c r="G1063" t="s">
        <v>12</v>
      </c>
      <c r="I1063" t="s">
        <v>2755</v>
      </c>
      <c r="J1063" t="s">
        <v>4011</v>
      </c>
      <c r="K1063">
        <v>25.001062461973383</v>
      </c>
      <c r="L1063">
        <v>0.1818452666895442</v>
      </c>
      <c r="M1063">
        <v>62.261892775873683</v>
      </c>
      <c r="N1063">
        <v>68.488082053461056</v>
      </c>
    </row>
    <row r="1064" spans="1:14">
      <c r="A1064" t="s">
        <v>726</v>
      </c>
      <c r="B1064" t="s">
        <v>2757</v>
      </c>
      <c r="C1064" t="s">
        <v>2758</v>
      </c>
      <c r="D1064" t="s">
        <v>11</v>
      </c>
      <c r="E1064" t="s">
        <v>13</v>
      </c>
      <c r="F1064" t="s">
        <v>729</v>
      </c>
      <c r="G1064" t="s">
        <v>12</v>
      </c>
      <c r="I1064" t="s">
        <v>2757</v>
      </c>
      <c r="J1064" t="s">
        <v>4012</v>
      </c>
      <c r="K1064">
        <v>127.73423048430818</v>
      </c>
      <c r="L1064">
        <v>0.1608294086468689</v>
      </c>
      <c r="M1064">
        <v>53.78089732083896</v>
      </c>
      <c r="N1064">
        <v>59.158987052922861</v>
      </c>
    </row>
    <row r="1065" spans="1:14">
      <c r="A1065" t="s">
        <v>726</v>
      </c>
      <c r="B1065" t="s">
        <v>2759</v>
      </c>
      <c r="C1065" t="s">
        <v>2760</v>
      </c>
      <c r="D1065" t="s">
        <v>11</v>
      </c>
      <c r="E1065" t="s">
        <v>13</v>
      </c>
      <c r="F1065" t="s">
        <v>729</v>
      </c>
      <c r="G1065" t="s">
        <v>12</v>
      </c>
      <c r="I1065" t="s">
        <v>2759</v>
      </c>
      <c r="J1065" t="s">
        <v>4013</v>
      </c>
      <c r="K1065">
        <v>15.485684134808929</v>
      </c>
      <c r="L1065">
        <v>0.14247636135089711</v>
      </c>
      <c r="M1065">
        <v>60.109637522630159</v>
      </c>
      <c r="N1065">
        <v>66.120601274893176</v>
      </c>
    </row>
    <row r="1066" spans="1:14">
      <c r="A1066" t="s">
        <v>726</v>
      </c>
      <c r="B1066" t="s">
        <v>2761</v>
      </c>
      <c r="C1066" t="s">
        <v>2762</v>
      </c>
      <c r="D1066" t="s">
        <v>11</v>
      </c>
      <c r="E1066" t="s">
        <v>13</v>
      </c>
      <c r="F1066" t="s">
        <v>729</v>
      </c>
      <c r="G1066" t="s">
        <v>12</v>
      </c>
      <c r="I1066" t="s">
        <v>2761</v>
      </c>
      <c r="J1066" t="s">
        <v>4014</v>
      </c>
      <c r="K1066">
        <v>21.51093504659157</v>
      </c>
      <c r="L1066">
        <v>0.1508560261447415</v>
      </c>
      <c r="M1066">
        <v>42.326156156204227</v>
      </c>
      <c r="N1066">
        <v>46.558771771824652</v>
      </c>
    </row>
    <row r="1067" spans="1:14">
      <c r="A1067" t="s">
        <v>726</v>
      </c>
      <c r="B1067" t="s">
        <v>2763</v>
      </c>
      <c r="C1067" t="s">
        <v>2764</v>
      </c>
      <c r="D1067" t="s">
        <v>11</v>
      </c>
      <c r="E1067" t="s">
        <v>13</v>
      </c>
      <c r="F1067" t="s">
        <v>729</v>
      </c>
      <c r="G1067" t="s">
        <v>12</v>
      </c>
      <c r="I1067" t="s">
        <v>2763</v>
      </c>
      <c r="J1067" t="s">
        <v>4015</v>
      </c>
      <c r="K1067">
        <v>55.054881729216213</v>
      </c>
      <c r="L1067">
        <v>0.1467386690064485</v>
      </c>
      <c r="M1067">
        <v>61.928294595914807</v>
      </c>
      <c r="N1067">
        <v>68.121124055506286</v>
      </c>
    </row>
    <row r="1068" spans="1:14">
      <c r="A1068" t="s">
        <v>726</v>
      </c>
      <c r="B1068" t="s">
        <v>2765</v>
      </c>
      <c r="C1068" t="s">
        <v>2766</v>
      </c>
      <c r="D1068" t="s">
        <v>11</v>
      </c>
      <c r="E1068" t="s">
        <v>13</v>
      </c>
      <c r="F1068" t="s">
        <v>729</v>
      </c>
      <c r="G1068" t="s">
        <v>12</v>
      </c>
      <c r="I1068" t="s">
        <v>2765</v>
      </c>
      <c r="J1068" t="s">
        <v>4016</v>
      </c>
      <c r="K1068">
        <v>72.943282648902169</v>
      </c>
      <c r="L1068">
        <v>0.14943753694444109</v>
      </c>
      <c r="M1068">
        <v>59.249305780843422</v>
      </c>
      <c r="N1068">
        <v>65.174236358927772</v>
      </c>
    </row>
    <row r="1069" spans="1:14">
      <c r="A1069" t="s">
        <v>726</v>
      </c>
      <c r="B1069" t="s">
        <v>2767</v>
      </c>
      <c r="C1069" t="s">
        <v>2768</v>
      </c>
      <c r="D1069" t="s">
        <v>11</v>
      </c>
      <c r="E1069" t="s">
        <v>13</v>
      </c>
      <c r="F1069" t="s">
        <v>729</v>
      </c>
      <c r="G1069" t="s">
        <v>12</v>
      </c>
      <c r="I1069" t="s">
        <v>2767</v>
      </c>
      <c r="J1069" t="s">
        <v>4017</v>
      </c>
      <c r="K1069">
        <v>57.376887306772787</v>
      </c>
      <c r="L1069">
        <v>0.16675117543136389</v>
      </c>
      <c r="M1069">
        <v>76.290678880409615</v>
      </c>
      <c r="N1069">
        <v>83.91974676845058</v>
      </c>
    </row>
    <row r="1070" spans="1:14">
      <c r="A1070" t="s">
        <v>726</v>
      </c>
      <c r="B1070" t="s">
        <v>2769</v>
      </c>
      <c r="C1070" t="s">
        <v>2770</v>
      </c>
      <c r="D1070" t="s">
        <v>11</v>
      </c>
      <c r="E1070" t="s">
        <v>13</v>
      </c>
      <c r="F1070" t="s">
        <v>729</v>
      </c>
      <c r="G1070" t="s">
        <v>12</v>
      </c>
      <c r="I1070" t="s">
        <v>2769</v>
      </c>
      <c r="J1070" t="s">
        <v>4018</v>
      </c>
      <c r="K1070">
        <v>54.863970482380019</v>
      </c>
      <c r="L1070">
        <v>0.1486080574070964</v>
      </c>
      <c r="M1070">
        <v>69.633223246227672</v>
      </c>
      <c r="N1070">
        <v>76.596545570850452</v>
      </c>
    </row>
    <row r="1071" spans="1:14">
      <c r="A1071" t="s">
        <v>726</v>
      </c>
      <c r="B1071" t="s">
        <v>2771</v>
      </c>
      <c r="C1071" t="s">
        <v>2772</v>
      </c>
      <c r="D1071" t="s">
        <v>11</v>
      </c>
      <c r="E1071" t="s">
        <v>13</v>
      </c>
      <c r="F1071" t="s">
        <v>729</v>
      </c>
      <c r="G1071" t="s">
        <v>12</v>
      </c>
      <c r="I1071" t="s">
        <v>2771</v>
      </c>
      <c r="J1071" t="s">
        <v>4019</v>
      </c>
      <c r="K1071">
        <v>24.402320501417044</v>
      </c>
      <c r="L1071">
        <v>0.2034317975444204</v>
      </c>
      <c r="M1071">
        <v>110.04658856276797</v>
      </c>
      <c r="N1071">
        <v>121.05124741904477</v>
      </c>
    </row>
    <row r="1072" spans="1:14">
      <c r="A1072" t="s">
        <v>726</v>
      </c>
      <c r="B1072" t="s">
        <v>2773</v>
      </c>
      <c r="C1072" t="s">
        <v>2774</v>
      </c>
      <c r="D1072" t="s">
        <v>11</v>
      </c>
      <c r="E1072" t="s">
        <v>13</v>
      </c>
      <c r="F1072" t="s">
        <v>729</v>
      </c>
      <c r="G1072" t="s">
        <v>12</v>
      </c>
      <c r="I1072" t="s">
        <v>2773</v>
      </c>
      <c r="J1072" t="s">
        <v>4020</v>
      </c>
      <c r="K1072">
        <v>16.397414358160056</v>
      </c>
      <c r="L1072">
        <v>0.20406078944240921</v>
      </c>
      <c r="M1072">
        <v>112.23365347475981</v>
      </c>
      <c r="N1072">
        <v>123.4570188222358</v>
      </c>
    </row>
    <row r="1073" spans="1:14">
      <c r="A1073" t="s">
        <v>726</v>
      </c>
      <c r="B1073" t="s">
        <v>2775</v>
      </c>
      <c r="C1073" t="s">
        <v>2776</v>
      </c>
      <c r="D1073" t="s">
        <v>11</v>
      </c>
      <c r="E1073" t="s">
        <v>13</v>
      </c>
      <c r="F1073" t="s">
        <v>729</v>
      </c>
      <c r="G1073" t="s">
        <v>12</v>
      </c>
      <c r="I1073" t="s">
        <v>2775</v>
      </c>
      <c r="J1073" t="s">
        <v>4021</v>
      </c>
      <c r="K1073">
        <v>28.827456965601353</v>
      </c>
      <c r="L1073">
        <v>0.2048329064168318</v>
      </c>
      <c r="M1073">
        <v>80.044730169767263</v>
      </c>
      <c r="N1073">
        <v>88.049203186743995</v>
      </c>
    </row>
    <row r="1074" spans="1:14">
      <c r="A1074" t="s">
        <v>726</v>
      </c>
      <c r="B1074" t="s">
        <v>2777</v>
      </c>
      <c r="C1074" t="s">
        <v>2778</v>
      </c>
      <c r="D1074" t="s">
        <v>11</v>
      </c>
      <c r="E1074" t="s">
        <v>13</v>
      </c>
      <c r="F1074" t="s">
        <v>729</v>
      </c>
      <c r="G1074" t="s">
        <v>12</v>
      </c>
      <c r="I1074" t="s">
        <v>2777</v>
      </c>
      <c r="J1074" t="s">
        <v>4022</v>
      </c>
      <c r="K1074">
        <v>5.7954222012393037</v>
      </c>
      <c r="L1074">
        <v>0.1960227527608491</v>
      </c>
      <c r="M1074">
        <v>116.49473312814897</v>
      </c>
      <c r="N1074">
        <v>128.14420644096387</v>
      </c>
    </row>
    <row r="1075" spans="1:14">
      <c r="A1075" t="s">
        <v>726</v>
      </c>
      <c r="B1075" t="s">
        <v>2779</v>
      </c>
      <c r="C1075" t="s">
        <v>2780</v>
      </c>
      <c r="D1075" t="s">
        <v>11</v>
      </c>
      <c r="E1075" t="s">
        <v>13</v>
      </c>
      <c r="F1075" t="s">
        <v>729</v>
      </c>
      <c r="G1075" t="s">
        <v>12</v>
      </c>
      <c r="I1075" t="s">
        <v>2779</v>
      </c>
      <c r="J1075" t="s">
        <v>4023</v>
      </c>
      <c r="K1075">
        <v>21.807663922094164</v>
      </c>
      <c r="L1075">
        <v>0.19553924391336361</v>
      </c>
      <c r="M1075">
        <v>90.936993999972117</v>
      </c>
      <c r="N1075">
        <v>100.03069339996934</v>
      </c>
    </row>
    <row r="1076" spans="1:14">
      <c r="A1076" t="s">
        <v>726</v>
      </c>
      <c r="B1076" t="s">
        <v>2781</v>
      </c>
      <c r="C1076" t="s">
        <v>2782</v>
      </c>
      <c r="D1076" t="s">
        <v>11</v>
      </c>
      <c r="E1076" t="s">
        <v>13</v>
      </c>
      <c r="F1076" t="s">
        <v>729</v>
      </c>
      <c r="G1076" t="s">
        <v>12</v>
      </c>
      <c r="I1076" t="s">
        <v>2781</v>
      </c>
      <c r="J1076" t="s">
        <v>4024</v>
      </c>
      <c r="K1076">
        <v>9.782443055787752</v>
      </c>
      <c r="L1076">
        <v>0.14752747926746759</v>
      </c>
      <c r="M1076">
        <v>1306.5309143007726</v>
      </c>
      <c r="N1076">
        <v>1437.18400573085</v>
      </c>
    </row>
    <row r="1077" spans="1:14">
      <c r="A1077" t="s">
        <v>726</v>
      </c>
      <c r="B1077" t="s">
        <v>2783</v>
      </c>
      <c r="C1077" t="s">
        <v>2784</v>
      </c>
      <c r="D1077" t="s">
        <v>11</v>
      </c>
      <c r="E1077" t="s">
        <v>13</v>
      </c>
      <c r="F1077" t="s">
        <v>729</v>
      </c>
      <c r="G1077" t="s">
        <v>12</v>
      </c>
      <c r="I1077" t="s">
        <v>2783</v>
      </c>
      <c r="J1077" t="s">
        <v>4025</v>
      </c>
      <c r="K1077">
        <v>6.7900592514268334</v>
      </c>
      <c r="L1077">
        <v>0.12225917669035689</v>
      </c>
      <c r="M1077">
        <v>1405.8086366911959</v>
      </c>
      <c r="N1077">
        <v>1546.3895003603157</v>
      </c>
    </row>
    <row r="1078" spans="1:14">
      <c r="A1078" t="s">
        <v>726</v>
      </c>
      <c r="B1078" t="s">
        <v>2785</v>
      </c>
      <c r="C1078" t="s">
        <v>2784</v>
      </c>
      <c r="D1078" t="s">
        <v>11</v>
      </c>
      <c r="E1078" t="s">
        <v>13</v>
      </c>
      <c r="F1078" t="s">
        <v>729</v>
      </c>
      <c r="G1078" t="s">
        <v>12</v>
      </c>
      <c r="I1078" t="s">
        <v>2785</v>
      </c>
      <c r="J1078" t="s">
        <v>4026</v>
      </c>
      <c r="K1078">
        <v>57.430681106231596</v>
      </c>
      <c r="L1078">
        <v>0.14214243130188381</v>
      </c>
      <c r="M1078">
        <v>907.50043592514862</v>
      </c>
      <c r="N1078">
        <v>998.25047951766362</v>
      </c>
    </row>
    <row r="1079" spans="1:14">
      <c r="A1079" t="s">
        <v>726</v>
      </c>
      <c r="B1079" t="s">
        <v>2786</v>
      </c>
      <c r="C1079" t="s">
        <v>2787</v>
      </c>
      <c r="D1079" t="s">
        <v>11</v>
      </c>
      <c r="E1079" t="s">
        <v>13</v>
      </c>
      <c r="F1079" t="s">
        <v>729</v>
      </c>
      <c r="G1079" t="s">
        <v>12</v>
      </c>
      <c r="I1079" t="s">
        <v>2786</v>
      </c>
      <c r="J1079" t="s">
        <v>4027</v>
      </c>
      <c r="K1079">
        <v>204.58732146982666</v>
      </c>
      <c r="L1079">
        <v>0.18947808476907671</v>
      </c>
      <c r="M1079">
        <v>111.565928899909</v>
      </c>
      <c r="N1079">
        <v>122.7225217898999</v>
      </c>
    </row>
    <row r="1080" spans="1:14">
      <c r="A1080" t="s">
        <v>726</v>
      </c>
      <c r="B1080" t="s">
        <v>2788</v>
      </c>
      <c r="C1080" t="s">
        <v>2789</v>
      </c>
      <c r="D1080" t="s">
        <v>11</v>
      </c>
      <c r="E1080" t="s">
        <v>13</v>
      </c>
      <c r="F1080" t="s">
        <v>729</v>
      </c>
      <c r="G1080" t="s">
        <v>12</v>
      </c>
      <c r="I1080" t="s">
        <v>2788</v>
      </c>
      <c r="J1080" t="s">
        <v>4028</v>
      </c>
      <c r="K1080">
        <v>53.369298925647442</v>
      </c>
      <c r="L1080">
        <v>0.19923654242002359</v>
      </c>
      <c r="M1080">
        <v>47.879851147759936</v>
      </c>
      <c r="N1080">
        <v>52.667836262535936</v>
      </c>
    </row>
    <row r="1081" spans="1:14">
      <c r="A1081" t="s">
        <v>726</v>
      </c>
      <c r="B1081" t="s">
        <v>2790</v>
      </c>
      <c r="C1081" t="s">
        <v>2791</v>
      </c>
      <c r="D1081" t="s">
        <v>11</v>
      </c>
      <c r="E1081" t="s">
        <v>13</v>
      </c>
      <c r="F1081" t="s">
        <v>729</v>
      </c>
      <c r="G1081" t="s">
        <v>12</v>
      </c>
      <c r="I1081" t="s">
        <v>2790</v>
      </c>
      <c r="J1081" t="s">
        <v>4029</v>
      </c>
      <c r="K1081">
        <v>271.34658907062482</v>
      </c>
      <c r="L1081">
        <v>0.1888754656973558</v>
      </c>
      <c r="M1081">
        <v>60.532719931701486</v>
      </c>
      <c r="N1081">
        <v>66.585991924871635</v>
      </c>
    </row>
    <row r="1082" spans="1:14">
      <c r="A1082" t="s">
        <v>726</v>
      </c>
      <c r="B1082" t="s">
        <v>2792</v>
      </c>
      <c r="C1082" t="s">
        <v>2793</v>
      </c>
      <c r="D1082" t="s">
        <v>11</v>
      </c>
      <c r="E1082" t="s">
        <v>13</v>
      </c>
      <c r="F1082" t="s">
        <v>729</v>
      </c>
      <c r="G1082" t="s">
        <v>12</v>
      </c>
      <c r="I1082" t="s">
        <v>2792</v>
      </c>
      <c r="J1082" t="s">
        <v>4030</v>
      </c>
      <c r="K1082">
        <v>269.82741693683363</v>
      </c>
      <c r="L1082">
        <v>0.19331369593234471</v>
      </c>
      <c r="M1082">
        <v>60.103133493034733</v>
      </c>
      <c r="N1082">
        <v>66.113446842338206</v>
      </c>
    </row>
    <row r="1083" spans="1:14">
      <c r="A1083" t="s">
        <v>726</v>
      </c>
      <c r="B1083" t="s">
        <v>2794</v>
      </c>
      <c r="C1083" t="s">
        <v>2795</v>
      </c>
      <c r="D1083" t="s">
        <v>11</v>
      </c>
      <c r="E1083" t="s">
        <v>13</v>
      </c>
      <c r="F1083" t="s">
        <v>729</v>
      </c>
      <c r="G1083" t="s">
        <v>12</v>
      </c>
      <c r="I1083" t="s">
        <v>2794</v>
      </c>
      <c r="J1083" t="s">
        <v>4031</v>
      </c>
      <c r="K1083">
        <v>79.479670742876991</v>
      </c>
      <c r="L1083">
        <v>0.20273267079631729</v>
      </c>
      <c r="M1083">
        <v>51.52027951971148</v>
      </c>
      <c r="N1083">
        <v>56.672307471682629</v>
      </c>
    </row>
    <row r="1084" spans="1:14">
      <c r="A1084" t="s">
        <v>726</v>
      </c>
      <c r="B1084" t="s">
        <v>2796</v>
      </c>
      <c r="C1084" t="s">
        <v>2797</v>
      </c>
      <c r="D1084" t="s">
        <v>11</v>
      </c>
      <c r="E1084" t="s">
        <v>13</v>
      </c>
      <c r="F1084" t="s">
        <v>729</v>
      </c>
      <c r="G1084" t="s">
        <v>12</v>
      </c>
      <c r="I1084" t="s">
        <v>2796</v>
      </c>
      <c r="J1084" t="s">
        <v>4032</v>
      </c>
      <c r="K1084">
        <v>144.14406031960431</v>
      </c>
      <c r="L1084">
        <v>0.20436112711207099</v>
      </c>
      <c r="M1084">
        <v>41.763011222731748</v>
      </c>
      <c r="N1084">
        <v>45.939312345004929</v>
      </c>
    </row>
    <row r="1085" spans="1:14">
      <c r="A1085" t="s">
        <v>726</v>
      </c>
      <c r="B1085" t="s">
        <v>2798</v>
      </c>
      <c r="C1085" t="s">
        <v>2799</v>
      </c>
      <c r="D1085" t="s">
        <v>11</v>
      </c>
      <c r="E1085" t="s">
        <v>13</v>
      </c>
      <c r="F1085" t="s">
        <v>729</v>
      </c>
      <c r="G1085" t="s">
        <v>12</v>
      </c>
      <c r="I1085" t="s">
        <v>2798</v>
      </c>
      <c r="J1085" t="s">
        <v>4033</v>
      </c>
      <c r="K1085">
        <v>207.85883004726608</v>
      </c>
      <c r="L1085">
        <v>0.20591197469715311</v>
      </c>
      <c r="M1085">
        <v>93.166492583951239</v>
      </c>
      <c r="N1085">
        <v>102.48314184234637</v>
      </c>
    </row>
    <row r="1086" spans="1:14">
      <c r="A1086" t="s">
        <v>726</v>
      </c>
      <c r="B1086" t="s">
        <v>2800</v>
      </c>
      <c r="C1086" t="s">
        <v>2801</v>
      </c>
      <c r="D1086" t="s">
        <v>11</v>
      </c>
      <c r="E1086" t="s">
        <v>13</v>
      </c>
      <c r="F1086" t="s">
        <v>729</v>
      </c>
      <c r="G1086" t="s">
        <v>12</v>
      </c>
      <c r="I1086" t="s">
        <v>2800</v>
      </c>
      <c r="J1086" t="s">
        <v>4034</v>
      </c>
      <c r="K1086">
        <v>214.49097203412106</v>
      </c>
      <c r="L1086">
        <v>0.19745487824787011</v>
      </c>
      <c r="M1086">
        <v>55.117759399596885</v>
      </c>
      <c r="N1086">
        <v>60.629535339556575</v>
      </c>
    </row>
    <row r="1087" spans="1:14">
      <c r="A1087" t="s">
        <v>726</v>
      </c>
      <c r="B1087" t="s">
        <v>2802</v>
      </c>
      <c r="C1087" t="s">
        <v>2803</v>
      </c>
      <c r="D1087" t="s">
        <v>11</v>
      </c>
      <c r="E1087" t="s">
        <v>13</v>
      </c>
      <c r="F1087" t="s">
        <v>729</v>
      </c>
      <c r="G1087" t="s">
        <v>12</v>
      </c>
      <c r="I1087" t="s">
        <v>2802</v>
      </c>
      <c r="J1087" t="s">
        <v>4035</v>
      </c>
      <c r="K1087">
        <v>207.42786921708171</v>
      </c>
      <c r="L1087">
        <v>0.23972475573679911</v>
      </c>
      <c r="M1087">
        <v>152.413204032625</v>
      </c>
      <c r="N1087">
        <v>167.65452443588751</v>
      </c>
    </row>
    <row r="1088" spans="1:14">
      <c r="A1088" t="s">
        <v>726</v>
      </c>
      <c r="B1088" t="s">
        <v>2804</v>
      </c>
      <c r="C1088" t="s">
        <v>2805</v>
      </c>
      <c r="D1088" t="s">
        <v>11</v>
      </c>
      <c r="E1088" t="s">
        <v>13</v>
      </c>
      <c r="F1088" t="s">
        <v>729</v>
      </c>
      <c r="G1088" t="s">
        <v>12</v>
      </c>
      <c r="I1088" t="s">
        <v>2804</v>
      </c>
      <c r="J1088" t="s">
        <v>4036</v>
      </c>
      <c r="K1088">
        <v>173.36348395911457</v>
      </c>
      <c r="L1088">
        <v>0.21551153542150051</v>
      </c>
      <c r="M1088">
        <v>59.565647927403077</v>
      </c>
      <c r="N1088">
        <v>65.522212720143386</v>
      </c>
    </row>
    <row r="1089" spans="1:14">
      <c r="A1089" t="s">
        <v>726</v>
      </c>
      <c r="B1089" t="s">
        <v>2806</v>
      </c>
      <c r="C1089" t="s">
        <v>2807</v>
      </c>
      <c r="D1089" t="s">
        <v>11</v>
      </c>
      <c r="E1089" t="s">
        <v>13</v>
      </c>
      <c r="F1089" t="s">
        <v>729</v>
      </c>
      <c r="G1089" t="s">
        <v>12</v>
      </c>
      <c r="I1089" t="s">
        <v>2806</v>
      </c>
      <c r="J1089" t="s">
        <v>4037</v>
      </c>
      <c r="K1089">
        <v>259.86643483924519</v>
      </c>
      <c r="L1089">
        <v>0.24404500039052979</v>
      </c>
      <c r="M1089">
        <v>128.1674481821421</v>
      </c>
      <c r="N1089">
        <v>140.98419300035633</v>
      </c>
    </row>
    <row r="1090" spans="1:14">
      <c r="A1090" t="s">
        <v>726</v>
      </c>
      <c r="B1090" t="s">
        <v>2808</v>
      </c>
      <c r="C1090" t="s">
        <v>2809</v>
      </c>
      <c r="D1090" t="s">
        <v>11</v>
      </c>
      <c r="E1090" t="s">
        <v>13</v>
      </c>
      <c r="F1090" t="s">
        <v>729</v>
      </c>
      <c r="G1090" t="s">
        <v>12</v>
      </c>
      <c r="I1090" t="s">
        <v>2808</v>
      </c>
      <c r="J1090" t="s">
        <v>4038</v>
      </c>
      <c r="K1090">
        <v>1077.0463060286916</v>
      </c>
      <c r="L1090">
        <v>0.28668177929877248</v>
      </c>
      <c r="M1090">
        <v>140.4500734237389</v>
      </c>
      <c r="N1090">
        <v>154.49508076611281</v>
      </c>
    </row>
    <row r="1091" spans="1:14">
      <c r="A1091" t="s">
        <v>726</v>
      </c>
      <c r="B1091" t="s">
        <v>2810</v>
      </c>
      <c r="C1091" t="s">
        <v>2811</v>
      </c>
      <c r="D1091" t="s">
        <v>11</v>
      </c>
      <c r="E1091" t="s">
        <v>13</v>
      </c>
      <c r="F1091" t="s">
        <v>729</v>
      </c>
      <c r="G1091" t="s">
        <v>12</v>
      </c>
      <c r="I1091" t="s">
        <v>2810</v>
      </c>
      <c r="J1091" t="s">
        <v>4039</v>
      </c>
      <c r="K1091">
        <v>373.69951096621969</v>
      </c>
      <c r="L1091">
        <v>0.28471820435468898</v>
      </c>
      <c r="M1091">
        <v>142.42694747014659</v>
      </c>
      <c r="N1091">
        <v>156.66964221716125</v>
      </c>
    </row>
    <row r="1092" spans="1:14">
      <c r="A1092" t="s">
        <v>726</v>
      </c>
      <c r="B1092" t="s">
        <v>2812</v>
      </c>
      <c r="C1092" t="s">
        <v>2813</v>
      </c>
      <c r="D1092" t="s">
        <v>11</v>
      </c>
      <c r="E1092" t="s">
        <v>13</v>
      </c>
      <c r="F1092" t="s">
        <v>729</v>
      </c>
      <c r="G1092" t="s">
        <v>12</v>
      </c>
      <c r="I1092" t="s">
        <v>2812</v>
      </c>
      <c r="J1092" t="s">
        <v>4040</v>
      </c>
      <c r="K1092">
        <v>242.17894638191825</v>
      </c>
      <c r="L1092">
        <v>0.25604901692744869</v>
      </c>
      <c r="M1092">
        <v>182.39019971718801</v>
      </c>
      <c r="N1092">
        <v>200.62921968890683</v>
      </c>
    </row>
    <row r="1093" spans="1:14">
      <c r="A1093" t="s">
        <v>726</v>
      </c>
      <c r="B1093" t="s">
        <v>2814</v>
      </c>
      <c r="C1093" t="s">
        <v>2815</v>
      </c>
      <c r="D1093" t="s">
        <v>11</v>
      </c>
      <c r="E1093" t="s">
        <v>13</v>
      </c>
      <c r="F1093" t="s">
        <v>729</v>
      </c>
      <c r="G1093" t="s">
        <v>12</v>
      </c>
      <c r="I1093" t="s">
        <v>2814</v>
      </c>
      <c r="J1093" t="s">
        <v>4041</v>
      </c>
      <c r="K1093">
        <v>373.81289206240962</v>
      </c>
      <c r="L1093">
        <v>0.26224248901775188</v>
      </c>
      <c r="M1093">
        <v>173.23477008123157</v>
      </c>
      <c r="N1093">
        <v>190.55824708935475</v>
      </c>
    </row>
    <row r="1094" spans="1:14">
      <c r="A1094" t="s">
        <v>726</v>
      </c>
      <c r="B1094" t="s">
        <v>2816</v>
      </c>
      <c r="C1094" t="s">
        <v>2817</v>
      </c>
      <c r="D1094" t="s">
        <v>11</v>
      </c>
      <c r="E1094" t="s">
        <v>13</v>
      </c>
      <c r="F1094" t="s">
        <v>729</v>
      </c>
      <c r="G1094" t="s">
        <v>12</v>
      </c>
      <c r="I1094" t="s">
        <v>2816</v>
      </c>
      <c r="J1094" t="s">
        <v>4042</v>
      </c>
      <c r="K1094">
        <v>197.23484659693193</v>
      </c>
      <c r="L1094">
        <v>0.2606850097274111</v>
      </c>
      <c r="M1094">
        <v>137.00880421820858</v>
      </c>
      <c r="N1094">
        <v>150.70968464002945</v>
      </c>
    </row>
    <row r="1095" spans="1:14">
      <c r="A1095" t="s">
        <v>726</v>
      </c>
      <c r="B1095" t="s">
        <v>2818</v>
      </c>
      <c r="C1095" t="s">
        <v>2819</v>
      </c>
      <c r="D1095" t="s">
        <v>11</v>
      </c>
      <c r="E1095" t="s">
        <v>13</v>
      </c>
      <c r="F1095" t="s">
        <v>729</v>
      </c>
      <c r="G1095" t="s">
        <v>12</v>
      </c>
      <c r="I1095" t="s">
        <v>2818</v>
      </c>
      <c r="J1095" t="s">
        <v>4043</v>
      </c>
      <c r="K1095">
        <v>73.279491468481609</v>
      </c>
      <c r="L1095">
        <v>0.21377471955615701</v>
      </c>
      <c r="M1095">
        <v>82.201081710002953</v>
      </c>
      <c r="N1095">
        <v>90.421189881003258</v>
      </c>
    </row>
    <row r="1096" spans="1:14">
      <c r="A1096" t="s">
        <v>726</v>
      </c>
      <c r="B1096" t="s">
        <v>2820</v>
      </c>
      <c r="C1096" t="s">
        <v>2821</v>
      </c>
      <c r="D1096" t="s">
        <v>11</v>
      </c>
      <c r="E1096" t="s">
        <v>13</v>
      </c>
      <c r="F1096" t="s">
        <v>729</v>
      </c>
      <c r="G1096" t="s">
        <v>12</v>
      </c>
      <c r="I1096" t="s">
        <v>2820</v>
      </c>
      <c r="J1096" t="s">
        <v>4044</v>
      </c>
      <c r="K1096">
        <v>474.63968443791521</v>
      </c>
      <c r="L1096">
        <v>0.1991565403121488</v>
      </c>
      <c r="M1096">
        <v>198.59073105504879</v>
      </c>
      <c r="N1096">
        <v>218.4498041605537</v>
      </c>
    </row>
    <row r="1097" spans="1:14">
      <c r="A1097" t="s">
        <v>726</v>
      </c>
      <c r="B1097" t="s">
        <v>2822</v>
      </c>
      <c r="C1097" t="s">
        <v>2823</v>
      </c>
      <c r="D1097" t="s">
        <v>11</v>
      </c>
      <c r="E1097" t="s">
        <v>13</v>
      </c>
      <c r="F1097" t="s">
        <v>729</v>
      </c>
      <c r="G1097" t="s">
        <v>12</v>
      </c>
      <c r="I1097" t="s">
        <v>2822</v>
      </c>
      <c r="J1097" t="s">
        <v>4045</v>
      </c>
      <c r="K1097">
        <v>52.656359111981793</v>
      </c>
      <c r="L1097">
        <v>0.20919545436117329</v>
      </c>
      <c r="M1097">
        <v>91.276847413713526</v>
      </c>
      <c r="N1097">
        <v>100.40453215508488</v>
      </c>
    </row>
    <row r="1098" spans="1:14">
      <c r="A1098" t="s">
        <v>726</v>
      </c>
      <c r="B1098" t="s">
        <v>2824</v>
      </c>
      <c r="C1098" t="s">
        <v>2825</v>
      </c>
      <c r="D1098" t="s">
        <v>11</v>
      </c>
      <c r="E1098" t="s">
        <v>13</v>
      </c>
      <c r="F1098" t="s">
        <v>729</v>
      </c>
      <c r="G1098" t="s">
        <v>12</v>
      </c>
      <c r="I1098" t="s">
        <v>2824</v>
      </c>
      <c r="J1098" t="s">
        <v>4046</v>
      </c>
      <c r="K1098">
        <v>197.5441602055339</v>
      </c>
      <c r="L1098">
        <v>0.1906441694709364</v>
      </c>
      <c r="M1098">
        <v>101.16045422092748</v>
      </c>
      <c r="N1098">
        <v>111.27649964302023</v>
      </c>
    </row>
    <row r="1099" spans="1:14">
      <c r="A1099" t="s">
        <v>726</v>
      </c>
      <c r="B1099" t="s">
        <v>2826</v>
      </c>
      <c r="C1099" t="s">
        <v>2827</v>
      </c>
      <c r="D1099" t="s">
        <v>11</v>
      </c>
      <c r="E1099" t="s">
        <v>13</v>
      </c>
      <c r="F1099" t="s">
        <v>729</v>
      </c>
      <c r="G1099" t="s">
        <v>12</v>
      </c>
      <c r="I1099" t="s">
        <v>2826</v>
      </c>
      <c r="J1099" t="s">
        <v>4047</v>
      </c>
      <c r="K1099">
        <v>59.178423382401746</v>
      </c>
      <c r="L1099">
        <v>0.2186593248557388</v>
      </c>
      <c r="M1099">
        <v>131.09998996728208</v>
      </c>
      <c r="N1099">
        <v>144.20998896401031</v>
      </c>
    </row>
    <row r="1100" spans="1:14">
      <c r="A1100" t="s">
        <v>726</v>
      </c>
      <c r="B1100" t="s">
        <v>2828</v>
      </c>
      <c r="C1100" t="s">
        <v>2829</v>
      </c>
      <c r="D1100" t="s">
        <v>11</v>
      </c>
      <c r="E1100" t="s">
        <v>13</v>
      </c>
      <c r="F1100" t="s">
        <v>729</v>
      </c>
      <c r="G1100" t="s">
        <v>12</v>
      </c>
      <c r="I1100" t="s">
        <v>2828</v>
      </c>
      <c r="J1100" t="s">
        <v>4048</v>
      </c>
      <c r="K1100">
        <v>193.43181511255779</v>
      </c>
      <c r="L1100">
        <v>0.23817736551975041</v>
      </c>
      <c r="M1100">
        <v>235.60574165037309</v>
      </c>
      <c r="N1100">
        <v>259.16631581541043</v>
      </c>
    </row>
    <row r="1101" spans="1:14">
      <c r="A1101" t="s">
        <v>726</v>
      </c>
      <c r="B1101" t="s">
        <v>2830</v>
      </c>
      <c r="C1101" t="s">
        <v>2831</v>
      </c>
      <c r="D1101" t="s">
        <v>11</v>
      </c>
      <c r="E1101" t="s">
        <v>13</v>
      </c>
      <c r="F1101" t="s">
        <v>729</v>
      </c>
      <c r="G1101" t="s">
        <v>12</v>
      </c>
      <c r="I1101" t="s">
        <v>2830</v>
      </c>
      <c r="J1101" t="s">
        <v>4049</v>
      </c>
      <c r="K1101">
        <v>72.934038924244661</v>
      </c>
      <c r="L1101">
        <v>0.18938113010977439</v>
      </c>
      <c r="M1101">
        <v>194.29862235105389</v>
      </c>
      <c r="N1101">
        <v>213.72848458615931</v>
      </c>
    </row>
    <row r="1102" spans="1:14">
      <c r="A1102" t="s">
        <v>726</v>
      </c>
      <c r="B1102" t="s">
        <v>2832</v>
      </c>
      <c r="C1102" t="s">
        <v>2833</v>
      </c>
      <c r="D1102" t="s">
        <v>11</v>
      </c>
      <c r="E1102" t="s">
        <v>13</v>
      </c>
      <c r="F1102" t="s">
        <v>729</v>
      </c>
      <c r="G1102" t="s">
        <v>12</v>
      </c>
      <c r="I1102" t="s">
        <v>2832</v>
      </c>
      <c r="J1102" t="s">
        <v>4050</v>
      </c>
      <c r="K1102">
        <v>153.57784887470078</v>
      </c>
      <c r="L1102">
        <v>0.2208905897764438</v>
      </c>
      <c r="M1102">
        <v>187.76392229937341</v>
      </c>
      <c r="N1102">
        <v>206.54031452931076</v>
      </c>
    </row>
    <row r="1103" spans="1:14">
      <c r="A1103" t="s">
        <v>726</v>
      </c>
      <c r="B1103" t="s">
        <v>2834</v>
      </c>
      <c r="C1103" t="s">
        <v>2835</v>
      </c>
      <c r="D1103" t="s">
        <v>11</v>
      </c>
      <c r="E1103" t="s">
        <v>13</v>
      </c>
      <c r="F1103" t="s">
        <v>729</v>
      </c>
      <c r="G1103" t="s">
        <v>12</v>
      </c>
      <c r="I1103" t="s">
        <v>2834</v>
      </c>
      <c r="J1103" t="s">
        <v>4051</v>
      </c>
      <c r="K1103">
        <v>27.417836547744439</v>
      </c>
      <c r="L1103">
        <v>0.2245613828256087</v>
      </c>
      <c r="M1103">
        <v>30.390807900887594</v>
      </c>
      <c r="N1103">
        <v>33.429888690976355</v>
      </c>
    </row>
    <row r="1104" spans="1:14">
      <c r="A1104" t="s">
        <v>726</v>
      </c>
      <c r="B1104" t="s">
        <v>2836</v>
      </c>
      <c r="C1104" t="s">
        <v>2837</v>
      </c>
      <c r="D1104" t="s">
        <v>11</v>
      </c>
      <c r="E1104" t="s">
        <v>13</v>
      </c>
      <c r="F1104" t="s">
        <v>729</v>
      </c>
      <c r="G1104" t="s">
        <v>12</v>
      </c>
      <c r="I1104" t="s">
        <v>2836</v>
      </c>
      <c r="J1104" t="s">
        <v>4052</v>
      </c>
      <c r="K1104">
        <v>46.974988018474342</v>
      </c>
      <c r="L1104">
        <v>0.22762709638820819</v>
      </c>
      <c r="M1104">
        <v>36.658030719692171</v>
      </c>
      <c r="N1104">
        <v>40.323833791661393</v>
      </c>
    </row>
    <row r="1105" spans="1:14">
      <c r="A1105" t="s">
        <v>726</v>
      </c>
      <c r="B1105" t="s">
        <v>2838</v>
      </c>
      <c r="C1105" t="s">
        <v>2839</v>
      </c>
      <c r="D1105" t="s">
        <v>11</v>
      </c>
      <c r="E1105" t="s">
        <v>13</v>
      </c>
      <c r="F1105" t="s">
        <v>729</v>
      </c>
      <c r="G1105" t="s">
        <v>12</v>
      </c>
      <c r="I1105" t="s">
        <v>2838</v>
      </c>
      <c r="J1105" t="s">
        <v>4053</v>
      </c>
      <c r="K1105">
        <v>126.65742433231286</v>
      </c>
      <c r="L1105">
        <v>0.23245050229718209</v>
      </c>
      <c r="M1105">
        <v>63.798802287432522</v>
      </c>
      <c r="N1105">
        <v>70.178682516175783</v>
      </c>
    </row>
    <row r="1106" spans="1:14">
      <c r="A1106" t="s">
        <v>726</v>
      </c>
      <c r="B1106" t="s">
        <v>2840</v>
      </c>
      <c r="C1106" t="s">
        <v>2841</v>
      </c>
      <c r="D1106" t="s">
        <v>11</v>
      </c>
      <c r="E1106" t="s">
        <v>13</v>
      </c>
      <c r="F1106" t="s">
        <v>729</v>
      </c>
      <c r="G1106" t="s">
        <v>12</v>
      </c>
      <c r="I1106" t="s">
        <v>2840</v>
      </c>
      <c r="J1106" t="s">
        <v>4054</v>
      </c>
      <c r="K1106">
        <v>61.803541007741984</v>
      </c>
      <c r="L1106">
        <v>0.21496067829277049</v>
      </c>
      <c r="M1106">
        <v>153.46843333684004</v>
      </c>
      <c r="N1106">
        <v>168.81527667052404</v>
      </c>
    </row>
    <row r="1107" spans="1:14">
      <c r="A1107" t="s">
        <v>726</v>
      </c>
      <c r="B1107" t="s">
        <v>2842</v>
      </c>
      <c r="C1107" t="s">
        <v>2843</v>
      </c>
      <c r="D1107" t="s">
        <v>11</v>
      </c>
      <c r="E1107" t="s">
        <v>13</v>
      </c>
      <c r="F1107" t="s">
        <v>729</v>
      </c>
      <c r="G1107" t="s">
        <v>12</v>
      </c>
      <c r="I1107" t="s">
        <v>2842</v>
      </c>
      <c r="J1107" t="s">
        <v>4055</v>
      </c>
      <c r="K1107">
        <v>39.917300305373686</v>
      </c>
      <c r="L1107">
        <v>0.2174020480554327</v>
      </c>
      <c r="M1107">
        <v>282.01464121648291</v>
      </c>
      <c r="N1107">
        <v>310.21610533813123</v>
      </c>
    </row>
    <row r="1108" spans="1:14">
      <c r="A1108" t="s">
        <v>726</v>
      </c>
      <c r="B1108" t="s">
        <v>2844</v>
      </c>
      <c r="C1108" t="s">
        <v>2843</v>
      </c>
      <c r="D1108" t="s">
        <v>11</v>
      </c>
      <c r="E1108" t="s">
        <v>13</v>
      </c>
      <c r="F1108" t="s">
        <v>729</v>
      </c>
      <c r="G1108" t="s">
        <v>12</v>
      </c>
      <c r="I1108" t="s">
        <v>2844</v>
      </c>
      <c r="J1108" t="s">
        <v>4056</v>
      </c>
      <c r="K1108">
        <v>96.215003965459559</v>
      </c>
      <c r="L1108">
        <v>0.2076301249879334</v>
      </c>
      <c r="M1108">
        <v>295.59331320528645</v>
      </c>
      <c r="N1108">
        <v>325.15264452581511</v>
      </c>
    </row>
    <row r="1109" spans="1:14">
      <c r="A1109" t="s">
        <v>726</v>
      </c>
      <c r="B1109" t="s">
        <v>2845</v>
      </c>
      <c r="C1109" t="s">
        <v>2846</v>
      </c>
      <c r="D1109" t="s">
        <v>11</v>
      </c>
      <c r="E1109" t="s">
        <v>13</v>
      </c>
      <c r="F1109" t="s">
        <v>729</v>
      </c>
      <c r="G1109" t="s">
        <v>12</v>
      </c>
      <c r="I1109" t="s">
        <v>2845</v>
      </c>
      <c r="J1109" t="s">
        <v>4057</v>
      </c>
      <c r="K1109">
        <v>120.8838459875937</v>
      </c>
      <c r="L1109">
        <v>0.23096746152339701</v>
      </c>
      <c r="M1109">
        <v>114.00064677233976</v>
      </c>
      <c r="N1109">
        <v>125.40071144957375</v>
      </c>
    </row>
    <row r="1110" spans="1:14">
      <c r="A1110" t="s">
        <v>726</v>
      </c>
      <c r="B1110" t="s">
        <v>2847</v>
      </c>
      <c r="C1110" t="s">
        <v>2846</v>
      </c>
      <c r="D1110" t="s">
        <v>11</v>
      </c>
      <c r="E1110" t="s">
        <v>13</v>
      </c>
      <c r="F1110" t="s">
        <v>729</v>
      </c>
      <c r="G1110" t="s">
        <v>12</v>
      </c>
      <c r="I1110" t="s">
        <v>2847</v>
      </c>
      <c r="J1110" t="s">
        <v>4058</v>
      </c>
      <c r="K1110">
        <v>203.06306953104996</v>
      </c>
      <c r="L1110">
        <v>0.22408096926250459</v>
      </c>
      <c r="M1110">
        <v>169.85850583733514</v>
      </c>
      <c r="N1110">
        <v>186.84435642106868</v>
      </c>
    </row>
    <row r="1111" spans="1:14">
      <c r="A1111" t="s">
        <v>726</v>
      </c>
      <c r="B1111" t="s">
        <v>2848</v>
      </c>
      <c r="C1111" t="s">
        <v>2849</v>
      </c>
      <c r="D1111" t="s">
        <v>11</v>
      </c>
      <c r="E1111" t="s">
        <v>13</v>
      </c>
      <c r="F1111" t="s">
        <v>729</v>
      </c>
      <c r="G1111" t="s">
        <v>12</v>
      </c>
      <c r="I1111" t="s">
        <v>2848</v>
      </c>
      <c r="J1111" t="s">
        <v>4059</v>
      </c>
      <c r="K1111">
        <v>7.9071264526361702</v>
      </c>
      <c r="L1111">
        <v>0.20478549079214481</v>
      </c>
      <c r="M1111">
        <v>399.07873444639517</v>
      </c>
      <c r="N1111">
        <v>438.98660789103474</v>
      </c>
    </row>
    <row r="1112" spans="1:14">
      <c r="A1112" t="s">
        <v>726</v>
      </c>
      <c r="B1112" t="s">
        <v>2850</v>
      </c>
      <c r="C1112" t="s">
        <v>2849</v>
      </c>
      <c r="D1112" t="s">
        <v>11</v>
      </c>
      <c r="E1112" t="s">
        <v>13</v>
      </c>
      <c r="F1112" t="s">
        <v>729</v>
      </c>
      <c r="G1112" t="s">
        <v>12</v>
      </c>
      <c r="I1112" t="s">
        <v>2850</v>
      </c>
      <c r="J1112" t="s">
        <v>4060</v>
      </c>
      <c r="K1112">
        <v>17.965822640383251</v>
      </c>
      <c r="L1112">
        <v>0.20626304291943559</v>
      </c>
      <c r="M1112">
        <v>87.912853533925798</v>
      </c>
      <c r="N1112">
        <v>96.704138887318379</v>
      </c>
    </row>
    <row r="1113" spans="1:14">
      <c r="A1113" t="s">
        <v>726</v>
      </c>
      <c r="B1113" t="s">
        <v>2851</v>
      </c>
      <c r="C1113" t="s">
        <v>2852</v>
      </c>
      <c r="D1113" t="s">
        <v>11</v>
      </c>
      <c r="E1113" t="s">
        <v>13</v>
      </c>
      <c r="F1113" t="s">
        <v>729</v>
      </c>
      <c r="G1113" t="s">
        <v>12</v>
      </c>
      <c r="I1113" t="s">
        <v>2851</v>
      </c>
      <c r="J1113" t="s">
        <v>4061</v>
      </c>
      <c r="K1113">
        <v>11.762654943599292</v>
      </c>
      <c r="L1113">
        <v>0.19992018239274151</v>
      </c>
      <c r="M1113">
        <v>71.09811470453333</v>
      </c>
      <c r="N1113">
        <v>78.207926174986667</v>
      </c>
    </row>
    <row r="1114" spans="1:14">
      <c r="A1114" t="s">
        <v>726</v>
      </c>
      <c r="B1114" t="s">
        <v>2853</v>
      </c>
      <c r="C1114" t="s">
        <v>2854</v>
      </c>
      <c r="D1114" t="s">
        <v>11</v>
      </c>
      <c r="E1114" t="s">
        <v>13</v>
      </c>
      <c r="F1114" t="s">
        <v>729</v>
      </c>
      <c r="G1114" t="s">
        <v>12</v>
      </c>
      <c r="I1114" t="s">
        <v>2853</v>
      </c>
      <c r="J1114" t="s">
        <v>4062</v>
      </c>
      <c r="K1114">
        <v>22.940001848300057</v>
      </c>
      <c r="L1114">
        <v>0.21447988100071941</v>
      </c>
      <c r="M1114">
        <v>79.868651725216125</v>
      </c>
      <c r="N1114">
        <v>87.855516897737743</v>
      </c>
    </row>
    <row r="1115" spans="1:14">
      <c r="A1115" t="s">
        <v>726</v>
      </c>
      <c r="B1115" t="s">
        <v>2855</v>
      </c>
      <c r="C1115" t="s">
        <v>2856</v>
      </c>
      <c r="D1115" t="s">
        <v>11</v>
      </c>
      <c r="E1115" t="s">
        <v>13</v>
      </c>
      <c r="F1115" t="s">
        <v>729</v>
      </c>
      <c r="G1115" t="s">
        <v>12</v>
      </c>
      <c r="I1115" t="s">
        <v>2855</v>
      </c>
      <c r="J1115" t="s">
        <v>4063</v>
      </c>
      <c r="K1115">
        <v>20.186714711874274</v>
      </c>
      <c r="L1115">
        <v>0.1876836450235525</v>
      </c>
      <c r="M1115">
        <v>88.742483549478294</v>
      </c>
      <c r="N1115">
        <v>97.616731904426132</v>
      </c>
    </row>
    <row r="1116" spans="1:14">
      <c r="A1116" t="s">
        <v>726</v>
      </c>
      <c r="B1116" t="s">
        <v>2857</v>
      </c>
      <c r="C1116" t="s">
        <v>2858</v>
      </c>
      <c r="D1116" t="s">
        <v>11</v>
      </c>
      <c r="E1116" t="s">
        <v>13</v>
      </c>
      <c r="F1116" t="s">
        <v>729</v>
      </c>
      <c r="G1116" t="s">
        <v>12</v>
      </c>
      <c r="I1116" t="s">
        <v>2857</v>
      </c>
      <c r="J1116" t="s">
        <v>4064</v>
      </c>
      <c r="K1116">
        <v>70.573911097095291</v>
      </c>
      <c r="L1116">
        <v>0.1998100557415797</v>
      </c>
      <c r="M1116">
        <v>217.01766937438603</v>
      </c>
      <c r="N1116">
        <v>238.71943631182467</v>
      </c>
    </row>
    <row r="1117" spans="1:14">
      <c r="A1117" t="s">
        <v>726</v>
      </c>
      <c r="B1117" t="s">
        <v>2859</v>
      </c>
      <c r="C1117" t="s">
        <v>2860</v>
      </c>
      <c r="D1117" t="s">
        <v>11</v>
      </c>
      <c r="E1117" t="s">
        <v>13</v>
      </c>
      <c r="F1117" t="s">
        <v>729</v>
      </c>
      <c r="G1117" t="s">
        <v>12</v>
      </c>
      <c r="I1117" t="s">
        <v>2859</v>
      </c>
      <c r="J1117" t="s">
        <v>4065</v>
      </c>
      <c r="K1117">
        <v>36.038638257884365</v>
      </c>
      <c r="L1117">
        <v>0.21415648975294821</v>
      </c>
      <c r="M1117">
        <v>109.89220674013325</v>
      </c>
      <c r="N1117">
        <v>120.88142741414659</v>
      </c>
    </row>
    <row r="1118" spans="1:14">
      <c r="A1118" t="s">
        <v>726</v>
      </c>
      <c r="B1118" t="s">
        <v>2861</v>
      </c>
      <c r="C1118" t="s">
        <v>2862</v>
      </c>
      <c r="D1118" t="s">
        <v>11</v>
      </c>
      <c r="E1118" t="s">
        <v>13</v>
      </c>
      <c r="F1118" t="s">
        <v>729</v>
      </c>
      <c r="G1118" t="s">
        <v>12</v>
      </c>
      <c r="I1118" t="s">
        <v>2861</v>
      </c>
      <c r="J1118" t="s">
        <v>4066</v>
      </c>
      <c r="K1118">
        <v>37.412020423898987</v>
      </c>
      <c r="L1118">
        <v>0.2138274072045038</v>
      </c>
      <c r="M1118">
        <v>192.41635452315387</v>
      </c>
      <c r="N1118">
        <v>211.65798997546926</v>
      </c>
    </row>
    <row r="1119" spans="1:14">
      <c r="A1119" t="s">
        <v>726</v>
      </c>
      <c r="B1119" t="s">
        <v>2863</v>
      </c>
      <c r="C1119" t="s">
        <v>2864</v>
      </c>
      <c r="D1119" t="s">
        <v>11</v>
      </c>
      <c r="E1119" t="s">
        <v>13</v>
      </c>
      <c r="F1119" t="s">
        <v>729</v>
      </c>
      <c r="G1119" t="s">
        <v>12</v>
      </c>
      <c r="I1119" t="s">
        <v>2863</v>
      </c>
      <c r="J1119" t="s">
        <v>4067</v>
      </c>
      <c r="K1119">
        <v>1.0931530926081041</v>
      </c>
      <c r="L1119">
        <v>0.1793695012853217</v>
      </c>
      <c r="M1119">
        <v>634.98273694512011</v>
      </c>
      <c r="N1119">
        <v>698.48101063963213</v>
      </c>
    </row>
    <row r="1120" spans="1:14">
      <c r="A1120" t="s">
        <v>726</v>
      </c>
      <c r="B1120" t="s">
        <v>2865</v>
      </c>
      <c r="C1120" t="s">
        <v>2866</v>
      </c>
      <c r="D1120" t="s">
        <v>11</v>
      </c>
      <c r="E1120" t="s">
        <v>13</v>
      </c>
      <c r="F1120" t="s">
        <v>729</v>
      </c>
      <c r="G1120" t="s">
        <v>12</v>
      </c>
      <c r="I1120" t="s">
        <v>2865</v>
      </c>
      <c r="J1120" t="s">
        <v>4068</v>
      </c>
      <c r="K1120">
        <v>7.6638844918347777</v>
      </c>
      <c r="L1120">
        <v>0.19688653737575351</v>
      </c>
      <c r="M1120">
        <v>418.4838429013011</v>
      </c>
      <c r="N1120">
        <v>460.33222719143123</v>
      </c>
    </row>
    <row r="1121" spans="1:14">
      <c r="A1121" t="s">
        <v>726</v>
      </c>
      <c r="B1121" t="s">
        <v>2867</v>
      </c>
      <c r="C1121" t="s">
        <v>2868</v>
      </c>
      <c r="D1121" t="s">
        <v>11</v>
      </c>
      <c r="E1121" t="s">
        <v>13</v>
      </c>
      <c r="F1121" t="s">
        <v>729</v>
      </c>
      <c r="G1121" t="s">
        <v>12</v>
      </c>
      <c r="I1121" t="s">
        <v>2867</v>
      </c>
      <c r="J1121" t="s">
        <v>4069</v>
      </c>
      <c r="K1121">
        <v>17.856530419383738</v>
      </c>
      <c r="L1121">
        <v>0.17620499923898289</v>
      </c>
      <c r="M1121">
        <v>68.883042369281441</v>
      </c>
      <c r="N1121">
        <v>75.77134660620959</v>
      </c>
    </row>
    <row r="1122" spans="1:14">
      <c r="A1122" t="s">
        <v>726</v>
      </c>
      <c r="B1122" t="s">
        <v>2869</v>
      </c>
      <c r="C1122" t="s">
        <v>2870</v>
      </c>
      <c r="D1122" t="s">
        <v>11</v>
      </c>
      <c r="E1122" t="s">
        <v>13</v>
      </c>
      <c r="F1122" t="s">
        <v>729</v>
      </c>
      <c r="G1122" t="s">
        <v>12</v>
      </c>
      <c r="I1122" t="s">
        <v>2869</v>
      </c>
      <c r="J1122" t="s">
        <v>4070</v>
      </c>
      <c r="K1122">
        <v>46.42183085923331</v>
      </c>
      <c r="L1122">
        <v>0.18861623481278789</v>
      </c>
      <c r="M1122">
        <v>89.114431533926066</v>
      </c>
      <c r="N1122">
        <v>98.025874687318677</v>
      </c>
    </row>
    <row r="1123" spans="1:14">
      <c r="A1123" t="s">
        <v>726</v>
      </c>
      <c r="B1123" t="s">
        <v>2871</v>
      </c>
      <c r="C1123" t="s">
        <v>2872</v>
      </c>
      <c r="D1123" t="s">
        <v>11</v>
      </c>
      <c r="E1123" t="s">
        <v>13</v>
      </c>
      <c r="F1123" t="s">
        <v>729</v>
      </c>
      <c r="G1123" t="s">
        <v>12</v>
      </c>
      <c r="I1123" t="s">
        <v>2871</v>
      </c>
      <c r="J1123" t="s">
        <v>4071</v>
      </c>
      <c r="K1123">
        <v>159.61251422128885</v>
      </c>
      <c r="L1123">
        <v>0.19819446778620639</v>
      </c>
      <c r="M1123">
        <v>64.973432536059079</v>
      </c>
      <c r="N1123">
        <v>71.470775789664998</v>
      </c>
    </row>
    <row r="1124" spans="1:14">
      <c r="A1124" t="s">
        <v>726</v>
      </c>
      <c r="B1124" t="s">
        <v>2873</v>
      </c>
      <c r="C1124" t="s">
        <v>2874</v>
      </c>
      <c r="D1124" t="s">
        <v>11</v>
      </c>
      <c r="E1124" t="s">
        <v>13</v>
      </c>
      <c r="F1124" t="s">
        <v>729</v>
      </c>
      <c r="G1124" t="s">
        <v>12</v>
      </c>
      <c r="I1124" t="s">
        <v>2873</v>
      </c>
      <c r="J1124" t="s">
        <v>4072</v>
      </c>
      <c r="K1124">
        <v>15.639180332507232</v>
      </c>
      <c r="L1124">
        <v>0.15524921428108979</v>
      </c>
      <c r="M1124">
        <v>54.085733253569302</v>
      </c>
      <c r="N1124">
        <v>59.494306578926235</v>
      </c>
    </row>
    <row r="1125" spans="1:14">
      <c r="A1125" t="s">
        <v>726</v>
      </c>
      <c r="B1125" t="s">
        <v>2875</v>
      </c>
      <c r="C1125" t="s">
        <v>2876</v>
      </c>
      <c r="D1125" t="s">
        <v>11</v>
      </c>
      <c r="E1125" t="s">
        <v>13</v>
      </c>
      <c r="F1125" t="s">
        <v>729</v>
      </c>
      <c r="G1125" t="s">
        <v>12</v>
      </c>
      <c r="I1125" t="s">
        <v>2875</v>
      </c>
      <c r="J1125" t="s">
        <v>4073</v>
      </c>
      <c r="K1125">
        <v>25.616250838904698</v>
      </c>
      <c r="L1125">
        <v>0.14531556321923569</v>
      </c>
      <c r="M1125">
        <v>82.832459437050858</v>
      </c>
      <c r="N1125">
        <v>91.115705380755955</v>
      </c>
    </row>
    <row r="1126" spans="1:14">
      <c r="A1126" t="s">
        <v>726</v>
      </c>
      <c r="B1126" t="s">
        <v>2877</v>
      </c>
      <c r="C1126" t="s">
        <v>2878</v>
      </c>
      <c r="D1126" t="s">
        <v>11</v>
      </c>
      <c r="E1126" t="s">
        <v>13</v>
      </c>
      <c r="F1126" t="s">
        <v>729</v>
      </c>
      <c r="G1126" t="s">
        <v>12</v>
      </c>
      <c r="I1126" t="s">
        <v>2877</v>
      </c>
      <c r="J1126" t="s">
        <v>4074</v>
      </c>
      <c r="K1126">
        <v>6.1668583235518959</v>
      </c>
      <c r="L1126">
        <v>0.16347864360257419</v>
      </c>
      <c r="M1126">
        <v>180.85102120351607</v>
      </c>
      <c r="N1126">
        <v>198.93612332386769</v>
      </c>
    </row>
    <row r="1127" spans="1:14">
      <c r="A1127" t="s">
        <v>726</v>
      </c>
      <c r="B1127" t="s">
        <v>2879</v>
      </c>
      <c r="C1127" t="s">
        <v>2880</v>
      </c>
      <c r="D1127" t="s">
        <v>11</v>
      </c>
      <c r="E1127" t="s">
        <v>13</v>
      </c>
      <c r="F1127" t="s">
        <v>729</v>
      </c>
      <c r="G1127" t="s">
        <v>12</v>
      </c>
      <c r="I1127" t="s">
        <v>2879</v>
      </c>
      <c r="J1127" t="s">
        <v>4075</v>
      </c>
      <c r="K1127">
        <v>33.493598715163927</v>
      </c>
      <c r="L1127">
        <v>0.1527507835557762</v>
      </c>
      <c r="M1127">
        <v>37.981762542243281</v>
      </c>
      <c r="N1127">
        <v>41.779938796467611</v>
      </c>
    </row>
    <row r="1128" spans="1:14">
      <c r="A1128" t="s">
        <v>726</v>
      </c>
      <c r="B1128" t="s">
        <v>2881</v>
      </c>
      <c r="C1128" t="s">
        <v>2882</v>
      </c>
      <c r="D1128" t="s">
        <v>11</v>
      </c>
      <c r="E1128" t="s">
        <v>13</v>
      </c>
      <c r="F1128" t="s">
        <v>729</v>
      </c>
      <c r="G1128" t="s">
        <v>12</v>
      </c>
      <c r="I1128" t="s">
        <v>2881</v>
      </c>
      <c r="J1128" t="s">
        <v>4076</v>
      </c>
      <c r="K1128">
        <v>9.5867173581952514</v>
      </c>
      <c r="L1128">
        <v>0.16581375247955721</v>
      </c>
      <c r="M1128">
        <v>84.829937028522636</v>
      </c>
      <c r="N1128">
        <v>93.312930731374905</v>
      </c>
    </row>
    <row r="1129" spans="1:14">
      <c r="A1129" t="s">
        <v>726</v>
      </c>
      <c r="B1129" t="s">
        <v>2883</v>
      </c>
      <c r="C1129" t="s">
        <v>2884</v>
      </c>
      <c r="D1129" t="s">
        <v>11</v>
      </c>
      <c r="E1129" t="s">
        <v>13</v>
      </c>
      <c r="F1129" t="s">
        <v>729</v>
      </c>
      <c r="G1129" t="s">
        <v>12</v>
      </c>
      <c r="I1129" t="s">
        <v>2883</v>
      </c>
      <c r="J1129" t="s">
        <v>4077</v>
      </c>
      <c r="K1129">
        <v>118.59907627310436</v>
      </c>
      <c r="L1129">
        <v>0.26363101996976729</v>
      </c>
      <c r="M1129">
        <v>194.34691652790409</v>
      </c>
      <c r="N1129">
        <v>213.78160818069452</v>
      </c>
    </row>
    <row r="1130" spans="1:14">
      <c r="A1130" t="s">
        <v>726</v>
      </c>
      <c r="B1130" t="s">
        <v>2885</v>
      </c>
      <c r="C1130" t="s">
        <v>2884</v>
      </c>
      <c r="D1130" t="s">
        <v>11</v>
      </c>
      <c r="E1130" t="s">
        <v>13</v>
      </c>
      <c r="F1130" t="s">
        <v>729</v>
      </c>
      <c r="G1130" t="s">
        <v>12</v>
      </c>
      <c r="I1130" t="s">
        <v>2885</v>
      </c>
      <c r="J1130" t="s">
        <v>4078</v>
      </c>
      <c r="K1130">
        <v>0.68209810266291127</v>
      </c>
      <c r="L1130">
        <v>0.2387616020811465</v>
      </c>
      <c r="M1130">
        <v>562.3080833088618</v>
      </c>
      <c r="N1130">
        <v>618.53889163974804</v>
      </c>
    </row>
    <row r="1131" spans="1:14">
      <c r="A1131" t="s">
        <v>726</v>
      </c>
      <c r="B1131" t="s">
        <v>2886</v>
      </c>
      <c r="C1131" t="s">
        <v>2887</v>
      </c>
      <c r="D1131" t="s">
        <v>11</v>
      </c>
      <c r="E1131" t="s">
        <v>13</v>
      </c>
      <c r="F1131" t="s">
        <v>729</v>
      </c>
      <c r="G1131" t="s">
        <v>12</v>
      </c>
      <c r="I1131" t="s">
        <v>2886</v>
      </c>
      <c r="J1131" t="s">
        <v>4079</v>
      </c>
      <c r="K1131">
        <v>54.652033871336712</v>
      </c>
      <c r="L1131">
        <v>0.25889959994415362</v>
      </c>
      <c r="M1131">
        <v>328.81068741073642</v>
      </c>
      <c r="N1131">
        <v>361.69175615181007</v>
      </c>
    </row>
    <row r="1132" spans="1:14">
      <c r="A1132" t="s">
        <v>726</v>
      </c>
      <c r="B1132" t="s">
        <v>2888</v>
      </c>
      <c r="C1132" t="s">
        <v>2884</v>
      </c>
      <c r="D1132" t="s">
        <v>11</v>
      </c>
      <c r="E1132" t="s">
        <v>13</v>
      </c>
      <c r="F1132" t="s">
        <v>729</v>
      </c>
      <c r="G1132" t="s">
        <v>12</v>
      </c>
      <c r="I1132" t="s">
        <v>2888</v>
      </c>
      <c r="J1132" t="s">
        <v>4080</v>
      </c>
      <c r="K1132">
        <v>133.85634694570081</v>
      </c>
      <c r="L1132">
        <v>0.26989823043551758</v>
      </c>
      <c r="M1132">
        <v>428.72580333290318</v>
      </c>
      <c r="N1132">
        <v>471.59838366619351</v>
      </c>
    </row>
    <row r="1133" spans="1:14">
      <c r="A1133" t="s">
        <v>726</v>
      </c>
      <c r="B1133" t="s">
        <v>2889</v>
      </c>
      <c r="C1133" t="s">
        <v>2890</v>
      </c>
      <c r="D1133" t="s">
        <v>11</v>
      </c>
      <c r="E1133" t="s">
        <v>13</v>
      </c>
      <c r="F1133" t="s">
        <v>729</v>
      </c>
      <c r="G1133" t="s">
        <v>12</v>
      </c>
      <c r="I1133" t="s">
        <v>2889</v>
      </c>
      <c r="J1133" t="s">
        <v>4081</v>
      </c>
      <c r="K1133">
        <v>13.085306588339829</v>
      </c>
      <c r="L1133">
        <v>0.23775558212000089</v>
      </c>
      <c r="M1133">
        <v>117.61414439582364</v>
      </c>
      <c r="N1133">
        <v>129.37555883540603</v>
      </c>
    </row>
    <row r="1134" spans="1:14">
      <c r="A1134" t="s">
        <v>726</v>
      </c>
      <c r="B1134" t="s">
        <v>2891</v>
      </c>
      <c r="C1134" t="s">
        <v>2892</v>
      </c>
      <c r="D1134" t="s">
        <v>11</v>
      </c>
      <c r="E1134" t="s">
        <v>13</v>
      </c>
      <c r="F1134" t="s">
        <v>729</v>
      </c>
      <c r="G1134" t="s">
        <v>12</v>
      </c>
      <c r="I1134" t="s">
        <v>2891</v>
      </c>
      <c r="J1134" t="s">
        <v>4082</v>
      </c>
      <c r="K1134">
        <v>18.801520944061892</v>
      </c>
      <c r="L1134">
        <v>0.24158969294576249</v>
      </c>
      <c r="M1134">
        <v>75.297622396283018</v>
      </c>
      <c r="N1134">
        <v>82.827384635911329</v>
      </c>
    </row>
    <row r="1135" spans="1:14">
      <c r="A1135" t="s">
        <v>726</v>
      </c>
      <c r="B1135" t="s">
        <v>2893</v>
      </c>
      <c r="C1135" t="s">
        <v>2894</v>
      </c>
      <c r="D1135" t="s">
        <v>11</v>
      </c>
      <c r="E1135" t="s">
        <v>13</v>
      </c>
      <c r="F1135" t="s">
        <v>729</v>
      </c>
      <c r="G1135" t="s">
        <v>12</v>
      </c>
      <c r="I1135" t="s">
        <v>2893</v>
      </c>
      <c r="J1135" t="s">
        <v>4083</v>
      </c>
      <c r="K1135">
        <v>127.22236779694155</v>
      </c>
      <c r="L1135">
        <v>0.27047776749173891</v>
      </c>
      <c r="M1135">
        <v>258.23449294562539</v>
      </c>
      <c r="N1135">
        <v>284.05794224018797</v>
      </c>
    </row>
    <row r="1136" spans="1:14">
      <c r="A1136" t="s">
        <v>726</v>
      </c>
      <c r="B1136" t="s">
        <v>2895</v>
      </c>
      <c r="C1136" t="s">
        <v>2894</v>
      </c>
      <c r="D1136" t="s">
        <v>11</v>
      </c>
      <c r="E1136" t="s">
        <v>13</v>
      </c>
      <c r="F1136" t="s">
        <v>729</v>
      </c>
      <c r="G1136" t="s">
        <v>12</v>
      </c>
      <c r="I1136" t="s">
        <v>2895</v>
      </c>
      <c r="J1136" t="s">
        <v>4084</v>
      </c>
      <c r="K1136">
        <v>30.710648026800083</v>
      </c>
      <c r="L1136">
        <v>0.26553797592920841</v>
      </c>
      <c r="M1136">
        <v>171.36992135673384</v>
      </c>
      <c r="N1136">
        <v>188.50691349240725</v>
      </c>
    </row>
    <row r="1137" spans="1:14">
      <c r="A1137" t="s">
        <v>726</v>
      </c>
      <c r="B1137" t="s">
        <v>2896</v>
      </c>
      <c r="C1137" t="s">
        <v>2897</v>
      </c>
      <c r="D1137" t="s">
        <v>11</v>
      </c>
      <c r="E1137" t="s">
        <v>13</v>
      </c>
      <c r="F1137" t="s">
        <v>729</v>
      </c>
      <c r="G1137" t="s">
        <v>12</v>
      </c>
      <c r="I1137" t="s">
        <v>2896</v>
      </c>
      <c r="J1137" t="s">
        <v>4085</v>
      </c>
      <c r="K1137">
        <v>276.3860754322252</v>
      </c>
      <c r="L1137">
        <v>0.2571509636883666</v>
      </c>
      <c r="M1137">
        <v>254.89944575482664</v>
      </c>
      <c r="N1137">
        <v>280.38939033030931</v>
      </c>
    </row>
    <row r="1138" spans="1:14">
      <c r="A1138" t="s">
        <v>726</v>
      </c>
      <c r="B1138" t="s">
        <v>2898</v>
      </c>
      <c r="C1138" t="s">
        <v>2897</v>
      </c>
      <c r="D1138" t="s">
        <v>11</v>
      </c>
      <c r="E1138" t="s">
        <v>13</v>
      </c>
      <c r="F1138" t="s">
        <v>729</v>
      </c>
      <c r="G1138" t="s">
        <v>12</v>
      </c>
      <c r="I1138" t="s">
        <v>2898</v>
      </c>
      <c r="J1138" t="s">
        <v>4086</v>
      </c>
      <c r="K1138">
        <v>232.9473632354501</v>
      </c>
      <c r="L1138">
        <v>0.26554905352175401</v>
      </c>
      <c r="M1138">
        <v>514.61954719373546</v>
      </c>
      <c r="N1138">
        <v>566.08150191310904</v>
      </c>
    </row>
    <row r="1139" spans="1:14">
      <c r="A1139" t="s">
        <v>726</v>
      </c>
      <c r="B1139" t="s">
        <v>2899</v>
      </c>
      <c r="C1139" t="s">
        <v>2900</v>
      </c>
      <c r="D1139" t="s">
        <v>11</v>
      </c>
      <c r="E1139" t="s">
        <v>13</v>
      </c>
      <c r="F1139" t="s">
        <v>729</v>
      </c>
      <c r="G1139" t="s">
        <v>12</v>
      </c>
      <c r="I1139" t="s">
        <v>2899</v>
      </c>
      <c r="J1139" t="s">
        <v>4087</v>
      </c>
      <c r="K1139">
        <v>90.898317781992304</v>
      </c>
      <c r="L1139">
        <v>0.25397135526909681</v>
      </c>
      <c r="M1139">
        <v>348.43320323230495</v>
      </c>
      <c r="N1139">
        <v>383.27652355553545</v>
      </c>
    </row>
    <row r="1140" spans="1:14">
      <c r="A1140" t="s">
        <v>726</v>
      </c>
      <c r="B1140" t="s">
        <v>2901</v>
      </c>
      <c r="C1140" t="s">
        <v>2902</v>
      </c>
      <c r="D1140" t="s">
        <v>11</v>
      </c>
      <c r="E1140" t="s">
        <v>13</v>
      </c>
      <c r="F1140" t="s">
        <v>729</v>
      </c>
      <c r="G1140" t="s">
        <v>12</v>
      </c>
      <c r="I1140" t="s">
        <v>2901</v>
      </c>
      <c r="J1140" t="s">
        <v>4088</v>
      </c>
      <c r="K1140">
        <v>38.582076455355448</v>
      </c>
      <c r="L1140">
        <v>0.23060429714711861</v>
      </c>
      <c r="M1140">
        <v>208.75572425247771</v>
      </c>
      <c r="N1140">
        <v>229.63129667772549</v>
      </c>
    </row>
    <row r="1141" spans="1:14">
      <c r="A1141" t="s">
        <v>726</v>
      </c>
      <c r="B1141" t="s">
        <v>2903</v>
      </c>
      <c r="C1141" t="s">
        <v>2900</v>
      </c>
      <c r="D1141" t="s">
        <v>11</v>
      </c>
      <c r="E1141" t="s">
        <v>13</v>
      </c>
      <c r="F1141" t="s">
        <v>729</v>
      </c>
      <c r="G1141" t="s">
        <v>12</v>
      </c>
      <c r="I1141" t="s">
        <v>2903</v>
      </c>
      <c r="J1141" t="s">
        <v>4089</v>
      </c>
      <c r="K1141">
        <v>40.11798022064913</v>
      </c>
      <c r="L1141">
        <v>0.23534977348420091</v>
      </c>
      <c r="M1141">
        <v>306.7986910941691</v>
      </c>
      <c r="N1141">
        <v>337.47856020358603</v>
      </c>
    </row>
    <row r="1142" spans="1:14">
      <c r="A1142" t="s">
        <v>726</v>
      </c>
      <c r="B1142" t="s">
        <v>2904</v>
      </c>
      <c r="C1142" t="s">
        <v>2905</v>
      </c>
      <c r="D1142" t="s">
        <v>11</v>
      </c>
      <c r="E1142" t="s">
        <v>13</v>
      </c>
      <c r="F1142" t="s">
        <v>729</v>
      </c>
      <c r="G1142" t="s">
        <v>12</v>
      </c>
      <c r="I1142" t="s">
        <v>2904</v>
      </c>
      <c r="J1142" t="s">
        <v>4090</v>
      </c>
      <c r="K1142">
        <v>59.587633939804533</v>
      </c>
      <c r="L1142">
        <v>0.19729090821949519</v>
      </c>
      <c r="M1142">
        <v>228.92933377792863</v>
      </c>
      <c r="N1142">
        <v>251.82226715572151</v>
      </c>
    </row>
    <row r="1143" spans="1:14">
      <c r="A1143" t="s">
        <v>726</v>
      </c>
      <c r="B1143" t="s">
        <v>2906</v>
      </c>
      <c r="C1143" t="s">
        <v>2907</v>
      </c>
      <c r="D1143" t="s">
        <v>11</v>
      </c>
      <c r="E1143" t="s">
        <v>13</v>
      </c>
      <c r="F1143" t="s">
        <v>729</v>
      </c>
      <c r="G1143" t="s">
        <v>12</v>
      </c>
      <c r="I1143" t="s">
        <v>2906</v>
      </c>
      <c r="J1143" t="s">
        <v>4091</v>
      </c>
      <c r="K1143">
        <v>26.126003178012059</v>
      </c>
      <c r="L1143">
        <v>0.21766185812760319</v>
      </c>
      <c r="M1143">
        <v>101.89052647365962</v>
      </c>
      <c r="N1143">
        <v>112.07957912102559</v>
      </c>
    </row>
    <row r="1144" spans="1:14">
      <c r="A1144" t="s">
        <v>726</v>
      </c>
      <c r="B1144" t="s">
        <v>2908</v>
      </c>
      <c r="C1144" t="s">
        <v>2909</v>
      </c>
      <c r="D1144" t="s">
        <v>11</v>
      </c>
      <c r="E1144" t="s">
        <v>13</v>
      </c>
      <c r="F1144" t="s">
        <v>729</v>
      </c>
      <c r="G1144" t="s">
        <v>12</v>
      </c>
      <c r="I1144" t="s">
        <v>2908</v>
      </c>
      <c r="J1144" t="s">
        <v>4092</v>
      </c>
      <c r="K1144">
        <v>11.231353993000424</v>
      </c>
      <c r="L1144">
        <v>0.1857393263779179</v>
      </c>
      <c r="M1144">
        <v>113.61853035471007</v>
      </c>
      <c r="N1144">
        <v>124.98038339018109</v>
      </c>
    </row>
    <row r="1145" spans="1:14">
      <c r="A1145" t="s">
        <v>726</v>
      </c>
      <c r="B1145" t="s">
        <v>2910</v>
      </c>
      <c r="C1145" t="s">
        <v>2911</v>
      </c>
      <c r="D1145" t="s">
        <v>11</v>
      </c>
      <c r="E1145" t="s">
        <v>13</v>
      </c>
      <c r="F1145" t="s">
        <v>729</v>
      </c>
      <c r="G1145" t="s">
        <v>12</v>
      </c>
      <c r="I1145" t="s">
        <v>2910</v>
      </c>
      <c r="J1145" t="s">
        <v>4093</v>
      </c>
      <c r="K1145">
        <v>5.0449827271505336</v>
      </c>
      <c r="L1145">
        <v>0.20002423739657621</v>
      </c>
      <c r="M1145">
        <v>157.4508447104123</v>
      </c>
      <c r="N1145">
        <v>173.19592918145355</v>
      </c>
    </row>
    <row r="1146" spans="1:14">
      <c r="A1146" t="s">
        <v>726</v>
      </c>
      <c r="B1146" t="s">
        <v>2912</v>
      </c>
      <c r="C1146" t="s">
        <v>2913</v>
      </c>
      <c r="D1146" t="s">
        <v>11</v>
      </c>
      <c r="E1146" t="s">
        <v>13</v>
      </c>
      <c r="F1146" t="s">
        <v>729</v>
      </c>
      <c r="G1146" t="s">
        <v>12</v>
      </c>
      <c r="I1146" t="s">
        <v>2912</v>
      </c>
      <c r="J1146" t="s">
        <v>4094</v>
      </c>
      <c r="K1146">
        <v>16.196755029277725</v>
      </c>
      <c r="L1146">
        <v>0.2218664477840564</v>
      </c>
      <c r="M1146">
        <v>177.62522199623544</v>
      </c>
      <c r="N1146">
        <v>195.387744195859</v>
      </c>
    </row>
    <row r="1147" spans="1:14">
      <c r="A1147" t="s">
        <v>726</v>
      </c>
      <c r="B1147" t="s">
        <v>2914</v>
      </c>
      <c r="C1147" t="s">
        <v>2905</v>
      </c>
      <c r="D1147" t="s">
        <v>11</v>
      </c>
      <c r="E1147" t="s">
        <v>13</v>
      </c>
      <c r="F1147" t="s">
        <v>729</v>
      </c>
      <c r="G1147" t="s">
        <v>12</v>
      </c>
      <c r="I1147" t="s">
        <v>2914</v>
      </c>
      <c r="J1147" t="s">
        <v>4095</v>
      </c>
      <c r="K1147">
        <v>139.98397617057259</v>
      </c>
      <c r="L1147">
        <v>0.23019127246627599</v>
      </c>
      <c r="M1147">
        <v>128.08355741003967</v>
      </c>
      <c r="N1147">
        <v>140.89191315104367</v>
      </c>
    </row>
    <row r="1148" spans="1:14">
      <c r="A1148" t="s">
        <v>726</v>
      </c>
      <c r="B1148" t="s">
        <v>2915</v>
      </c>
      <c r="C1148" t="s">
        <v>2916</v>
      </c>
      <c r="D1148" t="s">
        <v>11</v>
      </c>
      <c r="E1148" t="s">
        <v>13</v>
      </c>
      <c r="F1148" t="s">
        <v>729</v>
      </c>
      <c r="G1148" t="s">
        <v>12</v>
      </c>
      <c r="I1148" t="s">
        <v>2915</v>
      </c>
      <c r="J1148" t="s">
        <v>4096</v>
      </c>
      <c r="K1148">
        <v>75.88876994283423</v>
      </c>
      <c r="L1148">
        <v>0.24146426269208679</v>
      </c>
      <c r="M1148">
        <v>97.199593241627923</v>
      </c>
      <c r="N1148">
        <v>106.91955256579072</v>
      </c>
    </row>
    <row r="1149" spans="1:14">
      <c r="A1149" t="s">
        <v>726</v>
      </c>
      <c r="B1149" t="s">
        <v>2917</v>
      </c>
      <c r="C1149" t="s">
        <v>2918</v>
      </c>
      <c r="D1149" t="s">
        <v>11</v>
      </c>
      <c r="E1149" t="s">
        <v>13</v>
      </c>
      <c r="F1149" t="s">
        <v>729</v>
      </c>
      <c r="G1149" t="s">
        <v>12</v>
      </c>
      <c r="I1149" t="s">
        <v>2917</v>
      </c>
      <c r="J1149" t="s">
        <v>4097</v>
      </c>
      <c r="K1149">
        <v>38.870493041935653</v>
      </c>
      <c r="L1149">
        <v>0.23631122836280469</v>
      </c>
      <c r="M1149">
        <v>199.75122268768251</v>
      </c>
      <c r="N1149">
        <v>219.72634495645079</v>
      </c>
    </row>
    <row r="1150" spans="1:14">
      <c r="A1150" t="s">
        <v>726</v>
      </c>
      <c r="B1150" t="s">
        <v>2919</v>
      </c>
      <c r="C1150" t="s">
        <v>2918</v>
      </c>
      <c r="D1150" t="s">
        <v>11</v>
      </c>
      <c r="E1150" t="s">
        <v>13</v>
      </c>
      <c r="F1150" t="s">
        <v>729</v>
      </c>
      <c r="G1150" t="s">
        <v>12</v>
      </c>
      <c r="I1150" t="s">
        <v>2919</v>
      </c>
      <c r="J1150" t="s">
        <v>4098</v>
      </c>
      <c r="K1150">
        <v>22.048433271304834</v>
      </c>
      <c r="L1150">
        <v>0.23031692542328519</v>
      </c>
      <c r="M1150">
        <v>150.72754742791014</v>
      </c>
      <c r="N1150">
        <v>165.80030217070117</v>
      </c>
    </row>
    <row r="1151" spans="1:14">
      <c r="A1151" t="s">
        <v>726</v>
      </c>
      <c r="B1151" t="s">
        <v>2920</v>
      </c>
      <c r="C1151" t="s">
        <v>2921</v>
      </c>
      <c r="D1151" t="s">
        <v>11</v>
      </c>
      <c r="E1151" t="s">
        <v>13</v>
      </c>
      <c r="F1151" t="s">
        <v>729</v>
      </c>
      <c r="G1151" t="s">
        <v>12</v>
      </c>
      <c r="I1151" t="s">
        <v>2920</v>
      </c>
      <c r="J1151" t="s">
        <v>4099</v>
      </c>
      <c r="K1151">
        <v>8.5798082981082775</v>
      </c>
      <c r="L1151">
        <v>0.2296092622711064</v>
      </c>
      <c r="M1151">
        <v>285.05247538554659</v>
      </c>
      <c r="N1151">
        <v>313.55772292410126</v>
      </c>
    </row>
    <row r="1152" spans="1:14">
      <c r="A1152" t="s">
        <v>726</v>
      </c>
      <c r="B1152" t="s">
        <v>2922</v>
      </c>
      <c r="C1152" t="s">
        <v>2923</v>
      </c>
      <c r="D1152" t="s">
        <v>11</v>
      </c>
      <c r="E1152" t="s">
        <v>13</v>
      </c>
      <c r="F1152" t="s">
        <v>729</v>
      </c>
      <c r="G1152" t="s">
        <v>12</v>
      </c>
      <c r="I1152" t="s">
        <v>2922</v>
      </c>
      <c r="J1152" t="s">
        <v>4100</v>
      </c>
      <c r="K1152">
        <v>12.998180639354418</v>
      </c>
      <c r="L1152">
        <v>0.23641884126085511</v>
      </c>
      <c r="M1152">
        <v>355.3978022369098</v>
      </c>
      <c r="N1152">
        <v>390.93758246060082</v>
      </c>
    </row>
    <row r="1153" spans="1:14">
      <c r="A1153" t="s">
        <v>726</v>
      </c>
      <c r="B1153" t="s">
        <v>2924</v>
      </c>
      <c r="C1153" t="s">
        <v>2925</v>
      </c>
      <c r="D1153" t="s">
        <v>11</v>
      </c>
      <c r="E1153" t="s">
        <v>13</v>
      </c>
      <c r="F1153" t="s">
        <v>729</v>
      </c>
      <c r="G1153" t="s">
        <v>12</v>
      </c>
      <c r="I1153" t="s">
        <v>2924</v>
      </c>
      <c r="J1153" t="s">
        <v>4101</v>
      </c>
      <c r="K1153">
        <v>13.086235187329232</v>
      </c>
      <c r="L1153">
        <v>0.23614941230306219</v>
      </c>
      <c r="M1153">
        <v>400.35530345477008</v>
      </c>
      <c r="N1153">
        <v>440.39083380024715</v>
      </c>
    </row>
    <row r="1154" spans="1:14">
      <c r="A1154" t="s">
        <v>726</v>
      </c>
      <c r="B1154" t="s">
        <v>2926</v>
      </c>
      <c r="C1154" t="s">
        <v>2927</v>
      </c>
      <c r="D1154" t="s">
        <v>11</v>
      </c>
      <c r="E1154" t="s">
        <v>13</v>
      </c>
      <c r="F1154" t="s">
        <v>729</v>
      </c>
      <c r="G1154" t="s">
        <v>12</v>
      </c>
      <c r="I1154" t="s">
        <v>2926</v>
      </c>
      <c r="J1154" t="s">
        <v>4102</v>
      </c>
      <c r="K1154">
        <v>21.778193169328159</v>
      </c>
      <c r="L1154">
        <v>0.2406716738467353</v>
      </c>
      <c r="M1154">
        <v>227.16726240711796</v>
      </c>
      <c r="N1154">
        <v>249.88398864782977</v>
      </c>
    </row>
    <row r="1155" spans="1:14">
      <c r="A1155" t="s">
        <v>726</v>
      </c>
      <c r="B1155" t="s">
        <v>2928</v>
      </c>
      <c r="C1155" t="s">
        <v>2929</v>
      </c>
      <c r="D1155" t="s">
        <v>11</v>
      </c>
      <c r="E1155" t="s">
        <v>13</v>
      </c>
      <c r="F1155" t="s">
        <v>729</v>
      </c>
      <c r="G1155" t="s">
        <v>12</v>
      </c>
      <c r="I1155" t="s">
        <v>2928</v>
      </c>
      <c r="J1155" t="s">
        <v>4103</v>
      </c>
      <c r="K1155">
        <v>11.604124006678216</v>
      </c>
      <c r="L1155">
        <v>0.23539575340138641</v>
      </c>
      <c r="M1155">
        <v>137.98838310238418</v>
      </c>
      <c r="N1155">
        <v>151.78722141262261</v>
      </c>
    </row>
    <row r="1156" spans="1:14">
      <c r="A1156" t="s">
        <v>726</v>
      </c>
      <c r="B1156" t="s">
        <v>2930</v>
      </c>
      <c r="C1156" t="s">
        <v>2931</v>
      </c>
      <c r="D1156" t="s">
        <v>11</v>
      </c>
      <c r="E1156" t="s">
        <v>13</v>
      </c>
      <c r="F1156" t="s">
        <v>729</v>
      </c>
      <c r="G1156" t="s">
        <v>12</v>
      </c>
      <c r="I1156" t="s">
        <v>2930</v>
      </c>
      <c r="J1156" t="s">
        <v>4104</v>
      </c>
      <c r="K1156">
        <v>11.4088447576567</v>
      </c>
      <c r="L1156">
        <v>0.23387257761025401</v>
      </c>
      <c r="M1156">
        <v>183.12709194042748</v>
      </c>
      <c r="N1156">
        <v>201.43980113447023</v>
      </c>
    </row>
    <row r="1157" spans="1:14">
      <c r="A1157" t="s">
        <v>726</v>
      </c>
      <c r="B1157" t="s">
        <v>2932</v>
      </c>
      <c r="C1157" t="s">
        <v>2933</v>
      </c>
      <c r="D1157" t="s">
        <v>11</v>
      </c>
      <c r="E1157" t="s">
        <v>13</v>
      </c>
      <c r="F1157" t="s">
        <v>729</v>
      </c>
      <c r="G1157" t="s">
        <v>12</v>
      </c>
      <c r="I1157" t="s">
        <v>2932</v>
      </c>
      <c r="J1157" t="s">
        <v>4105</v>
      </c>
      <c r="K1157">
        <v>3.6897552169177965</v>
      </c>
      <c r="L1157">
        <v>0.2327092041346828</v>
      </c>
      <c r="M1157">
        <v>52.943006049764413</v>
      </c>
      <c r="N1157">
        <v>58.237306654740863</v>
      </c>
    </row>
    <row r="1158" spans="1:14">
      <c r="A1158" t="s">
        <v>726</v>
      </c>
      <c r="B1158" t="s">
        <v>2934</v>
      </c>
      <c r="C1158" t="s">
        <v>2935</v>
      </c>
      <c r="D1158" t="s">
        <v>11</v>
      </c>
      <c r="E1158" t="s">
        <v>13</v>
      </c>
      <c r="F1158" t="s">
        <v>729</v>
      </c>
      <c r="G1158" t="s">
        <v>12</v>
      </c>
      <c r="I1158" t="s">
        <v>2934</v>
      </c>
      <c r="J1158" t="s">
        <v>4106</v>
      </c>
      <c r="K1158">
        <v>39.694526599395807</v>
      </c>
      <c r="L1158">
        <v>0.23430646297532301</v>
      </c>
      <c r="M1158">
        <v>126.22573379452795</v>
      </c>
      <c r="N1158">
        <v>138.84830717398077</v>
      </c>
    </row>
    <row r="1159" spans="1:14">
      <c r="A1159" t="s">
        <v>726</v>
      </c>
      <c r="B1159" t="s">
        <v>2936</v>
      </c>
      <c r="C1159" t="s">
        <v>2937</v>
      </c>
      <c r="D1159" t="s">
        <v>11</v>
      </c>
      <c r="E1159" t="s">
        <v>13</v>
      </c>
      <c r="F1159" t="s">
        <v>729</v>
      </c>
      <c r="G1159" t="s">
        <v>12</v>
      </c>
      <c r="I1159" t="s">
        <v>2936</v>
      </c>
      <c r="J1159" t="s">
        <v>4107</v>
      </c>
      <c r="K1159">
        <v>11.51893332527176</v>
      </c>
      <c r="L1159">
        <v>0.21068452004465879</v>
      </c>
      <c r="M1159">
        <v>242.44732839464385</v>
      </c>
      <c r="N1159">
        <v>266.69206123410828</v>
      </c>
    </row>
    <row r="1160" spans="1:14">
      <c r="A1160" t="s">
        <v>726</v>
      </c>
      <c r="B1160" t="s">
        <v>2938</v>
      </c>
      <c r="C1160" t="s">
        <v>2939</v>
      </c>
      <c r="D1160" t="s">
        <v>11</v>
      </c>
      <c r="E1160" t="s">
        <v>13</v>
      </c>
      <c r="F1160" t="s">
        <v>729</v>
      </c>
      <c r="G1160" t="s">
        <v>12</v>
      </c>
      <c r="I1160" t="s">
        <v>2938</v>
      </c>
      <c r="J1160" t="s">
        <v>4108</v>
      </c>
      <c r="K1160">
        <v>42.373278315196096</v>
      </c>
      <c r="L1160">
        <v>0.21682998281202931</v>
      </c>
      <c r="M1160">
        <v>182.66208993516119</v>
      </c>
      <c r="N1160">
        <v>200.92829892867732</v>
      </c>
    </row>
    <row r="1161" spans="1:14">
      <c r="A1161" t="s">
        <v>726</v>
      </c>
      <c r="B1161" t="s">
        <v>2940</v>
      </c>
      <c r="C1161" t="s">
        <v>2941</v>
      </c>
      <c r="D1161" t="s">
        <v>11</v>
      </c>
      <c r="E1161" t="s">
        <v>13</v>
      </c>
      <c r="F1161" t="s">
        <v>729</v>
      </c>
      <c r="G1161" t="s">
        <v>12</v>
      </c>
      <c r="I1161" t="s">
        <v>2940</v>
      </c>
      <c r="J1161" t="s">
        <v>4109</v>
      </c>
      <c r="K1161">
        <v>15.055502356440844</v>
      </c>
      <c r="L1161">
        <v>0.22904122774901131</v>
      </c>
      <c r="M1161">
        <v>101.35569614196579</v>
      </c>
      <c r="N1161">
        <v>111.49126575616238</v>
      </c>
    </row>
    <row r="1162" spans="1:14">
      <c r="A1162" t="s">
        <v>726</v>
      </c>
      <c r="B1162" t="s">
        <v>2942</v>
      </c>
      <c r="C1162" t="s">
        <v>2943</v>
      </c>
      <c r="D1162" t="s">
        <v>11</v>
      </c>
      <c r="E1162" t="s">
        <v>13</v>
      </c>
      <c r="F1162" t="s">
        <v>729</v>
      </c>
      <c r="G1162" t="s">
        <v>12</v>
      </c>
      <c r="I1162" t="s">
        <v>2942</v>
      </c>
      <c r="J1162" t="s">
        <v>4110</v>
      </c>
      <c r="K1162">
        <v>39.924702634881498</v>
      </c>
      <c r="L1162">
        <v>0.23520871081731309</v>
      </c>
      <c r="M1162">
        <v>177.1671380107534</v>
      </c>
      <c r="N1162">
        <v>194.88385181182875</v>
      </c>
    </row>
    <row r="1163" spans="1:14">
      <c r="A1163" t="s">
        <v>726</v>
      </c>
      <c r="B1163" t="s">
        <v>2944</v>
      </c>
      <c r="C1163" t="s">
        <v>2945</v>
      </c>
      <c r="D1163" t="s">
        <v>11</v>
      </c>
      <c r="E1163" t="s">
        <v>13</v>
      </c>
      <c r="F1163" t="s">
        <v>729</v>
      </c>
      <c r="G1163" t="s">
        <v>12</v>
      </c>
      <c r="I1163" t="s">
        <v>2944</v>
      </c>
      <c r="J1163" t="s">
        <v>4111</v>
      </c>
      <c r="K1163">
        <v>13.570796249372853</v>
      </c>
      <c r="L1163">
        <v>0.23741901532562479</v>
      </c>
      <c r="M1163">
        <v>345.88059143817441</v>
      </c>
      <c r="N1163">
        <v>380.46865058199188</v>
      </c>
    </row>
    <row r="1164" spans="1:14">
      <c r="A1164" t="s">
        <v>726</v>
      </c>
      <c r="B1164" t="s">
        <v>2946</v>
      </c>
      <c r="C1164" t="s">
        <v>2947</v>
      </c>
      <c r="D1164" t="s">
        <v>11</v>
      </c>
      <c r="E1164" t="s">
        <v>13</v>
      </c>
      <c r="F1164" t="s">
        <v>729</v>
      </c>
      <c r="G1164" t="s">
        <v>12</v>
      </c>
      <c r="I1164" t="s">
        <v>2946</v>
      </c>
      <c r="J1164" t="s">
        <v>4112</v>
      </c>
      <c r="K1164">
        <v>13.530142838598072</v>
      </c>
      <c r="L1164">
        <v>0.23259688901289319</v>
      </c>
      <c r="M1164">
        <v>52.577303614324862</v>
      </c>
      <c r="N1164">
        <v>57.835033975757355</v>
      </c>
    </row>
    <row r="1165" spans="1:14">
      <c r="A1165" t="s">
        <v>726</v>
      </c>
      <c r="B1165" t="s">
        <v>2948</v>
      </c>
      <c r="C1165" t="s">
        <v>2945</v>
      </c>
      <c r="D1165" t="s">
        <v>11</v>
      </c>
      <c r="E1165" t="s">
        <v>13</v>
      </c>
      <c r="F1165" t="s">
        <v>729</v>
      </c>
      <c r="G1165" t="s">
        <v>12</v>
      </c>
      <c r="I1165" t="s">
        <v>2948</v>
      </c>
      <c r="J1165" t="s">
        <v>4113</v>
      </c>
      <c r="K1165">
        <v>34.679410553411508</v>
      </c>
      <c r="L1165">
        <v>0.23584638837572261</v>
      </c>
      <c r="M1165">
        <v>195.11679926859125</v>
      </c>
      <c r="N1165">
        <v>214.62847919545038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2FA1-CB1B-4640-A2A0-A7924886675D}">
  <dimension ref="A1:Z1000"/>
  <sheetViews>
    <sheetView workbookViewId="0"/>
  </sheetViews>
  <sheetFormatPr defaultRowHeight="14.25"/>
  <sheetData>
    <row r="1" spans="1:26">
      <c r="A1" t="s">
        <v>0</v>
      </c>
      <c r="I1" t="s">
        <v>1</v>
      </c>
      <c r="P1" t="s">
        <v>0</v>
      </c>
      <c r="X1" t="s">
        <v>1</v>
      </c>
    </row>
    <row r="2" spans="1:2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3</v>
      </c>
      <c r="J2" t="s">
        <v>9</v>
      </c>
      <c r="K2" t="s">
        <v>10</v>
      </c>
      <c r="L2" t="s">
        <v>2949</v>
      </c>
      <c r="M2" t="s">
        <v>2950</v>
      </c>
      <c r="N2" t="s">
        <v>14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X2" t="s">
        <v>3</v>
      </c>
      <c r="Y2" t="s">
        <v>9</v>
      </c>
      <c r="Z2" t="s">
        <v>4426</v>
      </c>
    </row>
    <row r="3" spans="1:26">
      <c r="A3" t="s">
        <v>726</v>
      </c>
      <c r="B3" t="s">
        <v>4427</v>
      </c>
      <c r="C3" t="s">
        <v>4428</v>
      </c>
      <c r="D3" t="s">
        <v>11</v>
      </c>
      <c r="E3" t="s">
        <v>13</v>
      </c>
      <c r="F3" t="s">
        <v>729</v>
      </c>
      <c r="G3" t="s">
        <v>12</v>
      </c>
      <c r="I3" t="s">
        <v>4427</v>
      </c>
      <c r="J3" t="s">
        <v>6307</v>
      </c>
      <c r="K3">
        <v>24.496098626393113</v>
      </c>
      <c r="L3">
        <v>0.13070244928769831</v>
      </c>
      <c r="M3">
        <v>231.32590491775579</v>
      </c>
      <c r="N3">
        <v>254.45849540953139</v>
      </c>
      <c r="P3" t="s">
        <v>726</v>
      </c>
      <c r="Q3" t="s">
        <v>7305</v>
      </c>
      <c r="R3" t="s">
        <v>7306</v>
      </c>
      <c r="S3" t="s">
        <v>11</v>
      </c>
      <c r="T3" t="s">
        <v>13</v>
      </c>
      <c r="U3" t="s">
        <v>75</v>
      </c>
      <c r="V3" t="s">
        <v>12</v>
      </c>
      <c r="X3" t="s">
        <v>7305</v>
      </c>
      <c r="Y3" t="s">
        <v>76</v>
      </c>
      <c r="Z3">
        <v>1</v>
      </c>
    </row>
    <row r="4" spans="1:26">
      <c r="A4" t="s">
        <v>726</v>
      </c>
      <c r="B4" t="s">
        <v>4429</v>
      </c>
      <c r="C4" t="s">
        <v>4430</v>
      </c>
      <c r="D4" t="s">
        <v>11</v>
      </c>
      <c r="E4" t="s">
        <v>13</v>
      </c>
      <c r="F4" t="s">
        <v>729</v>
      </c>
      <c r="G4" t="s">
        <v>12</v>
      </c>
      <c r="I4" t="s">
        <v>4429</v>
      </c>
      <c r="J4" t="s">
        <v>6308</v>
      </c>
      <c r="K4">
        <v>3.7606503954125543</v>
      </c>
      <c r="L4">
        <v>0.13775825525614649</v>
      </c>
      <c r="M4">
        <v>194.23722496514441</v>
      </c>
      <c r="N4">
        <v>213.66094746165888</v>
      </c>
      <c r="P4" t="s">
        <v>726</v>
      </c>
      <c r="Q4" t="s">
        <v>7307</v>
      </c>
      <c r="R4" t="s">
        <v>7308</v>
      </c>
      <c r="S4" t="s">
        <v>11</v>
      </c>
      <c r="T4" t="s">
        <v>13</v>
      </c>
      <c r="U4" t="s">
        <v>75</v>
      </c>
      <c r="V4" t="s">
        <v>12</v>
      </c>
      <c r="X4" t="s">
        <v>7307</v>
      </c>
      <c r="Y4" t="s">
        <v>76</v>
      </c>
      <c r="Z4">
        <v>1</v>
      </c>
    </row>
    <row r="5" spans="1:26">
      <c r="A5" t="s">
        <v>726</v>
      </c>
      <c r="B5" t="s">
        <v>4431</v>
      </c>
      <c r="C5" t="s">
        <v>4432</v>
      </c>
      <c r="D5" t="s">
        <v>11</v>
      </c>
      <c r="E5" t="s">
        <v>13</v>
      </c>
      <c r="F5" t="s">
        <v>729</v>
      </c>
      <c r="G5" t="s">
        <v>12</v>
      </c>
      <c r="I5" t="s">
        <v>4431</v>
      </c>
      <c r="J5" t="s">
        <v>6309</v>
      </c>
      <c r="K5">
        <v>13.42382260616934</v>
      </c>
      <c r="L5">
        <v>0.16474966320264309</v>
      </c>
      <c r="M5">
        <v>88.765689401142581</v>
      </c>
      <c r="N5">
        <v>97.642258341256849</v>
      </c>
      <c r="P5" t="s">
        <v>726</v>
      </c>
      <c r="Q5" t="s">
        <v>7309</v>
      </c>
      <c r="R5" t="s">
        <v>7310</v>
      </c>
      <c r="S5" t="s">
        <v>11</v>
      </c>
      <c r="T5" t="s">
        <v>13</v>
      </c>
      <c r="U5" t="s">
        <v>75</v>
      </c>
      <c r="V5" t="s">
        <v>12</v>
      </c>
      <c r="X5" t="s">
        <v>7309</v>
      </c>
      <c r="Y5" t="s">
        <v>76</v>
      </c>
      <c r="Z5">
        <v>1</v>
      </c>
    </row>
    <row r="6" spans="1:26">
      <c r="A6" t="s">
        <v>726</v>
      </c>
      <c r="B6" t="s">
        <v>4433</v>
      </c>
      <c r="C6" t="s">
        <v>4432</v>
      </c>
      <c r="D6" t="s">
        <v>11</v>
      </c>
      <c r="E6" t="s">
        <v>13</v>
      </c>
      <c r="F6" t="s">
        <v>729</v>
      </c>
      <c r="G6" t="s">
        <v>12</v>
      </c>
      <c r="I6" t="s">
        <v>4433</v>
      </c>
      <c r="J6" t="s">
        <v>6310</v>
      </c>
      <c r="K6">
        <v>46.608185981280997</v>
      </c>
      <c r="L6">
        <v>0.24005215213762479</v>
      </c>
      <c r="M6">
        <v>165.20126341817326</v>
      </c>
      <c r="N6">
        <v>181.72138975999059</v>
      </c>
      <c r="P6" t="s">
        <v>726</v>
      </c>
      <c r="Q6" t="s">
        <v>7311</v>
      </c>
      <c r="R6" t="s">
        <v>7312</v>
      </c>
      <c r="S6" t="s">
        <v>11</v>
      </c>
      <c r="T6" t="s">
        <v>13</v>
      </c>
      <c r="U6" t="s">
        <v>75</v>
      </c>
      <c r="V6" t="s">
        <v>12</v>
      </c>
      <c r="X6" t="s">
        <v>7311</v>
      </c>
      <c r="Y6" t="s">
        <v>76</v>
      </c>
      <c r="Z6">
        <v>1</v>
      </c>
    </row>
    <row r="7" spans="1:26">
      <c r="A7" t="s">
        <v>726</v>
      </c>
      <c r="B7" t="s">
        <v>4434</v>
      </c>
      <c r="C7" t="s">
        <v>4435</v>
      </c>
      <c r="D7" t="s">
        <v>11</v>
      </c>
      <c r="E7" t="s">
        <v>13</v>
      </c>
      <c r="F7" t="s">
        <v>729</v>
      </c>
      <c r="G7" t="s">
        <v>12</v>
      </c>
      <c r="I7" t="s">
        <v>4434</v>
      </c>
      <c r="J7" t="s">
        <v>6311</v>
      </c>
      <c r="K7">
        <v>28.981007791915285</v>
      </c>
      <c r="L7">
        <v>0.221333949796893</v>
      </c>
      <c r="M7">
        <v>81.118172166109659</v>
      </c>
      <c r="N7">
        <v>89.229989382720632</v>
      </c>
      <c r="P7" t="s">
        <v>726</v>
      </c>
      <c r="Q7" t="s">
        <v>7313</v>
      </c>
      <c r="R7" t="s">
        <v>7314</v>
      </c>
      <c r="S7" t="s">
        <v>11</v>
      </c>
      <c r="T7" t="s">
        <v>13</v>
      </c>
      <c r="U7" t="s">
        <v>75</v>
      </c>
      <c r="V7" t="s">
        <v>12</v>
      </c>
      <c r="X7" t="s">
        <v>7313</v>
      </c>
      <c r="Y7" t="s">
        <v>76</v>
      </c>
      <c r="Z7">
        <v>1</v>
      </c>
    </row>
    <row r="8" spans="1:26">
      <c r="A8" t="s">
        <v>726</v>
      </c>
      <c r="B8" t="s">
        <v>4436</v>
      </c>
      <c r="C8" t="s">
        <v>4437</v>
      </c>
      <c r="D8" t="s">
        <v>11</v>
      </c>
      <c r="E8" t="s">
        <v>13</v>
      </c>
      <c r="F8" t="s">
        <v>729</v>
      </c>
      <c r="G8" t="s">
        <v>12</v>
      </c>
      <c r="I8" t="s">
        <v>4436</v>
      </c>
      <c r="J8" t="s">
        <v>6312</v>
      </c>
      <c r="K8">
        <v>16.157303131153224</v>
      </c>
      <c r="L8">
        <v>0.2322023544106237</v>
      </c>
      <c r="M8">
        <v>149.23421017670418</v>
      </c>
      <c r="N8">
        <v>164.1576311943746</v>
      </c>
      <c r="P8" t="s">
        <v>726</v>
      </c>
      <c r="Q8" t="s">
        <v>7315</v>
      </c>
      <c r="R8" t="s">
        <v>7316</v>
      </c>
      <c r="S8" t="s">
        <v>11</v>
      </c>
      <c r="T8" t="s">
        <v>13</v>
      </c>
      <c r="U8" t="s">
        <v>75</v>
      </c>
      <c r="V8" t="s">
        <v>12</v>
      </c>
      <c r="X8" t="s">
        <v>7315</v>
      </c>
      <c r="Y8" t="s">
        <v>76</v>
      </c>
      <c r="Z8">
        <v>1</v>
      </c>
    </row>
    <row r="9" spans="1:26">
      <c r="A9" t="s">
        <v>726</v>
      </c>
      <c r="B9" t="s">
        <v>4438</v>
      </c>
      <c r="C9" t="s">
        <v>4439</v>
      </c>
      <c r="D9" t="s">
        <v>11</v>
      </c>
      <c r="E9" t="s">
        <v>13</v>
      </c>
      <c r="F9" t="s">
        <v>729</v>
      </c>
      <c r="G9" t="s">
        <v>12</v>
      </c>
      <c r="I9" t="s">
        <v>4438</v>
      </c>
      <c r="J9" t="s">
        <v>6313</v>
      </c>
      <c r="K9">
        <v>95.103968352712926</v>
      </c>
      <c r="L9">
        <v>0.41045596368904141</v>
      </c>
      <c r="M9">
        <v>139.26386046314531</v>
      </c>
      <c r="N9">
        <v>153.19024650945985</v>
      </c>
      <c r="P9" t="s">
        <v>726</v>
      </c>
      <c r="Q9" t="s">
        <v>7317</v>
      </c>
      <c r="R9" t="s">
        <v>7318</v>
      </c>
      <c r="S9" t="s">
        <v>11</v>
      </c>
      <c r="T9" t="s">
        <v>13</v>
      </c>
      <c r="U9" t="s">
        <v>75</v>
      </c>
      <c r="V9" t="s">
        <v>12</v>
      </c>
      <c r="X9" t="s">
        <v>7317</v>
      </c>
      <c r="Y9" t="s">
        <v>76</v>
      </c>
      <c r="Z9">
        <v>1</v>
      </c>
    </row>
    <row r="10" spans="1:26">
      <c r="A10" t="s">
        <v>726</v>
      </c>
      <c r="B10" t="s">
        <v>4440</v>
      </c>
      <c r="C10" t="s">
        <v>4441</v>
      </c>
      <c r="D10" t="s">
        <v>11</v>
      </c>
      <c r="E10" t="s">
        <v>13</v>
      </c>
      <c r="F10" t="s">
        <v>729</v>
      </c>
      <c r="G10" t="s">
        <v>12</v>
      </c>
      <c r="I10" t="s">
        <v>4440</v>
      </c>
      <c r="J10" t="s">
        <v>6314</v>
      </c>
      <c r="K10">
        <v>9.5834129775728023</v>
      </c>
      <c r="L10">
        <v>0.1356440519895499</v>
      </c>
      <c r="M10">
        <v>152.0914171879391</v>
      </c>
      <c r="N10">
        <v>167.30055890673302</v>
      </c>
      <c r="P10" t="s">
        <v>726</v>
      </c>
      <c r="Q10" t="s">
        <v>7319</v>
      </c>
      <c r="R10" t="s">
        <v>7320</v>
      </c>
      <c r="S10" t="s">
        <v>11</v>
      </c>
      <c r="T10" t="s">
        <v>13</v>
      </c>
      <c r="U10" t="s">
        <v>75</v>
      </c>
      <c r="V10" t="s">
        <v>12</v>
      </c>
      <c r="X10" t="s">
        <v>7319</v>
      </c>
      <c r="Y10" t="s">
        <v>76</v>
      </c>
      <c r="Z10">
        <v>1</v>
      </c>
    </row>
    <row r="11" spans="1:26">
      <c r="A11" t="s">
        <v>726</v>
      </c>
      <c r="B11" t="s">
        <v>4442</v>
      </c>
      <c r="C11" t="s">
        <v>4443</v>
      </c>
      <c r="D11" t="s">
        <v>11</v>
      </c>
      <c r="E11" t="s">
        <v>13</v>
      </c>
      <c r="F11" t="s">
        <v>729</v>
      </c>
      <c r="G11" t="s">
        <v>12</v>
      </c>
      <c r="I11" t="s">
        <v>4442</v>
      </c>
      <c r="J11" t="s">
        <v>6315</v>
      </c>
      <c r="K11">
        <v>12.296203200975068</v>
      </c>
      <c r="L11">
        <v>0.1105882457055137</v>
      </c>
      <c r="M11">
        <v>141.2254533963382</v>
      </c>
      <c r="N11">
        <v>155.34799873597203</v>
      </c>
      <c r="P11" t="s">
        <v>726</v>
      </c>
      <c r="Q11" t="s">
        <v>7321</v>
      </c>
      <c r="R11" t="s">
        <v>7322</v>
      </c>
      <c r="S11" t="s">
        <v>11</v>
      </c>
      <c r="T11" t="s">
        <v>13</v>
      </c>
      <c r="U11" t="s">
        <v>75</v>
      </c>
      <c r="V11" t="s">
        <v>12</v>
      </c>
      <c r="X11" t="s">
        <v>7321</v>
      </c>
      <c r="Y11" t="s">
        <v>76</v>
      </c>
      <c r="Z11">
        <v>1</v>
      </c>
    </row>
    <row r="12" spans="1:26">
      <c r="A12" t="s">
        <v>726</v>
      </c>
      <c r="B12" t="s">
        <v>4444</v>
      </c>
      <c r="C12" t="s">
        <v>4441</v>
      </c>
      <c r="D12" t="s">
        <v>11</v>
      </c>
      <c r="E12" t="s">
        <v>13</v>
      </c>
      <c r="F12" t="s">
        <v>729</v>
      </c>
      <c r="G12" t="s">
        <v>12</v>
      </c>
      <c r="I12" t="s">
        <v>4444</v>
      </c>
      <c r="J12" t="s">
        <v>6316</v>
      </c>
      <c r="K12">
        <v>14.378232454813867</v>
      </c>
      <c r="L12">
        <v>9.5540921041458698E-2</v>
      </c>
      <c r="M12">
        <v>112.25181089172052</v>
      </c>
      <c r="N12">
        <v>123.47699198089259</v>
      </c>
      <c r="P12" t="s">
        <v>726</v>
      </c>
      <c r="Q12" t="s">
        <v>7323</v>
      </c>
      <c r="R12" t="s">
        <v>7324</v>
      </c>
      <c r="S12" t="s">
        <v>11</v>
      </c>
      <c r="T12" t="s">
        <v>13</v>
      </c>
      <c r="U12" t="s">
        <v>75</v>
      </c>
      <c r="V12" t="s">
        <v>12</v>
      </c>
      <c r="X12" t="s">
        <v>7323</v>
      </c>
      <c r="Y12" t="s">
        <v>76</v>
      </c>
      <c r="Z12">
        <v>1</v>
      </c>
    </row>
    <row r="13" spans="1:26">
      <c r="A13" t="s">
        <v>726</v>
      </c>
      <c r="B13" t="s">
        <v>4445</v>
      </c>
      <c r="C13" t="s">
        <v>4446</v>
      </c>
      <c r="D13" t="s">
        <v>11</v>
      </c>
      <c r="E13" t="s">
        <v>13</v>
      </c>
      <c r="F13" t="s">
        <v>729</v>
      </c>
      <c r="G13" t="s">
        <v>12</v>
      </c>
      <c r="I13" t="s">
        <v>4445</v>
      </c>
      <c r="J13" t="s">
        <v>6317</v>
      </c>
      <c r="K13">
        <v>64.119047888543633</v>
      </c>
      <c r="L13">
        <v>0.1297870736424295</v>
      </c>
      <c r="M13">
        <v>222.30006273077689</v>
      </c>
      <c r="N13">
        <v>244.53006900385461</v>
      </c>
      <c r="P13" t="s">
        <v>726</v>
      </c>
      <c r="Q13" t="s">
        <v>7325</v>
      </c>
      <c r="R13" t="s">
        <v>7326</v>
      </c>
      <c r="S13" t="s">
        <v>11</v>
      </c>
      <c r="T13" t="s">
        <v>13</v>
      </c>
      <c r="U13" t="s">
        <v>75</v>
      </c>
      <c r="V13" t="s">
        <v>12</v>
      </c>
      <c r="X13" t="s">
        <v>7325</v>
      </c>
      <c r="Y13" t="s">
        <v>76</v>
      </c>
      <c r="Z13">
        <v>1</v>
      </c>
    </row>
    <row r="14" spans="1:26">
      <c r="A14" t="s">
        <v>726</v>
      </c>
      <c r="B14" t="s">
        <v>4447</v>
      </c>
      <c r="C14" t="s">
        <v>4448</v>
      </c>
      <c r="D14" t="s">
        <v>11</v>
      </c>
      <c r="E14" t="s">
        <v>13</v>
      </c>
      <c r="F14" t="s">
        <v>729</v>
      </c>
      <c r="G14" t="s">
        <v>12</v>
      </c>
      <c r="I14" t="s">
        <v>4447</v>
      </c>
      <c r="J14" t="s">
        <v>6318</v>
      </c>
      <c r="K14">
        <v>30.446662487869609</v>
      </c>
      <c r="L14">
        <v>0.107940756610168</v>
      </c>
      <c r="M14">
        <v>120.90552667271788</v>
      </c>
      <c r="N14">
        <v>132.99607933998968</v>
      </c>
      <c r="P14" t="s">
        <v>726</v>
      </c>
      <c r="Q14" t="s">
        <v>7327</v>
      </c>
      <c r="R14" t="s">
        <v>7328</v>
      </c>
      <c r="S14" t="s">
        <v>11</v>
      </c>
      <c r="T14" t="s">
        <v>13</v>
      </c>
      <c r="U14" t="s">
        <v>75</v>
      </c>
      <c r="V14" t="s">
        <v>12</v>
      </c>
      <c r="X14" t="s">
        <v>7327</v>
      </c>
      <c r="Y14" t="s">
        <v>76</v>
      </c>
      <c r="Z14">
        <v>1</v>
      </c>
    </row>
    <row r="15" spans="1:26">
      <c r="A15" t="s">
        <v>726</v>
      </c>
      <c r="B15" t="s">
        <v>4449</v>
      </c>
      <c r="C15" t="s">
        <v>4450</v>
      </c>
      <c r="D15" t="s">
        <v>11</v>
      </c>
      <c r="E15" t="s">
        <v>13</v>
      </c>
      <c r="F15" t="s">
        <v>729</v>
      </c>
      <c r="G15" t="s">
        <v>12</v>
      </c>
      <c r="I15" t="s">
        <v>4449</v>
      </c>
      <c r="J15" t="s">
        <v>6319</v>
      </c>
      <c r="K15">
        <v>1.7172015511424894</v>
      </c>
      <c r="L15">
        <v>8.8429519956854094E-2</v>
      </c>
      <c r="M15">
        <v>94.081891796152519</v>
      </c>
      <c r="N15">
        <v>103.49008097576778</v>
      </c>
      <c r="P15" t="s">
        <v>726</v>
      </c>
      <c r="Q15" t="s">
        <v>7329</v>
      </c>
      <c r="R15" t="s">
        <v>7330</v>
      </c>
      <c r="S15" t="s">
        <v>11</v>
      </c>
      <c r="T15" t="s">
        <v>13</v>
      </c>
      <c r="U15" t="s">
        <v>75</v>
      </c>
      <c r="V15" t="s">
        <v>12</v>
      </c>
      <c r="X15" t="s">
        <v>7329</v>
      </c>
      <c r="Y15" t="s">
        <v>76</v>
      </c>
      <c r="Z15">
        <v>1</v>
      </c>
    </row>
    <row r="16" spans="1:26">
      <c r="A16" t="s">
        <v>726</v>
      </c>
      <c r="B16" t="s">
        <v>4451</v>
      </c>
      <c r="C16" t="s">
        <v>4452</v>
      </c>
      <c r="D16" t="s">
        <v>11</v>
      </c>
      <c r="E16" t="s">
        <v>13</v>
      </c>
      <c r="F16" t="s">
        <v>729</v>
      </c>
      <c r="G16" t="s">
        <v>12</v>
      </c>
      <c r="I16" t="s">
        <v>4451</v>
      </c>
      <c r="J16" t="s">
        <v>6320</v>
      </c>
      <c r="K16">
        <v>59.339749990240755</v>
      </c>
      <c r="L16">
        <v>0.14473240907357979</v>
      </c>
      <c r="M16">
        <v>154.28204335028605</v>
      </c>
      <c r="N16">
        <v>169.71024768531467</v>
      </c>
      <c r="P16" t="s">
        <v>726</v>
      </c>
      <c r="Q16" t="s">
        <v>7331</v>
      </c>
      <c r="R16" t="s">
        <v>7332</v>
      </c>
      <c r="S16" t="s">
        <v>11</v>
      </c>
      <c r="T16" t="s">
        <v>13</v>
      </c>
      <c r="U16" t="s">
        <v>75</v>
      </c>
      <c r="V16" t="s">
        <v>12</v>
      </c>
      <c r="X16" t="s">
        <v>7331</v>
      </c>
      <c r="Y16" t="s">
        <v>76</v>
      </c>
      <c r="Z16">
        <v>1</v>
      </c>
    </row>
    <row r="17" spans="1:26">
      <c r="A17" t="s">
        <v>726</v>
      </c>
      <c r="B17" t="s">
        <v>4453</v>
      </c>
      <c r="C17" t="s">
        <v>4454</v>
      </c>
      <c r="D17" t="s">
        <v>11</v>
      </c>
      <c r="E17" t="s">
        <v>13</v>
      </c>
      <c r="F17" t="s">
        <v>729</v>
      </c>
      <c r="G17" t="s">
        <v>12</v>
      </c>
      <c r="I17" t="s">
        <v>4453</v>
      </c>
      <c r="J17" t="s">
        <v>6321</v>
      </c>
      <c r="K17">
        <v>52.183257001324719</v>
      </c>
      <c r="L17">
        <v>0.12938394364275341</v>
      </c>
      <c r="M17">
        <v>199.70193807280381</v>
      </c>
      <c r="N17">
        <v>219.67213188008421</v>
      </c>
      <c r="P17" t="s">
        <v>726</v>
      </c>
      <c r="Q17" t="s">
        <v>7333</v>
      </c>
      <c r="R17" t="s">
        <v>7334</v>
      </c>
      <c r="S17" t="s">
        <v>11</v>
      </c>
      <c r="T17" t="s">
        <v>13</v>
      </c>
      <c r="U17" t="s">
        <v>75</v>
      </c>
      <c r="V17" t="s">
        <v>12</v>
      </c>
      <c r="X17" t="s">
        <v>7333</v>
      </c>
      <c r="Y17" t="s">
        <v>76</v>
      </c>
      <c r="Z17">
        <v>1</v>
      </c>
    </row>
    <row r="18" spans="1:26">
      <c r="A18" t="s">
        <v>726</v>
      </c>
      <c r="B18" t="s">
        <v>4455</v>
      </c>
      <c r="C18" t="s">
        <v>4456</v>
      </c>
      <c r="D18" t="s">
        <v>11</v>
      </c>
      <c r="E18" t="s">
        <v>13</v>
      </c>
      <c r="F18" t="s">
        <v>729</v>
      </c>
      <c r="G18" t="s">
        <v>12</v>
      </c>
      <c r="I18" t="s">
        <v>4455</v>
      </c>
      <c r="J18" t="s">
        <v>6322</v>
      </c>
      <c r="K18">
        <v>140.21076354036825</v>
      </c>
      <c r="L18">
        <v>0.16762229926057659</v>
      </c>
      <c r="M18">
        <v>367.32104698116922</v>
      </c>
      <c r="N18">
        <v>404.05315167928615</v>
      </c>
      <c r="P18" t="s">
        <v>726</v>
      </c>
      <c r="Q18" t="s">
        <v>7335</v>
      </c>
      <c r="R18" t="s">
        <v>7336</v>
      </c>
      <c r="S18" t="s">
        <v>11</v>
      </c>
      <c r="T18" t="s">
        <v>13</v>
      </c>
      <c r="U18" t="s">
        <v>75</v>
      </c>
      <c r="V18" t="s">
        <v>12</v>
      </c>
      <c r="X18" t="s">
        <v>7335</v>
      </c>
      <c r="Y18" t="s">
        <v>76</v>
      </c>
      <c r="Z18">
        <v>1</v>
      </c>
    </row>
    <row r="19" spans="1:26">
      <c r="A19" t="s">
        <v>726</v>
      </c>
      <c r="B19" t="s">
        <v>4457</v>
      </c>
      <c r="C19" t="s">
        <v>4458</v>
      </c>
      <c r="D19" t="s">
        <v>11</v>
      </c>
      <c r="E19" t="s">
        <v>13</v>
      </c>
      <c r="F19" t="s">
        <v>729</v>
      </c>
      <c r="G19" t="s">
        <v>12</v>
      </c>
      <c r="I19" t="s">
        <v>4457</v>
      </c>
      <c r="J19" t="s">
        <v>6323</v>
      </c>
      <c r="K19">
        <v>6.0066705743848599E-2</v>
      </c>
      <c r="L19">
        <v>0.1195251448746235</v>
      </c>
      <c r="M19">
        <v>26.439154352117839</v>
      </c>
      <c r="N19">
        <v>29.083069787329624</v>
      </c>
      <c r="P19" t="s">
        <v>726</v>
      </c>
      <c r="Q19" t="s">
        <v>7337</v>
      </c>
      <c r="R19" t="s">
        <v>7338</v>
      </c>
      <c r="S19" t="s">
        <v>11</v>
      </c>
      <c r="T19" t="s">
        <v>13</v>
      </c>
      <c r="U19" t="s">
        <v>75</v>
      </c>
      <c r="V19" t="s">
        <v>12</v>
      </c>
      <c r="X19" t="s">
        <v>7337</v>
      </c>
      <c r="Y19" t="s">
        <v>76</v>
      </c>
      <c r="Z19">
        <v>1</v>
      </c>
    </row>
    <row r="20" spans="1:26">
      <c r="A20" t="s">
        <v>726</v>
      </c>
      <c r="B20" t="s">
        <v>4459</v>
      </c>
      <c r="C20" t="s">
        <v>4460</v>
      </c>
      <c r="D20" t="s">
        <v>11</v>
      </c>
      <c r="E20" t="s">
        <v>13</v>
      </c>
      <c r="F20" t="s">
        <v>729</v>
      </c>
      <c r="G20" t="s">
        <v>12</v>
      </c>
      <c r="I20" t="s">
        <v>4459</v>
      </c>
      <c r="J20" t="s">
        <v>6324</v>
      </c>
      <c r="K20">
        <v>5.5538252417288207E-2</v>
      </c>
      <c r="L20">
        <v>0.12755689351596741</v>
      </c>
      <c r="M20">
        <v>26.88820346313225</v>
      </c>
      <c r="N20">
        <v>29.577023809445478</v>
      </c>
      <c r="P20" t="s">
        <v>726</v>
      </c>
      <c r="Q20" t="s">
        <v>7339</v>
      </c>
      <c r="R20" t="s">
        <v>7340</v>
      </c>
      <c r="S20" t="s">
        <v>11</v>
      </c>
      <c r="T20" t="s">
        <v>13</v>
      </c>
      <c r="U20" t="s">
        <v>75</v>
      </c>
      <c r="V20" t="s">
        <v>12</v>
      </c>
      <c r="X20" t="s">
        <v>7339</v>
      </c>
      <c r="Y20" t="s">
        <v>76</v>
      </c>
      <c r="Z20">
        <v>1</v>
      </c>
    </row>
    <row r="21" spans="1:26">
      <c r="A21" t="s">
        <v>726</v>
      </c>
      <c r="B21" t="s">
        <v>4461</v>
      </c>
      <c r="C21" t="s">
        <v>4462</v>
      </c>
      <c r="D21" t="s">
        <v>11</v>
      </c>
      <c r="E21" t="s">
        <v>13</v>
      </c>
      <c r="F21" t="s">
        <v>729</v>
      </c>
      <c r="G21" t="s">
        <v>12</v>
      </c>
      <c r="I21" t="s">
        <v>4461</v>
      </c>
      <c r="J21" t="s">
        <v>6325</v>
      </c>
      <c r="K21">
        <v>15.470968882006892</v>
      </c>
      <c r="L21">
        <v>0.25616250219988262</v>
      </c>
      <c r="M21">
        <v>256.92329155155028</v>
      </c>
      <c r="N21">
        <v>282.61562070670533</v>
      </c>
      <c r="P21" t="s">
        <v>726</v>
      </c>
      <c r="Q21" t="s">
        <v>7341</v>
      </c>
      <c r="R21" t="s">
        <v>7342</v>
      </c>
      <c r="S21" t="s">
        <v>11</v>
      </c>
      <c r="T21" t="s">
        <v>13</v>
      </c>
      <c r="U21" t="s">
        <v>75</v>
      </c>
      <c r="V21" t="s">
        <v>12</v>
      </c>
      <c r="X21" t="s">
        <v>7341</v>
      </c>
      <c r="Y21" t="s">
        <v>76</v>
      </c>
      <c r="Z21">
        <v>1</v>
      </c>
    </row>
    <row r="22" spans="1:26">
      <c r="A22" t="s">
        <v>726</v>
      </c>
      <c r="B22" t="s">
        <v>4463</v>
      </c>
      <c r="C22" t="s">
        <v>4462</v>
      </c>
      <c r="D22" t="s">
        <v>11</v>
      </c>
      <c r="E22" t="s">
        <v>13</v>
      </c>
      <c r="F22" t="s">
        <v>729</v>
      </c>
      <c r="G22" t="s">
        <v>12</v>
      </c>
      <c r="I22" t="s">
        <v>4463</v>
      </c>
      <c r="J22" t="s">
        <v>6326</v>
      </c>
      <c r="K22">
        <v>28.426462293377092</v>
      </c>
      <c r="L22">
        <v>0.2436496905272994</v>
      </c>
      <c r="M22">
        <v>133.35930317644193</v>
      </c>
      <c r="N22">
        <v>146.69523349408612</v>
      </c>
      <c r="P22" t="s">
        <v>726</v>
      </c>
      <c r="Q22" t="s">
        <v>7343</v>
      </c>
      <c r="R22" t="s">
        <v>7344</v>
      </c>
      <c r="S22" t="s">
        <v>11</v>
      </c>
      <c r="T22" t="s">
        <v>13</v>
      </c>
      <c r="U22" t="s">
        <v>75</v>
      </c>
      <c r="V22" t="s">
        <v>12</v>
      </c>
      <c r="X22" t="s">
        <v>7343</v>
      </c>
      <c r="Y22" t="s">
        <v>76</v>
      </c>
      <c r="Z22">
        <v>1</v>
      </c>
    </row>
    <row r="23" spans="1:26">
      <c r="A23" t="s">
        <v>726</v>
      </c>
      <c r="B23" t="s">
        <v>4464</v>
      </c>
      <c r="C23" t="s">
        <v>4465</v>
      </c>
      <c r="D23" t="s">
        <v>11</v>
      </c>
      <c r="E23" t="s">
        <v>13</v>
      </c>
      <c r="F23" t="s">
        <v>729</v>
      </c>
      <c r="G23" t="s">
        <v>12</v>
      </c>
      <c r="I23" t="s">
        <v>4464</v>
      </c>
      <c r="J23" t="s">
        <v>6327</v>
      </c>
      <c r="K23">
        <v>8.1283613626676292</v>
      </c>
      <c r="L23">
        <v>0.12688615543309531</v>
      </c>
      <c r="M23">
        <v>73.939221381692818</v>
      </c>
      <c r="N23">
        <v>81.333143519862105</v>
      </c>
      <c r="P23" t="s">
        <v>726</v>
      </c>
      <c r="Q23" t="s">
        <v>7345</v>
      </c>
      <c r="R23" t="s">
        <v>7346</v>
      </c>
      <c r="S23" t="s">
        <v>11</v>
      </c>
      <c r="T23" t="s">
        <v>13</v>
      </c>
      <c r="U23" t="s">
        <v>75</v>
      </c>
      <c r="V23" t="s">
        <v>12</v>
      </c>
      <c r="X23" t="s">
        <v>7345</v>
      </c>
      <c r="Y23" t="s">
        <v>76</v>
      </c>
      <c r="Z23">
        <v>1</v>
      </c>
    </row>
    <row r="24" spans="1:26">
      <c r="A24" t="s">
        <v>726</v>
      </c>
      <c r="B24" t="s">
        <v>4466</v>
      </c>
      <c r="C24" t="s">
        <v>4467</v>
      </c>
      <c r="D24" t="s">
        <v>11</v>
      </c>
      <c r="E24" t="s">
        <v>13</v>
      </c>
      <c r="F24" t="s">
        <v>729</v>
      </c>
      <c r="G24" t="s">
        <v>12</v>
      </c>
      <c r="I24" t="s">
        <v>4466</v>
      </c>
      <c r="J24" t="s">
        <v>6328</v>
      </c>
      <c r="K24">
        <v>18.33051469103556</v>
      </c>
      <c r="L24">
        <v>0.18094392324991199</v>
      </c>
      <c r="M24">
        <v>147.15915174170431</v>
      </c>
      <c r="N24">
        <v>161.87506691587475</v>
      </c>
      <c r="P24" t="s">
        <v>726</v>
      </c>
      <c r="Q24" t="s">
        <v>7347</v>
      </c>
      <c r="R24" t="s">
        <v>7348</v>
      </c>
      <c r="S24" t="s">
        <v>11</v>
      </c>
      <c r="T24" t="s">
        <v>13</v>
      </c>
      <c r="U24" t="s">
        <v>75</v>
      </c>
      <c r="V24" t="s">
        <v>12</v>
      </c>
      <c r="X24" t="s">
        <v>7347</v>
      </c>
      <c r="Y24" t="s">
        <v>76</v>
      </c>
      <c r="Z24">
        <v>1</v>
      </c>
    </row>
    <row r="25" spans="1:26">
      <c r="A25" t="s">
        <v>726</v>
      </c>
      <c r="B25" t="s">
        <v>4468</v>
      </c>
      <c r="C25" t="s">
        <v>4469</v>
      </c>
      <c r="D25" t="s">
        <v>11</v>
      </c>
      <c r="E25" t="s">
        <v>13</v>
      </c>
      <c r="F25" t="s">
        <v>729</v>
      </c>
      <c r="G25" t="s">
        <v>12</v>
      </c>
      <c r="I25" t="s">
        <v>4468</v>
      </c>
      <c r="J25" t="s">
        <v>6329</v>
      </c>
      <c r="K25">
        <v>30.891822490006803</v>
      </c>
      <c r="L25">
        <v>0.14370806834285629</v>
      </c>
      <c r="M25">
        <v>286.58594387436989</v>
      </c>
      <c r="N25">
        <v>315.24453826180689</v>
      </c>
      <c r="P25" t="s">
        <v>726</v>
      </c>
      <c r="Q25" t="s">
        <v>7349</v>
      </c>
      <c r="R25" t="s">
        <v>7350</v>
      </c>
      <c r="S25" t="s">
        <v>11</v>
      </c>
      <c r="T25" t="s">
        <v>13</v>
      </c>
      <c r="U25" t="s">
        <v>75</v>
      </c>
      <c r="V25" t="s">
        <v>12</v>
      </c>
      <c r="X25" t="s">
        <v>7349</v>
      </c>
      <c r="Y25" t="s">
        <v>76</v>
      </c>
      <c r="Z25">
        <v>1</v>
      </c>
    </row>
    <row r="26" spans="1:26">
      <c r="A26" t="s">
        <v>726</v>
      </c>
      <c r="B26" t="s">
        <v>4470</v>
      </c>
      <c r="C26" t="s">
        <v>4469</v>
      </c>
      <c r="D26" t="s">
        <v>11</v>
      </c>
      <c r="E26" t="s">
        <v>13</v>
      </c>
      <c r="F26" t="s">
        <v>729</v>
      </c>
      <c r="G26" t="s">
        <v>12</v>
      </c>
      <c r="I26" t="s">
        <v>4470</v>
      </c>
      <c r="J26" t="s">
        <v>6330</v>
      </c>
      <c r="K26">
        <v>121.62578479120224</v>
      </c>
      <c r="L26">
        <v>0.25540040913144568</v>
      </c>
      <c r="M26">
        <v>153.06467260740996</v>
      </c>
      <c r="N26">
        <v>168.37113986815098</v>
      </c>
      <c r="P26" t="s">
        <v>726</v>
      </c>
      <c r="Q26" t="s">
        <v>7351</v>
      </c>
      <c r="R26" t="s">
        <v>7352</v>
      </c>
      <c r="S26" t="s">
        <v>11</v>
      </c>
      <c r="T26" t="s">
        <v>13</v>
      </c>
      <c r="U26" t="s">
        <v>75</v>
      </c>
      <c r="V26" t="s">
        <v>12</v>
      </c>
      <c r="X26" t="s">
        <v>7351</v>
      </c>
      <c r="Y26" t="s">
        <v>76</v>
      </c>
      <c r="Z26">
        <v>1</v>
      </c>
    </row>
    <row r="27" spans="1:26">
      <c r="A27" t="s">
        <v>726</v>
      </c>
      <c r="B27" t="s">
        <v>4471</v>
      </c>
      <c r="C27" t="s">
        <v>4472</v>
      </c>
      <c r="D27" t="s">
        <v>11</v>
      </c>
      <c r="E27" t="s">
        <v>13</v>
      </c>
      <c r="F27" t="s">
        <v>729</v>
      </c>
      <c r="G27" t="s">
        <v>12</v>
      </c>
      <c r="I27" t="s">
        <v>4471</v>
      </c>
      <c r="J27" t="s">
        <v>6331</v>
      </c>
      <c r="K27">
        <v>457.27931963131573</v>
      </c>
      <c r="L27">
        <v>0.47637639026251588</v>
      </c>
      <c r="M27">
        <v>186.48637690633441</v>
      </c>
      <c r="N27">
        <v>205.13501459696786</v>
      </c>
      <c r="P27" t="s">
        <v>726</v>
      </c>
      <c r="Q27" t="s">
        <v>7353</v>
      </c>
      <c r="R27" t="s">
        <v>7354</v>
      </c>
      <c r="S27" t="s">
        <v>11</v>
      </c>
      <c r="T27" t="s">
        <v>13</v>
      </c>
      <c r="U27" t="s">
        <v>75</v>
      </c>
      <c r="V27" t="s">
        <v>12</v>
      </c>
      <c r="X27" t="s">
        <v>7353</v>
      </c>
      <c r="Y27" t="s">
        <v>76</v>
      </c>
      <c r="Z27">
        <v>1</v>
      </c>
    </row>
    <row r="28" spans="1:26">
      <c r="A28" t="s">
        <v>726</v>
      </c>
      <c r="B28" t="s">
        <v>4473</v>
      </c>
      <c r="C28" t="s">
        <v>4474</v>
      </c>
      <c r="D28" t="s">
        <v>11</v>
      </c>
      <c r="E28" t="s">
        <v>13</v>
      </c>
      <c r="F28" t="s">
        <v>729</v>
      </c>
      <c r="G28" t="s">
        <v>12</v>
      </c>
      <c r="I28" t="s">
        <v>4473</v>
      </c>
      <c r="J28" t="s">
        <v>6332</v>
      </c>
      <c r="K28">
        <v>122.679</v>
      </c>
      <c r="L28">
        <v>0.58379419550526035</v>
      </c>
      <c r="M28">
        <v>184.45063954958891</v>
      </c>
      <c r="N28">
        <v>202.89570350454781</v>
      </c>
      <c r="P28" t="s">
        <v>726</v>
      </c>
      <c r="Q28" t="s">
        <v>7355</v>
      </c>
      <c r="R28" t="s">
        <v>7356</v>
      </c>
      <c r="S28" t="s">
        <v>11</v>
      </c>
      <c r="T28" t="s">
        <v>13</v>
      </c>
      <c r="U28" t="s">
        <v>75</v>
      </c>
      <c r="V28" t="s">
        <v>12</v>
      </c>
      <c r="X28" t="s">
        <v>7355</v>
      </c>
      <c r="Y28" t="s">
        <v>76</v>
      </c>
      <c r="Z28">
        <v>1</v>
      </c>
    </row>
    <row r="29" spans="1:26">
      <c r="A29" t="s">
        <v>726</v>
      </c>
      <c r="B29" t="s">
        <v>4475</v>
      </c>
      <c r="C29" t="s">
        <v>4476</v>
      </c>
      <c r="D29" t="s">
        <v>11</v>
      </c>
      <c r="E29" t="s">
        <v>13</v>
      </c>
      <c r="F29" t="s">
        <v>729</v>
      </c>
      <c r="G29" t="s">
        <v>12</v>
      </c>
      <c r="I29" t="s">
        <v>4475</v>
      </c>
      <c r="J29" t="s">
        <v>6333</v>
      </c>
      <c r="K29">
        <v>504.93474691202493</v>
      </c>
      <c r="L29">
        <v>0.48518633199330552</v>
      </c>
      <c r="M29">
        <v>290.91948718022564</v>
      </c>
      <c r="N29">
        <v>320.01143589824824</v>
      </c>
      <c r="P29" t="s">
        <v>726</v>
      </c>
      <c r="Q29" t="s">
        <v>7357</v>
      </c>
      <c r="R29" t="s">
        <v>7358</v>
      </c>
      <c r="S29" t="s">
        <v>11</v>
      </c>
      <c r="T29" t="s">
        <v>13</v>
      </c>
      <c r="U29" t="s">
        <v>75</v>
      </c>
      <c r="V29" t="s">
        <v>12</v>
      </c>
      <c r="X29" t="s">
        <v>7357</v>
      </c>
      <c r="Y29" t="s">
        <v>76</v>
      </c>
      <c r="Z29">
        <v>1</v>
      </c>
    </row>
    <row r="30" spans="1:26">
      <c r="A30" t="s">
        <v>726</v>
      </c>
      <c r="B30" t="s">
        <v>4477</v>
      </c>
      <c r="C30" t="s">
        <v>4478</v>
      </c>
      <c r="D30" t="s">
        <v>11</v>
      </c>
      <c r="E30" t="s">
        <v>13</v>
      </c>
      <c r="F30" t="s">
        <v>729</v>
      </c>
      <c r="G30" t="s">
        <v>12</v>
      </c>
      <c r="I30" t="s">
        <v>4477</v>
      </c>
      <c r="J30" t="s">
        <v>6334</v>
      </c>
      <c r="K30">
        <v>95.28628788583292</v>
      </c>
      <c r="L30">
        <v>0.36146929803677258</v>
      </c>
      <c r="M30">
        <v>113.21468895286311</v>
      </c>
      <c r="N30">
        <v>124.53615784814943</v>
      </c>
      <c r="P30" t="s">
        <v>726</v>
      </c>
      <c r="Q30" t="s">
        <v>7359</v>
      </c>
      <c r="R30" t="s">
        <v>7360</v>
      </c>
      <c r="S30" t="s">
        <v>11</v>
      </c>
      <c r="T30" t="s">
        <v>13</v>
      </c>
      <c r="U30" t="s">
        <v>75</v>
      </c>
      <c r="V30" t="s">
        <v>12</v>
      </c>
      <c r="X30" t="s">
        <v>7359</v>
      </c>
      <c r="Y30" t="s">
        <v>76</v>
      </c>
      <c r="Z30">
        <v>1</v>
      </c>
    </row>
    <row r="31" spans="1:26">
      <c r="A31" t="s">
        <v>726</v>
      </c>
      <c r="B31" t="s">
        <v>4479</v>
      </c>
      <c r="C31" t="s">
        <v>4480</v>
      </c>
      <c r="D31" t="s">
        <v>11</v>
      </c>
      <c r="E31" t="s">
        <v>13</v>
      </c>
      <c r="F31" t="s">
        <v>729</v>
      </c>
      <c r="G31" t="s">
        <v>12</v>
      </c>
      <c r="I31" t="s">
        <v>4479</v>
      </c>
      <c r="J31" t="s">
        <v>6335</v>
      </c>
      <c r="K31">
        <v>108.53685908060351</v>
      </c>
      <c r="L31">
        <v>0.28951451676255141</v>
      </c>
      <c r="M31">
        <v>134.72468838526919</v>
      </c>
      <c r="N31">
        <v>148.19715722379613</v>
      </c>
      <c r="P31" t="s">
        <v>726</v>
      </c>
      <c r="Q31" t="s">
        <v>7361</v>
      </c>
      <c r="R31" t="s">
        <v>7362</v>
      </c>
      <c r="S31" t="s">
        <v>11</v>
      </c>
      <c r="T31" t="s">
        <v>13</v>
      </c>
      <c r="U31" t="s">
        <v>75</v>
      </c>
      <c r="V31" t="s">
        <v>12</v>
      </c>
      <c r="X31" t="s">
        <v>7361</v>
      </c>
      <c r="Y31" t="s">
        <v>76</v>
      </c>
      <c r="Z31">
        <v>1</v>
      </c>
    </row>
    <row r="32" spans="1:26">
      <c r="A32" t="s">
        <v>726</v>
      </c>
      <c r="B32" t="s">
        <v>4481</v>
      </c>
      <c r="C32" t="s">
        <v>4482</v>
      </c>
      <c r="D32" t="s">
        <v>11</v>
      </c>
      <c r="E32" t="s">
        <v>13</v>
      </c>
      <c r="F32" t="s">
        <v>729</v>
      </c>
      <c r="G32" t="s">
        <v>12</v>
      </c>
      <c r="I32" t="s">
        <v>4481</v>
      </c>
      <c r="J32" t="s">
        <v>6336</v>
      </c>
      <c r="K32">
        <v>228.80687174149671</v>
      </c>
      <c r="L32">
        <v>0.37352762312135013</v>
      </c>
      <c r="M32">
        <v>164.44498552352823</v>
      </c>
      <c r="N32">
        <v>180.88948407588106</v>
      </c>
      <c r="P32" t="s">
        <v>726</v>
      </c>
      <c r="Q32" t="s">
        <v>7363</v>
      </c>
      <c r="R32" t="s">
        <v>7364</v>
      </c>
      <c r="S32" t="s">
        <v>11</v>
      </c>
      <c r="T32" t="s">
        <v>13</v>
      </c>
      <c r="U32" t="s">
        <v>75</v>
      </c>
      <c r="V32" t="s">
        <v>12</v>
      </c>
      <c r="X32" t="s">
        <v>7363</v>
      </c>
      <c r="Y32" t="s">
        <v>76</v>
      </c>
      <c r="Z32">
        <v>1</v>
      </c>
    </row>
    <row r="33" spans="1:26">
      <c r="A33" t="s">
        <v>726</v>
      </c>
      <c r="B33" t="s">
        <v>4483</v>
      </c>
      <c r="C33" t="s">
        <v>4484</v>
      </c>
      <c r="D33" t="s">
        <v>11</v>
      </c>
      <c r="E33" t="s">
        <v>13</v>
      </c>
      <c r="F33" t="s">
        <v>729</v>
      </c>
      <c r="G33" t="s">
        <v>12</v>
      </c>
      <c r="I33" t="s">
        <v>4483</v>
      </c>
      <c r="J33" t="s">
        <v>6337</v>
      </c>
      <c r="K33">
        <v>68.314704987972846</v>
      </c>
      <c r="L33">
        <v>0.29485762947031241</v>
      </c>
      <c r="M33">
        <v>102.07613675771096</v>
      </c>
      <c r="N33">
        <v>112.28375043348206</v>
      </c>
      <c r="P33" t="s">
        <v>726</v>
      </c>
      <c r="Q33" t="s">
        <v>7365</v>
      </c>
      <c r="R33" t="s">
        <v>7366</v>
      </c>
      <c r="S33" t="s">
        <v>11</v>
      </c>
      <c r="T33" t="s">
        <v>13</v>
      </c>
      <c r="U33" t="s">
        <v>75</v>
      </c>
      <c r="V33" t="s">
        <v>12</v>
      </c>
      <c r="X33" t="s">
        <v>7365</v>
      </c>
      <c r="Y33" t="s">
        <v>76</v>
      </c>
      <c r="Z33">
        <v>1</v>
      </c>
    </row>
    <row r="34" spans="1:26">
      <c r="A34" t="s">
        <v>726</v>
      </c>
      <c r="B34" t="s">
        <v>4485</v>
      </c>
      <c r="C34" t="s">
        <v>4486</v>
      </c>
      <c r="D34" t="s">
        <v>11</v>
      </c>
      <c r="E34" t="s">
        <v>13</v>
      </c>
      <c r="F34" t="s">
        <v>729</v>
      </c>
      <c r="G34" t="s">
        <v>12</v>
      </c>
      <c r="I34" t="s">
        <v>4485</v>
      </c>
      <c r="J34" t="s">
        <v>6338</v>
      </c>
      <c r="K34">
        <v>47.151152526298318</v>
      </c>
      <c r="L34">
        <v>0.2823402465489841</v>
      </c>
      <c r="M34">
        <v>93.131593207790161</v>
      </c>
      <c r="N34">
        <v>102.44475252856918</v>
      </c>
      <c r="P34" t="s">
        <v>726</v>
      </c>
      <c r="Q34" t="s">
        <v>7367</v>
      </c>
      <c r="R34" t="s">
        <v>7368</v>
      </c>
      <c r="S34" t="s">
        <v>11</v>
      </c>
      <c r="T34" t="s">
        <v>13</v>
      </c>
      <c r="U34" t="s">
        <v>75</v>
      </c>
      <c r="V34" t="s">
        <v>12</v>
      </c>
      <c r="X34" t="s">
        <v>7367</v>
      </c>
      <c r="Y34" t="s">
        <v>76</v>
      </c>
      <c r="Z34">
        <v>1</v>
      </c>
    </row>
    <row r="35" spans="1:26">
      <c r="A35" t="s">
        <v>726</v>
      </c>
      <c r="B35" t="s">
        <v>4487</v>
      </c>
      <c r="C35" t="s">
        <v>4488</v>
      </c>
      <c r="D35" t="s">
        <v>11</v>
      </c>
      <c r="E35" t="s">
        <v>13</v>
      </c>
      <c r="F35" t="s">
        <v>729</v>
      </c>
      <c r="G35" t="s">
        <v>12</v>
      </c>
      <c r="I35" t="s">
        <v>4487</v>
      </c>
      <c r="J35" t="s">
        <v>6339</v>
      </c>
      <c r="K35">
        <v>60.763288046000262</v>
      </c>
      <c r="L35">
        <v>0.29077060358688062</v>
      </c>
      <c r="M35">
        <v>157.21128939442875</v>
      </c>
      <c r="N35">
        <v>172.93241833387162</v>
      </c>
      <c r="P35" t="s">
        <v>726</v>
      </c>
      <c r="Q35" t="s">
        <v>7369</v>
      </c>
      <c r="R35" t="s">
        <v>7370</v>
      </c>
      <c r="S35" t="s">
        <v>11</v>
      </c>
      <c r="T35" t="s">
        <v>13</v>
      </c>
      <c r="U35" t="s">
        <v>75</v>
      </c>
      <c r="V35" t="s">
        <v>12</v>
      </c>
      <c r="X35" t="s">
        <v>7369</v>
      </c>
      <c r="Y35" t="s">
        <v>76</v>
      </c>
      <c r="Z35">
        <v>1</v>
      </c>
    </row>
    <row r="36" spans="1:26">
      <c r="A36" t="s">
        <v>726</v>
      </c>
      <c r="B36" t="s">
        <v>4489</v>
      </c>
      <c r="C36" t="s">
        <v>4490</v>
      </c>
      <c r="D36" t="s">
        <v>11</v>
      </c>
      <c r="E36" t="s">
        <v>13</v>
      </c>
      <c r="F36" t="s">
        <v>729</v>
      </c>
      <c r="G36" t="s">
        <v>12</v>
      </c>
      <c r="I36" t="s">
        <v>4489</v>
      </c>
      <c r="J36" t="s">
        <v>6340</v>
      </c>
      <c r="K36">
        <v>0.84157128706064432</v>
      </c>
      <c r="L36">
        <v>0.12699794959953289</v>
      </c>
      <c r="M36">
        <v>221.89712477509499</v>
      </c>
      <c r="N36">
        <v>244.08683725260451</v>
      </c>
      <c r="P36" t="s">
        <v>726</v>
      </c>
      <c r="Q36" t="s">
        <v>7371</v>
      </c>
      <c r="R36" t="s">
        <v>7372</v>
      </c>
      <c r="S36" t="s">
        <v>11</v>
      </c>
      <c r="T36" t="s">
        <v>13</v>
      </c>
      <c r="U36" t="s">
        <v>75</v>
      </c>
      <c r="V36" t="s">
        <v>12</v>
      </c>
      <c r="X36" t="s">
        <v>7371</v>
      </c>
      <c r="Y36" t="s">
        <v>76</v>
      </c>
      <c r="Z36">
        <v>1</v>
      </c>
    </row>
    <row r="37" spans="1:26">
      <c r="A37" t="s">
        <v>726</v>
      </c>
      <c r="B37" t="s">
        <v>4491</v>
      </c>
      <c r="C37" t="s">
        <v>4492</v>
      </c>
      <c r="D37" t="s">
        <v>11</v>
      </c>
      <c r="E37" t="s">
        <v>13</v>
      </c>
      <c r="F37" t="s">
        <v>729</v>
      </c>
      <c r="G37" t="s">
        <v>12</v>
      </c>
      <c r="I37" t="s">
        <v>4491</v>
      </c>
      <c r="J37" t="s">
        <v>6341</v>
      </c>
      <c r="K37">
        <v>16.215958316905876</v>
      </c>
      <c r="L37">
        <v>0.224929403187375</v>
      </c>
      <c r="M37">
        <v>294.58703349008312</v>
      </c>
      <c r="N37">
        <v>324.04573683909143</v>
      </c>
      <c r="P37" t="s">
        <v>726</v>
      </c>
      <c r="Q37" t="s">
        <v>7373</v>
      </c>
      <c r="R37" t="s">
        <v>7374</v>
      </c>
      <c r="S37" t="s">
        <v>11</v>
      </c>
      <c r="T37" t="s">
        <v>13</v>
      </c>
      <c r="U37" t="s">
        <v>75</v>
      </c>
      <c r="V37" t="s">
        <v>12</v>
      </c>
      <c r="X37" t="s">
        <v>7373</v>
      </c>
      <c r="Y37" t="s">
        <v>76</v>
      </c>
      <c r="Z37">
        <v>1</v>
      </c>
    </row>
    <row r="38" spans="1:26">
      <c r="A38" t="s">
        <v>726</v>
      </c>
      <c r="B38" t="s">
        <v>4493</v>
      </c>
      <c r="C38" t="s">
        <v>4494</v>
      </c>
      <c r="D38" t="s">
        <v>11</v>
      </c>
      <c r="E38" t="s">
        <v>13</v>
      </c>
      <c r="F38" t="s">
        <v>729</v>
      </c>
      <c r="G38" t="s">
        <v>12</v>
      </c>
      <c r="I38" t="s">
        <v>4493</v>
      </c>
      <c r="J38" t="s">
        <v>6342</v>
      </c>
      <c r="K38">
        <v>83.864639532085079</v>
      </c>
      <c r="L38">
        <v>0.29082101324975379</v>
      </c>
      <c r="M38">
        <v>139.98066713059157</v>
      </c>
      <c r="N38">
        <v>153.97873384365073</v>
      </c>
      <c r="P38" t="s">
        <v>726</v>
      </c>
      <c r="Q38" t="s">
        <v>7375</v>
      </c>
      <c r="R38" t="s">
        <v>7376</v>
      </c>
      <c r="S38" t="s">
        <v>11</v>
      </c>
      <c r="T38" t="s">
        <v>13</v>
      </c>
      <c r="U38" t="s">
        <v>75</v>
      </c>
      <c r="V38" t="s">
        <v>12</v>
      </c>
      <c r="X38" t="s">
        <v>7375</v>
      </c>
      <c r="Y38" t="s">
        <v>76</v>
      </c>
      <c r="Z38">
        <v>1</v>
      </c>
    </row>
    <row r="39" spans="1:26">
      <c r="A39" t="s">
        <v>726</v>
      </c>
      <c r="B39" t="s">
        <v>4495</v>
      </c>
      <c r="C39" t="s">
        <v>4496</v>
      </c>
      <c r="D39" t="s">
        <v>11</v>
      </c>
      <c r="E39" t="s">
        <v>13</v>
      </c>
      <c r="F39" t="s">
        <v>729</v>
      </c>
      <c r="G39" t="s">
        <v>12</v>
      </c>
      <c r="I39" t="s">
        <v>4495</v>
      </c>
      <c r="J39" t="s">
        <v>6343</v>
      </c>
      <c r="K39">
        <v>2.2378287621046904</v>
      </c>
      <c r="L39">
        <v>2.4975470343594298E-2</v>
      </c>
      <c r="M39">
        <v>88.698536687994789</v>
      </c>
      <c r="N39">
        <v>97.568390356794282</v>
      </c>
      <c r="P39" t="s">
        <v>726</v>
      </c>
      <c r="Q39" t="s">
        <v>7377</v>
      </c>
      <c r="R39" t="s">
        <v>7378</v>
      </c>
      <c r="S39" t="s">
        <v>11</v>
      </c>
      <c r="T39" t="s">
        <v>13</v>
      </c>
      <c r="U39" t="s">
        <v>75</v>
      </c>
      <c r="V39" t="s">
        <v>12</v>
      </c>
      <c r="X39" t="s">
        <v>7377</v>
      </c>
      <c r="Y39" t="s">
        <v>76</v>
      </c>
      <c r="Z39">
        <v>1</v>
      </c>
    </row>
    <row r="40" spans="1:26">
      <c r="A40" t="s">
        <v>726</v>
      </c>
      <c r="B40" t="s">
        <v>4497</v>
      </c>
      <c r="C40" t="s">
        <v>4498</v>
      </c>
      <c r="D40" t="s">
        <v>11</v>
      </c>
      <c r="E40" t="s">
        <v>13</v>
      </c>
      <c r="F40" t="s">
        <v>729</v>
      </c>
      <c r="G40" t="s">
        <v>12</v>
      </c>
      <c r="I40" t="s">
        <v>4497</v>
      </c>
      <c r="J40" t="s">
        <v>6344</v>
      </c>
      <c r="K40">
        <v>2.6313178497605483</v>
      </c>
      <c r="L40">
        <v>2.7929973129468499E-2</v>
      </c>
      <c r="M40">
        <v>84.581847066074502</v>
      </c>
      <c r="N40">
        <v>93.040031772681957</v>
      </c>
      <c r="P40" t="s">
        <v>726</v>
      </c>
      <c r="Q40" t="s">
        <v>7379</v>
      </c>
      <c r="R40" t="s">
        <v>7380</v>
      </c>
      <c r="S40" t="s">
        <v>11</v>
      </c>
      <c r="T40" t="s">
        <v>13</v>
      </c>
      <c r="U40" t="s">
        <v>75</v>
      </c>
      <c r="V40" t="s">
        <v>12</v>
      </c>
      <c r="X40" t="s">
        <v>7379</v>
      </c>
      <c r="Y40" t="s">
        <v>76</v>
      </c>
      <c r="Z40">
        <v>1</v>
      </c>
    </row>
    <row r="41" spans="1:26">
      <c r="A41" t="s">
        <v>726</v>
      </c>
      <c r="B41" t="s">
        <v>4499</v>
      </c>
      <c r="C41" t="s">
        <v>4500</v>
      </c>
      <c r="D41" t="s">
        <v>11</v>
      </c>
      <c r="E41" t="s">
        <v>13</v>
      </c>
      <c r="F41" t="s">
        <v>729</v>
      </c>
      <c r="G41" t="s">
        <v>12</v>
      </c>
      <c r="I41" t="s">
        <v>4499</v>
      </c>
      <c r="J41" t="s">
        <v>6345</v>
      </c>
      <c r="K41">
        <v>7.2814701216111874E-2</v>
      </c>
      <c r="L41">
        <v>2.5963944953444201E-2</v>
      </c>
      <c r="M41">
        <v>106.56765951393726</v>
      </c>
      <c r="N41">
        <v>117.224425465331</v>
      </c>
      <c r="P41" t="s">
        <v>726</v>
      </c>
      <c r="Q41" t="s">
        <v>7381</v>
      </c>
      <c r="R41" t="s">
        <v>7382</v>
      </c>
      <c r="S41" t="s">
        <v>11</v>
      </c>
      <c r="T41" t="s">
        <v>13</v>
      </c>
      <c r="U41" t="s">
        <v>75</v>
      </c>
      <c r="V41" t="s">
        <v>12</v>
      </c>
      <c r="X41" t="s">
        <v>7381</v>
      </c>
      <c r="Y41" t="s">
        <v>76</v>
      </c>
      <c r="Z41">
        <v>1</v>
      </c>
    </row>
    <row r="42" spans="1:26">
      <c r="A42" t="s">
        <v>726</v>
      </c>
      <c r="B42" t="s">
        <v>4501</v>
      </c>
      <c r="C42" t="s">
        <v>4502</v>
      </c>
      <c r="D42" t="s">
        <v>11</v>
      </c>
      <c r="E42" t="s">
        <v>13</v>
      </c>
      <c r="F42" t="s">
        <v>729</v>
      </c>
      <c r="G42" t="s">
        <v>12</v>
      </c>
      <c r="I42" t="s">
        <v>4501</v>
      </c>
      <c r="J42" t="s">
        <v>6346</v>
      </c>
      <c r="K42">
        <v>568.8183016036096</v>
      </c>
      <c r="L42">
        <v>0.35095841155567759</v>
      </c>
      <c r="M42">
        <v>1770.0975517823786</v>
      </c>
      <c r="N42">
        <v>1947.1073069606166</v>
      </c>
      <c r="P42" t="s">
        <v>726</v>
      </c>
      <c r="Q42" t="s">
        <v>7383</v>
      </c>
      <c r="R42" t="s">
        <v>7384</v>
      </c>
      <c r="S42" t="s">
        <v>11</v>
      </c>
      <c r="T42" t="s">
        <v>13</v>
      </c>
      <c r="U42" t="s">
        <v>75</v>
      </c>
      <c r="V42" t="s">
        <v>12</v>
      </c>
      <c r="X42" t="s">
        <v>7383</v>
      </c>
      <c r="Y42" t="s">
        <v>76</v>
      </c>
      <c r="Z42">
        <v>1</v>
      </c>
    </row>
    <row r="43" spans="1:26">
      <c r="A43" t="s">
        <v>726</v>
      </c>
      <c r="B43" t="s">
        <v>4503</v>
      </c>
      <c r="C43" t="s">
        <v>4504</v>
      </c>
      <c r="D43" t="s">
        <v>11</v>
      </c>
      <c r="E43" t="s">
        <v>13</v>
      </c>
      <c r="F43" t="s">
        <v>729</v>
      </c>
      <c r="G43" t="s">
        <v>12</v>
      </c>
      <c r="I43" t="s">
        <v>4503</v>
      </c>
      <c r="J43" t="s">
        <v>6347</v>
      </c>
      <c r="K43">
        <v>4.070010278595702</v>
      </c>
      <c r="L43">
        <v>0.17502046714439451</v>
      </c>
      <c r="M43">
        <v>2128.9507310267663</v>
      </c>
      <c r="N43">
        <v>2341.845804129443</v>
      </c>
      <c r="P43" t="s">
        <v>726</v>
      </c>
      <c r="Q43" t="s">
        <v>7385</v>
      </c>
      <c r="R43" t="s">
        <v>7386</v>
      </c>
      <c r="S43" t="s">
        <v>11</v>
      </c>
      <c r="T43" t="s">
        <v>13</v>
      </c>
      <c r="U43" t="s">
        <v>75</v>
      </c>
      <c r="V43" t="s">
        <v>12</v>
      </c>
      <c r="X43" t="s">
        <v>7385</v>
      </c>
      <c r="Y43" t="s">
        <v>76</v>
      </c>
      <c r="Z43">
        <v>1</v>
      </c>
    </row>
    <row r="44" spans="1:26">
      <c r="A44" t="s">
        <v>726</v>
      </c>
      <c r="B44" t="s">
        <v>4505</v>
      </c>
      <c r="C44" t="s">
        <v>4502</v>
      </c>
      <c r="D44" t="s">
        <v>11</v>
      </c>
      <c r="E44" t="s">
        <v>13</v>
      </c>
      <c r="F44" t="s">
        <v>729</v>
      </c>
      <c r="G44" t="s">
        <v>12</v>
      </c>
      <c r="I44" t="s">
        <v>4505</v>
      </c>
      <c r="J44" t="s">
        <v>6348</v>
      </c>
      <c r="K44">
        <v>8.8491428826468113</v>
      </c>
      <c r="L44">
        <v>0.21634855339710149</v>
      </c>
      <c r="M44">
        <v>2231.6123526190245</v>
      </c>
      <c r="N44">
        <v>2454.7735878809272</v>
      </c>
      <c r="P44" t="s">
        <v>726</v>
      </c>
      <c r="Q44" t="s">
        <v>7387</v>
      </c>
      <c r="R44" t="s">
        <v>7388</v>
      </c>
      <c r="S44" t="s">
        <v>11</v>
      </c>
      <c r="T44" t="s">
        <v>13</v>
      </c>
      <c r="U44" t="s">
        <v>75</v>
      </c>
      <c r="V44" t="s">
        <v>12</v>
      </c>
      <c r="X44" t="s">
        <v>7387</v>
      </c>
      <c r="Y44" t="s">
        <v>76</v>
      </c>
      <c r="Z44">
        <v>1</v>
      </c>
    </row>
    <row r="45" spans="1:26">
      <c r="A45" t="s">
        <v>726</v>
      </c>
      <c r="B45" t="s">
        <v>4506</v>
      </c>
      <c r="C45" t="s">
        <v>4507</v>
      </c>
      <c r="D45" t="s">
        <v>11</v>
      </c>
      <c r="E45" t="s">
        <v>13</v>
      </c>
      <c r="F45" t="s">
        <v>729</v>
      </c>
      <c r="G45" t="s">
        <v>12</v>
      </c>
      <c r="I45" t="s">
        <v>4506</v>
      </c>
      <c r="J45" t="s">
        <v>6349</v>
      </c>
      <c r="K45">
        <v>42.759298143794013</v>
      </c>
      <c r="L45">
        <v>0.27471427720723279</v>
      </c>
      <c r="M45">
        <v>531.88321463418617</v>
      </c>
      <c r="N45">
        <v>585.07153609760485</v>
      </c>
      <c r="P45" t="s">
        <v>726</v>
      </c>
      <c r="Q45" t="s">
        <v>7389</v>
      </c>
      <c r="R45" t="s">
        <v>7390</v>
      </c>
      <c r="S45" t="s">
        <v>11</v>
      </c>
      <c r="T45" t="s">
        <v>13</v>
      </c>
      <c r="U45" t="s">
        <v>75</v>
      </c>
      <c r="V45" t="s">
        <v>12</v>
      </c>
      <c r="X45" t="s">
        <v>7389</v>
      </c>
      <c r="Y45" t="s">
        <v>76</v>
      </c>
      <c r="Z45">
        <v>1</v>
      </c>
    </row>
    <row r="46" spans="1:26">
      <c r="A46" t="s">
        <v>726</v>
      </c>
      <c r="B46" t="s">
        <v>4508</v>
      </c>
      <c r="C46" t="s">
        <v>4507</v>
      </c>
      <c r="D46" t="s">
        <v>11</v>
      </c>
      <c r="E46" t="s">
        <v>13</v>
      </c>
      <c r="F46" t="s">
        <v>729</v>
      </c>
      <c r="G46" t="s">
        <v>12</v>
      </c>
      <c r="I46" t="s">
        <v>4508</v>
      </c>
      <c r="J46" t="s">
        <v>6350</v>
      </c>
      <c r="K46">
        <v>12.883235856640448</v>
      </c>
      <c r="L46">
        <v>0.23787206254758869</v>
      </c>
      <c r="M46">
        <v>236.70369694938265</v>
      </c>
      <c r="N46">
        <v>260.37406664432092</v>
      </c>
      <c r="P46" t="s">
        <v>726</v>
      </c>
      <c r="Q46" t="s">
        <v>7391</v>
      </c>
      <c r="R46" t="s">
        <v>7392</v>
      </c>
      <c r="S46" t="s">
        <v>11</v>
      </c>
      <c r="T46" t="s">
        <v>13</v>
      </c>
      <c r="U46" t="s">
        <v>75</v>
      </c>
      <c r="V46" t="s">
        <v>12</v>
      </c>
      <c r="X46" t="s">
        <v>7391</v>
      </c>
      <c r="Y46" t="s">
        <v>76</v>
      </c>
      <c r="Z46">
        <v>1</v>
      </c>
    </row>
    <row r="47" spans="1:26">
      <c r="A47" t="s">
        <v>726</v>
      </c>
      <c r="B47" t="s">
        <v>4509</v>
      </c>
      <c r="C47" t="s">
        <v>4510</v>
      </c>
      <c r="D47" t="s">
        <v>11</v>
      </c>
      <c r="E47" t="s">
        <v>13</v>
      </c>
      <c r="F47" t="s">
        <v>729</v>
      </c>
      <c r="G47" t="s">
        <v>12</v>
      </c>
      <c r="I47" t="s">
        <v>4509</v>
      </c>
      <c r="J47" t="s">
        <v>6351</v>
      </c>
      <c r="K47">
        <v>323.11833324864745</v>
      </c>
      <c r="L47">
        <v>0.35095834080714278</v>
      </c>
      <c r="M47">
        <v>549.46731051140387</v>
      </c>
      <c r="N47">
        <v>604.4140415625443</v>
      </c>
      <c r="P47" t="s">
        <v>726</v>
      </c>
      <c r="Q47" t="s">
        <v>7393</v>
      </c>
      <c r="R47" t="s">
        <v>7394</v>
      </c>
      <c r="S47" t="s">
        <v>11</v>
      </c>
      <c r="T47" t="s">
        <v>13</v>
      </c>
      <c r="U47" t="s">
        <v>75</v>
      </c>
      <c r="V47" t="s">
        <v>12</v>
      </c>
      <c r="X47" t="s">
        <v>7393</v>
      </c>
      <c r="Y47" t="s">
        <v>76</v>
      </c>
      <c r="Z47">
        <v>1</v>
      </c>
    </row>
    <row r="48" spans="1:26">
      <c r="A48" t="s">
        <v>726</v>
      </c>
      <c r="B48" t="s">
        <v>4511</v>
      </c>
      <c r="C48" t="s">
        <v>4512</v>
      </c>
      <c r="D48" t="s">
        <v>11</v>
      </c>
      <c r="E48" t="s">
        <v>13</v>
      </c>
      <c r="F48" t="s">
        <v>729</v>
      </c>
      <c r="G48" t="s">
        <v>12</v>
      </c>
      <c r="I48" t="s">
        <v>4511</v>
      </c>
      <c r="J48" t="s">
        <v>6352</v>
      </c>
      <c r="K48">
        <v>33.79718484037538</v>
      </c>
      <c r="L48">
        <v>0.38622393181859921</v>
      </c>
      <c r="M48">
        <v>232.1641708154456</v>
      </c>
      <c r="N48">
        <v>255.38058789699019</v>
      </c>
      <c r="P48" t="s">
        <v>726</v>
      </c>
      <c r="Q48" t="s">
        <v>7395</v>
      </c>
      <c r="R48" t="s">
        <v>7396</v>
      </c>
      <c r="S48" t="s">
        <v>11</v>
      </c>
      <c r="T48" t="s">
        <v>13</v>
      </c>
      <c r="U48" t="s">
        <v>75</v>
      </c>
      <c r="V48" t="s">
        <v>12</v>
      </c>
      <c r="X48" t="s">
        <v>7395</v>
      </c>
      <c r="Y48" t="s">
        <v>76</v>
      </c>
      <c r="Z48">
        <v>1</v>
      </c>
    </row>
    <row r="49" spans="1:26">
      <c r="A49" t="s">
        <v>726</v>
      </c>
      <c r="B49" t="s">
        <v>4513</v>
      </c>
      <c r="C49" t="s">
        <v>4514</v>
      </c>
      <c r="D49" t="s">
        <v>11</v>
      </c>
      <c r="E49" t="s">
        <v>13</v>
      </c>
      <c r="F49" t="s">
        <v>729</v>
      </c>
      <c r="G49" t="s">
        <v>12</v>
      </c>
      <c r="I49" t="s">
        <v>4513</v>
      </c>
      <c r="J49" t="s">
        <v>6353</v>
      </c>
      <c r="K49">
        <v>3.3399939823008342</v>
      </c>
      <c r="L49">
        <v>0.20082041627345379</v>
      </c>
      <c r="M49">
        <v>318.39805452838851</v>
      </c>
      <c r="N49">
        <v>350.23785998122742</v>
      </c>
      <c r="P49" t="s">
        <v>726</v>
      </c>
      <c r="Q49" t="s">
        <v>7397</v>
      </c>
      <c r="R49" t="s">
        <v>7398</v>
      </c>
      <c r="S49" t="s">
        <v>11</v>
      </c>
      <c r="T49" t="s">
        <v>13</v>
      </c>
      <c r="U49" t="s">
        <v>75</v>
      </c>
      <c r="V49" t="s">
        <v>12</v>
      </c>
      <c r="X49" t="s">
        <v>7397</v>
      </c>
      <c r="Y49" t="s">
        <v>76</v>
      </c>
      <c r="Z49">
        <v>1</v>
      </c>
    </row>
    <row r="50" spans="1:26">
      <c r="A50" t="s">
        <v>726</v>
      </c>
      <c r="B50" t="s">
        <v>4515</v>
      </c>
      <c r="C50" t="s">
        <v>4516</v>
      </c>
      <c r="D50" t="s">
        <v>11</v>
      </c>
      <c r="E50" t="s">
        <v>13</v>
      </c>
      <c r="F50" t="s">
        <v>729</v>
      </c>
      <c r="G50" t="s">
        <v>12</v>
      </c>
      <c r="I50" t="s">
        <v>4515</v>
      </c>
      <c r="J50" t="s">
        <v>6354</v>
      </c>
      <c r="K50">
        <v>9.6028093968567081</v>
      </c>
      <c r="L50">
        <v>0.3953880641660687</v>
      </c>
      <c r="M50">
        <v>230.77681862272289</v>
      </c>
      <c r="N50">
        <v>253.85450048499519</v>
      </c>
      <c r="P50" t="s">
        <v>726</v>
      </c>
      <c r="Q50" t="s">
        <v>7399</v>
      </c>
      <c r="R50" t="s">
        <v>7400</v>
      </c>
      <c r="S50" t="s">
        <v>11</v>
      </c>
      <c r="T50" t="s">
        <v>13</v>
      </c>
      <c r="U50" t="s">
        <v>75</v>
      </c>
      <c r="V50" t="s">
        <v>12</v>
      </c>
      <c r="X50" t="s">
        <v>7399</v>
      </c>
      <c r="Y50" t="s">
        <v>76</v>
      </c>
      <c r="Z50">
        <v>1</v>
      </c>
    </row>
    <row r="51" spans="1:26">
      <c r="A51" t="s">
        <v>726</v>
      </c>
      <c r="B51" t="s">
        <v>4517</v>
      </c>
      <c r="C51" t="s">
        <v>4518</v>
      </c>
      <c r="D51" t="s">
        <v>11</v>
      </c>
      <c r="E51" t="s">
        <v>13</v>
      </c>
      <c r="F51" t="s">
        <v>729</v>
      </c>
      <c r="G51" t="s">
        <v>12</v>
      </c>
      <c r="I51" t="s">
        <v>4517</v>
      </c>
      <c r="J51" t="s">
        <v>6355</v>
      </c>
      <c r="K51">
        <v>276.98802591015283</v>
      </c>
      <c r="L51">
        <v>0.33648876689094182</v>
      </c>
      <c r="M51">
        <v>954.19820917488084</v>
      </c>
      <c r="N51">
        <v>1049.6180300923691</v>
      </c>
      <c r="P51" t="s">
        <v>726</v>
      </c>
      <c r="Q51" t="s">
        <v>7401</v>
      </c>
      <c r="R51" t="s">
        <v>7402</v>
      </c>
      <c r="S51" t="s">
        <v>11</v>
      </c>
      <c r="T51" t="s">
        <v>13</v>
      </c>
      <c r="U51" t="s">
        <v>75</v>
      </c>
      <c r="V51" t="s">
        <v>12</v>
      </c>
      <c r="X51" t="s">
        <v>7401</v>
      </c>
      <c r="Y51" t="s">
        <v>76</v>
      </c>
      <c r="Z51">
        <v>1</v>
      </c>
    </row>
    <row r="52" spans="1:26">
      <c r="A52" t="s">
        <v>726</v>
      </c>
      <c r="B52" t="s">
        <v>4519</v>
      </c>
      <c r="C52" t="s">
        <v>4502</v>
      </c>
      <c r="D52" t="s">
        <v>11</v>
      </c>
      <c r="E52" t="s">
        <v>13</v>
      </c>
      <c r="F52" t="s">
        <v>729</v>
      </c>
      <c r="G52" t="s">
        <v>12</v>
      </c>
      <c r="I52" t="s">
        <v>4519</v>
      </c>
      <c r="J52" t="s">
        <v>6356</v>
      </c>
      <c r="K52">
        <v>612.96904128948086</v>
      </c>
      <c r="L52">
        <v>0.36471738002122961</v>
      </c>
      <c r="M52">
        <v>1185.4958803375775</v>
      </c>
      <c r="N52">
        <v>1304.0454683713353</v>
      </c>
      <c r="P52" t="s">
        <v>726</v>
      </c>
      <c r="Q52" t="s">
        <v>7403</v>
      </c>
      <c r="R52" t="s">
        <v>7404</v>
      </c>
      <c r="S52" t="s">
        <v>11</v>
      </c>
      <c r="T52" t="s">
        <v>13</v>
      </c>
      <c r="U52" t="s">
        <v>75</v>
      </c>
      <c r="V52" t="s">
        <v>12</v>
      </c>
      <c r="X52" t="s">
        <v>7403</v>
      </c>
      <c r="Y52" t="s">
        <v>76</v>
      </c>
      <c r="Z52">
        <v>1</v>
      </c>
    </row>
    <row r="53" spans="1:26">
      <c r="A53" t="s">
        <v>726</v>
      </c>
      <c r="B53" t="s">
        <v>4520</v>
      </c>
      <c r="C53" t="s">
        <v>4518</v>
      </c>
      <c r="D53" t="s">
        <v>11</v>
      </c>
      <c r="E53" t="s">
        <v>13</v>
      </c>
      <c r="F53" t="s">
        <v>729</v>
      </c>
      <c r="G53" t="s">
        <v>12</v>
      </c>
      <c r="I53" t="s">
        <v>4520</v>
      </c>
      <c r="J53" t="s">
        <v>6357</v>
      </c>
      <c r="K53">
        <v>12.414359741486281</v>
      </c>
      <c r="L53">
        <v>0.24213753000324811</v>
      </c>
      <c r="M53">
        <v>1297.8528457736077</v>
      </c>
      <c r="N53">
        <v>1427.6381303509686</v>
      </c>
      <c r="P53" t="s">
        <v>726</v>
      </c>
      <c r="Q53" t="s">
        <v>7405</v>
      </c>
      <c r="R53" t="s">
        <v>7406</v>
      </c>
      <c r="S53" t="s">
        <v>11</v>
      </c>
      <c r="T53" t="s">
        <v>13</v>
      </c>
      <c r="U53" t="s">
        <v>75</v>
      </c>
      <c r="V53" t="s">
        <v>12</v>
      </c>
      <c r="X53" t="s">
        <v>7405</v>
      </c>
      <c r="Y53" t="s">
        <v>76</v>
      </c>
      <c r="Z53">
        <v>1</v>
      </c>
    </row>
    <row r="54" spans="1:26">
      <c r="A54" t="s">
        <v>726</v>
      </c>
      <c r="B54" t="s">
        <v>4521</v>
      </c>
      <c r="C54" t="s">
        <v>4518</v>
      </c>
      <c r="D54" t="s">
        <v>11</v>
      </c>
      <c r="E54" t="s">
        <v>13</v>
      </c>
      <c r="F54" t="s">
        <v>729</v>
      </c>
      <c r="G54" t="s">
        <v>12</v>
      </c>
      <c r="I54" t="s">
        <v>4521</v>
      </c>
      <c r="J54" t="s">
        <v>6358</v>
      </c>
      <c r="K54">
        <v>37.920228304035938</v>
      </c>
      <c r="L54">
        <v>0.20974226515739899</v>
      </c>
      <c r="M54">
        <v>431.97226631097379</v>
      </c>
      <c r="N54">
        <v>475.1694929420712</v>
      </c>
      <c r="P54" t="s">
        <v>726</v>
      </c>
      <c r="Q54" t="s">
        <v>7407</v>
      </c>
      <c r="R54" t="s">
        <v>7408</v>
      </c>
      <c r="S54" t="s">
        <v>11</v>
      </c>
      <c r="T54" t="s">
        <v>13</v>
      </c>
      <c r="U54" t="s">
        <v>75</v>
      </c>
      <c r="V54" t="s">
        <v>12</v>
      </c>
      <c r="X54" t="s">
        <v>7407</v>
      </c>
      <c r="Y54" t="s">
        <v>76</v>
      </c>
      <c r="Z54">
        <v>1</v>
      </c>
    </row>
    <row r="55" spans="1:26">
      <c r="A55" t="s">
        <v>726</v>
      </c>
      <c r="B55" t="s">
        <v>4522</v>
      </c>
      <c r="C55" t="s">
        <v>4518</v>
      </c>
      <c r="D55" t="s">
        <v>11</v>
      </c>
      <c r="E55" t="s">
        <v>13</v>
      </c>
      <c r="F55" t="s">
        <v>729</v>
      </c>
      <c r="G55" t="s">
        <v>12</v>
      </c>
      <c r="I55" t="s">
        <v>4522</v>
      </c>
      <c r="J55" t="s">
        <v>6359</v>
      </c>
      <c r="K55">
        <v>132.52894626563329</v>
      </c>
      <c r="L55">
        <v>0.3300009005762799</v>
      </c>
      <c r="M55">
        <v>1107.914268551121</v>
      </c>
      <c r="N55">
        <v>1218.7056954062332</v>
      </c>
      <c r="P55" t="s">
        <v>726</v>
      </c>
      <c r="Q55" t="s">
        <v>7409</v>
      </c>
      <c r="R55" t="s">
        <v>7410</v>
      </c>
      <c r="S55" t="s">
        <v>11</v>
      </c>
      <c r="T55" t="s">
        <v>13</v>
      </c>
      <c r="U55" t="s">
        <v>75</v>
      </c>
      <c r="V55" t="s">
        <v>12</v>
      </c>
      <c r="X55" t="s">
        <v>7409</v>
      </c>
      <c r="Y55" t="s">
        <v>76</v>
      </c>
      <c r="Z55">
        <v>1</v>
      </c>
    </row>
    <row r="56" spans="1:26">
      <c r="A56" t="s">
        <v>726</v>
      </c>
      <c r="B56" t="s">
        <v>4523</v>
      </c>
      <c r="C56" t="s">
        <v>4504</v>
      </c>
      <c r="D56" t="s">
        <v>11</v>
      </c>
      <c r="E56" t="s">
        <v>13</v>
      </c>
      <c r="F56" t="s">
        <v>729</v>
      </c>
      <c r="G56" t="s">
        <v>12</v>
      </c>
      <c r="I56" t="s">
        <v>4523</v>
      </c>
      <c r="J56" t="s">
        <v>6360</v>
      </c>
      <c r="K56">
        <v>287.28713205476106</v>
      </c>
      <c r="L56">
        <v>0.33057633283622401</v>
      </c>
      <c r="M56">
        <v>1511.2490659799544</v>
      </c>
      <c r="N56">
        <v>1662.3739725779499</v>
      </c>
      <c r="P56" t="s">
        <v>726</v>
      </c>
      <c r="Q56" t="s">
        <v>7411</v>
      </c>
      <c r="R56" t="s">
        <v>7412</v>
      </c>
      <c r="S56" t="s">
        <v>11</v>
      </c>
      <c r="T56" t="s">
        <v>13</v>
      </c>
      <c r="U56" t="s">
        <v>75</v>
      </c>
      <c r="V56" t="s">
        <v>12</v>
      </c>
      <c r="X56" t="s">
        <v>7411</v>
      </c>
      <c r="Y56" t="s">
        <v>76</v>
      </c>
      <c r="Z56">
        <v>1</v>
      </c>
    </row>
    <row r="57" spans="1:26">
      <c r="A57" t="s">
        <v>726</v>
      </c>
      <c r="B57" t="s">
        <v>4524</v>
      </c>
      <c r="C57" t="s">
        <v>4504</v>
      </c>
      <c r="D57" t="s">
        <v>11</v>
      </c>
      <c r="E57" t="s">
        <v>13</v>
      </c>
      <c r="F57" t="s">
        <v>729</v>
      </c>
      <c r="G57" t="s">
        <v>12</v>
      </c>
      <c r="I57" t="s">
        <v>4524</v>
      </c>
      <c r="J57" t="s">
        <v>6361</v>
      </c>
      <c r="K57">
        <v>593.26359172468381</v>
      </c>
      <c r="L57">
        <v>0.3866688097398745</v>
      </c>
      <c r="M57">
        <v>1438.5394107494683</v>
      </c>
      <c r="N57">
        <v>1582.3933518244153</v>
      </c>
      <c r="P57" t="s">
        <v>726</v>
      </c>
      <c r="Q57" t="s">
        <v>7413</v>
      </c>
      <c r="R57" t="s">
        <v>7414</v>
      </c>
      <c r="S57" t="s">
        <v>11</v>
      </c>
      <c r="T57" t="s">
        <v>13</v>
      </c>
      <c r="U57" t="s">
        <v>75</v>
      </c>
      <c r="V57" t="s">
        <v>12</v>
      </c>
      <c r="X57" t="s">
        <v>7413</v>
      </c>
      <c r="Y57" t="s">
        <v>76</v>
      </c>
      <c r="Z57">
        <v>1</v>
      </c>
    </row>
    <row r="58" spans="1:26">
      <c r="A58" t="s">
        <v>726</v>
      </c>
      <c r="B58" t="s">
        <v>4525</v>
      </c>
      <c r="C58" t="s">
        <v>4504</v>
      </c>
      <c r="D58" t="s">
        <v>11</v>
      </c>
      <c r="E58" t="s">
        <v>13</v>
      </c>
      <c r="F58" t="s">
        <v>729</v>
      </c>
      <c r="G58" t="s">
        <v>12</v>
      </c>
      <c r="I58" t="s">
        <v>4525</v>
      </c>
      <c r="J58" t="s">
        <v>6362</v>
      </c>
      <c r="K58">
        <v>512.75692730950743</v>
      </c>
      <c r="L58">
        <v>0.42084803290077188</v>
      </c>
      <c r="M58">
        <v>859.85934621532726</v>
      </c>
      <c r="N58">
        <v>945.84528083686007</v>
      </c>
      <c r="P58" t="s">
        <v>726</v>
      </c>
      <c r="Q58" t="s">
        <v>7415</v>
      </c>
      <c r="R58" t="s">
        <v>7416</v>
      </c>
      <c r="S58" t="s">
        <v>11</v>
      </c>
      <c r="T58" t="s">
        <v>13</v>
      </c>
      <c r="U58" t="s">
        <v>75</v>
      </c>
      <c r="V58" t="s">
        <v>12</v>
      </c>
      <c r="X58" t="s">
        <v>7415</v>
      </c>
      <c r="Y58" t="s">
        <v>76</v>
      </c>
      <c r="Z58">
        <v>1</v>
      </c>
    </row>
    <row r="59" spans="1:26">
      <c r="A59" t="s">
        <v>726</v>
      </c>
      <c r="B59" t="s">
        <v>4526</v>
      </c>
      <c r="C59" t="s">
        <v>4504</v>
      </c>
      <c r="D59" t="s">
        <v>11</v>
      </c>
      <c r="E59" t="s">
        <v>13</v>
      </c>
      <c r="F59" t="s">
        <v>729</v>
      </c>
      <c r="G59" t="s">
        <v>12</v>
      </c>
      <c r="I59" t="s">
        <v>4526</v>
      </c>
      <c r="J59" t="s">
        <v>6363</v>
      </c>
      <c r="K59">
        <v>113.1091551521283</v>
      </c>
      <c r="L59">
        <v>0.43991398361455109</v>
      </c>
      <c r="M59">
        <v>505.80692778675319</v>
      </c>
      <c r="N59">
        <v>556.38762056542851</v>
      </c>
      <c r="P59" t="s">
        <v>726</v>
      </c>
      <c r="Q59" t="s">
        <v>7417</v>
      </c>
      <c r="R59" t="s">
        <v>7418</v>
      </c>
      <c r="S59" t="s">
        <v>11</v>
      </c>
      <c r="T59" t="s">
        <v>13</v>
      </c>
      <c r="U59" t="s">
        <v>75</v>
      </c>
      <c r="V59" t="s">
        <v>12</v>
      </c>
      <c r="X59" t="s">
        <v>7417</v>
      </c>
      <c r="Y59" t="s">
        <v>76</v>
      </c>
      <c r="Z59">
        <v>1</v>
      </c>
    </row>
    <row r="60" spans="1:26">
      <c r="A60" t="s">
        <v>726</v>
      </c>
      <c r="B60" t="s">
        <v>4527</v>
      </c>
      <c r="C60" t="s">
        <v>4504</v>
      </c>
      <c r="D60" t="s">
        <v>11</v>
      </c>
      <c r="E60" t="s">
        <v>13</v>
      </c>
      <c r="F60" t="s">
        <v>729</v>
      </c>
      <c r="G60" t="s">
        <v>12</v>
      </c>
      <c r="I60" t="s">
        <v>4527</v>
      </c>
      <c r="J60" t="s">
        <v>6364</v>
      </c>
      <c r="K60">
        <v>59.282265710688989</v>
      </c>
      <c r="L60">
        <v>0.39625492107806137</v>
      </c>
      <c r="M60">
        <v>846.92182928360262</v>
      </c>
      <c r="N60">
        <v>931.61401221196297</v>
      </c>
      <c r="P60" t="s">
        <v>726</v>
      </c>
      <c r="Q60" t="s">
        <v>7419</v>
      </c>
      <c r="R60" t="s">
        <v>7420</v>
      </c>
      <c r="S60" t="s">
        <v>11</v>
      </c>
      <c r="T60" t="s">
        <v>13</v>
      </c>
      <c r="U60" t="s">
        <v>75</v>
      </c>
      <c r="V60" t="s">
        <v>12</v>
      </c>
      <c r="X60" t="s">
        <v>7419</v>
      </c>
      <c r="Y60" t="s">
        <v>76</v>
      </c>
      <c r="Z60">
        <v>1</v>
      </c>
    </row>
    <row r="61" spans="1:26">
      <c r="A61" t="s">
        <v>726</v>
      </c>
      <c r="B61" t="s">
        <v>4528</v>
      </c>
      <c r="C61" t="s">
        <v>4504</v>
      </c>
      <c r="D61" t="s">
        <v>11</v>
      </c>
      <c r="E61" t="s">
        <v>13</v>
      </c>
      <c r="F61" t="s">
        <v>729</v>
      </c>
      <c r="G61" t="s">
        <v>12</v>
      </c>
      <c r="I61" t="s">
        <v>4528</v>
      </c>
      <c r="J61" t="s">
        <v>6365</v>
      </c>
      <c r="K61">
        <v>441.02303966116983</v>
      </c>
      <c r="L61">
        <v>0.39523839774376829</v>
      </c>
      <c r="M61">
        <v>1152.5585322006229</v>
      </c>
      <c r="N61">
        <v>1267.8143854206853</v>
      </c>
      <c r="P61" t="s">
        <v>726</v>
      </c>
      <c r="Q61" t="s">
        <v>7421</v>
      </c>
      <c r="R61" t="s">
        <v>7422</v>
      </c>
      <c r="S61" t="s">
        <v>11</v>
      </c>
      <c r="T61" t="s">
        <v>13</v>
      </c>
      <c r="U61" t="s">
        <v>75</v>
      </c>
      <c r="V61" t="s">
        <v>12</v>
      </c>
      <c r="X61" t="s">
        <v>7421</v>
      </c>
      <c r="Y61" t="s">
        <v>76</v>
      </c>
      <c r="Z61">
        <v>1</v>
      </c>
    </row>
    <row r="62" spans="1:26">
      <c r="A62" t="s">
        <v>726</v>
      </c>
      <c r="B62" t="s">
        <v>4529</v>
      </c>
      <c r="C62" t="s">
        <v>4530</v>
      </c>
      <c r="D62" t="s">
        <v>11</v>
      </c>
      <c r="E62" t="s">
        <v>13</v>
      </c>
      <c r="F62" t="s">
        <v>729</v>
      </c>
      <c r="G62" t="s">
        <v>12</v>
      </c>
      <c r="I62" t="s">
        <v>4529</v>
      </c>
      <c r="J62" t="s">
        <v>6366</v>
      </c>
      <c r="K62">
        <v>421.73629753776788</v>
      </c>
      <c r="L62">
        <v>0.37303144876796912</v>
      </c>
      <c r="M62">
        <v>785.30527745802704</v>
      </c>
      <c r="N62">
        <v>863.83580520382986</v>
      </c>
      <c r="P62" t="s">
        <v>726</v>
      </c>
      <c r="Q62" t="s">
        <v>7423</v>
      </c>
      <c r="R62" t="s">
        <v>7424</v>
      </c>
      <c r="S62" t="s">
        <v>11</v>
      </c>
      <c r="T62" t="s">
        <v>13</v>
      </c>
      <c r="U62" t="s">
        <v>75</v>
      </c>
      <c r="V62" t="s">
        <v>12</v>
      </c>
      <c r="X62" t="s">
        <v>7423</v>
      </c>
      <c r="Y62" t="s">
        <v>76</v>
      </c>
      <c r="Z62">
        <v>1</v>
      </c>
    </row>
    <row r="63" spans="1:26">
      <c r="A63" t="s">
        <v>726</v>
      </c>
      <c r="B63" t="s">
        <v>4531</v>
      </c>
      <c r="C63" t="s">
        <v>4532</v>
      </c>
      <c r="D63" t="s">
        <v>11</v>
      </c>
      <c r="E63" t="s">
        <v>13</v>
      </c>
      <c r="F63" t="s">
        <v>729</v>
      </c>
      <c r="G63" t="s">
        <v>12</v>
      </c>
      <c r="I63" t="s">
        <v>4531</v>
      </c>
      <c r="J63" t="s">
        <v>6367</v>
      </c>
      <c r="K63">
        <v>48.949289704880769</v>
      </c>
      <c r="L63">
        <v>0.21341121536895019</v>
      </c>
      <c r="M63">
        <v>54.7953833826598</v>
      </c>
      <c r="N63">
        <v>60.274921720925782</v>
      </c>
      <c r="P63" t="s">
        <v>726</v>
      </c>
      <c r="Q63" t="s">
        <v>7425</v>
      </c>
      <c r="R63" t="s">
        <v>7426</v>
      </c>
      <c r="S63" t="s">
        <v>11</v>
      </c>
      <c r="T63" t="s">
        <v>13</v>
      </c>
      <c r="U63" t="s">
        <v>75</v>
      </c>
      <c r="V63" t="s">
        <v>12</v>
      </c>
      <c r="X63" t="s">
        <v>7425</v>
      </c>
      <c r="Y63" t="s">
        <v>76</v>
      </c>
      <c r="Z63">
        <v>1</v>
      </c>
    </row>
    <row r="64" spans="1:26">
      <c r="A64" t="s">
        <v>726</v>
      </c>
      <c r="B64" t="s">
        <v>4533</v>
      </c>
      <c r="C64" t="s">
        <v>4534</v>
      </c>
      <c r="D64" t="s">
        <v>11</v>
      </c>
      <c r="E64" t="s">
        <v>13</v>
      </c>
      <c r="F64" t="s">
        <v>729</v>
      </c>
      <c r="G64" t="s">
        <v>12</v>
      </c>
      <c r="I64" t="s">
        <v>4533</v>
      </c>
      <c r="J64" t="s">
        <v>6368</v>
      </c>
      <c r="K64">
        <v>8.0453941179680708</v>
      </c>
      <c r="L64">
        <v>9.2793960194340497E-2</v>
      </c>
      <c r="M64">
        <v>61.60322749490048</v>
      </c>
      <c r="N64">
        <v>67.76355024439053</v>
      </c>
      <c r="P64" t="s">
        <v>726</v>
      </c>
      <c r="Q64" t="s">
        <v>7427</v>
      </c>
      <c r="R64" t="s">
        <v>7428</v>
      </c>
      <c r="S64" t="s">
        <v>11</v>
      </c>
      <c r="T64" t="s">
        <v>13</v>
      </c>
      <c r="U64" t="s">
        <v>75</v>
      </c>
      <c r="V64" t="s">
        <v>12</v>
      </c>
      <c r="X64" t="s">
        <v>7427</v>
      </c>
      <c r="Y64" t="s">
        <v>76</v>
      </c>
      <c r="Z64">
        <v>1</v>
      </c>
    </row>
    <row r="65" spans="1:26">
      <c r="A65" t="s">
        <v>726</v>
      </c>
      <c r="B65" t="s">
        <v>4535</v>
      </c>
      <c r="C65" t="s">
        <v>4536</v>
      </c>
      <c r="D65" t="s">
        <v>11</v>
      </c>
      <c r="E65" t="s">
        <v>13</v>
      </c>
      <c r="F65" t="s">
        <v>729</v>
      </c>
      <c r="G65" t="s">
        <v>12</v>
      </c>
      <c r="I65" t="s">
        <v>4535</v>
      </c>
      <c r="J65" t="s">
        <v>6369</v>
      </c>
      <c r="K65">
        <v>46.086027756767599</v>
      </c>
      <c r="L65">
        <v>0.16032996675651839</v>
      </c>
      <c r="M65">
        <v>43.863279067588607</v>
      </c>
      <c r="N65">
        <v>48.249606974347472</v>
      </c>
      <c r="P65" t="s">
        <v>726</v>
      </c>
      <c r="Q65" t="s">
        <v>7429</v>
      </c>
      <c r="R65" t="s">
        <v>7430</v>
      </c>
      <c r="S65" t="s">
        <v>11</v>
      </c>
      <c r="T65" t="s">
        <v>13</v>
      </c>
      <c r="U65" t="s">
        <v>75</v>
      </c>
      <c r="V65" t="s">
        <v>12</v>
      </c>
      <c r="X65" t="s">
        <v>7429</v>
      </c>
      <c r="Y65" t="s">
        <v>76</v>
      </c>
      <c r="Z65">
        <v>1</v>
      </c>
    </row>
    <row r="66" spans="1:26">
      <c r="A66" t="s">
        <v>726</v>
      </c>
      <c r="B66" t="s">
        <v>4537</v>
      </c>
      <c r="C66" t="s">
        <v>4538</v>
      </c>
      <c r="D66" t="s">
        <v>11</v>
      </c>
      <c r="E66" t="s">
        <v>13</v>
      </c>
      <c r="F66" t="s">
        <v>729</v>
      </c>
      <c r="G66" t="s">
        <v>12</v>
      </c>
      <c r="I66" t="s">
        <v>4537</v>
      </c>
      <c r="J66" t="s">
        <v>6370</v>
      </c>
      <c r="K66">
        <v>3.3814819538580925</v>
      </c>
      <c r="L66">
        <v>0.25584631914332251</v>
      </c>
      <c r="M66">
        <v>37.231611417275367</v>
      </c>
      <c r="N66">
        <v>40.954772559002905</v>
      </c>
      <c r="P66" t="s">
        <v>726</v>
      </c>
      <c r="Q66" t="s">
        <v>7431</v>
      </c>
      <c r="R66" t="s">
        <v>7432</v>
      </c>
      <c r="S66" t="s">
        <v>11</v>
      </c>
      <c r="T66" t="s">
        <v>13</v>
      </c>
      <c r="U66" t="s">
        <v>75</v>
      </c>
      <c r="V66" t="s">
        <v>12</v>
      </c>
      <c r="X66" t="s">
        <v>7431</v>
      </c>
      <c r="Y66" t="s">
        <v>76</v>
      </c>
      <c r="Z66">
        <v>1</v>
      </c>
    </row>
    <row r="67" spans="1:26">
      <c r="A67" t="s">
        <v>726</v>
      </c>
      <c r="B67" t="s">
        <v>4539</v>
      </c>
      <c r="C67" t="s">
        <v>4540</v>
      </c>
      <c r="D67" t="s">
        <v>11</v>
      </c>
      <c r="E67" t="s">
        <v>13</v>
      </c>
      <c r="F67" t="s">
        <v>729</v>
      </c>
      <c r="G67" t="s">
        <v>12</v>
      </c>
      <c r="I67" t="s">
        <v>4539</v>
      </c>
      <c r="J67" t="s">
        <v>6371</v>
      </c>
      <c r="K67">
        <v>0.42711633186159342</v>
      </c>
      <c r="L67">
        <v>8.8676870046276002E-2</v>
      </c>
      <c r="M67">
        <v>40.47083395590672</v>
      </c>
      <c r="N67">
        <v>44.517917351497395</v>
      </c>
      <c r="P67" t="s">
        <v>726</v>
      </c>
      <c r="Q67" t="s">
        <v>7433</v>
      </c>
      <c r="R67" t="s">
        <v>7434</v>
      </c>
      <c r="S67" t="s">
        <v>11</v>
      </c>
      <c r="T67" t="s">
        <v>13</v>
      </c>
      <c r="U67" t="s">
        <v>75</v>
      </c>
      <c r="V67" t="s">
        <v>12</v>
      </c>
      <c r="X67" t="s">
        <v>7433</v>
      </c>
      <c r="Y67" t="s">
        <v>76</v>
      </c>
      <c r="Z67">
        <v>1</v>
      </c>
    </row>
    <row r="68" spans="1:26">
      <c r="A68" t="s">
        <v>726</v>
      </c>
      <c r="B68" t="s">
        <v>4541</v>
      </c>
      <c r="C68" t="s">
        <v>4542</v>
      </c>
      <c r="D68" t="s">
        <v>11</v>
      </c>
      <c r="E68" t="s">
        <v>13</v>
      </c>
      <c r="F68" t="s">
        <v>729</v>
      </c>
      <c r="G68" t="s">
        <v>12</v>
      </c>
      <c r="I68" t="s">
        <v>4541</v>
      </c>
      <c r="J68" t="s">
        <v>6372</v>
      </c>
      <c r="K68">
        <v>3.6268800078880573E-2</v>
      </c>
      <c r="L68">
        <v>1.4365341770908299E-2</v>
      </c>
      <c r="M68">
        <v>73.3081413186286</v>
      </c>
      <c r="N68">
        <v>80.638955450491466</v>
      </c>
      <c r="P68" t="s">
        <v>726</v>
      </c>
      <c r="Q68" t="s">
        <v>7435</v>
      </c>
      <c r="R68" t="s">
        <v>7436</v>
      </c>
      <c r="S68" t="s">
        <v>11</v>
      </c>
      <c r="T68" t="s">
        <v>13</v>
      </c>
      <c r="U68" t="s">
        <v>75</v>
      </c>
      <c r="V68" t="s">
        <v>12</v>
      </c>
      <c r="X68" t="s">
        <v>7435</v>
      </c>
      <c r="Y68" t="s">
        <v>76</v>
      </c>
      <c r="Z68">
        <v>1</v>
      </c>
    </row>
    <row r="69" spans="1:26">
      <c r="A69" t="s">
        <v>726</v>
      </c>
      <c r="B69" t="s">
        <v>4543</v>
      </c>
      <c r="C69" t="s">
        <v>4544</v>
      </c>
      <c r="D69" t="s">
        <v>11</v>
      </c>
      <c r="E69" t="s">
        <v>13</v>
      </c>
      <c r="F69" t="s">
        <v>729</v>
      </c>
      <c r="G69" t="s">
        <v>12</v>
      </c>
      <c r="I69" t="s">
        <v>4543</v>
      </c>
      <c r="J69" t="s">
        <v>6373</v>
      </c>
      <c r="K69">
        <v>0.11531573569124912</v>
      </c>
      <c r="L69">
        <v>2.8223546386164301E-2</v>
      </c>
      <c r="M69">
        <v>36.452467424908221</v>
      </c>
      <c r="N69">
        <v>40.097714167399047</v>
      </c>
      <c r="P69" t="s">
        <v>726</v>
      </c>
      <c r="Q69" t="s">
        <v>7437</v>
      </c>
      <c r="R69" t="s">
        <v>7438</v>
      </c>
      <c r="S69" t="s">
        <v>11</v>
      </c>
      <c r="T69" t="s">
        <v>13</v>
      </c>
      <c r="U69" t="s">
        <v>75</v>
      </c>
      <c r="V69" t="s">
        <v>12</v>
      </c>
      <c r="X69" t="s">
        <v>7437</v>
      </c>
      <c r="Y69" t="s">
        <v>76</v>
      </c>
      <c r="Z69">
        <v>1</v>
      </c>
    </row>
    <row r="70" spans="1:26">
      <c r="A70" t="s">
        <v>726</v>
      </c>
      <c r="B70" t="s">
        <v>4545</v>
      </c>
      <c r="C70" t="s">
        <v>4546</v>
      </c>
      <c r="D70" t="s">
        <v>11</v>
      </c>
      <c r="E70" t="s">
        <v>13</v>
      </c>
      <c r="F70" t="s">
        <v>729</v>
      </c>
      <c r="G70" t="s">
        <v>12</v>
      </c>
      <c r="I70" t="s">
        <v>4545</v>
      </c>
      <c r="J70" t="s">
        <v>6374</v>
      </c>
      <c r="K70">
        <v>27.56302096327957</v>
      </c>
      <c r="L70">
        <v>0.34200361240845811</v>
      </c>
      <c r="M70">
        <v>41.440325480647417</v>
      </c>
      <c r="N70">
        <v>45.58435802871216</v>
      </c>
      <c r="P70" t="s">
        <v>726</v>
      </c>
      <c r="Q70" t="s">
        <v>7439</v>
      </c>
      <c r="R70" t="s">
        <v>7440</v>
      </c>
      <c r="S70" t="s">
        <v>11</v>
      </c>
      <c r="T70" t="s">
        <v>13</v>
      </c>
      <c r="U70" t="s">
        <v>75</v>
      </c>
      <c r="V70" t="s">
        <v>12</v>
      </c>
      <c r="X70" t="s">
        <v>7439</v>
      </c>
      <c r="Y70" t="s">
        <v>76</v>
      </c>
      <c r="Z70">
        <v>1</v>
      </c>
    </row>
    <row r="71" spans="1:26">
      <c r="A71" t="s">
        <v>726</v>
      </c>
      <c r="B71" t="s">
        <v>4547</v>
      </c>
      <c r="C71" t="s">
        <v>4548</v>
      </c>
      <c r="D71" t="s">
        <v>11</v>
      </c>
      <c r="E71" t="s">
        <v>13</v>
      </c>
      <c r="F71" t="s">
        <v>729</v>
      </c>
      <c r="G71" t="s">
        <v>12</v>
      </c>
      <c r="I71" t="s">
        <v>4547</v>
      </c>
      <c r="J71" t="s">
        <v>6375</v>
      </c>
      <c r="K71">
        <v>25.335977069800119</v>
      </c>
      <c r="L71">
        <v>0.34223550815411991</v>
      </c>
      <c r="M71">
        <v>7.7241342451785586</v>
      </c>
      <c r="N71">
        <v>8.4965476696964153</v>
      </c>
      <c r="P71" t="s">
        <v>726</v>
      </c>
      <c r="Q71" t="s">
        <v>7441</v>
      </c>
      <c r="R71" t="s">
        <v>7442</v>
      </c>
      <c r="S71" t="s">
        <v>11</v>
      </c>
      <c r="T71" t="s">
        <v>13</v>
      </c>
      <c r="U71" t="s">
        <v>75</v>
      </c>
      <c r="V71" t="s">
        <v>12</v>
      </c>
      <c r="X71" t="s">
        <v>7441</v>
      </c>
      <c r="Y71" t="s">
        <v>76</v>
      </c>
      <c r="Z71">
        <v>1</v>
      </c>
    </row>
    <row r="72" spans="1:26">
      <c r="A72" t="s">
        <v>726</v>
      </c>
      <c r="B72" t="s">
        <v>4549</v>
      </c>
      <c r="C72" t="s">
        <v>4550</v>
      </c>
      <c r="D72" t="s">
        <v>11</v>
      </c>
      <c r="E72" t="s">
        <v>13</v>
      </c>
      <c r="F72" t="s">
        <v>729</v>
      </c>
      <c r="G72" t="s">
        <v>12</v>
      </c>
      <c r="I72" t="s">
        <v>4549</v>
      </c>
      <c r="J72" t="s">
        <v>6376</v>
      </c>
      <c r="K72">
        <v>28.725963823510387</v>
      </c>
      <c r="L72">
        <v>0.37803472901855528</v>
      </c>
      <c r="M72">
        <v>16.026512131067989</v>
      </c>
      <c r="N72">
        <v>17.629163344174788</v>
      </c>
      <c r="P72" t="s">
        <v>726</v>
      </c>
      <c r="Q72" t="s">
        <v>7443</v>
      </c>
      <c r="R72" t="s">
        <v>7444</v>
      </c>
      <c r="S72" t="s">
        <v>11</v>
      </c>
      <c r="T72" t="s">
        <v>13</v>
      </c>
      <c r="U72" t="s">
        <v>75</v>
      </c>
      <c r="V72" t="s">
        <v>12</v>
      </c>
      <c r="X72" t="s">
        <v>7443</v>
      </c>
      <c r="Y72" t="s">
        <v>76</v>
      </c>
      <c r="Z72">
        <v>1</v>
      </c>
    </row>
    <row r="73" spans="1:26">
      <c r="A73" t="s">
        <v>726</v>
      </c>
      <c r="B73" t="s">
        <v>4551</v>
      </c>
      <c r="C73" t="s">
        <v>4552</v>
      </c>
      <c r="D73" t="s">
        <v>11</v>
      </c>
      <c r="E73" t="s">
        <v>13</v>
      </c>
      <c r="F73" t="s">
        <v>729</v>
      </c>
      <c r="G73" t="s">
        <v>12</v>
      </c>
      <c r="I73" t="s">
        <v>4551</v>
      </c>
      <c r="J73" t="s">
        <v>6377</v>
      </c>
      <c r="K73">
        <v>2.0960001366235645</v>
      </c>
      <c r="L73">
        <v>9.7456662966409494E-2</v>
      </c>
      <c r="M73">
        <v>9.9865988337825993</v>
      </c>
      <c r="N73">
        <v>10.98525871716086</v>
      </c>
      <c r="P73" t="s">
        <v>726</v>
      </c>
      <c r="Q73" t="s">
        <v>7445</v>
      </c>
      <c r="R73" t="s">
        <v>7446</v>
      </c>
      <c r="S73" t="s">
        <v>11</v>
      </c>
      <c r="T73" t="s">
        <v>13</v>
      </c>
      <c r="U73" t="s">
        <v>75</v>
      </c>
      <c r="V73" t="s">
        <v>12</v>
      </c>
      <c r="X73" t="s">
        <v>7445</v>
      </c>
      <c r="Y73" t="s">
        <v>76</v>
      </c>
      <c r="Z73">
        <v>1</v>
      </c>
    </row>
    <row r="74" spans="1:26">
      <c r="A74" t="s">
        <v>726</v>
      </c>
      <c r="B74" t="s">
        <v>4553</v>
      </c>
      <c r="C74" t="s">
        <v>4554</v>
      </c>
      <c r="D74" t="s">
        <v>11</v>
      </c>
      <c r="E74" t="s">
        <v>13</v>
      </c>
      <c r="F74" t="s">
        <v>729</v>
      </c>
      <c r="G74" t="s">
        <v>12</v>
      </c>
      <c r="I74" t="s">
        <v>4553</v>
      </c>
      <c r="J74" t="s">
        <v>6378</v>
      </c>
      <c r="K74">
        <v>4.0787806303860634</v>
      </c>
      <c r="L74">
        <v>0.1052058515242858</v>
      </c>
      <c r="M74">
        <v>24.488617280844171</v>
      </c>
      <c r="N74">
        <v>26.937479008928591</v>
      </c>
      <c r="P74" t="s">
        <v>726</v>
      </c>
      <c r="Q74" t="s">
        <v>7447</v>
      </c>
      <c r="R74" t="s">
        <v>7448</v>
      </c>
      <c r="S74" t="s">
        <v>11</v>
      </c>
      <c r="T74" t="s">
        <v>13</v>
      </c>
      <c r="U74" t="s">
        <v>75</v>
      </c>
      <c r="V74" t="s">
        <v>12</v>
      </c>
      <c r="X74" t="s">
        <v>7447</v>
      </c>
      <c r="Y74" t="s">
        <v>76</v>
      </c>
      <c r="Z74">
        <v>1</v>
      </c>
    </row>
    <row r="75" spans="1:26">
      <c r="A75" t="s">
        <v>726</v>
      </c>
      <c r="B75" t="s">
        <v>4555</v>
      </c>
      <c r="C75" t="s">
        <v>4556</v>
      </c>
      <c r="D75" t="s">
        <v>11</v>
      </c>
      <c r="E75" t="s">
        <v>13</v>
      </c>
      <c r="F75" t="s">
        <v>729</v>
      </c>
      <c r="G75" t="s">
        <v>12</v>
      </c>
      <c r="I75" t="s">
        <v>4555</v>
      </c>
      <c r="J75" t="s">
        <v>6379</v>
      </c>
      <c r="K75">
        <v>8.1511194607444502</v>
      </c>
      <c r="L75">
        <v>0.14582942297183779</v>
      </c>
      <c r="M75">
        <v>52.761473951740541</v>
      </c>
      <c r="N75">
        <v>58.037621346914598</v>
      </c>
      <c r="P75" t="s">
        <v>726</v>
      </c>
      <c r="Q75" t="s">
        <v>7449</v>
      </c>
      <c r="R75" t="s">
        <v>7450</v>
      </c>
      <c r="S75" t="s">
        <v>11</v>
      </c>
      <c r="T75" t="s">
        <v>13</v>
      </c>
      <c r="U75" t="s">
        <v>75</v>
      </c>
      <c r="V75" t="s">
        <v>12</v>
      </c>
      <c r="X75" t="s">
        <v>7449</v>
      </c>
      <c r="Y75" t="s">
        <v>76</v>
      </c>
      <c r="Z75">
        <v>1</v>
      </c>
    </row>
    <row r="76" spans="1:26">
      <c r="A76" t="s">
        <v>726</v>
      </c>
      <c r="B76" t="s">
        <v>4557</v>
      </c>
      <c r="C76" t="s">
        <v>4558</v>
      </c>
      <c r="D76" t="s">
        <v>11</v>
      </c>
      <c r="E76" t="s">
        <v>13</v>
      </c>
      <c r="F76" t="s">
        <v>729</v>
      </c>
      <c r="G76" t="s">
        <v>12</v>
      </c>
      <c r="I76" t="s">
        <v>4557</v>
      </c>
      <c r="J76" t="s">
        <v>6380</v>
      </c>
      <c r="K76">
        <v>7.6681879533984612</v>
      </c>
      <c r="L76">
        <v>0.14053025045163819</v>
      </c>
      <c r="M76">
        <v>43.567103753174727</v>
      </c>
      <c r="N76">
        <v>47.923814128492204</v>
      </c>
      <c r="P76" t="s">
        <v>726</v>
      </c>
      <c r="Q76" t="s">
        <v>7451</v>
      </c>
      <c r="R76" t="s">
        <v>7452</v>
      </c>
      <c r="S76" t="s">
        <v>11</v>
      </c>
      <c r="T76" t="s">
        <v>13</v>
      </c>
      <c r="U76" t="s">
        <v>75</v>
      </c>
      <c r="V76" t="s">
        <v>12</v>
      </c>
      <c r="X76" t="s">
        <v>7451</v>
      </c>
      <c r="Y76" t="s">
        <v>76</v>
      </c>
      <c r="Z76">
        <v>1</v>
      </c>
    </row>
    <row r="77" spans="1:26">
      <c r="A77" t="s">
        <v>726</v>
      </c>
      <c r="B77" t="s">
        <v>4559</v>
      </c>
      <c r="C77" t="s">
        <v>4560</v>
      </c>
      <c r="D77" t="s">
        <v>11</v>
      </c>
      <c r="E77" t="s">
        <v>13</v>
      </c>
      <c r="F77" t="s">
        <v>729</v>
      </c>
      <c r="G77" t="s">
        <v>12</v>
      </c>
      <c r="I77" t="s">
        <v>4559</v>
      </c>
      <c r="J77" t="s">
        <v>6381</v>
      </c>
      <c r="K77">
        <v>16.421622793233716</v>
      </c>
      <c r="L77">
        <v>0.245453044118388</v>
      </c>
      <c r="M77">
        <v>121.19938404179288</v>
      </c>
      <c r="N77">
        <v>133.31932244597218</v>
      </c>
      <c r="P77" t="s">
        <v>726</v>
      </c>
      <c r="Q77" t="s">
        <v>7453</v>
      </c>
      <c r="R77" t="s">
        <v>7454</v>
      </c>
      <c r="S77" t="s">
        <v>11</v>
      </c>
      <c r="T77" t="s">
        <v>13</v>
      </c>
      <c r="U77" t="s">
        <v>75</v>
      </c>
      <c r="V77" t="s">
        <v>12</v>
      </c>
      <c r="X77" t="s">
        <v>7453</v>
      </c>
      <c r="Y77" t="s">
        <v>76</v>
      </c>
      <c r="Z77">
        <v>1</v>
      </c>
    </row>
    <row r="78" spans="1:26">
      <c r="A78" t="s">
        <v>726</v>
      </c>
      <c r="B78" t="s">
        <v>4561</v>
      </c>
      <c r="C78" t="s">
        <v>4562</v>
      </c>
      <c r="D78" t="s">
        <v>11</v>
      </c>
      <c r="E78" t="s">
        <v>13</v>
      </c>
      <c r="F78" t="s">
        <v>729</v>
      </c>
      <c r="G78" t="s">
        <v>12</v>
      </c>
      <c r="I78" t="s">
        <v>4561</v>
      </c>
      <c r="J78" t="s">
        <v>6382</v>
      </c>
      <c r="K78">
        <v>19.002272227532607</v>
      </c>
      <c r="L78">
        <v>0.1901743955963423</v>
      </c>
      <c r="M78">
        <v>111.47926478680472</v>
      </c>
      <c r="N78">
        <v>122.62719126548519</v>
      </c>
      <c r="P78" t="s">
        <v>726</v>
      </c>
      <c r="Q78" t="s">
        <v>7455</v>
      </c>
      <c r="R78" t="s">
        <v>7456</v>
      </c>
      <c r="S78" t="s">
        <v>11</v>
      </c>
      <c r="T78" t="s">
        <v>13</v>
      </c>
      <c r="U78" t="s">
        <v>75</v>
      </c>
      <c r="V78" t="s">
        <v>12</v>
      </c>
      <c r="X78" t="s">
        <v>7455</v>
      </c>
      <c r="Y78" t="s">
        <v>76</v>
      </c>
      <c r="Z78">
        <v>1</v>
      </c>
    </row>
    <row r="79" spans="1:26">
      <c r="A79" t="s">
        <v>726</v>
      </c>
      <c r="B79" t="s">
        <v>4563</v>
      </c>
      <c r="C79" t="s">
        <v>4564</v>
      </c>
      <c r="D79" t="s">
        <v>11</v>
      </c>
      <c r="E79" t="s">
        <v>13</v>
      </c>
      <c r="F79" t="s">
        <v>729</v>
      </c>
      <c r="G79" t="s">
        <v>12</v>
      </c>
      <c r="I79" t="s">
        <v>4563</v>
      </c>
      <c r="J79" t="s">
        <v>6383</v>
      </c>
      <c r="K79">
        <v>6.5026956356790526</v>
      </c>
      <c r="L79">
        <v>0.15455316873890301</v>
      </c>
      <c r="M79">
        <v>92.432748208126924</v>
      </c>
      <c r="N79">
        <v>101.67602302893962</v>
      </c>
      <c r="P79" t="s">
        <v>726</v>
      </c>
      <c r="Q79" t="s">
        <v>7457</v>
      </c>
      <c r="R79" t="s">
        <v>7458</v>
      </c>
      <c r="S79" t="s">
        <v>11</v>
      </c>
      <c r="T79" t="s">
        <v>13</v>
      </c>
      <c r="U79" t="s">
        <v>75</v>
      </c>
      <c r="V79" t="s">
        <v>12</v>
      </c>
      <c r="X79" t="s">
        <v>7457</v>
      </c>
      <c r="Y79" t="s">
        <v>76</v>
      </c>
      <c r="Z79">
        <v>1</v>
      </c>
    </row>
    <row r="80" spans="1:26">
      <c r="A80" t="s">
        <v>726</v>
      </c>
      <c r="B80" t="s">
        <v>4565</v>
      </c>
      <c r="C80" t="s">
        <v>4566</v>
      </c>
      <c r="D80" t="s">
        <v>11</v>
      </c>
      <c r="E80" t="s">
        <v>13</v>
      </c>
      <c r="F80" t="s">
        <v>729</v>
      </c>
      <c r="G80" t="s">
        <v>12</v>
      </c>
      <c r="I80" t="s">
        <v>4565</v>
      </c>
      <c r="J80" t="s">
        <v>6384</v>
      </c>
      <c r="K80">
        <v>21.863518882035443</v>
      </c>
      <c r="L80">
        <v>0.16510832203859779</v>
      </c>
      <c r="M80">
        <v>63.52168481544021</v>
      </c>
      <c r="N80">
        <v>69.873853296984237</v>
      </c>
      <c r="P80" t="s">
        <v>726</v>
      </c>
      <c r="Q80" t="s">
        <v>7459</v>
      </c>
      <c r="R80" t="s">
        <v>7460</v>
      </c>
      <c r="S80" t="s">
        <v>11</v>
      </c>
      <c r="T80" t="s">
        <v>13</v>
      </c>
      <c r="U80" t="s">
        <v>75</v>
      </c>
      <c r="V80" t="s">
        <v>12</v>
      </c>
      <c r="X80" t="s">
        <v>7459</v>
      </c>
      <c r="Y80" t="s">
        <v>76</v>
      </c>
      <c r="Z80">
        <v>1</v>
      </c>
    </row>
    <row r="81" spans="1:26">
      <c r="A81" t="s">
        <v>726</v>
      </c>
      <c r="B81" t="s">
        <v>4567</v>
      </c>
      <c r="C81" t="s">
        <v>4568</v>
      </c>
      <c r="D81" t="s">
        <v>11</v>
      </c>
      <c r="E81" t="s">
        <v>13</v>
      </c>
      <c r="F81" t="s">
        <v>729</v>
      </c>
      <c r="G81" t="s">
        <v>12</v>
      </c>
      <c r="I81" t="s">
        <v>4567</v>
      </c>
      <c r="J81" t="s">
        <v>6385</v>
      </c>
      <c r="K81">
        <v>5.6189721881302122</v>
      </c>
      <c r="L81">
        <v>0.12901837999757559</v>
      </c>
      <c r="M81">
        <v>100.67936991030358</v>
      </c>
      <c r="N81">
        <v>110.74730690133394</v>
      </c>
      <c r="P81" t="s">
        <v>726</v>
      </c>
      <c r="Q81" t="s">
        <v>7461</v>
      </c>
      <c r="R81" t="s">
        <v>7462</v>
      </c>
      <c r="S81" t="s">
        <v>11</v>
      </c>
      <c r="T81" t="s">
        <v>13</v>
      </c>
      <c r="U81" t="s">
        <v>75</v>
      </c>
      <c r="V81" t="s">
        <v>12</v>
      </c>
      <c r="X81" t="s">
        <v>7461</v>
      </c>
      <c r="Y81" t="s">
        <v>76</v>
      </c>
      <c r="Z81">
        <v>1</v>
      </c>
    </row>
    <row r="82" spans="1:26">
      <c r="A82" t="s">
        <v>726</v>
      </c>
      <c r="B82" t="s">
        <v>4569</v>
      </c>
      <c r="C82" t="s">
        <v>4570</v>
      </c>
      <c r="D82" t="s">
        <v>11</v>
      </c>
      <c r="E82" t="s">
        <v>13</v>
      </c>
      <c r="F82" t="s">
        <v>729</v>
      </c>
      <c r="G82" t="s">
        <v>12</v>
      </c>
      <c r="I82" t="s">
        <v>4569</v>
      </c>
      <c r="J82" t="s">
        <v>6386</v>
      </c>
      <c r="K82">
        <v>22.722162487376995</v>
      </c>
      <c r="L82">
        <v>0.14818566814708839</v>
      </c>
      <c r="M82">
        <v>80.220760013082611</v>
      </c>
      <c r="N82">
        <v>88.242836014390875</v>
      </c>
      <c r="P82" t="s">
        <v>726</v>
      </c>
      <c r="Q82" t="s">
        <v>7463</v>
      </c>
      <c r="R82" t="s">
        <v>7464</v>
      </c>
      <c r="S82" t="s">
        <v>11</v>
      </c>
      <c r="T82" t="s">
        <v>13</v>
      </c>
      <c r="U82" t="s">
        <v>75</v>
      </c>
      <c r="V82" t="s">
        <v>12</v>
      </c>
      <c r="X82" t="s">
        <v>7463</v>
      </c>
      <c r="Y82" t="s">
        <v>76</v>
      </c>
      <c r="Z82">
        <v>1</v>
      </c>
    </row>
    <row r="83" spans="1:26">
      <c r="A83" t="s">
        <v>726</v>
      </c>
      <c r="B83" t="s">
        <v>4571</v>
      </c>
      <c r="C83" t="s">
        <v>4572</v>
      </c>
      <c r="D83" t="s">
        <v>11</v>
      </c>
      <c r="E83" t="s">
        <v>13</v>
      </c>
      <c r="F83" t="s">
        <v>729</v>
      </c>
      <c r="G83" t="s">
        <v>12</v>
      </c>
      <c r="I83" t="s">
        <v>4571</v>
      </c>
      <c r="J83" t="s">
        <v>6387</v>
      </c>
      <c r="K83">
        <v>25.053615456373254</v>
      </c>
      <c r="L83">
        <v>0.1726466311843512</v>
      </c>
      <c r="M83">
        <v>114.23335750750933</v>
      </c>
      <c r="N83">
        <v>125.65669325826026</v>
      </c>
      <c r="P83" t="s">
        <v>726</v>
      </c>
      <c r="Q83" t="s">
        <v>7465</v>
      </c>
      <c r="R83" t="s">
        <v>7466</v>
      </c>
      <c r="S83" t="s">
        <v>11</v>
      </c>
      <c r="T83" t="s">
        <v>13</v>
      </c>
      <c r="U83" t="s">
        <v>75</v>
      </c>
      <c r="V83" t="s">
        <v>12</v>
      </c>
      <c r="X83" t="s">
        <v>7465</v>
      </c>
      <c r="Y83" t="s">
        <v>76</v>
      </c>
      <c r="Z83">
        <v>1</v>
      </c>
    </row>
    <row r="84" spans="1:26">
      <c r="A84" t="s">
        <v>726</v>
      </c>
      <c r="B84" t="s">
        <v>4573</v>
      </c>
      <c r="C84" t="s">
        <v>4574</v>
      </c>
      <c r="D84" t="s">
        <v>11</v>
      </c>
      <c r="E84" t="s">
        <v>13</v>
      </c>
      <c r="F84" t="s">
        <v>729</v>
      </c>
      <c r="G84" t="s">
        <v>12</v>
      </c>
      <c r="I84" t="s">
        <v>4573</v>
      </c>
      <c r="J84" t="s">
        <v>6388</v>
      </c>
      <c r="K84">
        <v>5.1444471467333388</v>
      </c>
      <c r="L84">
        <v>9.0727954706457795E-2</v>
      </c>
      <c r="M84">
        <v>69.522740296253488</v>
      </c>
      <c r="N84">
        <v>76.475014325878846</v>
      </c>
      <c r="P84" t="s">
        <v>726</v>
      </c>
      <c r="Q84" t="s">
        <v>7467</v>
      </c>
      <c r="R84" t="s">
        <v>7468</v>
      </c>
      <c r="S84" t="s">
        <v>11</v>
      </c>
      <c r="T84" t="s">
        <v>13</v>
      </c>
      <c r="U84" t="s">
        <v>75</v>
      </c>
      <c r="V84" t="s">
        <v>12</v>
      </c>
      <c r="X84" t="s">
        <v>7467</v>
      </c>
      <c r="Y84" t="s">
        <v>76</v>
      </c>
      <c r="Z84">
        <v>1</v>
      </c>
    </row>
    <row r="85" spans="1:26">
      <c r="A85" t="s">
        <v>726</v>
      </c>
      <c r="B85" t="s">
        <v>4575</v>
      </c>
      <c r="C85" t="s">
        <v>4576</v>
      </c>
      <c r="D85" t="s">
        <v>11</v>
      </c>
      <c r="E85" t="s">
        <v>13</v>
      </c>
      <c r="F85" t="s">
        <v>729</v>
      </c>
      <c r="G85" t="s">
        <v>12</v>
      </c>
      <c r="I85" t="s">
        <v>4575</v>
      </c>
      <c r="J85" t="s">
        <v>6389</v>
      </c>
      <c r="K85">
        <v>41.652149949876097</v>
      </c>
      <c r="L85">
        <v>0.1084103598183731</v>
      </c>
      <c r="M85">
        <v>54.516169664491443</v>
      </c>
      <c r="N85">
        <v>59.967786630940594</v>
      </c>
      <c r="P85" t="s">
        <v>726</v>
      </c>
      <c r="Q85" t="s">
        <v>7469</v>
      </c>
      <c r="R85" t="s">
        <v>7470</v>
      </c>
      <c r="S85" t="s">
        <v>11</v>
      </c>
      <c r="T85" t="s">
        <v>13</v>
      </c>
      <c r="U85" t="s">
        <v>75</v>
      </c>
      <c r="V85" t="s">
        <v>12</v>
      </c>
      <c r="X85" t="s">
        <v>7469</v>
      </c>
      <c r="Y85" t="s">
        <v>76</v>
      </c>
      <c r="Z85">
        <v>1</v>
      </c>
    </row>
    <row r="86" spans="1:26">
      <c r="A86" t="s">
        <v>726</v>
      </c>
      <c r="B86" t="s">
        <v>4577</v>
      </c>
      <c r="C86" t="s">
        <v>4578</v>
      </c>
      <c r="D86" t="s">
        <v>11</v>
      </c>
      <c r="E86" t="s">
        <v>13</v>
      </c>
      <c r="F86" t="s">
        <v>729</v>
      </c>
      <c r="G86" t="s">
        <v>12</v>
      </c>
      <c r="I86" t="s">
        <v>4577</v>
      </c>
      <c r="J86" t="s">
        <v>6390</v>
      </c>
      <c r="K86">
        <v>25.689585245928765</v>
      </c>
      <c r="L86">
        <v>0.16319781495917021</v>
      </c>
      <c r="M86">
        <v>77.995254905635917</v>
      </c>
      <c r="N86">
        <v>85.794780396199513</v>
      </c>
      <c r="P86" t="s">
        <v>726</v>
      </c>
      <c r="Q86" t="s">
        <v>7471</v>
      </c>
      <c r="R86" t="s">
        <v>7472</v>
      </c>
      <c r="S86" t="s">
        <v>11</v>
      </c>
      <c r="T86" t="s">
        <v>13</v>
      </c>
      <c r="U86" t="s">
        <v>75</v>
      </c>
      <c r="V86" t="s">
        <v>12</v>
      </c>
      <c r="X86" t="s">
        <v>7471</v>
      </c>
      <c r="Y86" t="s">
        <v>76</v>
      </c>
      <c r="Z86">
        <v>1</v>
      </c>
    </row>
    <row r="87" spans="1:26">
      <c r="A87" t="s">
        <v>726</v>
      </c>
      <c r="B87" t="s">
        <v>4579</v>
      </c>
      <c r="C87" t="s">
        <v>4580</v>
      </c>
      <c r="D87" t="s">
        <v>11</v>
      </c>
      <c r="E87" t="s">
        <v>13</v>
      </c>
      <c r="F87" t="s">
        <v>729</v>
      </c>
      <c r="G87" t="s">
        <v>12</v>
      </c>
      <c r="I87" t="s">
        <v>4579</v>
      </c>
      <c r="J87" t="s">
        <v>6391</v>
      </c>
      <c r="K87">
        <v>13.090715611058021</v>
      </c>
      <c r="L87">
        <v>0.14518713112992229</v>
      </c>
      <c r="M87">
        <v>78.628373826643639</v>
      </c>
      <c r="N87">
        <v>86.491211209308005</v>
      </c>
      <c r="P87" t="s">
        <v>726</v>
      </c>
      <c r="Q87" t="s">
        <v>7473</v>
      </c>
      <c r="R87" t="s">
        <v>7474</v>
      </c>
      <c r="S87" t="s">
        <v>11</v>
      </c>
      <c r="T87" t="s">
        <v>13</v>
      </c>
      <c r="U87" t="s">
        <v>75</v>
      </c>
      <c r="V87" t="s">
        <v>12</v>
      </c>
      <c r="X87" t="s">
        <v>7473</v>
      </c>
      <c r="Y87" t="s">
        <v>76</v>
      </c>
      <c r="Z87">
        <v>1</v>
      </c>
    </row>
    <row r="88" spans="1:26">
      <c r="A88" t="s">
        <v>726</v>
      </c>
      <c r="B88" t="s">
        <v>4581</v>
      </c>
      <c r="C88" t="s">
        <v>4582</v>
      </c>
      <c r="D88" t="s">
        <v>11</v>
      </c>
      <c r="E88" t="s">
        <v>13</v>
      </c>
      <c r="F88" t="s">
        <v>729</v>
      </c>
      <c r="G88" t="s">
        <v>12</v>
      </c>
      <c r="I88" t="s">
        <v>4581</v>
      </c>
      <c r="J88" t="s">
        <v>6392</v>
      </c>
      <c r="K88">
        <v>32.208199036987743</v>
      </c>
      <c r="L88">
        <v>0.1200559157741387</v>
      </c>
      <c r="M88">
        <v>45.404132411365033</v>
      </c>
      <c r="N88">
        <v>49.944545652501539</v>
      </c>
      <c r="P88" t="s">
        <v>726</v>
      </c>
      <c r="Q88" t="s">
        <v>7475</v>
      </c>
      <c r="R88" t="s">
        <v>7476</v>
      </c>
      <c r="S88" t="s">
        <v>11</v>
      </c>
      <c r="T88" t="s">
        <v>13</v>
      </c>
      <c r="U88" t="s">
        <v>75</v>
      </c>
      <c r="V88" t="s">
        <v>12</v>
      </c>
      <c r="X88" t="s">
        <v>7475</v>
      </c>
      <c r="Y88" t="s">
        <v>76</v>
      </c>
      <c r="Z88">
        <v>1</v>
      </c>
    </row>
    <row r="89" spans="1:26">
      <c r="A89" t="s">
        <v>726</v>
      </c>
      <c r="B89" t="s">
        <v>4583</v>
      </c>
      <c r="C89" t="s">
        <v>4584</v>
      </c>
      <c r="D89" t="s">
        <v>11</v>
      </c>
      <c r="E89" t="s">
        <v>13</v>
      </c>
      <c r="F89" t="s">
        <v>729</v>
      </c>
      <c r="G89" t="s">
        <v>12</v>
      </c>
      <c r="I89" t="s">
        <v>4583</v>
      </c>
      <c r="J89" t="s">
        <v>6393</v>
      </c>
      <c r="K89">
        <v>4.3811906012349926</v>
      </c>
      <c r="L89">
        <v>0.1857760689861451</v>
      </c>
      <c r="M89">
        <v>62.1592488767524</v>
      </c>
      <c r="N89">
        <v>68.375173764427643</v>
      </c>
      <c r="P89" t="s">
        <v>726</v>
      </c>
      <c r="Q89" t="s">
        <v>7477</v>
      </c>
      <c r="R89" t="s">
        <v>7478</v>
      </c>
      <c r="S89" t="s">
        <v>11</v>
      </c>
      <c r="T89" t="s">
        <v>13</v>
      </c>
      <c r="U89" t="s">
        <v>75</v>
      </c>
      <c r="V89" t="s">
        <v>12</v>
      </c>
      <c r="X89" t="s">
        <v>7477</v>
      </c>
      <c r="Y89" t="s">
        <v>76</v>
      </c>
      <c r="Z89">
        <v>1</v>
      </c>
    </row>
    <row r="90" spans="1:26">
      <c r="A90" t="s">
        <v>726</v>
      </c>
      <c r="B90" t="s">
        <v>4585</v>
      </c>
      <c r="C90" t="s">
        <v>4586</v>
      </c>
      <c r="D90" t="s">
        <v>11</v>
      </c>
      <c r="E90" t="s">
        <v>13</v>
      </c>
      <c r="F90" t="s">
        <v>729</v>
      </c>
      <c r="G90" t="s">
        <v>12</v>
      </c>
      <c r="I90" t="s">
        <v>4585</v>
      </c>
      <c r="J90" t="s">
        <v>6394</v>
      </c>
      <c r="K90">
        <v>3.108713917749125</v>
      </c>
      <c r="L90">
        <v>0.19126922419665851</v>
      </c>
      <c r="M90">
        <v>32.674636255443374</v>
      </c>
      <c r="N90">
        <v>35.942099880987712</v>
      </c>
      <c r="P90" t="s">
        <v>726</v>
      </c>
      <c r="Q90" t="s">
        <v>7479</v>
      </c>
      <c r="R90" t="s">
        <v>7480</v>
      </c>
      <c r="S90" t="s">
        <v>11</v>
      </c>
      <c r="T90" t="s">
        <v>13</v>
      </c>
      <c r="U90" t="s">
        <v>75</v>
      </c>
      <c r="V90" t="s">
        <v>12</v>
      </c>
      <c r="X90" t="s">
        <v>7479</v>
      </c>
      <c r="Y90" t="s">
        <v>76</v>
      </c>
      <c r="Z90">
        <v>1</v>
      </c>
    </row>
    <row r="91" spans="1:26">
      <c r="A91" t="s">
        <v>726</v>
      </c>
      <c r="B91" t="s">
        <v>4587</v>
      </c>
      <c r="C91" t="s">
        <v>4588</v>
      </c>
      <c r="D91" t="s">
        <v>11</v>
      </c>
      <c r="E91" t="s">
        <v>13</v>
      </c>
      <c r="F91" t="s">
        <v>729</v>
      </c>
      <c r="G91" t="s">
        <v>12</v>
      </c>
      <c r="I91" t="s">
        <v>4587</v>
      </c>
      <c r="J91" t="s">
        <v>6395</v>
      </c>
      <c r="K91">
        <v>3.6160029171333261</v>
      </c>
      <c r="L91">
        <v>0.28584672526803351</v>
      </c>
      <c r="M91">
        <v>42.502423778204736</v>
      </c>
      <c r="N91">
        <v>46.752666156025214</v>
      </c>
      <c r="P91" t="s">
        <v>726</v>
      </c>
      <c r="Q91" t="s">
        <v>7481</v>
      </c>
      <c r="R91" t="s">
        <v>7482</v>
      </c>
      <c r="S91" t="s">
        <v>11</v>
      </c>
      <c r="T91" t="s">
        <v>13</v>
      </c>
      <c r="U91" t="s">
        <v>75</v>
      </c>
      <c r="V91" t="s">
        <v>12</v>
      </c>
      <c r="X91" t="s">
        <v>7481</v>
      </c>
      <c r="Y91" t="s">
        <v>76</v>
      </c>
      <c r="Z91">
        <v>1</v>
      </c>
    </row>
    <row r="92" spans="1:26">
      <c r="A92" t="s">
        <v>726</v>
      </c>
      <c r="B92" t="s">
        <v>4589</v>
      </c>
      <c r="C92" t="s">
        <v>4590</v>
      </c>
      <c r="D92" t="s">
        <v>11</v>
      </c>
      <c r="E92" t="s">
        <v>13</v>
      </c>
      <c r="F92" t="s">
        <v>729</v>
      </c>
      <c r="G92" t="s">
        <v>12</v>
      </c>
      <c r="I92" t="s">
        <v>4589</v>
      </c>
      <c r="J92" t="s">
        <v>6396</v>
      </c>
      <c r="K92">
        <v>1.659530983915994</v>
      </c>
      <c r="L92">
        <v>0.20493882531872851</v>
      </c>
      <c r="M92">
        <v>66.862188591455876</v>
      </c>
      <c r="N92">
        <v>73.548407450601474</v>
      </c>
      <c r="P92" t="s">
        <v>726</v>
      </c>
      <c r="Q92" t="s">
        <v>7483</v>
      </c>
      <c r="R92" t="s">
        <v>7484</v>
      </c>
      <c r="S92" t="s">
        <v>11</v>
      </c>
      <c r="T92" t="s">
        <v>13</v>
      </c>
      <c r="U92" t="s">
        <v>75</v>
      </c>
      <c r="V92" t="s">
        <v>12</v>
      </c>
      <c r="X92" t="s">
        <v>7483</v>
      </c>
      <c r="Y92" t="s">
        <v>76</v>
      </c>
      <c r="Z92">
        <v>1</v>
      </c>
    </row>
    <row r="93" spans="1:26">
      <c r="A93" t="s">
        <v>726</v>
      </c>
      <c r="B93" t="s">
        <v>4591</v>
      </c>
      <c r="C93" t="s">
        <v>4592</v>
      </c>
      <c r="D93" t="s">
        <v>11</v>
      </c>
      <c r="E93" t="s">
        <v>13</v>
      </c>
      <c r="F93" t="s">
        <v>729</v>
      </c>
      <c r="G93" t="s">
        <v>12</v>
      </c>
      <c r="I93" t="s">
        <v>4591</v>
      </c>
      <c r="J93" t="s">
        <v>6397</v>
      </c>
      <c r="K93">
        <v>1.3611611462685196</v>
      </c>
      <c r="L93">
        <v>0.1043131842273663</v>
      </c>
      <c r="M93">
        <v>35.932884776037376</v>
      </c>
      <c r="N93">
        <v>39.526173253641119</v>
      </c>
      <c r="P93" t="s">
        <v>726</v>
      </c>
      <c r="Q93" t="s">
        <v>7485</v>
      </c>
      <c r="R93" t="s">
        <v>7486</v>
      </c>
      <c r="S93" t="s">
        <v>11</v>
      </c>
      <c r="T93" t="s">
        <v>13</v>
      </c>
      <c r="U93" t="s">
        <v>75</v>
      </c>
      <c r="V93" t="s">
        <v>12</v>
      </c>
      <c r="X93" t="s">
        <v>7485</v>
      </c>
      <c r="Y93" t="s">
        <v>76</v>
      </c>
      <c r="Z93">
        <v>1</v>
      </c>
    </row>
    <row r="94" spans="1:26">
      <c r="A94" t="s">
        <v>726</v>
      </c>
      <c r="B94" t="s">
        <v>4593</v>
      </c>
      <c r="C94" t="s">
        <v>4594</v>
      </c>
      <c r="D94" t="s">
        <v>11</v>
      </c>
      <c r="E94" t="s">
        <v>13</v>
      </c>
      <c r="F94" t="s">
        <v>729</v>
      </c>
      <c r="G94" t="s">
        <v>12</v>
      </c>
      <c r="I94" t="s">
        <v>4593</v>
      </c>
      <c r="J94" t="s">
        <v>6398</v>
      </c>
      <c r="K94">
        <v>1.3286817952586107</v>
      </c>
      <c r="L94">
        <v>9.1093810419453997E-2</v>
      </c>
      <c r="M94">
        <v>51.847962061228458</v>
      </c>
      <c r="N94">
        <v>57.032758267351305</v>
      </c>
      <c r="P94" t="s">
        <v>726</v>
      </c>
      <c r="Q94" t="s">
        <v>7487</v>
      </c>
      <c r="R94" t="s">
        <v>7488</v>
      </c>
      <c r="S94" t="s">
        <v>11</v>
      </c>
      <c r="T94" t="s">
        <v>13</v>
      </c>
      <c r="U94" t="s">
        <v>75</v>
      </c>
      <c r="V94" t="s">
        <v>12</v>
      </c>
      <c r="X94" t="s">
        <v>7487</v>
      </c>
      <c r="Y94" t="s">
        <v>76</v>
      </c>
      <c r="Z94">
        <v>1</v>
      </c>
    </row>
    <row r="95" spans="1:26">
      <c r="A95" t="s">
        <v>726</v>
      </c>
      <c r="B95" t="s">
        <v>4595</v>
      </c>
      <c r="C95" t="s">
        <v>4596</v>
      </c>
      <c r="D95" t="s">
        <v>11</v>
      </c>
      <c r="E95" t="s">
        <v>13</v>
      </c>
      <c r="F95" t="s">
        <v>729</v>
      </c>
      <c r="G95" t="s">
        <v>12</v>
      </c>
      <c r="I95" t="s">
        <v>4595</v>
      </c>
      <c r="J95" t="s">
        <v>6399</v>
      </c>
      <c r="K95">
        <v>18.458329646403776</v>
      </c>
      <c r="L95">
        <v>0.34321024661296717</v>
      </c>
      <c r="M95">
        <v>64.500422587732757</v>
      </c>
      <c r="N95">
        <v>70.950464846506037</v>
      </c>
      <c r="P95" t="s">
        <v>726</v>
      </c>
      <c r="Q95" t="s">
        <v>7489</v>
      </c>
      <c r="R95" t="s">
        <v>7490</v>
      </c>
      <c r="S95" t="s">
        <v>11</v>
      </c>
      <c r="T95" t="s">
        <v>13</v>
      </c>
      <c r="U95" t="s">
        <v>75</v>
      </c>
      <c r="V95" t="s">
        <v>12</v>
      </c>
      <c r="X95" t="s">
        <v>7489</v>
      </c>
      <c r="Y95" t="s">
        <v>76</v>
      </c>
      <c r="Z95">
        <v>1</v>
      </c>
    </row>
    <row r="96" spans="1:26">
      <c r="A96" t="s">
        <v>726</v>
      </c>
      <c r="B96" t="s">
        <v>4597</v>
      </c>
      <c r="C96" t="s">
        <v>4598</v>
      </c>
      <c r="D96" t="s">
        <v>11</v>
      </c>
      <c r="E96" t="s">
        <v>13</v>
      </c>
      <c r="F96" t="s">
        <v>729</v>
      </c>
      <c r="G96" t="s">
        <v>12</v>
      </c>
      <c r="I96" t="s">
        <v>4597</v>
      </c>
      <c r="J96" t="s">
        <v>6400</v>
      </c>
      <c r="K96">
        <v>6.0962314750446707</v>
      </c>
      <c r="L96">
        <v>0.33199909434503128</v>
      </c>
      <c r="M96">
        <v>54.762774763276106</v>
      </c>
      <c r="N96">
        <v>60.239052239603723</v>
      </c>
      <c r="P96" t="s">
        <v>726</v>
      </c>
      <c r="Q96" t="s">
        <v>7491</v>
      </c>
      <c r="R96" t="s">
        <v>7492</v>
      </c>
      <c r="S96" t="s">
        <v>11</v>
      </c>
      <c r="T96" t="s">
        <v>13</v>
      </c>
      <c r="U96" t="s">
        <v>75</v>
      </c>
      <c r="V96" t="s">
        <v>12</v>
      </c>
      <c r="X96" t="s">
        <v>7491</v>
      </c>
      <c r="Y96" t="s">
        <v>76</v>
      </c>
      <c r="Z96">
        <v>1</v>
      </c>
    </row>
    <row r="97" spans="1:26">
      <c r="A97" t="s">
        <v>726</v>
      </c>
      <c r="B97" t="s">
        <v>4599</v>
      </c>
      <c r="C97" t="s">
        <v>4600</v>
      </c>
      <c r="D97" t="s">
        <v>11</v>
      </c>
      <c r="E97" t="s">
        <v>13</v>
      </c>
      <c r="F97" t="s">
        <v>729</v>
      </c>
      <c r="G97" t="s">
        <v>12</v>
      </c>
      <c r="I97" t="s">
        <v>4599</v>
      </c>
      <c r="J97" t="s">
        <v>6401</v>
      </c>
      <c r="K97">
        <v>11.542375678087328</v>
      </c>
      <c r="L97">
        <v>0.32948254068509991</v>
      </c>
      <c r="M97">
        <v>79.965448742549157</v>
      </c>
      <c r="N97">
        <v>87.961993616804079</v>
      </c>
      <c r="P97" t="s">
        <v>726</v>
      </c>
      <c r="Q97" t="s">
        <v>7493</v>
      </c>
      <c r="R97" t="s">
        <v>7494</v>
      </c>
      <c r="S97" t="s">
        <v>11</v>
      </c>
      <c r="T97" t="s">
        <v>13</v>
      </c>
      <c r="U97" t="s">
        <v>75</v>
      </c>
      <c r="V97" t="s">
        <v>12</v>
      </c>
      <c r="X97" t="s">
        <v>7493</v>
      </c>
      <c r="Y97" t="s">
        <v>76</v>
      </c>
      <c r="Z97">
        <v>1</v>
      </c>
    </row>
    <row r="98" spans="1:26">
      <c r="A98" t="s">
        <v>726</v>
      </c>
      <c r="B98" t="s">
        <v>4601</v>
      </c>
      <c r="C98" t="s">
        <v>4602</v>
      </c>
      <c r="D98" t="s">
        <v>11</v>
      </c>
      <c r="E98" t="s">
        <v>13</v>
      </c>
      <c r="F98" t="s">
        <v>729</v>
      </c>
      <c r="G98" t="s">
        <v>12</v>
      </c>
      <c r="I98" t="s">
        <v>4601</v>
      </c>
      <c r="J98" t="s">
        <v>6402</v>
      </c>
      <c r="K98">
        <v>20.855700832497842</v>
      </c>
      <c r="L98">
        <v>0.3130056256852598</v>
      </c>
      <c r="M98">
        <v>90.444777371635283</v>
      </c>
      <c r="N98">
        <v>99.489255108798815</v>
      </c>
      <c r="P98" t="s">
        <v>726</v>
      </c>
      <c r="Q98" t="s">
        <v>7495</v>
      </c>
      <c r="R98" t="s">
        <v>7496</v>
      </c>
      <c r="S98" t="s">
        <v>11</v>
      </c>
      <c r="T98" t="s">
        <v>13</v>
      </c>
      <c r="U98" t="s">
        <v>75</v>
      </c>
      <c r="V98" t="s">
        <v>12</v>
      </c>
      <c r="X98" t="s">
        <v>7495</v>
      </c>
      <c r="Y98" t="s">
        <v>76</v>
      </c>
      <c r="Z98">
        <v>1</v>
      </c>
    </row>
    <row r="99" spans="1:26">
      <c r="A99" t="s">
        <v>726</v>
      </c>
      <c r="B99" t="s">
        <v>4603</v>
      </c>
      <c r="C99" t="s">
        <v>4604</v>
      </c>
      <c r="D99" t="s">
        <v>11</v>
      </c>
      <c r="E99" t="s">
        <v>13</v>
      </c>
      <c r="F99" t="s">
        <v>729</v>
      </c>
      <c r="G99" t="s">
        <v>12</v>
      </c>
      <c r="I99" t="s">
        <v>4603</v>
      </c>
      <c r="J99" t="s">
        <v>6403</v>
      </c>
      <c r="K99">
        <v>12.947339544556488</v>
      </c>
      <c r="L99">
        <v>0.31931886751971472</v>
      </c>
      <c r="M99">
        <v>112.835831832775</v>
      </c>
      <c r="N99">
        <v>124.11941501605251</v>
      </c>
      <c r="P99" t="s">
        <v>726</v>
      </c>
      <c r="Q99" t="s">
        <v>7497</v>
      </c>
      <c r="R99" t="s">
        <v>7498</v>
      </c>
      <c r="S99" t="s">
        <v>11</v>
      </c>
      <c r="T99" t="s">
        <v>13</v>
      </c>
      <c r="U99" t="s">
        <v>75</v>
      </c>
      <c r="V99" t="s">
        <v>12</v>
      </c>
      <c r="X99" t="s">
        <v>7497</v>
      </c>
      <c r="Y99" t="s">
        <v>76</v>
      </c>
      <c r="Z99">
        <v>1</v>
      </c>
    </row>
    <row r="100" spans="1:26">
      <c r="A100" t="s">
        <v>726</v>
      </c>
      <c r="B100" t="s">
        <v>4605</v>
      </c>
      <c r="C100" t="s">
        <v>4606</v>
      </c>
      <c r="D100" t="s">
        <v>11</v>
      </c>
      <c r="E100" t="s">
        <v>13</v>
      </c>
      <c r="F100" t="s">
        <v>729</v>
      </c>
      <c r="G100" t="s">
        <v>12</v>
      </c>
      <c r="I100" t="s">
        <v>4605</v>
      </c>
      <c r="J100" t="s">
        <v>6404</v>
      </c>
      <c r="K100">
        <v>14.141502088728375</v>
      </c>
      <c r="L100">
        <v>0.32209230395465738</v>
      </c>
      <c r="M100">
        <v>68.46067419387758</v>
      </c>
      <c r="N100">
        <v>75.306741613265345</v>
      </c>
      <c r="P100" t="s">
        <v>726</v>
      </c>
      <c r="Q100" t="s">
        <v>7499</v>
      </c>
      <c r="R100" t="s">
        <v>7500</v>
      </c>
      <c r="S100" t="s">
        <v>11</v>
      </c>
      <c r="T100" t="s">
        <v>13</v>
      </c>
      <c r="U100" t="s">
        <v>75</v>
      </c>
      <c r="V100" t="s">
        <v>12</v>
      </c>
      <c r="X100" t="s">
        <v>7499</v>
      </c>
      <c r="Y100" t="s">
        <v>76</v>
      </c>
      <c r="Z100">
        <v>1</v>
      </c>
    </row>
    <row r="101" spans="1:26">
      <c r="A101" t="s">
        <v>726</v>
      </c>
      <c r="B101" t="s">
        <v>4607</v>
      </c>
      <c r="C101" t="s">
        <v>4608</v>
      </c>
      <c r="D101" t="s">
        <v>11</v>
      </c>
      <c r="E101" t="s">
        <v>13</v>
      </c>
      <c r="F101" t="s">
        <v>729</v>
      </c>
      <c r="G101" t="s">
        <v>12</v>
      </c>
      <c r="I101" t="s">
        <v>4607</v>
      </c>
      <c r="J101" t="s">
        <v>6405</v>
      </c>
      <c r="K101">
        <v>10.842728885879557</v>
      </c>
      <c r="L101">
        <v>0.1050400977018332</v>
      </c>
      <c r="M101">
        <v>407.7060696809387</v>
      </c>
      <c r="N101">
        <v>448.47667664903258</v>
      </c>
      <c r="P101" t="s">
        <v>726</v>
      </c>
      <c r="Q101" t="s">
        <v>7501</v>
      </c>
      <c r="R101" t="s">
        <v>7502</v>
      </c>
      <c r="S101" t="s">
        <v>11</v>
      </c>
      <c r="T101" t="s">
        <v>13</v>
      </c>
      <c r="U101" t="s">
        <v>75</v>
      </c>
      <c r="V101" t="s">
        <v>12</v>
      </c>
      <c r="X101" t="s">
        <v>7501</v>
      </c>
      <c r="Y101" t="s">
        <v>76</v>
      </c>
      <c r="Z101">
        <v>1</v>
      </c>
    </row>
    <row r="102" spans="1:26">
      <c r="A102" t="s">
        <v>726</v>
      </c>
      <c r="B102" t="s">
        <v>4609</v>
      </c>
      <c r="C102" t="s">
        <v>4610</v>
      </c>
      <c r="D102" t="s">
        <v>11</v>
      </c>
      <c r="E102" t="s">
        <v>13</v>
      </c>
      <c r="F102" t="s">
        <v>729</v>
      </c>
      <c r="G102" t="s">
        <v>12</v>
      </c>
      <c r="I102" t="s">
        <v>4609</v>
      </c>
      <c r="J102" t="s">
        <v>6406</v>
      </c>
      <c r="K102">
        <v>3.4024449064833311</v>
      </c>
      <c r="L102">
        <v>9.1749157591649699E-2</v>
      </c>
      <c r="M102">
        <v>567.87918085968511</v>
      </c>
      <c r="N102">
        <v>624.66709894565372</v>
      </c>
      <c r="P102" t="s">
        <v>726</v>
      </c>
      <c r="Q102" t="s">
        <v>7503</v>
      </c>
      <c r="R102" t="s">
        <v>7504</v>
      </c>
      <c r="S102" t="s">
        <v>11</v>
      </c>
      <c r="T102" t="s">
        <v>13</v>
      </c>
      <c r="U102" t="s">
        <v>75</v>
      </c>
      <c r="V102" t="s">
        <v>12</v>
      </c>
      <c r="X102" t="s">
        <v>7503</v>
      </c>
      <c r="Y102" t="s">
        <v>76</v>
      </c>
      <c r="Z102">
        <v>1</v>
      </c>
    </row>
    <row r="103" spans="1:26">
      <c r="A103" t="s">
        <v>726</v>
      </c>
      <c r="B103" t="s">
        <v>4611</v>
      </c>
      <c r="C103" t="s">
        <v>4612</v>
      </c>
      <c r="D103" t="s">
        <v>11</v>
      </c>
      <c r="E103" t="s">
        <v>13</v>
      </c>
      <c r="F103" t="s">
        <v>729</v>
      </c>
      <c r="G103" t="s">
        <v>12</v>
      </c>
      <c r="I103" t="s">
        <v>4611</v>
      </c>
      <c r="J103" t="s">
        <v>6407</v>
      </c>
      <c r="K103">
        <v>5.9974697942045623</v>
      </c>
      <c r="L103">
        <v>0.13825080340968121</v>
      </c>
      <c r="M103">
        <v>234.43892759510976</v>
      </c>
      <c r="N103">
        <v>257.88282035462078</v>
      </c>
      <c r="P103" t="s">
        <v>726</v>
      </c>
      <c r="Q103" t="s">
        <v>7505</v>
      </c>
      <c r="R103" t="s">
        <v>7506</v>
      </c>
      <c r="S103" t="s">
        <v>11</v>
      </c>
      <c r="T103" t="s">
        <v>13</v>
      </c>
      <c r="U103" t="s">
        <v>75</v>
      </c>
      <c r="V103" t="s">
        <v>12</v>
      </c>
      <c r="X103" t="s">
        <v>7505</v>
      </c>
      <c r="Y103" t="s">
        <v>76</v>
      </c>
      <c r="Z103">
        <v>1</v>
      </c>
    </row>
    <row r="104" spans="1:26">
      <c r="A104" t="s">
        <v>726</v>
      </c>
      <c r="B104" t="s">
        <v>4613</v>
      </c>
      <c r="C104" t="s">
        <v>4614</v>
      </c>
      <c r="D104" t="s">
        <v>11</v>
      </c>
      <c r="E104" t="s">
        <v>13</v>
      </c>
      <c r="F104" t="s">
        <v>729</v>
      </c>
      <c r="G104" t="s">
        <v>12</v>
      </c>
      <c r="I104" t="s">
        <v>4613</v>
      </c>
      <c r="J104" t="s">
        <v>6408</v>
      </c>
      <c r="K104">
        <v>9.3131982919303287</v>
      </c>
      <c r="L104">
        <v>0.22601784840641509</v>
      </c>
      <c r="M104">
        <v>242.03706183722659</v>
      </c>
      <c r="N104">
        <v>266.24076802094925</v>
      </c>
      <c r="P104" t="s">
        <v>726</v>
      </c>
      <c r="Q104" t="s">
        <v>7507</v>
      </c>
      <c r="R104" t="s">
        <v>7508</v>
      </c>
      <c r="S104" t="s">
        <v>11</v>
      </c>
      <c r="T104" t="s">
        <v>13</v>
      </c>
      <c r="U104" t="s">
        <v>75</v>
      </c>
      <c r="V104" t="s">
        <v>12</v>
      </c>
      <c r="X104" t="s">
        <v>7507</v>
      </c>
      <c r="Y104" t="s">
        <v>76</v>
      </c>
      <c r="Z104">
        <v>1</v>
      </c>
    </row>
    <row r="105" spans="1:26">
      <c r="A105" t="s">
        <v>726</v>
      </c>
      <c r="B105" t="s">
        <v>4615</v>
      </c>
      <c r="C105" t="s">
        <v>4616</v>
      </c>
      <c r="D105" t="s">
        <v>11</v>
      </c>
      <c r="E105" t="s">
        <v>13</v>
      </c>
      <c r="F105" t="s">
        <v>729</v>
      </c>
      <c r="G105" t="s">
        <v>12</v>
      </c>
      <c r="I105" t="s">
        <v>4615</v>
      </c>
      <c r="J105" t="s">
        <v>6409</v>
      </c>
      <c r="K105">
        <v>0.22875000000000001</v>
      </c>
      <c r="L105">
        <v>8.6675887566580997E-2</v>
      </c>
      <c r="M105">
        <v>131.99659790851908</v>
      </c>
      <c r="N105">
        <v>145.19625769937099</v>
      </c>
      <c r="P105" t="s">
        <v>726</v>
      </c>
      <c r="Q105" t="s">
        <v>7509</v>
      </c>
      <c r="R105" t="s">
        <v>7510</v>
      </c>
      <c r="S105" t="s">
        <v>11</v>
      </c>
      <c r="T105" t="s">
        <v>13</v>
      </c>
      <c r="U105" t="s">
        <v>75</v>
      </c>
      <c r="V105" t="s">
        <v>12</v>
      </c>
      <c r="X105" t="s">
        <v>7509</v>
      </c>
      <c r="Y105" t="s">
        <v>76</v>
      </c>
      <c r="Z105">
        <v>1</v>
      </c>
    </row>
    <row r="106" spans="1:26">
      <c r="A106" t="s">
        <v>726</v>
      </c>
      <c r="B106" t="s">
        <v>4617</v>
      </c>
      <c r="C106" t="s">
        <v>4618</v>
      </c>
      <c r="D106" t="s">
        <v>11</v>
      </c>
      <c r="E106" t="s">
        <v>13</v>
      </c>
      <c r="F106" t="s">
        <v>729</v>
      </c>
      <c r="G106" t="s">
        <v>12</v>
      </c>
      <c r="I106" t="s">
        <v>4617</v>
      </c>
      <c r="J106" t="s">
        <v>6410</v>
      </c>
      <c r="K106">
        <v>19.772984197950429</v>
      </c>
      <c r="L106">
        <v>0.30253311801863531</v>
      </c>
      <c r="M106">
        <v>233.052128955087</v>
      </c>
      <c r="N106">
        <v>256.35734185059573</v>
      </c>
      <c r="P106" t="s">
        <v>726</v>
      </c>
      <c r="Q106" t="s">
        <v>7511</v>
      </c>
      <c r="R106" t="s">
        <v>7512</v>
      </c>
      <c r="S106" t="s">
        <v>11</v>
      </c>
      <c r="T106" t="s">
        <v>13</v>
      </c>
      <c r="U106" t="s">
        <v>75</v>
      </c>
      <c r="V106" t="s">
        <v>12</v>
      </c>
      <c r="X106" t="s">
        <v>7511</v>
      </c>
      <c r="Y106" t="s">
        <v>76</v>
      </c>
      <c r="Z106">
        <v>1</v>
      </c>
    </row>
    <row r="107" spans="1:26">
      <c r="A107" t="s">
        <v>726</v>
      </c>
      <c r="B107" t="s">
        <v>4619</v>
      </c>
      <c r="C107" t="s">
        <v>4618</v>
      </c>
      <c r="D107" t="s">
        <v>11</v>
      </c>
      <c r="E107" t="s">
        <v>13</v>
      </c>
      <c r="F107" t="s">
        <v>729</v>
      </c>
      <c r="G107" t="s">
        <v>12</v>
      </c>
      <c r="I107" t="s">
        <v>4619</v>
      </c>
      <c r="J107" t="s">
        <v>6411</v>
      </c>
      <c r="K107">
        <v>13.457409061798792</v>
      </c>
      <c r="L107">
        <v>0.20579546230434989</v>
      </c>
      <c r="M107">
        <v>428.382425117872</v>
      </c>
      <c r="N107">
        <v>471.22066762965926</v>
      </c>
      <c r="P107" t="s">
        <v>726</v>
      </c>
      <c r="Q107" t="s">
        <v>7513</v>
      </c>
      <c r="R107" t="s">
        <v>7514</v>
      </c>
      <c r="S107" t="s">
        <v>11</v>
      </c>
      <c r="T107" t="s">
        <v>13</v>
      </c>
      <c r="U107" t="s">
        <v>75</v>
      </c>
      <c r="V107" t="s">
        <v>12</v>
      </c>
      <c r="X107" t="s">
        <v>7513</v>
      </c>
      <c r="Y107" t="s">
        <v>76</v>
      </c>
      <c r="Z107">
        <v>1</v>
      </c>
    </row>
    <row r="108" spans="1:26">
      <c r="A108" t="s">
        <v>726</v>
      </c>
      <c r="B108" t="s">
        <v>4620</v>
      </c>
      <c r="C108" t="s">
        <v>4621</v>
      </c>
      <c r="D108" t="s">
        <v>11</v>
      </c>
      <c r="E108" t="s">
        <v>13</v>
      </c>
      <c r="F108" t="s">
        <v>729</v>
      </c>
      <c r="G108" t="s">
        <v>12</v>
      </c>
      <c r="I108" t="s">
        <v>4620</v>
      </c>
      <c r="J108" t="s">
        <v>6412</v>
      </c>
      <c r="K108">
        <v>41.348522877949001</v>
      </c>
      <c r="L108">
        <v>0.1287178628709901</v>
      </c>
      <c r="M108">
        <v>145.48581392215598</v>
      </c>
      <c r="N108">
        <v>160.03439531437161</v>
      </c>
      <c r="P108" t="s">
        <v>726</v>
      </c>
      <c r="Q108" t="s">
        <v>7515</v>
      </c>
      <c r="R108" t="s">
        <v>7516</v>
      </c>
      <c r="S108" t="s">
        <v>11</v>
      </c>
      <c r="T108" t="s">
        <v>13</v>
      </c>
      <c r="U108" t="s">
        <v>75</v>
      </c>
      <c r="V108" t="s">
        <v>12</v>
      </c>
      <c r="X108" t="s">
        <v>7515</v>
      </c>
      <c r="Y108" t="s">
        <v>76</v>
      </c>
      <c r="Z108">
        <v>1</v>
      </c>
    </row>
    <row r="109" spans="1:26">
      <c r="A109" t="s">
        <v>726</v>
      </c>
      <c r="B109" t="s">
        <v>4622</v>
      </c>
      <c r="C109" t="s">
        <v>4623</v>
      </c>
      <c r="D109" t="s">
        <v>11</v>
      </c>
      <c r="E109" t="s">
        <v>13</v>
      </c>
      <c r="F109" t="s">
        <v>729</v>
      </c>
      <c r="G109" t="s">
        <v>12</v>
      </c>
      <c r="I109" t="s">
        <v>4622</v>
      </c>
      <c r="J109" t="s">
        <v>6413</v>
      </c>
      <c r="K109">
        <v>10.458210849190513</v>
      </c>
      <c r="L109">
        <v>0.18787106968386669</v>
      </c>
      <c r="M109">
        <v>43.32647515858104</v>
      </c>
      <c r="N109">
        <v>47.659122674439146</v>
      </c>
      <c r="P109" t="s">
        <v>726</v>
      </c>
      <c r="Q109" t="s">
        <v>7517</v>
      </c>
      <c r="R109" t="s">
        <v>7518</v>
      </c>
      <c r="S109" t="s">
        <v>11</v>
      </c>
      <c r="T109" t="s">
        <v>13</v>
      </c>
      <c r="U109" t="s">
        <v>75</v>
      </c>
      <c r="V109" t="s">
        <v>12</v>
      </c>
      <c r="X109" t="s">
        <v>7517</v>
      </c>
      <c r="Y109" t="s">
        <v>76</v>
      </c>
      <c r="Z109">
        <v>1</v>
      </c>
    </row>
    <row r="110" spans="1:26">
      <c r="A110" t="s">
        <v>726</v>
      </c>
      <c r="B110" t="s">
        <v>4624</v>
      </c>
      <c r="C110" t="s">
        <v>4625</v>
      </c>
      <c r="D110" t="s">
        <v>11</v>
      </c>
      <c r="E110" t="s">
        <v>13</v>
      </c>
      <c r="F110" t="s">
        <v>729</v>
      </c>
      <c r="G110" t="s">
        <v>12</v>
      </c>
      <c r="I110" t="s">
        <v>4624</v>
      </c>
      <c r="J110" t="s">
        <v>6414</v>
      </c>
      <c r="K110">
        <v>92.085928758754051</v>
      </c>
      <c r="L110">
        <v>0.29177981831233329</v>
      </c>
      <c r="M110">
        <v>63.53710033004382</v>
      </c>
      <c r="N110">
        <v>69.890810363048203</v>
      </c>
      <c r="P110" t="s">
        <v>726</v>
      </c>
      <c r="Q110" t="s">
        <v>7519</v>
      </c>
      <c r="R110" t="s">
        <v>7520</v>
      </c>
      <c r="S110" t="s">
        <v>11</v>
      </c>
      <c r="T110" t="s">
        <v>13</v>
      </c>
      <c r="U110" t="s">
        <v>75</v>
      </c>
      <c r="V110" t="s">
        <v>12</v>
      </c>
      <c r="X110" t="s">
        <v>7519</v>
      </c>
      <c r="Y110" t="s">
        <v>76</v>
      </c>
      <c r="Z110">
        <v>1</v>
      </c>
    </row>
    <row r="111" spans="1:26">
      <c r="A111" t="s">
        <v>726</v>
      </c>
      <c r="B111" t="s">
        <v>4626</v>
      </c>
      <c r="C111" t="s">
        <v>4627</v>
      </c>
      <c r="D111" t="s">
        <v>11</v>
      </c>
      <c r="E111" t="s">
        <v>13</v>
      </c>
      <c r="F111" t="s">
        <v>729</v>
      </c>
      <c r="G111" t="s">
        <v>12</v>
      </c>
      <c r="I111" t="s">
        <v>4626</v>
      </c>
      <c r="J111" t="s">
        <v>6415</v>
      </c>
      <c r="K111">
        <v>3.8585572344666921</v>
      </c>
      <c r="L111">
        <v>0.16269174726122049</v>
      </c>
      <c r="M111">
        <v>28.447104546387827</v>
      </c>
      <c r="N111">
        <v>31.291815001026613</v>
      </c>
      <c r="P111" t="s">
        <v>726</v>
      </c>
      <c r="Q111" t="s">
        <v>7521</v>
      </c>
      <c r="R111" t="s">
        <v>7522</v>
      </c>
      <c r="S111" t="s">
        <v>11</v>
      </c>
      <c r="T111" t="s">
        <v>13</v>
      </c>
      <c r="U111" t="s">
        <v>75</v>
      </c>
      <c r="V111" t="s">
        <v>12</v>
      </c>
      <c r="X111" t="s">
        <v>7521</v>
      </c>
      <c r="Y111" t="s">
        <v>76</v>
      </c>
      <c r="Z111">
        <v>1</v>
      </c>
    </row>
    <row r="112" spans="1:26">
      <c r="A112" t="s">
        <v>726</v>
      </c>
      <c r="B112" t="s">
        <v>4628</v>
      </c>
      <c r="C112" t="s">
        <v>4629</v>
      </c>
      <c r="D112" t="s">
        <v>11</v>
      </c>
      <c r="E112" t="s">
        <v>13</v>
      </c>
      <c r="F112" t="s">
        <v>729</v>
      </c>
      <c r="G112" t="s">
        <v>12</v>
      </c>
      <c r="I112" t="s">
        <v>4628</v>
      </c>
      <c r="J112" t="s">
        <v>6416</v>
      </c>
      <c r="K112">
        <v>7.9531713688684782</v>
      </c>
      <c r="L112">
        <v>0.1094364440650667</v>
      </c>
      <c r="M112">
        <v>45.476257420498648</v>
      </c>
      <c r="N112">
        <v>50.023883162548515</v>
      </c>
      <c r="P112" t="s">
        <v>726</v>
      </c>
      <c r="Q112" t="s">
        <v>7523</v>
      </c>
      <c r="R112" t="s">
        <v>7524</v>
      </c>
      <c r="S112" t="s">
        <v>11</v>
      </c>
      <c r="T112" t="s">
        <v>13</v>
      </c>
      <c r="U112" t="s">
        <v>75</v>
      </c>
      <c r="V112" t="s">
        <v>12</v>
      </c>
      <c r="X112" t="s">
        <v>7523</v>
      </c>
      <c r="Y112" t="s">
        <v>76</v>
      </c>
      <c r="Z112">
        <v>1</v>
      </c>
    </row>
    <row r="113" spans="1:26">
      <c r="A113" t="s">
        <v>726</v>
      </c>
      <c r="B113" t="s">
        <v>4630</v>
      </c>
      <c r="C113" t="s">
        <v>4631</v>
      </c>
      <c r="D113" t="s">
        <v>11</v>
      </c>
      <c r="E113" t="s">
        <v>13</v>
      </c>
      <c r="F113" t="s">
        <v>729</v>
      </c>
      <c r="G113" t="s">
        <v>12</v>
      </c>
      <c r="I113" t="s">
        <v>4630</v>
      </c>
      <c r="J113" t="s">
        <v>6417</v>
      </c>
      <c r="K113">
        <v>6.0678157413756395</v>
      </c>
      <c r="L113">
        <v>0.1025788996947528</v>
      </c>
      <c r="M113">
        <v>124.9285566921394</v>
      </c>
      <c r="N113">
        <v>137.42141236135333</v>
      </c>
      <c r="P113" t="s">
        <v>726</v>
      </c>
      <c r="Q113" t="s">
        <v>7525</v>
      </c>
      <c r="R113" t="s">
        <v>7526</v>
      </c>
      <c r="S113" t="s">
        <v>11</v>
      </c>
      <c r="T113" t="s">
        <v>13</v>
      </c>
      <c r="U113" t="s">
        <v>75</v>
      </c>
      <c r="V113" t="s">
        <v>12</v>
      </c>
      <c r="X113" t="s">
        <v>7525</v>
      </c>
      <c r="Y113" t="s">
        <v>76</v>
      </c>
      <c r="Z113">
        <v>1</v>
      </c>
    </row>
    <row r="114" spans="1:26">
      <c r="A114" t="s">
        <v>726</v>
      </c>
      <c r="B114" t="s">
        <v>4632</v>
      </c>
      <c r="C114" t="s">
        <v>4633</v>
      </c>
      <c r="D114" t="s">
        <v>11</v>
      </c>
      <c r="E114" t="s">
        <v>13</v>
      </c>
      <c r="F114" t="s">
        <v>729</v>
      </c>
      <c r="G114" t="s">
        <v>12</v>
      </c>
      <c r="I114" t="s">
        <v>4632</v>
      </c>
      <c r="J114" t="s">
        <v>6418</v>
      </c>
      <c r="K114">
        <v>15.764168740210764</v>
      </c>
      <c r="L114">
        <v>0.16579164644003089</v>
      </c>
      <c r="M114">
        <v>59.662256963894791</v>
      </c>
      <c r="N114">
        <v>65.628482660284277</v>
      </c>
      <c r="P114" t="s">
        <v>726</v>
      </c>
      <c r="Q114" t="s">
        <v>7527</v>
      </c>
      <c r="R114" t="s">
        <v>7528</v>
      </c>
      <c r="S114" t="s">
        <v>11</v>
      </c>
      <c r="T114" t="s">
        <v>13</v>
      </c>
      <c r="U114" t="s">
        <v>75</v>
      </c>
      <c r="V114" t="s">
        <v>12</v>
      </c>
      <c r="X114" t="s">
        <v>7527</v>
      </c>
      <c r="Y114" t="s">
        <v>76</v>
      </c>
      <c r="Z114">
        <v>1</v>
      </c>
    </row>
    <row r="115" spans="1:26">
      <c r="A115" t="s">
        <v>726</v>
      </c>
      <c r="B115" t="s">
        <v>4634</v>
      </c>
      <c r="C115" t="s">
        <v>4635</v>
      </c>
      <c r="D115" t="s">
        <v>11</v>
      </c>
      <c r="E115" t="s">
        <v>13</v>
      </c>
      <c r="F115" t="s">
        <v>729</v>
      </c>
      <c r="G115" t="s">
        <v>12</v>
      </c>
      <c r="I115" t="s">
        <v>4634</v>
      </c>
      <c r="J115" t="s">
        <v>6419</v>
      </c>
      <c r="K115">
        <v>131.68684239309897</v>
      </c>
      <c r="L115">
        <v>0.25576691002877749</v>
      </c>
      <c r="M115">
        <v>66.265713656414405</v>
      </c>
      <c r="N115">
        <v>72.892285022055859</v>
      </c>
      <c r="P115" t="s">
        <v>726</v>
      </c>
      <c r="Q115" t="s">
        <v>7529</v>
      </c>
      <c r="R115" t="s">
        <v>7530</v>
      </c>
      <c r="S115" t="s">
        <v>11</v>
      </c>
      <c r="T115" t="s">
        <v>13</v>
      </c>
      <c r="U115" t="s">
        <v>75</v>
      </c>
      <c r="V115" t="s">
        <v>12</v>
      </c>
      <c r="X115" t="s">
        <v>7529</v>
      </c>
      <c r="Y115" t="s">
        <v>76</v>
      </c>
      <c r="Z115">
        <v>1</v>
      </c>
    </row>
    <row r="116" spans="1:26">
      <c r="A116" t="s">
        <v>726</v>
      </c>
      <c r="B116" t="s">
        <v>4636</v>
      </c>
      <c r="C116" t="s">
        <v>4637</v>
      </c>
      <c r="D116" t="s">
        <v>11</v>
      </c>
      <c r="E116" t="s">
        <v>13</v>
      </c>
      <c r="F116" t="s">
        <v>729</v>
      </c>
      <c r="G116" t="s">
        <v>12</v>
      </c>
      <c r="I116" t="s">
        <v>4636</v>
      </c>
      <c r="J116" t="s">
        <v>6420</v>
      </c>
      <c r="K116">
        <v>9.4592519015087468</v>
      </c>
      <c r="L116">
        <v>0.16186950146168139</v>
      </c>
      <c r="M116">
        <v>80.443804397784163</v>
      </c>
      <c r="N116">
        <v>88.488184837562585</v>
      </c>
      <c r="P116" t="s">
        <v>726</v>
      </c>
      <c r="Q116" t="s">
        <v>7531</v>
      </c>
      <c r="R116" t="s">
        <v>7532</v>
      </c>
      <c r="S116" t="s">
        <v>11</v>
      </c>
      <c r="T116" t="s">
        <v>13</v>
      </c>
      <c r="U116" t="s">
        <v>75</v>
      </c>
      <c r="V116" t="s">
        <v>12</v>
      </c>
      <c r="X116" t="s">
        <v>7531</v>
      </c>
      <c r="Y116" t="s">
        <v>76</v>
      </c>
      <c r="Z116">
        <v>1</v>
      </c>
    </row>
    <row r="117" spans="1:26">
      <c r="A117" t="s">
        <v>726</v>
      </c>
      <c r="B117" t="s">
        <v>4638</v>
      </c>
      <c r="C117" t="s">
        <v>4639</v>
      </c>
      <c r="D117" t="s">
        <v>11</v>
      </c>
      <c r="E117" t="s">
        <v>13</v>
      </c>
      <c r="F117" t="s">
        <v>729</v>
      </c>
      <c r="G117" t="s">
        <v>12</v>
      </c>
      <c r="I117" t="s">
        <v>4638</v>
      </c>
      <c r="J117" t="s">
        <v>6421</v>
      </c>
      <c r="K117">
        <v>77.31437451541349</v>
      </c>
      <c r="L117">
        <v>0.27148452757352498</v>
      </c>
      <c r="M117">
        <v>42.404125056085277</v>
      </c>
      <c r="N117">
        <v>46.644537561693809</v>
      </c>
      <c r="P117" t="s">
        <v>726</v>
      </c>
      <c r="Q117" t="s">
        <v>7533</v>
      </c>
      <c r="R117" t="s">
        <v>7534</v>
      </c>
      <c r="S117" t="s">
        <v>11</v>
      </c>
      <c r="T117" t="s">
        <v>13</v>
      </c>
      <c r="U117" t="s">
        <v>75</v>
      </c>
      <c r="V117" t="s">
        <v>12</v>
      </c>
      <c r="X117" t="s">
        <v>7533</v>
      </c>
      <c r="Y117" t="s">
        <v>76</v>
      </c>
      <c r="Z117">
        <v>1</v>
      </c>
    </row>
    <row r="118" spans="1:26">
      <c r="A118" t="s">
        <v>726</v>
      </c>
      <c r="B118" t="s">
        <v>4640</v>
      </c>
      <c r="C118" t="s">
        <v>4641</v>
      </c>
      <c r="D118" t="s">
        <v>11</v>
      </c>
      <c r="E118" t="s">
        <v>13</v>
      </c>
      <c r="F118" t="s">
        <v>729</v>
      </c>
      <c r="G118" t="s">
        <v>12</v>
      </c>
      <c r="I118" t="s">
        <v>4640</v>
      </c>
      <c r="J118" t="s">
        <v>6422</v>
      </c>
      <c r="K118">
        <v>14.176079891703212</v>
      </c>
      <c r="L118">
        <v>0.1221312754027454</v>
      </c>
      <c r="M118">
        <v>141.34296061322792</v>
      </c>
      <c r="N118">
        <v>155.47725667455072</v>
      </c>
      <c r="P118" t="s">
        <v>726</v>
      </c>
      <c r="Q118" t="s">
        <v>7535</v>
      </c>
      <c r="R118" t="s">
        <v>7536</v>
      </c>
      <c r="S118" t="s">
        <v>11</v>
      </c>
      <c r="T118" t="s">
        <v>13</v>
      </c>
      <c r="U118" t="s">
        <v>75</v>
      </c>
      <c r="V118" t="s">
        <v>12</v>
      </c>
      <c r="X118" t="s">
        <v>7535</v>
      </c>
      <c r="Y118" t="s">
        <v>76</v>
      </c>
      <c r="Z118">
        <v>1</v>
      </c>
    </row>
    <row r="119" spans="1:26">
      <c r="A119" t="s">
        <v>726</v>
      </c>
      <c r="B119" t="s">
        <v>4642</v>
      </c>
      <c r="C119" t="s">
        <v>4643</v>
      </c>
      <c r="D119" t="s">
        <v>11</v>
      </c>
      <c r="E119" t="s">
        <v>13</v>
      </c>
      <c r="F119" t="s">
        <v>729</v>
      </c>
      <c r="G119" t="s">
        <v>12</v>
      </c>
      <c r="I119" t="s">
        <v>4642</v>
      </c>
      <c r="J119" t="s">
        <v>6423</v>
      </c>
      <c r="K119">
        <v>6.8286398722347457</v>
      </c>
      <c r="L119">
        <v>0.14969552994026999</v>
      </c>
      <c r="M119">
        <v>54.906203472638651</v>
      </c>
      <c r="N119">
        <v>60.396823819902522</v>
      </c>
      <c r="P119" t="s">
        <v>726</v>
      </c>
      <c r="Q119" t="s">
        <v>7537</v>
      </c>
      <c r="R119" t="s">
        <v>7538</v>
      </c>
      <c r="S119" t="s">
        <v>11</v>
      </c>
      <c r="T119" t="s">
        <v>13</v>
      </c>
      <c r="U119" t="s">
        <v>75</v>
      </c>
      <c r="V119" t="s">
        <v>12</v>
      </c>
      <c r="X119" t="s">
        <v>7537</v>
      </c>
      <c r="Y119" t="s">
        <v>76</v>
      </c>
      <c r="Z119">
        <v>1</v>
      </c>
    </row>
    <row r="120" spans="1:26">
      <c r="A120" t="s">
        <v>726</v>
      </c>
      <c r="B120" t="s">
        <v>4644</v>
      </c>
      <c r="C120" t="s">
        <v>4645</v>
      </c>
      <c r="D120" t="s">
        <v>11</v>
      </c>
      <c r="E120" t="s">
        <v>13</v>
      </c>
      <c r="F120" t="s">
        <v>729</v>
      </c>
      <c r="G120" t="s">
        <v>12</v>
      </c>
      <c r="I120" t="s">
        <v>4644</v>
      </c>
      <c r="J120" t="s">
        <v>6424</v>
      </c>
      <c r="K120">
        <v>18.122560659528251</v>
      </c>
      <c r="L120">
        <v>0.1138994690372528</v>
      </c>
      <c r="M120">
        <v>181.19957442434091</v>
      </c>
      <c r="N120">
        <v>199.31953186677501</v>
      </c>
      <c r="P120" t="s">
        <v>726</v>
      </c>
      <c r="Q120" t="s">
        <v>7539</v>
      </c>
      <c r="R120" t="s">
        <v>7540</v>
      </c>
      <c r="S120" t="s">
        <v>11</v>
      </c>
      <c r="T120" t="s">
        <v>13</v>
      </c>
      <c r="U120" t="s">
        <v>75</v>
      </c>
      <c r="V120" t="s">
        <v>12</v>
      </c>
      <c r="X120" t="s">
        <v>7539</v>
      </c>
      <c r="Y120" t="s">
        <v>76</v>
      </c>
      <c r="Z120">
        <v>1</v>
      </c>
    </row>
    <row r="121" spans="1:26">
      <c r="A121" t="s">
        <v>726</v>
      </c>
      <c r="B121" t="s">
        <v>4646</v>
      </c>
      <c r="C121" t="s">
        <v>4647</v>
      </c>
      <c r="D121" t="s">
        <v>11</v>
      </c>
      <c r="E121" t="s">
        <v>13</v>
      </c>
      <c r="F121" t="s">
        <v>729</v>
      </c>
      <c r="G121" t="s">
        <v>12</v>
      </c>
      <c r="I121" t="s">
        <v>4646</v>
      </c>
      <c r="J121" t="s">
        <v>6425</v>
      </c>
      <c r="K121">
        <v>73.059508450999374</v>
      </c>
      <c r="L121">
        <v>0.21100567791605121</v>
      </c>
      <c r="M121">
        <v>119.92120659362352</v>
      </c>
      <c r="N121">
        <v>131.91332725298588</v>
      </c>
      <c r="P121" t="s">
        <v>726</v>
      </c>
      <c r="Q121" t="s">
        <v>7541</v>
      </c>
      <c r="R121" t="s">
        <v>7542</v>
      </c>
      <c r="S121" t="s">
        <v>11</v>
      </c>
      <c r="T121" t="s">
        <v>13</v>
      </c>
      <c r="U121" t="s">
        <v>75</v>
      </c>
      <c r="V121" t="s">
        <v>12</v>
      </c>
      <c r="X121" t="s">
        <v>7541</v>
      </c>
      <c r="Y121" t="s">
        <v>76</v>
      </c>
      <c r="Z121">
        <v>1</v>
      </c>
    </row>
    <row r="122" spans="1:26">
      <c r="A122" t="s">
        <v>726</v>
      </c>
      <c r="B122" t="s">
        <v>4648</v>
      </c>
      <c r="C122" t="s">
        <v>4649</v>
      </c>
      <c r="D122" t="s">
        <v>11</v>
      </c>
      <c r="E122" t="s">
        <v>13</v>
      </c>
      <c r="F122" t="s">
        <v>729</v>
      </c>
      <c r="G122" t="s">
        <v>12</v>
      </c>
      <c r="I122" t="s">
        <v>4648</v>
      </c>
      <c r="J122" t="s">
        <v>6426</v>
      </c>
      <c r="K122">
        <v>52.731968973998853</v>
      </c>
      <c r="L122">
        <v>0.1294315727253898</v>
      </c>
      <c r="M122">
        <v>92.705186601492201</v>
      </c>
      <c r="N122">
        <v>101.97570526164142</v>
      </c>
      <c r="P122" t="s">
        <v>726</v>
      </c>
      <c r="Q122" t="s">
        <v>7543</v>
      </c>
      <c r="R122" t="s">
        <v>7544</v>
      </c>
      <c r="S122" t="s">
        <v>11</v>
      </c>
      <c r="T122" t="s">
        <v>13</v>
      </c>
      <c r="U122" t="s">
        <v>75</v>
      </c>
      <c r="V122" t="s">
        <v>12</v>
      </c>
      <c r="X122" t="s">
        <v>7543</v>
      </c>
      <c r="Y122" t="s">
        <v>76</v>
      </c>
      <c r="Z122">
        <v>1</v>
      </c>
    </row>
    <row r="123" spans="1:26">
      <c r="A123" t="s">
        <v>726</v>
      </c>
      <c r="B123" t="s">
        <v>4650</v>
      </c>
      <c r="C123" t="s">
        <v>4651</v>
      </c>
      <c r="D123" t="s">
        <v>11</v>
      </c>
      <c r="E123" t="s">
        <v>13</v>
      </c>
      <c r="F123" t="s">
        <v>729</v>
      </c>
      <c r="G123" t="s">
        <v>12</v>
      </c>
      <c r="I123" t="s">
        <v>4650</v>
      </c>
      <c r="J123" t="s">
        <v>6427</v>
      </c>
      <c r="K123">
        <v>11.144459756824711</v>
      </c>
      <c r="L123">
        <v>9.5273918844785199E-2</v>
      </c>
      <c r="M123">
        <v>48.212325830410492</v>
      </c>
      <c r="N123">
        <v>53.033558413451544</v>
      </c>
      <c r="P123" t="s">
        <v>726</v>
      </c>
      <c r="Q123" t="s">
        <v>7545</v>
      </c>
      <c r="R123" t="s">
        <v>7546</v>
      </c>
      <c r="S123" t="s">
        <v>11</v>
      </c>
      <c r="T123" t="s">
        <v>13</v>
      </c>
      <c r="U123" t="s">
        <v>75</v>
      </c>
      <c r="V123" t="s">
        <v>12</v>
      </c>
      <c r="X123" t="s">
        <v>7545</v>
      </c>
      <c r="Y123" t="s">
        <v>76</v>
      </c>
      <c r="Z123">
        <v>1</v>
      </c>
    </row>
    <row r="124" spans="1:26">
      <c r="A124" t="s">
        <v>726</v>
      </c>
      <c r="B124" t="s">
        <v>4652</v>
      </c>
      <c r="C124" t="s">
        <v>4653</v>
      </c>
      <c r="D124" t="s">
        <v>11</v>
      </c>
      <c r="E124" t="s">
        <v>13</v>
      </c>
      <c r="F124" t="s">
        <v>729</v>
      </c>
      <c r="G124" t="s">
        <v>12</v>
      </c>
      <c r="I124" t="s">
        <v>4652</v>
      </c>
      <c r="J124" t="s">
        <v>6428</v>
      </c>
      <c r="K124">
        <v>103.56605517656936</v>
      </c>
      <c r="L124">
        <v>0.3429572994695283</v>
      </c>
      <c r="M124">
        <v>411.32466000329919</v>
      </c>
      <c r="N124">
        <v>452.45712600362913</v>
      </c>
      <c r="P124" t="s">
        <v>726</v>
      </c>
      <c r="Q124" t="s">
        <v>7547</v>
      </c>
      <c r="R124" t="s">
        <v>7548</v>
      </c>
      <c r="S124" t="s">
        <v>11</v>
      </c>
      <c r="T124" t="s">
        <v>13</v>
      </c>
      <c r="U124" t="s">
        <v>75</v>
      </c>
      <c r="V124" t="s">
        <v>12</v>
      </c>
      <c r="X124" t="s">
        <v>7547</v>
      </c>
      <c r="Y124" t="s">
        <v>76</v>
      </c>
      <c r="Z124">
        <v>1</v>
      </c>
    </row>
    <row r="125" spans="1:26">
      <c r="A125" t="s">
        <v>726</v>
      </c>
      <c r="B125" t="s">
        <v>4654</v>
      </c>
      <c r="C125" t="s">
        <v>4655</v>
      </c>
      <c r="D125" t="s">
        <v>11</v>
      </c>
      <c r="E125" t="s">
        <v>13</v>
      </c>
      <c r="F125" t="s">
        <v>729</v>
      </c>
      <c r="G125" t="s">
        <v>12</v>
      </c>
      <c r="I125" t="s">
        <v>4654</v>
      </c>
      <c r="J125" t="s">
        <v>6429</v>
      </c>
      <c r="K125">
        <v>23.722299565515918</v>
      </c>
      <c r="L125">
        <v>0.26684688196762307</v>
      </c>
      <c r="M125">
        <v>119.55798141439934</v>
      </c>
      <c r="N125">
        <v>131.51377955583928</v>
      </c>
      <c r="P125" t="s">
        <v>726</v>
      </c>
      <c r="Q125" t="s">
        <v>7549</v>
      </c>
      <c r="R125" t="s">
        <v>7550</v>
      </c>
      <c r="S125" t="s">
        <v>11</v>
      </c>
      <c r="T125" t="s">
        <v>13</v>
      </c>
      <c r="U125" t="s">
        <v>75</v>
      </c>
      <c r="V125" t="s">
        <v>12</v>
      </c>
      <c r="X125" t="s">
        <v>7549</v>
      </c>
      <c r="Y125" t="s">
        <v>76</v>
      </c>
      <c r="Z125">
        <v>1</v>
      </c>
    </row>
    <row r="126" spans="1:26">
      <c r="A126" t="s">
        <v>726</v>
      </c>
      <c r="B126" t="s">
        <v>4656</v>
      </c>
      <c r="C126" t="s">
        <v>4657</v>
      </c>
      <c r="D126" t="s">
        <v>11</v>
      </c>
      <c r="E126" t="s">
        <v>13</v>
      </c>
      <c r="F126" t="s">
        <v>729</v>
      </c>
      <c r="G126" t="s">
        <v>12</v>
      </c>
      <c r="I126" t="s">
        <v>4656</v>
      </c>
      <c r="J126" t="s">
        <v>6430</v>
      </c>
      <c r="K126">
        <v>17.815409178179841</v>
      </c>
      <c r="L126">
        <v>0.2324582424497772</v>
      </c>
      <c r="M126">
        <v>74.4449224033946</v>
      </c>
      <c r="N126">
        <v>81.889414643734071</v>
      </c>
      <c r="P126" t="s">
        <v>726</v>
      </c>
      <c r="Q126" t="s">
        <v>7551</v>
      </c>
      <c r="R126" t="s">
        <v>7552</v>
      </c>
      <c r="S126" t="s">
        <v>11</v>
      </c>
      <c r="T126" t="s">
        <v>13</v>
      </c>
      <c r="U126" t="s">
        <v>75</v>
      </c>
      <c r="V126" t="s">
        <v>12</v>
      </c>
      <c r="X126" t="s">
        <v>7551</v>
      </c>
      <c r="Y126" t="s">
        <v>76</v>
      </c>
      <c r="Z126">
        <v>1</v>
      </c>
    </row>
    <row r="127" spans="1:26">
      <c r="A127" t="s">
        <v>726</v>
      </c>
      <c r="B127" t="s">
        <v>4658</v>
      </c>
      <c r="C127" t="s">
        <v>4659</v>
      </c>
      <c r="D127" t="s">
        <v>11</v>
      </c>
      <c r="E127" t="s">
        <v>13</v>
      </c>
      <c r="F127" t="s">
        <v>729</v>
      </c>
      <c r="G127" t="s">
        <v>12</v>
      </c>
      <c r="I127" t="s">
        <v>4658</v>
      </c>
      <c r="J127" t="s">
        <v>6431</v>
      </c>
      <c r="K127">
        <v>13.55969576240636</v>
      </c>
      <c r="L127">
        <v>0.25644697073746481</v>
      </c>
      <c r="M127">
        <v>77.503278737000358</v>
      </c>
      <c r="N127">
        <v>85.253606610700402</v>
      </c>
      <c r="P127" t="s">
        <v>726</v>
      </c>
      <c r="Q127" t="s">
        <v>7553</v>
      </c>
      <c r="R127" t="s">
        <v>7554</v>
      </c>
      <c r="S127" t="s">
        <v>11</v>
      </c>
      <c r="T127" t="s">
        <v>13</v>
      </c>
      <c r="U127" t="s">
        <v>75</v>
      </c>
      <c r="V127" t="s">
        <v>12</v>
      </c>
      <c r="X127" t="s">
        <v>7553</v>
      </c>
      <c r="Y127" t="s">
        <v>76</v>
      </c>
      <c r="Z127">
        <v>1</v>
      </c>
    </row>
    <row r="128" spans="1:26">
      <c r="A128" t="s">
        <v>726</v>
      </c>
      <c r="B128" t="s">
        <v>4660</v>
      </c>
      <c r="C128" t="s">
        <v>4661</v>
      </c>
      <c r="D128" t="s">
        <v>11</v>
      </c>
      <c r="E128" t="s">
        <v>13</v>
      </c>
      <c r="F128" t="s">
        <v>729</v>
      </c>
      <c r="G128" t="s">
        <v>12</v>
      </c>
      <c r="I128" t="s">
        <v>4660</v>
      </c>
      <c r="J128" t="s">
        <v>6432</v>
      </c>
      <c r="K128">
        <v>53.928741985967953</v>
      </c>
      <c r="L128">
        <v>0.30666011777738289</v>
      </c>
      <c r="M128">
        <v>120.69719298346898</v>
      </c>
      <c r="N128">
        <v>132.76691228181588</v>
      </c>
      <c r="P128" t="s">
        <v>726</v>
      </c>
      <c r="Q128" t="s">
        <v>7555</v>
      </c>
      <c r="R128" t="s">
        <v>7556</v>
      </c>
      <c r="S128" t="s">
        <v>11</v>
      </c>
      <c r="T128" t="s">
        <v>13</v>
      </c>
      <c r="U128" t="s">
        <v>75</v>
      </c>
      <c r="V128" t="s">
        <v>12</v>
      </c>
      <c r="X128" t="s">
        <v>7555</v>
      </c>
      <c r="Y128" t="s">
        <v>76</v>
      </c>
      <c r="Z128">
        <v>1</v>
      </c>
    </row>
    <row r="129" spans="1:26">
      <c r="A129" t="s">
        <v>726</v>
      </c>
      <c r="B129" t="s">
        <v>4662</v>
      </c>
      <c r="C129" t="s">
        <v>4663</v>
      </c>
      <c r="D129" t="s">
        <v>11</v>
      </c>
      <c r="E129" t="s">
        <v>13</v>
      </c>
      <c r="F129" t="s">
        <v>729</v>
      </c>
      <c r="G129" t="s">
        <v>12</v>
      </c>
      <c r="I129" t="s">
        <v>4662</v>
      </c>
      <c r="J129" t="s">
        <v>6433</v>
      </c>
      <c r="K129">
        <v>44.186270486253498</v>
      </c>
      <c r="L129">
        <v>0.18366313173576251</v>
      </c>
      <c r="M129">
        <v>177.2181945458525</v>
      </c>
      <c r="N129">
        <v>194.94001400043777</v>
      </c>
      <c r="P129" t="s">
        <v>726</v>
      </c>
      <c r="Q129" t="s">
        <v>7557</v>
      </c>
      <c r="R129" t="s">
        <v>7558</v>
      </c>
      <c r="S129" t="s">
        <v>11</v>
      </c>
      <c r="T129" t="s">
        <v>13</v>
      </c>
      <c r="U129" t="s">
        <v>75</v>
      </c>
      <c r="V129" t="s">
        <v>12</v>
      </c>
      <c r="X129" t="s">
        <v>7557</v>
      </c>
      <c r="Y129" t="s">
        <v>76</v>
      </c>
      <c r="Z129">
        <v>1</v>
      </c>
    </row>
    <row r="130" spans="1:26">
      <c r="A130" t="s">
        <v>726</v>
      </c>
      <c r="B130" t="s">
        <v>4664</v>
      </c>
      <c r="C130" t="s">
        <v>4665</v>
      </c>
      <c r="D130" t="s">
        <v>11</v>
      </c>
      <c r="E130" t="s">
        <v>13</v>
      </c>
      <c r="F130" t="s">
        <v>729</v>
      </c>
      <c r="G130" t="s">
        <v>12</v>
      </c>
      <c r="I130" t="s">
        <v>4664</v>
      </c>
      <c r="J130" t="s">
        <v>6434</v>
      </c>
      <c r="K130">
        <v>59.77401413793379</v>
      </c>
      <c r="L130">
        <v>0.25929991322831308</v>
      </c>
      <c r="M130">
        <v>312.95762398893515</v>
      </c>
      <c r="N130">
        <v>344.2533863878287</v>
      </c>
      <c r="P130" t="s">
        <v>726</v>
      </c>
      <c r="Q130" t="s">
        <v>7559</v>
      </c>
      <c r="R130" t="s">
        <v>7560</v>
      </c>
      <c r="S130" t="s">
        <v>11</v>
      </c>
      <c r="T130" t="s">
        <v>13</v>
      </c>
      <c r="U130" t="s">
        <v>75</v>
      </c>
      <c r="V130" t="s">
        <v>12</v>
      </c>
      <c r="X130" t="s">
        <v>7559</v>
      </c>
      <c r="Y130" t="s">
        <v>76</v>
      </c>
      <c r="Z130">
        <v>1</v>
      </c>
    </row>
    <row r="131" spans="1:26">
      <c r="A131" t="s">
        <v>726</v>
      </c>
      <c r="B131" t="s">
        <v>4666</v>
      </c>
      <c r="C131" t="s">
        <v>4663</v>
      </c>
      <c r="D131" t="s">
        <v>11</v>
      </c>
      <c r="E131" t="s">
        <v>13</v>
      </c>
      <c r="F131" t="s">
        <v>729</v>
      </c>
      <c r="G131" t="s">
        <v>12</v>
      </c>
      <c r="I131" t="s">
        <v>4666</v>
      </c>
      <c r="J131" t="s">
        <v>6435</v>
      </c>
      <c r="K131">
        <v>33.774720880071733</v>
      </c>
      <c r="L131">
        <v>0.2078228607622849</v>
      </c>
      <c r="M131">
        <v>195.76061411695756</v>
      </c>
      <c r="N131">
        <v>215.33667552865333</v>
      </c>
      <c r="P131" t="s">
        <v>726</v>
      </c>
      <c r="Q131" t="s">
        <v>7561</v>
      </c>
      <c r="R131" t="s">
        <v>7562</v>
      </c>
      <c r="S131" t="s">
        <v>11</v>
      </c>
      <c r="T131" t="s">
        <v>13</v>
      </c>
      <c r="U131" t="s">
        <v>75</v>
      </c>
      <c r="V131" t="s">
        <v>12</v>
      </c>
      <c r="X131" t="s">
        <v>7561</v>
      </c>
      <c r="Y131" t="s">
        <v>76</v>
      </c>
      <c r="Z131">
        <v>1</v>
      </c>
    </row>
    <row r="132" spans="1:26">
      <c r="A132" t="s">
        <v>726</v>
      </c>
      <c r="B132" t="s">
        <v>4667</v>
      </c>
      <c r="C132" t="s">
        <v>4665</v>
      </c>
      <c r="D132" t="s">
        <v>11</v>
      </c>
      <c r="E132" t="s">
        <v>13</v>
      </c>
      <c r="F132" t="s">
        <v>729</v>
      </c>
      <c r="G132" t="s">
        <v>12</v>
      </c>
      <c r="I132" t="s">
        <v>4667</v>
      </c>
      <c r="J132" t="s">
        <v>6436</v>
      </c>
      <c r="K132">
        <v>47.418277988050228</v>
      </c>
      <c r="L132">
        <v>0.25887426560627941</v>
      </c>
      <c r="M132">
        <v>197.09653913812329</v>
      </c>
      <c r="N132">
        <v>216.80619305193565</v>
      </c>
      <c r="P132" t="s">
        <v>726</v>
      </c>
      <c r="Q132" t="s">
        <v>7563</v>
      </c>
      <c r="R132" t="s">
        <v>7564</v>
      </c>
      <c r="S132" t="s">
        <v>11</v>
      </c>
      <c r="T132" t="s">
        <v>13</v>
      </c>
      <c r="U132" t="s">
        <v>75</v>
      </c>
      <c r="V132" t="s">
        <v>12</v>
      </c>
      <c r="X132" t="s">
        <v>7563</v>
      </c>
      <c r="Y132" t="s">
        <v>76</v>
      </c>
      <c r="Z132">
        <v>1</v>
      </c>
    </row>
    <row r="133" spans="1:26">
      <c r="A133" t="s">
        <v>726</v>
      </c>
      <c r="B133" t="s">
        <v>4668</v>
      </c>
      <c r="C133" t="s">
        <v>4669</v>
      </c>
      <c r="D133" t="s">
        <v>11</v>
      </c>
      <c r="E133" t="s">
        <v>13</v>
      </c>
      <c r="F133" t="s">
        <v>729</v>
      </c>
      <c r="G133" t="s">
        <v>12</v>
      </c>
      <c r="I133" t="s">
        <v>4668</v>
      </c>
      <c r="J133" t="s">
        <v>6437</v>
      </c>
      <c r="K133">
        <v>10.729202348860111</v>
      </c>
      <c r="L133">
        <v>0.1812106408344934</v>
      </c>
      <c r="M133">
        <v>556.02422836264248</v>
      </c>
      <c r="N133">
        <v>611.62665119890676</v>
      </c>
      <c r="P133" t="s">
        <v>726</v>
      </c>
      <c r="Q133" t="s">
        <v>7565</v>
      </c>
      <c r="R133" t="s">
        <v>7566</v>
      </c>
      <c r="S133" t="s">
        <v>11</v>
      </c>
      <c r="T133" t="s">
        <v>13</v>
      </c>
      <c r="U133" t="s">
        <v>75</v>
      </c>
      <c r="V133" t="s">
        <v>12</v>
      </c>
      <c r="X133" t="s">
        <v>7565</v>
      </c>
      <c r="Y133" t="s">
        <v>76</v>
      </c>
      <c r="Z133">
        <v>1</v>
      </c>
    </row>
    <row r="134" spans="1:26">
      <c r="A134" t="s">
        <v>726</v>
      </c>
      <c r="B134" t="s">
        <v>4670</v>
      </c>
      <c r="C134" t="s">
        <v>4671</v>
      </c>
      <c r="D134" t="s">
        <v>11</v>
      </c>
      <c r="E134" t="s">
        <v>13</v>
      </c>
      <c r="F134" t="s">
        <v>729</v>
      </c>
      <c r="G134" t="s">
        <v>12</v>
      </c>
      <c r="I134" t="s">
        <v>4670</v>
      </c>
      <c r="J134" t="s">
        <v>6438</v>
      </c>
      <c r="K134">
        <v>0.23673898589732864</v>
      </c>
      <c r="L134">
        <v>0.1079704390978799</v>
      </c>
      <c r="M134">
        <v>405.77131267550288</v>
      </c>
      <c r="N134">
        <v>446.34844394305321</v>
      </c>
      <c r="P134" t="s">
        <v>726</v>
      </c>
      <c r="Q134" t="s">
        <v>7567</v>
      </c>
      <c r="R134" t="s">
        <v>7568</v>
      </c>
      <c r="S134" t="s">
        <v>11</v>
      </c>
      <c r="T134" t="s">
        <v>13</v>
      </c>
      <c r="U134" t="s">
        <v>75</v>
      </c>
      <c r="V134" t="s">
        <v>12</v>
      </c>
      <c r="X134" t="s">
        <v>7567</v>
      </c>
      <c r="Y134" t="s">
        <v>76</v>
      </c>
      <c r="Z134">
        <v>1</v>
      </c>
    </row>
    <row r="135" spans="1:26">
      <c r="A135" t="s">
        <v>726</v>
      </c>
      <c r="B135" t="s">
        <v>4672</v>
      </c>
      <c r="C135" t="s">
        <v>4673</v>
      </c>
      <c r="D135" t="s">
        <v>11</v>
      </c>
      <c r="E135" t="s">
        <v>13</v>
      </c>
      <c r="F135" t="s">
        <v>729</v>
      </c>
      <c r="G135" t="s">
        <v>12</v>
      </c>
      <c r="I135" t="s">
        <v>4672</v>
      </c>
      <c r="J135" t="s">
        <v>6439</v>
      </c>
      <c r="K135">
        <v>10.620342476861058</v>
      </c>
      <c r="L135">
        <v>0.1396640924309637</v>
      </c>
      <c r="M135">
        <v>488.355085289275</v>
      </c>
      <c r="N135">
        <v>537.1905938182025</v>
      </c>
      <c r="P135" t="s">
        <v>726</v>
      </c>
      <c r="Q135" t="s">
        <v>7569</v>
      </c>
      <c r="R135" t="s">
        <v>7570</v>
      </c>
      <c r="S135" t="s">
        <v>11</v>
      </c>
      <c r="T135" t="s">
        <v>13</v>
      </c>
      <c r="U135" t="s">
        <v>75</v>
      </c>
      <c r="V135" t="s">
        <v>12</v>
      </c>
      <c r="X135" t="s">
        <v>7569</v>
      </c>
      <c r="Y135" t="s">
        <v>76</v>
      </c>
      <c r="Z135">
        <v>1</v>
      </c>
    </row>
    <row r="136" spans="1:26">
      <c r="A136" t="s">
        <v>726</v>
      </c>
      <c r="B136" t="s">
        <v>4674</v>
      </c>
      <c r="C136" t="s">
        <v>4675</v>
      </c>
      <c r="D136" t="s">
        <v>11</v>
      </c>
      <c r="E136" t="s">
        <v>13</v>
      </c>
      <c r="F136" t="s">
        <v>729</v>
      </c>
      <c r="G136" t="s">
        <v>12</v>
      </c>
      <c r="I136" t="s">
        <v>4674</v>
      </c>
      <c r="J136" t="s">
        <v>6440</v>
      </c>
      <c r="K136">
        <v>119.3099513095798</v>
      </c>
      <c r="L136">
        <v>0.33874584633274829</v>
      </c>
      <c r="M136">
        <v>253.78467347550219</v>
      </c>
      <c r="N136">
        <v>279.1631408230524</v>
      </c>
      <c r="P136" t="s">
        <v>726</v>
      </c>
      <c r="Q136" t="s">
        <v>7571</v>
      </c>
      <c r="R136" t="s">
        <v>7572</v>
      </c>
      <c r="S136" t="s">
        <v>11</v>
      </c>
      <c r="T136" t="s">
        <v>13</v>
      </c>
      <c r="U136" t="s">
        <v>75</v>
      </c>
      <c r="V136" t="s">
        <v>12</v>
      </c>
      <c r="X136" t="s">
        <v>7571</v>
      </c>
      <c r="Y136" t="s">
        <v>76</v>
      </c>
      <c r="Z136">
        <v>1</v>
      </c>
    </row>
    <row r="137" spans="1:26">
      <c r="A137" t="s">
        <v>726</v>
      </c>
      <c r="B137" t="s">
        <v>4676</v>
      </c>
      <c r="C137" t="s">
        <v>4677</v>
      </c>
      <c r="D137" t="s">
        <v>11</v>
      </c>
      <c r="E137" t="s">
        <v>13</v>
      </c>
      <c r="F137" t="s">
        <v>729</v>
      </c>
      <c r="G137" t="s">
        <v>12</v>
      </c>
      <c r="I137" t="s">
        <v>4676</v>
      </c>
      <c r="J137" t="s">
        <v>6441</v>
      </c>
      <c r="K137">
        <v>0.91003735304182842</v>
      </c>
      <c r="L137">
        <v>0.1408997572951646</v>
      </c>
      <c r="M137">
        <v>524.28277952729002</v>
      </c>
      <c r="N137">
        <v>576.71105748001912</v>
      </c>
      <c r="P137" t="s">
        <v>726</v>
      </c>
      <c r="Q137" t="s">
        <v>7573</v>
      </c>
      <c r="R137" t="s">
        <v>7574</v>
      </c>
      <c r="S137" t="s">
        <v>11</v>
      </c>
      <c r="T137" t="s">
        <v>13</v>
      </c>
      <c r="U137" t="s">
        <v>75</v>
      </c>
      <c r="V137" t="s">
        <v>12</v>
      </c>
      <c r="X137" t="s">
        <v>7573</v>
      </c>
      <c r="Y137" t="s">
        <v>76</v>
      </c>
      <c r="Z137">
        <v>1</v>
      </c>
    </row>
    <row r="138" spans="1:26">
      <c r="A138" t="s">
        <v>726</v>
      </c>
      <c r="B138" t="s">
        <v>4678</v>
      </c>
      <c r="C138" t="s">
        <v>4679</v>
      </c>
      <c r="D138" t="s">
        <v>11</v>
      </c>
      <c r="E138" t="s">
        <v>13</v>
      </c>
      <c r="F138" t="s">
        <v>729</v>
      </c>
      <c r="G138" t="s">
        <v>12</v>
      </c>
      <c r="I138" t="s">
        <v>4678</v>
      </c>
      <c r="J138" t="s">
        <v>6442</v>
      </c>
      <c r="K138">
        <v>1.8923323152373122</v>
      </c>
      <c r="L138">
        <v>0.2163096765341061</v>
      </c>
      <c r="M138">
        <v>517.83469536383825</v>
      </c>
      <c r="N138">
        <v>569.61816490022215</v>
      </c>
      <c r="P138" t="s">
        <v>726</v>
      </c>
      <c r="Q138" t="s">
        <v>7575</v>
      </c>
      <c r="R138" t="s">
        <v>7576</v>
      </c>
      <c r="S138" t="s">
        <v>11</v>
      </c>
      <c r="T138" t="s">
        <v>13</v>
      </c>
      <c r="U138" t="s">
        <v>75</v>
      </c>
      <c r="V138" t="s">
        <v>12</v>
      </c>
      <c r="X138" t="s">
        <v>7575</v>
      </c>
      <c r="Y138" t="s">
        <v>76</v>
      </c>
      <c r="Z138">
        <v>1</v>
      </c>
    </row>
    <row r="139" spans="1:26">
      <c r="A139" t="s">
        <v>726</v>
      </c>
      <c r="B139" t="s">
        <v>4680</v>
      </c>
      <c r="C139" t="s">
        <v>4681</v>
      </c>
      <c r="D139" t="s">
        <v>11</v>
      </c>
      <c r="E139" t="s">
        <v>13</v>
      </c>
      <c r="F139" t="s">
        <v>729</v>
      </c>
      <c r="G139" t="s">
        <v>12</v>
      </c>
      <c r="I139" t="s">
        <v>4680</v>
      </c>
      <c r="J139" t="s">
        <v>6443</v>
      </c>
      <c r="K139">
        <v>16.753313013412182</v>
      </c>
      <c r="L139">
        <v>0.19035894801728589</v>
      </c>
      <c r="M139">
        <v>669.14123861531993</v>
      </c>
      <c r="N139">
        <v>736.055362476852</v>
      </c>
      <c r="P139" t="s">
        <v>726</v>
      </c>
      <c r="Q139" t="s">
        <v>7577</v>
      </c>
      <c r="R139" t="s">
        <v>7578</v>
      </c>
      <c r="S139" t="s">
        <v>11</v>
      </c>
      <c r="T139" t="s">
        <v>13</v>
      </c>
      <c r="U139" t="s">
        <v>75</v>
      </c>
      <c r="V139" t="s">
        <v>12</v>
      </c>
      <c r="X139" t="s">
        <v>7577</v>
      </c>
      <c r="Y139" t="s">
        <v>76</v>
      </c>
      <c r="Z139">
        <v>1</v>
      </c>
    </row>
    <row r="140" spans="1:26">
      <c r="A140" t="s">
        <v>726</v>
      </c>
      <c r="B140" t="s">
        <v>4682</v>
      </c>
      <c r="C140" t="s">
        <v>4681</v>
      </c>
      <c r="D140" t="s">
        <v>11</v>
      </c>
      <c r="E140" t="s">
        <v>13</v>
      </c>
      <c r="F140" t="s">
        <v>729</v>
      </c>
      <c r="G140" t="s">
        <v>12</v>
      </c>
      <c r="I140" t="s">
        <v>4682</v>
      </c>
      <c r="J140" t="s">
        <v>6444</v>
      </c>
      <c r="K140">
        <v>15.496155819482299</v>
      </c>
      <c r="L140">
        <v>0.2309609374400646</v>
      </c>
      <c r="M140">
        <v>462.23529442690642</v>
      </c>
      <c r="N140">
        <v>508.4588238695971</v>
      </c>
      <c r="P140" t="s">
        <v>726</v>
      </c>
      <c r="Q140" t="s">
        <v>7579</v>
      </c>
      <c r="R140" t="s">
        <v>7580</v>
      </c>
      <c r="S140" t="s">
        <v>11</v>
      </c>
      <c r="T140" t="s">
        <v>13</v>
      </c>
      <c r="U140" t="s">
        <v>75</v>
      </c>
      <c r="V140" t="s">
        <v>12</v>
      </c>
      <c r="X140" t="s">
        <v>7579</v>
      </c>
      <c r="Y140" t="s">
        <v>76</v>
      </c>
      <c r="Z140">
        <v>1</v>
      </c>
    </row>
    <row r="141" spans="1:26">
      <c r="A141" t="s">
        <v>726</v>
      </c>
      <c r="B141" t="s">
        <v>4683</v>
      </c>
      <c r="C141" t="s">
        <v>4677</v>
      </c>
      <c r="D141" t="s">
        <v>11</v>
      </c>
      <c r="E141" t="s">
        <v>13</v>
      </c>
      <c r="F141" t="s">
        <v>729</v>
      </c>
      <c r="G141" t="s">
        <v>12</v>
      </c>
      <c r="I141" t="s">
        <v>4683</v>
      </c>
      <c r="J141" t="s">
        <v>6445</v>
      </c>
      <c r="K141">
        <v>5.9485820205654152</v>
      </c>
      <c r="L141">
        <v>0.12549138045906749</v>
      </c>
      <c r="M141">
        <v>1323.0196808443636</v>
      </c>
      <c r="N141">
        <v>1455.3216489288002</v>
      </c>
      <c r="P141" t="s">
        <v>726</v>
      </c>
      <c r="Q141" t="s">
        <v>7581</v>
      </c>
      <c r="R141" t="s">
        <v>7582</v>
      </c>
      <c r="S141" t="s">
        <v>11</v>
      </c>
      <c r="T141" t="s">
        <v>13</v>
      </c>
      <c r="U141" t="s">
        <v>75</v>
      </c>
      <c r="V141" t="s">
        <v>12</v>
      </c>
      <c r="X141" t="s">
        <v>7581</v>
      </c>
      <c r="Y141" t="s">
        <v>76</v>
      </c>
      <c r="Z141">
        <v>1</v>
      </c>
    </row>
    <row r="142" spans="1:26">
      <c r="A142" t="s">
        <v>726</v>
      </c>
      <c r="B142" t="s">
        <v>4684</v>
      </c>
      <c r="C142" t="s">
        <v>4681</v>
      </c>
      <c r="D142" t="s">
        <v>11</v>
      </c>
      <c r="E142" t="s">
        <v>13</v>
      </c>
      <c r="F142" t="s">
        <v>729</v>
      </c>
      <c r="G142" t="s">
        <v>12</v>
      </c>
      <c r="I142" t="s">
        <v>4684</v>
      </c>
      <c r="J142" t="s">
        <v>6446</v>
      </c>
      <c r="K142">
        <v>12.131444915861261</v>
      </c>
      <c r="L142">
        <v>0.21769781203542141</v>
      </c>
      <c r="M142">
        <v>556.69043783264976</v>
      </c>
      <c r="N142">
        <v>612.35948161591477</v>
      </c>
      <c r="P142" t="s">
        <v>726</v>
      </c>
      <c r="Q142" t="s">
        <v>7583</v>
      </c>
      <c r="R142" t="s">
        <v>7584</v>
      </c>
      <c r="S142" t="s">
        <v>11</v>
      </c>
      <c r="T142" t="s">
        <v>13</v>
      </c>
      <c r="U142" t="s">
        <v>75</v>
      </c>
      <c r="V142" t="s">
        <v>12</v>
      </c>
      <c r="X142" t="s">
        <v>7583</v>
      </c>
      <c r="Y142" t="s">
        <v>76</v>
      </c>
      <c r="Z142">
        <v>1</v>
      </c>
    </row>
    <row r="143" spans="1:26">
      <c r="A143" t="s">
        <v>726</v>
      </c>
      <c r="B143" t="s">
        <v>4685</v>
      </c>
      <c r="C143" t="s">
        <v>4686</v>
      </c>
      <c r="D143" t="s">
        <v>11</v>
      </c>
      <c r="E143" t="s">
        <v>13</v>
      </c>
      <c r="F143" t="s">
        <v>729</v>
      </c>
      <c r="G143" t="s">
        <v>12</v>
      </c>
      <c r="I143" t="s">
        <v>4685</v>
      </c>
      <c r="J143" t="s">
        <v>6447</v>
      </c>
      <c r="K143">
        <v>28.170121226692519</v>
      </c>
      <c r="L143">
        <v>0.35613995563787282</v>
      </c>
      <c r="M143">
        <v>535.67684503951318</v>
      </c>
      <c r="N143">
        <v>589.24452954346452</v>
      </c>
      <c r="P143" t="s">
        <v>726</v>
      </c>
      <c r="Q143" t="s">
        <v>7585</v>
      </c>
      <c r="R143" t="s">
        <v>7586</v>
      </c>
      <c r="S143" t="s">
        <v>11</v>
      </c>
      <c r="T143" t="s">
        <v>13</v>
      </c>
      <c r="U143" t="s">
        <v>75</v>
      </c>
      <c r="V143" t="s">
        <v>12</v>
      </c>
      <c r="X143" t="s">
        <v>7585</v>
      </c>
      <c r="Y143" t="s">
        <v>76</v>
      </c>
      <c r="Z143">
        <v>1</v>
      </c>
    </row>
    <row r="144" spans="1:26">
      <c r="A144" t="s">
        <v>726</v>
      </c>
      <c r="B144" t="s">
        <v>4687</v>
      </c>
      <c r="C144" t="s">
        <v>4688</v>
      </c>
      <c r="D144" t="s">
        <v>11</v>
      </c>
      <c r="E144" t="s">
        <v>13</v>
      </c>
      <c r="F144" t="s">
        <v>729</v>
      </c>
      <c r="G144" t="s">
        <v>12</v>
      </c>
      <c r="I144" t="s">
        <v>4687</v>
      </c>
      <c r="J144" t="s">
        <v>6448</v>
      </c>
      <c r="K144">
        <v>13.921374302609527</v>
      </c>
      <c r="L144">
        <v>0.30919021612964231</v>
      </c>
      <c r="M144">
        <v>47.057936264768507</v>
      </c>
      <c r="N144">
        <v>51.763729891245362</v>
      </c>
      <c r="P144" t="s">
        <v>726</v>
      </c>
      <c r="Q144" t="s">
        <v>7587</v>
      </c>
      <c r="R144" t="s">
        <v>7588</v>
      </c>
      <c r="S144" t="s">
        <v>11</v>
      </c>
      <c r="T144" t="s">
        <v>13</v>
      </c>
      <c r="U144" t="s">
        <v>75</v>
      </c>
      <c r="V144" t="s">
        <v>12</v>
      </c>
      <c r="X144" t="s">
        <v>7587</v>
      </c>
      <c r="Y144" t="s">
        <v>76</v>
      </c>
      <c r="Z144">
        <v>1</v>
      </c>
    </row>
    <row r="145" spans="1:26">
      <c r="A145" t="s">
        <v>726</v>
      </c>
      <c r="B145" t="s">
        <v>4689</v>
      </c>
      <c r="C145" t="s">
        <v>4686</v>
      </c>
      <c r="D145" t="s">
        <v>11</v>
      </c>
      <c r="E145" t="s">
        <v>13</v>
      </c>
      <c r="F145" t="s">
        <v>729</v>
      </c>
      <c r="G145" t="s">
        <v>12</v>
      </c>
      <c r="I145" t="s">
        <v>4689</v>
      </c>
      <c r="J145" t="s">
        <v>6449</v>
      </c>
      <c r="K145">
        <v>8.1887119669477944</v>
      </c>
      <c r="L145">
        <v>0.3493130884958443</v>
      </c>
      <c r="M145">
        <v>285.66838830482646</v>
      </c>
      <c r="N145">
        <v>314.23522713530912</v>
      </c>
      <c r="P145" t="s">
        <v>726</v>
      </c>
      <c r="Q145" t="s">
        <v>7589</v>
      </c>
      <c r="R145" t="s">
        <v>7590</v>
      </c>
      <c r="S145" t="s">
        <v>11</v>
      </c>
      <c r="T145" t="s">
        <v>13</v>
      </c>
      <c r="U145" t="s">
        <v>75</v>
      </c>
      <c r="V145" t="s">
        <v>12</v>
      </c>
      <c r="X145" t="s">
        <v>7589</v>
      </c>
      <c r="Y145" t="s">
        <v>76</v>
      </c>
      <c r="Z145">
        <v>1</v>
      </c>
    </row>
    <row r="146" spans="1:26">
      <c r="A146" t="s">
        <v>726</v>
      </c>
      <c r="B146" t="s">
        <v>4690</v>
      </c>
      <c r="C146" t="s">
        <v>4691</v>
      </c>
      <c r="D146" t="s">
        <v>11</v>
      </c>
      <c r="E146" t="s">
        <v>13</v>
      </c>
      <c r="F146" t="s">
        <v>729</v>
      </c>
      <c r="G146" t="s">
        <v>12</v>
      </c>
      <c r="I146" t="s">
        <v>4690</v>
      </c>
      <c r="J146" t="s">
        <v>6450</v>
      </c>
      <c r="K146">
        <v>34.569545531691666</v>
      </c>
      <c r="L146">
        <v>0.49024108601991812</v>
      </c>
      <c r="M146">
        <v>424.8889814045242</v>
      </c>
      <c r="N146">
        <v>467.37787954497668</v>
      </c>
      <c r="P146" t="s">
        <v>726</v>
      </c>
      <c r="Q146" t="s">
        <v>7591</v>
      </c>
      <c r="R146" t="s">
        <v>7592</v>
      </c>
      <c r="S146" t="s">
        <v>11</v>
      </c>
      <c r="T146" t="s">
        <v>13</v>
      </c>
      <c r="U146" t="s">
        <v>75</v>
      </c>
      <c r="V146" t="s">
        <v>12</v>
      </c>
      <c r="X146" t="s">
        <v>7591</v>
      </c>
      <c r="Y146" t="s">
        <v>76</v>
      </c>
      <c r="Z146">
        <v>1</v>
      </c>
    </row>
    <row r="147" spans="1:26">
      <c r="A147" t="s">
        <v>726</v>
      </c>
      <c r="B147" t="s">
        <v>4692</v>
      </c>
      <c r="C147" t="s">
        <v>4686</v>
      </c>
      <c r="D147" t="s">
        <v>11</v>
      </c>
      <c r="E147" t="s">
        <v>13</v>
      </c>
      <c r="F147" t="s">
        <v>729</v>
      </c>
      <c r="G147" t="s">
        <v>12</v>
      </c>
      <c r="I147" t="s">
        <v>4692</v>
      </c>
      <c r="J147" t="s">
        <v>6451</v>
      </c>
      <c r="K147">
        <v>127.5189605996068</v>
      </c>
      <c r="L147">
        <v>0.50700596180115698</v>
      </c>
      <c r="M147">
        <v>1150.6333673792849</v>
      </c>
      <c r="N147">
        <v>1265.6967041172136</v>
      </c>
      <c r="P147" t="s">
        <v>726</v>
      </c>
      <c r="Q147" t="s">
        <v>7593</v>
      </c>
      <c r="R147" t="s">
        <v>7594</v>
      </c>
      <c r="S147" t="s">
        <v>11</v>
      </c>
      <c r="T147" t="s">
        <v>13</v>
      </c>
      <c r="U147" t="s">
        <v>75</v>
      </c>
      <c r="V147" t="s">
        <v>12</v>
      </c>
      <c r="X147" t="s">
        <v>7593</v>
      </c>
      <c r="Y147" t="s">
        <v>76</v>
      </c>
      <c r="Z147">
        <v>1</v>
      </c>
    </row>
    <row r="148" spans="1:26">
      <c r="A148" t="s">
        <v>726</v>
      </c>
      <c r="B148" t="s">
        <v>4693</v>
      </c>
      <c r="C148" t="s">
        <v>4686</v>
      </c>
      <c r="D148" t="s">
        <v>11</v>
      </c>
      <c r="E148" t="s">
        <v>13</v>
      </c>
      <c r="F148" t="s">
        <v>729</v>
      </c>
      <c r="G148" t="s">
        <v>12</v>
      </c>
      <c r="I148" t="s">
        <v>4693</v>
      </c>
      <c r="J148" t="s">
        <v>6452</v>
      </c>
      <c r="K148">
        <v>83.35032835165012</v>
      </c>
      <c r="L148">
        <v>0.4326206238416711</v>
      </c>
      <c r="M148">
        <v>1171.7137837110654</v>
      </c>
      <c r="N148">
        <v>1288.885162082172</v>
      </c>
      <c r="P148" t="s">
        <v>726</v>
      </c>
      <c r="Q148" t="s">
        <v>7595</v>
      </c>
      <c r="R148" t="s">
        <v>7596</v>
      </c>
      <c r="S148" t="s">
        <v>11</v>
      </c>
      <c r="T148" t="s">
        <v>13</v>
      </c>
      <c r="U148" t="s">
        <v>75</v>
      </c>
      <c r="V148" t="s">
        <v>12</v>
      </c>
      <c r="X148" t="s">
        <v>7595</v>
      </c>
      <c r="Y148" t="s">
        <v>76</v>
      </c>
      <c r="Z148">
        <v>1</v>
      </c>
    </row>
    <row r="149" spans="1:26">
      <c r="A149" t="s">
        <v>726</v>
      </c>
      <c r="B149" t="s">
        <v>4694</v>
      </c>
      <c r="C149" t="s">
        <v>4695</v>
      </c>
      <c r="D149" t="s">
        <v>11</v>
      </c>
      <c r="E149" t="s">
        <v>13</v>
      </c>
      <c r="F149" t="s">
        <v>729</v>
      </c>
      <c r="G149" t="s">
        <v>12</v>
      </c>
      <c r="I149" t="s">
        <v>4694</v>
      </c>
      <c r="J149" t="s">
        <v>6453</v>
      </c>
      <c r="K149">
        <v>21.3240385154288</v>
      </c>
      <c r="L149">
        <v>0.32624624790080459</v>
      </c>
      <c r="M149">
        <v>849.28778891022603</v>
      </c>
      <c r="N149">
        <v>934.21656780124874</v>
      </c>
      <c r="P149" t="s">
        <v>726</v>
      </c>
      <c r="Q149" t="s">
        <v>7597</v>
      </c>
      <c r="R149" t="s">
        <v>7598</v>
      </c>
      <c r="S149" t="s">
        <v>11</v>
      </c>
      <c r="T149" t="s">
        <v>13</v>
      </c>
      <c r="U149" t="s">
        <v>75</v>
      </c>
      <c r="V149" t="s">
        <v>12</v>
      </c>
      <c r="X149" t="s">
        <v>7597</v>
      </c>
      <c r="Y149" t="s">
        <v>76</v>
      </c>
      <c r="Z149">
        <v>1</v>
      </c>
    </row>
    <row r="150" spans="1:26">
      <c r="A150" t="s">
        <v>726</v>
      </c>
      <c r="B150" t="s">
        <v>4696</v>
      </c>
      <c r="C150" t="s">
        <v>4697</v>
      </c>
      <c r="D150" t="s">
        <v>11</v>
      </c>
      <c r="E150" t="s">
        <v>13</v>
      </c>
      <c r="F150" t="s">
        <v>729</v>
      </c>
      <c r="G150" t="s">
        <v>12</v>
      </c>
      <c r="I150" t="s">
        <v>4696</v>
      </c>
      <c r="J150" t="s">
        <v>6454</v>
      </c>
      <c r="K150">
        <v>3.4445324538505089</v>
      </c>
      <c r="L150">
        <v>0.25220030538710048</v>
      </c>
      <c r="M150">
        <v>725.73010494490563</v>
      </c>
      <c r="N150">
        <v>798.30311543939627</v>
      </c>
      <c r="P150" t="s">
        <v>726</v>
      </c>
      <c r="Q150" t="s">
        <v>7599</v>
      </c>
      <c r="R150" t="s">
        <v>7600</v>
      </c>
      <c r="S150" t="s">
        <v>11</v>
      </c>
      <c r="T150" t="s">
        <v>13</v>
      </c>
      <c r="U150" t="s">
        <v>75</v>
      </c>
      <c r="V150" t="s">
        <v>12</v>
      </c>
      <c r="X150" t="s">
        <v>7599</v>
      </c>
      <c r="Y150" t="s">
        <v>76</v>
      </c>
      <c r="Z150">
        <v>1</v>
      </c>
    </row>
    <row r="151" spans="1:26">
      <c r="A151" t="s">
        <v>726</v>
      </c>
      <c r="B151" t="s">
        <v>4698</v>
      </c>
      <c r="C151" t="s">
        <v>4699</v>
      </c>
      <c r="D151" t="s">
        <v>11</v>
      </c>
      <c r="E151" t="s">
        <v>13</v>
      </c>
      <c r="F151" t="s">
        <v>729</v>
      </c>
      <c r="G151" t="s">
        <v>12</v>
      </c>
      <c r="I151" t="s">
        <v>4698</v>
      </c>
      <c r="J151" t="s">
        <v>6455</v>
      </c>
      <c r="K151">
        <v>37.740027108341295</v>
      </c>
      <c r="L151">
        <v>0.39430419940092037</v>
      </c>
      <c r="M151">
        <v>209.08555826630359</v>
      </c>
      <c r="N151">
        <v>229.99411409293398</v>
      </c>
      <c r="P151" t="s">
        <v>726</v>
      </c>
      <c r="Q151" t="s">
        <v>7601</v>
      </c>
      <c r="R151" t="s">
        <v>7602</v>
      </c>
      <c r="S151" t="s">
        <v>11</v>
      </c>
      <c r="T151" t="s">
        <v>13</v>
      </c>
      <c r="U151" t="s">
        <v>75</v>
      </c>
      <c r="V151" t="s">
        <v>12</v>
      </c>
      <c r="X151" t="s">
        <v>7601</v>
      </c>
      <c r="Y151" t="s">
        <v>76</v>
      </c>
      <c r="Z151">
        <v>1</v>
      </c>
    </row>
    <row r="152" spans="1:26">
      <c r="A152" t="s">
        <v>726</v>
      </c>
      <c r="B152" t="s">
        <v>4700</v>
      </c>
      <c r="C152" t="s">
        <v>4701</v>
      </c>
      <c r="D152" t="s">
        <v>11</v>
      </c>
      <c r="E152" t="s">
        <v>13</v>
      </c>
      <c r="F152" t="s">
        <v>729</v>
      </c>
      <c r="G152" t="s">
        <v>12</v>
      </c>
      <c r="I152" t="s">
        <v>4700</v>
      </c>
      <c r="J152" t="s">
        <v>6456</v>
      </c>
      <c r="K152">
        <v>7.2159540833893994</v>
      </c>
      <c r="L152">
        <v>0.24700926726646991</v>
      </c>
      <c r="M152">
        <v>418.85480706081938</v>
      </c>
      <c r="N152">
        <v>460.74028776690136</v>
      </c>
      <c r="P152" t="s">
        <v>726</v>
      </c>
      <c r="Q152" t="s">
        <v>7603</v>
      </c>
      <c r="R152" t="s">
        <v>7604</v>
      </c>
      <c r="S152" t="s">
        <v>11</v>
      </c>
      <c r="T152" t="s">
        <v>13</v>
      </c>
      <c r="U152" t="s">
        <v>75</v>
      </c>
      <c r="V152" t="s">
        <v>12</v>
      </c>
      <c r="X152" t="s">
        <v>7603</v>
      </c>
      <c r="Y152" t="s">
        <v>76</v>
      </c>
      <c r="Z152">
        <v>1</v>
      </c>
    </row>
    <row r="153" spans="1:26">
      <c r="A153" t="s">
        <v>726</v>
      </c>
      <c r="B153" t="s">
        <v>4702</v>
      </c>
      <c r="C153" t="s">
        <v>4703</v>
      </c>
      <c r="D153" t="s">
        <v>11</v>
      </c>
      <c r="E153" t="s">
        <v>13</v>
      </c>
      <c r="F153" t="s">
        <v>729</v>
      </c>
      <c r="G153" t="s">
        <v>12</v>
      </c>
      <c r="I153" t="s">
        <v>4702</v>
      </c>
      <c r="J153" t="s">
        <v>6457</v>
      </c>
      <c r="K153">
        <v>2.481519137754451</v>
      </c>
      <c r="L153">
        <v>0.30750948982361498</v>
      </c>
      <c r="M153">
        <v>250.94560971547281</v>
      </c>
      <c r="N153">
        <v>276.04017068702012</v>
      </c>
      <c r="P153" t="s">
        <v>726</v>
      </c>
      <c r="Q153" t="s">
        <v>7605</v>
      </c>
      <c r="R153" t="s">
        <v>7606</v>
      </c>
      <c r="S153" t="s">
        <v>11</v>
      </c>
      <c r="T153" t="s">
        <v>13</v>
      </c>
      <c r="U153" t="s">
        <v>75</v>
      </c>
      <c r="V153" t="s">
        <v>12</v>
      </c>
      <c r="X153" t="s">
        <v>7605</v>
      </c>
      <c r="Y153" t="s">
        <v>76</v>
      </c>
      <c r="Z153">
        <v>1</v>
      </c>
    </row>
    <row r="154" spans="1:26">
      <c r="A154" t="s">
        <v>726</v>
      </c>
      <c r="B154" t="s">
        <v>4704</v>
      </c>
      <c r="C154" t="s">
        <v>4703</v>
      </c>
      <c r="D154" t="s">
        <v>11</v>
      </c>
      <c r="E154" t="s">
        <v>13</v>
      </c>
      <c r="F154" t="s">
        <v>729</v>
      </c>
      <c r="G154" t="s">
        <v>12</v>
      </c>
      <c r="I154" t="s">
        <v>4704</v>
      </c>
      <c r="J154" t="s">
        <v>6458</v>
      </c>
      <c r="K154">
        <v>14.673910416222895</v>
      </c>
      <c r="L154">
        <v>0.3082697576913529</v>
      </c>
      <c r="M154">
        <v>606.68746845186945</v>
      </c>
      <c r="N154">
        <v>667.35621529705645</v>
      </c>
      <c r="P154" t="s">
        <v>726</v>
      </c>
      <c r="Q154" t="s">
        <v>7607</v>
      </c>
      <c r="R154" t="s">
        <v>7608</v>
      </c>
      <c r="S154" t="s">
        <v>11</v>
      </c>
      <c r="T154" t="s">
        <v>13</v>
      </c>
      <c r="U154" t="s">
        <v>75</v>
      </c>
      <c r="V154" t="s">
        <v>12</v>
      </c>
      <c r="X154" t="s">
        <v>7607</v>
      </c>
      <c r="Y154" t="s">
        <v>76</v>
      </c>
      <c r="Z154">
        <v>1</v>
      </c>
    </row>
    <row r="155" spans="1:26">
      <c r="A155" t="s">
        <v>726</v>
      </c>
      <c r="B155" t="s">
        <v>4705</v>
      </c>
      <c r="C155" t="s">
        <v>4706</v>
      </c>
      <c r="D155" t="s">
        <v>11</v>
      </c>
      <c r="E155" t="s">
        <v>13</v>
      </c>
      <c r="F155" t="s">
        <v>729</v>
      </c>
      <c r="G155" t="s">
        <v>12</v>
      </c>
      <c r="I155" t="s">
        <v>4705</v>
      </c>
      <c r="J155" t="s">
        <v>6459</v>
      </c>
      <c r="K155">
        <v>10.784723000565997</v>
      </c>
      <c r="L155">
        <v>0.33002347129828907</v>
      </c>
      <c r="M155">
        <v>452.51589906113753</v>
      </c>
      <c r="N155">
        <v>497.76748896725132</v>
      </c>
      <c r="P155" t="s">
        <v>726</v>
      </c>
      <c r="Q155" t="s">
        <v>7609</v>
      </c>
      <c r="R155" t="s">
        <v>7610</v>
      </c>
      <c r="S155" t="s">
        <v>11</v>
      </c>
      <c r="T155" t="s">
        <v>13</v>
      </c>
      <c r="U155" t="s">
        <v>75</v>
      </c>
      <c r="V155" t="s">
        <v>12</v>
      </c>
      <c r="X155" t="s">
        <v>7609</v>
      </c>
      <c r="Y155" t="s">
        <v>76</v>
      </c>
      <c r="Z155">
        <v>1</v>
      </c>
    </row>
    <row r="156" spans="1:26">
      <c r="A156" t="s">
        <v>726</v>
      </c>
      <c r="B156" t="s">
        <v>4707</v>
      </c>
      <c r="C156" t="s">
        <v>4695</v>
      </c>
      <c r="D156" t="s">
        <v>11</v>
      </c>
      <c r="E156" t="s">
        <v>13</v>
      </c>
      <c r="F156" t="s">
        <v>729</v>
      </c>
      <c r="G156" t="s">
        <v>12</v>
      </c>
      <c r="I156" t="s">
        <v>4707</v>
      </c>
      <c r="J156" t="s">
        <v>6460</v>
      </c>
      <c r="K156">
        <v>12.733374184604616</v>
      </c>
      <c r="L156">
        <v>0.30825679547811818</v>
      </c>
      <c r="M156">
        <v>299.52649373426777</v>
      </c>
      <c r="N156">
        <v>329.4791431076946</v>
      </c>
      <c r="P156" t="s">
        <v>726</v>
      </c>
      <c r="Q156" t="s">
        <v>7611</v>
      </c>
      <c r="R156" t="s">
        <v>7612</v>
      </c>
      <c r="S156" t="s">
        <v>11</v>
      </c>
      <c r="T156" t="s">
        <v>13</v>
      </c>
      <c r="U156" t="s">
        <v>75</v>
      </c>
      <c r="V156" t="s">
        <v>12</v>
      </c>
      <c r="X156" t="s">
        <v>7611</v>
      </c>
      <c r="Y156" t="s">
        <v>76</v>
      </c>
      <c r="Z156">
        <v>1</v>
      </c>
    </row>
    <row r="157" spans="1:26">
      <c r="A157" t="s">
        <v>726</v>
      </c>
      <c r="B157" t="s">
        <v>4708</v>
      </c>
      <c r="C157" t="s">
        <v>4695</v>
      </c>
      <c r="D157" t="s">
        <v>11</v>
      </c>
      <c r="E157" t="s">
        <v>13</v>
      </c>
      <c r="F157" t="s">
        <v>729</v>
      </c>
      <c r="G157" t="s">
        <v>12</v>
      </c>
      <c r="I157" t="s">
        <v>4708</v>
      </c>
      <c r="J157" t="s">
        <v>6461</v>
      </c>
      <c r="K157">
        <v>32.813722451084317</v>
      </c>
      <c r="L157">
        <v>0.52359604688344319</v>
      </c>
      <c r="M157">
        <v>942.80865698438936</v>
      </c>
      <c r="N157">
        <v>1037.0895226828284</v>
      </c>
      <c r="P157" t="s">
        <v>726</v>
      </c>
      <c r="Q157" t="s">
        <v>7613</v>
      </c>
      <c r="R157" t="s">
        <v>7614</v>
      </c>
      <c r="S157" t="s">
        <v>11</v>
      </c>
      <c r="T157" t="s">
        <v>13</v>
      </c>
      <c r="U157" t="s">
        <v>75</v>
      </c>
      <c r="V157" t="s">
        <v>12</v>
      </c>
      <c r="X157" t="s">
        <v>7613</v>
      </c>
      <c r="Y157" t="s">
        <v>76</v>
      </c>
      <c r="Z157">
        <v>1</v>
      </c>
    </row>
    <row r="158" spans="1:26">
      <c r="A158" t="s">
        <v>726</v>
      </c>
      <c r="B158" t="s">
        <v>4709</v>
      </c>
      <c r="C158" t="s">
        <v>4703</v>
      </c>
      <c r="D158" t="s">
        <v>11</v>
      </c>
      <c r="E158" t="s">
        <v>13</v>
      </c>
      <c r="F158" t="s">
        <v>729</v>
      </c>
      <c r="G158" t="s">
        <v>12</v>
      </c>
      <c r="I158" t="s">
        <v>4709</v>
      </c>
      <c r="J158" t="s">
        <v>6462</v>
      </c>
      <c r="K158">
        <v>13.574063876152342</v>
      </c>
      <c r="L158">
        <v>0.28687369498912701</v>
      </c>
      <c r="M158">
        <v>680.34835792389526</v>
      </c>
      <c r="N158">
        <v>748.38319371628484</v>
      </c>
      <c r="P158" t="s">
        <v>726</v>
      </c>
      <c r="Q158" t="s">
        <v>7615</v>
      </c>
      <c r="R158" t="s">
        <v>7616</v>
      </c>
      <c r="S158" t="s">
        <v>11</v>
      </c>
      <c r="T158" t="s">
        <v>13</v>
      </c>
      <c r="U158" t="s">
        <v>75</v>
      </c>
      <c r="V158" t="s">
        <v>12</v>
      </c>
      <c r="X158" t="s">
        <v>7615</v>
      </c>
      <c r="Y158" t="s">
        <v>76</v>
      </c>
      <c r="Z158">
        <v>1</v>
      </c>
    </row>
    <row r="159" spans="1:26">
      <c r="A159" t="s">
        <v>726</v>
      </c>
      <c r="B159" t="s">
        <v>4710</v>
      </c>
      <c r="C159" t="s">
        <v>4711</v>
      </c>
      <c r="D159" t="s">
        <v>11</v>
      </c>
      <c r="E159" t="s">
        <v>13</v>
      </c>
      <c r="F159" t="s">
        <v>729</v>
      </c>
      <c r="G159" t="s">
        <v>12</v>
      </c>
      <c r="I159" t="s">
        <v>4710</v>
      </c>
      <c r="J159" t="s">
        <v>6463</v>
      </c>
      <c r="K159">
        <v>10.31282782620748</v>
      </c>
      <c r="L159">
        <v>8.7852385637089594E-2</v>
      </c>
      <c r="M159">
        <v>5.8240491300777526</v>
      </c>
      <c r="N159">
        <v>6.4064540430855281</v>
      </c>
      <c r="P159" t="s">
        <v>726</v>
      </c>
      <c r="Q159" t="s">
        <v>7617</v>
      </c>
      <c r="R159" t="s">
        <v>7618</v>
      </c>
      <c r="S159" t="s">
        <v>11</v>
      </c>
      <c r="T159" t="s">
        <v>13</v>
      </c>
      <c r="U159" t="s">
        <v>75</v>
      </c>
      <c r="V159" t="s">
        <v>12</v>
      </c>
      <c r="X159" t="s">
        <v>7617</v>
      </c>
      <c r="Y159" t="s">
        <v>76</v>
      </c>
      <c r="Z159">
        <v>1</v>
      </c>
    </row>
    <row r="160" spans="1:26">
      <c r="A160" t="s">
        <v>726</v>
      </c>
      <c r="B160" t="s">
        <v>4712</v>
      </c>
      <c r="C160" t="s">
        <v>4713</v>
      </c>
      <c r="D160" t="s">
        <v>11</v>
      </c>
      <c r="E160" t="s">
        <v>13</v>
      </c>
      <c r="F160" t="s">
        <v>729</v>
      </c>
      <c r="G160" t="s">
        <v>12</v>
      </c>
      <c r="I160" t="s">
        <v>4712</v>
      </c>
      <c r="J160" t="s">
        <v>6464</v>
      </c>
      <c r="K160">
        <v>21.123224741126386</v>
      </c>
      <c r="L160">
        <v>0.1352972731934059</v>
      </c>
      <c r="M160">
        <v>30.808992336999751</v>
      </c>
      <c r="N160">
        <v>33.889891570699731</v>
      </c>
      <c r="P160" t="s">
        <v>726</v>
      </c>
      <c r="Q160" t="s">
        <v>7619</v>
      </c>
      <c r="R160" t="s">
        <v>7620</v>
      </c>
      <c r="S160" t="s">
        <v>11</v>
      </c>
      <c r="T160" t="s">
        <v>13</v>
      </c>
      <c r="U160" t="s">
        <v>75</v>
      </c>
      <c r="V160" t="s">
        <v>12</v>
      </c>
      <c r="X160" t="s">
        <v>7619</v>
      </c>
      <c r="Y160" t="s">
        <v>76</v>
      </c>
      <c r="Z160">
        <v>1</v>
      </c>
    </row>
    <row r="161" spans="1:14">
      <c r="A161" t="s">
        <v>726</v>
      </c>
      <c r="B161" t="s">
        <v>4714</v>
      </c>
      <c r="C161" t="s">
        <v>4715</v>
      </c>
      <c r="D161" t="s">
        <v>11</v>
      </c>
      <c r="E161" t="s">
        <v>13</v>
      </c>
      <c r="F161" t="s">
        <v>729</v>
      </c>
      <c r="G161" t="s">
        <v>12</v>
      </c>
      <c r="I161" t="s">
        <v>4714</v>
      </c>
      <c r="J161" t="s">
        <v>6465</v>
      </c>
      <c r="K161">
        <v>63.970500000000001</v>
      </c>
      <c r="L161">
        <v>0.53774316320894044</v>
      </c>
      <c r="M161">
        <v>225.64873342423056</v>
      </c>
      <c r="N161">
        <v>248.21360676665364</v>
      </c>
    </row>
    <row r="162" spans="1:14">
      <c r="A162" t="s">
        <v>726</v>
      </c>
      <c r="B162" t="s">
        <v>4716</v>
      </c>
      <c r="C162" t="s">
        <v>4717</v>
      </c>
      <c r="D162" t="s">
        <v>11</v>
      </c>
      <c r="E162" t="s">
        <v>13</v>
      </c>
      <c r="F162" t="s">
        <v>729</v>
      </c>
      <c r="G162" t="s">
        <v>12</v>
      </c>
      <c r="I162" t="s">
        <v>4716</v>
      </c>
      <c r="J162" t="s">
        <v>6466</v>
      </c>
      <c r="K162">
        <v>40.263912536377305</v>
      </c>
      <c r="L162">
        <v>0.32909615632926448</v>
      </c>
      <c r="M162">
        <v>494.67650557952777</v>
      </c>
      <c r="N162">
        <v>544.14415613748054</v>
      </c>
    </row>
    <row r="163" spans="1:14">
      <c r="A163" t="s">
        <v>726</v>
      </c>
      <c r="B163" t="s">
        <v>4718</v>
      </c>
      <c r="C163" t="s">
        <v>4719</v>
      </c>
      <c r="D163" t="s">
        <v>11</v>
      </c>
      <c r="E163" t="s">
        <v>13</v>
      </c>
      <c r="F163" t="s">
        <v>729</v>
      </c>
      <c r="G163" t="s">
        <v>12</v>
      </c>
      <c r="I163" t="s">
        <v>4718</v>
      </c>
      <c r="J163" t="s">
        <v>6467</v>
      </c>
      <c r="K163">
        <v>36.531479020748399</v>
      </c>
      <c r="L163">
        <v>0.14522366736109171</v>
      </c>
      <c r="M163">
        <v>549.5894436111472</v>
      </c>
      <c r="N163">
        <v>604.54838797226193</v>
      </c>
    </row>
    <row r="164" spans="1:14">
      <c r="A164" t="s">
        <v>726</v>
      </c>
      <c r="B164" t="s">
        <v>4720</v>
      </c>
      <c r="C164" t="s">
        <v>4721</v>
      </c>
      <c r="D164" t="s">
        <v>11</v>
      </c>
      <c r="E164" t="s">
        <v>13</v>
      </c>
      <c r="F164" t="s">
        <v>729</v>
      </c>
      <c r="G164" t="s">
        <v>12</v>
      </c>
      <c r="I164" t="s">
        <v>4720</v>
      </c>
      <c r="J164" t="s">
        <v>6468</v>
      </c>
      <c r="K164">
        <v>12.161711802099431</v>
      </c>
      <c r="L164">
        <v>0.10664807376709511</v>
      </c>
      <c r="M164">
        <v>107.11078268370764</v>
      </c>
      <c r="N164">
        <v>117.82186095207841</v>
      </c>
    </row>
    <row r="165" spans="1:14">
      <c r="A165" t="s">
        <v>726</v>
      </c>
      <c r="B165" t="s">
        <v>4722</v>
      </c>
      <c r="C165" t="s">
        <v>4723</v>
      </c>
      <c r="D165" t="s">
        <v>11</v>
      </c>
      <c r="E165" t="s">
        <v>13</v>
      </c>
      <c r="F165" t="s">
        <v>729</v>
      </c>
      <c r="G165" t="s">
        <v>12</v>
      </c>
      <c r="I165" t="s">
        <v>4722</v>
      </c>
      <c r="J165" t="s">
        <v>6469</v>
      </c>
      <c r="K165">
        <v>3.8393926040007034</v>
      </c>
      <c r="L165">
        <v>0.21136758894318669</v>
      </c>
      <c r="M165">
        <v>46.348853635703513</v>
      </c>
      <c r="N165">
        <v>50.983738999273868</v>
      </c>
    </row>
    <row r="166" spans="1:14">
      <c r="A166" t="s">
        <v>726</v>
      </c>
      <c r="B166" t="s">
        <v>4724</v>
      </c>
      <c r="C166" t="s">
        <v>4725</v>
      </c>
      <c r="D166" t="s">
        <v>11</v>
      </c>
      <c r="E166" t="s">
        <v>13</v>
      </c>
      <c r="F166" t="s">
        <v>729</v>
      </c>
      <c r="G166" t="s">
        <v>12</v>
      </c>
      <c r="I166" t="s">
        <v>4724</v>
      </c>
      <c r="J166" t="s">
        <v>6470</v>
      </c>
      <c r="K166">
        <v>2.8700817120519484</v>
      </c>
      <c r="L166">
        <v>0.33831633608518741</v>
      </c>
      <c r="M166">
        <v>93.825603760490097</v>
      </c>
      <c r="N166">
        <v>103.20816413653911</v>
      </c>
    </row>
    <row r="167" spans="1:14">
      <c r="A167" t="s">
        <v>726</v>
      </c>
      <c r="B167" t="s">
        <v>4726</v>
      </c>
      <c r="C167" t="s">
        <v>4727</v>
      </c>
      <c r="D167" t="s">
        <v>11</v>
      </c>
      <c r="E167" t="s">
        <v>13</v>
      </c>
      <c r="F167" t="s">
        <v>729</v>
      </c>
      <c r="G167" t="s">
        <v>12</v>
      </c>
      <c r="I167" t="s">
        <v>4726</v>
      </c>
      <c r="J167" t="s">
        <v>6471</v>
      </c>
      <c r="K167">
        <v>11.200296903701092</v>
      </c>
      <c r="L167">
        <v>0.14573083965698519</v>
      </c>
      <c r="M167">
        <v>138.82178110764519</v>
      </c>
      <c r="N167">
        <v>152.70395921840972</v>
      </c>
    </row>
    <row r="168" spans="1:14">
      <c r="A168" t="s">
        <v>726</v>
      </c>
      <c r="B168" t="s">
        <v>4728</v>
      </c>
      <c r="C168" t="s">
        <v>4729</v>
      </c>
      <c r="D168" t="s">
        <v>11</v>
      </c>
      <c r="E168" t="s">
        <v>13</v>
      </c>
      <c r="F168" t="s">
        <v>729</v>
      </c>
      <c r="G168" t="s">
        <v>12</v>
      </c>
      <c r="I168" t="s">
        <v>4728</v>
      </c>
      <c r="J168" t="s">
        <v>6472</v>
      </c>
      <c r="K168">
        <v>1.3004661466337895</v>
      </c>
      <c r="L168">
        <v>0.29979741372101409</v>
      </c>
      <c r="M168">
        <v>115.44258090412926</v>
      </c>
      <c r="N168">
        <v>126.9868389945422</v>
      </c>
    </row>
    <row r="169" spans="1:14">
      <c r="A169" t="s">
        <v>726</v>
      </c>
      <c r="B169" t="s">
        <v>4730</v>
      </c>
      <c r="C169" t="s">
        <v>4731</v>
      </c>
      <c r="D169" t="s">
        <v>11</v>
      </c>
      <c r="E169" t="s">
        <v>13</v>
      </c>
      <c r="F169" t="s">
        <v>729</v>
      </c>
      <c r="G169" t="s">
        <v>12</v>
      </c>
      <c r="I169" t="s">
        <v>4730</v>
      </c>
      <c r="J169" t="s">
        <v>6473</v>
      </c>
      <c r="K169">
        <v>213.73047486455116</v>
      </c>
      <c r="L169">
        <v>0.16710027728311311</v>
      </c>
      <c r="M169">
        <v>984.10382500989579</v>
      </c>
      <c r="N169">
        <v>1082.5142075108854</v>
      </c>
    </row>
    <row r="170" spans="1:14">
      <c r="A170" t="s">
        <v>726</v>
      </c>
      <c r="B170" t="s">
        <v>4732</v>
      </c>
      <c r="C170" t="s">
        <v>4731</v>
      </c>
      <c r="D170" t="s">
        <v>11</v>
      </c>
      <c r="E170" t="s">
        <v>13</v>
      </c>
      <c r="F170" t="s">
        <v>729</v>
      </c>
      <c r="G170" t="s">
        <v>12</v>
      </c>
      <c r="I170" t="s">
        <v>4732</v>
      </c>
      <c r="J170" t="s">
        <v>6474</v>
      </c>
      <c r="K170">
        <v>410.33682138096793</v>
      </c>
      <c r="L170">
        <v>0.20688406048415339</v>
      </c>
      <c r="M170">
        <v>530.25577101643307</v>
      </c>
      <c r="N170">
        <v>583.28134811807638</v>
      </c>
    </row>
    <row r="171" spans="1:14">
      <c r="A171" t="s">
        <v>726</v>
      </c>
      <c r="B171" t="s">
        <v>4733</v>
      </c>
      <c r="C171" t="s">
        <v>4734</v>
      </c>
      <c r="D171" t="s">
        <v>11</v>
      </c>
      <c r="E171" t="s">
        <v>13</v>
      </c>
      <c r="F171" t="s">
        <v>729</v>
      </c>
      <c r="G171" t="s">
        <v>12</v>
      </c>
      <c r="I171" t="s">
        <v>4733</v>
      </c>
      <c r="J171" t="s">
        <v>6475</v>
      </c>
      <c r="K171">
        <v>772.42158654410514</v>
      </c>
      <c r="L171">
        <v>0.30835457022834661</v>
      </c>
      <c r="M171">
        <v>392.26559746003073</v>
      </c>
      <c r="N171">
        <v>431.49215720603382</v>
      </c>
    </row>
    <row r="172" spans="1:14">
      <c r="A172" t="s">
        <v>726</v>
      </c>
      <c r="B172" t="s">
        <v>4735</v>
      </c>
      <c r="C172" t="s">
        <v>4731</v>
      </c>
      <c r="D172" t="s">
        <v>11</v>
      </c>
      <c r="E172" t="s">
        <v>13</v>
      </c>
      <c r="F172" t="s">
        <v>729</v>
      </c>
      <c r="G172" t="s">
        <v>12</v>
      </c>
      <c r="I172" t="s">
        <v>4735</v>
      </c>
      <c r="J172" t="s">
        <v>6476</v>
      </c>
      <c r="K172">
        <v>257.85107875344102</v>
      </c>
      <c r="L172">
        <v>0.17209787764824641</v>
      </c>
      <c r="M172">
        <v>355.28857665248</v>
      </c>
      <c r="N172">
        <v>390.81743431772804</v>
      </c>
    </row>
    <row r="173" spans="1:14">
      <c r="A173" t="s">
        <v>726</v>
      </c>
      <c r="B173" t="s">
        <v>4736</v>
      </c>
      <c r="C173" t="s">
        <v>4737</v>
      </c>
      <c r="D173" t="s">
        <v>11</v>
      </c>
      <c r="E173" t="s">
        <v>13</v>
      </c>
      <c r="F173" t="s">
        <v>729</v>
      </c>
      <c r="G173" t="s">
        <v>12</v>
      </c>
      <c r="I173" t="s">
        <v>4736</v>
      </c>
      <c r="J173" t="s">
        <v>6477</v>
      </c>
      <c r="K173">
        <v>213.85499999999999</v>
      </c>
      <c r="L173">
        <v>0.19175510291010461</v>
      </c>
      <c r="M173">
        <v>780.66907045576102</v>
      </c>
      <c r="N173">
        <v>858.73597750133717</v>
      </c>
    </row>
    <row r="174" spans="1:14">
      <c r="A174" t="s">
        <v>726</v>
      </c>
      <c r="B174" t="s">
        <v>4738</v>
      </c>
      <c r="C174" t="s">
        <v>4731</v>
      </c>
      <c r="D174" t="s">
        <v>11</v>
      </c>
      <c r="E174" t="s">
        <v>13</v>
      </c>
      <c r="F174" t="s">
        <v>729</v>
      </c>
      <c r="G174" t="s">
        <v>12</v>
      </c>
      <c r="I174" t="s">
        <v>4738</v>
      </c>
      <c r="J174" t="s">
        <v>6478</v>
      </c>
      <c r="K174">
        <v>378.55189247946419</v>
      </c>
      <c r="L174">
        <v>0.23007583453280769</v>
      </c>
      <c r="M174">
        <v>633.47834282152803</v>
      </c>
      <c r="N174">
        <v>696.82617710368083</v>
      </c>
    </row>
    <row r="175" spans="1:14">
      <c r="A175" t="s">
        <v>726</v>
      </c>
      <c r="B175" t="s">
        <v>4739</v>
      </c>
      <c r="C175" t="s">
        <v>4740</v>
      </c>
      <c r="D175" t="s">
        <v>11</v>
      </c>
      <c r="E175" t="s">
        <v>13</v>
      </c>
      <c r="F175" t="s">
        <v>729</v>
      </c>
      <c r="G175" t="s">
        <v>12</v>
      </c>
      <c r="I175" t="s">
        <v>4739</v>
      </c>
      <c r="J175" t="s">
        <v>6479</v>
      </c>
      <c r="K175">
        <v>301.25905460435223</v>
      </c>
      <c r="L175">
        <v>0.12685589091513849</v>
      </c>
      <c r="M175">
        <v>68.948603641897037</v>
      </c>
      <c r="N175">
        <v>75.843464006086748</v>
      </c>
    </row>
    <row r="176" spans="1:14">
      <c r="A176" t="s">
        <v>726</v>
      </c>
      <c r="B176" t="s">
        <v>4741</v>
      </c>
      <c r="C176" t="s">
        <v>4742</v>
      </c>
      <c r="D176" t="s">
        <v>11</v>
      </c>
      <c r="E176" t="s">
        <v>13</v>
      </c>
      <c r="F176" t="s">
        <v>729</v>
      </c>
      <c r="G176" t="s">
        <v>12</v>
      </c>
      <c r="I176" t="s">
        <v>4741</v>
      </c>
      <c r="J176" t="s">
        <v>6480</v>
      </c>
      <c r="K176">
        <v>280.5271697817866</v>
      </c>
      <c r="L176">
        <v>0.21791459454841361</v>
      </c>
      <c r="M176">
        <v>44.72982846010219</v>
      </c>
      <c r="N176">
        <v>49.202811306112416</v>
      </c>
    </row>
    <row r="177" spans="1:14">
      <c r="A177" t="s">
        <v>726</v>
      </c>
      <c r="B177" t="s">
        <v>4743</v>
      </c>
      <c r="C177" t="s">
        <v>4744</v>
      </c>
      <c r="D177" t="s">
        <v>11</v>
      </c>
      <c r="E177" t="s">
        <v>13</v>
      </c>
      <c r="F177" t="s">
        <v>729</v>
      </c>
      <c r="G177" t="s">
        <v>12</v>
      </c>
      <c r="I177" t="s">
        <v>4743</v>
      </c>
      <c r="J177" t="s">
        <v>6481</v>
      </c>
      <c r="K177">
        <v>9.4742229521404262</v>
      </c>
      <c r="L177">
        <v>0.10050865256778579</v>
      </c>
      <c r="M177">
        <v>66.600317627799043</v>
      </c>
      <c r="N177">
        <v>73.260349390578952</v>
      </c>
    </row>
    <row r="178" spans="1:14">
      <c r="A178" t="s">
        <v>726</v>
      </c>
      <c r="B178" t="s">
        <v>4745</v>
      </c>
      <c r="C178" t="s">
        <v>4746</v>
      </c>
      <c r="D178" t="s">
        <v>11</v>
      </c>
      <c r="E178" t="s">
        <v>13</v>
      </c>
      <c r="F178" t="s">
        <v>729</v>
      </c>
      <c r="G178" t="s">
        <v>12</v>
      </c>
      <c r="I178" t="s">
        <v>4745</v>
      </c>
      <c r="J178" t="s">
        <v>6482</v>
      </c>
      <c r="K178">
        <v>266.44312049460325</v>
      </c>
      <c r="L178">
        <v>0.16821449088254131</v>
      </c>
      <c r="M178">
        <v>66.070082957504695</v>
      </c>
      <c r="N178">
        <v>72.67709125325517</v>
      </c>
    </row>
    <row r="179" spans="1:14">
      <c r="A179" t="s">
        <v>726</v>
      </c>
      <c r="B179" t="s">
        <v>4747</v>
      </c>
      <c r="C179" t="s">
        <v>4748</v>
      </c>
      <c r="D179" t="s">
        <v>11</v>
      </c>
      <c r="E179" t="s">
        <v>13</v>
      </c>
      <c r="F179" t="s">
        <v>729</v>
      </c>
      <c r="G179" t="s">
        <v>12</v>
      </c>
      <c r="I179" t="s">
        <v>4747</v>
      </c>
      <c r="J179" t="s">
        <v>6483</v>
      </c>
      <c r="K179">
        <v>242.81946138896868</v>
      </c>
      <c r="L179">
        <v>0.1855632141065317</v>
      </c>
      <c r="M179">
        <v>58.987051649008947</v>
      </c>
      <c r="N179">
        <v>64.88575681390985</v>
      </c>
    </row>
    <row r="180" spans="1:14">
      <c r="A180" t="s">
        <v>726</v>
      </c>
      <c r="B180" t="s">
        <v>4749</v>
      </c>
      <c r="C180" t="s">
        <v>4750</v>
      </c>
      <c r="D180" t="s">
        <v>11</v>
      </c>
      <c r="E180" t="s">
        <v>13</v>
      </c>
      <c r="F180" t="s">
        <v>729</v>
      </c>
      <c r="G180" t="s">
        <v>12</v>
      </c>
      <c r="I180" t="s">
        <v>4749</v>
      </c>
      <c r="J180" t="s">
        <v>6484</v>
      </c>
      <c r="K180">
        <v>247.73772259676963</v>
      </c>
      <c r="L180">
        <v>0.13622075898494129</v>
      </c>
      <c r="M180">
        <v>66.89793004217357</v>
      </c>
      <c r="N180">
        <v>73.587723046390934</v>
      </c>
    </row>
    <row r="181" spans="1:14">
      <c r="A181" t="s">
        <v>726</v>
      </c>
      <c r="B181" t="s">
        <v>4751</v>
      </c>
      <c r="C181" t="s">
        <v>4752</v>
      </c>
      <c r="D181" t="s">
        <v>11</v>
      </c>
      <c r="E181" t="s">
        <v>13</v>
      </c>
      <c r="F181" t="s">
        <v>729</v>
      </c>
      <c r="G181" t="s">
        <v>12</v>
      </c>
      <c r="I181" t="s">
        <v>4751</v>
      </c>
      <c r="J181" t="s">
        <v>6485</v>
      </c>
      <c r="K181">
        <v>122.48704543280516</v>
      </c>
      <c r="L181">
        <v>0.15015493864713089</v>
      </c>
      <c r="M181">
        <v>68.184061920722669</v>
      </c>
      <c r="N181">
        <v>75.002468112794944</v>
      </c>
    </row>
    <row r="182" spans="1:14">
      <c r="A182" t="s">
        <v>726</v>
      </c>
      <c r="B182" t="s">
        <v>4753</v>
      </c>
      <c r="C182" t="s">
        <v>4754</v>
      </c>
      <c r="D182" t="s">
        <v>11</v>
      </c>
      <c r="E182" t="s">
        <v>13</v>
      </c>
      <c r="F182" t="s">
        <v>729</v>
      </c>
      <c r="G182" t="s">
        <v>12</v>
      </c>
      <c r="I182" t="s">
        <v>4753</v>
      </c>
      <c r="J182" t="s">
        <v>6486</v>
      </c>
      <c r="K182">
        <v>142.77086758014789</v>
      </c>
      <c r="L182">
        <v>0.13510177342672561</v>
      </c>
      <c r="M182">
        <v>98.579723260382622</v>
      </c>
      <c r="N182">
        <v>108.43769558642089</v>
      </c>
    </row>
    <row r="183" spans="1:14">
      <c r="A183" t="s">
        <v>726</v>
      </c>
      <c r="B183" t="s">
        <v>4755</v>
      </c>
      <c r="C183" t="s">
        <v>4756</v>
      </c>
      <c r="D183" t="s">
        <v>11</v>
      </c>
      <c r="E183" t="s">
        <v>13</v>
      </c>
      <c r="F183" t="s">
        <v>729</v>
      </c>
      <c r="G183" t="s">
        <v>12</v>
      </c>
      <c r="I183" t="s">
        <v>4755</v>
      </c>
      <c r="J183" t="s">
        <v>6487</v>
      </c>
      <c r="K183">
        <v>671.36955800845578</v>
      </c>
      <c r="L183">
        <v>0.23839971573344559</v>
      </c>
      <c r="M183">
        <v>196.26565682013319</v>
      </c>
      <c r="N183">
        <v>215.89222250214652</v>
      </c>
    </row>
    <row r="184" spans="1:14">
      <c r="A184" t="s">
        <v>726</v>
      </c>
      <c r="B184" t="s">
        <v>4757</v>
      </c>
      <c r="C184" t="s">
        <v>4758</v>
      </c>
      <c r="D184" t="s">
        <v>11</v>
      </c>
      <c r="E184" t="s">
        <v>13</v>
      </c>
      <c r="F184" t="s">
        <v>729</v>
      </c>
      <c r="G184" t="s">
        <v>12</v>
      </c>
      <c r="I184" t="s">
        <v>4757</v>
      </c>
      <c r="J184" t="s">
        <v>6488</v>
      </c>
      <c r="K184">
        <v>931.3036108880832</v>
      </c>
      <c r="L184">
        <v>0.2403118142736986</v>
      </c>
      <c r="M184">
        <v>391.04062458432782</v>
      </c>
      <c r="N184">
        <v>430.14468704276061</v>
      </c>
    </row>
    <row r="185" spans="1:14">
      <c r="A185" t="s">
        <v>726</v>
      </c>
      <c r="B185" t="s">
        <v>4759</v>
      </c>
      <c r="C185" t="s">
        <v>4760</v>
      </c>
      <c r="D185" t="s">
        <v>11</v>
      </c>
      <c r="E185" t="s">
        <v>13</v>
      </c>
      <c r="F185" t="s">
        <v>729</v>
      </c>
      <c r="G185" t="s">
        <v>12</v>
      </c>
      <c r="I185" t="s">
        <v>4759</v>
      </c>
      <c r="J185" t="s">
        <v>6489</v>
      </c>
      <c r="K185">
        <v>356.34538960396378</v>
      </c>
      <c r="L185">
        <v>0.13233271500843199</v>
      </c>
      <c r="M185">
        <v>95.68775527770724</v>
      </c>
      <c r="N185">
        <v>105.25653080547796</v>
      </c>
    </row>
    <row r="186" spans="1:14">
      <c r="A186" t="s">
        <v>726</v>
      </c>
      <c r="B186" t="s">
        <v>4761</v>
      </c>
      <c r="C186" t="s">
        <v>4762</v>
      </c>
      <c r="D186" t="s">
        <v>11</v>
      </c>
      <c r="E186" t="s">
        <v>13</v>
      </c>
      <c r="F186" t="s">
        <v>729</v>
      </c>
      <c r="G186" t="s">
        <v>12</v>
      </c>
      <c r="I186" t="s">
        <v>4761</v>
      </c>
      <c r="J186" t="s">
        <v>6490</v>
      </c>
      <c r="K186">
        <v>194.13391123467181</v>
      </c>
      <c r="L186">
        <v>0.16451284069909361</v>
      </c>
      <c r="M186">
        <v>89.198738842579914</v>
      </c>
      <c r="N186">
        <v>98.11861272683791</v>
      </c>
    </row>
    <row r="187" spans="1:14">
      <c r="A187" t="s">
        <v>726</v>
      </c>
      <c r="B187" t="s">
        <v>4763</v>
      </c>
      <c r="C187" t="s">
        <v>4764</v>
      </c>
      <c r="D187" t="s">
        <v>11</v>
      </c>
      <c r="E187" t="s">
        <v>13</v>
      </c>
      <c r="F187" t="s">
        <v>729</v>
      </c>
      <c r="G187" t="s">
        <v>12</v>
      </c>
      <c r="I187" t="s">
        <v>4763</v>
      </c>
      <c r="J187" t="s">
        <v>6491</v>
      </c>
      <c r="K187">
        <v>376.81971902988744</v>
      </c>
      <c r="L187">
        <v>0.2024104731067575</v>
      </c>
      <c r="M187">
        <v>96.102052049587883</v>
      </c>
      <c r="N187">
        <v>105.71225725454669</v>
      </c>
    </row>
    <row r="188" spans="1:14">
      <c r="A188" t="s">
        <v>726</v>
      </c>
      <c r="B188" t="s">
        <v>4765</v>
      </c>
      <c r="C188" t="s">
        <v>4766</v>
      </c>
      <c r="D188" t="s">
        <v>11</v>
      </c>
      <c r="E188" t="s">
        <v>13</v>
      </c>
      <c r="F188" t="s">
        <v>729</v>
      </c>
      <c r="G188" t="s">
        <v>12</v>
      </c>
      <c r="I188" t="s">
        <v>4765</v>
      </c>
      <c r="J188" t="s">
        <v>6492</v>
      </c>
      <c r="K188">
        <v>573.38123839985758</v>
      </c>
      <c r="L188">
        <v>0.21205313476022589</v>
      </c>
      <c r="M188">
        <v>54.794787796944838</v>
      </c>
      <c r="N188">
        <v>60.274266576639327</v>
      </c>
    </row>
    <row r="189" spans="1:14">
      <c r="A189" t="s">
        <v>726</v>
      </c>
      <c r="B189" t="s">
        <v>4767</v>
      </c>
      <c r="C189" t="s">
        <v>4768</v>
      </c>
      <c r="D189" t="s">
        <v>11</v>
      </c>
      <c r="E189" t="s">
        <v>13</v>
      </c>
      <c r="F189" t="s">
        <v>729</v>
      </c>
      <c r="G189" t="s">
        <v>12</v>
      </c>
      <c r="I189" t="s">
        <v>4767</v>
      </c>
      <c r="J189" t="s">
        <v>6493</v>
      </c>
      <c r="K189">
        <v>514.49295910410069</v>
      </c>
      <c r="L189">
        <v>0.42350919838842571</v>
      </c>
      <c r="M189">
        <v>266.43147123523812</v>
      </c>
      <c r="N189">
        <v>293.07461835876194</v>
      </c>
    </row>
    <row r="190" spans="1:14">
      <c r="A190" t="s">
        <v>726</v>
      </c>
      <c r="B190" t="s">
        <v>4769</v>
      </c>
      <c r="C190" t="s">
        <v>4770</v>
      </c>
      <c r="D190" t="s">
        <v>11</v>
      </c>
      <c r="E190" t="s">
        <v>13</v>
      </c>
      <c r="F190" t="s">
        <v>729</v>
      </c>
      <c r="G190" t="s">
        <v>12</v>
      </c>
      <c r="I190" t="s">
        <v>4769</v>
      </c>
      <c r="J190" t="s">
        <v>6494</v>
      </c>
      <c r="K190">
        <v>577.15236727752676</v>
      </c>
      <c r="L190">
        <v>0.37414580982141937</v>
      </c>
      <c r="M190">
        <v>378.33470864697989</v>
      </c>
      <c r="N190">
        <v>416.16817951167792</v>
      </c>
    </row>
    <row r="191" spans="1:14">
      <c r="A191" t="s">
        <v>726</v>
      </c>
      <c r="B191" t="s">
        <v>4771</v>
      </c>
      <c r="C191" t="s">
        <v>4772</v>
      </c>
      <c r="D191" t="s">
        <v>11</v>
      </c>
      <c r="E191" t="s">
        <v>13</v>
      </c>
      <c r="F191" t="s">
        <v>729</v>
      </c>
      <c r="G191" t="s">
        <v>12</v>
      </c>
      <c r="I191" t="s">
        <v>4771</v>
      </c>
      <c r="J191" t="s">
        <v>6495</v>
      </c>
      <c r="K191">
        <v>591.85874518201854</v>
      </c>
      <c r="L191">
        <v>0.28187071711921868</v>
      </c>
      <c r="M191">
        <v>118.8312201404043</v>
      </c>
      <c r="N191">
        <v>130.71434215444475</v>
      </c>
    </row>
    <row r="192" spans="1:14">
      <c r="A192" t="s">
        <v>726</v>
      </c>
      <c r="B192" t="s">
        <v>4773</v>
      </c>
      <c r="C192" t="s">
        <v>4774</v>
      </c>
      <c r="D192" t="s">
        <v>11</v>
      </c>
      <c r="E192" t="s">
        <v>13</v>
      </c>
      <c r="F192" t="s">
        <v>729</v>
      </c>
      <c r="G192" t="s">
        <v>12</v>
      </c>
      <c r="I192" t="s">
        <v>4773</v>
      </c>
      <c r="J192" t="s">
        <v>6496</v>
      </c>
      <c r="K192">
        <v>0.12258709252082321</v>
      </c>
      <c r="L192">
        <v>0.104260685130553</v>
      </c>
      <c r="M192">
        <v>47.291752534820482</v>
      </c>
      <c r="N192">
        <v>52.020927788302536</v>
      </c>
    </row>
    <row r="193" spans="1:14">
      <c r="A193" t="s">
        <v>726</v>
      </c>
      <c r="B193" t="s">
        <v>4775</v>
      </c>
      <c r="C193" t="s">
        <v>4776</v>
      </c>
      <c r="D193" t="s">
        <v>11</v>
      </c>
      <c r="E193" t="s">
        <v>13</v>
      </c>
      <c r="F193" t="s">
        <v>729</v>
      </c>
      <c r="G193" t="s">
        <v>12</v>
      </c>
      <c r="I193" t="s">
        <v>4775</v>
      </c>
      <c r="J193" t="s">
        <v>6497</v>
      </c>
      <c r="K193">
        <v>2.7577565419253096</v>
      </c>
      <c r="L193">
        <v>0.11823721282617999</v>
      </c>
      <c r="M193">
        <v>257.5322103062295</v>
      </c>
      <c r="N193">
        <v>283.28543133685247</v>
      </c>
    </row>
    <row r="194" spans="1:14">
      <c r="A194" t="s">
        <v>726</v>
      </c>
      <c r="B194" t="s">
        <v>4777</v>
      </c>
      <c r="C194" t="s">
        <v>4778</v>
      </c>
      <c r="D194" t="s">
        <v>11</v>
      </c>
      <c r="E194" t="s">
        <v>13</v>
      </c>
      <c r="F194" t="s">
        <v>729</v>
      </c>
      <c r="G194" t="s">
        <v>12</v>
      </c>
      <c r="I194" t="s">
        <v>4777</v>
      </c>
      <c r="J194" t="s">
        <v>6498</v>
      </c>
      <c r="K194">
        <v>2.499790753112479E-2</v>
      </c>
      <c r="L194">
        <v>9.8886583120320198E-2</v>
      </c>
      <c r="M194">
        <v>115.57602665254758</v>
      </c>
      <c r="N194">
        <v>127.13362931780235</v>
      </c>
    </row>
    <row r="195" spans="1:14">
      <c r="A195" t="s">
        <v>726</v>
      </c>
      <c r="B195" t="s">
        <v>4779</v>
      </c>
      <c r="C195" t="s">
        <v>4780</v>
      </c>
      <c r="D195" t="s">
        <v>11</v>
      </c>
      <c r="E195" t="s">
        <v>13</v>
      </c>
      <c r="F195" t="s">
        <v>729</v>
      </c>
      <c r="G195" t="s">
        <v>12</v>
      </c>
      <c r="I195" t="s">
        <v>4779</v>
      </c>
      <c r="J195" t="s">
        <v>6499</v>
      </c>
      <c r="K195">
        <v>1.0714423561130237</v>
      </c>
      <c r="L195">
        <v>9.6440191130328201E-2</v>
      </c>
      <c r="M195">
        <v>61.405863682172736</v>
      </c>
      <c r="N195">
        <v>67.546450050390021</v>
      </c>
    </row>
    <row r="196" spans="1:14">
      <c r="A196" t="s">
        <v>726</v>
      </c>
      <c r="B196" t="s">
        <v>4781</v>
      </c>
      <c r="C196" t="s">
        <v>4782</v>
      </c>
      <c r="D196" t="s">
        <v>11</v>
      </c>
      <c r="E196" t="s">
        <v>13</v>
      </c>
      <c r="F196" t="s">
        <v>729</v>
      </c>
      <c r="G196" t="s">
        <v>12</v>
      </c>
      <c r="I196" t="s">
        <v>4781</v>
      </c>
      <c r="J196" t="s">
        <v>6500</v>
      </c>
      <c r="K196">
        <v>9.9994067987767767</v>
      </c>
      <c r="L196">
        <v>0.11211992953280731</v>
      </c>
      <c r="M196">
        <v>77.234762266811657</v>
      </c>
      <c r="N196">
        <v>84.958238493492829</v>
      </c>
    </row>
    <row r="197" spans="1:14">
      <c r="A197" t="s">
        <v>726</v>
      </c>
      <c r="B197" t="s">
        <v>4783</v>
      </c>
      <c r="C197" t="s">
        <v>4784</v>
      </c>
      <c r="D197" t="s">
        <v>11</v>
      </c>
      <c r="E197" t="s">
        <v>13</v>
      </c>
      <c r="F197" t="s">
        <v>729</v>
      </c>
      <c r="G197" t="s">
        <v>12</v>
      </c>
      <c r="I197" t="s">
        <v>4783</v>
      </c>
      <c r="J197" t="s">
        <v>6501</v>
      </c>
      <c r="K197">
        <v>37.580429351458463</v>
      </c>
      <c r="L197">
        <v>0.1389002138495096</v>
      </c>
      <c r="M197">
        <v>78.51158965476003</v>
      </c>
      <c r="N197">
        <v>86.362748620236033</v>
      </c>
    </row>
    <row r="198" spans="1:14">
      <c r="A198" t="s">
        <v>726</v>
      </c>
      <c r="B198" t="s">
        <v>4785</v>
      </c>
      <c r="C198" t="s">
        <v>4784</v>
      </c>
      <c r="D198" t="s">
        <v>11</v>
      </c>
      <c r="E198" t="s">
        <v>13</v>
      </c>
      <c r="F198" t="s">
        <v>729</v>
      </c>
      <c r="G198" t="s">
        <v>12</v>
      </c>
      <c r="I198" t="s">
        <v>4785</v>
      </c>
      <c r="J198" t="s">
        <v>6502</v>
      </c>
      <c r="K198">
        <v>23.181209647817646</v>
      </c>
      <c r="L198">
        <v>0.22415878666194181</v>
      </c>
      <c r="M198">
        <v>192.45298755756204</v>
      </c>
      <c r="N198">
        <v>211.69828631331825</v>
      </c>
    </row>
    <row r="199" spans="1:14">
      <c r="A199" t="s">
        <v>726</v>
      </c>
      <c r="B199" t="s">
        <v>4786</v>
      </c>
      <c r="C199" t="s">
        <v>4787</v>
      </c>
      <c r="D199" t="s">
        <v>11</v>
      </c>
      <c r="E199" t="s">
        <v>13</v>
      </c>
      <c r="F199" t="s">
        <v>729</v>
      </c>
      <c r="G199" t="s">
        <v>12</v>
      </c>
      <c r="I199" t="s">
        <v>4786</v>
      </c>
      <c r="J199" t="s">
        <v>6503</v>
      </c>
      <c r="K199">
        <v>4.0156235929761372E-3</v>
      </c>
      <c r="L199">
        <v>8.6140102120427095E-2</v>
      </c>
      <c r="M199">
        <v>181.74749630787417</v>
      </c>
      <c r="N199">
        <v>199.9222459386616</v>
      </c>
    </row>
    <row r="200" spans="1:14">
      <c r="A200" t="s">
        <v>726</v>
      </c>
      <c r="B200" t="s">
        <v>4788</v>
      </c>
      <c r="C200" t="s">
        <v>4789</v>
      </c>
      <c r="D200" t="s">
        <v>11</v>
      </c>
      <c r="E200" t="s">
        <v>13</v>
      </c>
      <c r="F200" t="s">
        <v>729</v>
      </c>
      <c r="G200" t="s">
        <v>12</v>
      </c>
      <c r="I200" t="s">
        <v>4788</v>
      </c>
      <c r="J200" t="s">
        <v>6504</v>
      </c>
      <c r="K200">
        <v>18.615389408895091</v>
      </c>
      <c r="L200">
        <v>0.16030837730269451</v>
      </c>
      <c r="M200">
        <v>176.97082188342804</v>
      </c>
      <c r="N200">
        <v>194.66790407177086</v>
      </c>
    </row>
    <row r="201" spans="1:14">
      <c r="A201" t="s">
        <v>726</v>
      </c>
      <c r="B201" t="s">
        <v>4790</v>
      </c>
      <c r="C201" t="s">
        <v>4789</v>
      </c>
      <c r="D201" t="s">
        <v>11</v>
      </c>
      <c r="E201" t="s">
        <v>13</v>
      </c>
      <c r="F201" t="s">
        <v>729</v>
      </c>
      <c r="G201" t="s">
        <v>12</v>
      </c>
      <c r="I201" t="s">
        <v>4790</v>
      </c>
      <c r="J201" t="s">
        <v>6505</v>
      </c>
      <c r="K201">
        <v>30.827496161162742</v>
      </c>
      <c r="L201">
        <v>0.12258850736771899</v>
      </c>
      <c r="M201">
        <v>139.51095310753234</v>
      </c>
      <c r="N201">
        <v>153.4620484182856</v>
      </c>
    </row>
    <row r="202" spans="1:14">
      <c r="A202" t="s">
        <v>726</v>
      </c>
      <c r="B202" t="s">
        <v>4791</v>
      </c>
      <c r="C202" t="s">
        <v>4789</v>
      </c>
      <c r="D202" t="s">
        <v>11</v>
      </c>
      <c r="E202" t="s">
        <v>13</v>
      </c>
      <c r="F202" t="s">
        <v>729</v>
      </c>
      <c r="G202" t="s">
        <v>12</v>
      </c>
      <c r="I202" t="s">
        <v>4791</v>
      </c>
      <c r="J202" t="s">
        <v>6506</v>
      </c>
      <c r="K202">
        <v>26.754133525258371</v>
      </c>
      <c r="L202">
        <v>0.10937420297666189</v>
      </c>
      <c r="M202">
        <v>315.51017015745867</v>
      </c>
      <c r="N202">
        <v>347.06118717320459</v>
      </c>
    </row>
    <row r="203" spans="1:14">
      <c r="A203" t="s">
        <v>726</v>
      </c>
      <c r="B203" t="s">
        <v>4792</v>
      </c>
      <c r="C203" t="s">
        <v>4789</v>
      </c>
      <c r="D203" t="s">
        <v>11</v>
      </c>
      <c r="E203" t="s">
        <v>13</v>
      </c>
      <c r="F203" t="s">
        <v>729</v>
      </c>
      <c r="G203" t="s">
        <v>12</v>
      </c>
      <c r="I203" t="s">
        <v>4792</v>
      </c>
      <c r="J203" t="s">
        <v>6507</v>
      </c>
      <c r="K203">
        <v>14.674187932477992</v>
      </c>
      <c r="L203">
        <v>0.1207001395856101</v>
      </c>
      <c r="M203">
        <v>371.05199391715706</v>
      </c>
      <c r="N203">
        <v>408.15719330887282</v>
      </c>
    </row>
    <row r="204" spans="1:14">
      <c r="A204" t="s">
        <v>726</v>
      </c>
      <c r="B204" t="s">
        <v>4793</v>
      </c>
      <c r="C204" t="s">
        <v>4794</v>
      </c>
      <c r="D204" t="s">
        <v>11</v>
      </c>
      <c r="E204" t="s">
        <v>13</v>
      </c>
      <c r="F204" t="s">
        <v>729</v>
      </c>
      <c r="G204" t="s">
        <v>12</v>
      </c>
      <c r="I204" t="s">
        <v>4793</v>
      </c>
      <c r="J204" t="s">
        <v>6508</v>
      </c>
      <c r="K204">
        <v>6.1866604141708823</v>
      </c>
      <c r="L204">
        <v>9.87215471245836E-2</v>
      </c>
      <c r="M204">
        <v>469.31940988721681</v>
      </c>
      <c r="N204">
        <v>516.25135087593856</v>
      </c>
    </row>
    <row r="205" spans="1:14">
      <c r="A205" t="s">
        <v>726</v>
      </c>
      <c r="B205" t="s">
        <v>4795</v>
      </c>
      <c r="C205" t="s">
        <v>4796</v>
      </c>
      <c r="D205" t="s">
        <v>11</v>
      </c>
      <c r="E205" t="s">
        <v>13</v>
      </c>
      <c r="F205" t="s">
        <v>729</v>
      </c>
      <c r="G205" t="s">
        <v>12</v>
      </c>
      <c r="I205" t="s">
        <v>4795</v>
      </c>
      <c r="J205" t="s">
        <v>6509</v>
      </c>
      <c r="K205">
        <v>6.8588730143357271E-2</v>
      </c>
      <c r="L205">
        <v>2.85193369782498E-2</v>
      </c>
      <c r="M205">
        <v>149.67672522589154</v>
      </c>
      <c r="N205">
        <v>164.64439774848071</v>
      </c>
    </row>
    <row r="206" spans="1:14">
      <c r="A206" t="s">
        <v>726</v>
      </c>
      <c r="B206" t="s">
        <v>4797</v>
      </c>
      <c r="C206" t="s">
        <v>4798</v>
      </c>
      <c r="D206" t="s">
        <v>11</v>
      </c>
      <c r="E206" t="s">
        <v>13</v>
      </c>
      <c r="F206" t="s">
        <v>729</v>
      </c>
      <c r="G206" t="s">
        <v>12</v>
      </c>
      <c r="I206" t="s">
        <v>4797</v>
      </c>
      <c r="J206" t="s">
        <v>6510</v>
      </c>
      <c r="K206">
        <v>0.46497819173696753</v>
      </c>
      <c r="L206">
        <v>4.0390687538289401E-2</v>
      </c>
      <c r="M206">
        <v>344.4816586940151</v>
      </c>
      <c r="N206">
        <v>378.92982456341662</v>
      </c>
    </row>
    <row r="207" spans="1:14">
      <c r="A207" t="s">
        <v>726</v>
      </c>
      <c r="B207" t="s">
        <v>4799</v>
      </c>
      <c r="C207" t="s">
        <v>4800</v>
      </c>
      <c r="D207" t="s">
        <v>11</v>
      </c>
      <c r="E207" t="s">
        <v>13</v>
      </c>
      <c r="F207" t="s">
        <v>729</v>
      </c>
      <c r="G207" t="s">
        <v>12</v>
      </c>
      <c r="I207" t="s">
        <v>4799</v>
      </c>
      <c r="J207" t="s">
        <v>6511</v>
      </c>
      <c r="K207">
        <v>0.28141236198789299</v>
      </c>
      <c r="L207">
        <v>4.4158721102430902E-2</v>
      </c>
      <c r="M207">
        <v>73.768440851732691</v>
      </c>
      <c r="N207">
        <v>81.145284936905966</v>
      </c>
    </row>
    <row r="208" spans="1:14">
      <c r="A208" t="s">
        <v>726</v>
      </c>
      <c r="B208" t="s">
        <v>4801</v>
      </c>
      <c r="C208" t="s">
        <v>4802</v>
      </c>
      <c r="D208" t="s">
        <v>11</v>
      </c>
      <c r="E208" t="s">
        <v>13</v>
      </c>
      <c r="F208" t="s">
        <v>729</v>
      </c>
      <c r="G208" t="s">
        <v>12</v>
      </c>
      <c r="I208" t="s">
        <v>4801</v>
      </c>
      <c r="J208" t="s">
        <v>6512</v>
      </c>
      <c r="K208">
        <v>6.5882599540056375E-2</v>
      </c>
      <c r="L208">
        <v>0.1542297728863069</v>
      </c>
      <c r="M208">
        <v>22.217885104493792</v>
      </c>
      <c r="N208">
        <v>24.439673614943175</v>
      </c>
    </row>
    <row r="209" spans="1:14">
      <c r="A209" t="s">
        <v>726</v>
      </c>
      <c r="B209" t="s">
        <v>4803</v>
      </c>
      <c r="C209" t="s">
        <v>4804</v>
      </c>
      <c r="D209" t="s">
        <v>11</v>
      </c>
      <c r="E209" t="s">
        <v>13</v>
      </c>
      <c r="F209" t="s">
        <v>729</v>
      </c>
      <c r="G209" t="s">
        <v>12</v>
      </c>
      <c r="I209" t="s">
        <v>4803</v>
      </c>
      <c r="J209" t="s">
        <v>6513</v>
      </c>
      <c r="K209">
        <v>7.9035288985097232</v>
      </c>
      <c r="L209">
        <v>0.67355121411137986</v>
      </c>
      <c r="M209">
        <v>40.16769293224268</v>
      </c>
      <c r="N209">
        <v>44.184462225466952</v>
      </c>
    </row>
    <row r="210" spans="1:14">
      <c r="A210" t="s">
        <v>726</v>
      </c>
      <c r="B210" t="s">
        <v>4805</v>
      </c>
      <c r="C210" t="s">
        <v>4806</v>
      </c>
      <c r="D210" t="s">
        <v>11</v>
      </c>
      <c r="E210" t="s">
        <v>13</v>
      </c>
      <c r="F210" t="s">
        <v>729</v>
      </c>
      <c r="G210" t="s">
        <v>12</v>
      </c>
      <c r="I210" t="s">
        <v>4805</v>
      </c>
      <c r="J210" t="s">
        <v>6514</v>
      </c>
      <c r="K210">
        <v>2.6009906104941782</v>
      </c>
      <c r="L210">
        <v>0.1020137287374089</v>
      </c>
      <c r="M210">
        <v>312.07919200510514</v>
      </c>
      <c r="N210">
        <v>343.2871112056157</v>
      </c>
    </row>
    <row r="211" spans="1:14">
      <c r="A211" t="s">
        <v>726</v>
      </c>
      <c r="B211" t="s">
        <v>4807</v>
      </c>
      <c r="C211" t="s">
        <v>4808</v>
      </c>
      <c r="D211" t="s">
        <v>11</v>
      </c>
      <c r="E211" t="s">
        <v>13</v>
      </c>
      <c r="F211" t="s">
        <v>729</v>
      </c>
      <c r="G211" t="s">
        <v>12</v>
      </c>
      <c r="I211" t="s">
        <v>4807</v>
      </c>
      <c r="J211" t="s">
        <v>6515</v>
      </c>
      <c r="K211">
        <v>12.502719308977152</v>
      </c>
      <c r="L211">
        <v>9.0174439586535898E-2</v>
      </c>
      <c r="M211">
        <v>117.75464018368336</v>
      </c>
      <c r="N211">
        <v>129.53010420205172</v>
      </c>
    </row>
    <row r="212" spans="1:14">
      <c r="A212" t="s">
        <v>726</v>
      </c>
      <c r="B212" t="s">
        <v>4809</v>
      </c>
      <c r="C212" t="s">
        <v>4810</v>
      </c>
      <c r="D212" t="s">
        <v>11</v>
      </c>
      <c r="E212" t="s">
        <v>13</v>
      </c>
      <c r="F212" t="s">
        <v>729</v>
      </c>
      <c r="G212" t="s">
        <v>12</v>
      </c>
      <c r="I212" t="s">
        <v>4809</v>
      </c>
      <c r="J212" t="s">
        <v>6516</v>
      </c>
      <c r="K212">
        <v>12.93868545176773</v>
      </c>
      <c r="L212">
        <v>0.1811191463280539</v>
      </c>
      <c r="M212">
        <v>22.607803155657898</v>
      </c>
      <c r="N212">
        <v>24.86858347122369</v>
      </c>
    </row>
    <row r="213" spans="1:14">
      <c r="A213" t="s">
        <v>726</v>
      </c>
      <c r="B213" t="s">
        <v>4811</v>
      </c>
      <c r="C213" t="s">
        <v>4812</v>
      </c>
      <c r="D213" t="s">
        <v>11</v>
      </c>
      <c r="E213" t="s">
        <v>13</v>
      </c>
      <c r="F213" t="s">
        <v>729</v>
      </c>
      <c r="G213" t="s">
        <v>12</v>
      </c>
      <c r="I213" t="s">
        <v>4811</v>
      </c>
      <c r="J213" t="s">
        <v>6517</v>
      </c>
      <c r="K213">
        <v>8.9087876055414364E-2</v>
      </c>
      <c r="L213">
        <v>0.1265210804624107</v>
      </c>
      <c r="M213">
        <v>48.535698200642656</v>
      </c>
      <c r="N213">
        <v>53.389268020706929</v>
      </c>
    </row>
    <row r="214" spans="1:14">
      <c r="A214" t="s">
        <v>726</v>
      </c>
      <c r="B214" t="s">
        <v>4813</v>
      </c>
      <c r="C214" t="s">
        <v>4814</v>
      </c>
      <c r="D214" t="s">
        <v>11</v>
      </c>
      <c r="E214" t="s">
        <v>13</v>
      </c>
      <c r="F214" t="s">
        <v>729</v>
      </c>
      <c r="G214" t="s">
        <v>12</v>
      </c>
      <c r="I214" t="s">
        <v>4813</v>
      </c>
      <c r="J214" t="s">
        <v>6518</v>
      </c>
      <c r="K214">
        <v>0.94793125750873697</v>
      </c>
      <c r="L214">
        <v>0.2386409643526769</v>
      </c>
      <c r="M214">
        <v>60.556201740015752</v>
      </c>
      <c r="N214">
        <v>66.611821914017327</v>
      </c>
    </row>
    <row r="215" spans="1:14">
      <c r="A215" t="s">
        <v>726</v>
      </c>
      <c r="B215" t="s">
        <v>4815</v>
      </c>
      <c r="C215" t="s">
        <v>4816</v>
      </c>
      <c r="D215" t="s">
        <v>11</v>
      </c>
      <c r="E215" t="s">
        <v>13</v>
      </c>
      <c r="F215" t="s">
        <v>729</v>
      </c>
      <c r="G215" t="s">
        <v>12</v>
      </c>
      <c r="I215" t="s">
        <v>4815</v>
      </c>
      <c r="J215" t="s">
        <v>6519</v>
      </c>
      <c r="K215">
        <v>1.9402360725333134</v>
      </c>
      <c r="L215">
        <v>0.24426524933931459</v>
      </c>
      <c r="M215">
        <v>26.03805654181231</v>
      </c>
      <c r="N215">
        <v>28.641862195993543</v>
      </c>
    </row>
    <row r="216" spans="1:14">
      <c r="A216" t="s">
        <v>726</v>
      </c>
      <c r="B216" t="s">
        <v>4817</v>
      </c>
      <c r="C216" t="s">
        <v>4818</v>
      </c>
      <c r="D216" t="s">
        <v>11</v>
      </c>
      <c r="E216" t="s">
        <v>13</v>
      </c>
      <c r="F216" t="s">
        <v>729</v>
      </c>
      <c r="G216" t="s">
        <v>12</v>
      </c>
      <c r="I216" t="s">
        <v>4817</v>
      </c>
      <c r="J216" t="s">
        <v>6520</v>
      </c>
      <c r="K216">
        <v>3.2001456595751048</v>
      </c>
      <c r="L216">
        <v>0.25540946281320082</v>
      </c>
      <c r="M216">
        <v>23.868011418854767</v>
      </c>
      <c r="N216">
        <v>26.254812560740245</v>
      </c>
    </row>
    <row r="217" spans="1:14">
      <c r="A217" t="s">
        <v>726</v>
      </c>
      <c r="B217" t="s">
        <v>4819</v>
      </c>
      <c r="C217" t="s">
        <v>4820</v>
      </c>
      <c r="D217" t="s">
        <v>11</v>
      </c>
      <c r="E217" t="s">
        <v>13</v>
      </c>
      <c r="F217" t="s">
        <v>729</v>
      </c>
      <c r="G217" t="s">
        <v>12</v>
      </c>
      <c r="I217" t="s">
        <v>4819</v>
      </c>
      <c r="J217" t="s">
        <v>6521</v>
      </c>
      <c r="K217">
        <v>0.48742145030694861</v>
      </c>
      <c r="L217">
        <v>0.1391664313658858</v>
      </c>
      <c r="M217">
        <v>18.120542206445755</v>
      </c>
      <c r="N217">
        <v>19.932596427090331</v>
      </c>
    </row>
    <row r="218" spans="1:14">
      <c r="A218" t="s">
        <v>726</v>
      </c>
      <c r="B218" t="s">
        <v>4821</v>
      </c>
      <c r="C218" t="s">
        <v>4822</v>
      </c>
      <c r="D218" t="s">
        <v>11</v>
      </c>
      <c r="E218" t="s">
        <v>13</v>
      </c>
      <c r="F218" t="s">
        <v>729</v>
      </c>
      <c r="G218" t="s">
        <v>12</v>
      </c>
      <c r="I218" t="s">
        <v>4821</v>
      </c>
      <c r="J218" t="s">
        <v>6522</v>
      </c>
      <c r="K218">
        <v>4.8118806544036081</v>
      </c>
      <c r="L218">
        <v>0.246239437077899</v>
      </c>
      <c r="M218">
        <v>25.218536458105131</v>
      </c>
      <c r="N218">
        <v>27.740390103915647</v>
      </c>
    </row>
    <row r="219" spans="1:14">
      <c r="A219" t="s">
        <v>726</v>
      </c>
      <c r="B219" t="s">
        <v>4823</v>
      </c>
      <c r="C219" t="s">
        <v>4824</v>
      </c>
      <c r="D219" t="s">
        <v>11</v>
      </c>
      <c r="E219" t="s">
        <v>13</v>
      </c>
      <c r="F219" t="s">
        <v>729</v>
      </c>
      <c r="G219" t="s">
        <v>12</v>
      </c>
      <c r="I219" t="s">
        <v>4823</v>
      </c>
      <c r="J219" t="s">
        <v>6523</v>
      </c>
      <c r="K219">
        <v>72.980298674115176</v>
      </c>
      <c r="L219">
        <v>0.20191776356178159</v>
      </c>
      <c r="M219">
        <v>30.526363618385297</v>
      </c>
      <c r="N219">
        <v>33.578999980223827</v>
      </c>
    </row>
    <row r="220" spans="1:14">
      <c r="A220" t="s">
        <v>726</v>
      </c>
      <c r="B220" t="s">
        <v>4825</v>
      </c>
      <c r="C220" t="s">
        <v>4826</v>
      </c>
      <c r="D220" t="s">
        <v>11</v>
      </c>
      <c r="E220" t="s">
        <v>13</v>
      </c>
      <c r="F220" t="s">
        <v>729</v>
      </c>
      <c r="G220" t="s">
        <v>12</v>
      </c>
      <c r="I220" t="s">
        <v>4825</v>
      </c>
      <c r="J220" t="s">
        <v>6524</v>
      </c>
      <c r="K220">
        <v>50.385565501045264</v>
      </c>
      <c r="L220">
        <v>0.2424388520150523</v>
      </c>
      <c r="M220">
        <v>31.521721049835133</v>
      </c>
      <c r="N220">
        <v>34.67389315481865</v>
      </c>
    </row>
    <row r="221" spans="1:14">
      <c r="A221" t="s">
        <v>726</v>
      </c>
      <c r="B221" t="s">
        <v>4827</v>
      </c>
      <c r="C221" t="s">
        <v>4828</v>
      </c>
      <c r="D221" t="s">
        <v>11</v>
      </c>
      <c r="E221" t="s">
        <v>13</v>
      </c>
      <c r="F221" t="s">
        <v>729</v>
      </c>
      <c r="G221" t="s">
        <v>12</v>
      </c>
      <c r="I221" t="s">
        <v>4827</v>
      </c>
      <c r="J221" t="s">
        <v>6525</v>
      </c>
      <c r="K221">
        <v>51.142640577566326</v>
      </c>
      <c r="L221">
        <v>0.2177813094492089</v>
      </c>
      <c r="M221">
        <v>30.715667829273752</v>
      </c>
      <c r="N221">
        <v>33.787234612201132</v>
      </c>
    </row>
    <row r="222" spans="1:14">
      <c r="A222" t="s">
        <v>726</v>
      </c>
      <c r="B222" t="s">
        <v>4829</v>
      </c>
      <c r="C222" t="s">
        <v>4830</v>
      </c>
      <c r="D222" t="s">
        <v>11</v>
      </c>
      <c r="E222" t="s">
        <v>13</v>
      </c>
      <c r="F222" t="s">
        <v>729</v>
      </c>
      <c r="G222" t="s">
        <v>12</v>
      </c>
      <c r="I222" t="s">
        <v>4829</v>
      </c>
      <c r="J222" t="s">
        <v>6526</v>
      </c>
      <c r="K222">
        <v>46.860215212848544</v>
      </c>
      <c r="L222">
        <v>0.24660363370672769</v>
      </c>
      <c r="M222">
        <v>27.873264286378681</v>
      </c>
      <c r="N222">
        <v>30.660590715016554</v>
      </c>
    </row>
    <row r="223" spans="1:14">
      <c r="A223" t="s">
        <v>726</v>
      </c>
      <c r="B223" t="s">
        <v>4831</v>
      </c>
      <c r="C223" t="s">
        <v>4832</v>
      </c>
      <c r="D223" t="s">
        <v>11</v>
      </c>
      <c r="E223" t="s">
        <v>13</v>
      </c>
      <c r="F223" t="s">
        <v>729</v>
      </c>
      <c r="G223" t="s">
        <v>12</v>
      </c>
      <c r="I223" t="s">
        <v>4831</v>
      </c>
      <c r="J223" t="s">
        <v>6527</v>
      </c>
      <c r="K223">
        <v>79.362778177778793</v>
      </c>
      <c r="L223">
        <v>0.3211355802385743</v>
      </c>
      <c r="M223">
        <v>30.575023297653331</v>
      </c>
      <c r="N223">
        <v>33.632525627418666</v>
      </c>
    </row>
    <row r="224" spans="1:14">
      <c r="A224" t="s">
        <v>726</v>
      </c>
      <c r="B224" t="s">
        <v>4833</v>
      </c>
      <c r="C224" t="s">
        <v>4834</v>
      </c>
      <c r="D224" t="s">
        <v>11</v>
      </c>
      <c r="E224" t="s">
        <v>13</v>
      </c>
      <c r="F224" t="s">
        <v>729</v>
      </c>
      <c r="G224" t="s">
        <v>12</v>
      </c>
      <c r="I224" t="s">
        <v>4833</v>
      </c>
      <c r="J224" t="s">
        <v>6528</v>
      </c>
      <c r="K224">
        <v>107.36000390495548</v>
      </c>
      <c r="L224">
        <v>0.26643247422890709</v>
      </c>
      <c r="M224">
        <v>25.165534731435056</v>
      </c>
      <c r="N224">
        <v>27.682088204578562</v>
      </c>
    </row>
    <row r="225" spans="1:14">
      <c r="A225" t="s">
        <v>726</v>
      </c>
      <c r="B225" t="s">
        <v>4835</v>
      </c>
      <c r="C225" t="s">
        <v>4836</v>
      </c>
      <c r="D225" t="s">
        <v>11</v>
      </c>
      <c r="E225" t="s">
        <v>13</v>
      </c>
      <c r="F225" t="s">
        <v>729</v>
      </c>
      <c r="G225" t="s">
        <v>12</v>
      </c>
      <c r="I225" t="s">
        <v>4835</v>
      </c>
      <c r="J225" t="s">
        <v>6529</v>
      </c>
      <c r="K225">
        <v>74.225975444674503</v>
      </c>
      <c r="L225">
        <v>0.42836881269341243</v>
      </c>
      <c r="M225">
        <v>33.359439147611404</v>
      </c>
      <c r="N225">
        <v>36.695383062372549</v>
      </c>
    </row>
    <row r="226" spans="1:14">
      <c r="A226" t="s">
        <v>726</v>
      </c>
      <c r="B226" t="s">
        <v>4837</v>
      </c>
      <c r="C226" t="s">
        <v>4838</v>
      </c>
      <c r="D226" t="s">
        <v>11</v>
      </c>
      <c r="E226" t="s">
        <v>13</v>
      </c>
      <c r="F226" t="s">
        <v>729</v>
      </c>
      <c r="G226" t="s">
        <v>12</v>
      </c>
      <c r="I226" t="s">
        <v>4837</v>
      </c>
      <c r="J226" t="s">
        <v>6530</v>
      </c>
      <c r="K226">
        <v>111.64419327836403</v>
      </c>
      <c r="L226">
        <v>0.31970521452916978</v>
      </c>
      <c r="M226">
        <v>19.484214147910397</v>
      </c>
      <c r="N226">
        <v>21.432635562701439</v>
      </c>
    </row>
    <row r="227" spans="1:14">
      <c r="A227" t="s">
        <v>726</v>
      </c>
      <c r="B227" t="s">
        <v>4839</v>
      </c>
      <c r="C227" t="s">
        <v>4840</v>
      </c>
      <c r="D227" t="s">
        <v>11</v>
      </c>
      <c r="E227" t="s">
        <v>13</v>
      </c>
      <c r="F227" t="s">
        <v>729</v>
      </c>
      <c r="G227" t="s">
        <v>12</v>
      </c>
      <c r="I227" t="s">
        <v>4839</v>
      </c>
      <c r="J227" t="s">
        <v>6531</v>
      </c>
      <c r="K227">
        <v>106.95029083627136</v>
      </c>
      <c r="L227">
        <v>0.31021240693358398</v>
      </c>
      <c r="M227">
        <v>23.129007926610463</v>
      </c>
      <c r="N227">
        <v>25.44190871927151</v>
      </c>
    </row>
    <row r="228" spans="1:14">
      <c r="A228" t="s">
        <v>726</v>
      </c>
      <c r="B228" t="s">
        <v>4841</v>
      </c>
      <c r="C228" t="s">
        <v>4842</v>
      </c>
      <c r="D228" t="s">
        <v>11</v>
      </c>
      <c r="E228" t="s">
        <v>13</v>
      </c>
      <c r="F228" t="s">
        <v>729</v>
      </c>
      <c r="G228" t="s">
        <v>12</v>
      </c>
      <c r="I228" t="s">
        <v>4841</v>
      </c>
      <c r="J228" t="s">
        <v>6532</v>
      </c>
      <c r="K228">
        <v>79.552835346383219</v>
      </c>
      <c r="L228">
        <v>0.17280435224143259</v>
      </c>
      <c r="M228">
        <v>37.799018560440935</v>
      </c>
      <c r="N228">
        <v>41.578920416485033</v>
      </c>
    </row>
    <row r="229" spans="1:14">
      <c r="A229" t="s">
        <v>726</v>
      </c>
      <c r="B229" t="s">
        <v>4843</v>
      </c>
      <c r="C229" t="s">
        <v>4844</v>
      </c>
      <c r="D229" t="s">
        <v>11</v>
      </c>
      <c r="E229" t="s">
        <v>13</v>
      </c>
      <c r="F229" t="s">
        <v>729</v>
      </c>
      <c r="G229" t="s">
        <v>12</v>
      </c>
      <c r="I229" t="s">
        <v>4843</v>
      </c>
      <c r="J229" t="s">
        <v>6533</v>
      </c>
      <c r="K229">
        <v>177.59852384281959</v>
      </c>
      <c r="L229">
        <v>0.24077561608346379</v>
      </c>
      <c r="M229">
        <v>21.934934370403202</v>
      </c>
      <c r="N229">
        <v>24.128427807443522</v>
      </c>
    </row>
    <row r="230" spans="1:14">
      <c r="A230" t="s">
        <v>726</v>
      </c>
      <c r="B230" t="s">
        <v>4845</v>
      </c>
      <c r="C230" t="s">
        <v>4846</v>
      </c>
      <c r="D230" t="s">
        <v>11</v>
      </c>
      <c r="E230" t="s">
        <v>13</v>
      </c>
      <c r="F230" t="s">
        <v>729</v>
      </c>
      <c r="G230" t="s">
        <v>12</v>
      </c>
      <c r="I230" t="s">
        <v>4845</v>
      </c>
      <c r="J230" t="s">
        <v>6534</v>
      </c>
      <c r="K230">
        <v>89.584312990046456</v>
      </c>
      <c r="L230">
        <v>0.16516117626079399</v>
      </c>
      <c r="M230">
        <v>15.76932338369468</v>
      </c>
      <c r="N230">
        <v>17.34625572206415</v>
      </c>
    </row>
    <row r="231" spans="1:14">
      <c r="A231" t="s">
        <v>726</v>
      </c>
      <c r="B231" t="s">
        <v>4847</v>
      </c>
      <c r="C231" t="s">
        <v>4848</v>
      </c>
      <c r="D231" t="s">
        <v>11</v>
      </c>
      <c r="E231" t="s">
        <v>13</v>
      </c>
      <c r="F231" t="s">
        <v>729</v>
      </c>
      <c r="G231" t="s">
        <v>12</v>
      </c>
      <c r="I231" t="s">
        <v>4847</v>
      </c>
      <c r="J231" t="s">
        <v>6535</v>
      </c>
      <c r="K231">
        <v>1.0730796020277122</v>
      </c>
      <c r="L231">
        <v>0.15230927768991989</v>
      </c>
      <c r="M231">
        <v>26.595004833200608</v>
      </c>
      <c r="N231">
        <v>29.254505316520671</v>
      </c>
    </row>
    <row r="232" spans="1:14">
      <c r="A232" t="s">
        <v>726</v>
      </c>
      <c r="B232" t="s">
        <v>4849</v>
      </c>
      <c r="C232" t="s">
        <v>4850</v>
      </c>
      <c r="D232" t="s">
        <v>11</v>
      </c>
      <c r="E232" t="s">
        <v>13</v>
      </c>
      <c r="F232" t="s">
        <v>729</v>
      </c>
      <c r="G232" t="s">
        <v>12</v>
      </c>
      <c r="I232" t="s">
        <v>4849</v>
      </c>
      <c r="J232" t="s">
        <v>6536</v>
      </c>
      <c r="K232">
        <v>16.168445770287729</v>
      </c>
      <c r="L232">
        <v>0.18908713874604141</v>
      </c>
      <c r="M232">
        <v>66.167161505188318</v>
      </c>
      <c r="N232">
        <v>72.783877655707158</v>
      </c>
    </row>
    <row r="233" spans="1:14">
      <c r="A233" t="s">
        <v>726</v>
      </c>
      <c r="B233" t="s">
        <v>4851</v>
      </c>
      <c r="C233" t="s">
        <v>4852</v>
      </c>
      <c r="D233" t="s">
        <v>11</v>
      </c>
      <c r="E233" t="s">
        <v>13</v>
      </c>
      <c r="F233" t="s">
        <v>729</v>
      </c>
      <c r="G233" t="s">
        <v>12</v>
      </c>
      <c r="I233" t="s">
        <v>4851</v>
      </c>
      <c r="J233" t="s">
        <v>6537</v>
      </c>
      <c r="K233">
        <v>22.819797541745682</v>
      </c>
      <c r="L233">
        <v>0.50174193310657589</v>
      </c>
      <c r="M233">
        <v>45.494602329466147</v>
      </c>
      <c r="N233">
        <v>50.044062562412769</v>
      </c>
    </row>
    <row r="234" spans="1:14">
      <c r="A234" t="s">
        <v>726</v>
      </c>
      <c r="B234" t="s">
        <v>4853</v>
      </c>
      <c r="C234" t="s">
        <v>4854</v>
      </c>
      <c r="D234" t="s">
        <v>11</v>
      </c>
      <c r="E234" t="s">
        <v>13</v>
      </c>
      <c r="F234" t="s">
        <v>729</v>
      </c>
      <c r="G234" t="s">
        <v>12</v>
      </c>
      <c r="I234" t="s">
        <v>4853</v>
      </c>
      <c r="J234" t="s">
        <v>6538</v>
      </c>
      <c r="K234">
        <v>22.900178789689871</v>
      </c>
      <c r="L234">
        <v>0.50980710257672313</v>
      </c>
      <c r="M234">
        <v>47.962595254138655</v>
      </c>
      <c r="N234">
        <v>52.758854779552522</v>
      </c>
    </row>
    <row r="235" spans="1:14">
      <c r="A235" t="s">
        <v>726</v>
      </c>
      <c r="B235" t="s">
        <v>4855</v>
      </c>
      <c r="C235" t="s">
        <v>4856</v>
      </c>
      <c r="D235" t="s">
        <v>11</v>
      </c>
      <c r="E235" t="s">
        <v>13</v>
      </c>
      <c r="F235" t="s">
        <v>729</v>
      </c>
      <c r="G235" t="s">
        <v>12</v>
      </c>
      <c r="I235" t="s">
        <v>4855</v>
      </c>
      <c r="J235" t="s">
        <v>6539</v>
      </c>
      <c r="K235">
        <v>21.166212086783638</v>
      </c>
      <c r="L235">
        <v>0.50664096587399621</v>
      </c>
      <c r="M235">
        <v>42.655370030467672</v>
      </c>
      <c r="N235">
        <v>46.920907033514446</v>
      </c>
    </row>
    <row r="236" spans="1:14">
      <c r="A236" t="s">
        <v>726</v>
      </c>
      <c r="B236" t="s">
        <v>4857</v>
      </c>
      <c r="C236" t="s">
        <v>4858</v>
      </c>
      <c r="D236" t="s">
        <v>11</v>
      </c>
      <c r="E236" t="s">
        <v>13</v>
      </c>
      <c r="F236" t="s">
        <v>729</v>
      </c>
      <c r="G236" t="s">
        <v>12</v>
      </c>
      <c r="I236" t="s">
        <v>4857</v>
      </c>
      <c r="J236" t="s">
        <v>6540</v>
      </c>
      <c r="K236">
        <v>50.135095538474332</v>
      </c>
      <c r="L236">
        <v>0.46965825050173499</v>
      </c>
      <c r="M236">
        <v>34.495280832788318</v>
      </c>
      <c r="N236">
        <v>37.944808916067153</v>
      </c>
    </row>
    <row r="237" spans="1:14">
      <c r="A237" t="s">
        <v>726</v>
      </c>
      <c r="B237" t="s">
        <v>4859</v>
      </c>
      <c r="C237" t="s">
        <v>4860</v>
      </c>
      <c r="D237" t="s">
        <v>11</v>
      </c>
      <c r="E237" t="s">
        <v>13</v>
      </c>
      <c r="F237" t="s">
        <v>729</v>
      </c>
      <c r="G237" t="s">
        <v>12</v>
      </c>
      <c r="I237" t="s">
        <v>4859</v>
      </c>
      <c r="J237" t="s">
        <v>6541</v>
      </c>
      <c r="K237">
        <v>1.3217959411941937</v>
      </c>
      <c r="L237">
        <v>0.20771823197896411</v>
      </c>
      <c r="M237">
        <v>15.260080035935076</v>
      </c>
      <c r="N237">
        <v>16.786088039528586</v>
      </c>
    </row>
    <row r="238" spans="1:14">
      <c r="A238" t="s">
        <v>726</v>
      </c>
      <c r="B238" t="s">
        <v>4861</v>
      </c>
      <c r="C238" t="s">
        <v>4862</v>
      </c>
      <c r="D238" t="s">
        <v>11</v>
      </c>
      <c r="E238" t="s">
        <v>13</v>
      </c>
      <c r="F238" t="s">
        <v>729</v>
      </c>
      <c r="G238" t="s">
        <v>12</v>
      </c>
      <c r="I238" t="s">
        <v>4861</v>
      </c>
      <c r="J238" t="s">
        <v>6542</v>
      </c>
      <c r="K238">
        <v>0.91510264981454392</v>
      </c>
      <c r="L238">
        <v>0.1762404671944012</v>
      </c>
      <c r="M238">
        <v>21.850962954335252</v>
      </c>
      <c r="N238">
        <v>24.03605924976878</v>
      </c>
    </row>
    <row r="239" spans="1:14">
      <c r="A239" t="s">
        <v>726</v>
      </c>
      <c r="B239" t="s">
        <v>4863</v>
      </c>
      <c r="C239" t="s">
        <v>4864</v>
      </c>
      <c r="D239" t="s">
        <v>11</v>
      </c>
      <c r="E239" t="s">
        <v>13</v>
      </c>
      <c r="F239" t="s">
        <v>729</v>
      </c>
      <c r="G239" t="s">
        <v>12</v>
      </c>
      <c r="I239" t="s">
        <v>4863</v>
      </c>
      <c r="J239" t="s">
        <v>6543</v>
      </c>
      <c r="K239">
        <v>0.35730422903082393</v>
      </c>
      <c r="L239">
        <v>0.1016653913270292</v>
      </c>
      <c r="M239">
        <v>55.167495353010743</v>
      </c>
      <c r="N239">
        <v>60.684244888311824</v>
      </c>
    </row>
    <row r="240" spans="1:14">
      <c r="A240" t="s">
        <v>726</v>
      </c>
      <c r="B240" t="s">
        <v>4865</v>
      </c>
      <c r="C240" t="s">
        <v>4866</v>
      </c>
      <c r="D240" t="s">
        <v>11</v>
      </c>
      <c r="E240" t="s">
        <v>13</v>
      </c>
      <c r="F240" t="s">
        <v>729</v>
      </c>
      <c r="G240" t="s">
        <v>12</v>
      </c>
      <c r="I240" t="s">
        <v>4865</v>
      </c>
      <c r="J240" t="s">
        <v>6544</v>
      </c>
      <c r="K240">
        <v>6.8430234915393156</v>
      </c>
      <c r="L240">
        <v>0.1520510380862149</v>
      </c>
      <c r="M240">
        <v>18.765776012645368</v>
      </c>
      <c r="N240">
        <v>20.642353613909908</v>
      </c>
    </row>
    <row r="241" spans="1:14">
      <c r="A241" t="s">
        <v>726</v>
      </c>
      <c r="B241" t="s">
        <v>4867</v>
      </c>
      <c r="C241" t="s">
        <v>4868</v>
      </c>
      <c r="D241" t="s">
        <v>11</v>
      </c>
      <c r="E241" t="s">
        <v>13</v>
      </c>
      <c r="F241" t="s">
        <v>729</v>
      </c>
      <c r="G241" t="s">
        <v>12</v>
      </c>
      <c r="I241" t="s">
        <v>4867</v>
      </c>
      <c r="J241" t="s">
        <v>6545</v>
      </c>
      <c r="K241">
        <v>38.566850937358645</v>
      </c>
      <c r="L241">
        <v>0.2977480251668263</v>
      </c>
      <c r="M241">
        <v>70.793527317517984</v>
      </c>
      <c r="N241">
        <v>77.872880049269796</v>
      </c>
    </row>
    <row r="242" spans="1:14">
      <c r="A242" t="s">
        <v>726</v>
      </c>
      <c r="B242" t="s">
        <v>4869</v>
      </c>
      <c r="C242" t="s">
        <v>4870</v>
      </c>
      <c r="D242" t="s">
        <v>11</v>
      </c>
      <c r="E242" t="s">
        <v>13</v>
      </c>
      <c r="F242" t="s">
        <v>729</v>
      </c>
      <c r="G242" t="s">
        <v>12</v>
      </c>
      <c r="I242" t="s">
        <v>4869</v>
      </c>
      <c r="J242" t="s">
        <v>6546</v>
      </c>
      <c r="K242">
        <v>21.441413037950792</v>
      </c>
      <c r="L242">
        <v>0.20303130232225919</v>
      </c>
      <c r="M242">
        <v>27.295509486696631</v>
      </c>
      <c r="N242">
        <v>30.025060435366296</v>
      </c>
    </row>
    <row r="243" spans="1:14">
      <c r="A243" t="s">
        <v>726</v>
      </c>
      <c r="B243" t="s">
        <v>4871</v>
      </c>
      <c r="C243" t="s">
        <v>4872</v>
      </c>
      <c r="D243" t="s">
        <v>11</v>
      </c>
      <c r="E243" t="s">
        <v>13</v>
      </c>
      <c r="F243" t="s">
        <v>729</v>
      </c>
      <c r="G243" t="s">
        <v>12</v>
      </c>
      <c r="I243" t="s">
        <v>4871</v>
      </c>
      <c r="J243" t="s">
        <v>6547</v>
      </c>
      <c r="K243">
        <v>146.53466784608869</v>
      </c>
      <c r="L243">
        <v>0.37697990976264012</v>
      </c>
      <c r="M243">
        <v>500.8807012164437</v>
      </c>
      <c r="N243">
        <v>550.96877133808812</v>
      </c>
    </row>
    <row r="244" spans="1:14">
      <c r="A244" t="s">
        <v>726</v>
      </c>
      <c r="B244" t="s">
        <v>4873</v>
      </c>
      <c r="C244" t="s">
        <v>4874</v>
      </c>
      <c r="D244" t="s">
        <v>11</v>
      </c>
      <c r="E244" t="s">
        <v>13</v>
      </c>
      <c r="F244" t="s">
        <v>729</v>
      </c>
      <c r="G244" t="s">
        <v>12</v>
      </c>
      <c r="I244" t="s">
        <v>4873</v>
      </c>
      <c r="J244" t="s">
        <v>6548</v>
      </c>
      <c r="K244">
        <v>261.58248492426549</v>
      </c>
      <c r="L244">
        <v>0.39366551283537421</v>
      </c>
      <c r="M244">
        <v>247.54239014671629</v>
      </c>
      <c r="N244">
        <v>272.29662916138795</v>
      </c>
    </row>
    <row r="245" spans="1:14">
      <c r="A245" t="s">
        <v>726</v>
      </c>
      <c r="B245" t="s">
        <v>4875</v>
      </c>
      <c r="C245" t="s">
        <v>4876</v>
      </c>
      <c r="D245" t="s">
        <v>11</v>
      </c>
      <c r="E245" t="s">
        <v>13</v>
      </c>
      <c r="F245" t="s">
        <v>729</v>
      </c>
      <c r="G245" t="s">
        <v>12</v>
      </c>
      <c r="I245" t="s">
        <v>4875</v>
      </c>
      <c r="J245" t="s">
        <v>6549</v>
      </c>
      <c r="K245">
        <v>188.98187635856306</v>
      </c>
      <c r="L245">
        <v>0.2373351191240666</v>
      </c>
      <c r="M245">
        <v>417.07127983986624</v>
      </c>
      <c r="N245">
        <v>458.77840782385289</v>
      </c>
    </row>
    <row r="246" spans="1:14">
      <c r="A246" t="s">
        <v>726</v>
      </c>
      <c r="B246" t="s">
        <v>4877</v>
      </c>
      <c r="C246" t="s">
        <v>4878</v>
      </c>
      <c r="D246" t="s">
        <v>11</v>
      </c>
      <c r="E246" t="s">
        <v>13</v>
      </c>
      <c r="F246" t="s">
        <v>729</v>
      </c>
      <c r="G246" t="s">
        <v>12</v>
      </c>
      <c r="I246" t="s">
        <v>4877</v>
      </c>
      <c r="J246" t="s">
        <v>6550</v>
      </c>
      <c r="K246">
        <v>165.87490953452345</v>
      </c>
      <c r="L246">
        <v>0.2035972982097044</v>
      </c>
      <c r="M246">
        <v>271.92689825805911</v>
      </c>
      <c r="N246">
        <v>299.11958808386504</v>
      </c>
    </row>
    <row r="247" spans="1:14">
      <c r="A247" t="s">
        <v>726</v>
      </c>
      <c r="B247" t="s">
        <v>4879</v>
      </c>
      <c r="C247" t="s">
        <v>4878</v>
      </c>
      <c r="D247" t="s">
        <v>11</v>
      </c>
      <c r="E247" t="s">
        <v>13</v>
      </c>
      <c r="F247" t="s">
        <v>729</v>
      </c>
      <c r="G247" t="s">
        <v>12</v>
      </c>
      <c r="I247" t="s">
        <v>4879</v>
      </c>
      <c r="J247" t="s">
        <v>6551</v>
      </c>
      <c r="K247">
        <v>289.77534959398048</v>
      </c>
      <c r="L247">
        <v>0.32848456747037719</v>
      </c>
      <c r="M247">
        <v>313.89068127299942</v>
      </c>
      <c r="N247">
        <v>345.27974940029941</v>
      </c>
    </row>
    <row r="248" spans="1:14">
      <c r="A248" t="s">
        <v>726</v>
      </c>
      <c r="B248" t="s">
        <v>4880</v>
      </c>
      <c r="C248" t="s">
        <v>4881</v>
      </c>
      <c r="D248" t="s">
        <v>11</v>
      </c>
      <c r="E248" t="s">
        <v>13</v>
      </c>
      <c r="F248" t="s">
        <v>729</v>
      </c>
      <c r="G248" t="s">
        <v>12</v>
      </c>
      <c r="I248" t="s">
        <v>4880</v>
      </c>
      <c r="J248" t="s">
        <v>6552</v>
      </c>
      <c r="K248">
        <v>418.15632255967483</v>
      </c>
      <c r="L248">
        <v>0.39463043815567439</v>
      </c>
      <c r="M248">
        <v>276.10846275349468</v>
      </c>
      <c r="N248">
        <v>303.71930902884418</v>
      </c>
    </row>
    <row r="249" spans="1:14">
      <c r="A249" t="s">
        <v>726</v>
      </c>
      <c r="B249" t="s">
        <v>4882</v>
      </c>
      <c r="C249" t="s">
        <v>4878</v>
      </c>
      <c r="D249" t="s">
        <v>11</v>
      </c>
      <c r="E249" t="s">
        <v>13</v>
      </c>
      <c r="F249" t="s">
        <v>729</v>
      </c>
      <c r="G249" t="s">
        <v>12</v>
      </c>
      <c r="I249" t="s">
        <v>4882</v>
      </c>
      <c r="J249" t="s">
        <v>6553</v>
      </c>
      <c r="K249">
        <v>110.84392867921285</v>
      </c>
      <c r="L249">
        <v>0.2636412750406904</v>
      </c>
      <c r="M249">
        <v>264.90261647245381</v>
      </c>
      <c r="N249">
        <v>291.39287811969922</v>
      </c>
    </row>
    <row r="250" spans="1:14">
      <c r="A250" t="s">
        <v>726</v>
      </c>
      <c r="B250" t="s">
        <v>4883</v>
      </c>
      <c r="C250" t="s">
        <v>4878</v>
      </c>
      <c r="D250" t="s">
        <v>11</v>
      </c>
      <c r="E250" t="s">
        <v>13</v>
      </c>
      <c r="F250" t="s">
        <v>729</v>
      </c>
      <c r="G250" t="s">
        <v>12</v>
      </c>
      <c r="I250" t="s">
        <v>4883</v>
      </c>
      <c r="J250" t="s">
        <v>6554</v>
      </c>
      <c r="K250">
        <v>203.30040961233982</v>
      </c>
      <c r="L250">
        <v>0.29875720464417288</v>
      </c>
      <c r="M250">
        <v>418.70170302887448</v>
      </c>
      <c r="N250">
        <v>460.57187333176194</v>
      </c>
    </row>
    <row r="251" spans="1:14">
      <c r="A251" t="s">
        <v>726</v>
      </c>
      <c r="B251" t="s">
        <v>4884</v>
      </c>
      <c r="C251" t="s">
        <v>4885</v>
      </c>
      <c r="D251" t="s">
        <v>11</v>
      </c>
      <c r="E251" t="s">
        <v>13</v>
      </c>
      <c r="F251" t="s">
        <v>729</v>
      </c>
      <c r="G251" t="s">
        <v>12</v>
      </c>
      <c r="I251" t="s">
        <v>4884</v>
      </c>
      <c r="J251" t="s">
        <v>6555</v>
      </c>
      <c r="K251">
        <v>261.65925164516523</v>
      </c>
      <c r="L251">
        <v>0.35881409299412848</v>
      </c>
      <c r="M251">
        <v>237.47520271704329</v>
      </c>
      <c r="N251">
        <v>261.22272298874765</v>
      </c>
    </row>
    <row r="252" spans="1:14">
      <c r="A252" t="s">
        <v>726</v>
      </c>
      <c r="B252" t="s">
        <v>4886</v>
      </c>
      <c r="C252" t="s">
        <v>4881</v>
      </c>
      <c r="D252" t="s">
        <v>11</v>
      </c>
      <c r="E252" t="s">
        <v>13</v>
      </c>
      <c r="F252" t="s">
        <v>729</v>
      </c>
      <c r="G252" t="s">
        <v>12</v>
      </c>
      <c r="I252" t="s">
        <v>4886</v>
      </c>
      <c r="J252" t="s">
        <v>6556</v>
      </c>
      <c r="K252">
        <v>415.47473459267042</v>
      </c>
      <c r="L252">
        <v>0.3906178137763594</v>
      </c>
      <c r="M252">
        <v>251.53299191886543</v>
      </c>
      <c r="N252">
        <v>276.68629111075199</v>
      </c>
    </row>
    <row r="253" spans="1:14">
      <c r="A253" t="s">
        <v>726</v>
      </c>
      <c r="B253" t="s">
        <v>4887</v>
      </c>
      <c r="C253" t="s">
        <v>4888</v>
      </c>
      <c r="D253" t="s">
        <v>11</v>
      </c>
      <c r="E253" t="s">
        <v>13</v>
      </c>
      <c r="F253" t="s">
        <v>729</v>
      </c>
      <c r="G253" t="s">
        <v>12</v>
      </c>
      <c r="I253" t="s">
        <v>4887</v>
      </c>
      <c r="J253" t="s">
        <v>6557</v>
      </c>
      <c r="K253">
        <v>233.04347735107515</v>
      </c>
      <c r="L253">
        <v>0.35151513661452322</v>
      </c>
      <c r="M253">
        <v>122.17604038543359</v>
      </c>
      <c r="N253">
        <v>134.39364442397695</v>
      </c>
    </row>
    <row r="254" spans="1:14">
      <c r="A254" t="s">
        <v>726</v>
      </c>
      <c r="B254" t="s">
        <v>4889</v>
      </c>
      <c r="C254" t="s">
        <v>4890</v>
      </c>
      <c r="D254" t="s">
        <v>11</v>
      </c>
      <c r="E254" t="s">
        <v>13</v>
      </c>
      <c r="F254" t="s">
        <v>729</v>
      </c>
      <c r="G254" t="s">
        <v>12</v>
      </c>
      <c r="I254" t="s">
        <v>4889</v>
      </c>
      <c r="J254" t="s">
        <v>6558</v>
      </c>
      <c r="K254">
        <v>74.818998760789313</v>
      </c>
      <c r="L254">
        <v>0.33424622460469861</v>
      </c>
      <c r="M254">
        <v>51.448608064109962</v>
      </c>
      <c r="N254">
        <v>56.593468870520965</v>
      </c>
    </row>
    <row r="255" spans="1:14">
      <c r="A255" t="s">
        <v>726</v>
      </c>
      <c r="B255" t="s">
        <v>4891</v>
      </c>
      <c r="C255" t="s">
        <v>4892</v>
      </c>
      <c r="D255" t="s">
        <v>11</v>
      </c>
      <c r="E255" t="s">
        <v>13</v>
      </c>
      <c r="F255" t="s">
        <v>729</v>
      </c>
      <c r="G255" t="s">
        <v>12</v>
      </c>
      <c r="I255" t="s">
        <v>4891</v>
      </c>
      <c r="J255" t="s">
        <v>6559</v>
      </c>
      <c r="K255">
        <v>369.29280010302057</v>
      </c>
      <c r="L255">
        <v>0.37251473829673559</v>
      </c>
      <c r="M255">
        <v>141.12494850715365</v>
      </c>
      <c r="N255">
        <v>155.23744335786901</v>
      </c>
    </row>
    <row r="256" spans="1:14">
      <c r="A256" t="s">
        <v>726</v>
      </c>
      <c r="B256" t="s">
        <v>4893</v>
      </c>
      <c r="C256" t="s">
        <v>4894</v>
      </c>
      <c r="D256" t="s">
        <v>11</v>
      </c>
      <c r="E256" t="s">
        <v>13</v>
      </c>
      <c r="F256" t="s">
        <v>729</v>
      </c>
      <c r="G256" t="s">
        <v>12</v>
      </c>
      <c r="I256" t="s">
        <v>4893</v>
      </c>
      <c r="J256" t="s">
        <v>6560</v>
      </c>
      <c r="K256">
        <v>5.6092161448325859</v>
      </c>
      <c r="L256">
        <v>0.15868065252709571</v>
      </c>
      <c r="M256">
        <v>1126.3516179249673</v>
      </c>
      <c r="N256">
        <v>1238.9867797174641</v>
      </c>
    </row>
    <row r="257" spans="1:14">
      <c r="A257" t="s">
        <v>726</v>
      </c>
      <c r="B257" t="s">
        <v>4895</v>
      </c>
      <c r="C257" t="s">
        <v>4894</v>
      </c>
      <c r="D257" t="s">
        <v>11</v>
      </c>
      <c r="E257" t="s">
        <v>13</v>
      </c>
      <c r="F257" t="s">
        <v>729</v>
      </c>
      <c r="G257" t="s">
        <v>12</v>
      </c>
      <c r="I257" t="s">
        <v>4895</v>
      </c>
      <c r="J257" t="s">
        <v>6561</v>
      </c>
      <c r="K257">
        <v>4.8960267674165276</v>
      </c>
      <c r="L257">
        <v>0.17769807774578389</v>
      </c>
      <c r="M257">
        <v>1090.0151338140809</v>
      </c>
      <c r="N257">
        <v>1199.016647195489</v>
      </c>
    </row>
    <row r="258" spans="1:14">
      <c r="A258" t="s">
        <v>726</v>
      </c>
      <c r="B258" t="s">
        <v>4896</v>
      </c>
      <c r="C258" t="s">
        <v>4897</v>
      </c>
      <c r="D258" t="s">
        <v>11</v>
      </c>
      <c r="E258" t="s">
        <v>13</v>
      </c>
      <c r="F258" t="s">
        <v>729</v>
      </c>
      <c r="G258" t="s">
        <v>12</v>
      </c>
      <c r="I258" t="s">
        <v>4896</v>
      </c>
      <c r="J258" t="s">
        <v>6562</v>
      </c>
      <c r="K258">
        <v>3.2388079741943625</v>
      </c>
      <c r="L258">
        <v>0.14196015679784491</v>
      </c>
      <c r="M258">
        <v>57.123166784899652</v>
      </c>
      <c r="N258">
        <v>62.835483463389622</v>
      </c>
    </row>
    <row r="259" spans="1:14">
      <c r="A259" t="s">
        <v>726</v>
      </c>
      <c r="B259" t="s">
        <v>4898</v>
      </c>
      <c r="C259" t="s">
        <v>4894</v>
      </c>
      <c r="D259" t="s">
        <v>11</v>
      </c>
      <c r="E259" t="s">
        <v>13</v>
      </c>
      <c r="F259" t="s">
        <v>729</v>
      </c>
      <c r="G259" t="s">
        <v>12</v>
      </c>
      <c r="I259" t="s">
        <v>4898</v>
      </c>
      <c r="J259" t="s">
        <v>6563</v>
      </c>
      <c r="K259">
        <v>1.8825657929377209</v>
      </c>
      <c r="L259">
        <v>0.12518033140190379</v>
      </c>
      <c r="M259">
        <v>62.08674217476127</v>
      </c>
      <c r="N259">
        <v>68.295416392237399</v>
      </c>
    </row>
    <row r="260" spans="1:14">
      <c r="A260" t="s">
        <v>726</v>
      </c>
      <c r="B260" t="s">
        <v>4899</v>
      </c>
      <c r="C260" t="s">
        <v>4900</v>
      </c>
      <c r="D260" t="s">
        <v>11</v>
      </c>
      <c r="E260" t="s">
        <v>13</v>
      </c>
      <c r="F260" t="s">
        <v>729</v>
      </c>
      <c r="G260" t="s">
        <v>12</v>
      </c>
      <c r="I260" t="s">
        <v>4899</v>
      </c>
      <c r="J260" t="s">
        <v>6564</v>
      </c>
      <c r="K260">
        <v>102.01310247373769</v>
      </c>
      <c r="L260">
        <v>0.24981470396295999</v>
      </c>
      <c r="M260">
        <v>341.78313003187174</v>
      </c>
      <c r="N260">
        <v>375.96144303505895</v>
      </c>
    </row>
    <row r="261" spans="1:14">
      <c r="A261" t="s">
        <v>726</v>
      </c>
      <c r="B261" t="s">
        <v>4901</v>
      </c>
      <c r="C261" t="s">
        <v>4902</v>
      </c>
      <c r="D261" t="s">
        <v>11</v>
      </c>
      <c r="E261" t="s">
        <v>13</v>
      </c>
      <c r="F261" t="s">
        <v>729</v>
      </c>
      <c r="G261" t="s">
        <v>12</v>
      </c>
      <c r="I261" t="s">
        <v>4901</v>
      </c>
      <c r="J261" t="s">
        <v>6565</v>
      </c>
      <c r="K261">
        <v>158.59988956094952</v>
      </c>
      <c r="L261">
        <v>0.36730237436098351</v>
      </c>
      <c r="M261">
        <v>489.33868742010776</v>
      </c>
      <c r="N261">
        <v>538.27255616211858</v>
      </c>
    </row>
    <row r="262" spans="1:14">
      <c r="A262" t="s">
        <v>726</v>
      </c>
      <c r="B262" t="s">
        <v>4903</v>
      </c>
      <c r="C262" t="s">
        <v>4902</v>
      </c>
      <c r="D262" t="s">
        <v>11</v>
      </c>
      <c r="E262" t="s">
        <v>13</v>
      </c>
      <c r="F262" t="s">
        <v>729</v>
      </c>
      <c r="G262" t="s">
        <v>12</v>
      </c>
      <c r="I262" t="s">
        <v>4903</v>
      </c>
      <c r="J262" t="s">
        <v>6566</v>
      </c>
      <c r="K262">
        <v>146.89285320554191</v>
      </c>
      <c r="L262">
        <v>0.37752670333672789</v>
      </c>
      <c r="M262">
        <v>319.16844231531638</v>
      </c>
      <c r="N262">
        <v>351.08528654684807</v>
      </c>
    </row>
    <row r="263" spans="1:14">
      <c r="A263" t="s">
        <v>726</v>
      </c>
      <c r="B263" t="s">
        <v>4904</v>
      </c>
      <c r="C263" t="s">
        <v>4905</v>
      </c>
      <c r="D263" t="s">
        <v>11</v>
      </c>
      <c r="E263" t="s">
        <v>13</v>
      </c>
      <c r="F263" t="s">
        <v>729</v>
      </c>
      <c r="G263" t="s">
        <v>12</v>
      </c>
      <c r="I263" t="s">
        <v>4904</v>
      </c>
      <c r="J263" t="s">
        <v>6567</v>
      </c>
      <c r="K263">
        <v>167.02099905409074</v>
      </c>
      <c r="L263">
        <v>0.33654772683653911</v>
      </c>
      <c r="M263">
        <v>283.0691363402612</v>
      </c>
      <c r="N263">
        <v>311.37604997428735</v>
      </c>
    </row>
    <row r="264" spans="1:14">
      <c r="A264" t="s">
        <v>726</v>
      </c>
      <c r="B264" t="s">
        <v>4906</v>
      </c>
      <c r="C264" t="s">
        <v>4907</v>
      </c>
      <c r="D264" t="s">
        <v>11</v>
      </c>
      <c r="E264" t="s">
        <v>13</v>
      </c>
      <c r="F264" t="s">
        <v>729</v>
      </c>
      <c r="G264" t="s">
        <v>12</v>
      </c>
      <c r="I264" t="s">
        <v>4906</v>
      </c>
      <c r="J264" t="s">
        <v>6568</v>
      </c>
      <c r="K264">
        <v>109.86350809243945</v>
      </c>
      <c r="L264">
        <v>0.31288680853923551</v>
      </c>
      <c r="M264">
        <v>152.34335253945579</v>
      </c>
      <c r="N264">
        <v>167.5776877934014</v>
      </c>
    </row>
    <row r="265" spans="1:14">
      <c r="A265" t="s">
        <v>726</v>
      </c>
      <c r="B265" t="s">
        <v>4908</v>
      </c>
      <c r="C265" t="s">
        <v>4909</v>
      </c>
      <c r="D265" t="s">
        <v>11</v>
      </c>
      <c r="E265" t="s">
        <v>13</v>
      </c>
      <c r="F265" t="s">
        <v>729</v>
      </c>
      <c r="G265" t="s">
        <v>12</v>
      </c>
      <c r="I265" t="s">
        <v>4908</v>
      </c>
      <c r="J265" t="s">
        <v>6569</v>
      </c>
      <c r="K265">
        <v>53.817128977672589</v>
      </c>
      <c r="L265">
        <v>0.25409190518728109</v>
      </c>
      <c r="M265">
        <v>74.84004512481836</v>
      </c>
      <c r="N265">
        <v>82.324049637300206</v>
      </c>
    </row>
    <row r="266" spans="1:14">
      <c r="A266" t="s">
        <v>726</v>
      </c>
      <c r="B266" t="s">
        <v>4910</v>
      </c>
      <c r="C266" t="s">
        <v>4911</v>
      </c>
      <c r="D266" t="s">
        <v>11</v>
      </c>
      <c r="E266" t="s">
        <v>13</v>
      </c>
      <c r="F266" t="s">
        <v>729</v>
      </c>
      <c r="G266" t="s">
        <v>12</v>
      </c>
      <c r="I266" t="s">
        <v>4910</v>
      </c>
      <c r="J266" t="s">
        <v>6570</v>
      </c>
      <c r="K266">
        <v>72.382921792019943</v>
      </c>
      <c r="L266">
        <v>0.17724034085215229</v>
      </c>
      <c r="M266">
        <v>155.96071062911787</v>
      </c>
      <c r="N266">
        <v>171.55678169202966</v>
      </c>
    </row>
    <row r="267" spans="1:14">
      <c r="A267" t="s">
        <v>726</v>
      </c>
      <c r="B267" t="s">
        <v>4912</v>
      </c>
      <c r="C267" t="s">
        <v>4913</v>
      </c>
      <c r="D267" t="s">
        <v>11</v>
      </c>
      <c r="E267" t="s">
        <v>13</v>
      </c>
      <c r="F267" t="s">
        <v>729</v>
      </c>
      <c r="G267" t="s">
        <v>12</v>
      </c>
      <c r="I267" t="s">
        <v>4912</v>
      </c>
      <c r="J267" t="s">
        <v>6571</v>
      </c>
      <c r="K267">
        <v>77.078883274742054</v>
      </c>
      <c r="L267">
        <v>0.27909994447854908</v>
      </c>
      <c r="M267">
        <v>583.48553154047534</v>
      </c>
      <c r="N267">
        <v>641.83408469452297</v>
      </c>
    </row>
    <row r="268" spans="1:14">
      <c r="A268" t="s">
        <v>726</v>
      </c>
      <c r="B268" t="s">
        <v>4914</v>
      </c>
      <c r="C268" t="s">
        <v>4915</v>
      </c>
      <c r="D268" t="s">
        <v>11</v>
      </c>
      <c r="E268" t="s">
        <v>13</v>
      </c>
      <c r="F268" t="s">
        <v>729</v>
      </c>
      <c r="G268" t="s">
        <v>12</v>
      </c>
      <c r="I268" t="s">
        <v>4914</v>
      </c>
      <c r="J268" t="s">
        <v>6572</v>
      </c>
      <c r="K268">
        <v>114.25508465930491</v>
      </c>
      <c r="L268">
        <v>0.33592898986252068</v>
      </c>
      <c r="M268">
        <v>403.31060955089379</v>
      </c>
      <c r="N268">
        <v>443.6416705059832</v>
      </c>
    </row>
    <row r="269" spans="1:14">
      <c r="A269" t="s">
        <v>726</v>
      </c>
      <c r="B269" t="s">
        <v>4916</v>
      </c>
      <c r="C269" t="s">
        <v>4913</v>
      </c>
      <c r="D269" t="s">
        <v>11</v>
      </c>
      <c r="E269" t="s">
        <v>13</v>
      </c>
      <c r="F269" t="s">
        <v>729</v>
      </c>
      <c r="G269" t="s">
        <v>12</v>
      </c>
      <c r="I269" t="s">
        <v>4916</v>
      </c>
      <c r="J269" t="s">
        <v>6573</v>
      </c>
      <c r="K269">
        <v>87.613968757267983</v>
      </c>
      <c r="L269">
        <v>0.271165052864005</v>
      </c>
      <c r="M269">
        <v>705.49133949554766</v>
      </c>
      <c r="N269">
        <v>776.04047344510252</v>
      </c>
    </row>
    <row r="270" spans="1:14">
      <c r="A270" t="s">
        <v>726</v>
      </c>
      <c r="B270" t="s">
        <v>4917</v>
      </c>
      <c r="C270" t="s">
        <v>4913</v>
      </c>
      <c r="D270" t="s">
        <v>11</v>
      </c>
      <c r="E270" t="s">
        <v>13</v>
      </c>
      <c r="F270" t="s">
        <v>729</v>
      </c>
      <c r="G270" t="s">
        <v>12</v>
      </c>
      <c r="I270" t="s">
        <v>4917</v>
      </c>
      <c r="J270" t="s">
        <v>6574</v>
      </c>
      <c r="K270">
        <v>211.73833349260252</v>
      </c>
      <c r="L270">
        <v>0.30456872691047748</v>
      </c>
      <c r="M270">
        <v>252.23238387752471</v>
      </c>
      <c r="N270">
        <v>277.45562226527721</v>
      </c>
    </row>
    <row r="271" spans="1:14">
      <c r="A271" t="s">
        <v>726</v>
      </c>
      <c r="B271" t="s">
        <v>4918</v>
      </c>
      <c r="C271" t="s">
        <v>4919</v>
      </c>
      <c r="D271" t="s">
        <v>11</v>
      </c>
      <c r="E271" t="s">
        <v>13</v>
      </c>
      <c r="F271" t="s">
        <v>729</v>
      </c>
      <c r="G271" t="s">
        <v>12</v>
      </c>
      <c r="I271" t="s">
        <v>4918</v>
      </c>
      <c r="J271" t="s">
        <v>6575</v>
      </c>
      <c r="K271">
        <v>15.173571076066629</v>
      </c>
      <c r="L271">
        <v>0.26273642315078832</v>
      </c>
      <c r="M271">
        <v>179.8687549202954</v>
      </c>
      <c r="N271">
        <v>197.85563041232496</v>
      </c>
    </row>
    <row r="272" spans="1:14">
      <c r="A272" t="s">
        <v>726</v>
      </c>
      <c r="B272" t="s">
        <v>4920</v>
      </c>
      <c r="C272" t="s">
        <v>4921</v>
      </c>
      <c r="D272" t="s">
        <v>11</v>
      </c>
      <c r="E272" t="s">
        <v>13</v>
      </c>
      <c r="F272" t="s">
        <v>729</v>
      </c>
      <c r="G272" t="s">
        <v>12</v>
      </c>
      <c r="I272" t="s">
        <v>4920</v>
      </c>
      <c r="J272" t="s">
        <v>6576</v>
      </c>
      <c r="K272">
        <v>5.780288175833439</v>
      </c>
      <c r="L272">
        <v>0.19077049024898801</v>
      </c>
      <c r="M272">
        <v>80.961307087817659</v>
      </c>
      <c r="N272">
        <v>89.05743779659943</v>
      </c>
    </row>
    <row r="273" spans="1:14">
      <c r="A273" t="s">
        <v>726</v>
      </c>
      <c r="B273" t="s">
        <v>4922</v>
      </c>
      <c r="C273" t="s">
        <v>4923</v>
      </c>
      <c r="D273" t="s">
        <v>11</v>
      </c>
      <c r="E273" t="s">
        <v>13</v>
      </c>
      <c r="F273" t="s">
        <v>729</v>
      </c>
      <c r="G273" t="s">
        <v>12</v>
      </c>
      <c r="I273" t="s">
        <v>4922</v>
      </c>
      <c r="J273" t="s">
        <v>6577</v>
      </c>
      <c r="K273">
        <v>25.21150063985576</v>
      </c>
      <c r="L273">
        <v>0.25626075074526328</v>
      </c>
      <c r="M273">
        <v>407.72505391280959</v>
      </c>
      <c r="N273">
        <v>448.4975593040906</v>
      </c>
    </row>
    <row r="274" spans="1:14">
      <c r="A274" t="s">
        <v>726</v>
      </c>
      <c r="B274" t="s">
        <v>4924</v>
      </c>
      <c r="C274" t="s">
        <v>4925</v>
      </c>
      <c r="D274" t="s">
        <v>11</v>
      </c>
      <c r="E274" t="s">
        <v>13</v>
      </c>
      <c r="F274" t="s">
        <v>729</v>
      </c>
      <c r="G274" t="s">
        <v>12</v>
      </c>
      <c r="I274" t="s">
        <v>4924</v>
      </c>
      <c r="J274" t="s">
        <v>6578</v>
      </c>
      <c r="K274">
        <v>6.8740777426323527</v>
      </c>
      <c r="L274">
        <v>0.1299724110359872</v>
      </c>
      <c r="M274">
        <v>178.83025297234948</v>
      </c>
      <c r="N274">
        <v>196.71327826958444</v>
      </c>
    </row>
    <row r="275" spans="1:14">
      <c r="A275" t="s">
        <v>726</v>
      </c>
      <c r="B275" t="s">
        <v>4926</v>
      </c>
      <c r="C275" t="s">
        <v>4923</v>
      </c>
      <c r="D275" t="s">
        <v>11</v>
      </c>
      <c r="E275" t="s">
        <v>13</v>
      </c>
      <c r="F275" t="s">
        <v>729</v>
      </c>
      <c r="G275" t="s">
        <v>12</v>
      </c>
      <c r="I275" t="s">
        <v>4926</v>
      </c>
      <c r="J275" t="s">
        <v>6579</v>
      </c>
      <c r="K275">
        <v>12.794526899683477</v>
      </c>
      <c r="L275">
        <v>0.1602190295780713</v>
      </c>
      <c r="M275">
        <v>224.49728882103983</v>
      </c>
      <c r="N275">
        <v>246.94701770314384</v>
      </c>
    </row>
    <row r="276" spans="1:14">
      <c r="A276" t="s">
        <v>726</v>
      </c>
      <c r="B276" t="s">
        <v>4927</v>
      </c>
      <c r="C276" t="s">
        <v>4928</v>
      </c>
      <c r="D276" t="s">
        <v>11</v>
      </c>
      <c r="E276" t="s">
        <v>13</v>
      </c>
      <c r="F276" t="s">
        <v>729</v>
      </c>
      <c r="G276" t="s">
        <v>12</v>
      </c>
      <c r="I276" t="s">
        <v>4927</v>
      </c>
      <c r="J276" t="s">
        <v>6580</v>
      </c>
      <c r="K276">
        <v>7.8941266740279392</v>
      </c>
      <c r="L276">
        <v>0.20141223184895721</v>
      </c>
      <c r="M276">
        <v>25.230177413564554</v>
      </c>
      <c r="N276">
        <v>27.753195154921013</v>
      </c>
    </row>
    <row r="277" spans="1:14">
      <c r="A277" t="s">
        <v>726</v>
      </c>
      <c r="B277" t="s">
        <v>4929</v>
      </c>
      <c r="C277" t="s">
        <v>4930</v>
      </c>
      <c r="D277" t="s">
        <v>11</v>
      </c>
      <c r="E277" t="s">
        <v>13</v>
      </c>
      <c r="F277" t="s">
        <v>729</v>
      </c>
      <c r="G277" t="s">
        <v>12</v>
      </c>
      <c r="I277" t="s">
        <v>4929</v>
      </c>
      <c r="J277" t="s">
        <v>6581</v>
      </c>
      <c r="K277">
        <v>4.2932338815650546</v>
      </c>
      <c r="L277">
        <v>0.13857032126664731</v>
      </c>
      <c r="M277">
        <v>39.155906285977984</v>
      </c>
      <c r="N277">
        <v>43.071496914575789</v>
      </c>
    </row>
    <row r="278" spans="1:14">
      <c r="A278" t="s">
        <v>726</v>
      </c>
      <c r="B278" t="s">
        <v>4931</v>
      </c>
      <c r="C278" t="s">
        <v>4932</v>
      </c>
      <c r="D278" t="s">
        <v>11</v>
      </c>
      <c r="E278" t="s">
        <v>13</v>
      </c>
      <c r="F278" t="s">
        <v>729</v>
      </c>
      <c r="G278" t="s">
        <v>12</v>
      </c>
      <c r="I278" t="s">
        <v>4931</v>
      </c>
      <c r="J278" t="s">
        <v>6582</v>
      </c>
      <c r="K278">
        <v>5.4595240205065867</v>
      </c>
      <c r="L278">
        <v>0.187924035873448</v>
      </c>
      <c r="M278">
        <v>28.557416291442603</v>
      </c>
      <c r="N278">
        <v>31.413157920586865</v>
      </c>
    </row>
    <row r="279" spans="1:14">
      <c r="A279" t="s">
        <v>726</v>
      </c>
      <c r="B279" t="s">
        <v>4933</v>
      </c>
      <c r="C279" t="s">
        <v>4934</v>
      </c>
      <c r="D279" t="s">
        <v>11</v>
      </c>
      <c r="E279" t="s">
        <v>13</v>
      </c>
      <c r="F279" t="s">
        <v>729</v>
      </c>
      <c r="G279" t="s">
        <v>12</v>
      </c>
      <c r="I279" t="s">
        <v>4933</v>
      </c>
      <c r="J279" t="s">
        <v>6583</v>
      </c>
      <c r="K279">
        <v>4.6444069588019365</v>
      </c>
      <c r="L279">
        <v>0.33818038288562879</v>
      </c>
      <c r="M279">
        <v>32.709930187925281</v>
      </c>
      <c r="N279">
        <v>35.980923206717812</v>
      </c>
    </row>
    <row r="280" spans="1:14">
      <c r="A280" t="s">
        <v>726</v>
      </c>
      <c r="B280" t="s">
        <v>4935</v>
      </c>
      <c r="C280" t="s">
        <v>4936</v>
      </c>
      <c r="D280" t="s">
        <v>11</v>
      </c>
      <c r="E280" t="s">
        <v>13</v>
      </c>
      <c r="F280" t="s">
        <v>729</v>
      </c>
      <c r="G280" t="s">
        <v>12</v>
      </c>
      <c r="I280" t="s">
        <v>4935</v>
      </c>
      <c r="J280" t="s">
        <v>6584</v>
      </c>
      <c r="K280">
        <v>7.9682608913278843</v>
      </c>
      <c r="L280">
        <v>0.1904505255009776</v>
      </c>
      <c r="M280">
        <v>24.372696577379092</v>
      </c>
      <c r="N280">
        <v>26.809966235117002</v>
      </c>
    </row>
    <row r="281" spans="1:14">
      <c r="A281" t="s">
        <v>726</v>
      </c>
      <c r="B281" t="s">
        <v>4937</v>
      </c>
      <c r="C281" t="s">
        <v>4938</v>
      </c>
      <c r="D281" t="s">
        <v>11</v>
      </c>
      <c r="E281" t="s">
        <v>13</v>
      </c>
      <c r="F281" t="s">
        <v>729</v>
      </c>
      <c r="G281" t="s">
        <v>12</v>
      </c>
      <c r="I281" t="s">
        <v>4937</v>
      </c>
      <c r="J281" t="s">
        <v>6585</v>
      </c>
      <c r="K281">
        <v>8.0979643974984299</v>
      </c>
      <c r="L281">
        <v>0.2484717236372353</v>
      </c>
      <c r="M281">
        <v>35.021230938697848</v>
      </c>
      <c r="N281">
        <v>38.523354032567639</v>
      </c>
    </row>
    <row r="282" spans="1:14">
      <c r="A282" t="s">
        <v>726</v>
      </c>
      <c r="B282" t="s">
        <v>4939</v>
      </c>
      <c r="C282" t="s">
        <v>4940</v>
      </c>
      <c r="D282" t="s">
        <v>11</v>
      </c>
      <c r="E282" t="s">
        <v>13</v>
      </c>
      <c r="F282" t="s">
        <v>729</v>
      </c>
      <c r="G282" t="s">
        <v>12</v>
      </c>
      <c r="I282" t="s">
        <v>4939</v>
      </c>
      <c r="J282" t="s">
        <v>6586</v>
      </c>
      <c r="K282">
        <v>11.184790161152691</v>
      </c>
      <c r="L282">
        <v>0.2084928092602488</v>
      </c>
      <c r="M282">
        <v>21.229169706654258</v>
      </c>
      <c r="N282">
        <v>23.352086677319686</v>
      </c>
    </row>
    <row r="283" spans="1:14">
      <c r="A283" t="s">
        <v>726</v>
      </c>
      <c r="B283" t="s">
        <v>4941</v>
      </c>
      <c r="C283" t="s">
        <v>4942</v>
      </c>
      <c r="D283" t="s">
        <v>11</v>
      </c>
      <c r="E283" t="s">
        <v>13</v>
      </c>
      <c r="F283" t="s">
        <v>729</v>
      </c>
      <c r="G283" t="s">
        <v>12</v>
      </c>
      <c r="I283" t="s">
        <v>4941</v>
      </c>
      <c r="J283" t="s">
        <v>6587</v>
      </c>
      <c r="K283">
        <v>9.6019915590623111</v>
      </c>
      <c r="L283">
        <v>0.17383232954806949</v>
      </c>
      <c r="M283">
        <v>22.819545719233798</v>
      </c>
      <c r="N283">
        <v>25.10150029115718</v>
      </c>
    </row>
    <row r="284" spans="1:14">
      <c r="A284" t="s">
        <v>726</v>
      </c>
      <c r="B284" t="s">
        <v>4943</v>
      </c>
      <c r="C284" t="s">
        <v>4944</v>
      </c>
      <c r="D284" t="s">
        <v>11</v>
      </c>
      <c r="E284" t="s">
        <v>13</v>
      </c>
      <c r="F284" t="s">
        <v>729</v>
      </c>
      <c r="G284" t="s">
        <v>12</v>
      </c>
      <c r="I284" t="s">
        <v>4943</v>
      </c>
      <c r="J284" t="s">
        <v>6588</v>
      </c>
      <c r="K284">
        <v>0.56168457890135537</v>
      </c>
      <c r="L284">
        <v>0.45678212305032179</v>
      </c>
      <c r="M284">
        <v>203.29995600302641</v>
      </c>
      <c r="N284">
        <v>223.62995160332906</v>
      </c>
    </row>
    <row r="285" spans="1:14">
      <c r="A285" t="s">
        <v>726</v>
      </c>
      <c r="B285" t="s">
        <v>4945</v>
      </c>
      <c r="C285" t="s">
        <v>4946</v>
      </c>
      <c r="D285" t="s">
        <v>11</v>
      </c>
      <c r="E285" t="s">
        <v>13</v>
      </c>
      <c r="F285" t="s">
        <v>729</v>
      </c>
      <c r="G285" t="s">
        <v>12</v>
      </c>
      <c r="I285" t="s">
        <v>4945</v>
      </c>
      <c r="J285" t="s">
        <v>6589</v>
      </c>
      <c r="K285">
        <v>2.7928780608457311</v>
      </c>
      <c r="L285">
        <v>0.36650709720143959</v>
      </c>
      <c r="M285">
        <v>80.123474564630385</v>
      </c>
      <c r="N285">
        <v>88.135822021093432</v>
      </c>
    </row>
    <row r="286" spans="1:14">
      <c r="A286" t="s">
        <v>726</v>
      </c>
      <c r="B286" t="s">
        <v>4947</v>
      </c>
      <c r="C286" t="s">
        <v>4948</v>
      </c>
      <c r="D286" t="s">
        <v>11</v>
      </c>
      <c r="E286" t="s">
        <v>13</v>
      </c>
      <c r="F286" t="s">
        <v>729</v>
      </c>
      <c r="G286" t="s">
        <v>12</v>
      </c>
      <c r="I286" t="s">
        <v>4947</v>
      </c>
      <c r="J286" t="s">
        <v>6590</v>
      </c>
      <c r="K286">
        <v>0.97765368656227203</v>
      </c>
      <c r="L286">
        <v>0.365520596150406</v>
      </c>
      <c r="M286">
        <v>144.32355705977034</v>
      </c>
      <c r="N286">
        <v>158.75591276574738</v>
      </c>
    </row>
    <row r="287" spans="1:14">
      <c r="A287" t="s">
        <v>726</v>
      </c>
      <c r="B287" t="s">
        <v>4949</v>
      </c>
      <c r="C287" t="s">
        <v>4950</v>
      </c>
      <c r="D287" t="s">
        <v>11</v>
      </c>
      <c r="E287" t="s">
        <v>13</v>
      </c>
      <c r="F287" t="s">
        <v>729</v>
      </c>
      <c r="G287" t="s">
        <v>12</v>
      </c>
      <c r="I287" t="s">
        <v>4949</v>
      </c>
      <c r="J287" t="s">
        <v>6591</v>
      </c>
      <c r="K287">
        <v>2.8102563147874409</v>
      </c>
      <c r="L287">
        <v>0.35933701620217862</v>
      </c>
      <c r="M287">
        <v>94.996346100434479</v>
      </c>
      <c r="N287">
        <v>104.49598071047794</v>
      </c>
    </row>
    <row r="288" spans="1:14">
      <c r="A288" t="s">
        <v>726</v>
      </c>
      <c r="B288" t="s">
        <v>4951</v>
      </c>
      <c r="C288" t="s">
        <v>4952</v>
      </c>
      <c r="D288" t="s">
        <v>11</v>
      </c>
      <c r="E288" t="s">
        <v>13</v>
      </c>
      <c r="F288" t="s">
        <v>729</v>
      </c>
      <c r="G288" t="s">
        <v>12</v>
      </c>
      <c r="I288" t="s">
        <v>4951</v>
      </c>
      <c r="J288" t="s">
        <v>6592</v>
      </c>
      <c r="K288">
        <v>23.577162550239599</v>
      </c>
      <c r="L288">
        <v>0.22884634452786881</v>
      </c>
      <c r="M288">
        <v>299.07799765953035</v>
      </c>
      <c r="N288">
        <v>328.98579742548344</v>
      </c>
    </row>
    <row r="289" spans="1:14">
      <c r="A289" t="s">
        <v>726</v>
      </c>
      <c r="B289" t="s">
        <v>4953</v>
      </c>
      <c r="C289" t="s">
        <v>4954</v>
      </c>
      <c r="D289" t="s">
        <v>11</v>
      </c>
      <c r="E289" t="s">
        <v>13</v>
      </c>
      <c r="F289" t="s">
        <v>729</v>
      </c>
      <c r="G289" t="s">
        <v>12</v>
      </c>
      <c r="I289" t="s">
        <v>4953</v>
      </c>
      <c r="J289" t="s">
        <v>6593</v>
      </c>
      <c r="K289">
        <v>6.8715121191689583</v>
      </c>
      <c r="L289">
        <v>0.23266927440624369</v>
      </c>
      <c r="M289">
        <v>44.093274428938876</v>
      </c>
      <c r="N289">
        <v>48.502601871832766</v>
      </c>
    </row>
    <row r="290" spans="1:14">
      <c r="A290" t="s">
        <v>726</v>
      </c>
      <c r="B290" t="s">
        <v>4955</v>
      </c>
      <c r="C290" t="s">
        <v>4956</v>
      </c>
      <c r="D290" t="s">
        <v>11</v>
      </c>
      <c r="E290" t="s">
        <v>13</v>
      </c>
      <c r="F290" t="s">
        <v>729</v>
      </c>
      <c r="G290" t="s">
        <v>12</v>
      </c>
      <c r="I290" t="s">
        <v>4955</v>
      </c>
      <c r="J290" t="s">
        <v>6594</v>
      </c>
      <c r="K290">
        <v>29.34047058728412</v>
      </c>
      <c r="L290">
        <v>0.19482029563463801</v>
      </c>
      <c r="M290">
        <v>179.27519178726365</v>
      </c>
      <c r="N290">
        <v>197.20271096599004</v>
      </c>
    </row>
    <row r="291" spans="1:14">
      <c r="A291" t="s">
        <v>726</v>
      </c>
      <c r="B291" t="s">
        <v>4957</v>
      </c>
      <c r="C291" t="s">
        <v>4958</v>
      </c>
      <c r="D291" t="s">
        <v>11</v>
      </c>
      <c r="E291" t="s">
        <v>13</v>
      </c>
      <c r="F291" t="s">
        <v>729</v>
      </c>
      <c r="G291" t="s">
        <v>12</v>
      </c>
      <c r="I291" t="s">
        <v>4957</v>
      </c>
      <c r="J291" t="s">
        <v>6595</v>
      </c>
      <c r="K291">
        <v>30.089382698838069</v>
      </c>
      <c r="L291">
        <v>0.182506720555972</v>
      </c>
      <c r="M291">
        <v>319.32059111300333</v>
      </c>
      <c r="N291">
        <v>351.25265022430369</v>
      </c>
    </row>
    <row r="292" spans="1:14">
      <c r="A292" t="s">
        <v>726</v>
      </c>
      <c r="B292" t="s">
        <v>4959</v>
      </c>
      <c r="C292" t="s">
        <v>4960</v>
      </c>
      <c r="D292" t="s">
        <v>11</v>
      </c>
      <c r="E292" t="s">
        <v>13</v>
      </c>
      <c r="F292" t="s">
        <v>729</v>
      </c>
      <c r="G292" t="s">
        <v>12</v>
      </c>
      <c r="I292" t="s">
        <v>4959</v>
      </c>
      <c r="J292" t="s">
        <v>6596</v>
      </c>
      <c r="K292">
        <v>217.10961330656389</v>
      </c>
      <c r="L292">
        <v>0.41778975906772597</v>
      </c>
      <c r="M292">
        <v>138.47385040103731</v>
      </c>
      <c r="N292">
        <v>152.32123544114106</v>
      </c>
    </row>
    <row r="293" spans="1:14">
      <c r="A293" t="s">
        <v>726</v>
      </c>
      <c r="B293" t="s">
        <v>4961</v>
      </c>
      <c r="C293" t="s">
        <v>4962</v>
      </c>
      <c r="D293" t="s">
        <v>11</v>
      </c>
      <c r="E293" t="s">
        <v>13</v>
      </c>
      <c r="F293" t="s">
        <v>729</v>
      </c>
      <c r="G293" t="s">
        <v>12</v>
      </c>
      <c r="I293" t="s">
        <v>4961</v>
      </c>
      <c r="J293" t="s">
        <v>6597</v>
      </c>
      <c r="K293">
        <v>11.480303706048012</v>
      </c>
      <c r="L293">
        <v>0.16171148774588531</v>
      </c>
      <c r="M293">
        <v>147.17174830418608</v>
      </c>
      <c r="N293">
        <v>161.88892313460471</v>
      </c>
    </row>
    <row r="294" spans="1:14">
      <c r="A294" t="s">
        <v>726</v>
      </c>
      <c r="B294" t="s">
        <v>4963</v>
      </c>
      <c r="C294" t="s">
        <v>4964</v>
      </c>
      <c r="D294" t="s">
        <v>11</v>
      </c>
      <c r="E294" t="s">
        <v>13</v>
      </c>
      <c r="F294" t="s">
        <v>729</v>
      </c>
      <c r="G294" t="s">
        <v>12</v>
      </c>
      <c r="I294" t="s">
        <v>4963</v>
      </c>
      <c r="J294" t="s">
        <v>6598</v>
      </c>
      <c r="K294">
        <v>25.84888681920464</v>
      </c>
      <c r="L294">
        <v>0.1240552986740304</v>
      </c>
      <c r="M294">
        <v>232.49588605814407</v>
      </c>
      <c r="N294">
        <v>255.7454746639585</v>
      </c>
    </row>
    <row r="295" spans="1:14">
      <c r="A295" t="s">
        <v>726</v>
      </c>
      <c r="B295" t="s">
        <v>4965</v>
      </c>
      <c r="C295" t="s">
        <v>4966</v>
      </c>
      <c r="D295" t="s">
        <v>11</v>
      </c>
      <c r="E295" t="s">
        <v>13</v>
      </c>
      <c r="F295" t="s">
        <v>729</v>
      </c>
      <c r="G295" t="s">
        <v>12</v>
      </c>
      <c r="I295" t="s">
        <v>4965</v>
      </c>
      <c r="J295" t="s">
        <v>6599</v>
      </c>
      <c r="K295">
        <v>5.6396841026446562</v>
      </c>
      <c r="L295">
        <v>0.1502253396756672</v>
      </c>
      <c r="M295">
        <v>273.67430917215654</v>
      </c>
      <c r="N295">
        <v>301.04174008937224</v>
      </c>
    </row>
    <row r="296" spans="1:14">
      <c r="A296" t="s">
        <v>726</v>
      </c>
      <c r="B296" t="s">
        <v>4967</v>
      </c>
      <c r="C296" t="s">
        <v>4968</v>
      </c>
      <c r="D296" t="s">
        <v>11</v>
      </c>
      <c r="E296" t="s">
        <v>13</v>
      </c>
      <c r="F296" t="s">
        <v>729</v>
      </c>
      <c r="G296" t="s">
        <v>12</v>
      </c>
      <c r="I296" t="s">
        <v>4967</v>
      </c>
      <c r="J296" t="s">
        <v>6600</v>
      </c>
      <c r="K296">
        <v>19.327460101744588</v>
      </c>
      <c r="L296">
        <v>0.2448271722446807</v>
      </c>
      <c r="M296">
        <v>129.43704925098257</v>
      </c>
      <c r="N296">
        <v>142.38075417608084</v>
      </c>
    </row>
    <row r="297" spans="1:14">
      <c r="A297" t="s">
        <v>726</v>
      </c>
      <c r="B297" t="s">
        <v>4969</v>
      </c>
      <c r="C297" t="s">
        <v>4970</v>
      </c>
      <c r="D297" t="s">
        <v>11</v>
      </c>
      <c r="E297" t="s">
        <v>13</v>
      </c>
      <c r="F297" t="s">
        <v>729</v>
      </c>
      <c r="G297" t="s">
        <v>12</v>
      </c>
      <c r="I297" t="s">
        <v>4969</v>
      </c>
      <c r="J297" t="s">
        <v>6601</v>
      </c>
      <c r="K297">
        <v>1.72875</v>
      </c>
      <c r="L297">
        <v>0.29675959683388858</v>
      </c>
      <c r="M297">
        <v>121.23524003017285</v>
      </c>
      <c r="N297">
        <v>133.35876403319014</v>
      </c>
    </row>
    <row r="298" spans="1:14">
      <c r="A298" t="s">
        <v>726</v>
      </c>
      <c r="B298" t="s">
        <v>4971</v>
      </c>
      <c r="C298" t="s">
        <v>4972</v>
      </c>
      <c r="D298" t="s">
        <v>11</v>
      </c>
      <c r="E298" t="s">
        <v>13</v>
      </c>
      <c r="F298" t="s">
        <v>729</v>
      </c>
      <c r="G298" t="s">
        <v>12</v>
      </c>
      <c r="I298" t="s">
        <v>4971</v>
      </c>
      <c r="J298" t="s">
        <v>6602</v>
      </c>
      <c r="K298">
        <v>3.2602500000000001</v>
      </c>
      <c r="L298">
        <v>0.3216645119219903</v>
      </c>
      <c r="M298">
        <v>48.988213526805445</v>
      </c>
      <c r="N298">
        <v>53.887034879485995</v>
      </c>
    </row>
    <row r="299" spans="1:14">
      <c r="A299" t="s">
        <v>726</v>
      </c>
      <c r="B299" t="s">
        <v>4973</v>
      </c>
      <c r="C299" t="s">
        <v>4974</v>
      </c>
      <c r="D299" t="s">
        <v>11</v>
      </c>
      <c r="E299" t="s">
        <v>13</v>
      </c>
      <c r="F299" t="s">
        <v>729</v>
      </c>
      <c r="G299" t="s">
        <v>12</v>
      </c>
      <c r="I299" t="s">
        <v>4973</v>
      </c>
      <c r="J299" t="s">
        <v>6603</v>
      </c>
      <c r="K299">
        <v>17.556287014621862</v>
      </c>
      <c r="L299">
        <v>0.32914529498860978</v>
      </c>
      <c r="M299">
        <v>34.978527514847158</v>
      </c>
      <c r="N299">
        <v>38.47638026633188</v>
      </c>
    </row>
    <row r="300" spans="1:14">
      <c r="A300" t="s">
        <v>726</v>
      </c>
      <c r="B300" t="s">
        <v>4975</v>
      </c>
      <c r="C300" t="s">
        <v>4976</v>
      </c>
      <c r="D300" t="s">
        <v>11</v>
      </c>
      <c r="E300" t="s">
        <v>13</v>
      </c>
      <c r="F300" t="s">
        <v>729</v>
      </c>
      <c r="G300" t="s">
        <v>12</v>
      </c>
      <c r="I300" t="s">
        <v>4975</v>
      </c>
      <c r="J300" t="s">
        <v>6604</v>
      </c>
      <c r="K300">
        <v>20.787749999999999</v>
      </c>
      <c r="L300">
        <v>0.33197436803513219</v>
      </c>
      <c r="M300">
        <v>70.039346682908374</v>
      </c>
      <c r="N300">
        <v>77.043281351199212</v>
      </c>
    </row>
    <row r="301" spans="1:14">
      <c r="A301" t="s">
        <v>726</v>
      </c>
      <c r="B301" t="s">
        <v>4977</v>
      </c>
      <c r="C301" t="s">
        <v>4978</v>
      </c>
      <c r="D301" t="s">
        <v>11</v>
      </c>
      <c r="E301" t="s">
        <v>13</v>
      </c>
      <c r="F301" t="s">
        <v>729</v>
      </c>
      <c r="G301" t="s">
        <v>12</v>
      </c>
      <c r="I301" t="s">
        <v>4977</v>
      </c>
      <c r="J301" t="s">
        <v>6605</v>
      </c>
      <c r="K301">
        <v>18.251249999999999</v>
      </c>
      <c r="L301">
        <v>0.33701900278879621</v>
      </c>
      <c r="M301">
        <v>417.82035731665331</v>
      </c>
      <c r="N301">
        <v>459.60239304831867</v>
      </c>
    </row>
    <row r="302" spans="1:14">
      <c r="A302" t="s">
        <v>726</v>
      </c>
      <c r="B302" t="s">
        <v>4979</v>
      </c>
      <c r="C302" t="s">
        <v>4980</v>
      </c>
      <c r="D302" t="s">
        <v>11</v>
      </c>
      <c r="E302" t="s">
        <v>13</v>
      </c>
      <c r="F302" t="s">
        <v>729</v>
      </c>
      <c r="G302" t="s">
        <v>12</v>
      </c>
      <c r="I302" t="s">
        <v>4979</v>
      </c>
      <c r="J302" t="s">
        <v>6606</v>
      </c>
      <c r="K302">
        <v>41.109000000000002</v>
      </c>
      <c r="L302">
        <v>0.29272653576594448</v>
      </c>
      <c r="M302">
        <v>431.1144233978531</v>
      </c>
      <c r="N302">
        <v>474.22586573763846</v>
      </c>
    </row>
    <row r="303" spans="1:14">
      <c r="A303" t="s">
        <v>726</v>
      </c>
      <c r="B303" t="s">
        <v>4981</v>
      </c>
      <c r="C303" t="s">
        <v>4982</v>
      </c>
      <c r="D303" t="s">
        <v>11</v>
      </c>
      <c r="E303" t="s">
        <v>13</v>
      </c>
      <c r="F303" t="s">
        <v>729</v>
      </c>
      <c r="G303" t="s">
        <v>12</v>
      </c>
      <c r="I303" t="s">
        <v>4981</v>
      </c>
      <c r="J303" t="s">
        <v>6607</v>
      </c>
      <c r="K303">
        <v>6.3404999999999996</v>
      </c>
      <c r="L303">
        <v>0.29469106040658488</v>
      </c>
      <c r="M303">
        <v>113.43564034391676</v>
      </c>
      <c r="N303">
        <v>124.77920437830845</v>
      </c>
    </row>
    <row r="304" spans="1:14">
      <c r="A304" t="s">
        <v>726</v>
      </c>
      <c r="B304" t="s">
        <v>4983</v>
      </c>
      <c r="C304" t="s">
        <v>4978</v>
      </c>
      <c r="D304" t="s">
        <v>11</v>
      </c>
      <c r="E304" t="s">
        <v>13</v>
      </c>
      <c r="F304" t="s">
        <v>729</v>
      </c>
      <c r="G304" t="s">
        <v>12</v>
      </c>
      <c r="I304" t="s">
        <v>4983</v>
      </c>
      <c r="J304" t="s">
        <v>6608</v>
      </c>
      <c r="K304">
        <v>8.4037500000000005</v>
      </c>
      <c r="L304">
        <v>0.28574153729406149</v>
      </c>
      <c r="M304">
        <v>259.87567678797308</v>
      </c>
      <c r="N304">
        <v>285.86324446677042</v>
      </c>
    </row>
    <row r="305" spans="1:14">
      <c r="A305" t="s">
        <v>726</v>
      </c>
      <c r="B305" t="s">
        <v>4984</v>
      </c>
      <c r="C305" t="s">
        <v>4985</v>
      </c>
      <c r="D305" t="s">
        <v>11</v>
      </c>
      <c r="E305" t="s">
        <v>13</v>
      </c>
      <c r="F305" t="s">
        <v>729</v>
      </c>
      <c r="G305" t="s">
        <v>12</v>
      </c>
      <c r="I305" t="s">
        <v>4984</v>
      </c>
      <c r="J305" t="s">
        <v>6609</v>
      </c>
      <c r="K305">
        <v>17.618944185140531</v>
      </c>
      <c r="L305">
        <v>0.2190153853912431</v>
      </c>
      <c r="M305">
        <v>32.149632800437779</v>
      </c>
      <c r="N305">
        <v>35.364596080481562</v>
      </c>
    </row>
    <row r="306" spans="1:14">
      <c r="A306" t="s">
        <v>726</v>
      </c>
      <c r="B306" t="s">
        <v>4986</v>
      </c>
      <c r="C306" t="s">
        <v>4987</v>
      </c>
      <c r="D306" t="s">
        <v>11</v>
      </c>
      <c r="E306" t="s">
        <v>13</v>
      </c>
      <c r="F306" t="s">
        <v>729</v>
      </c>
      <c r="G306" t="s">
        <v>12</v>
      </c>
      <c r="I306" t="s">
        <v>4986</v>
      </c>
      <c r="J306" t="s">
        <v>6610</v>
      </c>
      <c r="K306">
        <v>104.60443453135923</v>
      </c>
      <c r="L306">
        <v>0.29015015051181808</v>
      </c>
      <c r="M306">
        <v>35.45172366729976</v>
      </c>
      <c r="N306">
        <v>38.996896034029739</v>
      </c>
    </row>
    <row r="307" spans="1:14">
      <c r="A307" t="s">
        <v>726</v>
      </c>
      <c r="B307" t="s">
        <v>4988</v>
      </c>
      <c r="C307" t="s">
        <v>4989</v>
      </c>
      <c r="D307" t="s">
        <v>11</v>
      </c>
      <c r="E307" t="s">
        <v>13</v>
      </c>
      <c r="F307" t="s">
        <v>729</v>
      </c>
      <c r="G307" t="s">
        <v>12</v>
      </c>
      <c r="I307" t="s">
        <v>4988</v>
      </c>
      <c r="J307" t="s">
        <v>6611</v>
      </c>
      <c r="K307">
        <v>97.592909458479326</v>
      </c>
      <c r="L307">
        <v>0.2083477162787227</v>
      </c>
      <c r="M307">
        <v>40.730998116672723</v>
      </c>
      <c r="N307">
        <v>44.804097928339999</v>
      </c>
    </row>
    <row r="308" spans="1:14">
      <c r="A308" t="s">
        <v>726</v>
      </c>
      <c r="B308" t="s">
        <v>4990</v>
      </c>
      <c r="C308" t="s">
        <v>4991</v>
      </c>
      <c r="D308" t="s">
        <v>11</v>
      </c>
      <c r="E308" t="s">
        <v>13</v>
      </c>
      <c r="F308" t="s">
        <v>729</v>
      </c>
      <c r="G308" t="s">
        <v>12</v>
      </c>
      <c r="I308" t="s">
        <v>4990</v>
      </c>
      <c r="J308" t="s">
        <v>6612</v>
      </c>
      <c r="K308">
        <v>84.344897473732175</v>
      </c>
      <c r="L308">
        <v>0.20595852943915879</v>
      </c>
      <c r="M308">
        <v>37.938670092259386</v>
      </c>
      <c r="N308">
        <v>41.732537101485327</v>
      </c>
    </row>
    <row r="309" spans="1:14">
      <c r="A309" t="s">
        <v>726</v>
      </c>
      <c r="B309" t="s">
        <v>4992</v>
      </c>
      <c r="C309" t="s">
        <v>4993</v>
      </c>
      <c r="D309" t="s">
        <v>11</v>
      </c>
      <c r="E309" t="s">
        <v>13</v>
      </c>
      <c r="F309" t="s">
        <v>729</v>
      </c>
      <c r="G309" t="s">
        <v>12</v>
      </c>
      <c r="I309" t="s">
        <v>4992</v>
      </c>
      <c r="J309" t="s">
        <v>6613</v>
      </c>
      <c r="K309">
        <v>148.13159723555407</v>
      </c>
      <c r="L309">
        <v>0.35640082462787848</v>
      </c>
      <c r="M309">
        <v>35.333020073320327</v>
      </c>
      <c r="N309">
        <v>38.86632208065236</v>
      </c>
    </row>
    <row r="310" spans="1:14">
      <c r="A310" t="s">
        <v>726</v>
      </c>
      <c r="B310" t="s">
        <v>4994</v>
      </c>
      <c r="C310" t="s">
        <v>4995</v>
      </c>
      <c r="D310" t="s">
        <v>11</v>
      </c>
      <c r="E310" t="s">
        <v>13</v>
      </c>
      <c r="F310" t="s">
        <v>729</v>
      </c>
      <c r="G310" t="s">
        <v>12</v>
      </c>
      <c r="I310" t="s">
        <v>4994</v>
      </c>
      <c r="J310" t="s">
        <v>6614</v>
      </c>
      <c r="K310">
        <v>149.43637841865399</v>
      </c>
      <c r="L310">
        <v>0.38903326956275319</v>
      </c>
      <c r="M310">
        <v>36.919891147893537</v>
      </c>
      <c r="N310">
        <v>40.611880262682895</v>
      </c>
    </row>
    <row r="311" spans="1:14">
      <c r="A311" t="s">
        <v>726</v>
      </c>
      <c r="B311" t="s">
        <v>4996</v>
      </c>
      <c r="C311" t="s">
        <v>4997</v>
      </c>
      <c r="D311" t="s">
        <v>11</v>
      </c>
      <c r="E311" t="s">
        <v>13</v>
      </c>
      <c r="F311" t="s">
        <v>729</v>
      </c>
      <c r="G311" t="s">
        <v>12</v>
      </c>
      <c r="I311" t="s">
        <v>4996</v>
      </c>
      <c r="J311" t="s">
        <v>6615</v>
      </c>
      <c r="K311">
        <v>155.56470391940704</v>
      </c>
      <c r="L311">
        <v>0.2179963495142149</v>
      </c>
      <c r="M311">
        <v>44.100513931873856</v>
      </c>
      <c r="N311">
        <v>48.510565325061243</v>
      </c>
    </row>
    <row r="312" spans="1:14">
      <c r="A312" t="s">
        <v>726</v>
      </c>
      <c r="B312" t="s">
        <v>4998</v>
      </c>
      <c r="C312" t="s">
        <v>4999</v>
      </c>
      <c r="D312" t="s">
        <v>11</v>
      </c>
      <c r="E312" t="s">
        <v>13</v>
      </c>
      <c r="F312" t="s">
        <v>729</v>
      </c>
      <c r="G312" t="s">
        <v>12</v>
      </c>
      <c r="I312" t="s">
        <v>4998</v>
      </c>
      <c r="J312" t="s">
        <v>6616</v>
      </c>
      <c r="K312">
        <v>147.97087681750321</v>
      </c>
      <c r="L312">
        <v>0.27475700581067508</v>
      </c>
      <c r="M312">
        <v>40.744254907324041</v>
      </c>
      <c r="N312">
        <v>44.818680398056451</v>
      </c>
    </row>
    <row r="313" spans="1:14">
      <c r="A313" t="s">
        <v>726</v>
      </c>
      <c r="B313" t="s">
        <v>5000</v>
      </c>
      <c r="C313" t="s">
        <v>5001</v>
      </c>
      <c r="D313" t="s">
        <v>11</v>
      </c>
      <c r="E313" t="s">
        <v>13</v>
      </c>
      <c r="F313" t="s">
        <v>729</v>
      </c>
      <c r="G313" t="s">
        <v>12</v>
      </c>
      <c r="I313" t="s">
        <v>5000</v>
      </c>
      <c r="J313" t="s">
        <v>6617</v>
      </c>
      <c r="K313">
        <v>116.60237579246549</v>
      </c>
      <c r="L313">
        <v>0.27177961700127162</v>
      </c>
      <c r="M313">
        <v>36.475577648304679</v>
      </c>
      <c r="N313">
        <v>40.123135413135152</v>
      </c>
    </row>
    <row r="314" spans="1:14">
      <c r="A314" t="s">
        <v>726</v>
      </c>
      <c r="B314" t="s">
        <v>5002</v>
      </c>
      <c r="C314" t="s">
        <v>5003</v>
      </c>
      <c r="D314" t="s">
        <v>11</v>
      </c>
      <c r="E314" t="s">
        <v>13</v>
      </c>
      <c r="F314" t="s">
        <v>729</v>
      </c>
      <c r="G314" t="s">
        <v>12</v>
      </c>
      <c r="I314" t="s">
        <v>5002</v>
      </c>
      <c r="J314" t="s">
        <v>6618</v>
      </c>
      <c r="K314">
        <v>3.8461125078102275E-3</v>
      </c>
      <c r="L314">
        <v>9.2521689509675695E-2</v>
      </c>
      <c r="M314">
        <v>43.314826128122363</v>
      </c>
      <c r="N314">
        <v>47.6463087409346</v>
      </c>
    </row>
    <row r="315" spans="1:14">
      <c r="A315" t="s">
        <v>726</v>
      </c>
      <c r="B315" t="s">
        <v>5004</v>
      </c>
      <c r="C315" t="s">
        <v>5005</v>
      </c>
      <c r="D315" t="s">
        <v>11</v>
      </c>
      <c r="E315" t="s">
        <v>13</v>
      </c>
      <c r="F315" t="s">
        <v>729</v>
      </c>
      <c r="G315" t="s">
        <v>12</v>
      </c>
      <c r="I315" t="s">
        <v>5004</v>
      </c>
      <c r="J315" t="s">
        <v>6619</v>
      </c>
      <c r="K315">
        <v>3.3508554874995687E-3</v>
      </c>
      <c r="L315">
        <v>0.1039185170986327</v>
      </c>
      <c r="M315">
        <v>104.60802725307992</v>
      </c>
      <c r="N315">
        <v>115.06882997838792</v>
      </c>
    </row>
    <row r="316" spans="1:14">
      <c r="A316" t="s">
        <v>726</v>
      </c>
      <c r="B316" t="s">
        <v>5006</v>
      </c>
      <c r="C316" t="s">
        <v>5007</v>
      </c>
      <c r="D316" t="s">
        <v>11</v>
      </c>
      <c r="E316" t="s">
        <v>13</v>
      </c>
      <c r="F316" t="s">
        <v>729</v>
      </c>
      <c r="G316" t="s">
        <v>12</v>
      </c>
      <c r="I316" t="s">
        <v>5006</v>
      </c>
      <c r="J316" t="s">
        <v>6620</v>
      </c>
      <c r="K316">
        <v>56.190190343144664</v>
      </c>
      <c r="L316">
        <v>0.4293317246868083</v>
      </c>
      <c r="M316">
        <v>34.92803087359075</v>
      </c>
      <c r="N316">
        <v>38.420833960949828</v>
      </c>
    </row>
    <row r="317" spans="1:14">
      <c r="A317" t="s">
        <v>726</v>
      </c>
      <c r="B317" t="s">
        <v>5008</v>
      </c>
      <c r="C317" t="s">
        <v>5009</v>
      </c>
      <c r="D317" t="s">
        <v>11</v>
      </c>
      <c r="E317" t="s">
        <v>13</v>
      </c>
      <c r="F317" t="s">
        <v>729</v>
      </c>
      <c r="G317" t="s">
        <v>12</v>
      </c>
      <c r="I317" t="s">
        <v>5008</v>
      </c>
      <c r="J317" t="s">
        <v>6621</v>
      </c>
      <c r="K317">
        <v>5.2056010412558393</v>
      </c>
      <c r="L317">
        <v>0.46190655242580031</v>
      </c>
      <c r="M317">
        <v>15.020763098161956</v>
      </c>
      <c r="N317">
        <v>16.522839407978154</v>
      </c>
    </row>
    <row r="318" spans="1:14">
      <c r="A318" t="s">
        <v>726</v>
      </c>
      <c r="B318" t="s">
        <v>5010</v>
      </c>
      <c r="C318" t="s">
        <v>5011</v>
      </c>
      <c r="D318" t="s">
        <v>11</v>
      </c>
      <c r="E318" t="s">
        <v>13</v>
      </c>
      <c r="F318" t="s">
        <v>729</v>
      </c>
      <c r="G318" t="s">
        <v>12</v>
      </c>
      <c r="I318" t="s">
        <v>5010</v>
      </c>
      <c r="J318" t="s">
        <v>6622</v>
      </c>
      <c r="K318">
        <v>34.636473890031894</v>
      </c>
      <c r="L318">
        <v>0.48201258425865379</v>
      </c>
      <c r="M318">
        <v>54.283522643546412</v>
      </c>
      <c r="N318">
        <v>59.711874907901056</v>
      </c>
    </row>
    <row r="319" spans="1:14">
      <c r="A319" t="s">
        <v>726</v>
      </c>
      <c r="B319" t="s">
        <v>5012</v>
      </c>
      <c r="C319" t="s">
        <v>5013</v>
      </c>
      <c r="D319" t="s">
        <v>11</v>
      </c>
      <c r="E319" t="s">
        <v>13</v>
      </c>
      <c r="F319" t="s">
        <v>729</v>
      </c>
      <c r="G319" t="s">
        <v>12</v>
      </c>
      <c r="I319" t="s">
        <v>5012</v>
      </c>
      <c r="J319" t="s">
        <v>6623</v>
      </c>
      <c r="K319">
        <v>15.16731266249076</v>
      </c>
      <c r="L319">
        <v>0.57324228984685421</v>
      </c>
      <c r="M319">
        <v>184.54196884302641</v>
      </c>
      <c r="N319">
        <v>202.99616572732907</v>
      </c>
    </row>
    <row r="320" spans="1:14">
      <c r="A320" t="s">
        <v>726</v>
      </c>
      <c r="B320" t="s">
        <v>5014</v>
      </c>
      <c r="C320" t="s">
        <v>5015</v>
      </c>
      <c r="D320" t="s">
        <v>11</v>
      </c>
      <c r="E320" t="s">
        <v>13</v>
      </c>
      <c r="F320" t="s">
        <v>729</v>
      </c>
      <c r="G320" t="s">
        <v>12</v>
      </c>
      <c r="I320" t="s">
        <v>5014</v>
      </c>
      <c r="J320" t="s">
        <v>6624</v>
      </c>
      <c r="K320">
        <v>41.871411831236443</v>
      </c>
      <c r="L320">
        <v>0.47911976944942569</v>
      </c>
      <c r="M320">
        <v>69.318990808475093</v>
      </c>
      <c r="N320">
        <v>76.250889889322607</v>
      </c>
    </row>
    <row r="321" spans="1:14">
      <c r="A321" t="s">
        <v>726</v>
      </c>
      <c r="B321" t="s">
        <v>5016</v>
      </c>
      <c r="C321" t="s">
        <v>5013</v>
      </c>
      <c r="D321" t="s">
        <v>11</v>
      </c>
      <c r="E321" t="s">
        <v>13</v>
      </c>
      <c r="F321" t="s">
        <v>729</v>
      </c>
      <c r="G321" t="s">
        <v>12</v>
      </c>
      <c r="I321" t="s">
        <v>5016</v>
      </c>
      <c r="J321" t="s">
        <v>6625</v>
      </c>
      <c r="K321">
        <v>23.014740086001506</v>
      </c>
      <c r="L321">
        <v>0.36142452874995917</v>
      </c>
      <c r="M321">
        <v>70.195613469744771</v>
      </c>
      <c r="N321">
        <v>77.215174816719255</v>
      </c>
    </row>
    <row r="322" spans="1:14">
      <c r="A322" t="s">
        <v>726</v>
      </c>
      <c r="B322" t="s">
        <v>5017</v>
      </c>
      <c r="C322" t="s">
        <v>5018</v>
      </c>
      <c r="D322" t="s">
        <v>11</v>
      </c>
      <c r="E322" t="s">
        <v>13</v>
      </c>
      <c r="F322" t="s">
        <v>729</v>
      </c>
      <c r="G322" t="s">
        <v>12</v>
      </c>
      <c r="I322" t="s">
        <v>5017</v>
      </c>
      <c r="J322" t="s">
        <v>6626</v>
      </c>
      <c r="K322">
        <v>34.892916423567563</v>
      </c>
      <c r="L322">
        <v>0.44473130949696449</v>
      </c>
      <c r="M322">
        <v>49.241306449488704</v>
      </c>
      <c r="N322">
        <v>54.165437094437578</v>
      </c>
    </row>
    <row r="323" spans="1:14">
      <c r="A323" t="s">
        <v>726</v>
      </c>
      <c r="B323" t="s">
        <v>5019</v>
      </c>
      <c r="C323" t="s">
        <v>5020</v>
      </c>
      <c r="D323" t="s">
        <v>11</v>
      </c>
      <c r="E323" t="s">
        <v>13</v>
      </c>
      <c r="F323" t="s">
        <v>729</v>
      </c>
      <c r="G323" t="s">
        <v>12</v>
      </c>
      <c r="I323" t="s">
        <v>5019</v>
      </c>
      <c r="J323" t="s">
        <v>6627</v>
      </c>
      <c r="K323">
        <v>0.65390457562869053</v>
      </c>
      <c r="L323">
        <v>0.1201949058448603</v>
      </c>
      <c r="M323">
        <v>64.620520327130933</v>
      </c>
      <c r="N323">
        <v>71.082572359844036</v>
      </c>
    </row>
    <row r="324" spans="1:14">
      <c r="A324" t="s">
        <v>726</v>
      </c>
      <c r="B324" t="s">
        <v>5021</v>
      </c>
      <c r="C324" t="s">
        <v>5022</v>
      </c>
      <c r="D324" t="s">
        <v>11</v>
      </c>
      <c r="E324" t="s">
        <v>13</v>
      </c>
      <c r="F324" t="s">
        <v>729</v>
      </c>
      <c r="G324" t="s">
        <v>12</v>
      </c>
      <c r="I324" t="s">
        <v>5021</v>
      </c>
      <c r="J324" t="s">
        <v>6628</v>
      </c>
      <c r="K324">
        <v>0.40044142452194204</v>
      </c>
      <c r="L324">
        <v>0.1010502567930066</v>
      </c>
      <c r="M324">
        <v>60.270471389353112</v>
      </c>
      <c r="N324">
        <v>66.297518528288435</v>
      </c>
    </row>
    <row r="325" spans="1:14">
      <c r="A325" t="s">
        <v>726</v>
      </c>
      <c r="B325" t="s">
        <v>5023</v>
      </c>
      <c r="C325" t="s">
        <v>5024</v>
      </c>
      <c r="D325" t="s">
        <v>11</v>
      </c>
      <c r="E325" t="s">
        <v>13</v>
      </c>
      <c r="F325" t="s">
        <v>729</v>
      </c>
      <c r="G325" t="s">
        <v>12</v>
      </c>
      <c r="I325" t="s">
        <v>5023</v>
      </c>
      <c r="J325" t="s">
        <v>6629</v>
      </c>
      <c r="K325">
        <v>1.8757845717191297</v>
      </c>
      <c r="L325">
        <v>0.13371123976671681</v>
      </c>
      <c r="M325">
        <v>62.579967458030247</v>
      </c>
      <c r="N325">
        <v>68.83796420383328</v>
      </c>
    </row>
    <row r="326" spans="1:14">
      <c r="A326" t="s">
        <v>726</v>
      </c>
      <c r="B326" t="s">
        <v>5025</v>
      </c>
      <c r="C326" t="s">
        <v>5026</v>
      </c>
      <c r="D326" t="s">
        <v>11</v>
      </c>
      <c r="E326" t="s">
        <v>13</v>
      </c>
      <c r="F326" t="s">
        <v>729</v>
      </c>
      <c r="G326" t="s">
        <v>12</v>
      </c>
      <c r="I326" t="s">
        <v>5025</v>
      </c>
      <c r="J326" t="s">
        <v>6630</v>
      </c>
      <c r="K326">
        <v>5.8175706809572487</v>
      </c>
      <c r="L326">
        <v>0.1392129648950661</v>
      </c>
      <c r="M326">
        <v>186.99401775280415</v>
      </c>
      <c r="N326">
        <v>205.69341952808458</v>
      </c>
    </row>
    <row r="327" spans="1:14">
      <c r="A327" t="s">
        <v>726</v>
      </c>
      <c r="B327" t="s">
        <v>5027</v>
      </c>
      <c r="C327" t="s">
        <v>5028</v>
      </c>
      <c r="D327" t="s">
        <v>11</v>
      </c>
      <c r="E327" t="s">
        <v>13</v>
      </c>
      <c r="F327" t="s">
        <v>729</v>
      </c>
      <c r="G327" t="s">
        <v>12</v>
      </c>
      <c r="I327" t="s">
        <v>5027</v>
      </c>
      <c r="J327" t="s">
        <v>6631</v>
      </c>
      <c r="K327">
        <v>0.27801729674041986</v>
      </c>
      <c r="L327">
        <v>8.17578796222177E-2</v>
      </c>
      <c r="M327">
        <v>58.522449352492821</v>
      </c>
      <c r="N327">
        <v>64.374694287742102</v>
      </c>
    </row>
    <row r="328" spans="1:14">
      <c r="A328" t="s">
        <v>726</v>
      </c>
      <c r="B328" t="s">
        <v>5029</v>
      </c>
      <c r="C328" t="s">
        <v>5030</v>
      </c>
      <c r="D328" t="s">
        <v>11</v>
      </c>
      <c r="E328" t="s">
        <v>13</v>
      </c>
      <c r="F328" t="s">
        <v>729</v>
      </c>
      <c r="G328" t="s">
        <v>12</v>
      </c>
      <c r="I328" t="s">
        <v>5029</v>
      </c>
      <c r="J328" t="s">
        <v>6632</v>
      </c>
      <c r="K328">
        <v>1.2302623993259554</v>
      </c>
      <c r="L328">
        <v>0.12240888792879109</v>
      </c>
      <c r="M328">
        <v>157.36427265908421</v>
      </c>
      <c r="N328">
        <v>173.10069992499265</v>
      </c>
    </row>
    <row r="329" spans="1:14">
      <c r="A329" t="s">
        <v>726</v>
      </c>
      <c r="B329" t="s">
        <v>5031</v>
      </c>
      <c r="C329" t="s">
        <v>5032</v>
      </c>
      <c r="D329" t="s">
        <v>11</v>
      </c>
      <c r="E329" t="s">
        <v>13</v>
      </c>
      <c r="F329" t="s">
        <v>729</v>
      </c>
      <c r="G329" t="s">
        <v>12</v>
      </c>
      <c r="I329" t="s">
        <v>5031</v>
      </c>
      <c r="J329" t="s">
        <v>6633</v>
      </c>
      <c r="K329">
        <v>0.34927684782995599</v>
      </c>
      <c r="L329">
        <v>0.12285924867143461</v>
      </c>
      <c r="M329">
        <v>236.63325335961721</v>
      </c>
      <c r="N329">
        <v>260.29657869557894</v>
      </c>
    </row>
    <row r="330" spans="1:14">
      <c r="A330" t="s">
        <v>726</v>
      </c>
      <c r="B330" t="s">
        <v>5033</v>
      </c>
      <c r="C330" t="s">
        <v>5034</v>
      </c>
      <c r="D330" t="s">
        <v>11</v>
      </c>
      <c r="E330" t="s">
        <v>13</v>
      </c>
      <c r="F330" t="s">
        <v>729</v>
      </c>
      <c r="G330" t="s">
        <v>12</v>
      </c>
      <c r="I330" t="s">
        <v>5033</v>
      </c>
      <c r="J330" t="s">
        <v>6634</v>
      </c>
      <c r="K330">
        <v>9.368990416503388E-2</v>
      </c>
      <c r="L330">
        <v>0.1254843877327064</v>
      </c>
      <c r="M330">
        <v>49.980931693801701</v>
      </c>
      <c r="N330">
        <v>54.979024863181877</v>
      </c>
    </row>
    <row r="331" spans="1:14">
      <c r="A331" t="s">
        <v>726</v>
      </c>
      <c r="B331" t="s">
        <v>5035</v>
      </c>
      <c r="C331" t="s">
        <v>5036</v>
      </c>
      <c r="D331" t="s">
        <v>11</v>
      </c>
      <c r="E331" t="s">
        <v>13</v>
      </c>
      <c r="F331" t="s">
        <v>729</v>
      </c>
      <c r="G331" t="s">
        <v>12</v>
      </c>
      <c r="I331" t="s">
        <v>5035</v>
      </c>
      <c r="J331" t="s">
        <v>6635</v>
      </c>
      <c r="K331">
        <v>1.045328771037189</v>
      </c>
      <c r="L331">
        <v>0.1167152187060658</v>
      </c>
      <c r="M331">
        <v>107.90103487698518</v>
      </c>
      <c r="N331">
        <v>118.69113836468371</v>
      </c>
    </row>
    <row r="332" spans="1:14">
      <c r="A332" t="s">
        <v>726</v>
      </c>
      <c r="B332" t="s">
        <v>5037</v>
      </c>
      <c r="C332" t="s">
        <v>5038</v>
      </c>
      <c r="D332" t="s">
        <v>11</v>
      </c>
      <c r="E332" t="s">
        <v>13</v>
      </c>
      <c r="F332" t="s">
        <v>729</v>
      </c>
      <c r="G332" t="s">
        <v>12</v>
      </c>
      <c r="I332" t="s">
        <v>5037</v>
      </c>
      <c r="J332" t="s">
        <v>6636</v>
      </c>
      <c r="K332">
        <v>0.21841072345071269</v>
      </c>
      <c r="L332">
        <v>0.101240903912012</v>
      </c>
      <c r="M332">
        <v>62.104515182799588</v>
      </c>
      <c r="N332">
        <v>68.314966701079555</v>
      </c>
    </row>
    <row r="333" spans="1:14">
      <c r="A333" t="s">
        <v>726</v>
      </c>
      <c r="B333" t="s">
        <v>5039</v>
      </c>
      <c r="C333" t="s">
        <v>5040</v>
      </c>
      <c r="D333" t="s">
        <v>11</v>
      </c>
      <c r="E333" t="s">
        <v>13</v>
      </c>
      <c r="F333" t="s">
        <v>729</v>
      </c>
      <c r="G333" t="s">
        <v>12</v>
      </c>
      <c r="I333" t="s">
        <v>5039</v>
      </c>
      <c r="J333" t="s">
        <v>6637</v>
      </c>
      <c r="K333">
        <v>0.47759663153637716</v>
      </c>
      <c r="L333">
        <v>0.11800269762607921</v>
      </c>
      <c r="M333">
        <v>55.435930638554908</v>
      </c>
      <c r="N333">
        <v>60.979523702410404</v>
      </c>
    </row>
    <row r="334" spans="1:14">
      <c r="A334" t="s">
        <v>726</v>
      </c>
      <c r="B334" t="s">
        <v>5041</v>
      </c>
      <c r="C334" t="s">
        <v>5042</v>
      </c>
      <c r="D334" t="s">
        <v>11</v>
      </c>
      <c r="E334" t="s">
        <v>13</v>
      </c>
      <c r="F334" t="s">
        <v>729</v>
      </c>
      <c r="G334" t="s">
        <v>12</v>
      </c>
      <c r="I334" t="s">
        <v>5041</v>
      </c>
      <c r="J334" t="s">
        <v>6638</v>
      </c>
      <c r="K334">
        <v>0.20588493995835225</v>
      </c>
      <c r="L334">
        <v>0.116350857329719</v>
      </c>
      <c r="M334">
        <v>79.945616384043518</v>
      </c>
      <c r="N334">
        <v>87.940178022447881</v>
      </c>
    </row>
    <row r="335" spans="1:14">
      <c r="A335" t="s">
        <v>726</v>
      </c>
      <c r="B335" t="s">
        <v>5043</v>
      </c>
      <c r="C335" t="s">
        <v>5044</v>
      </c>
      <c r="D335" t="s">
        <v>11</v>
      </c>
      <c r="E335" t="s">
        <v>13</v>
      </c>
      <c r="F335" t="s">
        <v>729</v>
      </c>
      <c r="G335" t="s">
        <v>12</v>
      </c>
      <c r="I335" t="s">
        <v>5043</v>
      </c>
      <c r="J335" t="s">
        <v>6639</v>
      </c>
      <c r="K335">
        <v>0.16974022319528745</v>
      </c>
      <c r="L335">
        <v>4.56780046328501E-2</v>
      </c>
      <c r="M335">
        <v>41.653262333989083</v>
      </c>
      <c r="N335">
        <v>45.818588567387998</v>
      </c>
    </row>
    <row r="336" spans="1:14">
      <c r="A336" t="s">
        <v>726</v>
      </c>
      <c r="B336" t="s">
        <v>5045</v>
      </c>
      <c r="C336" t="s">
        <v>5046</v>
      </c>
      <c r="D336" t="s">
        <v>11</v>
      </c>
      <c r="E336" t="s">
        <v>13</v>
      </c>
      <c r="F336" t="s">
        <v>729</v>
      </c>
      <c r="G336" t="s">
        <v>12</v>
      </c>
      <c r="I336" t="s">
        <v>5045</v>
      </c>
      <c r="J336" t="s">
        <v>6640</v>
      </c>
      <c r="K336">
        <v>5.6595169170335996E-2</v>
      </c>
      <c r="L336">
        <v>2.8799537761193698E-2</v>
      </c>
      <c r="M336">
        <v>71.646769188636867</v>
      </c>
      <c r="N336">
        <v>78.811446107500558</v>
      </c>
    </row>
    <row r="337" spans="1:14">
      <c r="A337" t="s">
        <v>726</v>
      </c>
      <c r="B337" t="s">
        <v>5047</v>
      </c>
      <c r="C337" t="s">
        <v>5048</v>
      </c>
      <c r="D337" t="s">
        <v>11</v>
      </c>
      <c r="E337" t="s">
        <v>13</v>
      </c>
      <c r="F337" t="s">
        <v>729</v>
      </c>
      <c r="G337" t="s">
        <v>12</v>
      </c>
      <c r="I337" t="s">
        <v>5047</v>
      </c>
      <c r="J337" t="s">
        <v>6641</v>
      </c>
      <c r="K337">
        <v>1.074375203790304</v>
      </c>
      <c r="L337">
        <v>0.23269703825968099</v>
      </c>
      <c r="M337">
        <v>73.87082503649026</v>
      </c>
      <c r="N337">
        <v>81.257907540139286</v>
      </c>
    </row>
    <row r="338" spans="1:14">
      <c r="A338" t="s">
        <v>726</v>
      </c>
      <c r="B338" t="s">
        <v>5049</v>
      </c>
      <c r="C338" t="s">
        <v>5050</v>
      </c>
      <c r="D338" t="s">
        <v>11</v>
      </c>
      <c r="E338" t="s">
        <v>13</v>
      </c>
      <c r="F338" t="s">
        <v>729</v>
      </c>
      <c r="G338" t="s">
        <v>12</v>
      </c>
      <c r="I338" t="s">
        <v>5049</v>
      </c>
      <c r="J338" t="s">
        <v>6642</v>
      </c>
      <c r="K338">
        <v>2.3813511291867844</v>
      </c>
      <c r="L338">
        <v>0.15931858659763029</v>
      </c>
      <c r="M338">
        <v>67.896020602987633</v>
      </c>
      <c r="N338">
        <v>74.685622663286409</v>
      </c>
    </row>
    <row r="339" spans="1:14">
      <c r="A339" t="s">
        <v>726</v>
      </c>
      <c r="B339" t="s">
        <v>5051</v>
      </c>
      <c r="C339" t="s">
        <v>5052</v>
      </c>
      <c r="D339" t="s">
        <v>11</v>
      </c>
      <c r="E339" t="s">
        <v>13</v>
      </c>
      <c r="F339" t="s">
        <v>729</v>
      </c>
      <c r="G339" t="s">
        <v>12</v>
      </c>
      <c r="I339" t="s">
        <v>5051</v>
      </c>
      <c r="J339" t="s">
        <v>6643</v>
      </c>
      <c r="K339">
        <v>0.38713436932605511</v>
      </c>
      <c r="L339">
        <v>0.14848712495171409</v>
      </c>
      <c r="M339">
        <v>43.090372676743989</v>
      </c>
      <c r="N339">
        <v>47.399409944418395</v>
      </c>
    </row>
    <row r="340" spans="1:14">
      <c r="A340" t="s">
        <v>726</v>
      </c>
      <c r="B340" t="s">
        <v>5053</v>
      </c>
      <c r="C340" t="s">
        <v>5054</v>
      </c>
      <c r="D340" t="s">
        <v>11</v>
      </c>
      <c r="E340" t="s">
        <v>13</v>
      </c>
      <c r="F340" t="s">
        <v>729</v>
      </c>
      <c r="G340" t="s">
        <v>12</v>
      </c>
      <c r="I340" t="s">
        <v>5053</v>
      </c>
      <c r="J340" t="s">
        <v>6644</v>
      </c>
      <c r="K340">
        <v>2.6810218486742303</v>
      </c>
      <c r="L340">
        <v>0.24475182163066289</v>
      </c>
      <c r="M340">
        <v>141.83119511113284</v>
      </c>
      <c r="N340">
        <v>156.01431462224613</v>
      </c>
    </row>
    <row r="341" spans="1:14">
      <c r="A341" t="s">
        <v>726</v>
      </c>
      <c r="B341" t="s">
        <v>5055</v>
      </c>
      <c r="C341" t="s">
        <v>5056</v>
      </c>
      <c r="D341" t="s">
        <v>11</v>
      </c>
      <c r="E341" t="s">
        <v>13</v>
      </c>
      <c r="F341" t="s">
        <v>729</v>
      </c>
      <c r="G341" t="s">
        <v>12</v>
      </c>
      <c r="I341" t="s">
        <v>5055</v>
      </c>
      <c r="J341" t="s">
        <v>6645</v>
      </c>
      <c r="K341">
        <v>2.872259488972289</v>
      </c>
      <c r="L341">
        <v>0.23704683647011299</v>
      </c>
      <c r="M341">
        <v>87.809165988332069</v>
      </c>
      <c r="N341">
        <v>96.590082587165284</v>
      </c>
    </row>
    <row r="342" spans="1:14">
      <c r="A342" t="s">
        <v>726</v>
      </c>
      <c r="B342" t="s">
        <v>5057</v>
      </c>
      <c r="C342" t="s">
        <v>5058</v>
      </c>
      <c r="D342" t="s">
        <v>11</v>
      </c>
      <c r="E342" t="s">
        <v>13</v>
      </c>
      <c r="F342" t="s">
        <v>729</v>
      </c>
      <c r="G342" t="s">
        <v>12</v>
      </c>
      <c r="I342" t="s">
        <v>5057</v>
      </c>
      <c r="J342" t="s">
        <v>6646</v>
      </c>
      <c r="K342">
        <v>6.2738658742647422</v>
      </c>
      <c r="L342">
        <v>0.49177100026342319</v>
      </c>
      <c r="M342">
        <v>155.92289692237603</v>
      </c>
      <c r="N342">
        <v>171.51518661461364</v>
      </c>
    </row>
    <row r="343" spans="1:14">
      <c r="A343" t="s">
        <v>726</v>
      </c>
      <c r="B343" t="s">
        <v>5059</v>
      </c>
      <c r="C343" t="s">
        <v>5060</v>
      </c>
      <c r="D343" t="s">
        <v>11</v>
      </c>
      <c r="E343" t="s">
        <v>13</v>
      </c>
      <c r="F343" t="s">
        <v>729</v>
      </c>
      <c r="G343" t="s">
        <v>12</v>
      </c>
      <c r="I343" t="s">
        <v>5059</v>
      </c>
      <c r="J343" t="s">
        <v>6647</v>
      </c>
      <c r="K343">
        <v>6.921221607892738</v>
      </c>
      <c r="L343">
        <v>0.1011067909401647</v>
      </c>
      <c r="M343">
        <v>97.988221286516506</v>
      </c>
      <c r="N343">
        <v>107.78704341516817</v>
      </c>
    </row>
    <row r="344" spans="1:14">
      <c r="A344" t="s">
        <v>726</v>
      </c>
      <c r="B344" t="s">
        <v>5061</v>
      </c>
      <c r="C344" t="s">
        <v>5062</v>
      </c>
      <c r="D344" t="s">
        <v>11</v>
      </c>
      <c r="E344" t="s">
        <v>13</v>
      </c>
      <c r="F344" t="s">
        <v>729</v>
      </c>
      <c r="G344" t="s">
        <v>12</v>
      </c>
      <c r="I344" t="s">
        <v>5061</v>
      </c>
      <c r="J344" t="s">
        <v>6648</v>
      </c>
      <c r="K344">
        <v>3.2369333285680697</v>
      </c>
      <c r="L344">
        <v>0.1007392207975511</v>
      </c>
      <c r="M344">
        <v>23.417064733278945</v>
      </c>
      <c r="N344">
        <v>25.758771206606841</v>
      </c>
    </row>
    <row r="345" spans="1:14">
      <c r="A345" t="s">
        <v>726</v>
      </c>
      <c r="B345" t="s">
        <v>5063</v>
      </c>
      <c r="C345" t="s">
        <v>5064</v>
      </c>
      <c r="D345" t="s">
        <v>11</v>
      </c>
      <c r="E345" t="s">
        <v>13</v>
      </c>
      <c r="F345" t="s">
        <v>729</v>
      </c>
      <c r="G345" t="s">
        <v>12</v>
      </c>
      <c r="I345" t="s">
        <v>5063</v>
      </c>
      <c r="J345" t="s">
        <v>6649</v>
      </c>
      <c r="K345">
        <v>0.124493595958414</v>
      </c>
      <c r="L345">
        <v>0.1761851429910325</v>
      </c>
      <c r="M345">
        <v>58.239126789561567</v>
      </c>
      <c r="N345">
        <v>64.063039468517729</v>
      </c>
    </row>
    <row r="346" spans="1:14">
      <c r="A346" t="s">
        <v>726</v>
      </c>
      <c r="B346" t="s">
        <v>5065</v>
      </c>
      <c r="C346" t="s">
        <v>5066</v>
      </c>
      <c r="D346" t="s">
        <v>11</v>
      </c>
      <c r="E346" t="s">
        <v>13</v>
      </c>
      <c r="F346" t="s">
        <v>729</v>
      </c>
      <c r="G346" t="s">
        <v>12</v>
      </c>
      <c r="I346" t="s">
        <v>5065</v>
      </c>
      <c r="J346" t="s">
        <v>6650</v>
      </c>
      <c r="K346">
        <v>3.4660669558060628</v>
      </c>
      <c r="L346">
        <v>0.1054827992963988</v>
      </c>
      <c r="M346">
        <v>406.22421378035045</v>
      </c>
      <c r="N346">
        <v>446.84663515838554</v>
      </c>
    </row>
    <row r="347" spans="1:14">
      <c r="A347" t="s">
        <v>726</v>
      </c>
      <c r="B347" t="s">
        <v>5067</v>
      </c>
      <c r="C347" t="s">
        <v>5068</v>
      </c>
      <c r="D347" t="s">
        <v>11</v>
      </c>
      <c r="E347" t="s">
        <v>13</v>
      </c>
      <c r="F347" t="s">
        <v>729</v>
      </c>
      <c r="G347" t="s">
        <v>12</v>
      </c>
      <c r="I347" t="s">
        <v>5067</v>
      </c>
      <c r="J347" t="s">
        <v>6651</v>
      </c>
      <c r="K347">
        <v>6.0419331442055002</v>
      </c>
      <c r="L347">
        <v>0.13811860741750709</v>
      </c>
      <c r="M347">
        <v>289.02763748796372</v>
      </c>
      <c r="N347">
        <v>317.93040123676013</v>
      </c>
    </row>
    <row r="348" spans="1:14">
      <c r="A348" t="s">
        <v>726</v>
      </c>
      <c r="B348" t="s">
        <v>5069</v>
      </c>
      <c r="C348" t="s">
        <v>5070</v>
      </c>
      <c r="D348" t="s">
        <v>11</v>
      </c>
      <c r="E348" t="s">
        <v>13</v>
      </c>
      <c r="F348" t="s">
        <v>729</v>
      </c>
      <c r="G348" t="s">
        <v>12</v>
      </c>
      <c r="I348" t="s">
        <v>5069</v>
      </c>
      <c r="J348" t="s">
        <v>6652</v>
      </c>
      <c r="K348">
        <v>3.6526519477346468E-2</v>
      </c>
      <c r="L348">
        <v>0.30525119880790191</v>
      </c>
      <c r="M348">
        <v>9.4435680588534154</v>
      </c>
      <c r="N348">
        <v>10.387924864738757</v>
      </c>
    </row>
    <row r="349" spans="1:14">
      <c r="A349" t="s">
        <v>726</v>
      </c>
      <c r="B349" t="s">
        <v>5071</v>
      </c>
      <c r="C349" t="s">
        <v>5072</v>
      </c>
      <c r="D349" t="s">
        <v>11</v>
      </c>
      <c r="E349" t="s">
        <v>13</v>
      </c>
      <c r="F349" t="s">
        <v>729</v>
      </c>
      <c r="G349" t="s">
        <v>12</v>
      </c>
      <c r="I349" t="s">
        <v>5071</v>
      </c>
      <c r="J349" t="s">
        <v>6653</v>
      </c>
      <c r="K349">
        <v>9.2860304263553684E-2</v>
      </c>
      <c r="L349">
        <v>0.1984087455647392</v>
      </c>
      <c r="M349">
        <v>17.399541641945024</v>
      </c>
      <c r="N349">
        <v>19.139495806139529</v>
      </c>
    </row>
    <row r="350" spans="1:14">
      <c r="A350" t="s">
        <v>726</v>
      </c>
      <c r="B350" t="s">
        <v>5073</v>
      </c>
      <c r="C350" t="s">
        <v>5074</v>
      </c>
      <c r="D350" t="s">
        <v>11</v>
      </c>
      <c r="E350" t="s">
        <v>13</v>
      </c>
      <c r="F350" t="s">
        <v>729</v>
      </c>
      <c r="G350" t="s">
        <v>12</v>
      </c>
      <c r="I350" t="s">
        <v>5073</v>
      </c>
      <c r="J350" t="s">
        <v>6654</v>
      </c>
      <c r="K350">
        <v>1.5753633895454037E-2</v>
      </c>
      <c r="L350">
        <v>0.2471322472253395</v>
      </c>
      <c r="M350">
        <v>8.6621883524307837</v>
      </c>
      <c r="N350">
        <v>9.5284071876738636</v>
      </c>
    </row>
    <row r="351" spans="1:14">
      <c r="A351" t="s">
        <v>726</v>
      </c>
      <c r="B351" t="s">
        <v>5075</v>
      </c>
      <c r="C351" t="s">
        <v>5076</v>
      </c>
      <c r="D351" t="s">
        <v>11</v>
      </c>
      <c r="E351" t="s">
        <v>13</v>
      </c>
      <c r="F351" t="s">
        <v>729</v>
      </c>
      <c r="G351" t="s">
        <v>12</v>
      </c>
      <c r="I351" t="s">
        <v>5075</v>
      </c>
      <c r="J351" t="s">
        <v>6655</v>
      </c>
      <c r="K351">
        <v>6.046822489712534E-2</v>
      </c>
      <c r="L351">
        <v>0.24250825403297449</v>
      </c>
      <c r="M351">
        <v>18.102853369861329</v>
      </c>
      <c r="N351">
        <v>19.913138706847462</v>
      </c>
    </row>
    <row r="352" spans="1:14">
      <c r="A352" t="s">
        <v>726</v>
      </c>
      <c r="B352" t="s">
        <v>5077</v>
      </c>
      <c r="C352" t="s">
        <v>5078</v>
      </c>
      <c r="D352" t="s">
        <v>11</v>
      </c>
      <c r="E352" t="s">
        <v>13</v>
      </c>
      <c r="F352" t="s">
        <v>729</v>
      </c>
      <c r="G352" t="s">
        <v>12</v>
      </c>
      <c r="I352" t="s">
        <v>5077</v>
      </c>
      <c r="J352" t="s">
        <v>6656</v>
      </c>
      <c r="K352">
        <v>15.220498059908131</v>
      </c>
      <c r="L352">
        <v>0.10665420668704891</v>
      </c>
      <c r="M352">
        <v>37.12648606230065</v>
      </c>
      <c r="N352">
        <v>40.839134668530718</v>
      </c>
    </row>
    <row r="353" spans="1:14">
      <c r="A353" t="s">
        <v>726</v>
      </c>
      <c r="B353" t="s">
        <v>5079</v>
      </c>
      <c r="C353" t="s">
        <v>5080</v>
      </c>
      <c r="D353" t="s">
        <v>11</v>
      </c>
      <c r="E353" t="s">
        <v>13</v>
      </c>
      <c r="F353" t="s">
        <v>729</v>
      </c>
      <c r="G353" t="s">
        <v>12</v>
      </c>
      <c r="I353" t="s">
        <v>5079</v>
      </c>
      <c r="J353" t="s">
        <v>6657</v>
      </c>
      <c r="K353">
        <v>44.977450441159</v>
      </c>
      <c r="L353">
        <v>0.28134182170089789</v>
      </c>
      <c r="M353">
        <v>80.750598790725462</v>
      </c>
      <c r="N353">
        <v>88.825658669798017</v>
      </c>
    </row>
    <row r="354" spans="1:14">
      <c r="A354" t="s">
        <v>726</v>
      </c>
      <c r="B354" t="s">
        <v>5081</v>
      </c>
      <c r="C354" t="s">
        <v>5082</v>
      </c>
      <c r="D354" t="s">
        <v>11</v>
      </c>
      <c r="E354" t="s">
        <v>13</v>
      </c>
      <c r="F354" t="s">
        <v>729</v>
      </c>
      <c r="G354" t="s">
        <v>12</v>
      </c>
      <c r="I354" t="s">
        <v>5081</v>
      </c>
      <c r="J354" t="s">
        <v>6658</v>
      </c>
      <c r="K354">
        <v>43.80665409894921</v>
      </c>
      <c r="L354">
        <v>0.28220514174515349</v>
      </c>
      <c r="M354">
        <v>253.73942958434799</v>
      </c>
      <c r="N354">
        <v>279.11337254278283</v>
      </c>
    </row>
    <row r="355" spans="1:14">
      <c r="A355" t="s">
        <v>726</v>
      </c>
      <c r="B355" t="s">
        <v>5083</v>
      </c>
      <c r="C355" t="s">
        <v>5084</v>
      </c>
      <c r="D355" t="s">
        <v>11</v>
      </c>
      <c r="E355" t="s">
        <v>13</v>
      </c>
      <c r="F355" t="s">
        <v>729</v>
      </c>
      <c r="G355" t="s">
        <v>12</v>
      </c>
      <c r="I355" t="s">
        <v>5083</v>
      </c>
      <c r="J355" t="s">
        <v>6659</v>
      </c>
      <c r="K355">
        <v>0.57689660533013121</v>
      </c>
      <c r="L355">
        <v>0.2119962640829533</v>
      </c>
      <c r="M355">
        <v>25.731740420143009</v>
      </c>
      <c r="N355">
        <v>28.304914462157313</v>
      </c>
    </row>
    <row r="356" spans="1:14">
      <c r="A356" t="s">
        <v>726</v>
      </c>
      <c r="B356" t="s">
        <v>5085</v>
      </c>
      <c r="C356" t="s">
        <v>5086</v>
      </c>
      <c r="D356" t="s">
        <v>11</v>
      </c>
      <c r="E356" t="s">
        <v>13</v>
      </c>
      <c r="F356" t="s">
        <v>729</v>
      </c>
      <c r="G356" t="s">
        <v>12</v>
      </c>
      <c r="I356" t="s">
        <v>5085</v>
      </c>
      <c r="J356" t="s">
        <v>6660</v>
      </c>
      <c r="K356">
        <v>0.30667492761703358</v>
      </c>
      <c r="L356">
        <v>0.19247700958488681</v>
      </c>
      <c r="M356">
        <v>31.070271025388021</v>
      </c>
      <c r="N356">
        <v>34.177298127926825</v>
      </c>
    </row>
    <row r="357" spans="1:14">
      <c r="A357" t="s">
        <v>726</v>
      </c>
      <c r="B357" t="s">
        <v>5087</v>
      </c>
      <c r="C357" t="s">
        <v>5088</v>
      </c>
      <c r="D357" t="s">
        <v>11</v>
      </c>
      <c r="E357" t="s">
        <v>13</v>
      </c>
      <c r="F357" t="s">
        <v>729</v>
      </c>
      <c r="G357" t="s">
        <v>12</v>
      </c>
      <c r="I357" t="s">
        <v>5087</v>
      </c>
      <c r="J357" t="s">
        <v>6661</v>
      </c>
      <c r="K357">
        <v>1.596761266988957</v>
      </c>
      <c r="L357">
        <v>0.1754783782222602</v>
      </c>
      <c r="M357">
        <v>37.904090679513402</v>
      </c>
      <c r="N357">
        <v>41.694499747464747</v>
      </c>
    </row>
    <row r="358" spans="1:14">
      <c r="A358" t="s">
        <v>726</v>
      </c>
      <c r="B358" t="s">
        <v>5089</v>
      </c>
      <c r="C358" t="s">
        <v>5090</v>
      </c>
      <c r="D358" t="s">
        <v>11</v>
      </c>
      <c r="E358" t="s">
        <v>13</v>
      </c>
      <c r="F358" t="s">
        <v>729</v>
      </c>
      <c r="G358" t="s">
        <v>12</v>
      </c>
      <c r="I358" t="s">
        <v>5089</v>
      </c>
      <c r="J358" t="s">
        <v>6662</v>
      </c>
      <c r="K358">
        <v>1.447295341960978</v>
      </c>
      <c r="L358">
        <v>0.13884011748207689</v>
      </c>
      <c r="M358">
        <v>22.513600076948837</v>
      </c>
      <c r="N358">
        <v>24.764960084643722</v>
      </c>
    </row>
    <row r="359" spans="1:14">
      <c r="A359" t="s">
        <v>726</v>
      </c>
      <c r="B359" t="s">
        <v>5091</v>
      </c>
      <c r="C359" t="s">
        <v>5092</v>
      </c>
      <c r="D359" t="s">
        <v>11</v>
      </c>
      <c r="E359" t="s">
        <v>13</v>
      </c>
      <c r="F359" t="s">
        <v>729</v>
      </c>
      <c r="G359" t="s">
        <v>12</v>
      </c>
      <c r="I359" t="s">
        <v>5091</v>
      </c>
      <c r="J359" t="s">
        <v>6663</v>
      </c>
      <c r="K359">
        <v>2.2125202590242719</v>
      </c>
      <c r="L359">
        <v>0.1654691398136485</v>
      </c>
      <c r="M359">
        <v>28.29417021488976</v>
      </c>
      <c r="N359">
        <v>31.123587236378739</v>
      </c>
    </row>
    <row r="360" spans="1:14">
      <c r="A360" t="s">
        <v>726</v>
      </c>
      <c r="B360" t="s">
        <v>5093</v>
      </c>
      <c r="C360" t="s">
        <v>5094</v>
      </c>
      <c r="D360" t="s">
        <v>11</v>
      </c>
      <c r="E360" t="s">
        <v>13</v>
      </c>
      <c r="F360" t="s">
        <v>729</v>
      </c>
      <c r="G360" t="s">
        <v>12</v>
      </c>
      <c r="I360" t="s">
        <v>5093</v>
      </c>
      <c r="J360" t="s">
        <v>6664</v>
      </c>
      <c r="K360">
        <v>3.76553964993251</v>
      </c>
      <c r="L360">
        <v>0.25601186296549999</v>
      </c>
      <c r="M360">
        <v>20.35019920764864</v>
      </c>
      <c r="N360">
        <v>22.385219128413507</v>
      </c>
    </row>
    <row r="361" spans="1:14">
      <c r="A361" t="s">
        <v>726</v>
      </c>
      <c r="B361" t="s">
        <v>5095</v>
      </c>
      <c r="C361" t="s">
        <v>5096</v>
      </c>
      <c r="D361" t="s">
        <v>11</v>
      </c>
      <c r="E361" t="s">
        <v>13</v>
      </c>
      <c r="F361" t="s">
        <v>729</v>
      </c>
      <c r="G361" t="s">
        <v>12</v>
      </c>
      <c r="I361" t="s">
        <v>5095</v>
      </c>
      <c r="J361" t="s">
        <v>6665</v>
      </c>
      <c r="K361">
        <v>0.10744153826776945</v>
      </c>
      <c r="L361">
        <v>8.4996846987688293E-2</v>
      </c>
      <c r="M361">
        <v>22.186779858955472</v>
      </c>
      <c r="N361">
        <v>24.405457844851021</v>
      </c>
    </row>
    <row r="362" spans="1:14">
      <c r="A362" t="s">
        <v>726</v>
      </c>
      <c r="B362" t="s">
        <v>5097</v>
      </c>
      <c r="C362" t="s">
        <v>5098</v>
      </c>
      <c r="D362" t="s">
        <v>11</v>
      </c>
      <c r="E362" t="s">
        <v>13</v>
      </c>
      <c r="F362" t="s">
        <v>729</v>
      </c>
      <c r="G362" t="s">
        <v>12</v>
      </c>
      <c r="I362" t="s">
        <v>5097</v>
      </c>
      <c r="J362" t="s">
        <v>6666</v>
      </c>
      <c r="K362">
        <v>3.541014197783857</v>
      </c>
      <c r="L362">
        <v>0.23517981333928439</v>
      </c>
      <c r="M362">
        <v>27.452160539941765</v>
      </c>
      <c r="N362">
        <v>30.197376593935942</v>
      </c>
    </row>
    <row r="363" spans="1:14">
      <c r="A363" t="s">
        <v>726</v>
      </c>
      <c r="B363" t="s">
        <v>5099</v>
      </c>
      <c r="C363" t="s">
        <v>5100</v>
      </c>
      <c r="D363" t="s">
        <v>11</v>
      </c>
      <c r="E363" t="s">
        <v>13</v>
      </c>
      <c r="F363" t="s">
        <v>729</v>
      </c>
      <c r="G363" t="s">
        <v>12</v>
      </c>
      <c r="I363" t="s">
        <v>5099</v>
      </c>
      <c r="J363" t="s">
        <v>6667</v>
      </c>
      <c r="K363">
        <v>4.7872062593003681</v>
      </c>
      <c r="L363">
        <v>0.17856659941753511</v>
      </c>
      <c r="M363">
        <v>40.033828583291921</v>
      </c>
      <c r="N363">
        <v>44.037211441621118</v>
      </c>
    </row>
    <row r="364" spans="1:14">
      <c r="A364" t="s">
        <v>726</v>
      </c>
      <c r="B364" t="s">
        <v>5101</v>
      </c>
      <c r="C364" t="s">
        <v>5102</v>
      </c>
      <c r="D364" t="s">
        <v>11</v>
      </c>
      <c r="E364" t="s">
        <v>13</v>
      </c>
      <c r="F364" t="s">
        <v>729</v>
      </c>
      <c r="G364" t="s">
        <v>12</v>
      </c>
      <c r="I364" t="s">
        <v>5101</v>
      </c>
      <c r="J364" t="s">
        <v>6668</v>
      </c>
      <c r="K364">
        <v>0.4635670647194543</v>
      </c>
      <c r="L364">
        <v>0.16556522666757689</v>
      </c>
      <c r="M364">
        <v>22.208242965553385</v>
      </c>
      <c r="N364">
        <v>24.429067262108724</v>
      </c>
    </row>
    <row r="365" spans="1:14">
      <c r="A365" t="s">
        <v>726</v>
      </c>
      <c r="B365" t="s">
        <v>5103</v>
      </c>
      <c r="C365" t="s">
        <v>5104</v>
      </c>
      <c r="D365" t="s">
        <v>11</v>
      </c>
      <c r="E365" t="s">
        <v>13</v>
      </c>
      <c r="F365" t="s">
        <v>729</v>
      </c>
      <c r="G365" t="s">
        <v>12</v>
      </c>
      <c r="I365" t="s">
        <v>5103</v>
      </c>
      <c r="J365" t="s">
        <v>6669</v>
      </c>
      <c r="K365">
        <v>5.1477584057973509</v>
      </c>
      <c r="L365">
        <v>0.18183526819075049</v>
      </c>
      <c r="M365">
        <v>47.395611802930922</v>
      </c>
      <c r="N365">
        <v>52.135172983224017</v>
      </c>
    </row>
    <row r="366" spans="1:14">
      <c r="A366" t="s">
        <v>726</v>
      </c>
      <c r="B366" t="s">
        <v>5105</v>
      </c>
      <c r="C366" t="s">
        <v>5106</v>
      </c>
      <c r="D366" t="s">
        <v>11</v>
      </c>
      <c r="E366" t="s">
        <v>13</v>
      </c>
      <c r="F366" t="s">
        <v>729</v>
      </c>
      <c r="G366" t="s">
        <v>12</v>
      </c>
      <c r="I366" t="s">
        <v>5105</v>
      </c>
      <c r="J366" t="s">
        <v>6670</v>
      </c>
      <c r="K366">
        <v>3.6948636719921568</v>
      </c>
      <c r="L366">
        <v>0.1282801190316511</v>
      </c>
      <c r="M366">
        <v>223.12847119867249</v>
      </c>
      <c r="N366">
        <v>245.44131831853974</v>
      </c>
    </row>
    <row r="367" spans="1:14">
      <c r="A367" t="s">
        <v>726</v>
      </c>
      <c r="B367" t="s">
        <v>5107</v>
      </c>
      <c r="C367" t="s">
        <v>5108</v>
      </c>
      <c r="D367" t="s">
        <v>11</v>
      </c>
      <c r="E367" t="s">
        <v>13</v>
      </c>
      <c r="F367" t="s">
        <v>729</v>
      </c>
      <c r="G367" t="s">
        <v>12</v>
      </c>
      <c r="I367" t="s">
        <v>5107</v>
      </c>
      <c r="J367" t="s">
        <v>6671</v>
      </c>
      <c r="K367">
        <v>28.540942220373225</v>
      </c>
      <c r="L367">
        <v>0.22281819006664799</v>
      </c>
      <c r="M367">
        <v>352.69079751970003</v>
      </c>
      <c r="N367">
        <v>387.95987727167005</v>
      </c>
    </row>
    <row r="368" spans="1:14">
      <c r="A368" t="s">
        <v>726</v>
      </c>
      <c r="B368" t="s">
        <v>5109</v>
      </c>
      <c r="C368" t="s">
        <v>5110</v>
      </c>
      <c r="D368" t="s">
        <v>11</v>
      </c>
      <c r="E368" t="s">
        <v>13</v>
      </c>
      <c r="F368" t="s">
        <v>729</v>
      </c>
      <c r="G368" t="s">
        <v>12</v>
      </c>
      <c r="I368" t="s">
        <v>5109</v>
      </c>
      <c r="J368" t="s">
        <v>6672</v>
      </c>
      <c r="K368">
        <v>24.602924824903919</v>
      </c>
      <c r="L368">
        <v>0.2225430618556245</v>
      </c>
      <c r="M368">
        <v>630.41745512130547</v>
      </c>
      <c r="N368">
        <v>693.45920063343601</v>
      </c>
    </row>
    <row r="369" spans="1:14">
      <c r="A369" t="s">
        <v>726</v>
      </c>
      <c r="B369" t="s">
        <v>5111</v>
      </c>
      <c r="C369" t="s">
        <v>5112</v>
      </c>
      <c r="D369" t="s">
        <v>11</v>
      </c>
      <c r="E369" t="s">
        <v>13</v>
      </c>
      <c r="F369" t="s">
        <v>729</v>
      </c>
      <c r="G369" t="s">
        <v>12</v>
      </c>
      <c r="I369" t="s">
        <v>5111</v>
      </c>
      <c r="J369" t="s">
        <v>6673</v>
      </c>
      <c r="K369">
        <v>1.5194508888731268</v>
      </c>
      <c r="L369">
        <v>0.18944762479718211</v>
      </c>
      <c r="M369">
        <v>337.87960266347773</v>
      </c>
      <c r="N369">
        <v>371.66756292982552</v>
      </c>
    </row>
    <row r="370" spans="1:14">
      <c r="A370" t="s">
        <v>726</v>
      </c>
      <c r="B370" t="s">
        <v>5113</v>
      </c>
      <c r="C370" t="s">
        <v>5114</v>
      </c>
      <c r="D370" t="s">
        <v>11</v>
      </c>
      <c r="E370" t="s">
        <v>13</v>
      </c>
      <c r="F370" t="s">
        <v>729</v>
      </c>
      <c r="G370" t="s">
        <v>12</v>
      </c>
      <c r="I370" t="s">
        <v>5113</v>
      </c>
      <c r="J370" t="s">
        <v>6674</v>
      </c>
      <c r="K370">
        <v>4.0439066851104739</v>
      </c>
      <c r="L370">
        <v>0.11644832754646819</v>
      </c>
      <c r="M370">
        <v>187.47500246595317</v>
      </c>
      <c r="N370">
        <v>206.2225027125485</v>
      </c>
    </row>
    <row r="371" spans="1:14">
      <c r="A371" t="s">
        <v>726</v>
      </c>
      <c r="B371" t="s">
        <v>5115</v>
      </c>
      <c r="C371" t="s">
        <v>5116</v>
      </c>
      <c r="D371" t="s">
        <v>11</v>
      </c>
      <c r="E371" t="s">
        <v>13</v>
      </c>
      <c r="F371" t="s">
        <v>729</v>
      </c>
      <c r="G371" t="s">
        <v>12</v>
      </c>
      <c r="I371" t="s">
        <v>5115</v>
      </c>
      <c r="J371" t="s">
        <v>6675</v>
      </c>
      <c r="K371">
        <v>2.3446134827025462</v>
      </c>
      <c r="L371">
        <v>0.14362109242068069</v>
      </c>
      <c r="M371">
        <v>306.9919058985721</v>
      </c>
      <c r="N371">
        <v>337.69109648842931</v>
      </c>
    </row>
    <row r="372" spans="1:14">
      <c r="A372" t="s">
        <v>726</v>
      </c>
      <c r="B372" t="s">
        <v>5117</v>
      </c>
      <c r="C372" t="s">
        <v>5118</v>
      </c>
      <c r="D372" t="s">
        <v>11</v>
      </c>
      <c r="E372" t="s">
        <v>13</v>
      </c>
      <c r="F372" t="s">
        <v>729</v>
      </c>
      <c r="G372" t="s">
        <v>12</v>
      </c>
      <c r="I372" t="s">
        <v>5117</v>
      </c>
      <c r="J372" t="s">
        <v>6676</v>
      </c>
      <c r="K372">
        <v>0.35024075486710721</v>
      </c>
      <c r="L372">
        <v>0.18006482836195251</v>
      </c>
      <c r="M372">
        <v>276.92324515346661</v>
      </c>
      <c r="N372">
        <v>304.61556966881329</v>
      </c>
    </row>
    <row r="373" spans="1:14">
      <c r="A373" t="s">
        <v>726</v>
      </c>
      <c r="B373" t="s">
        <v>5119</v>
      </c>
      <c r="C373" t="s">
        <v>5120</v>
      </c>
      <c r="D373" t="s">
        <v>11</v>
      </c>
      <c r="E373" t="s">
        <v>13</v>
      </c>
      <c r="F373" t="s">
        <v>729</v>
      </c>
      <c r="G373" t="s">
        <v>12</v>
      </c>
      <c r="I373" t="s">
        <v>5119</v>
      </c>
      <c r="J373" t="s">
        <v>6677</v>
      </c>
      <c r="K373">
        <v>8.2994975853913591</v>
      </c>
      <c r="L373">
        <v>0.15580750366069551</v>
      </c>
      <c r="M373">
        <v>160.24174655177686</v>
      </c>
      <c r="N373">
        <v>176.26592120695454</v>
      </c>
    </row>
    <row r="374" spans="1:14">
      <c r="A374" t="s">
        <v>726</v>
      </c>
      <c r="B374" t="s">
        <v>5121</v>
      </c>
      <c r="C374" t="s">
        <v>5122</v>
      </c>
      <c r="D374" t="s">
        <v>11</v>
      </c>
      <c r="E374" t="s">
        <v>13</v>
      </c>
      <c r="F374" t="s">
        <v>729</v>
      </c>
      <c r="G374" t="s">
        <v>12</v>
      </c>
      <c r="I374" t="s">
        <v>5121</v>
      </c>
      <c r="J374" t="s">
        <v>6678</v>
      </c>
      <c r="K374">
        <v>12.587286039813428</v>
      </c>
      <c r="L374">
        <v>0.13092193781646139</v>
      </c>
      <c r="M374">
        <v>319.9058299271486</v>
      </c>
      <c r="N374">
        <v>351.89641291986351</v>
      </c>
    </row>
    <row r="375" spans="1:14">
      <c r="A375" t="s">
        <v>726</v>
      </c>
      <c r="B375" t="s">
        <v>5123</v>
      </c>
      <c r="C375" t="s">
        <v>5124</v>
      </c>
      <c r="D375" t="s">
        <v>11</v>
      </c>
      <c r="E375" t="s">
        <v>13</v>
      </c>
      <c r="F375" t="s">
        <v>729</v>
      </c>
      <c r="G375" t="s">
        <v>12</v>
      </c>
      <c r="I375" t="s">
        <v>5123</v>
      </c>
      <c r="J375" t="s">
        <v>6679</v>
      </c>
      <c r="K375">
        <v>14.997885552153745</v>
      </c>
      <c r="L375">
        <v>0.17395393741450541</v>
      </c>
      <c r="M375">
        <v>121.78704253034066</v>
      </c>
      <c r="N375">
        <v>133.96574678337473</v>
      </c>
    </row>
    <row r="376" spans="1:14">
      <c r="A376" t="s">
        <v>726</v>
      </c>
      <c r="B376" t="s">
        <v>5125</v>
      </c>
      <c r="C376" t="s">
        <v>5126</v>
      </c>
      <c r="D376" t="s">
        <v>11</v>
      </c>
      <c r="E376" t="s">
        <v>13</v>
      </c>
      <c r="F376" t="s">
        <v>729</v>
      </c>
      <c r="G376" t="s">
        <v>12</v>
      </c>
      <c r="I376" t="s">
        <v>5125</v>
      </c>
      <c r="J376" t="s">
        <v>6680</v>
      </c>
      <c r="K376">
        <v>91.230808441886467</v>
      </c>
      <c r="L376">
        <v>0.1265237704168341</v>
      </c>
      <c r="M376">
        <v>24.110671199933385</v>
      </c>
      <c r="N376">
        <v>26.521738319926726</v>
      </c>
    </row>
    <row r="377" spans="1:14">
      <c r="A377" t="s">
        <v>726</v>
      </c>
      <c r="B377" t="s">
        <v>5127</v>
      </c>
      <c r="C377" t="s">
        <v>5128</v>
      </c>
      <c r="D377" t="s">
        <v>11</v>
      </c>
      <c r="E377" t="s">
        <v>13</v>
      </c>
      <c r="F377" t="s">
        <v>729</v>
      </c>
      <c r="G377" t="s">
        <v>12</v>
      </c>
      <c r="I377" t="s">
        <v>5127</v>
      </c>
      <c r="J377" t="s">
        <v>6681</v>
      </c>
      <c r="K377">
        <v>47.621293054801129</v>
      </c>
      <c r="L377">
        <v>0.11449299793296901</v>
      </c>
      <c r="M377">
        <v>31.286561945125445</v>
      </c>
      <c r="N377">
        <v>34.415218139637993</v>
      </c>
    </row>
    <row r="378" spans="1:14">
      <c r="A378" t="s">
        <v>726</v>
      </c>
      <c r="B378" t="s">
        <v>5129</v>
      </c>
      <c r="C378" t="s">
        <v>5130</v>
      </c>
      <c r="D378" t="s">
        <v>11</v>
      </c>
      <c r="E378" t="s">
        <v>13</v>
      </c>
      <c r="F378" t="s">
        <v>729</v>
      </c>
      <c r="G378" t="s">
        <v>12</v>
      </c>
      <c r="I378" t="s">
        <v>5129</v>
      </c>
      <c r="J378" t="s">
        <v>6682</v>
      </c>
      <c r="K378">
        <v>66.075768106259801</v>
      </c>
      <c r="L378">
        <v>0.14572976848806141</v>
      </c>
      <c r="M378">
        <v>33.551596558640256</v>
      </c>
      <c r="N378">
        <v>36.906756214504284</v>
      </c>
    </row>
    <row r="379" spans="1:14">
      <c r="A379" t="s">
        <v>726</v>
      </c>
      <c r="B379" t="s">
        <v>5131</v>
      </c>
      <c r="C379" t="s">
        <v>5132</v>
      </c>
      <c r="D379" t="s">
        <v>11</v>
      </c>
      <c r="E379" t="s">
        <v>13</v>
      </c>
      <c r="F379" t="s">
        <v>729</v>
      </c>
      <c r="G379" t="s">
        <v>12</v>
      </c>
      <c r="I379" t="s">
        <v>5131</v>
      </c>
      <c r="J379" t="s">
        <v>6683</v>
      </c>
      <c r="K379">
        <v>81.769416516875182</v>
      </c>
      <c r="L379">
        <v>0.1191845024685485</v>
      </c>
      <c r="M379">
        <v>34.726790798075385</v>
      </c>
      <c r="N379">
        <v>38.199469877882926</v>
      </c>
    </row>
    <row r="380" spans="1:14">
      <c r="A380" t="s">
        <v>726</v>
      </c>
      <c r="B380" t="s">
        <v>5133</v>
      </c>
      <c r="C380" t="s">
        <v>5134</v>
      </c>
      <c r="D380" t="s">
        <v>11</v>
      </c>
      <c r="E380" t="s">
        <v>13</v>
      </c>
      <c r="F380" t="s">
        <v>729</v>
      </c>
      <c r="G380" t="s">
        <v>12</v>
      </c>
      <c r="I380" t="s">
        <v>5133</v>
      </c>
      <c r="J380" t="s">
        <v>6684</v>
      </c>
      <c r="K380">
        <v>22.419072960782572</v>
      </c>
      <c r="L380">
        <v>0.1011756596362475</v>
      </c>
      <c r="M380">
        <v>42.759838510022767</v>
      </c>
      <c r="N380">
        <v>47.035822361025048</v>
      </c>
    </row>
    <row r="381" spans="1:14">
      <c r="A381" t="s">
        <v>726</v>
      </c>
      <c r="B381" t="s">
        <v>5135</v>
      </c>
      <c r="C381" t="s">
        <v>5136</v>
      </c>
      <c r="D381" t="s">
        <v>11</v>
      </c>
      <c r="E381" t="s">
        <v>13</v>
      </c>
      <c r="F381" t="s">
        <v>729</v>
      </c>
      <c r="G381" t="s">
        <v>12</v>
      </c>
      <c r="I381" t="s">
        <v>5135</v>
      </c>
      <c r="J381" t="s">
        <v>6685</v>
      </c>
      <c r="K381">
        <v>64.539181718056682</v>
      </c>
      <c r="L381">
        <v>0.1421936673012934</v>
      </c>
      <c r="M381">
        <v>35.809762429823586</v>
      </c>
      <c r="N381">
        <v>39.390738672805945</v>
      </c>
    </row>
    <row r="382" spans="1:14">
      <c r="A382" t="s">
        <v>726</v>
      </c>
      <c r="B382" t="s">
        <v>5137</v>
      </c>
      <c r="C382" t="s">
        <v>5138</v>
      </c>
      <c r="D382" t="s">
        <v>11</v>
      </c>
      <c r="E382" t="s">
        <v>13</v>
      </c>
      <c r="F382" t="s">
        <v>729</v>
      </c>
      <c r="G382" t="s">
        <v>12</v>
      </c>
      <c r="I382" t="s">
        <v>5137</v>
      </c>
      <c r="J382" t="s">
        <v>6686</v>
      </c>
      <c r="K382">
        <v>82.476793580791878</v>
      </c>
      <c r="L382">
        <v>0.1368068509791692</v>
      </c>
      <c r="M382">
        <v>24.807155330642523</v>
      </c>
      <c r="N382">
        <v>27.287870863706779</v>
      </c>
    </row>
    <row r="383" spans="1:14">
      <c r="A383" t="s">
        <v>726</v>
      </c>
      <c r="B383" t="s">
        <v>5139</v>
      </c>
      <c r="C383" t="s">
        <v>5140</v>
      </c>
      <c r="D383" t="s">
        <v>11</v>
      </c>
      <c r="E383" t="s">
        <v>13</v>
      </c>
      <c r="F383" t="s">
        <v>729</v>
      </c>
      <c r="G383" t="s">
        <v>12</v>
      </c>
      <c r="I383" t="s">
        <v>5139</v>
      </c>
      <c r="J383" t="s">
        <v>6687</v>
      </c>
      <c r="K383">
        <v>80.038305449077185</v>
      </c>
      <c r="L383">
        <v>0.12922267370393289</v>
      </c>
      <c r="M383">
        <v>36.717630176138329</v>
      </c>
      <c r="N383">
        <v>40.389393193752163</v>
      </c>
    </row>
    <row r="384" spans="1:14">
      <c r="A384" t="s">
        <v>726</v>
      </c>
      <c r="B384" t="s">
        <v>5141</v>
      </c>
      <c r="C384" t="s">
        <v>5142</v>
      </c>
      <c r="D384" t="s">
        <v>11</v>
      </c>
      <c r="E384" t="s">
        <v>13</v>
      </c>
      <c r="F384" t="s">
        <v>729</v>
      </c>
      <c r="G384" t="s">
        <v>12</v>
      </c>
      <c r="I384" t="s">
        <v>5141</v>
      </c>
      <c r="J384" t="s">
        <v>6688</v>
      </c>
      <c r="K384">
        <v>276.5704357870585</v>
      </c>
      <c r="L384">
        <v>0.22107761999756689</v>
      </c>
      <c r="M384">
        <v>36.334644067431846</v>
      </c>
      <c r="N384">
        <v>39.968108474175033</v>
      </c>
    </row>
    <row r="385" spans="1:14">
      <c r="A385" t="s">
        <v>726</v>
      </c>
      <c r="B385" t="s">
        <v>5143</v>
      </c>
      <c r="C385" t="s">
        <v>5144</v>
      </c>
      <c r="D385" t="s">
        <v>11</v>
      </c>
      <c r="E385" t="s">
        <v>13</v>
      </c>
      <c r="F385" t="s">
        <v>729</v>
      </c>
      <c r="G385" t="s">
        <v>12</v>
      </c>
      <c r="I385" t="s">
        <v>5143</v>
      </c>
      <c r="J385" t="s">
        <v>6689</v>
      </c>
      <c r="K385">
        <v>270.10331099006896</v>
      </c>
      <c r="L385">
        <v>0.18618385785926789</v>
      </c>
      <c r="M385">
        <v>34.850147266612659</v>
      </c>
      <c r="N385">
        <v>38.335161993273928</v>
      </c>
    </row>
    <row r="386" spans="1:14">
      <c r="A386" t="s">
        <v>726</v>
      </c>
      <c r="B386" t="s">
        <v>5145</v>
      </c>
      <c r="C386" t="s">
        <v>5146</v>
      </c>
      <c r="D386" t="s">
        <v>11</v>
      </c>
      <c r="E386" t="s">
        <v>13</v>
      </c>
      <c r="F386" t="s">
        <v>729</v>
      </c>
      <c r="G386" t="s">
        <v>12</v>
      </c>
      <c r="I386" t="s">
        <v>5145</v>
      </c>
      <c r="J386" t="s">
        <v>6690</v>
      </c>
      <c r="K386">
        <v>75.500244227899756</v>
      </c>
      <c r="L386">
        <v>0.21062952381135019</v>
      </c>
      <c r="M386">
        <v>41.381416852923614</v>
      </c>
      <c r="N386">
        <v>45.519558538215982</v>
      </c>
    </row>
    <row r="387" spans="1:14">
      <c r="A387" t="s">
        <v>726</v>
      </c>
      <c r="B387" t="s">
        <v>5147</v>
      </c>
      <c r="C387" t="s">
        <v>5148</v>
      </c>
      <c r="D387" t="s">
        <v>11</v>
      </c>
      <c r="E387" t="s">
        <v>13</v>
      </c>
      <c r="F387" t="s">
        <v>729</v>
      </c>
      <c r="G387" t="s">
        <v>12</v>
      </c>
      <c r="I387" t="s">
        <v>5147</v>
      </c>
      <c r="J387" t="s">
        <v>6691</v>
      </c>
      <c r="K387">
        <v>160.85892633807796</v>
      </c>
      <c r="L387">
        <v>0.2337575022860893</v>
      </c>
      <c r="M387">
        <v>142.56715223827672</v>
      </c>
      <c r="N387">
        <v>156.8238674621044</v>
      </c>
    </row>
    <row r="388" spans="1:14">
      <c r="A388" t="s">
        <v>726</v>
      </c>
      <c r="B388" t="s">
        <v>5149</v>
      </c>
      <c r="C388" t="s">
        <v>5150</v>
      </c>
      <c r="D388" t="s">
        <v>11</v>
      </c>
      <c r="E388" t="s">
        <v>13</v>
      </c>
      <c r="F388" t="s">
        <v>729</v>
      </c>
      <c r="G388" t="s">
        <v>12</v>
      </c>
      <c r="I388" t="s">
        <v>5149</v>
      </c>
      <c r="J388" t="s">
        <v>6692</v>
      </c>
      <c r="K388">
        <v>150.61880175425972</v>
      </c>
      <c r="L388">
        <v>0.14316346727670651</v>
      </c>
      <c r="M388">
        <v>41.029183419970792</v>
      </c>
      <c r="N388">
        <v>45.132101761967874</v>
      </c>
    </row>
    <row r="389" spans="1:14">
      <c r="A389" t="s">
        <v>726</v>
      </c>
      <c r="B389" t="s">
        <v>5151</v>
      </c>
      <c r="C389" t="s">
        <v>5152</v>
      </c>
      <c r="D389" t="s">
        <v>11</v>
      </c>
      <c r="E389" t="s">
        <v>13</v>
      </c>
      <c r="F389" t="s">
        <v>729</v>
      </c>
      <c r="G389" t="s">
        <v>12</v>
      </c>
      <c r="I389" t="s">
        <v>5151</v>
      </c>
      <c r="J389" t="s">
        <v>6693</v>
      </c>
      <c r="K389">
        <v>206.35400090818803</v>
      </c>
      <c r="L389">
        <v>0.21639787656104759</v>
      </c>
      <c r="M389">
        <v>44.938711157551268</v>
      </c>
      <c r="N389">
        <v>49.432582273306402</v>
      </c>
    </row>
    <row r="390" spans="1:14">
      <c r="A390" t="s">
        <v>726</v>
      </c>
      <c r="B390" t="s">
        <v>5153</v>
      </c>
      <c r="C390" t="s">
        <v>5154</v>
      </c>
      <c r="D390" t="s">
        <v>11</v>
      </c>
      <c r="E390" t="s">
        <v>13</v>
      </c>
      <c r="F390" t="s">
        <v>729</v>
      </c>
      <c r="G390" t="s">
        <v>12</v>
      </c>
      <c r="I390" t="s">
        <v>5153</v>
      </c>
      <c r="J390" t="s">
        <v>6694</v>
      </c>
      <c r="K390">
        <v>53.168871981414583</v>
      </c>
      <c r="L390">
        <v>0.11158910259207901</v>
      </c>
      <c r="M390">
        <v>60.61515021275752</v>
      </c>
      <c r="N390">
        <v>66.67666523403328</v>
      </c>
    </row>
    <row r="391" spans="1:14">
      <c r="A391" t="s">
        <v>726</v>
      </c>
      <c r="B391" t="s">
        <v>5155</v>
      </c>
      <c r="C391" t="s">
        <v>5156</v>
      </c>
      <c r="D391" t="s">
        <v>11</v>
      </c>
      <c r="E391" t="s">
        <v>13</v>
      </c>
      <c r="F391" t="s">
        <v>729</v>
      </c>
      <c r="G391" t="s">
        <v>12</v>
      </c>
      <c r="I391" t="s">
        <v>5155</v>
      </c>
      <c r="J391" t="s">
        <v>6695</v>
      </c>
      <c r="K391">
        <v>175.8221750931497</v>
      </c>
      <c r="L391">
        <v>0.1519319579134305</v>
      </c>
      <c r="M391">
        <v>37.218879544931049</v>
      </c>
      <c r="N391">
        <v>40.940767499424155</v>
      </c>
    </row>
    <row r="392" spans="1:14">
      <c r="A392" t="s">
        <v>726</v>
      </c>
      <c r="B392" t="s">
        <v>5157</v>
      </c>
      <c r="C392" t="s">
        <v>5158</v>
      </c>
      <c r="D392" t="s">
        <v>11</v>
      </c>
      <c r="E392" t="s">
        <v>13</v>
      </c>
      <c r="F392" t="s">
        <v>729</v>
      </c>
      <c r="G392" t="s">
        <v>12</v>
      </c>
      <c r="I392" t="s">
        <v>5157</v>
      </c>
      <c r="J392" t="s">
        <v>6696</v>
      </c>
      <c r="K392">
        <v>28.31516035415293</v>
      </c>
      <c r="L392">
        <v>0.41794470695257468</v>
      </c>
      <c r="M392">
        <v>44.680394442697747</v>
      </c>
      <c r="N392">
        <v>49.148433886967524</v>
      </c>
    </row>
    <row r="393" spans="1:14">
      <c r="A393" t="s">
        <v>726</v>
      </c>
      <c r="B393" t="s">
        <v>5159</v>
      </c>
      <c r="C393" t="s">
        <v>5160</v>
      </c>
      <c r="D393" t="s">
        <v>11</v>
      </c>
      <c r="E393" t="s">
        <v>13</v>
      </c>
      <c r="F393" t="s">
        <v>729</v>
      </c>
      <c r="G393" t="s">
        <v>12</v>
      </c>
      <c r="I393" t="s">
        <v>5159</v>
      </c>
      <c r="J393" t="s">
        <v>6697</v>
      </c>
      <c r="K393">
        <v>13.813941746162547</v>
      </c>
      <c r="L393">
        <v>0.43131752606289042</v>
      </c>
      <c r="M393">
        <v>30.219184041498721</v>
      </c>
      <c r="N393">
        <v>33.241102445648593</v>
      </c>
    </row>
    <row r="394" spans="1:14">
      <c r="A394" t="s">
        <v>726</v>
      </c>
      <c r="B394" t="s">
        <v>5161</v>
      </c>
      <c r="C394" t="s">
        <v>5162</v>
      </c>
      <c r="D394" t="s">
        <v>11</v>
      </c>
      <c r="E394" t="s">
        <v>13</v>
      </c>
      <c r="F394" t="s">
        <v>729</v>
      </c>
      <c r="G394" t="s">
        <v>12</v>
      </c>
      <c r="I394" t="s">
        <v>5161</v>
      </c>
      <c r="J394" t="s">
        <v>6698</v>
      </c>
      <c r="K394">
        <v>58.930568577137663</v>
      </c>
      <c r="L394">
        <v>0.43495243895886943</v>
      </c>
      <c r="M394">
        <v>60.994414846303407</v>
      </c>
      <c r="N394">
        <v>67.093856330933747</v>
      </c>
    </row>
    <row r="395" spans="1:14">
      <c r="A395" t="s">
        <v>726</v>
      </c>
      <c r="B395" t="s">
        <v>5163</v>
      </c>
      <c r="C395" t="s">
        <v>5164</v>
      </c>
      <c r="D395" t="s">
        <v>11</v>
      </c>
      <c r="E395" t="s">
        <v>13</v>
      </c>
      <c r="F395" t="s">
        <v>729</v>
      </c>
      <c r="G395" t="s">
        <v>12</v>
      </c>
      <c r="I395" t="s">
        <v>5163</v>
      </c>
      <c r="J395" t="s">
        <v>6699</v>
      </c>
      <c r="K395">
        <v>11.843724544518961</v>
      </c>
      <c r="L395">
        <v>0.54900882608538637</v>
      </c>
      <c r="M395">
        <v>104.90651577052496</v>
      </c>
      <c r="N395">
        <v>115.39716734757747</v>
      </c>
    </row>
    <row r="396" spans="1:14">
      <c r="A396" t="s">
        <v>726</v>
      </c>
      <c r="B396" t="s">
        <v>5165</v>
      </c>
      <c r="C396" t="s">
        <v>5166</v>
      </c>
      <c r="D396" t="s">
        <v>11</v>
      </c>
      <c r="E396" t="s">
        <v>13</v>
      </c>
      <c r="F396" t="s">
        <v>729</v>
      </c>
      <c r="G396" t="s">
        <v>12</v>
      </c>
      <c r="I396" t="s">
        <v>5165</v>
      </c>
      <c r="J396" t="s">
        <v>6700</v>
      </c>
      <c r="K396">
        <v>37.739419440204976</v>
      </c>
      <c r="L396">
        <v>0.1363246991961054</v>
      </c>
      <c r="M396">
        <v>53.662226445686123</v>
      </c>
      <c r="N396">
        <v>59.028449090254739</v>
      </c>
    </row>
    <row r="397" spans="1:14">
      <c r="A397" t="s">
        <v>726</v>
      </c>
      <c r="B397" t="s">
        <v>5167</v>
      </c>
      <c r="C397" t="s">
        <v>5168</v>
      </c>
      <c r="D397" t="s">
        <v>11</v>
      </c>
      <c r="E397" t="s">
        <v>13</v>
      </c>
      <c r="F397" t="s">
        <v>729</v>
      </c>
      <c r="G397" t="s">
        <v>12</v>
      </c>
      <c r="I397" t="s">
        <v>5167</v>
      </c>
      <c r="J397" t="s">
        <v>6701</v>
      </c>
      <c r="K397">
        <v>44.176652231717853</v>
      </c>
      <c r="L397">
        <v>0.13667067842370881</v>
      </c>
      <c r="M397">
        <v>94.79823024328428</v>
      </c>
      <c r="N397">
        <v>104.27805326761272</v>
      </c>
    </row>
    <row r="398" spans="1:14">
      <c r="A398" t="s">
        <v>726</v>
      </c>
      <c r="B398" t="s">
        <v>5169</v>
      </c>
      <c r="C398" t="s">
        <v>5170</v>
      </c>
      <c r="D398" t="s">
        <v>11</v>
      </c>
      <c r="E398" t="s">
        <v>13</v>
      </c>
      <c r="F398" t="s">
        <v>729</v>
      </c>
      <c r="G398" t="s">
        <v>12</v>
      </c>
      <c r="I398" t="s">
        <v>5169</v>
      </c>
      <c r="J398" t="s">
        <v>6702</v>
      </c>
      <c r="K398">
        <v>83.389165245033354</v>
      </c>
      <c r="L398">
        <v>0.13687927738874739</v>
      </c>
      <c r="M398">
        <v>116.32530755938799</v>
      </c>
      <c r="N398">
        <v>127.95783831532681</v>
      </c>
    </row>
    <row r="399" spans="1:14">
      <c r="A399" t="s">
        <v>726</v>
      </c>
      <c r="B399" t="s">
        <v>5171</v>
      </c>
      <c r="C399" t="s">
        <v>5172</v>
      </c>
      <c r="D399" t="s">
        <v>11</v>
      </c>
      <c r="E399" t="s">
        <v>13</v>
      </c>
      <c r="F399" t="s">
        <v>729</v>
      </c>
      <c r="G399" t="s">
        <v>12</v>
      </c>
      <c r="I399" t="s">
        <v>5171</v>
      </c>
      <c r="J399" t="s">
        <v>6703</v>
      </c>
      <c r="K399">
        <v>127.21654025340636</v>
      </c>
      <c r="L399">
        <v>0.13823287899077749</v>
      </c>
      <c r="M399">
        <v>264.50639256519503</v>
      </c>
      <c r="N399">
        <v>290.95703182171457</v>
      </c>
    </row>
    <row r="400" spans="1:14">
      <c r="A400" t="s">
        <v>726</v>
      </c>
      <c r="B400" t="s">
        <v>5173</v>
      </c>
      <c r="C400" t="s">
        <v>5174</v>
      </c>
      <c r="D400" t="s">
        <v>11</v>
      </c>
      <c r="E400" t="s">
        <v>13</v>
      </c>
      <c r="F400" t="s">
        <v>729</v>
      </c>
      <c r="G400" t="s">
        <v>12</v>
      </c>
      <c r="I400" t="s">
        <v>5173</v>
      </c>
      <c r="J400" t="s">
        <v>6704</v>
      </c>
      <c r="K400">
        <v>34.094305856303301</v>
      </c>
      <c r="L400">
        <v>0.1242943199803707</v>
      </c>
      <c r="M400">
        <v>343.35377188397666</v>
      </c>
      <c r="N400">
        <v>377.68914907237433</v>
      </c>
    </row>
    <row r="401" spans="1:14">
      <c r="A401" t="s">
        <v>726</v>
      </c>
      <c r="B401" t="s">
        <v>5175</v>
      </c>
      <c r="C401" t="s">
        <v>5172</v>
      </c>
      <c r="D401" t="s">
        <v>11</v>
      </c>
      <c r="E401" t="s">
        <v>13</v>
      </c>
      <c r="F401" t="s">
        <v>729</v>
      </c>
      <c r="G401" t="s">
        <v>12</v>
      </c>
      <c r="I401" t="s">
        <v>5175</v>
      </c>
      <c r="J401" t="s">
        <v>6705</v>
      </c>
      <c r="K401">
        <v>55.305633237080734</v>
      </c>
      <c r="L401">
        <v>0.18870740262908481</v>
      </c>
      <c r="M401">
        <v>120.26431089783604</v>
      </c>
      <c r="N401">
        <v>132.29074198761967</v>
      </c>
    </row>
    <row r="402" spans="1:14">
      <c r="A402" t="s">
        <v>726</v>
      </c>
      <c r="B402" t="s">
        <v>5176</v>
      </c>
      <c r="C402" t="s">
        <v>5177</v>
      </c>
      <c r="D402" t="s">
        <v>11</v>
      </c>
      <c r="E402" t="s">
        <v>13</v>
      </c>
      <c r="F402" t="s">
        <v>729</v>
      </c>
      <c r="G402" t="s">
        <v>12</v>
      </c>
      <c r="I402" t="s">
        <v>5176</v>
      </c>
      <c r="J402" t="s">
        <v>6706</v>
      </c>
      <c r="K402">
        <v>224.3206557582331</v>
      </c>
      <c r="L402">
        <v>0.27488974456623838</v>
      </c>
      <c r="M402">
        <v>156.98097476010253</v>
      </c>
      <c r="N402">
        <v>172.6790722361128</v>
      </c>
    </row>
    <row r="403" spans="1:14">
      <c r="A403" t="s">
        <v>726</v>
      </c>
      <c r="B403" t="s">
        <v>5178</v>
      </c>
      <c r="C403" t="s">
        <v>5179</v>
      </c>
      <c r="D403" t="s">
        <v>11</v>
      </c>
      <c r="E403" t="s">
        <v>13</v>
      </c>
      <c r="F403" t="s">
        <v>729</v>
      </c>
      <c r="G403" t="s">
        <v>12</v>
      </c>
      <c r="I403" t="s">
        <v>5178</v>
      </c>
      <c r="J403" t="s">
        <v>6707</v>
      </c>
      <c r="K403">
        <v>64.597611738344938</v>
      </c>
      <c r="L403">
        <v>0.2596417823115606</v>
      </c>
      <c r="M403">
        <v>102.89093309412536</v>
      </c>
      <c r="N403">
        <v>113.18002640353791</v>
      </c>
    </row>
    <row r="404" spans="1:14">
      <c r="A404" t="s">
        <v>726</v>
      </c>
      <c r="B404" t="s">
        <v>5180</v>
      </c>
      <c r="C404" t="s">
        <v>5181</v>
      </c>
      <c r="D404" t="s">
        <v>11</v>
      </c>
      <c r="E404" t="s">
        <v>13</v>
      </c>
      <c r="F404" t="s">
        <v>729</v>
      </c>
      <c r="G404" t="s">
        <v>12</v>
      </c>
      <c r="I404" t="s">
        <v>5180</v>
      </c>
      <c r="J404" t="s">
        <v>6708</v>
      </c>
      <c r="K404">
        <v>173.01842672857103</v>
      </c>
      <c r="L404">
        <v>0.22729022382675029</v>
      </c>
      <c r="M404">
        <v>135.34617992630427</v>
      </c>
      <c r="N404">
        <v>148.88079791893472</v>
      </c>
    </row>
    <row r="405" spans="1:14">
      <c r="A405" t="s">
        <v>726</v>
      </c>
      <c r="B405" t="s">
        <v>5182</v>
      </c>
      <c r="C405" t="s">
        <v>5183</v>
      </c>
      <c r="D405" t="s">
        <v>11</v>
      </c>
      <c r="E405" t="s">
        <v>13</v>
      </c>
      <c r="F405" t="s">
        <v>729</v>
      </c>
      <c r="G405" t="s">
        <v>12</v>
      </c>
      <c r="I405" t="s">
        <v>5182</v>
      </c>
      <c r="J405" t="s">
        <v>6709</v>
      </c>
      <c r="K405">
        <v>47.612996598449648</v>
      </c>
      <c r="L405">
        <v>0.18561532715557211</v>
      </c>
      <c r="M405">
        <v>145.71793903676985</v>
      </c>
      <c r="N405">
        <v>160.28973294044684</v>
      </c>
    </row>
    <row r="406" spans="1:14">
      <c r="A406" t="s">
        <v>726</v>
      </c>
      <c r="B406" t="s">
        <v>5184</v>
      </c>
      <c r="C406" t="s">
        <v>5185</v>
      </c>
      <c r="D406" t="s">
        <v>11</v>
      </c>
      <c r="E406" t="s">
        <v>13</v>
      </c>
      <c r="F406" t="s">
        <v>729</v>
      </c>
      <c r="G406" t="s">
        <v>12</v>
      </c>
      <c r="I406" t="s">
        <v>5184</v>
      </c>
      <c r="J406" t="s">
        <v>6710</v>
      </c>
      <c r="K406">
        <v>53.181744317233168</v>
      </c>
      <c r="L406">
        <v>0.1400296417181463</v>
      </c>
      <c r="M406">
        <v>225.46986183543316</v>
      </c>
      <c r="N406">
        <v>248.0168480189765</v>
      </c>
    </row>
    <row r="407" spans="1:14">
      <c r="A407" t="s">
        <v>726</v>
      </c>
      <c r="B407" t="s">
        <v>5186</v>
      </c>
      <c r="C407" t="s">
        <v>5187</v>
      </c>
      <c r="D407" t="s">
        <v>11</v>
      </c>
      <c r="E407" t="s">
        <v>13</v>
      </c>
      <c r="F407" t="s">
        <v>729</v>
      </c>
      <c r="G407" t="s">
        <v>12</v>
      </c>
      <c r="I407" t="s">
        <v>5186</v>
      </c>
      <c r="J407" t="s">
        <v>6711</v>
      </c>
      <c r="K407">
        <v>62.65928869012015</v>
      </c>
      <c r="L407">
        <v>0.1449111826207925</v>
      </c>
      <c r="M407">
        <v>122.37529378725856</v>
      </c>
      <c r="N407">
        <v>134.61282316598442</v>
      </c>
    </row>
    <row r="408" spans="1:14">
      <c r="A408" t="s">
        <v>726</v>
      </c>
      <c r="B408" t="s">
        <v>5188</v>
      </c>
      <c r="C408" t="s">
        <v>5189</v>
      </c>
      <c r="D408" t="s">
        <v>11</v>
      </c>
      <c r="E408" t="s">
        <v>13</v>
      </c>
      <c r="F408" t="s">
        <v>729</v>
      </c>
      <c r="G408" t="s">
        <v>12</v>
      </c>
      <c r="I408" t="s">
        <v>5188</v>
      </c>
      <c r="J408" t="s">
        <v>6712</v>
      </c>
      <c r="K408">
        <v>65.723654519574694</v>
      </c>
      <c r="L408">
        <v>0.32190393567040121</v>
      </c>
      <c r="M408">
        <v>369.78114207052488</v>
      </c>
      <c r="N408">
        <v>406.75925627757738</v>
      </c>
    </row>
    <row r="409" spans="1:14">
      <c r="A409" t="s">
        <v>726</v>
      </c>
      <c r="B409" t="s">
        <v>5190</v>
      </c>
      <c r="C409" t="s">
        <v>5191</v>
      </c>
      <c r="D409" t="s">
        <v>11</v>
      </c>
      <c r="E409" t="s">
        <v>13</v>
      </c>
      <c r="F409" t="s">
        <v>729</v>
      </c>
      <c r="G409" t="s">
        <v>12</v>
      </c>
      <c r="I409" t="s">
        <v>5190</v>
      </c>
      <c r="J409" t="s">
        <v>6713</v>
      </c>
      <c r="K409">
        <v>71.963621578193312</v>
      </c>
      <c r="L409">
        <v>0.29005052152466898</v>
      </c>
      <c r="M409">
        <v>213.15307436772116</v>
      </c>
      <c r="N409">
        <v>234.4683818044933</v>
      </c>
    </row>
    <row r="410" spans="1:14">
      <c r="A410" t="s">
        <v>726</v>
      </c>
      <c r="B410" t="s">
        <v>5192</v>
      </c>
      <c r="C410" t="s">
        <v>5193</v>
      </c>
      <c r="D410" t="s">
        <v>11</v>
      </c>
      <c r="E410" t="s">
        <v>13</v>
      </c>
      <c r="F410" t="s">
        <v>729</v>
      </c>
      <c r="G410" t="s">
        <v>12</v>
      </c>
      <c r="I410" t="s">
        <v>5192</v>
      </c>
      <c r="J410" t="s">
        <v>6714</v>
      </c>
      <c r="K410">
        <v>45.692607215713139</v>
      </c>
      <c r="L410">
        <v>0.38123371880517359</v>
      </c>
      <c r="M410">
        <v>65.508596037610246</v>
      </c>
      <c r="N410">
        <v>72.059455641371272</v>
      </c>
    </row>
    <row r="411" spans="1:14">
      <c r="A411" t="s">
        <v>726</v>
      </c>
      <c r="B411" t="s">
        <v>5194</v>
      </c>
      <c r="C411" t="s">
        <v>5195</v>
      </c>
      <c r="D411" t="s">
        <v>11</v>
      </c>
      <c r="E411" t="s">
        <v>13</v>
      </c>
      <c r="F411" t="s">
        <v>729</v>
      </c>
      <c r="G411" t="s">
        <v>12</v>
      </c>
      <c r="I411" t="s">
        <v>5194</v>
      </c>
      <c r="J411" t="s">
        <v>6715</v>
      </c>
      <c r="K411">
        <v>111.8792979862766</v>
      </c>
      <c r="L411">
        <v>0.35661185949538238</v>
      </c>
      <c r="M411">
        <v>119.53309106626917</v>
      </c>
      <c r="N411">
        <v>131.48640017289608</v>
      </c>
    </row>
    <row r="412" spans="1:14">
      <c r="A412" t="s">
        <v>726</v>
      </c>
      <c r="B412" t="s">
        <v>5196</v>
      </c>
      <c r="C412" t="s">
        <v>5197</v>
      </c>
      <c r="D412" t="s">
        <v>11</v>
      </c>
      <c r="E412" t="s">
        <v>13</v>
      </c>
      <c r="F412" t="s">
        <v>729</v>
      </c>
      <c r="G412" t="s">
        <v>12</v>
      </c>
      <c r="I412" t="s">
        <v>5196</v>
      </c>
      <c r="J412" t="s">
        <v>6716</v>
      </c>
      <c r="K412">
        <v>24.645426477359525</v>
      </c>
      <c r="L412">
        <v>0.28646694113635851</v>
      </c>
      <c r="M412">
        <v>81.181649630038251</v>
      </c>
      <c r="N412">
        <v>89.299814593042086</v>
      </c>
    </row>
    <row r="413" spans="1:14">
      <c r="A413" t="s">
        <v>726</v>
      </c>
      <c r="B413" t="s">
        <v>5198</v>
      </c>
      <c r="C413" t="s">
        <v>5189</v>
      </c>
      <c r="D413" t="s">
        <v>11</v>
      </c>
      <c r="E413" t="s">
        <v>13</v>
      </c>
      <c r="F413" t="s">
        <v>729</v>
      </c>
      <c r="G413" t="s">
        <v>12</v>
      </c>
      <c r="I413" t="s">
        <v>5198</v>
      </c>
      <c r="J413" t="s">
        <v>6717</v>
      </c>
      <c r="K413">
        <v>83.608305282804508</v>
      </c>
      <c r="L413">
        <v>0.33822352425003399</v>
      </c>
      <c r="M413">
        <v>166.02391899615969</v>
      </c>
      <c r="N413">
        <v>182.62631089577567</v>
      </c>
    </row>
    <row r="414" spans="1:14">
      <c r="A414" t="s">
        <v>726</v>
      </c>
      <c r="B414" t="s">
        <v>5199</v>
      </c>
      <c r="C414" t="s">
        <v>5200</v>
      </c>
      <c r="D414" t="s">
        <v>11</v>
      </c>
      <c r="E414" t="s">
        <v>13</v>
      </c>
      <c r="F414" t="s">
        <v>729</v>
      </c>
      <c r="G414" t="s">
        <v>12</v>
      </c>
      <c r="I414" t="s">
        <v>5199</v>
      </c>
      <c r="J414" t="s">
        <v>6718</v>
      </c>
      <c r="K414">
        <v>14.462947256383005</v>
      </c>
      <c r="L414">
        <v>0.21728502079242509</v>
      </c>
      <c r="M414">
        <v>109.90221049990124</v>
      </c>
      <c r="N414">
        <v>120.89243154989138</v>
      </c>
    </row>
    <row r="415" spans="1:14">
      <c r="A415" t="s">
        <v>726</v>
      </c>
      <c r="B415" t="s">
        <v>5201</v>
      </c>
      <c r="C415" t="s">
        <v>5202</v>
      </c>
      <c r="D415" t="s">
        <v>11</v>
      </c>
      <c r="E415" t="s">
        <v>13</v>
      </c>
      <c r="F415" t="s">
        <v>729</v>
      </c>
      <c r="G415" t="s">
        <v>12</v>
      </c>
      <c r="I415" t="s">
        <v>5201</v>
      </c>
      <c r="J415" t="s">
        <v>6719</v>
      </c>
      <c r="K415">
        <v>25.771870960857733</v>
      </c>
      <c r="L415">
        <v>0.1923327995695317</v>
      </c>
      <c r="M415">
        <v>101.35998820507623</v>
      </c>
      <c r="N415">
        <v>111.49598702558387</v>
      </c>
    </row>
    <row r="416" spans="1:14">
      <c r="A416" t="s">
        <v>726</v>
      </c>
      <c r="B416" t="s">
        <v>5203</v>
      </c>
      <c r="C416" t="s">
        <v>5204</v>
      </c>
      <c r="D416" t="s">
        <v>11</v>
      </c>
      <c r="E416" t="s">
        <v>13</v>
      </c>
      <c r="F416" t="s">
        <v>729</v>
      </c>
      <c r="G416" t="s">
        <v>12</v>
      </c>
      <c r="I416" t="s">
        <v>5203</v>
      </c>
      <c r="J416" t="s">
        <v>6720</v>
      </c>
      <c r="K416">
        <v>13.303591326076889</v>
      </c>
      <c r="L416">
        <v>0.12803383476120789</v>
      </c>
      <c r="M416">
        <v>118.99018338249748</v>
      </c>
      <c r="N416">
        <v>130.88920172074722</v>
      </c>
    </row>
    <row r="417" spans="1:14">
      <c r="A417" t="s">
        <v>726</v>
      </c>
      <c r="B417" t="s">
        <v>5205</v>
      </c>
      <c r="C417" t="s">
        <v>5206</v>
      </c>
      <c r="D417" t="s">
        <v>11</v>
      </c>
      <c r="E417" t="s">
        <v>13</v>
      </c>
      <c r="F417" t="s">
        <v>729</v>
      </c>
      <c r="G417" t="s">
        <v>12</v>
      </c>
      <c r="I417" t="s">
        <v>5205</v>
      </c>
      <c r="J417" t="s">
        <v>6721</v>
      </c>
      <c r="K417">
        <v>16.427312622767658</v>
      </c>
      <c r="L417">
        <v>0.13258062629743569</v>
      </c>
      <c r="M417">
        <v>27.109788800535419</v>
      </c>
      <c r="N417">
        <v>29.820767680588965</v>
      </c>
    </row>
    <row r="418" spans="1:14">
      <c r="A418" t="s">
        <v>726</v>
      </c>
      <c r="B418" t="s">
        <v>5207</v>
      </c>
      <c r="C418" t="s">
        <v>5208</v>
      </c>
      <c r="D418" t="s">
        <v>11</v>
      </c>
      <c r="E418" t="s">
        <v>13</v>
      </c>
      <c r="F418" t="s">
        <v>729</v>
      </c>
      <c r="G418" t="s">
        <v>12</v>
      </c>
      <c r="I418" t="s">
        <v>5207</v>
      </c>
      <c r="J418" t="s">
        <v>6722</v>
      </c>
      <c r="K418">
        <v>7.7363165779076795</v>
      </c>
      <c r="L418">
        <v>0.1067814689036061</v>
      </c>
      <c r="M418">
        <v>15.763286861193921</v>
      </c>
      <c r="N418">
        <v>17.339615547313315</v>
      </c>
    </row>
    <row r="419" spans="1:14">
      <c r="A419" t="s">
        <v>726</v>
      </c>
      <c r="B419" t="s">
        <v>5209</v>
      </c>
      <c r="C419" t="s">
        <v>5210</v>
      </c>
      <c r="D419" t="s">
        <v>11</v>
      </c>
      <c r="E419" t="s">
        <v>13</v>
      </c>
      <c r="F419" t="s">
        <v>729</v>
      </c>
      <c r="G419" t="s">
        <v>12</v>
      </c>
      <c r="I419" t="s">
        <v>5209</v>
      </c>
      <c r="J419" t="s">
        <v>6723</v>
      </c>
      <c r="K419">
        <v>34.2877304518302</v>
      </c>
      <c r="L419">
        <v>0.15803118793636681</v>
      </c>
      <c r="M419">
        <v>24.180573432898683</v>
      </c>
      <c r="N419">
        <v>26.598630776188553</v>
      </c>
    </row>
    <row r="420" spans="1:14">
      <c r="A420" t="s">
        <v>726</v>
      </c>
      <c r="B420" t="s">
        <v>5211</v>
      </c>
      <c r="C420" t="s">
        <v>5212</v>
      </c>
      <c r="D420" t="s">
        <v>11</v>
      </c>
      <c r="E420" t="s">
        <v>13</v>
      </c>
      <c r="F420" t="s">
        <v>729</v>
      </c>
      <c r="G420" t="s">
        <v>12</v>
      </c>
      <c r="I420" t="s">
        <v>5211</v>
      </c>
      <c r="J420" t="s">
        <v>6724</v>
      </c>
      <c r="K420">
        <v>44.416848256483895</v>
      </c>
      <c r="L420">
        <v>0.1122693318221919</v>
      </c>
      <c r="M420">
        <v>17.853637104148547</v>
      </c>
      <c r="N420">
        <v>19.639000814563403</v>
      </c>
    </row>
    <row r="421" spans="1:14">
      <c r="A421" t="s">
        <v>726</v>
      </c>
      <c r="B421" t="s">
        <v>5213</v>
      </c>
      <c r="C421" t="s">
        <v>5214</v>
      </c>
      <c r="D421" t="s">
        <v>11</v>
      </c>
      <c r="E421" t="s">
        <v>13</v>
      </c>
      <c r="F421" t="s">
        <v>729</v>
      </c>
      <c r="G421" t="s">
        <v>12</v>
      </c>
      <c r="I421" t="s">
        <v>5213</v>
      </c>
      <c r="J421" t="s">
        <v>6725</v>
      </c>
      <c r="K421">
        <v>47.895247500703682</v>
      </c>
      <c r="L421">
        <v>0.19848708578798779</v>
      </c>
      <c r="M421">
        <v>17.360589332206992</v>
      </c>
      <c r="N421">
        <v>19.096648265427692</v>
      </c>
    </row>
    <row r="422" spans="1:14">
      <c r="A422" t="s">
        <v>726</v>
      </c>
      <c r="B422" t="s">
        <v>5215</v>
      </c>
      <c r="C422" t="s">
        <v>5216</v>
      </c>
      <c r="D422" t="s">
        <v>11</v>
      </c>
      <c r="E422" t="s">
        <v>13</v>
      </c>
      <c r="F422" t="s">
        <v>729</v>
      </c>
      <c r="G422" t="s">
        <v>12</v>
      </c>
      <c r="I422" t="s">
        <v>5215</v>
      </c>
      <c r="J422" t="s">
        <v>6726</v>
      </c>
      <c r="K422">
        <v>25.80443787136744</v>
      </c>
      <c r="L422">
        <v>0.1130460303069908</v>
      </c>
      <c r="M422">
        <v>24.268816036624425</v>
      </c>
      <c r="N422">
        <v>26.69569764028687</v>
      </c>
    </row>
    <row r="423" spans="1:14">
      <c r="A423" t="s">
        <v>726</v>
      </c>
      <c r="B423" t="s">
        <v>5217</v>
      </c>
      <c r="C423" t="s">
        <v>5218</v>
      </c>
      <c r="D423" t="s">
        <v>11</v>
      </c>
      <c r="E423" t="s">
        <v>13</v>
      </c>
      <c r="F423" t="s">
        <v>729</v>
      </c>
      <c r="G423" t="s">
        <v>12</v>
      </c>
      <c r="I423" t="s">
        <v>5217</v>
      </c>
      <c r="J423" t="s">
        <v>6727</v>
      </c>
      <c r="K423">
        <v>48.450394178145253</v>
      </c>
      <c r="L423">
        <v>0.2433164843796719</v>
      </c>
      <c r="M423">
        <v>31.004842525002104</v>
      </c>
      <c r="N423">
        <v>34.10532677750232</v>
      </c>
    </row>
    <row r="424" spans="1:14">
      <c r="A424" t="s">
        <v>726</v>
      </c>
      <c r="B424" t="s">
        <v>5219</v>
      </c>
      <c r="C424" t="s">
        <v>5220</v>
      </c>
      <c r="D424" t="s">
        <v>11</v>
      </c>
      <c r="E424" t="s">
        <v>13</v>
      </c>
      <c r="F424" t="s">
        <v>729</v>
      </c>
      <c r="G424" t="s">
        <v>12</v>
      </c>
      <c r="I424" t="s">
        <v>5219</v>
      </c>
      <c r="J424" t="s">
        <v>6728</v>
      </c>
      <c r="K424">
        <v>59.611888121750802</v>
      </c>
      <c r="L424">
        <v>0.17691876970385301</v>
      </c>
      <c r="M424">
        <v>27.9891629831146</v>
      </c>
      <c r="N424">
        <v>30.788079281426061</v>
      </c>
    </row>
    <row r="425" spans="1:14">
      <c r="A425" t="s">
        <v>726</v>
      </c>
      <c r="B425" t="s">
        <v>5221</v>
      </c>
      <c r="C425" t="s">
        <v>5222</v>
      </c>
      <c r="D425" t="s">
        <v>11</v>
      </c>
      <c r="E425" t="s">
        <v>13</v>
      </c>
      <c r="F425" t="s">
        <v>729</v>
      </c>
      <c r="G425" t="s">
        <v>12</v>
      </c>
      <c r="I425" t="s">
        <v>5221</v>
      </c>
      <c r="J425" t="s">
        <v>6729</v>
      </c>
      <c r="K425">
        <v>0.11228659229507934</v>
      </c>
      <c r="L425">
        <v>0.13801173045540971</v>
      </c>
      <c r="M425">
        <v>39.356816441347753</v>
      </c>
      <c r="N425">
        <v>43.292498085482535</v>
      </c>
    </row>
    <row r="426" spans="1:14">
      <c r="A426" t="s">
        <v>726</v>
      </c>
      <c r="B426" t="s">
        <v>5223</v>
      </c>
      <c r="C426" t="s">
        <v>5224</v>
      </c>
      <c r="D426" t="s">
        <v>11</v>
      </c>
      <c r="E426" t="s">
        <v>13</v>
      </c>
      <c r="F426" t="s">
        <v>729</v>
      </c>
      <c r="G426" t="s">
        <v>12</v>
      </c>
      <c r="I426" t="s">
        <v>5223</v>
      </c>
      <c r="J426" t="s">
        <v>6730</v>
      </c>
      <c r="K426">
        <v>0.6306139738501283</v>
      </c>
      <c r="L426">
        <v>0.27283199037719602</v>
      </c>
      <c r="M426">
        <v>75.978437100203408</v>
      </c>
      <c r="N426">
        <v>83.57628081022375</v>
      </c>
    </row>
    <row r="427" spans="1:14">
      <c r="A427" t="s">
        <v>726</v>
      </c>
      <c r="B427" t="s">
        <v>5225</v>
      </c>
      <c r="C427" t="s">
        <v>5226</v>
      </c>
      <c r="D427" t="s">
        <v>11</v>
      </c>
      <c r="E427" t="s">
        <v>13</v>
      </c>
      <c r="F427" t="s">
        <v>729</v>
      </c>
      <c r="G427" t="s">
        <v>12</v>
      </c>
      <c r="I427" t="s">
        <v>5225</v>
      </c>
      <c r="J427" t="s">
        <v>6731</v>
      </c>
      <c r="K427">
        <v>18.254956128863309</v>
      </c>
      <c r="L427">
        <v>0.1354724802679198</v>
      </c>
      <c r="M427">
        <v>239.9948743726215</v>
      </c>
      <c r="N427">
        <v>263.99436180988369</v>
      </c>
    </row>
    <row r="428" spans="1:14">
      <c r="A428" t="s">
        <v>726</v>
      </c>
      <c r="B428" t="s">
        <v>5227</v>
      </c>
      <c r="C428" t="s">
        <v>5228</v>
      </c>
      <c r="D428" t="s">
        <v>11</v>
      </c>
      <c r="E428" t="s">
        <v>13</v>
      </c>
      <c r="F428" t="s">
        <v>729</v>
      </c>
      <c r="G428" t="s">
        <v>12</v>
      </c>
      <c r="I428" t="s">
        <v>5227</v>
      </c>
      <c r="J428" t="s">
        <v>6732</v>
      </c>
      <c r="K428">
        <v>8.7482937044778186</v>
      </c>
      <c r="L428">
        <v>0.1746545821458691</v>
      </c>
      <c r="M428">
        <v>67.164439254266298</v>
      </c>
      <c r="N428">
        <v>73.88088317969293</v>
      </c>
    </row>
    <row r="429" spans="1:14">
      <c r="A429" t="s">
        <v>726</v>
      </c>
      <c r="B429" t="s">
        <v>5229</v>
      </c>
      <c r="C429" t="s">
        <v>5230</v>
      </c>
      <c r="D429" t="s">
        <v>11</v>
      </c>
      <c r="E429" t="s">
        <v>13</v>
      </c>
      <c r="F429" t="s">
        <v>729</v>
      </c>
      <c r="G429" t="s">
        <v>12</v>
      </c>
      <c r="I429" t="s">
        <v>5229</v>
      </c>
      <c r="J429" t="s">
        <v>6733</v>
      </c>
      <c r="K429">
        <v>40.4279345798534</v>
      </c>
      <c r="L429">
        <v>0.289317096868556</v>
      </c>
      <c r="M429">
        <v>235.93613367592528</v>
      </c>
      <c r="N429">
        <v>259.52974704351783</v>
      </c>
    </row>
    <row r="430" spans="1:14">
      <c r="A430" t="s">
        <v>726</v>
      </c>
      <c r="B430" t="s">
        <v>5231</v>
      </c>
      <c r="C430" t="s">
        <v>5232</v>
      </c>
      <c r="D430" t="s">
        <v>11</v>
      </c>
      <c r="E430" t="s">
        <v>13</v>
      </c>
      <c r="F430" t="s">
        <v>729</v>
      </c>
      <c r="G430" t="s">
        <v>12</v>
      </c>
      <c r="I430" t="s">
        <v>5231</v>
      </c>
      <c r="J430" t="s">
        <v>6734</v>
      </c>
      <c r="K430">
        <v>56.952813433158511</v>
      </c>
      <c r="L430">
        <v>0.30346866698291081</v>
      </c>
      <c r="M430">
        <v>182.28632462292816</v>
      </c>
      <c r="N430">
        <v>200.514957085221</v>
      </c>
    </row>
    <row r="431" spans="1:14">
      <c r="A431" t="s">
        <v>726</v>
      </c>
      <c r="B431" t="s">
        <v>5233</v>
      </c>
      <c r="C431" t="s">
        <v>5234</v>
      </c>
      <c r="D431" t="s">
        <v>11</v>
      </c>
      <c r="E431" t="s">
        <v>13</v>
      </c>
      <c r="F431" t="s">
        <v>729</v>
      </c>
      <c r="G431" t="s">
        <v>12</v>
      </c>
      <c r="I431" t="s">
        <v>5233</v>
      </c>
      <c r="J431" t="s">
        <v>6735</v>
      </c>
      <c r="K431">
        <v>11.614649516196152</v>
      </c>
      <c r="L431">
        <v>0.46157858488516668</v>
      </c>
      <c r="M431">
        <v>159.95860398583071</v>
      </c>
      <c r="N431">
        <v>175.9544643844138</v>
      </c>
    </row>
    <row r="432" spans="1:14">
      <c r="A432" t="s">
        <v>726</v>
      </c>
      <c r="B432" t="s">
        <v>5235</v>
      </c>
      <c r="C432" t="s">
        <v>5236</v>
      </c>
      <c r="D432" t="s">
        <v>11</v>
      </c>
      <c r="E432" t="s">
        <v>13</v>
      </c>
      <c r="F432" t="s">
        <v>729</v>
      </c>
      <c r="G432" t="s">
        <v>12</v>
      </c>
      <c r="I432" t="s">
        <v>5235</v>
      </c>
      <c r="J432" t="s">
        <v>6736</v>
      </c>
      <c r="K432">
        <v>78.303618386713708</v>
      </c>
      <c r="L432">
        <v>0.1610832973872878</v>
      </c>
      <c r="M432">
        <v>34.174388399034179</v>
      </c>
      <c r="N432">
        <v>37.591827238937597</v>
      </c>
    </row>
    <row r="433" spans="1:14">
      <c r="A433" t="s">
        <v>726</v>
      </c>
      <c r="B433" t="s">
        <v>5237</v>
      </c>
      <c r="C433" t="s">
        <v>5238</v>
      </c>
      <c r="D433" t="s">
        <v>11</v>
      </c>
      <c r="E433" t="s">
        <v>13</v>
      </c>
      <c r="F433" t="s">
        <v>729</v>
      </c>
      <c r="G433" t="s">
        <v>12</v>
      </c>
      <c r="I433" t="s">
        <v>5237</v>
      </c>
      <c r="J433" t="s">
        <v>6737</v>
      </c>
      <c r="K433">
        <v>105.09926876362564</v>
      </c>
      <c r="L433">
        <v>0.21485869262301729</v>
      </c>
      <c r="M433">
        <v>36.253149187353173</v>
      </c>
      <c r="N433">
        <v>39.878464106088494</v>
      </c>
    </row>
    <row r="434" spans="1:14">
      <c r="A434" t="s">
        <v>726</v>
      </c>
      <c r="B434" t="s">
        <v>5239</v>
      </c>
      <c r="C434" t="s">
        <v>5240</v>
      </c>
      <c r="D434" t="s">
        <v>11</v>
      </c>
      <c r="E434" t="s">
        <v>13</v>
      </c>
      <c r="F434" t="s">
        <v>729</v>
      </c>
      <c r="G434" t="s">
        <v>12</v>
      </c>
      <c r="I434" t="s">
        <v>5239</v>
      </c>
      <c r="J434" t="s">
        <v>6738</v>
      </c>
      <c r="K434">
        <v>32.092377941823322</v>
      </c>
      <c r="L434">
        <v>0.2460824084717339</v>
      </c>
      <c r="M434">
        <v>20.970379791870634</v>
      </c>
      <c r="N434">
        <v>23.067417771057698</v>
      </c>
    </row>
    <row r="435" spans="1:14">
      <c r="A435" t="s">
        <v>726</v>
      </c>
      <c r="B435" t="s">
        <v>5241</v>
      </c>
      <c r="C435" t="s">
        <v>5236</v>
      </c>
      <c r="D435" t="s">
        <v>11</v>
      </c>
      <c r="E435" t="s">
        <v>13</v>
      </c>
      <c r="F435" t="s">
        <v>729</v>
      </c>
      <c r="G435" t="s">
        <v>12</v>
      </c>
      <c r="I435" t="s">
        <v>5241</v>
      </c>
      <c r="J435" t="s">
        <v>6739</v>
      </c>
      <c r="K435">
        <v>56.674299237839961</v>
      </c>
      <c r="L435">
        <v>0.30844524824595859</v>
      </c>
      <c r="M435">
        <v>50.159764784399449</v>
      </c>
      <c r="N435">
        <v>55.175741262839402</v>
      </c>
    </row>
    <row r="436" spans="1:14">
      <c r="A436" t="s">
        <v>726</v>
      </c>
      <c r="B436" t="s">
        <v>5242</v>
      </c>
      <c r="C436" t="s">
        <v>5243</v>
      </c>
      <c r="D436" t="s">
        <v>11</v>
      </c>
      <c r="E436" t="s">
        <v>13</v>
      </c>
      <c r="F436" t="s">
        <v>729</v>
      </c>
      <c r="G436" t="s">
        <v>12</v>
      </c>
      <c r="I436" t="s">
        <v>5242</v>
      </c>
      <c r="J436" t="s">
        <v>6740</v>
      </c>
      <c r="K436">
        <v>34.84924706100005</v>
      </c>
      <c r="L436">
        <v>0.25189523630628818</v>
      </c>
      <c r="M436">
        <v>39.259950872111418</v>
      </c>
      <c r="N436">
        <v>43.185945959322559</v>
      </c>
    </row>
    <row r="437" spans="1:14">
      <c r="A437" t="s">
        <v>726</v>
      </c>
      <c r="B437" t="s">
        <v>5244</v>
      </c>
      <c r="C437" t="s">
        <v>5245</v>
      </c>
      <c r="D437" t="s">
        <v>11</v>
      </c>
      <c r="E437" t="s">
        <v>13</v>
      </c>
      <c r="F437" t="s">
        <v>729</v>
      </c>
      <c r="G437" t="s">
        <v>12</v>
      </c>
      <c r="I437" t="s">
        <v>5244</v>
      </c>
      <c r="J437" t="s">
        <v>6741</v>
      </c>
      <c r="K437">
        <v>13.047413180463023</v>
      </c>
      <c r="L437">
        <v>0.1184684287874796</v>
      </c>
      <c r="M437">
        <v>44.837969532039189</v>
      </c>
      <c r="N437">
        <v>49.32176648524311</v>
      </c>
    </row>
    <row r="438" spans="1:14">
      <c r="A438" t="s">
        <v>726</v>
      </c>
      <c r="B438" t="s">
        <v>5246</v>
      </c>
      <c r="C438" t="s">
        <v>5247</v>
      </c>
      <c r="D438" t="s">
        <v>11</v>
      </c>
      <c r="E438" t="s">
        <v>13</v>
      </c>
      <c r="F438" t="s">
        <v>729</v>
      </c>
      <c r="G438" t="s">
        <v>12</v>
      </c>
      <c r="I438" t="s">
        <v>5246</v>
      </c>
      <c r="J438" t="s">
        <v>6742</v>
      </c>
      <c r="K438">
        <v>73.71449745015326</v>
      </c>
      <c r="L438">
        <v>0.17838936220288201</v>
      </c>
      <c r="M438">
        <v>47.485693258817591</v>
      </c>
      <c r="N438">
        <v>52.234262584699351</v>
      </c>
    </row>
    <row r="439" spans="1:14">
      <c r="A439" t="s">
        <v>726</v>
      </c>
      <c r="B439" t="s">
        <v>5248</v>
      </c>
      <c r="C439" t="s">
        <v>5249</v>
      </c>
      <c r="D439" t="s">
        <v>11</v>
      </c>
      <c r="E439" t="s">
        <v>13</v>
      </c>
      <c r="F439" t="s">
        <v>729</v>
      </c>
      <c r="G439" t="s">
        <v>12</v>
      </c>
      <c r="I439" t="s">
        <v>5248</v>
      </c>
      <c r="J439" t="s">
        <v>6743</v>
      </c>
      <c r="K439">
        <v>98.275497258115806</v>
      </c>
      <c r="L439">
        <v>0.31098562743319652</v>
      </c>
      <c r="M439">
        <v>55.935987070855852</v>
      </c>
      <c r="N439">
        <v>61.529585777941442</v>
      </c>
    </row>
    <row r="440" spans="1:14">
      <c r="A440" t="s">
        <v>726</v>
      </c>
      <c r="B440" t="s">
        <v>5250</v>
      </c>
      <c r="C440" t="s">
        <v>5251</v>
      </c>
      <c r="D440" t="s">
        <v>11</v>
      </c>
      <c r="E440" t="s">
        <v>13</v>
      </c>
      <c r="F440" t="s">
        <v>729</v>
      </c>
      <c r="G440" t="s">
        <v>12</v>
      </c>
      <c r="I440" t="s">
        <v>5250</v>
      </c>
      <c r="J440" t="s">
        <v>6744</v>
      </c>
      <c r="K440">
        <v>118.02029811484972</v>
      </c>
      <c r="L440">
        <v>0.24847567755894029</v>
      </c>
      <c r="M440">
        <v>78.243616003723787</v>
      </c>
      <c r="N440">
        <v>86.067977604096171</v>
      </c>
    </row>
    <row r="441" spans="1:14">
      <c r="A441" t="s">
        <v>726</v>
      </c>
      <c r="B441" t="s">
        <v>5252</v>
      </c>
      <c r="C441" t="s">
        <v>5253</v>
      </c>
      <c r="D441" t="s">
        <v>11</v>
      </c>
      <c r="E441" t="s">
        <v>13</v>
      </c>
      <c r="F441" t="s">
        <v>729</v>
      </c>
      <c r="G441" t="s">
        <v>12</v>
      </c>
      <c r="I441" t="s">
        <v>5252</v>
      </c>
      <c r="J441" t="s">
        <v>6745</v>
      </c>
      <c r="K441">
        <v>63.377544811736854</v>
      </c>
      <c r="L441">
        <v>0.29521854227637728</v>
      </c>
      <c r="M441">
        <v>131.53284267788013</v>
      </c>
      <c r="N441">
        <v>144.68612694566815</v>
      </c>
    </row>
    <row r="442" spans="1:14">
      <c r="A442" t="s">
        <v>726</v>
      </c>
      <c r="B442" t="s">
        <v>5254</v>
      </c>
      <c r="C442" t="s">
        <v>5255</v>
      </c>
      <c r="D442" t="s">
        <v>11</v>
      </c>
      <c r="E442" t="s">
        <v>13</v>
      </c>
      <c r="F442" t="s">
        <v>729</v>
      </c>
      <c r="G442" t="s">
        <v>12</v>
      </c>
      <c r="I442" t="s">
        <v>5254</v>
      </c>
      <c r="J442" t="s">
        <v>6746</v>
      </c>
      <c r="K442">
        <v>188.25104947737688</v>
      </c>
      <c r="L442">
        <v>0.36507482591889068</v>
      </c>
      <c r="M442">
        <v>254.35533031804505</v>
      </c>
      <c r="N442">
        <v>279.79086334984959</v>
      </c>
    </row>
    <row r="443" spans="1:14">
      <c r="A443" t="s">
        <v>726</v>
      </c>
      <c r="B443" t="s">
        <v>5256</v>
      </c>
      <c r="C443" t="s">
        <v>5257</v>
      </c>
      <c r="D443" t="s">
        <v>11</v>
      </c>
      <c r="E443" t="s">
        <v>13</v>
      </c>
      <c r="F443" t="s">
        <v>729</v>
      </c>
      <c r="G443" t="s">
        <v>12</v>
      </c>
      <c r="I443" t="s">
        <v>5256</v>
      </c>
      <c r="J443" t="s">
        <v>6747</v>
      </c>
      <c r="K443">
        <v>256.28454368705002</v>
      </c>
      <c r="L443">
        <v>0.39123897501781169</v>
      </c>
      <c r="M443">
        <v>396.22551726081059</v>
      </c>
      <c r="N443">
        <v>435.84806898689169</v>
      </c>
    </row>
    <row r="444" spans="1:14">
      <c r="A444" t="s">
        <v>726</v>
      </c>
      <c r="B444" t="s">
        <v>5258</v>
      </c>
      <c r="C444" t="s">
        <v>5259</v>
      </c>
      <c r="D444" t="s">
        <v>11</v>
      </c>
      <c r="E444" t="s">
        <v>13</v>
      </c>
      <c r="F444" t="s">
        <v>729</v>
      </c>
      <c r="G444" t="s">
        <v>12</v>
      </c>
      <c r="I444" t="s">
        <v>5258</v>
      </c>
      <c r="J444" t="s">
        <v>6748</v>
      </c>
      <c r="K444">
        <v>170.48059792954925</v>
      </c>
      <c r="L444">
        <v>0.37396375035523732</v>
      </c>
      <c r="M444">
        <v>208.36489941533429</v>
      </c>
      <c r="N444">
        <v>229.20138935686774</v>
      </c>
    </row>
    <row r="445" spans="1:14">
      <c r="A445" t="s">
        <v>726</v>
      </c>
      <c r="B445" t="s">
        <v>5260</v>
      </c>
      <c r="C445" t="s">
        <v>5261</v>
      </c>
      <c r="D445" t="s">
        <v>11</v>
      </c>
      <c r="E445" t="s">
        <v>13</v>
      </c>
      <c r="F445" t="s">
        <v>729</v>
      </c>
      <c r="G445" t="s">
        <v>12</v>
      </c>
      <c r="I445" t="s">
        <v>5260</v>
      </c>
      <c r="J445" t="s">
        <v>6749</v>
      </c>
      <c r="K445">
        <v>84.208306909267947</v>
      </c>
      <c r="L445">
        <v>0.39279800762918698</v>
      </c>
      <c r="M445">
        <v>242.3980143236104</v>
      </c>
      <c r="N445">
        <v>266.63781575597147</v>
      </c>
    </row>
    <row r="446" spans="1:14">
      <c r="A446" t="s">
        <v>726</v>
      </c>
      <c r="B446" t="s">
        <v>5262</v>
      </c>
      <c r="C446" t="s">
        <v>5263</v>
      </c>
      <c r="D446" t="s">
        <v>11</v>
      </c>
      <c r="E446" t="s">
        <v>13</v>
      </c>
      <c r="F446" t="s">
        <v>729</v>
      </c>
      <c r="G446" t="s">
        <v>12</v>
      </c>
      <c r="I446" t="s">
        <v>5262</v>
      </c>
      <c r="J446" t="s">
        <v>6750</v>
      </c>
      <c r="K446">
        <v>193.1323974068905</v>
      </c>
      <c r="L446">
        <v>0.41305803907280658</v>
      </c>
      <c r="M446">
        <v>158.23564433528125</v>
      </c>
      <c r="N446">
        <v>174.05920876880938</v>
      </c>
    </row>
    <row r="447" spans="1:14">
      <c r="A447" t="s">
        <v>726</v>
      </c>
      <c r="B447" t="s">
        <v>5264</v>
      </c>
      <c r="C447" t="s">
        <v>5265</v>
      </c>
      <c r="D447" t="s">
        <v>11</v>
      </c>
      <c r="E447" t="s">
        <v>13</v>
      </c>
      <c r="F447" t="s">
        <v>729</v>
      </c>
      <c r="G447" t="s">
        <v>12</v>
      </c>
      <c r="I447" t="s">
        <v>5264</v>
      </c>
      <c r="J447" t="s">
        <v>6751</v>
      </c>
      <c r="K447">
        <v>117.82699483323805</v>
      </c>
      <c r="L447">
        <v>0.42343161335911711</v>
      </c>
      <c r="M447">
        <v>187.27679066487863</v>
      </c>
      <c r="N447">
        <v>206.0044697313665</v>
      </c>
    </row>
    <row r="448" spans="1:14">
      <c r="A448" t="s">
        <v>726</v>
      </c>
      <c r="B448" t="s">
        <v>5266</v>
      </c>
      <c r="C448" t="s">
        <v>5267</v>
      </c>
      <c r="D448" t="s">
        <v>11</v>
      </c>
      <c r="E448" t="s">
        <v>13</v>
      </c>
      <c r="F448" t="s">
        <v>729</v>
      </c>
      <c r="G448" t="s">
        <v>12</v>
      </c>
      <c r="I448" t="s">
        <v>5266</v>
      </c>
      <c r="J448" t="s">
        <v>6752</v>
      </c>
      <c r="K448">
        <v>182.63828289794625</v>
      </c>
      <c r="L448">
        <v>0.40935557952159179</v>
      </c>
      <c r="M448">
        <v>261.08388705091119</v>
      </c>
      <c r="N448">
        <v>287.19227575600235</v>
      </c>
    </row>
    <row r="449" spans="1:14">
      <c r="A449" t="s">
        <v>726</v>
      </c>
      <c r="B449" t="s">
        <v>5268</v>
      </c>
      <c r="C449" t="s">
        <v>5269</v>
      </c>
      <c r="D449" t="s">
        <v>11</v>
      </c>
      <c r="E449" t="s">
        <v>13</v>
      </c>
      <c r="F449" t="s">
        <v>729</v>
      </c>
      <c r="G449" t="s">
        <v>12</v>
      </c>
      <c r="I449" t="s">
        <v>5268</v>
      </c>
      <c r="J449" t="s">
        <v>6753</v>
      </c>
      <c r="K449">
        <v>254.07018464034172</v>
      </c>
      <c r="L449">
        <v>0.41526137254487</v>
      </c>
      <c r="M449">
        <v>380.14424451914681</v>
      </c>
      <c r="N449">
        <v>418.1586689710615</v>
      </c>
    </row>
    <row r="450" spans="1:14">
      <c r="A450" t="s">
        <v>726</v>
      </c>
      <c r="B450" t="s">
        <v>5270</v>
      </c>
      <c r="C450" t="s">
        <v>5271</v>
      </c>
      <c r="D450" t="s">
        <v>11</v>
      </c>
      <c r="E450" t="s">
        <v>13</v>
      </c>
      <c r="F450" t="s">
        <v>729</v>
      </c>
      <c r="G450" t="s">
        <v>12</v>
      </c>
      <c r="I450" t="s">
        <v>5270</v>
      </c>
      <c r="J450" t="s">
        <v>6754</v>
      </c>
      <c r="K450">
        <v>96.070586242361884</v>
      </c>
      <c r="L450">
        <v>0.38017947823229992</v>
      </c>
      <c r="M450">
        <v>261.21779962145985</v>
      </c>
      <c r="N450">
        <v>287.33957958360588</v>
      </c>
    </row>
    <row r="451" spans="1:14">
      <c r="A451" t="s">
        <v>726</v>
      </c>
      <c r="B451" t="s">
        <v>5272</v>
      </c>
      <c r="C451" t="s">
        <v>5273</v>
      </c>
      <c r="D451" t="s">
        <v>11</v>
      </c>
      <c r="E451" t="s">
        <v>13</v>
      </c>
      <c r="F451" t="s">
        <v>729</v>
      </c>
      <c r="G451" t="s">
        <v>12</v>
      </c>
      <c r="I451" t="s">
        <v>5272</v>
      </c>
      <c r="J451" t="s">
        <v>6755</v>
      </c>
      <c r="K451">
        <v>52.158689717618792</v>
      </c>
      <c r="L451">
        <v>0.28789794127456619</v>
      </c>
      <c r="M451">
        <v>168.47534323082749</v>
      </c>
      <c r="N451">
        <v>185.32287755391025</v>
      </c>
    </row>
    <row r="452" spans="1:14">
      <c r="A452" t="s">
        <v>726</v>
      </c>
      <c r="B452" t="s">
        <v>5274</v>
      </c>
      <c r="C452" t="s">
        <v>5275</v>
      </c>
      <c r="D452" t="s">
        <v>11</v>
      </c>
      <c r="E452" t="s">
        <v>13</v>
      </c>
      <c r="F452" t="s">
        <v>729</v>
      </c>
      <c r="G452" t="s">
        <v>12</v>
      </c>
      <c r="I452" t="s">
        <v>5274</v>
      </c>
      <c r="J452" t="s">
        <v>6756</v>
      </c>
      <c r="K452">
        <v>91.801495481991083</v>
      </c>
      <c r="L452">
        <v>0.3628043309384591</v>
      </c>
      <c r="M452">
        <v>234.65027083294521</v>
      </c>
      <c r="N452">
        <v>258.11529791623974</v>
      </c>
    </row>
    <row r="453" spans="1:14">
      <c r="A453" t="s">
        <v>726</v>
      </c>
      <c r="B453" t="s">
        <v>5276</v>
      </c>
      <c r="C453" t="s">
        <v>5277</v>
      </c>
      <c r="D453" t="s">
        <v>11</v>
      </c>
      <c r="E453" t="s">
        <v>13</v>
      </c>
      <c r="F453" t="s">
        <v>729</v>
      </c>
      <c r="G453" t="s">
        <v>12</v>
      </c>
      <c r="I453" t="s">
        <v>5276</v>
      </c>
      <c r="J453" t="s">
        <v>6757</v>
      </c>
      <c r="K453">
        <v>219.85352197066254</v>
      </c>
      <c r="L453">
        <v>0.39722276698597558</v>
      </c>
      <c r="M453">
        <v>287.05186246045696</v>
      </c>
      <c r="N453">
        <v>315.7570487065027</v>
      </c>
    </row>
    <row r="454" spans="1:14">
      <c r="A454" t="s">
        <v>726</v>
      </c>
      <c r="B454" t="s">
        <v>5278</v>
      </c>
      <c r="C454" t="s">
        <v>5279</v>
      </c>
      <c r="D454" t="s">
        <v>11</v>
      </c>
      <c r="E454" t="s">
        <v>13</v>
      </c>
      <c r="F454" t="s">
        <v>729</v>
      </c>
      <c r="G454" t="s">
        <v>12</v>
      </c>
      <c r="I454" t="s">
        <v>5278</v>
      </c>
      <c r="J454" t="s">
        <v>6758</v>
      </c>
      <c r="K454">
        <v>11.523137323164669</v>
      </c>
      <c r="L454">
        <v>0.12874978117374791</v>
      </c>
      <c r="M454">
        <v>450.0615701586745</v>
      </c>
      <c r="N454">
        <v>495.06772717454197</v>
      </c>
    </row>
    <row r="455" spans="1:14">
      <c r="A455" t="s">
        <v>726</v>
      </c>
      <c r="B455" t="s">
        <v>5280</v>
      </c>
      <c r="C455" t="s">
        <v>5253</v>
      </c>
      <c r="D455" t="s">
        <v>11</v>
      </c>
      <c r="E455" t="s">
        <v>13</v>
      </c>
      <c r="F455" t="s">
        <v>729</v>
      </c>
      <c r="G455" t="s">
        <v>12</v>
      </c>
      <c r="I455" t="s">
        <v>5280</v>
      </c>
      <c r="J455" t="s">
        <v>6759</v>
      </c>
      <c r="K455">
        <v>24.506880504934557</v>
      </c>
      <c r="L455">
        <v>0.2093645423120557</v>
      </c>
      <c r="M455">
        <v>287.92882550392892</v>
      </c>
      <c r="N455">
        <v>316.72170805432182</v>
      </c>
    </row>
    <row r="456" spans="1:14">
      <c r="A456" t="s">
        <v>726</v>
      </c>
      <c r="B456" t="s">
        <v>5281</v>
      </c>
      <c r="C456" t="s">
        <v>5255</v>
      </c>
      <c r="D456" t="s">
        <v>11</v>
      </c>
      <c r="E456" t="s">
        <v>13</v>
      </c>
      <c r="F456" t="s">
        <v>729</v>
      </c>
      <c r="G456" t="s">
        <v>12</v>
      </c>
      <c r="I456" t="s">
        <v>5281</v>
      </c>
      <c r="J456" t="s">
        <v>6760</v>
      </c>
      <c r="K456">
        <v>85.840632136311655</v>
      </c>
      <c r="L456">
        <v>0.3360278453146342</v>
      </c>
      <c r="M456">
        <v>349.25603451907813</v>
      </c>
      <c r="N456">
        <v>384.18163797098595</v>
      </c>
    </row>
    <row r="457" spans="1:14">
      <c r="A457" t="s">
        <v>726</v>
      </c>
      <c r="B457" t="s">
        <v>5282</v>
      </c>
      <c r="C457" t="s">
        <v>5283</v>
      </c>
      <c r="D457" t="s">
        <v>11</v>
      </c>
      <c r="E457" t="s">
        <v>13</v>
      </c>
      <c r="F457" t="s">
        <v>729</v>
      </c>
      <c r="G457" t="s">
        <v>12</v>
      </c>
      <c r="I457" t="s">
        <v>5282</v>
      </c>
      <c r="J457" t="s">
        <v>6761</v>
      </c>
      <c r="K457">
        <v>63.009441556535158</v>
      </c>
      <c r="L457">
        <v>0.27940519429908051</v>
      </c>
      <c r="M457">
        <v>299.81459228343857</v>
      </c>
      <c r="N457">
        <v>329.79605151178248</v>
      </c>
    </row>
    <row r="458" spans="1:14">
      <c r="A458" t="s">
        <v>726</v>
      </c>
      <c r="B458" t="s">
        <v>5284</v>
      </c>
      <c r="C458" t="s">
        <v>5285</v>
      </c>
      <c r="D458" t="s">
        <v>11</v>
      </c>
      <c r="E458" t="s">
        <v>13</v>
      </c>
      <c r="F458" t="s">
        <v>729</v>
      </c>
      <c r="G458" t="s">
        <v>12</v>
      </c>
      <c r="I458" t="s">
        <v>5284</v>
      </c>
      <c r="J458" t="s">
        <v>6762</v>
      </c>
      <c r="K458">
        <v>10.99721837093665</v>
      </c>
      <c r="L458">
        <v>0.19244594457377781</v>
      </c>
      <c r="M458">
        <v>186.6623848590522</v>
      </c>
      <c r="N458">
        <v>205.32862334495744</v>
      </c>
    </row>
    <row r="459" spans="1:14">
      <c r="A459" t="s">
        <v>726</v>
      </c>
      <c r="B459" t="s">
        <v>5286</v>
      </c>
      <c r="C459" t="s">
        <v>5287</v>
      </c>
      <c r="D459" t="s">
        <v>11</v>
      </c>
      <c r="E459" t="s">
        <v>13</v>
      </c>
      <c r="F459" t="s">
        <v>729</v>
      </c>
      <c r="G459" t="s">
        <v>12</v>
      </c>
      <c r="I459" t="s">
        <v>5286</v>
      </c>
      <c r="J459" t="s">
        <v>6763</v>
      </c>
      <c r="K459">
        <v>45.028043785815768</v>
      </c>
      <c r="L459">
        <v>0.28419897000264233</v>
      </c>
      <c r="M459">
        <v>190.80467288687319</v>
      </c>
      <c r="N459">
        <v>209.88514017556054</v>
      </c>
    </row>
    <row r="460" spans="1:14">
      <c r="A460" t="s">
        <v>726</v>
      </c>
      <c r="B460" t="s">
        <v>5288</v>
      </c>
      <c r="C460" t="s">
        <v>5289</v>
      </c>
      <c r="D460" t="s">
        <v>11</v>
      </c>
      <c r="E460" t="s">
        <v>13</v>
      </c>
      <c r="F460" t="s">
        <v>729</v>
      </c>
      <c r="G460" t="s">
        <v>12</v>
      </c>
      <c r="I460" t="s">
        <v>5288</v>
      </c>
      <c r="J460" t="s">
        <v>6764</v>
      </c>
      <c r="K460">
        <v>30.177381990942791</v>
      </c>
      <c r="L460">
        <v>0.37560095869466009</v>
      </c>
      <c r="M460">
        <v>107.92186426184639</v>
      </c>
      <c r="N460">
        <v>118.71405068803104</v>
      </c>
    </row>
    <row r="461" spans="1:14">
      <c r="A461" t="s">
        <v>726</v>
      </c>
      <c r="B461" t="s">
        <v>5290</v>
      </c>
      <c r="C461" t="s">
        <v>5291</v>
      </c>
      <c r="D461" t="s">
        <v>11</v>
      </c>
      <c r="E461" t="s">
        <v>13</v>
      </c>
      <c r="F461" t="s">
        <v>729</v>
      </c>
      <c r="G461" t="s">
        <v>12</v>
      </c>
      <c r="I461" t="s">
        <v>5290</v>
      </c>
      <c r="J461" t="s">
        <v>6765</v>
      </c>
      <c r="K461">
        <v>47.376586763284458</v>
      </c>
      <c r="L461">
        <v>0.29073655501605711</v>
      </c>
      <c r="M461">
        <v>251.21177784593331</v>
      </c>
      <c r="N461">
        <v>276.33295563052667</v>
      </c>
    </row>
    <row r="462" spans="1:14">
      <c r="A462" t="s">
        <v>726</v>
      </c>
      <c r="B462" t="s">
        <v>5292</v>
      </c>
      <c r="C462" t="s">
        <v>5293</v>
      </c>
      <c r="D462" t="s">
        <v>11</v>
      </c>
      <c r="E462" t="s">
        <v>13</v>
      </c>
      <c r="F462" t="s">
        <v>729</v>
      </c>
      <c r="G462" t="s">
        <v>12</v>
      </c>
      <c r="I462" t="s">
        <v>5292</v>
      </c>
      <c r="J462" t="s">
        <v>6766</v>
      </c>
      <c r="K462">
        <v>33.013881250998004</v>
      </c>
      <c r="L462">
        <v>0.41123514415581119</v>
      </c>
      <c r="M462">
        <v>254.89512838754871</v>
      </c>
      <c r="N462">
        <v>280.38464122630359</v>
      </c>
    </row>
    <row r="463" spans="1:14">
      <c r="A463" t="s">
        <v>726</v>
      </c>
      <c r="B463" t="s">
        <v>5294</v>
      </c>
      <c r="C463" t="s">
        <v>5295</v>
      </c>
      <c r="D463" t="s">
        <v>11</v>
      </c>
      <c r="E463" t="s">
        <v>13</v>
      </c>
      <c r="F463" t="s">
        <v>729</v>
      </c>
      <c r="G463" t="s">
        <v>12</v>
      </c>
      <c r="I463" t="s">
        <v>5294</v>
      </c>
      <c r="J463" t="s">
        <v>6767</v>
      </c>
      <c r="K463">
        <v>14.287097677410562</v>
      </c>
      <c r="L463">
        <v>0.20688307883909021</v>
      </c>
      <c r="M463">
        <v>129.30338339236394</v>
      </c>
      <c r="N463">
        <v>142.23372173160035</v>
      </c>
    </row>
    <row r="464" spans="1:14">
      <c r="A464" t="s">
        <v>726</v>
      </c>
      <c r="B464" t="s">
        <v>5296</v>
      </c>
      <c r="C464" t="s">
        <v>5295</v>
      </c>
      <c r="D464" t="s">
        <v>11</v>
      </c>
      <c r="E464" t="s">
        <v>13</v>
      </c>
      <c r="F464" t="s">
        <v>729</v>
      </c>
      <c r="G464" t="s">
        <v>12</v>
      </c>
      <c r="I464" t="s">
        <v>5296</v>
      </c>
      <c r="J464" t="s">
        <v>6768</v>
      </c>
      <c r="K464">
        <v>4.480189044763689</v>
      </c>
      <c r="L464">
        <v>0.15180036345515971</v>
      </c>
      <c r="M464">
        <v>96.824226854635242</v>
      </c>
      <c r="N464">
        <v>106.50664954009878</v>
      </c>
    </row>
    <row r="465" spans="1:14">
      <c r="A465" t="s">
        <v>726</v>
      </c>
      <c r="B465" t="s">
        <v>5297</v>
      </c>
      <c r="C465" t="s">
        <v>5298</v>
      </c>
      <c r="D465" t="s">
        <v>11</v>
      </c>
      <c r="E465" t="s">
        <v>13</v>
      </c>
      <c r="F465" t="s">
        <v>729</v>
      </c>
      <c r="G465" t="s">
        <v>12</v>
      </c>
      <c r="I465" t="s">
        <v>5297</v>
      </c>
      <c r="J465" t="s">
        <v>6769</v>
      </c>
      <c r="K465">
        <v>9.2045068445178888</v>
      </c>
      <c r="L465">
        <v>0.12234964172276561</v>
      </c>
      <c r="M465">
        <v>177.63532024819986</v>
      </c>
      <c r="N465">
        <v>195.39885227301986</v>
      </c>
    </row>
    <row r="466" spans="1:14">
      <c r="A466" t="s">
        <v>726</v>
      </c>
      <c r="B466" t="s">
        <v>5299</v>
      </c>
      <c r="C466" t="s">
        <v>5300</v>
      </c>
      <c r="D466" t="s">
        <v>11</v>
      </c>
      <c r="E466" t="s">
        <v>13</v>
      </c>
      <c r="F466" t="s">
        <v>729</v>
      </c>
      <c r="G466" t="s">
        <v>12</v>
      </c>
      <c r="I466" t="s">
        <v>5299</v>
      </c>
      <c r="J466" t="s">
        <v>6770</v>
      </c>
      <c r="K466">
        <v>2.396418752341229</v>
      </c>
      <c r="L466">
        <v>1.0646067672457699E-2</v>
      </c>
      <c r="M466">
        <v>90.346803672759464</v>
      </c>
      <c r="N466">
        <v>99.381484040035417</v>
      </c>
    </row>
    <row r="467" spans="1:14">
      <c r="A467" t="s">
        <v>726</v>
      </c>
      <c r="B467" t="s">
        <v>5301</v>
      </c>
      <c r="C467" t="s">
        <v>5302</v>
      </c>
      <c r="D467" t="s">
        <v>11</v>
      </c>
      <c r="E467" t="s">
        <v>13</v>
      </c>
      <c r="F467" t="s">
        <v>729</v>
      </c>
      <c r="G467" t="s">
        <v>12</v>
      </c>
      <c r="I467" t="s">
        <v>5301</v>
      </c>
      <c r="J467" t="s">
        <v>6771</v>
      </c>
      <c r="K467">
        <v>4.9780230387627986</v>
      </c>
      <c r="L467">
        <v>5.6073233188561403E-2</v>
      </c>
      <c r="M467">
        <v>66.298114005498363</v>
      </c>
      <c r="N467">
        <v>72.927925406048203</v>
      </c>
    </row>
    <row r="468" spans="1:14">
      <c r="A468" t="s">
        <v>726</v>
      </c>
      <c r="B468" t="s">
        <v>5303</v>
      </c>
      <c r="C468" t="s">
        <v>5304</v>
      </c>
      <c r="D468" t="s">
        <v>11</v>
      </c>
      <c r="E468" t="s">
        <v>13</v>
      </c>
      <c r="F468" t="s">
        <v>729</v>
      </c>
      <c r="G468" t="s">
        <v>12</v>
      </c>
      <c r="I468" t="s">
        <v>5303</v>
      </c>
      <c r="J468" t="s">
        <v>6772</v>
      </c>
      <c r="K468">
        <v>3.43573143482808E-2</v>
      </c>
      <c r="L468">
        <v>4.6822569380591999E-3</v>
      </c>
      <c r="M468">
        <v>171.06400282697263</v>
      </c>
      <c r="N468">
        <v>188.17040310966991</v>
      </c>
    </row>
    <row r="469" spans="1:14">
      <c r="A469" t="s">
        <v>726</v>
      </c>
      <c r="B469" t="s">
        <v>5305</v>
      </c>
      <c r="C469" t="s">
        <v>5300</v>
      </c>
      <c r="D469" t="s">
        <v>11</v>
      </c>
      <c r="E469" t="s">
        <v>13</v>
      </c>
      <c r="F469" t="s">
        <v>729</v>
      </c>
      <c r="G469" t="s">
        <v>12</v>
      </c>
      <c r="I469" t="s">
        <v>5305</v>
      </c>
      <c r="J469" t="s">
        <v>6773</v>
      </c>
      <c r="K469">
        <v>1.5126064013912295</v>
      </c>
      <c r="L469">
        <v>3.1314555715698002E-2</v>
      </c>
      <c r="M469">
        <v>112.89953764184617</v>
      </c>
      <c r="N469">
        <v>124.1894914060308</v>
      </c>
    </row>
    <row r="470" spans="1:14">
      <c r="A470" t="s">
        <v>726</v>
      </c>
      <c r="B470" t="s">
        <v>5306</v>
      </c>
      <c r="C470" t="s">
        <v>5307</v>
      </c>
      <c r="D470" t="s">
        <v>11</v>
      </c>
      <c r="E470" t="s">
        <v>13</v>
      </c>
      <c r="F470" t="s">
        <v>729</v>
      </c>
      <c r="G470" t="s">
        <v>12</v>
      </c>
      <c r="I470" t="s">
        <v>5306</v>
      </c>
      <c r="J470" t="s">
        <v>6774</v>
      </c>
      <c r="K470">
        <v>2.2499999999999998E-3</v>
      </c>
      <c r="L470">
        <v>7.1716028710950002E-4</v>
      </c>
      <c r="M470">
        <v>125.17866740024286</v>
      </c>
      <c r="N470">
        <v>137.69653414026715</v>
      </c>
    </row>
    <row r="471" spans="1:14">
      <c r="A471" t="s">
        <v>726</v>
      </c>
      <c r="B471" t="s">
        <v>5308</v>
      </c>
      <c r="C471" t="s">
        <v>5309</v>
      </c>
      <c r="D471" t="s">
        <v>11</v>
      </c>
      <c r="E471" t="s">
        <v>13</v>
      </c>
      <c r="F471" t="s">
        <v>729</v>
      </c>
      <c r="G471" t="s">
        <v>12</v>
      </c>
      <c r="I471" t="s">
        <v>5308</v>
      </c>
      <c r="J471" t="s">
        <v>6775</v>
      </c>
      <c r="K471">
        <v>2.7801785433311252</v>
      </c>
      <c r="L471">
        <v>0.19204667486154059</v>
      </c>
      <c r="M471">
        <v>200.04292343701923</v>
      </c>
      <c r="N471">
        <v>220.04721578072116</v>
      </c>
    </row>
    <row r="472" spans="1:14">
      <c r="A472" t="s">
        <v>726</v>
      </c>
      <c r="B472" t="s">
        <v>5310</v>
      </c>
      <c r="C472" t="s">
        <v>5311</v>
      </c>
      <c r="D472" t="s">
        <v>11</v>
      </c>
      <c r="E472" t="s">
        <v>13</v>
      </c>
      <c r="F472" t="s">
        <v>729</v>
      </c>
      <c r="G472" t="s">
        <v>12</v>
      </c>
      <c r="I472" t="s">
        <v>5310</v>
      </c>
      <c r="J472" t="s">
        <v>6776</v>
      </c>
      <c r="K472">
        <v>5.5414146077790072</v>
      </c>
      <c r="L472">
        <v>0.1193143228124616</v>
      </c>
      <c r="M472">
        <v>61.94262832262455</v>
      </c>
      <c r="N472">
        <v>68.13689115488701</v>
      </c>
    </row>
    <row r="473" spans="1:14">
      <c r="A473" t="s">
        <v>726</v>
      </c>
      <c r="B473" t="s">
        <v>5312</v>
      </c>
      <c r="C473" t="s">
        <v>5313</v>
      </c>
      <c r="D473" t="s">
        <v>11</v>
      </c>
      <c r="E473" t="s">
        <v>13</v>
      </c>
      <c r="F473" t="s">
        <v>729</v>
      </c>
      <c r="G473" t="s">
        <v>12</v>
      </c>
      <c r="I473" t="s">
        <v>5312</v>
      </c>
      <c r="J473" t="s">
        <v>6777</v>
      </c>
      <c r="K473">
        <v>1.1779480480004088</v>
      </c>
      <c r="L473">
        <v>9.5182541373925206E-2</v>
      </c>
      <c r="M473">
        <v>36.387369143226131</v>
      </c>
      <c r="N473">
        <v>40.026106057548745</v>
      </c>
    </row>
    <row r="474" spans="1:14">
      <c r="A474" t="s">
        <v>726</v>
      </c>
      <c r="B474" t="s">
        <v>5314</v>
      </c>
      <c r="C474" t="s">
        <v>5315</v>
      </c>
      <c r="D474" t="s">
        <v>11</v>
      </c>
      <c r="E474" t="s">
        <v>13</v>
      </c>
      <c r="F474" t="s">
        <v>729</v>
      </c>
      <c r="G474" t="s">
        <v>12</v>
      </c>
      <c r="I474" t="s">
        <v>5314</v>
      </c>
      <c r="J474" t="s">
        <v>6778</v>
      </c>
      <c r="K474">
        <v>3.045529142989563</v>
      </c>
      <c r="L474">
        <v>0.1112995980523232</v>
      </c>
      <c r="M474">
        <v>110.88551421651999</v>
      </c>
      <c r="N474">
        <v>121.97406563817201</v>
      </c>
    </row>
    <row r="475" spans="1:14">
      <c r="A475" t="s">
        <v>726</v>
      </c>
      <c r="B475" t="s">
        <v>5316</v>
      </c>
      <c r="C475" t="s">
        <v>5317</v>
      </c>
      <c r="D475" t="s">
        <v>11</v>
      </c>
      <c r="E475" t="s">
        <v>13</v>
      </c>
      <c r="F475" t="s">
        <v>729</v>
      </c>
      <c r="G475" t="s">
        <v>12</v>
      </c>
      <c r="I475" t="s">
        <v>5316</v>
      </c>
      <c r="J475" t="s">
        <v>6779</v>
      </c>
      <c r="K475">
        <v>34.598872457439967</v>
      </c>
      <c r="L475">
        <v>0.13560244477688549</v>
      </c>
      <c r="M475">
        <v>108.61932187213664</v>
      </c>
      <c r="N475">
        <v>119.48125405935031</v>
      </c>
    </row>
    <row r="476" spans="1:14">
      <c r="A476" t="s">
        <v>726</v>
      </c>
      <c r="B476" t="s">
        <v>5318</v>
      </c>
      <c r="C476" t="s">
        <v>5319</v>
      </c>
      <c r="D476" t="s">
        <v>11</v>
      </c>
      <c r="E476" t="s">
        <v>13</v>
      </c>
      <c r="F476" t="s">
        <v>729</v>
      </c>
      <c r="G476" t="s">
        <v>12</v>
      </c>
      <c r="I476" t="s">
        <v>5318</v>
      </c>
      <c r="J476" t="s">
        <v>6780</v>
      </c>
      <c r="K476">
        <v>70.664270578517218</v>
      </c>
      <c r="L476">
        <v>0.1438973068297241</v>
      </c>
      <c r="M476">
        <v>55.196372240309053</v>
      </c>
      <c r="N476">
        <v>60.716009464339962</v>
      </c>
    </row>
    <row r="477" spans="1:14">
      <c r="A477" t="s">
        <v>726</v>
      </c>
      <c r="B477" t="s">
        <v>5320</v>
      </c>
      <c r="C477" t="s">
        <v>5321</v>
      </c>
      <c r="D477" t="s">
        <v>11</v>
      </c>
      <c r="E477" t="s">
        <v>13</v>
      </c>
      <c r="F477" t="s">
        <v>729</v>
      </c>
      <c r="G477" t="s">
        <v>12</v>
      </c>
      <c r="I477" t="s">
        <v>5320</v>
      </c>
      <c r="J477" t="s">
        <v>6781</v>
      </c>
      <c r="K477">
        <v>34.436535408549275</v>
      </c>
      <c r="L477">
        <v>0.20958280176338739</v>
      </c>
      <c r="M477">
        <v>46.39815394684593</v>
      </c>
      <c r="N477">
        <v>51.037969341530527</v>
      </c>
    </row>
    <row r="478" spans="1:14">
      <c r="A478" t="s">
        <v>726</v>
      </c>
      <c r="B478" t="s">
        <v>5322</v>
      </c>
      <c r="C478" t="s">
        <v>5323</v>
      </c>
      <c r="D478" t="s">
        <v>11</v>
      </c>
      <c r="E478" t="s">
        <v>13</v>
      </c>
      <c r="F478" t="s">
        <v>729</v>
      </c>
      <c r="G478" t="s">
        <v>12</v>
      </c>
      <c r="I478" t="s">
        <v>5322</v>
      </c>
      <c r="J478" t="s">
        <v>6782</v>
      </c>
      <c r="K478">
        <v>18.181334986775479</v>
      </c>
      <c r="L478">
        <v>0.35015239901118139</v>
      </c>
      <c r="M478">
        <v>99.753469705316874</v>
      </c>
      <c r="N478">
        <v>109.72881667584858</v>
      </c>
    </row>
    <row r="479" spans="1:14">
      <c r="A479" t="s">
        <v>726</v>
      </c>
      <c r="B479" t="s">
        <v>5324</v>
      </c>
      <c r="C479" t="s">
        <v>5325</v>
      </c>
      <c r="D479" t="s">
        <v>11</v>
      </c>
      <c r="E479" t="s">
        <v>13</v>
      </c>
      <c r="F479" t="s">
        <v>729</v>
      </c>
      <c r="G479" t="s">
        <v>12</v>
      </c>
      <c r="I479" t="s">
        <v>5324</v>
      </c>
      <c r="J479" t="s">
        <v>6783</v>
      </c>
      <c r="K479">
        <v>28.03633135649936</v>
      </c>
      <c r="L479">
        <v>0.28173334921335441</v>
      </c>
      <c r="M479">
        <v>81.230878315857098</v>
      </c>
      <c r="N479">
        <v>89.353966147442819</v>
      </c>
    </row>
    <row r="480" spans="1:14">
      <c r="A480" t="s">
        <v>726</v>
      </c>
      <c r="B480" t="s">
        <v>5326</v>
      </c>
      <c r="C480" t="s">
        <v>5327</v>
      </c>
      <c r="D480" t="s">
        <v>11</v>
      </c>
      <c r="E480" t="s">
        <v>13</v>
      </c>
      <c r="F480" t="s">
        <v>729</v>
      </c>
      <c r="G480" t="s">
        <v>12</v>
      </c>
      <c r="I480" t="s">
        <v>5326</v>
      </c>
      <c r="J480" t="s">
        <v>6784</v>
      </c>
      <c r="K480">
        <v>16.04069099433304</v>
      </c>
      <c r="L480">
        <v>0.41743952722171512</v>
      </c>
      <c r="M480">
        <v>74.241600181184907</v>
      </c>
      <c r="N480">
        <v>81.665760199303406</v>
      </c>
    </row>
    <row r="481" spans="1:14">
      <c r="A481" t="s">
        <v>726</v>
      </c>
      <c r="B481" t="s">
        <v>5328</v>
      </c>
      <c r="C481" t="s">
        <v>5329</v>
      </c>
      <c r="D481" t="s">
        <v>11</v>
      </c>
      <c r="E481" t="s">
        <v>13</v>
      </c>
      <c r="F481" t="s">
        <v>729</v>
      </c>
      <c r="G481" t="s">
        <v>12</v>
      </c>
      <c r="I481" t="s">
        <v>5328</v>
      </c>
      <c r="J481" t="s">
        <v>6785</v>
      </c>
      <c r="K481">
        <v>8.9559947575499308</v>
      </c>
      <c r="L481">
        <v>0.41886724202832398</v>
      </c>
      <c r="M481">
        <v>40.967479954879039</v>
      </c>
      <c r="N481">
        <v>45.064227950366949</v>
      </c>
    </row>
    <row r="482" spans="1:14">
      <c r="A482" t="s">
        <v>726</v>
      </c>
      <c r="B482" t="s">
        <v>5330</v>
      </c>
      <c r="C482" t="s">
        <v>5331</v>
      </c>
      <c r="D482" t="s">
        <v>11</v>
      </c>
      <c r="E482" t="s">
        <v>13</v>
      </c>
      <c r="F482" t="s">
        <v>729</v>
      </c>
      <c r="G482" t="s">
        <v>12</v>
      </c>
      <c r="I482" t="s">
        <v>5330</v>
      </c>
      <c r="J482" t="s">
        <v>6786</v>
      </c>
      <c r="K482">
        <v>0.73375333301322876</v>
      </c>
      <c r="L482">
        <v>0.19728307311121199</v>
      </c>
      <c r="M482">
        <v>144.28055340367953</v>
      </c>
      <c r="N482">
        <v>158.7086087440475</v>
      </c>
    </row>
    <row r="483" spans="1:14">
      <c r="A483" t="s">
        <v>726</v>
      </c>
      <c r="B483" t="s">
        <v>5332</v>
      </c>
      <c r="C483" t="s">
        <v>5333</v>
      </c>
      <c r="D483" t="s">
        <v>11</v>
      </c>
      <c r="E483" t="s">
        <v>13</v>
      </c>
      <c r="F483" t="s">
        <v>729</v>
      </c>
      <c r="G483" t="s">
        <v>12</v>
      </c>
      <c r="I483" t="s">
        <v>5332</v>
      </c>
      <c r="J483" t="s">
        <v>6787</v>
      </c>
      <c r="K483">
        <v>1.5007211287518702</v>
      </c>
      <c r="L483">
        <v>0.1346442795520468</v>
      </c>
      <c r="M483">
        <v>49.735374126204391</v>
      </c>
      <c r="N483">
        <v>54.708911538824836</v>
      </c>
    </row>
    <row r="484" spans="1:14">
      <c r="A484" t="s">
        <v>726</v>
      </c>
      <c r="B484" t="s">
        <v>5334</v>
      </c>
      <c r="C484" t="s">
        <v>5335</v>
      </c>
      <c r="D484" t="s">
        <v>11</v>
      </c>
      <c r="E484" t="s">
        <v>13</v>
      </c>
      <c r="F484" t="s">
        <v>729</v>
      </c>
      <c r="G484" t="s">
        <v>12</v>
      </c>
      <c r="I484" t="s">
        <v>5334</v>
      </c>
      <c r="J484" t="s">
        <v>6788</v>
      </c>
      <c r="K484">
        <v>10.960953580704871</v>
      </c>
      <c r="L484">
        <v>0.20951559198939829</v>
      </c>
      <c r="M484">
        <v>68.508888867538516</v>
      </c>
      <c r="N484">
        <v>75.359777754292381</v>
      </c>
    </row>
    <row r="485" spans="1:14">
      <c r="A485" t="s">
        <v>726</v>
      </c>
      <c r="B485" t="s">
        <v>5336</v>
      </c>
      <c r="C485" t="s">
        <v>5337</v>
      </c>
      <c r="D485" t="s">
        <v>11</v>
      </c>
      <c r="E485" t="s">
        <v>13</v>
      </c>
      <c r="F485" t="s">
        <v>729</v>
      </c>
      <c r="G485" t="s">
        <v>12</v>
      </c>
      <c r="I485" t="s">
        <v>5336</v>
      </c>
      <c r="J485" t="s">
        <v>6789</v>
      </c>
      <c r="K485">
        <v>1.7407380139597295</v>
      </c>
      <c r="L485">
        <v>0.1528498545133071</v>
      </c>
      <c r="M485">
        <v>19.146447720061783</v>
      </c>
      <c r="N485">
        <v>21.061092492067964</v>
      </c>
    </row>
    <row r="486" spans="1:14">
      <c r="A486" t="s">
        <v>726</v>
      </c>
      <c r="B486" t="s">
        <v>5338</v>
      </c>
      <c r="C486" t="s">
        <v>5339</v>
      </c>
      <c r="D486" t="s">
        <v>11</v>
      </c>
      <c r="E486" t="s">
        <v>13</v>
      </c>
      <c r="F486" t="s">
        <v>729</v>
      </c>
      <c r="G486" t="s">
        <v>12</v>
      </c>
      <c r="I486" t="s">
        <v>5338</v>
      </c>
      <c r="J486" t="s">
        <v>6790</v>
      </c>
      <c r="K486">
        <v>10.76026566407578</v>
      </c>
      <c r="L486">
        <v>5.6950977316786902E-2</v>
      </c>
      <c r="M486">
        <v>33.950175106906499</v>
      </c>
      <c r="N486">
        <v>37.345192617597149</v>
      </c>
    </row>
    <row r="487" spans="1:14">
      <c r="A487" t="s">
        <v>726</v>
      </c>
      <c r="B487" t="s">
        <v>5340</v>
      </c>
      <c r="C487" t="s">
        <v>5341</v>
      </c>
      <c r="D487" t="s">
        <v>11</v>
      </c>
      <c r="E487" t="s">
        <v>13</v>
      </c>
      <c r="F487" t="s">
        <v>729</v>
      </c>
      <c r="G487" t="s">
        <v>12</v>
      </c>
      <c r="I487" t="s">
        <v>5340</v>
      </c>
      <c r="J487" t="s">
        <v>6791</v>
      </c>
      <c r="K487">
        <v>0.90481014062231047</v>
      </c>
      <c r="L487">
        <v>3.0502545180099601E-2</v>
      </c>
      <c r="M487">
        <v>75.59295699870124</v>
      </c>
      <c r="N487">
        <v>83.152252698571374</v>
      </c>
    </row>
    <row r="488" spans="1:14">
      <c r="A488" t="s">
        <v>726</v>
      </c>
      <c r="B488" t="s">
        <v>5342</v>
      </c>
      <c r="C488" t="s">
        <v>5343</v>
      </c>
      <c r="D488" t="s">
        <v>11</v>
      </c>
      <c r="E488" t="s">
        <v>13</v>
      </c>
      <c r="F488" t="s">
        <v>729</v>
      </c>
      <c r="G488" t="s">
        <v>12</v>
      </c>
      <c r="I488" t="s">
        <v>5342</v>
      </c>
      <c r="J488" t="s">
        <v>6792</v>
      </c>
      <c r="K488">
        <v>1.0698060295577647</v>
      </c>
      <c r="L488">
        <v>4.8318207406726398E-2</v>
      </c>
      <c r="M488">
        <v>69.496603252672188</v>
      </c>
      <c r="N488">
        <v>76.446263577939419</v>
      </c>
    </row>
    <row r="489" spans="1:14">
      <c r="A489" t="s">
        <v>726</v>
      </c>
      <c r="B489" t="s">
        <v>5344</v>
      </c>
      <c r="C489" t="s">
        <v>5345</v>
      </c>
      <c r="D489" t="s">
        <v>11</v>
      </c>
      <c r="E489" t="s">
        <v>13</v>
      </c>
      <c r="F489" t="s">
        <v>729</v>
      </c>
      <c r="G489" t="s">
        <v>12</v>
      </c>
      <c r="I489" t="s">
        <v>5344</v>
      </c>
      <c r="J489" t="s">
        <v>6793</v>
      </c>
      <c r="K489">
        <v>1.5029607463099568</v>
      </c>
      <c r="L489">
        <v>3.6300320186459997E-2</v>
      </c>
      <c r="M489">
        <v>250.37734885188291</v>
      </c>
      <c r="N489">
        <v>275.4150837370712</v>
      </c>
    </row>
    <row r="490" spans="1:14">
      <c r="A490" t="s">
        <v>726</v>
      </c>
      <c r="B490" t="s">
        <v>5346</v>
      </c>
      <c r="C490" t="s">
        <v>5347</v>
      </c>
      <c r="D490" t="s">
        <v>11</v>
      </c>
      <c r="E490" t="s">
        <v>13</v>
      </c>
      <c r="F490" t="s">
        <v>729</v>
      </c>
      <c r="G490" t="s">
        <v>12</v>
      </c>
      <c r="I490" t="s">
        <v>5346</v>
      </c>
      <c r="J490" t="s">
        <v>6794</v>
      </c>
      <c r="K490">
        <v>4.2059434651670395</v>
      </c>
      <c r="L490">
        <v>3.8746821369581901E-2</v>
      </c>
      <c r="M490">
        <v>164.9975942958209</v>
      </c>
      <c r="N490">
        <v>181.497353725403</v>
      </c>
    </row>
    <row r="491" spans="1:14">
      <c r="A491" t="s">
        <v>726</v>
      </c>
      <c r="B491" t="s">
        <v>5348</v>
      </c>
      <c r="C491" t="s">
        <v>5349</v>
      </c>
      <c r="D491" t="s">
        <v>11</v>
      </c>
      <c r="E491" t="s">
        <v>13</v>
      </c>
      <c r="F491" t="s">
        <v>729</v>
      </c>
      <c r="G491" t="s">
        <v>12</v>
      </c>
      <c r="I491" t="s">
        <v>5348</v>
      </c>
      <c r="J491" t="s">
        <v>6795</v>
      </c>
      <c r="K491">
        <v>134.66275008392998</v>
      </c>
      <c r="L491">
        <v>0.34477345013537403</v>
      </c>
      <c r="M491">
        <v>298.5725963032225</v>
      </c>
      <c r="N491">
        <v>328.42985593354479</v>
      </c>
    </row>
    <row r="492" spans="1:14">
      <c r="A492" t="s">
        <v>726</v>
      </c>
      <c r="B492" t="s">
        <v>5350</v>
      </c>
      <c r="C492" t="s">
        <v>5351</v>
      </c>
      <c r="D492" t="s">
        <v>11</v>
      </c>
      <c r="E492" t="s">
        <v>13</v>
      </c>
      <c r="F492" t="s">
        <v>729</v>
      </c>
      <c r="G492" t="s">
        <v>12</v>
      </c>
      <c r="I492" t="s">
        <v>5350</v>
      </c>
      <c r="J492" t="s">
        <v>6796</v>
      </c>
      <c r="K492">
        <v>42.992721083398024</v>
      </c>
      <c r="L492">
        <v>0.3226241105787041</v>
      </c>
      <c r="M492">
        <v>103.16212010668798</v>
      </c>
      <c r="N492">
        <v>113.47833211735679</v>
      </c>
    </row>
    <row r="493" spans="1:14">
      <c r="A493" t="s">
        <v>726</v>
      </c>
      <c r="B493" t="s">
        <v>5352</v>
      </c>
      <c r="C493" t="s">
        <v>5353</v>
      </c>
      <c r="D493" t="s">
        <v>11</v>
      </c>
      <c r="E493" t="s">
        <v>13</v>
      </c>
      <c r="F493" t="s">
        <v>729</v>
      </c>
      <c r="G493" t="s">
        <v>12</v>
      </c>
      <c r="I493" t="s">
        <v>5352</v>
      </c>
      <c r="J493" t="s">
        <v>6797</v>
      </c>
      <c r="K493">
        <v>128.74420936016705</v>
      </c>
      <c r="L493">
        <v>0.33467857845691767</v>
      </c>
      <c r="M493">
        <v>201.01917243971849</v>
      </c>
      <c r="N493">
        <v>221.12108968369034</v>
      </c>
    </row>
    <row r="494" spans="1:14">
      <c r="A494" t="s">
        <v>726</v>
      </c>
      <c r="B494" t="s">
        <v>5354</v>
      </c>
      <c r="C494" t="s">
        <v>5355</v>
      </c>
      <c r="D494" t="s">
        <v>11</v>
      </c>
      <c r="E494" t="s">
        <v>13</v>
      </c>
      <c r="F494" t="s">
        <v>729</v>
      </c>
      <c r="G494" t="s">
        <v>12</v>
      </c>
      <c r="I494" t="s">
        <v>5354</v>
      </c>
      <c r="J494" t="s">
        <v>6798</v>
      </c>
      <c r="K494">
        <v>109.5212413245264</v>
      </c>
      <c r="L494">
        <v>0.37999844018030099</v>
      </c>
      <c r="M494">
        <v>112.81593962182843</v>
      </c>
      <c r="N494">
        <v>124.09753358401129</v>
      </c>
    </row>
    <row r="495" spans="1:14">
      <c r="A495" t="s">
        <v>726</v>
      </c>
      <c r="B495" t="s">
        <v>5356</v>
      </c>
      <c r="C495" t="s">
        <v>5357</v>
      </c>
      <c r="D495" t="s">
        <v>11</v>
      </c>
      <c r="E495" t="s">
        <v>13</v>
      </c>
      <c r="F495" t="s">
        <v>729</v>
      </c>
      <c r="G495" t="s">
        <v>12</v>
      </c>
      <c r="I495" t="s">
        <v>5356</v>
      </c>
      <c r="J495" t="s">
        <v>6799</v>
      </c>
      <c r="K495">
        <v>131.52039475884342</v>
      </c>
      <c r="L495">
        <v>0.31287429448219573</v>
      </c>
      <c r="M495">
        <v>473.33153839693722</v>
      </c>
      <c r="N495">
        <v>520.66469223663103</v>
      </c>
    </row>
    <row r="496" spans="1:14">
      <c r="A496" t="s">
        <v>726</v>
      </c>
      <c r="B496" t="s">
        <v>5358</v>
      </c>
      <c r="C496" t="s">
        <v>5359</v>
      </c>
      <c r="D496" t="s">
        <v>11</v>
      </c>
      <c r="E496" t="s">
        <v>13</v>
      </c>
      <c r="F496" t="s">
        <v>729</v>
      </c>
      <c r="G496" t="s">
        <v>12</v>
      </c>
      <c r="I496" t="s">
        <v>5358</v>
      </c>
      <c r="J496" t="s">
        <v>6800</v>
      </c>
      <c r="K496">
        <v>243.17237650847369</v>
      </c>
      <c r="L496">
        <v>0.34607976561392162</v>
      </c>
      <c r="M496">
        <v>291.59763856332449</v>
      </c>
      <c r="N496">
        <v>320.75740241965696</v>
      </c>
    </row>
    <row r="497" spans="1:14">
      <c r="A497" t="s">
        <v>726</v>
      </c>
      <c r="B497" t="s">
        <v>5360</v>
      </c>
      <c r="C497" t="s">
        <v>5351</v>
      </c>
      <c r="D497" t="s">
        <v>11</v>
      </c>
      <c r="E497" t="s">
        <v>13</v>
      </c>
      <c r="F497" t="s">
        <v>729</v>
      </c>
      <c r="G497" t="s">
        <v>12</v>
      </c>
      <c r="I497" t="s">
        <v>5360</v>
      </c>
      <c r="J497" t="s">
        <v>6801</v>
      </c>
      <c r="K497">
        <v>227.014931478378</v>
      </c>
      <c r="L497">
        <v>0.37581505179974561</v>
      </c>
      <c r="M497">
        <v>239.9399661656762</v>
      </c>
      <c r="N497">
        <v>263.93396278224384</v>
      </c>
    </row>
    <row r="498" spans="1:14">
      <c r="A498" t="s">
        <v>726</v>
      </c>
      <c r="B498" t="s">
        <v>5361</v>
      </c>
      <c r="C498" t="s">
        <v>5362</v>
      </c>
      <c r="D498" t="s">
        <v>11</v>
      </c>
      <c r="E498" t="s">
        <v>13</v>
      </c>
      <c r="F498" t="s">
        <v>729</v>
      </c>
      <c r="G498" t="s">
        <v>12</v>
      </c>
      <c r="I498" t="s">
        <v>5361</v>
      </c>
      <c r="J498" t="s">
        <v>6802</v>
      </c>
      <c r="K498">
        <v>141.40047941413258</v>
      </c>
      <c r="L498">
        <v>0.37434051370714638</v>
      </c>
      <c r="M498">
        <v>450.2022574698712</v>
      </c>
      <c r="N498">
        <v>495.22248321685834</v>
      </c>
    </row>
    <row r="499" spans="1:14">
      <c r="A499" t="s">
        <v>726</v>
      </c>
      <c r="B499" t="s">
        <v>5363</v>
      </c>
      <c r="C499" t="s">
        <v>5364</v>
      </c>
      <c r="D499" t="s">
        <v>11</v>
      </c>
      <c r="E499" t="s">
        <v>13</v>
      </c>
      <c r="F499" t="s">
        <v>729</v>
      </c>
      <c r="G499" t="s">
        <v>12</v>
      </c>
      <c r="I499" t="s">
        <v>5363</v>
      </c>
      <c r="J499" t="s">
        <v>6803</v>
      </c>
      <c r="K499">
        <v>197.9038497465003</v>
      </c>
      <c r="L499">
        <v>0.30604651440249031</v>
      </c>
      <c r="M499">
        <v>285.63191702595759</v>
      </c>
      <c r="N499">
        <v>314.19510872855335</v>
      </c>
    </row>
    <row r="500" spans="1:14">
      <c r="A500" t="s">
        <v>726</v>
      </c>
      <c r="B500" t="s">
        <v>5365</v>
      </c>
      <c r="C500" t="s">
        <v>5366</v>
      </c>
      <c r="D500" t="s">
        <v>11</v>
      </c>
      <c r="E500" t="s">
        <v>13</v>
      </c>
      <c r="F500" t="s">
        <v>729</v>
      </c>
      <c r="G500" t="s">
        <v>12</v>
      </c>
      <c r="I500" t="s">
        <v>5365</v>
      </c>
      <c r="J500" t="s">
        <v>6804</v>
      </c>
      <c r="K500">
        <v>232.53337367415335</v>
      </c>
      <c r="L500">
        <v>0.31741717391387542</v>
      </c>
      <c r="M500">
        <v>752.26890804923494</v>
      </c>
      <c r="N500">
        <v>827.49579885415847</v>
      </c>
    </row>
    <row r="501" spans="1:14">
      <c r="A501" t="s">
        <v>726</v>
      </c>
      <c r="B501" t="s">
        <v>5367</v>
      </c>
      <c r="C501" t="s">
        <v>5368</v>
      </c>
      <c r="D501" t="s">
        <v>11</v>
      </c>
      <c r="E501" t="s">
        <v>13</v>
      </c>
      <c r="F501" t="s">
        <v>729</v>
      </c>
      <c r="G501" t="s">
        <v>12</v>
      </c>
      <c r="I501" t="s">
        <v>5367</v>
      </c>
      <c r="J501" t="s">
        <v>6805</v>
      </c>
      <c r="K501">
        <v>70.236572272011259</v>
      </c>
      <c r="L501">
        <v>0.24910324469348469</v>
      </c>
      <c r="M501">
        <v>740.00074163266345</v>
      </c>
      <c r="N501">
        <v>814.00081579592984</v>
      </c>
    </row>
    <row r="502" spans="1:14">
      <c r="A502" t="s">
        <v>726</v>
      </c>
      <c r="B502" t="s">
        <v>5369</v>
      </c>
      <c r="C502" t="s">
        <v>5366</v>
      </c>
      <c r="D502" t="s">
        <v>11</v>
      </c>
      <c r="E502" t="s">
        <v>13</v>
      </c>
      <c r="F502" t="s">
        <v>729</v>
      </c>
      <c r="G502" t="s">
        <v>12</v>
      </c>
      <c r="I502" t="s">
        <v>5369</v>
      </c>
      <c r="J502" t="s">
        <v>6806</v>
      </c>
      <c r="K502">
        <v>210.06546517750294</v>
      </c>
      <c r="L502">
        <v>0.33531372186213532</v>
      </c>
      <c r="M502">
        <v>1090.3846453258659</v>
      </c>
      <c r="N502">
        <v>1199.4231098584526</v>
      </c>
    </row>
    <row r="503" spans="1:14">
      <c r="A503" t="s">
        <v>726</v>
      </c>
      <c r="B503" t="s">
        <v>5370</v>
      </c>
      <c r="C503" t="s">
        <v>5368</v>
      </c>
      <c r="D503" t="s">
        <v>11</v>
      </c>
      <c r="E503" t="s">
        <v>13</v>
      </c>
      <c r="F503" t="s">
        <v>729</v>
      </c>
      <c r="G503" t="s">
        <v>12</v>
      </c>
      <c r="I503" t="s">
        <v>5370</v>
      </c>
      <c r="J503" t="s">
        <v>6807</v>
      </c>
      <c r="K503">
        <v>189.45878513909815</v>
      </c>
      <c r="L503">
        <v>0.37476214860842139</v>
      </c>
      <c r="M503">
        <v>408.43759988783893</v>
      </c>
      <c r="N503">
        <v>449.28135987662284</v>
      </c>
    </row>
    <row r="504" spans="1:14">
      <c r="A504" t="s">
        <v>726</v>
      </c>
      <c r="B504" t="s">
        <v>5371</v>
      </c>
      <c r="C504" t="s">
        <v>5368</v>
      </c>
      <c r="D504" t="s">
        <v>11</v>
      </c>
      <c r="E504" t="s">
        <v>13</v>
      </c>
      <c r="F504" t="s">
        <v>729</v>
      </c>
      <c r="G504" t="s">
        <v>12</v>
      </c>
      <c r="I504" t="s">
        <v>5371</v>
      </c>
      <c r="J504" t="s">
        <v>6808</v>
      </c>
      <c r="K504">
        <v>292.06978444228696</v>
      </c>
      <c r="L504">
        <v>0.37165210384048031</v>
      </c>
      <c r="M504">
        <v>385.40321039470132</v>
      </c>
      <c r="N504">
        <v>423.94353143417146</v>
      </c>
    </row>
    <row r="505" spans="1:14">
      <c r="A505" t="s">
        <v>726</v>
      </c>
      <c r="B505" t="s">
        <v>5372</v>
      </c>
      <c r="C505" t="s">
        <v>5373</v>
      </c>
      <c r="D505" t="s">
        <v>11</v>
      </c>
      <c r="E505" t="s">
        <v>13</v>
      </c>
      <c r="F505" t="s">
        <v>729</v>
      </c>
      <c r="G505" t="s">
        <v>12</v>
      </c>
      <c r="I505" t="s">
        <v>5372</v>
      </c>
      <c r="J505" t="s">
        <v>6809</v>
      </c>
      <c r="K505">
        <v>3.4565650521265279</v>
      </c>
      <c r="L505">
        <v>0.40007671213334878</v>
      </c>
      <c r="M505">
        <v>39.295457979380721</v>
      </c>
      <c r="N505">
        <v>43.225003777318797</v>
      </c>
    </row>
    <row r="506" spans="1:14">
      <c r="A506" t="s">
        <v>726</v>
      </c>
      <c r="B506" t="s">
        <v>5374</v>
      </c>
      <c r="C506" t="s">
        <v>5375</v>
      </c>
      <c r="D506" t="s">
        <v>11</v>
      </c>
      <c r="E506" t="s">
        <v>13</v>
      </c>
      <c r="F506" t="s">
        <v>729</v>
      </c>
      <c r="G506" t="s">
        <v>12</v>
      </c>
      <c r="I506" t="s">
        <v>5374</v>
      </c>
      <c r="J506" t="s">
        <v>6810</v>
      </c>
      <c r="K506">
        <v>2.5172256928850838</v>
      </c>
      <c r="L506">
        <v>0.25677382503733098</v>
      </c>
      <c r="M506">
        <v>37.236906685392754</v>
      </c>
      <c r="N506">
        <v>40.96059735393203</v>
      </c>
    </row>
    <row r="507" spans="1:14">
      <c r="A507" t="s">
        <v>726</v>
      </c>
      <c r="B507" t="s">
        <v>5376</v>
      </c>
      <c r="C507" t="s">
        <v>5377</v>
      </c>
      <c r="D507" t="s">
        <v>11</v>
      </c>
      <c r="E507" t="s">
        <v>13</v>
      </c>
      <c r="F507" t="s">
        <v>729</v>
      </c>
      <c r="G507" t="s">
        <v>12</v>
      </c>
      <c r="I507" t="s">
        <v>5376</v>
      </c>
      <c r="J507" t="s">
        <v>6811</v>
      </c>
      <c r="K507">
        <v>4.2500423235352827</v>
      </c>
      <c r="L507">
        <v>0.32984649292628382</v>
      </c>
      <c r="M507">
        <v>43.27381531507411</v>
      </c>
      <c r="N507">
        <v>47.601196846581523</v>
      </c>
    </row>
    <row r="508" spans="1:14">
      <c r="A508" t="s">
        <v>726</v>
      </c>
      <c r="B508" t="s">
        <v>5378</v>
      </c>
      <c r="C508" t="s">
        <v>5379</v>
      </c>
      <c r="D508" t="s">
        <v>11</v>
      </c>
      <c r="E508" t="s">
        <v>13</v>
      </c>
      <c r="F508" t="s">
        <v>729</v>
      </c>
      <c r="G508" t="s">
        <v>12</v>
      </c>
      <c r="I508" t="s">
        <v>5378</v>
      </c>
      <c r="J508" t="s">
        <v>6812</v>
      </c>
      <c r="K508">
        <v>5.5467769212223237</v>
      </c>
      <c r="L508">
        <v>9.2214095474886196E-2</v>
      </c>
      <c r="M508">
        <v>104.16707432404752</v>
      </c>
      <c r="N508">
        <v>114.58378175645228</v>
      </c>
    </row>
    <row r="509" spans="1:14">
      <c r="A509" t="s">
        <v>726</v>
      </c>
      <c r="B509" t="s">
        <v>5380</v>
      </c>
      <c r="C509" t="s">
        <v>5381</v>
      </c>
      <c r="D509" t="s">
        <v>11</v>
      </c>
      <c r="E509" t="s">
        <v>13</v>
      </c>
      <c r="F509" t="s">
        <v>729</v>
      </c>
      <c r="G509" t="s">
        <v>12</v>
      </c>
      <c r="I509" t="s">
        <v>5380</v>
      </c>
      <c r="J509" t="s">
        <v>6813</v>
      </c>
      <c r="K509">
        <v>4.1536177053434793</v>
      </c>
      <c r="L509">
        <v>0.1140120948455591</v>
      </c>
      <c r="M509">
        <v>34.653643527661686</v>
      </c>
      <c r="N509">
        <v>38.119007880427858</v>
      </c>
    </row>
    <row r="510" spans="1:14">
      <c r="A510" t="s">
        <v>726</v>
      </c>
      <c r="B510" t="s">
        <v>5382</v>
      </c>
      <c r="C510" t="s">
        <v>5383</v>
      </c>
      <c r="D510" t="s">
        <v>11</v>
      </c>
      <c r="E510" t="s">
        <v>13</v>
      </c>
      <c r="F510" t="s">
        <v>729</v>
      </c>
      <c r="G510" t="s">
        <v>12</v>
      </c>
      <c r="I510" t="s">
        <v>5382</v>
      </c>
      <c r="J510" t="s">
        <v>6814</v>
      </c>
      <c r="K510">
        <v>2.1570763921060525</v>
      </c>
      <c r="L510">
        <v>0.29590078523436242</v>
      </c>
      <c r="M510">
        <v>51.30738358930855</v>
      </c>
      <c r="N510">
        <v>56.438121948239413</v>
      </c>
    </row>
    <row r="511" spans="1:14">
      <c r="A511" t="s">
        <v>726</v>
      </c>
      <c r="B511" t="s">
        <v>5384</v>
      </c>
      <c r="C511" t="s">
        <v>5385</v>
      </c>
      <c r="D511" t="s">
        <v>11</v>
      </c>
      <c r="E511" t="s">
        <v>13</v>
      </c>
      <c r="F511" t="s">
        <v>729</v>
      </c>
      <c r="G511" t="s">
        <v>12</v>
      </c>
      <c r="I511" t="s">
        <v>5384</v>
      </c>
      <c r="J511" t="s">
        <v>6815</v>
      </c>
      <c r="K511">
        <v>4.3696993809342368</v>
      </c>
      <c r="L511">
        <v>0.31855722950696791</v>
      </c>
      <c r="M511">
        <v>57.129129430103269</v>
      </c>
      <c r="N511">
        <v>62.8420423731136</v>
      </c>
    </row>
    <row r="512" spans="1:14">
      <c r="A512" t="s">
        <v>726</v>
      </c>
      <c r="B512" t="s">
        <v>5386</v>
      </c>
      <c r="C512" t="s">
        <v>5387</v>
      </c>
      <c r="D512" t="s">
        <v>11</v>
      </c>
      <c r="E512" t="s">
        <v>13</v>
      </c>
      <c r="F512" t="s">
        <v>729</v>
      </c>
      <c r="G512" t="s">
        <v>12</v>
      </c>
      <c r="I512" t="s">
        <v>5386</v>
      </c>
      <c r="J512" t="s">
        <v>6816</v>
      </c>
      <c r="K512">
        <v>5.1029376765522692</v>
      </c>
      <c r="L512">
        <v>0.31393508744492149</v>
      </c>
      <c r="M512">
        <v>77.173924329015108</v>
      </c>
      <c r="N512">
        <v>84.891316761916627</v>
      </c>
    </row>
    <row r="513" spans="1:14">
      <c r="A513" t="s">
        <v>726</v>
      </c>
      <c r="B513" t="s">
        <v>5388</v>
      </c>
      <c r="C513" t="s">
        <v>5389</v>
      </c>
      <c r="D513" t="s">
        <v>11</v>
      </c>
      <c r="E513" t="s">
        <v>13</v>
      </c>
      <c r="F513" t="s">
        <v>729</v>
      </c>
      <c r="G513" t="s">
        <v>12</v>
      </c>
      <c r="I513" t="s">
        <v>5388</v>
      </c>
      <c r="J513" t="s">
        <v>6817</v>
      </c>
      <c r="K513">
        <v>4.1256561046109166</v>
      </c>
      <c r="L513">
        <v>0.33091954478164087</v>
      </c>
      <c r="M513">
        <v>69.509500643282308</v>
      </c>
      <c r="N513">
        <v>76.460450707610548</v>
      </c>
    </row>
    <row r="514" spans="1:14">
      <c r="A514" t="s">
        <v>726</v>
      </c>
      <c r="B514" t="s">
        <v>5390</v>
      </c>
      <c r="C514" t="s">
        <v>5391</v>
      </c>
      <c r="D514" t="s">
        <v>11</v>
      </c>
      <c r="E514" t="s">
        <v>13</v>
      </c>
      <c r="F514" t="s">
        <v>729</v>
      </c>
      <c r="G514" t="s">
        <v>12</v>
      </c>
      <c r="I514" t="s">
        <v>5390</v>
      </c>
      <c r="J514" t="s">
        <v>6818</v>
      </c>
      <c r="K514">
        <v>0.2014516086096601</v>
      </c>
      <c r="L514">
        <v>0.3130754261049114</v>
      </c>
      <c r="M514">
        <v>42.102768231127015</v>
      </c>
      <c r="N514">
        <v>46.313045054239723</v>
      </c>
    </row>
    <row r="515" spans="1:14">
      <c r="A515" t="s">
        <v>726</v>
      </c>
      <c r="B515" t="s">
        <v>5392</v>
      </c>
      <c r="C515" t="s">
        <v>5393</v>
      </c>
      <c r="D515" t="s">
        <v>11</v>
      </c>
      <c r="E515" t="s">
        <v>13</v>
      </c>
      <c r="F515" t="s">
        <v>729</v>
      </c>
      <c r="G515" t="s">
        <v>12</v>
      </c>
      <c r="I515" t="s">
        <v>5392</v>
      </c>
      <c r="J515" t="s">
        <v>6819</v>
      </c>
      <c r="K515">
        <v>3.5283052619453546E-2</v>
      </c>
      <c r="L515">
        <v>0.28917876183580588</v>
      </c>
      <c r="M515">
        <v>30.644503835780611</v>
      </c>
      <c r="N515">
        <v>33.708954219358674</v>
      </c>
    </row>
    <row r="516" spans="1:14">
      <c r="A516" t="s">
        <v>726</v>
      </c>
      <c r="B516" t="s">
        <v>5394</v>
      </c>
      <c r="C516" t="s">
        <v>5393</v>
      </c>
      <c r="D516" t="s">
        <v>11</v>
      </c>
      <c r="E516" t="s">
        <v>13</v>
      </c>
      <c r="F516" t="s">
        <v>729</v>
      </c>
      <c r="G516" t="s">
        <v>12</v>
      </c>
      <c r="I516" t="s">
        <v>5394</v>
      </c>
      <c r="J516" t="s">
        <v>6820</v>
      </c>
      <c r="K516">
        <v>1.8600756968002754E-2</v>
      </c>
      <c r="L516">
        <v>0.27448254570917752</v>
      </c>
      <c r="M516">
        <v>27.868030189170479</v>
      </c>
      <c r="N516">
        <v>30.654833208087531</v>
      </c>
    </row>
    <row r="517" spans="1:14">
      <c r="A517" t="s">
        <v>726</v>
      </c>
      <c r="B517" t="s">
        <v>5395</v>
      </c>
      <c r="C517" t="s">
        <v>5393</v>
      </c>
      <c r="D517" t="s">
        <v>11</v>
      </c>
      <c r="E517" t="s">
        <v>13</v>
      </c>
      <c r="F517" t="s">
        <v>729</v>
      </c>
      <c r="G517" t="s">
        <v>12</v>
      </c>
      <c r="I517" t="s">
        <v>5395</v>
      </c>
      <c r="J517" t="s">
        <v>6821</v>
      </c>
      <c r="K517">
        <v>5.1187174172595204E-2</v>
      </c>
      <c r="L517">
        <v>0.26971047051348901</v>
      </c>
      <c r="M517">
        <v>22.722641853111959</v>
      </c>
      <c r="N517">
        <v>24.994906038423157</v>
      </c>
    </row>
    <row r="518" spans="1:14">
      <c r="A518" t="s">
        <v>726</v>
      </c>
      <c r="B518" t="s">
        <v>5396</v>
      </c>
      <c r="C518" t="s">
        <v>5391</v>
      </c>
      <c r="D518" t="s">
        <v>11</v>
      </c>
      <c r="E518" t="s">
        <v>13</v>
      </c>
      <c r="F518" t="s">
        <v>729</v>
      </c>
      <c r="G518" t="s">
        <v>12</v>
      </c>
      <c r="I518" t="s">
        <v>5396</v>
      </c>
      <c r="J518" t="s">
        <v>6822</v>
      </c>
      <c r="K518">
        <v>4.950641015195531E-2</v>
      </c>
      <c r="L518">
        <v>0.3001844054263349</v>
      </c>
      <c r="M518">
        <v>24.632081721088177</v>
      </c>
      <c r="N518">
        <v>27.095289893196998</v>
      </c>
    </row>
    <row r="519" spans="1:14">
      <c r="A519" t="s">
        <v>726</v>
      </c>
      <c r="B519" t="s">
        <v>5397</v>
      </c>
      <c r="C519" t="s">
        <v>5398</v>
      </c>
      <c r="D519" t="s">
        <v>11</v>
      </c>
      <c r="E519" t="s">
        <v>13</v>
      </c>
      <c r="F519" t="s">
        <v>729</v>
      </c>
      <c r="G519" t="s">
        <v>12</v>
      </c>
      <c r="I519" t="s">
        <v>5397</v>
      </c>
      <c r="J519" t="s">
        <v>6823</v>
      </c>
      <c r="K519">
        <v>0.14135949618957583</v>
      </c>
      <c r="L519">
        <v>0.29507580387341309</v>
      </c>
      <c r="M519">
        <v>10.456194273842932</v>
      </c>
      <c r="N519">
        <v>11.501813701227226</v>
      </c>
    </row>
    <row r="520" spans="1:14">
      <c r="A520" t="s">
        <v>726</v>
      </c>
      <c r="B520" t="s">
        <v>5399</v>
      </c>
      <c r="C520" t="s">
        <v>5400</v>
      </c>
      <c r="D520" t="s">
        <v>11</v>
      </c>
      <c r="E520" t="s">
        <v>13</v>
      </c>
      <c r="F520" t="s">
        <v>729</v>
      </c>
      <c r="G520" t="s">
        <v>12</v>
      </c>
      <c r="I520" t="s">
        <v>5399</v>
      </c>
      <c r="J520" t="s">
        <v>6824</v>
      </c>
      <c r="K520">
        <v>1.6807504345235076</v>
      </c>
      <c r="L520">
        <v>0.36607222367509312</v>
      </c>
      <c r="M520">
        <v>66.659347329004348</v>
      </c>
      <c r="N520">
        <v>73.325282061904787</v>
      </c>
    </row>
    <row r="521" spans="1:14">
      <c r="A521" t="s">
        <v>726</v>
      </c>
      <c r="B521" t="s">
        <v>5401</v>
      </c>
      <c r="C521" t="s">
        <v>5402</v>
      </c>
      <c r="D521" t="s">
        <v>11</v>
      </c>
      <c r="E521" t="s">
        <v>13</v>
      </c>
      <c r="F521" t="s">
        <v>729</v>
      </c>
      <c r="G521" t="s">
        <v>12</v>
      </c>
      <c r="I521" t="s">
        <v>5401</v>
      </c>
      <c r="J521" t="s">
        <v>6825</v>
      </c>
      <c r="K521">
        <v>3.623952289486958</v>
      </c>
      <c r="L521">
        <v>0.30029706752001439</v>
      </c>
      <c r="M521">
        <v>155.08741897311995</v>
      </c>
      <c r="N521">
        <v>170.59616087043196</v>
      </c>
    </row>
    <row r="522" spans="1:14">
      <c r="A522" t="s">
        <v>726</v>
      </c>
      <c r="B522" t="s">
        <v>5403</v>
      </c>
      <c r="C522" t="s">
        <v>5404</v>
      </c>
      <c r="D522" t="s">
        <v>11</v>
      </c>
      <c r="E522" t="s">
        <v>13</v>
      </c>
      <c r="F522" t="s">
        <v>729</v>
      </c>
      <c r="G522" t="s">
        <v>12</v>
      </c>
      <c r="I522" t="s">
        <v>5403</v>
      </c>
      <c r="J522" t="s">
        <v>6826</v>
      </c>
      <c r="K522">
        <v>1.8472918352949439</v>
      </c>
      <c r="L522">
        <v>0.28644509791468548</v>
      </c>
      <c r="M522">
        <v>83.741617215900249</v>
      </c>
      <c r="N522">
        <v>92.115778937490276</v>
      </c>
    </row>
    <row r="523" spans="1:14">
      <c r="A523" t="s">
        <v>726</v>
      </c>
      <c r="B523" t="s">
        <v>5405</v>
      </c>
      <c r="C523" t="s">
        <v>5406</v>
      </c>
      <c r="D523" t="s">
        <v>11</v>
      </c>
      <c r="E523" t="s">
        <v>13</v>
      </c>
      <c r="F523" t="s">
        <v>729</v>
      </c>
      <c r="G523" t="s">
        <v>12</v>
      </c>
      <c r="I523" t="s">
        <v>5405</v>
      </c>
      <c r="J523" t="s">
        <v>6827</v>
      </c>
      <c r="K523">
        <v>1.4396286222557346</v>
      </c>
      <c r="L523">
        <v>0.33952143925275241</v>
      </c>
      <c r="M523">
        <v>134.62357156455934</v>
      </c>
      <c r="N523">
        <v>148.08592872101528</v>
      </c>
    </row>
    <row r="524" spans="1:14">
      <c r="A524" t="s">
        <v>726</v>
      </c>
      <c r="B524" t="s">
        <v>5407</v>
      </c>
      <c r="C524" t="s">
        <v>5408</v>
      </c>
      <c r="D524" t="s">
        <v>11</v>
      </c>
      <c r="E524" t="s">
        <v>13</v>
      </c>
      <c r="F524" t="s">
        <v>729</v>
      </c>
      <c r="G524" t="s">
        <v>12</v>
      </c>
      <c r="I524" t="s">
        <v>5407</v>
      </c>
      <c r="J524" t="s">
        <v>6828</v>
      </c>
      <c r="K524">
        <v>1.0013098293985765</v>
      </c>
      <c r="L524">
        <v>0.15390028719281981</v>
      </c>
      <c r="M524">
        <v>23.445421135435723</v>
      </c>
      <c r="N524">
        <v>25.789963248979298</v>
      </c>
    </row>
    <row r="525" spans="1:14">
      <c r="A525" t="s">
        <v>726</v>
      </c>
      <c r="B525" t="s">
        <v>5409</v>
      </c>
      <c r="C525" t="s">
        <v>5410</v>
      </c>
      <c r="D525" t="s">
        <v>11</v>
      </c>
      <c r="E525" t="s">
        <v>13</v>
      </c>
      <c r="F525" t="s">
        <v>729</v>
      </c>
      <c r="G525" t="s">
        <v>12</v>
      </c>
      <c r="I525" t="s">
        <v>5409</v>
      </c>
      <c r="J525" t="s">
        <v>6829</v>
      </c>
      <c r="K525">
        <v>17.785555507436023</v>
      </c>
      <c r="L525">
        <v>0.15717778709910829</v>
      </c>
      <c r="M525">
        <v>61.519259675604793</v>
      </c>
      <c r="N525">
        <v>67.671185643165273</v>
      </c>
    </row>
    <row r="526" spans="1:14">
      <c r="A526" t="s">
        <v>726</v>
      </c>
      <c r="B526" t="s">
        <v>5411</v>
      </c>
      <c r="C526" t="s">
        <v>5412</v>
      </c>
      <c r="D526" t="s">
        <v>11</v>
      </c>
      <c r="E526" t="s">
        <v>13</v>
      </c>
      <c r="F526" t="s">
        <v>729</v>
      </c>
      <c r="G526" t="s">
        <v>12</v>
      </c>
      <c r="I526" t="s">
        <v>5411</v>
      </c>
      <c r="J526" t="s">
        <v>6830</v>
      </c>
      <c r="K526">
        <v>22.212436817617039</v>
      </c>
      <c r="L526">
        <v>0.28101923620588759</v>
      </c>
      <c r="M526">
        <v>86.388715157772936</v>
      </c>
      <c r="N526">
        <v>95.027586673550232</v>
      </c>
    </row>
    <row r="527" spans="1:14">
      <c r="A527" t="s">
        <v>726</v>
      </c>
      <c r="B527" t="s">
        <v>5413</v>
      </c>
      <c r="C527" t="s">
        <v>5414</v>
      </c>
      <c r="D527" t="s">
        <v>11</v>
      </c>
      <c r="E527" t="s">
        <v>13</v>
      </c>
      <c r="F527" t="s">
        <v>729</v>
      </c>
      <c r="G527" t="s">
        <v>12</v>
      </c>
      <c r="I527" t="s">
        <v>5413</v>
      </c>
      <c r="J527" t="s">
        <v>6831</v>
      </c>
      <c r="K527">
        <v>64.401259536385737</v>
      </c>
      <c r="L527">
        <v>0.26182660870580038</v>
      </c>
      <c r="M527">
        <v>92.952650829839556</v>
      </c>
      <c r="N527">
        <v>102.24791591282352</v>
      </c>
    </row>
    <row r="528" spans="1:14">
      <c r="A528" t="s">
        <v>726</v>
      </c>
      <c r="B528" t="s">
        <v>5415</v>
      </c>
      <c r="C528" t="s">
        <v>5416</v>
      </c>
      <c r="D528" t="s">
        <v>11</v>
      </c>
      <c r="E528" t="s">
        <v>13</v>
      </c>
      <c r="F528" t="s">
        <v>729</v>
      </c>
      <c r="G528" t="s">
        <v>12</v>
      </c>
      <c r="I528" t="s">
        <v>5415</v>
      </c>
      <c r="J528" t="s">
        <v>6832</v>
      </c>
      <c r="K528">
        <v>74.45244814901362</v>
      </c>
      <c r="L528">
        <v>0.19330845092604321</v>
      </c>
      <c r="M528">
        <v>116.83699094599888</v>
      </c>
      <c r="N528">
        <v>128.52069004059877</v>
      </c>
    </row>
    <row r="529" spans="1:14">
      <c r="A529" t="s">
        <v>726</v>
      </c>
      <c r="B529" t="s">
        <v>5417</v>
      </c>
      <c r="C529" t="s">
        <v>5418</v>
      </c>
      <c r="D529" t="s">
        <v>11</v>
      </c>
      <c r="E529" t="s">
        <v>13</v>
      </c>
      <c r="F529" t="s">
        <v>729</v>
      </c>
      <c r="G529" t="s">
        <v>12</v>
      </c>
      <c r="I529" t="s">
        <v>5417</v>
      </c>
      <c r="J529" t="s">
        <v>6833</v>
      </c>
      <c r="K529">
        <v>4.7242947628160215</v>
      </c>
      <c r="L529">
        <v>0.2043114210965149</v>
      </c>
      <c r="M529">
        <v>29.479515883081632</v>
      </c>
      <c r="N529">
        <v>32.427467471389797</v>
      </c>
    </row>
    <row r="530" spans="1:14">
      <c r="A530" t="s">
        <v>726</v>
      </c>
      <c r="B530" t="s">
        <v>5419</v>
      </c>
      <c r="C530" t="s">
        <v>5420</v>
      </c>
      <c r="D530" t="s">
        <v>11</v>
      </c>
      <c r="E530" t="s">
        <v>13</v>
      </c>
      <c r="F530" t="s">
        <v>729</v>
      </c>
      <c r="G530" t="s">
        <v>12</v>
      </c>
      <c r="I530" t="s">
        <v>5419</v>
      </c>
      <c r="J530" t="s">
        <v>6834</v>
      </c>
      <c r="K530">
        <v>95.956282425599312</v>
      </c>
      <c r="L530">
        <v>0.32658523136596879</v>
      </c>
      <c r="M530">
        <v>92.088721931980501</v>
      </c>
      <c r="N530">
        <v>101.29759412517856</v>
      </c>
    </row>
    <row r="531" spans="1:14">
      <c r="A531" t="s">
        <v>726</v>
      </c>
      <c r="B531" t="s">
        <v>5421</v>
      </c>
      <c r="C531" t="s">
        <v>5422</v>
      </c>
      <c r="D531" t="s">
        <v>11</v>
      </c>
      <c r="E531" t="s">
        <v>13</v>
      </c>
      <c r="F531" t="s">
        <v>729</v>
      </c>
      <c r="G531" t="s">
        <v>12</v>
      </c>
      <c r="I531" t="s">
        <v>5421</v>
      </c>
      <c r="J531" t="s">
        <v>6835</v>
      </c>
      <c r="K531">
        <v>20.84694471821625</v>
      </c>
      <c r="L531">
        <v>0.23237809171541329</v>
      </c>
      <c r="M531">
        <v>44.152223020172947</v>
      </c>
      <c r="N531">
        <v>48.567445322190245</v>
      </c>
    </row>
    <row r="532" spans="1:14">
      <c r="A532" t="s">
        <v>726</v>
      </c>
      <c r="B532" t="s">
        <v>5423</v>
      </c>
      <c r="C532" t="s">
        <v>5424</v>
      </c>
      <c r="D532" t="s">
        <v>11</v>
      </c>
      <c r="E532" t="s">
        <v>13</v>
      </c>
      <c r="F532" t="s">
        <v>729</v>
      </c>
      <c r="G532" t="s">
        <v>12</v>
      </c>
      <c r="I532" t="s">
        <v>5423</v>
      </c>
      <c r="J532" t="s">
        <v>6836</v>
      </c>
      <c r="K532">
        <v>16.939566161675454</v>
      </c>
      <c r="L532">
        <v>0.26511190539887458</v>
      </c>
      <c r="M532">
        <v>34.194556299148331</v>
      </c>
      <c r="N532">
        <v>37.614011929063167</v>
      </c>
    </row>
    <row r="533" spans="1:14">
      <c r="A533" t="s">
        <v>726</v>
      </c>
      <c r="B533" t="s">
        <v>5425</v>
      </c>
      <c r="C533" t="s">
        <v>5426</v>
      </c>
      <c r="D533" t="s">
        <v>11</v>
      </c>
      <c r="E533" t="s">
        <v>13</v>
      </c>
      <c r="F533" t="s">
        <v>729</v>
      </c>
      <c r="G533" t="s">
        <v>12</v>
      </c>
      <c r="I533" t="s">
        <v>5425</v>
      </c>
      <c r="J533" t="s">
        <v>6837</v>
      </c>
      <c r="K533">
        <v>11.214137367892885</v>
      </c>
      <c r="L533">
        <v>0.2560230885261483</v>
      </c>
      <c r="M533">
        <v>21.189024173709001</v>
      </c>
      <c r="N533">
        <v>23.307926591079902</v>
      </c>
    </row>
    <row r="534" spans="1:14">
      <c r="A534" t="s">
        <v>726</v>
      </c>
      <c r="B534" t="s">
        <v>5427</v>
      </c>
      <c r="C534" t="s">
        <v>5428</v>
      </c>
      <c r="D534" t="s">
        <v>11</v>
      </c>
      <c r="E534" t="s">
        <v>13</v>
      </c>
      <c r="F534" t="s">
        <v>729</v>
      </c>
      <c r="G534" t="s">
        <v>12</v>
      </c>
      <c r="I534" t="s">
        <v>5427</v>
      </c>
      <c r="J534" t="s">
        <v>6838</v>
      </c>
      <c r="K534">
        <v>1.552653781272372</v>
      </c>
      <c r="L534">
        <v>0.1471270748302726</v>
      </c>
      <c r="M534">
        <v>14.119104453467674</v>
      </c>
      <c r="N534">
        <v>15.531014898814442</v>
      </c>
    </row>
    <row r="535" spans="1:14">
      <c r="A535" t="s">
        <v>726</v>
      </c>
      <c r="B535" t="s">
        <v>5429</v>
      </c>
      <c r="C535" t="s">
        <v>5430</v>
      </c>
      <c r="D535" t="s">
        <v>11</v>
      </c>
      <c r="E535" t="s">
        <v>13</v>
      </c>
      <c r="F535" t="s">
        <v>729</v>
      </c>
      <c r="G535" t="s">
        <v>12</v>
      </c>
      <c r="I535" t="s">
        <v>5429</v>
      </c>
      <c r="J535" t="s">
        <v>6839</v>
      </c>
      <c r="K535">
        <v>30.00687851845084</v>
      </c>
      <c r="L535">
        <v>0.16307083341621639</v>
      </c>
      <c r="M535">
        <v>23.77199619543363</v>
      </c>
      <c r="N535">
        <v>26.149195814976995</v>
      </c>
    </row>
    <row r="536" spans="1:14">
      <c r="A536" t="s">
        <v>726</v>
      </c>
      <c r="B536" t="s">
        <v>5431</v>
      </c>
      <c r="C536" t="s">
        <v>5432</v>
      </c>
      <c r="D536" t="s">
        <v>11</v>
      </c>
      <c r="E536" t="s">
        <v>13</v>
      </c>
      <c r="F536" t="s">
        <v>729</v>
      </c>
      <c r="G536" t="s">
        <v>12</v>
      </c>
      <c r="I536" t="s">
        <v>5431</v>
      </c>
      <c r="J536" t="s">
        <v>6840</v>
      </c>
      <c r="K536">
        <v>46.099990181860157</v>
      </c>
      <c r="L536">
        <v>0.18959248843968171</v>
      </c>
      <c r="M536">
        <v>28.885732877831519</v>
      </c>
      <c r="N536">
        <v>31.774306165614671</v>
      </c>
    </row>
    <row r="537" spans="1:14">
      <c r="A537" t="s">
        <v>726</v>
      </c>
      <c r="B537" t="s">
        <v>5433</v>
      </c>
      <c r="C537" t="s">
        <v>5434</v>
      </c>
      <c r="D537" t="s">
        <v>11</v>
      </c>
      <c r="E537" t="s">
        <v>13</v>
      </c>
      <c r="F537" t="s">
        <v>729</v>
      </c>
      <c r="G537" t="s">
        <v>12</v>
      </c>
      <c r="I537" t="s">
        <v>5433</v>
      </c>
      <c r="J537" t="s">
        <v>6841</v>
      </c>
      <c r="K537">
        <v>16.337836738260524</v>
      </c>
      <c r="L537">
        <v>0.15764565449915499</v>
      </c>
      <c r="M537">
        <v>37.895292361390879</v>
      </c>
      <c r="N537">
        <v>41.684821597529968</v>
      </c>
    </row>
    <row r="538" spans="1:14">
      <c r="A538" t="s">
        <v>726</v>
      </c>
      <c r="B538" t="s">
        <v>5435</v>
      </c>
      <c r="C538" t="s">
        <v>5436</v>
      </c>
      <c r="D538" t="s">
        <v>11</v>
      </c>
      <c r="E538" t="s">
        <v>13</v>
      </c>
      <c r="F538" t="s">
        <v>729</v>
      </c>
      <c r="G538" t="s">
        <v>12</v>
      </c>
      <c r="I538" t="s">
        <v>5435</v>
      </c>
      <c r="J538" t="s">
        <v>6842</v>
      </c>
      <c r="K538">
        <v>4.6325155800949922</v>
      </c>
      <c r="L538">
        <v>0.1083910954546443</v>
      </c>
      <c r="M538">
        <v>61.343414172052043</v>
      </c>
      <c r="N538">
        <v>67.477755589257256</v>
      </c>
    </row>
    <row r="539" spans="1:14">
      <c r="A539" t="s">
        <v>726</v>
      </c>
      <c r="B539" t="s">
        <v>5437</v>
      </c>
      <c r="C539" t="s">
        <v>5438</v>
      </c>
      <c r="D539" t="s">
        <v>11</v>
      </c>
      <c r="E539" t="s">
        <v>13</v>
      </c>
      <c r="F539" t="s">
        <v>729</v>
      </c>
      <c r="G539" t="s">
        <v>12</v>
      </c>
      <c r="I539" t="s">
        <v>5437</v>
      </c>
      <c r="J539" t="s">
        <v>6843</v>
      </c>
      <c r="K539">
        <v>0.90008318392017272</v>
      </c>
      <c r="L539">
        <v>0.2177681229124217</v>
      </c>
      <c r="M539">
        <v>11.025079617587693</v>
      </c>
      <c r="N539">
        <v>12.127587579346462</v>
      </c>
    </row>
    <row r="540" spans="1:14">
      <c r="A540" t="s">
        <v>726</v>
      </c>
      <c r="B540" t="s">
        <v>5439</v>
      </c>
      <c r="C540" t="s">
        <v>5440</v>
      </c>
      <c r="D540" t="s">
        <v>11</v>
      </c>
      <c r="E540" t="s">
        <v>13</v>
      </c>
      <c r="F540" t="s">
        <v>729</v>
      </c>
      <c r="G540" t="s">
        <v>12</v>
      </c>
      <c r="I540" t="s">
        <v>5439</v>
      </c>
      <c r="J540" t="s">
        <v>6844</v>
      </c>
      <c r="K540">
        <v>18.808853868576989</v>
      </c>
      <c r="L540">
        <v>0.25661830250819478</v>
      </c>
      <c r="M540">
        <v>18.931017738796431</v>
      </c>
      <c r="N540">
        <v>20.824119512676077</v>
      </c>
    </row>
    <row r="541" spans="1:14">
      <c r="A541" t="s">
        <v>726</v>
      </c>
      <c r="B541" t="s">
        <v>5441</v>
      </c>
      <c r="C541" t="s">
        <v>5442</v>
      </c>
      <c r="D541" t="s">
        <v>11</v>
      </c>
      <c r="E541" t="s">
        <v>13</v>
      </c>
      <c r="F541" t="s">
        <v>729</v>
      </c>
      <c r="G541" t="s">
        <v>12</v>
      </c>
      <c r="I541" t="s">
        <v>5441</v>
      </c>
      <c r="J541" t="s">
        <v>6845</v>
      </c>
      <c r="K541">
        <v>51.33274501354348</v>
      </c>
      <c r="L541">
        <v>0.17680903988829999</v>
      </c>
      <c r="M541">
        <v>31.494017130893699</v>
      </c>
      <c r="N541">
        <v>34.643418843983071</v>
      </c>
    </row>
    <row r="542" spans="1:14">
      <c r="A542" t="s">
        <v>726</v>
      </c>
      <c r="B542" t="s">
        <v>5443</v>
      </c>
      <c r="C542" t="s">
        <v>5444</v>
      </c>
      <c r="D542" t="s">
        <v>11</v>
      </c>
      <c r="E542" t="s">
        <v>13</v>
      </c>
      <c r="F542" t="s">
        <v>729</v>
      </c>
      <c r="G542" t="s">
        <v>12</v>
      </c>
      <c r="I542" t="s">
        <v>5443</v>
      </c>
      <c r="J542" t="s">
        <v>6846</v>
      </c>
      <c r="K542">
        <v>6.6375972052458536</v>
      </c>
      <c r="L542">
        <v>0.11663489967218189</v>
      </c>
      <c r="M542">
        <v>104.31765716765224</v>
      </c>
      <c r="N542">
        <v>114.74942288441747</v>
      </c>
    </row>
    <row r="543" spans="1:14">
      <c r="A543" t="s">
        <v>726</v>
      </c>
      <c r="B543" t="s">
        <v>5445</v>
      </c>
      <c r="C543" t="s">
        <v>5446</v>
      </c>
      <c r="D543" t="s">
        <v>11</v>
      </c>
      <c r="E543" t="s">
        <v>13</v>
      </c>
      <c r="F543" t="s">
        <v>729</v>
      </c>
      <c r="G543" t="s">
        <v>12</v>
      </c>
      <c r="I543" t="s">
        <v>5445</v>
      </c>
      <c r="J543" t="s">
        <v>6847</v>
      </c>
      <c r="K543">
        <v>17.986785008242006</v>
      </c>
      <c r="L543">
        <v>0.1563455417458775</v>
      </c>
      <c r="M543">
        <v>140.11286639995441</v>
      </c>
      <c r="N543">
        <v>154.12415303994987</v>
      </c>
    </row>
    <row r="544" spans="1:14">
      <c r="A544" t="s">
        <v>726</v>
      </c>
      <c r="B544" t="s">
        <v>5447</v>
      </c>
      <c r="C544" t="s">
        <v>5448</v>
      </c>
      <c r="D544" t="s">
        <v>11</v>
      </c>
      <c r="E544" t="s">
        <v>13</v>
      </c>
      <c r="F544" t="s">
        <v>729</v>
      </c>
      <c r="G544" t="s">
        <v>12</v>
      </c>
      <c r="I544" t="s">
        <v>5447</v>
      </c>
      <c r="J544" t="s">
        <v>6848</v>
      </c>
      <c r="K544">
        <v>98.990668542659904</v>
      </c>
      <c r="L544">
        <v>0.20579711711655049</v>
      </c>
      <c r="M544">
        <v>137.09631416783117</v>
      </c>
      <c r="N544">
        <v>150.80594558461431</v>
      </c>
    </row>
    <row r="545" spans="1:14">
      <c r="A545" t="s">
        <v>726</v>
      </c>
      <c r="B545" t="s">
        <v>5449</v>
      </c>
      <c r="C545" t="s">
        <v>5450</v>
      </c>
      <c r="D545" t="s">
        <v>11</v>
      </c>
      <c r="E545" t="s">
        <v>13</v>
      </c>
      <c r="F545" t="s">
        <v>729</v>
      </c>
      <c r="G545" t="s">
        <v>12</v>
      </c>
      <c r="I545" t="s">
        <v>5449</v>
      </c>
      <c r="J545" t="s">
        <v>6849</v>
      </c>
      <c r="K545">
        <v>50.661684929426563</v>
      </c>
      <c r="L545">
        <v>0.1394769072087394</v>
      </c>
      <c r="M545">
        <v>169.67565977805268</v>
      </c>
      <c r="N545">
        <v>186.64322575585797</v>
      </c>
    </row>
    <row r="546" spans="1:14">
      <c r="A546" t="s">
        <v>726</v>
      </c>
      <c r="B546" t="s">
        <v>5451</v>
      </c>
      <c r="C546" t="s">
        <v>5452</v>
      </c>
      <c r="D546" t="s">
        <v>11</v>
      </c>
      <c r="E546" t="s">
        <v>13</v>
      </c>
      <c r="F546" t="s">
        <v>729</v>
      </c>
      <c r="G546" t="s">
        <v>12</v>
      </c>
      <c r="I546" t="s">
        <v>5451</v>
      </c>
      <c r="J546" t="s">
        <v>6850</v>
      </c>
      <c r="K546">
        <v>76.035072817641719</v>
      </c>
      <c r="L546">
        <v>0.18124042683166269</v>
      </c>
      <c r="M546">
        <v>103.74883916791516</v>
      </c>
      <c r="N546">
        <v>114.1237230847067</v>
      </c>
    </row>
    <row r="547" spans="1:14">
      <c r="A547" t="s">
        <v>726</v>
      </c>
      <c r="B547" t="s">
        <v>5453</v>
      </c>
      <c r="C547" t="s">
        <v>5454</v>
      </c>
      <c r="D547" t="s">
        <v>11</v>
      </c>
      <c r="E547" t="s">
        <v>13</v>
      </c>
      <c r="F547" t="s">
        <v>729</v>
      </c>
      <c r="G547" t="s">
        <v>12</v>
      </c>
      <c r="I547" t="s">
        <v>5453</v>
      </c>
      <c r="J547" t="s">
        <v>6851</v>
      </c>
      <c r="K547">
        <v>12.922526408175351</v>
      </c>
      <c r="L547">
        <v>0.20200571251717281</v>
      </c>
      <c r="M547">
        <v>171.09920502570409</v>
      </c>
      <c r="N547">
        <v>188.20912552827451</v>
      </c>
    </row>
    <row r="548" spans="1:14">
      <c r="A548" t="s">
        <v>726</v>
      </c>
      <c r="B548" t="s">
        <v>5455</v>
      </c>
      <c r="C548" t="s">
        <v>5456</v>
      </c>
      <c r="D548" t="s">
        <v>11</v>
      </c>
      <c r="E548" t="s">
        <v>13</v>
      </c>
      <c r="F548" t="s">
        <v>729</v>
      </c>
      <c r="G548" t="s">
        <v>12</v>
      </c>
      <c r="I548" t="s">
        <v>5455</v>
      </c>
      <c r="J548" t="s">
        <v>6852</v>
      </c>
      <c r="K548">
        <v>12.26323880416394</v>
      </c>
      <c r="L548">
        <v>0.1545369550182043</v>
      </c>
      <c r="M548">
        <v>153.98625177345062</v>
      </c>
      <c r="N548">
        <v>169.3848769507957</v>
      </c>
    </row>
    <row r="549" spans="1:14">
      <c r="A549" t="s">
        <v>726</v>
      </c>
      <c r="B549" t="s">
        <v>5457</v>
      </c>
      <c r="C549" t="s">
        <v>5458</v>
      </c>
      <c r="D549" t="s">
        <v>11</v>
      </c>
      <c r="E549" t="s">
        <v>13</v>
      </c>
      <c r="F549" t="s">
        <v>729</v>
      </c>
      <c r="G549" t="s">
        <v>12</v>
      </c>
      <c r="I549" t="s">
        <v>5457</v>
      </c>
      <c r="J549" t="s">
        <v>6853</v>
      </c>
      <c r="K549">
        <v>63.910771494053286</v>
      </c>
      <c r="L549">
        <v>0.1913922026828043</v>
      </c>
      <c r="M549">
        <v>199.7964832173669</v>
      </c>
      <c r="N549">
        <v>219.7761315391036</v>
      </c>
    </row>
    <row r="550" spans="1:14">
      <c r="A550" t="s">
        <v>726</v>
      </c>
      <c r="B550" t="s">
        <v>5459</v>
      </c>
      <c r="C550" t="s">
        <v>5460</v>
      </c>
      <c r="D550" t="s">
        <v>11</v>
      </c>
      <c r="E550" t="s">
        <v>13</v>
      </c>
      <c r="F550" t="s">
        <v>729</v>
      </c>
      <c r="G550" t="s">
        <v>12</v>
      </c>
      <c r="I550" t="s">
        <v>5459</v>
      </c>
      <c r="J550" t="s">
        <v>6854</v>
      </c>
      <c r="K550">
        <v>32.371953488635214</v>
      </c>
      <c r="L550">
        <v>0.23656780568947749</v>
      </c>
      <c r="M550">
        <v>274.76272133990904</v>
      </c>
      <c r="N550">
        <v>302.23899347389994</v>
      </c>
    </row>
    <row r="551" spans="1:14">
      <c r="A551" t="s">
        <v>726</v>
      </c>
      <c r="B551" t="s">
        <v>5461</v>
      </c>
      <c r="C551" t="s">
        <v>5462</v>
      </c>
      <c r="D551" t="s">
        <v>11</v>
      </c>
      <c r="E551" t="s">
        <v>13</v>
      </c>
      <c r="F551" t="s">
        <v>729</v>
      </c>
      <c r="G551" t="s">
        <v>12</v>
      </c>
      <c r="I551" t="s">
        <v>5461</v>
      </c>
      <c r="J551" t="s">
        <v>6855</v>
      </c>
      <c r="K551">
        <v>87.673058741755398</v>
      </c>
      <c r="L551">
        <v>0.31751550870961792</v>
      </c>
      <c r="M551">
        <v>76.082676967677784</v>
      </c>
      <c r="N551">
        <v>83.690944664445567</v>
      </c>
    </row>
    <row r="552" spans="1:14">
      <c r="A552" t="s">
        <v>726</v>
      </c>
      <c r="B552" t="s">
        <v>5463</v>
      </c>
      <c r="C552" t="s">
        <v>5464</v>
      </c>
      <c r="D552" t="s">
        <v>11</v>
      </c>
      <c r="E552" t="s">
        <v>13</v>
      </c>
      <c r="F552" t="s">
        <v>729</v>
      </c>
      <c r="G552" t="s">
        <v>12</v>
      </c>
      <c r="I552" t="s">
        <v>5463</v>
      </c>
      <c r="J552" t="s">
        <v>6856</v>
      </c>
      <c r="K552">
        <v>3.5028466177919144</v>
      </c>
      <c r="L552">
        <v>0.1691822123620515</v>
      </c>
      <c r="M552">
        <v>78.358662634792751</v>
      </c>
      <c r="N552">
        <v>86.194528898272026</v>
      </c>
    </row>
    <row r="553" spans="1:14">
      <c r="A553" t="s">
        <v>726</v>
      </c>
      <c r="B553" t="s">
        <v>5465</v>
      </c>
      <c r="C553" t="s">
        <v>5466</v>
      </c>
      <c r="D553" t="s">
        <v>11</v>
      </c>
      <c r="E553" t="s">
        <v>13</v>
      </c>
      <c r="F553" t="s">
        <v>729</v>
      </c>
      <c r="G553" t="s">
        <v>12</v>
      </c>
      <c r="I553" t="s">
        <v>5465</v>
      </c>
      <c r="J553" t="s">
        <v>6857</v>
      </c>
      <c r="K553">
        <v>6.8703752473509567</v>
      </c>
      <c r="L553">
        <v>0.15854022856050279</v>
      </c>
      <c r="M553">
        <v>59.919781553681297</v>
      </c>
      <c r="N553">
        <v>65.911759709049434</v>
      </c>
    </row>
    <row r="554" spans="1:14">
      <c r="A554" t="s">
        <v>726</v>
      </c>
      <c r="B554" t="s">
        <v>5467</v>
      </c>
      <c r="C554" t="s">
        <v>5468</v>
      </c>
      <c r="D554" t="s">
        <v>11</v>
      </c>
      <c r="E554" t="s">
        <v>13</v>
      </c>
      <c r="F554" t="s">
        <v>729</v>
      </c>
      <c r="G554" t="s">
        <v>12</v>
      </c>
      <c r="I554" t="s">
        <v>5467</v>
      </c>
      <c r="J554" t="s">
        <v>6858</v>
      </c>
      <c r="K554">
        <v>0.4509588823045384</v>
      </c>
      <c r="L554">
        <v>1.25635289641765E-2</v>
      </c>
      <c r="M554">
        <v>37.342800194671305</v>
      </c>
      <c r="N554">
        <v>41.077080214138441</v>
      </c>
    </row>
    <row r="555" spans="1:14">
      <c r="A555" t="s">
        <v>726</v>
      </c>
      <c r="B555" t="s">
        <v>5469</v>
      </c>
      <c r="C555" t="s">
        <v>5470</v>
      </c>
      <c r="D555" t="s">
        <v>11</v>
      </c>
      <c r="E555" t="s">
        <v>13</v>
      </c>
      <c r="F555" t="s">
        <v>729</v>
      </c>
      <c r="G555" t="s">
        <v>12</v>
      </c>
      <c r="I555" t="s">
        <v>5469</v>
      </c>
      <c r="J555" t="s">
        <v>6859</v>
      </c>
      <c r="K555">
        <v>0.96441759241122882</v>
      </c>
      <c r="L555">
        <v>7.3042994071135306E-2</v>
      </c>
      <c r="M555">
        <v>23.591812636905221</v>
      </c>
      <c r="N555">
        <v>25.950993900595744</v>
      </c>
    </row>
    <row r="556" spans="1:14">
      <c r="A556" t="s">
        <v>726</v>
      </c>
      <c r="B556" t="s">
        <v>5471</v>
      </c>
      <c r="C556" t="s">
        <v>5472</v>
      </c>
      <c r="D556" t="s">
        <v>11</v>
      </c>
      <c r="E556" t="s">
        <v>13</v>
      </c>
      <c r="F556" t="s">
        <v>729</v>
      </c>
      <c r="G556" t="s">
        <v>12</v>
      </c>
      <c r="I556" t="s">
        <v>5471</v>
      </c>
      <c r="J556" t="s">
        <v>6860</v>
      </c>
      <c r="K556">
        <v>0.20086746287044407</v>
      </c>
      <c r="L556">
        <v>1.2636537624445599E-2</v>
      </c>
      <c r="M556">
        <v>20.004294285780208</v>
      </c>
      <c r="N556">
        <v>22.004723714358231</v>
      </c>
    </row>
    <row r="557" spans="1:14">
      <c r="A557" t="s">
        <v>726</v>
      </c>
      <c r="B557" t="s">
        <v>5473</v>
      </c>
      <c r="C557" t="s">
        <v>5474</v>
      </c>
      <c r="D557" t="s">
        <v>11</v>
      </c>
      <c r="E557" t="s">
        <v>13</v>
      </c>
      <c r="F557" t="s">
        <v>729</v>
      </c>
      <c r="G557" t="s">
        <v>12</v>
      </c>
      <c r="I557" t="s">
        <v>5473</v>
      </c>
      <c r="J557" t="s">
        <v>6861</v>
      </c>
      <c r="K557">
        <v>0.41517902621451325</v>
      </c>
      <c r="L557">
        <v>3.9225285819091203E-2</v>
      </c>
      <c r="M557">
        <v>23.370430910101032</v>
      </c>
      <c r="N557">
        <v>25.707474001111137</v>
      </c>
    </row>
    <row r="558" spans="1:14">
      <c r="A558" t="s">
        <v>726</v>
      </c>
      <c r="B558" t="s">
        <v>5475</v>
      </c>
      <c r="C558" t="s">
        <v>5476</v>
      </c>
      <c r="D558" t="s">
        <v>11</v>
      </c>
      <c r="E558" t="s">
        <v>13</v>
      </c>
      <c r="F558" t="s">
        <v>729</v>
      </c>
      <c r="G558" t="s">
        <v>12</v>
      </c>
      <c r="I558" t="s">
        <v>5475</v>
      </c>
      <c r="J558" t="s">
        <v>6862</v>
      </c>
      <c r="K558">
        <v>26.905063463830235</v>
      </c>
      <c r="L558">
        <v>0.15350381302371729</v>
      </c>
      <c r="M558">
        <v>32.484826196539686</v>
      </c>
      <c r="N558">
        <v>35.733308816193656</v>
      </c>
    </row>
    <row r="559" spans="1:14">
      <c r="A559" t="s">
        <v>726</v>
      </c>
      <c r="B559" t="s">
        <v>5477</v>
      </c>
      <c r="C559" t="s">
        <v>5478</v>
      </c>
      <c r="D559" t="s">
        <v>11</v>
      </c>
      <c r="E559" t="s">
        <v>13</v>
      </c>
      <c r="F559" t="s">
        <v>729</v>
      </c>
      <c r="G559" t="s">
        <v>12</v>
      </c>
      <c r="I559" t="s">
        <v>5477</v>
      </c>
      <c r="J559" t="s">
        <v>6863</v>
      </c>
      <c r="K559">
        <v>10.783511029128354</v>
      </c>
      <c r="L559">
        <v>0.1426621951395998</v>
      </c>
      <c r="M559">
        <v>34.254064303831029</v>
      </c>
      <c r="N559">
        <v>37.679470734214135</v>
      </c>
    </row>
    <row r="560" spans="1:14">
      <c r="A560" t="s">
        <v>726</v>
      </c>
      <c r="B560" t="s">
        <v>5479</v>
      </c>
      <c r="C560" t="s">
        <v>5480</v>
      </c>
      <c r="D560" t="s">
        <v>11</v>
      </c>
      <c r="E560" t="s">
        <v>13</v>
      </c>
      <c r="F560" t="s">
        <v>729</v>
      </c>
      <c r="G560" t="s">
        <v>12</v>
      </c>
      <c r="I560" t="s">
        <v>5479</v>
      </c>
      <c r="J560" t="s">
        <v>6864</v>
      </c>
      <c r="K560">
        <v>130.63084731569217</v>
      </c>
      <c r="L560">
        <v>0.27456977262498172</v>
      </c>
      <c r="M560">
        <v>76.190141098410933</v>
      </c>
      <c r="N560">
        <v>83.809155208252037</v>
      </c>
    </row>
    <row r="561" spans="1:14">
      <c r="A561" t="s">
        <v>726</v>
      </c>
      <c r="B561" t="s">
        <v>5481</v>
      </c>
      <c r="C561" t="s">
        <v>5482</v>
      </c>
      <c r="D561" t="s">
        <v>11</v>
      </c>
      <c r="E561" t="s">
        <v>13</v>
      </c>
      <c r="F561" t="s">
        <v>729</v>
      </c>
      <c r="G561" t="s">
        <v>12</v>
      </c>
      <c r="I561" t="s">
        <v>5481</v>
      </c>
      <c r="J561" t="s">
        <v>6865</v>
      </c>
      <c r="K561">
        <v>68.453062113206627</v>
      </c>
      <c r="L561">
        <v>0.23539787887257249</v>
      </c>
      <c r="M561">
        <v>60.403052658732811</v>
      </c>
      <c r="N561">
        <v>66.443357924606104</v>
      </c>
    </row>
    <row r="562" spans="1:14">
      <c r="A562" t="s">
        <v>726</v>
      </c>
      <c r="B562" t="s">
        <v>5483</v>
      </c>
      <c r="C562" t="s">
        <v>5484</v>
      </c>
      <c r="D562" t="s">
        <v>11</v>
      </c>
      <c r="E562" t="s">
        <v>13</v>
      </c>
      <c r="F562" t="s">
        <v>729</v>
      </c>
      <c r="G562" t="s">
        <v>12</v>
      </c>
      <c r="I562" t="s">
        <v>5483</v>
      </c>
      <c r="J562" t="s">
        <v>6866</v>
      </c>
      <c r="K562">
        <v>11.743887323902941</v>
      </c>
      <c r="L562">
        <v>0.1662109296761414</v>
      </c>
      <c r="M562">
        <v>30.891602330204481</v>
      </c>
      <c r="N562">
        <v>33.980762563224935</v>
      </c>
    </row>
    <row r="563" spans="1:14">
      <c r="A563" t="s">
        <v>726</v>
      </c>
      <c r="B563" t="s">
        <v>5485</v>
      </c>
      <c r="C563" t="s">
        <v>5486</v>
      </c>
      <c r="D563" t="s">
        <v>11</v>
      </c>
      <c r="E563" t="s">
        <v>13</v>
      </c>
      <c r="F563" t="s">
        <v>729</v>
      </c>
      <c r="G563" t="s">
        <v>12</v>
      </c>
      <c r="I563" t="s">
        <v>5485</v>
      </c>
      <c r="J563" t="s">
        <v>6867</v>
      </c>
      <c r="K563">
        <v>144.21540570327321</v>
      </c>
      <c r="L563">
        <v>0.35229573145884352</v>
      </c>
      <c r="M563">
        <v>812.51741062536826</v>
      </c>
      <c r="N563">
        <v>893.76915168790515</v>
      </c>
    </row>
    <row r="564" spans="1:14">
      <c r="A564" t="s">
        <v>726</v>
      </c>
      <c r="B564" t="s">
        <v>5487</v>
      </c>
      <c r="C564" t="s">
        <v>5486</v>
      </c>
      <c r="D564" t="s">
        <v>11</v>
      </c>
      <c r="E564" t="s">
        <v>13</v>
      </c>
      <c r="F564" t="s">
        <v>729</v>
      </c>
      <c r="G564" t="s">
        <v>12</v>
      </c>
      <c r="I564" t="s">
        <v>5487</v>
      </c>
      <c r="J564" t="s">
        <v>6868</v>
      </c>
      <c r="K564">
        <v>134.82677350431842</v>
      </c>
      <c r="L564">
        <v>0.35011471431780328</v>
      </c>
      <c r="M564">
        <v>606.09891991258223</v>
      </c>
      <c r="N564">
        <v>666.70881190384046</v>
      </c>
    </row>
    <row r="565" spans="1:14">
      <c r="A565" t="s">
        <v>726</v>
      </c>
      <c r="B565" t="s">
        <v>5488</v>
      </c>
      <c r="C565" t="s">
        <v>5489</v>
      </c>
      <c r="D565" t="s">
        <v>11</v>
      </c>
      <c r="E565" t="s">
        <v>13</v>
      </c>
      <c r="F565" t="s">
        <v>729</v>
      </c>
      <c r="G565" t="s">
        <v>12</v>
      </c>
      <c r="I565" t="s">
        <v>5488</v>
      </c>
      <c r="J565" t="s">
        <v>6869</v>
      </c>
      <c r="K565">
        <v>75.822987357263344</v>
      </c>
      <c r="L565">
        <v>0.30592910952811808</v>
      </c>
      <c r="M565">
        <v>162.89534395754842</v>
      </c>
      <c r="N565">
        <v>179.18487835330328</v>
      </c>
    </row>
    <row r="566" spans="1:14">
      <c r="A566" t="s">
        <v>726</v>
      </c>
      <c r="B566" t="s">
        <v>5490</v>
      </c>
      <c r="C566" t="s">
        <v>5491</v>
      </c>
      <c r="D566" t="s">
        <v>11</v>
      </c>
      <c r="E566" t="s">
        <v>13</v>
      </c>
      <c r="F566" t="s">
        <v>729</v>
      </c>
      <c r="G566" t="s">
        <v>12</v>
      </c>
      <c r="I566" t="s">
        <v>5490</v>
      </c>
      <c r="J566" t="s">
        <v>6870</v>
      </c>
      <c r="K566">
        <v>136.26953318041421</v>
      </c>
      <c r="L566">
        <v>0.31555389961691449</v>
      </c>
      <c r="M566">
        <v>370.01723598888452</v>
      </c>
      <c r="N566">
        <v>407.018959587773</v>
      </c>
    </row>
    <row r="567" spans="1:14">
      <c r="A567" t="s">
        <v>726</v>
      </c>
      <c r="B567" t="s">
        <v>5492</v>
      </c>
      <c r="C567" t="s">
        <v>5493</v>
      </c>
      <c r="D567" t="s">
        <v>11</v>
      </c>
      <c r="E567" t="s">
        <v>13</v>
      </c>
      <c r="F567" t="s">
        <v>729</v>
      </c>
      <c r="G567" t="s">
        <v>12</v>
      </c>
      <c r="I567" t="s">
        <v>5492</v>
      </c>
      <c r="J567" t="s">
        <v>6871</v>
      </c>
      <c r="K567">
        <v>155.02642313725713</v>
      </c>
      <c r="L567">
        <v>0.34557677112770202</v>
      </c>
      <c r="M567">
        <v>145.44253468834225</v>
      </c>
      <c r="N567">
        <v>159.98678815717648</v>
      </c>
    </row>
    <row r="568" spans="1:14">
      <c r="A568" t="s">
        <v>726</v>
      </c>
      <c r="B568" t="s">
        <v>5494</v>
      </c>
      <c r="C568" t="s">
        <v>5486</v>
      </c>
      <c r="D568" t="s">
        <v>11</v>
      </c>
      <c r="E568" t="s">
        <v>13</v>
      </c>
      <c r="F568" t="s">
        <v>729</v>
      </c>
      <c r="G568" t="s">
        <v>12</v>
      </c>
      <c r="I568" t="s">
        <v>5494</v>
      </c>
      <c r="J568" t="s">
        <v>6872</v>
      </c>
      <c r="K568">
        <v>220.12838329566918</v>
      </c>
      <c r="L568">
        <v>0.35666786398175188</v>
      </c>
      <c r="M568">
        <v>326.35760735482245</v>
      </c>
      <c r="N568">
        <v>358.99336809030473</v>
      </c>
    </row>
    <row r="569" spans="1:14">
      <c r="A569" t="s">
        <v>726</v>
      </c>
      <c r="B569" t="s">
        <v>5495</v>
      </c>
      <c r="C569" t="s">
        <v>5493</v>
      </c>
      <c r="D569" t="s">
        <v>11</v>
      </c>
      <c r="E569" t="s">
        <v>13</v>
      </c>
      <c r="F569" t="s">
        <v>729</v>
      </c>
      <c r="G569" t="s">
        <v>12</v>
      </c>
      <c r="I569" t="s">
        <v>5495</v>
      </c>
      <c r="J569" t="s">
        <v>6873</v>
      </c>
      <c r="K569">
        <v>165.1245835591296</v>
      </c>
      <c r="L569">
        <v>0.34597836623643952</v>
      </c>
      <c r="M569">
        <v>456.28673551342428</v>
      </c>
      <c r="N569">
        <v>501.91540906476672</v>
      </c>
    </row>
    <row r="570" spans="1:14">
      <c r="A570" t="s">
        <v>726</v>
      </c>
      <c r="B570" t="s">
        <v>5496</v>
      </c>
      <c r="C570" t="s">
        <v>5497</v>
      </c>
      <c r="D570" t="s">
        <v>11</v>
      </c>
      <c r="E570" t="s">
        <v>13</v>
      </c>
      <c r="F570" t="s">
        <v>729</v>
      </c>
      <c r="G570" t="s">
        <v>12</v>
      </c>
      <c r="I570" t="s">
        <v>5496</v>
      </c>
      <c r="J570" t="s">
        <v>6874</v>
      </c>
      <c r="K570">
        <v>21.334611165224601</v>
      </c>
      <c r="L570">
        <v>0.15161207071242311</v>
      </c>
      <c r="M570">
        <v>181.24765354003361</v>
      </c>
      <c r="N570">
        <v>199.372418894037</v>
      </c>
    </row>
    <row r="571" spans="1:14">
      <c r="A571" t="s">
        <v>726</v>
      </c>
      <c r="B571" t="s">
        <v>5498</v>
      </c>
      <c r="C571" t="s">
        <v>5499</v>
      </c>
      <c r="D571" t="s">
        <v>11</v>
      </c>
      <c r="E571" t="s">
        <v>13</v>
      </c>
      <c r="F571" t="s">
        <v>729</v>
      </c>
      <c r="G571" t="s">
        <v>12</v>
      </c>
      <c r="I571" t="s">
        <v>5498</v>
      </c>
      <c r="J571" t="s">
        <v>6875</v>
      </c>
      <c r="K571">
        <v>12.100025063384466</v>
      </c>
      <c r="L571">
        <v>0.10419321156239809</v>
      </c>
      <c r="M571">
        <v>57.071623011532189</v>
      </c>
      <c r="N571">
        <v>62.778785312685415</v>
      </c>
    </row>
    <row r="572" spans="1:14">
      <c r="A572" t="s">
        <v>726</v>
      </c>
      <c r="B572" t="s">
        <v>5500</v>
      </c>
      <c r="C572" t="s">
        <v>5501</v>
      </c>
      <c r="D572" t="s">
        <v>11</v>
      </c>
      <c r="E572" t="s">
        <v>13</v>
      </c>
      <c r="F572" t="s">
        <v>729</v>
      </c>
      <c r="G572" t="s">
        <v>12</v>
      </c>
      <c r="I572" t="s">
        <v>5500</v>
      </c>
      <c r="J572" t="s">
        <v>6876</v>
      </c>
      <c r="K572">
        <v>31.601359915421011</v>
      </c>
      <c r="L572">
        <v>0.12469760494894259</v>
      </c>
      <c r="M572">
        <v>57.055490800944582</v>
      </c>
      <c r="N572">
        <v>62.761039881039046</v>
      </c>
    </row>
    <row r="573" spans="1:14">
      <c r="A573" t="s">
        <v>726</v>
      </c>
      <c r="B573" t="s">
        <v>5502</v>
      </c>
      <c r="C573" t="s">
        <v>5503</v>
      </c>
      <c r="D573" t="s">
        <v>11</v>
      </c>
      <c r="E573" t="s">
        <v>13</v>
      </c>
      <c r="F573" t="s">
        <v>729</v>
      </c>
      <c r="G573" t="s">
        <v>12</v>
      </c>
      <c r="I573" t="s">
        <v>5502</v>
      </c>
      <c r="J573" t="s">
        <v>6877</v>
      </c>
      <c r="K573">
        <v>5.7449480772077672</v>
      </c>
      <c r="L573">
        <v>0.12858942897934661</v>
      </c>
      <c r="M573">
        <v>58.672088365890538</v>
      </c>
      <c r="N573">
        <v>64.539297202479602</v>
      </c>
    </row>
    <row r="574" spans="1:14">
      <c r="A574" t="s">
        <v>726</v>
      </c>
      <c r="B574" t="s">
        <v>5504</v>
      </c>
      <c r="C574" t="s">
        <v>5505</v>
      </c>
      <c r="D574" t="s">
        <v>11</v>
      </c>
      <c r="E574" t="s">
        <v>13</v>
      </c>
      <c r="F574" t="s">
        <v>729</v>
      </c>
      <c r="G574" t="s">
        <v>12</v>
      </c>
      <c r="I574" t="s">
        <v>5504</v>
      </c>
      <c r="J574" t="s">
        <v>6878</v>
      </c>
      <c r="K574">
        <v>22.324714383704439</v>
      </c>
      <c r="L574">
        <v>0.1103715608304626</v>
      </c>
      <c r="M574">
        <v>55.818676501236482</v>
      </c>
      <c r="N574">
        <v>61.400544151360137</v>
      </c>
    </row>
    <row r="575" spans="1:14">
      <c r="A575" t="s">
        <v>726</v>
      </c>
      <c r="B575" t="s">
        <v>5506</v>
      </c>
      <c r="C575" t="s">
        <v>5507</v>
      </c>
      <c r="D575" t="s">
        <v>11</v>
      </c>
      <c r="E575" t="s">
        <v>13</v>
      </c>
      <c r="F575" t="s">
        <v>729</v>
      </c>
      <c r="G575" t="s">
        <v>12</v>
      </c>
      <c r="I575" t="s">
        <v>5506</v>
      </c>
      <c r="J575" t="s">
        <v>6879</v>
      </c>
      <c r="K575">
        <v>7.2447182710600444</v>
      </c>
      <c r="L575">
        <v>9.4710155910768007E-2</v>
      </c>
      <c r="M575">
        <v>53.406480655718148</v>
      </c>
      <c r="N575">
        <v>58.747128721289968</v>
      </c>
    </row>
    <row r="576" spans="1:14">
      <c r="A576" t="s">
        <v>726</v>
      </c>
      <c r="B576" t="s">
        <v>5508</v>
      </c>
      <c r="C576" t="s">
        <v>5509</v>
      </c>
      <c r="D576" t="s">
        <v>11</v>
      </c>
      <c r="E576" t="s">
        <v>13</v>
      </c>
      <c r="F576" t="s">
        <v>729</v>
      </c>
      <c r="G576" t="s">
        <v>12</v>
      </c>
      <c r="I576" t="s">
        <v>5508</v>
      </c>
      <c r="J576" t="s">
        <v>6880</v>
      </c>
      <c r="K576">
        <v>1.419741479173271</v>
      </c>
      <c r="L576">
        <v>7.42167096595302E-2</v>
      </c>
      <c r="M576">
        <v>34.969717422807364</v>
      </c>
      <c r="N576">
        <v>38.466689165088106</v>
      </c>
    </row>
    <row r="577" spans="1:14">
      <c r="A577" t="s">
        <v>726</v>
      </c>
      <c r="B577" t="s">
        <v>5510</v>
      </c>
      <c r="C577" t="s">
        <v>5511</v>
      </c>
      <c r="D577" t="s">
        <v>11</v>
      </c>
      <c r="E577" t="s">
        <v>13</v>
      </c>
      <c r="F577" t="s">
        <v>729</v>
      </c>
      <c r="G577" t="s">
        <v>12</v>
      </c>
      <c r="I577" t="s">
        <v>5510</v>
      </c>
      <c r="J577" t="s">
        <v>6881</v>
      </c>
      <c r="K577">
        <v>0.11507367879661569</v>
      </c>
      <c r="L577">
        <v>3.3152493594885299E-2</v>
      </c>
      <c r="M577">
        <v>21.914153221788105</v>
      </c>
      <c r="N577">
        <v>24.105568543966918</v>
      </c>
    </row>
    <row r="578" spans="1:14">
      <c r="A578" t="s">
        <v>726</v>
      </c>
      <c r="B578" t="s">
        <v>5512</v>
      </c>
      <c r="C578" t="s">
        <v>5513</v>
      </c>
      <c r="D578" t="s">
        <v>11</v>
      </c>
      <c r="E578" t="s">
        <v>13</v>
      </c>
      <c r="F578" t="s">
        <v>729</v>
      </c>
      <c r="G578" t="s">
        <v>12</v>
      </c>
      <c r="I578" t="s">
        <v>5512</v>
      </c>
      <c r="J578" t="s">
        <v>6882</v>
      </c>
      <c r="K578">
        <v>0.12995503187258606</v>
      </c>
      <c r="L578">
        <v>0.10171142795104871</v>
      </c>
      <c r="M578">
        <v>20.208811169359095</v>
      </c>
      <c r="N578">
        <v>22.229692286295005</v>
      </c>
    </row>
    <row r="579" spans="1:14">
      <c r="A579" t="s">
        <v>726</v>
      </c>
      <c r="B579" t="s">
        <v>5514</v>
      </c>
      <c r="C579" t="s">
        <v>5515</v>
      </c>
      <c r="D579" t="s">
        <v>11</v>
      </c>
      <c r="E579" t="s">
        <v>13</v>
      </c>
      <c r="F579" t="s">
        <v>729</v>
      </c>
      <c r="G579" t="s">
        <v>12</v>
      </c>
      <c r="I579" t="s">
        <v>5514</v>
      </c>
      <c r="J579" t="s">
        <v>6883</v>
      </c>
      <c r="K579">
        <v>484.64833840987239</v>
      </c>
      <c r="L579">
        <v>0.37158919540548269</v>
      </c>
      <c r="M579">
        <v>454.97874200607919</v>
      </c>
      <c r="N579">
        <v>500.47661620668714</v>
      </c>
    </row>
    <row r="580" spans="1:14">
      <c r="A580" t="s">
        <v>726</v>
      </c>
      <c r="B580" t="s">
        <v>5516</v>
      </c>
      <c r="C580" t="s">
        <v>5517</v>
      </c>
      <c r="D580" t="s">
        <v>11</v>
      </c>
      <c r="E580" t="s">
        <v>13</v>
      </c>
      <c r="F580" t="s">
        <v>729</v>
      </c>
      <c r="G580" t="s">
        <v>12</v>
      </c>
      <c r="I580" t="s">
        <v>5516</v>
      </c>
      <c r="J580" t="s">
        <v>6884</v>
      </c>
      <c r="K580">
        <v>45.042959146751436</v>
      </c>
      <c r="L580">
        <v>0.2193158803699006</v>
      </c>
      <c r="M580">
        <v>392.56924314789148</v>
      </c>
      <c r="N580">
        <v>431.82616746268064</v>
      </c>
    </row>
    <row r="581" spans="1:14">
      <c r="A581" t="s">
        <v>726</v>
      </c>
      <c r="B581" t="s">
        <v>5518</v>
      </c>
      <c r="C581" t="s">
        <v>5519</v>
      </c>
      <c r="D581" t="s">
        <v>11</v>
      </c>
      <c r="E581" t="s">
        <v>13</v>
      </c>
      <c r="F581" t="s">
        <v>729</v>
      </c>
      <c r="G581" t="s">
        <v>12</v>
      </c>
      <c r="I581" t="s">
        <v>5518</v>
      </c>
      <c r="J581" t="s">
        <v>6885</v>
      </c>
      <c r="K581">
        <v>199.34687324326188</v>
      </c>
      <c r="L581">
        <v>0.35460120412285118</v>
      </c>
      <c r="M581">
        <v>666.95876135108904</v>
      </c>
      <c r="N581">
        <v>733.654637486198</v>
      </c>
    </row>
    <row r="582" spans="1:14">
      <c r="A582" t="s">
        <v>726</v>
      </c>
      <c r="B582" t="s">
        <v>5520</v>
      </c>
      <c r="C582" t="s">
        <v>5521</v>
      </c>
      <c r="D582" t="s">
        <v>11</v>
      </c>
      <c r="E582" t="s">
        <v>13</v>
      </c>
      <c r="F582" t="s">
        <v>729</v>
      </c>
      <c r="G582" t="s">
        <v>12</v>
      </c>
      <c r="I582" t="s">
        <v>5520</v>
      </c>
      <c r="J582" t="s">
        <v>6886</v>
      </c>
      <c r="K582">
        <v>179.40750281942869</v>
      </c>
      <c r="L582">
        <v>0.37170006353425689</v>
      </c>
      <c r="M582">
        <v>1030.4654780400724</v>
      </c>
      <c r="N582">
        <v>1133.5120258440797</v>
      </c>
    </row>
    <row r="583" spans="1:14">
      <c r="A583" t="s">
        <v>726</v>
      </c>
      <c r="B583" t="s">
        <v>5522</v>
      </c>
      <c r="C583" t="s">
        <v>5523</v>
      </c>
      <c r="D583" t="s">
        <v>11</v>
      </c>
      <c r="E583" t="s">
        <v>13</v>
      </c>
      <c r="F583" t="s">
        <v>729</v>
      </c>
      <c r="G583" t="s">
        <v>12</v>
      </c>
      <c r="I583" t="s">
        <v>5522</v>
      </c>
      <c r="J583" t="s">
        <v>6887</v>
      </c>
      <c r="K583">
        <v>16.739161805636627</v>
      </c>
      <c r="L583">
        <v>0.10023030298662761</v>
      </c>
      <c r="M583">
        <v>1120.0915451192373</v>
      </c>
      <c r="N583">
        <v>1232.100699631161</v>
      </c>
    </row>
    <row r="584" spans="1:14">
      <c r="A584" t="s">
        <v>726</v>
      </c>
      <c r="B584" t="s">
        <v>5524</v>
      </c>
      <c r="C584" t="s">
        <v>5525</v>
      </c>
      <c r="D584" t="s">
        <v>11</v>
      </c>
      <c r="E584" t="s">
        <v>13</v>
      </c>
      <c r="F584" t="s">
        <v>729</v>
      </c>
      <c r="G584" t="s">
        <v>12</v>
      </c>
      <c r="I584" t="s">
        <v>5524</v>
      </c>
      <c r="J584" t="s">
        <v>6888</v>
      </c>
      <c r="K584">
        <v>26.22221088181648</v>
      </c>
      <c r="L584">
        <v>0.116554036936516</v>
      </c>
      <c r="M584">
        <v>612.20051485385329</v>
      </c>
      <c r="N584">
        <v>673.42056633923869</v>
      </c>
    </row>
    <row r="585" spans="1:14">
      <c r="A585" t="s">
        <v>726</v>
      </c>
      <c r="B585" t="s">
        <v>5526</v>
      </c>
      <c r="C585" t="s">
        <v>5527</v>
      </c>
      <c r="D585" t="s">
        <v>11</v>
      </c>
      <c r="E585" t="s">
        <v>13</v>
      </c>
      <c r="F585" t="s">
        <v>729</v>
      </c>
      <c r="G585" t="s">
        <v>12</v>
      </c>
      <c r="I585" t="s">
        <v>5526</v>
      </c>
      <c r="J585" t="s">
        <v>6889</v>
      </c>
      <c r="K585">
        <v>38.616297745578109</v>
      </c>
      <c r="L585">
        <v>0.12696119125459401</v>
      </c>
      <c r="M585">
        <v>714.02465120673253</v>
      </c>
      <c r="N585">
        <v>785.42711632740588</v>
      </c>
    </row>
    <row r="586" spans="1:14">
      <c r="A586" t="s">
        <v>726</v>
      </c>
      <c r="B586" t="s">
        <v>5528</v>
      </c>
      <c r="C586" t="s">
        <v>5529</v>
      </c>
      <c r="D586" t="s">
        <v>11</v>
      </c>
      <c r="E586" t="s">
        <v>13</v>
      </c>
      <c r="F586" t="s">
        <v>729</v>
      </c>
      <c r="G586" t="s">
        <v>12</v>
      </c>
      <c r="I586" t="s">
        <v>5528</v>
      </c>
      <c r="J586" t="s">
        <v>6890</v>
      </c>
      <c r="K586">
        <v>343.86089015893168</v>
      </c>
      <c r="L586">
        <v>0.33004534560402438</v>
      </c>
      <c r="M586">
        <v>714.10335673959059</v>
      </c>
      <c r="N586">
        <v>785.51369241354973</v>
      </c>
    </row>
    <row r="587" spans="1:14">
      <c r="A587" t="s">
        <v>726</v>
      </c>
      <c r="B587" t="s">
        <v>5530</v>
      </c>
      <c r="C587" t="s">
        <v>5525</v>
      </c>
      <c r="D587" t="s">
        <v>11</v>
      </c>
      <c r="E587" t="s">
        <v>13</v>
      </c>
      <c r="F587" t="s">
        <v>729</v>
      </c>
      <c r="G587" t="s">
        <v>12</v>
      </c>
      <c r="I587" t="s">
        <v>5530</v>
      </c>
      <c r="J587" t="s">
        <v>6891</v>
      </c>
      <c r="K587">
        <v>141.66031011968474</v>
      </c>
      <c r="L587">
        <v>0.1531435862209686</v>
      </c>
      <c r="M587">
        <v>853.23884028447878</v>
      </c>
      <c r="N587">
        <v>938.56272431292678</v>
      </c>
    </row>
    <row r="588" spans="1:14">
      <c r="A588" t="s">
        <v>726</v>
      </c>
      <c r="B588" t="s">
        <v>5531</v>
      </c>
      <c r="C588" t="s">
        <v>5532</v>
      </c>
      <c r="D588" t="s">
        <v>11</v>
      </c>
      <c r="E588" t="s">
        <v>13</v>
      </c>
      <c r="F588" t="s">
        <v>729</v>
      </c>
      <c r="G588" t="s">
        <v>12</v>
      </c>
      <c r="I588" t="s">
        <v>5531</v>
      </c>
      <c r="J588" t="s">
        <v>6892</v>
      </c>
      <c r="K588">
        <v>19.17166993691006</v>
      </c>
      <c r="L588">
        <v>0.1455715458685137</v>
      </c>
      <c r="M588">
        <v>167.92907315770722</v>
      </c>
      <c r="N588">
        <v>184.72198047347797</v>
      </c>
    </row>
    <row r="589" spans="1:14">
      <c r="A589" t="s">
        <v>726</v>
      </c>
      <c r="B589" t="s">
        <v>5533</v>
      </c>
      <c r="C589" t="s">
        <v>5534</v>
      </c>
      <c r="D589" t="s">
        <v>11</v>
      </c>
      <c r="E589" t="s">
        <v>13</v>
      </c>
      <c r="F589" t="s">
        <v>729</v>
      </c>
      <c r="G589" t="s">
        <v>12</v>
      </c>
      <c r="I589" t="s">
        <v>5533</v>
      </c>
      <c r="J589" t="s">
        <v>6893</v>
      </c>
      <c r="K589">
        <v>87.395617836443179</v>
      </c>
      <c r="L589">
        <v>0.18255544900266071</v>
      </c>
      <c r="M589">
        <v>188.75226303950748</v>
      </c>
      <c r="N589">
        <v>207.62748934345825</v>
      </c>
    </row>
    <row r="590" spans="1:14">
      <c r="A590" t="s">
        <v>726</v>
      </c>
      <c r="B590" t="s">
        <v>5535</v>
      </c>
      <c r="C590" t="s">
        <v>5536</v>
      </c>
      <c r="D590" t="s">
        <v>11</v>
      </c>
      <c r="E590" t="s">
        <v>13</v>
      </c>
      <c r="F590" t="s">
        <v>729</v>
      </c>
      <c r="G590" t="s">
        <v>12</v>
      </c>
      <c r="I590" t="s">
        <v>5535</v>
      </c>
      <c r="J590" t="s">
        <v>6894</v>
      </c>
      <c r="K590">
        <v>130.64721041108629</v>
      </c>
      <c r="L590">
        <v>0.1813939060276735</v>
      </c>
      <c r="M590">
        <v>445.49660953215999</v>
      </c>
      <c r="N590">
        <v>490.04627048537606</v>
      </c>
    </row>
    <row r="591" spans="1:14">
      <c r="A591" t="s">
        <v>726</v>
      </c>
      <c r="B591" t="s">
        <v>5537</v>
      </c>
      <c r="C591" t="s">
        <v>5538</v>
      </c>
      <c r="D591" t="s">
        <v>11</v>
      </c>
      <c r="E591" t="s">
        <v>13</v>
      </c>
      <c r="F591" t="s">
        <v>729</v>
      </c>
      <c r="G591" t="s">
        <v>12</v>
      </c>
      <c r="I591" t="s">
        <v>5537</v>
      </c>
      <c r="J591" t="s">
        <v>6895</v>
      </c>
      <c r="K591">
        <v>64.062212644944154</v>
      </c>
      <c r="L591">
        <v>0.14907381384294779</v>
      </c>
      <c r="M591">
        <v>186.4112750065913</v>
      </c>
      <c r="N591">
        <v>205.05240250725043</v>
      </c>
    </row>
    <row r="592" spans="1:14">
      <c r="A592" t="s">
        <v>726</v>
      </c>
      <c r="B592" t="s">
        <v>5539</v>
      </c>
      <c r="C592" t="s">
        <v>5540</v>
      </c>
      <c r="D592" t="s">
        <v>11</v>
      </c>
      <c r="E592" t="s">
        <v>13</v>
      </c>
      <c r="F592" t="s">
        <v>729</v>
      </c>
      <c r="G592" t="s">
        <v>12</v>
      </c>
      <c r="I592" t="s">
        <v>5539</v>
      </c>
      <c r="J592" t="s">
        <v>6896</v>
      </c>
      <c r="K592">
        <v>4.1561593237995194</v>
      </c>
      <c r="L592">
        <v>0.26091964558159519</v>
      </c>
      <c r="M592">
        <v>79.721413726104231</v>
      </c>
      <c r="N592">
        <v>87.693555098714654</v>
      </c>
    </row>
    <row r="593" spans="1:14">
      <c r="A593" t="s">
        <v>726</v>
      </c>
      <c r="B593" t="s">
        <v>5541</v>
      </c>
      <c r="C593" t="s">
        <v>5542</v>
      </c>
      <c r="D593" t="s">
        <v>11</v>
      </c>
      <c r="E593" t="s">
        <v>13</v>
      </c>
      <c r="F593" t="s">
        <v>729</v>
      </c>
      <c r="G593" t="s">
        <v>12</v>
      </c>
      <c r="I593" t="s">
        <v>5541</v>
      </c>
      <c r="J593" t="s">
        <v>6897</v>
      </c>
      <c r="K593">
        <v>27.212433689062014</v>
      </c>
      <c r="L593">
        <v>0.24328487850448799</v>
      </c>
      <c r="M593">
        <v>276.0442115350254</v>
      </c>
      <c r="N593">
        <v>303.64863268852798</v>
      </c>
    </row>
    <row r="594" spans="1:14">
      <c r="A594" t="s">
        <v>726</v>
      </c>
      <c r="B594" t="s">
        <v>5543</v>
      </c>
      <c r="C594" t="s">
        <v>5544</v>
      </c>
      <c r="D594" t="s">
        <v>11</v>
      </c>
      <c r="E594" t="s">
        <v>13</v>
      </c>
      <c r="F594" t="s">
        <v>729</v>
      </c>
      <c r="G594" t="s">
        <v>12</v>
      </c>
      <c r="I594" t="s">
        <v>5543</v>
      </c>
      <c r="J594" t="s">
        <v>6898</v>
      </c>
      <c r="K594">
        <v>0.95888050086666443</v>
      </c>
      <c r="L594">
        <v>0.18148847899479151</v>
      </c>
      <c r="M594">
        <v>140.70184871744982</v>
      </c>
      <c r="N594">
        <v>154.77203358919482</v>
      </c>
    </row>
    <row r="595" spans="1:14">
      <c r="A595" t="s">
        <v>726</v>
      </c>
      <c r="B595" t="s">
        <v>5545</v>
      </c>
      <c r="C595" t="s">
        <v>5546</v>
      </c>
      <c r="D595" t="s">
        <v>11</v>
      </c>
      <c r="E595" t="s">
        <v>13</v>
      </c>
      <c r="F595" t="s">
        <v>729</v>
      </c>
      <c r="G595" t="s">
        <v>12</v>
      </c>
      <c r="I595" t="s">
        <v>5545</v>
      </c>
      <c r="J595" t="s">
        <v>6899</v>
      </c>
      <c r="K595">
        <v>4.4350487792954985</v>
      </c>
      <c r="L595">
        <v>0.14662916056867309</v>
      </c>
      <c r="M595">
        <v>250.95951596314239</v>
      </c>
      <c r="N595">
        <v>276.05546755945664</v>
      </c>
    </row>
    <row r="596" spans="1:14">
      <c r="A596" t="s">
        <v>726</v>
      </c>
      <c r="B596" t="s">
        <v>5547</v>
      </c>
      <c r="C596" t="s">
        <v>5548</v>
      </c>
      <c r="D596" t="s">
        <v>11</v>
      </c>
      <c r="E596" t="s">
        <v>13</v>
      </c>
      <c r="F596" t="s">
        <v>729</v>
      </c>
      <c r="G596" t="s">
        <v>12</v>
      </c>
      <c r="I596" t="s">
        <v>5547</v>
      </c>
      <c r="J596" t="s">
        <v>6900</v>
      </c>
      <c r="K596">
        <v>1.5164244739646759</v>
      </c>
      <c r="L596">
        <v>0.24013966295490241</v>
      </c>
      <c r="M596">
        <v>75.412806188691377</v>
      </c>
      <c r="N596">
        <v>82.954086807560515</v>
      </c>
    </row>
    <row r="597" spans="1:14">
      <c r="A597" t="s">
        <v>726</v>
      </c>
      <c r="B597" t="s">
        <v>5549</v>
      </c>
      <c r="C597" t="s">
        <v>5550</v>
      </c>
      <c r="D597" t="s">
        <v>11</v>
      </c>
      <c r="E597" t="s">
        <v>13</v>
      </c>
      <c r="F597" t="s">
        <v>729</v>
      </c>
      <c r="G597" t="s">
        <v>12</v>
      </c>
      <c r="I597" t="s">
        <v>5549</v>
      </c>
      <c r="J597" t="s">
        <v>6901</v>
      </c>
      <c r="K597">
        <v>4.5437663430317263</v>
      </c>
      <c r="L597">
        <v>0.1373685698684147</v>
      </c>
      <c r="M597">
        <v>107.20009277056552</v>
      </c>
      <c r="N597">
        <v>117.92010204762208</v>
      </c>
    </row>
    <row r="598" spans="1:14">
      <c r="A598" t="s">
        <v>726</v>
      </c>
      <c r="B598" t="s">
        <v>5551</v>
      </c>
      <c r="C598" t="s">
        <v>5552</v>
      </c>
      <c r="D598" t="s">
        <v>11</v>
      </c>
      <c r="E598" t="s">
        <v>13</v>
      </c>
      <c r="F598" t="s">
        <v>729</v>
      </c>
      <c r="G598" t="s">
        <v>12</v>
      </c>
      <c r="I598" t="s">
        <v>5551</v>
      </c>
      <c r="J598" t="s">
        <v>6902</v>
      </c>
      <c r="K598">
        <v>33.102209218815098</v>
      </c>
      <c r="L598">
        <v>0.2293940249158824</v>
      </c>
      <c r="M598">
        <v>142.14307001402912</v>
      </c>
      <c r="N598">
        <v>156.35737701543204</v>
      </c>
    </row>
    <row r="599" spans="1:14">
      <c r="A599" t="s">
        <v>726</v>
      </c>
      <c r="B599" t="s">
        <v>5553</v>
      </c>
      <c r="C599" t="s">
        <v>5554</v>
      </c>
      <c r="D599" t="s">
        <v>11</v>
      </c>
      <c r="E599" t="s">
        <v>13</v>
      </c>
      <c r="F599" t="s">
        <v>729</v>
      </c>
      <c r="G599" t="s">
        <v>12</v>
      </c>
      <c r="I599" t="s">
        <v>5553</v>
      </c>
      <c r="J599" t="s">
        <v>6903</v>
      </c>
      <c r="K599">
        <v>5.8229149197414891</v>
      </c>
      <c r="L599">
        <v>0.2990114497833008</v>
      </c>
      <c r="M599">
        <v>326.97430517102566</v>
      </c>
      <c r="N599">
        <v>359.67173568812825</v>
      </c>
    </row>
    <row r="600" spans="1:14">
      <c r="A600" t="s">
        <v>726</v>
      </c>
      <c r="B600" t="s">
        <v>5555</v>
      </c>
      <c r="C600" t="s">
        <v>5556</v>
      </c>
      <c r="D600" t="s">
        <v>11</v>
      </c>
      <c r="E600" t="s">
        <v>13</v>
      </c>
      <c r="F600" t="s">
        <v>729</v>
      </c>
      <c r="G600" t="s">
        <v>12</v>
      </c>
      <c r="I600" t="s">
        <v>5555</v>
      </c>
      <c r="J600" t="s">
        <v>6904</v>
      </c>
      <c r="K600">
        <v>6.4161119640802733</v>
      </c>
      <c r="L600">
        <v>0.16739444972058989</v>
      </c>
      <c r="M600">
        <v>86.409601372730506</v>
      </c>
      <c r="N600">
        <v>95.050561510003561</v>
      </c>
    </row>
    <row r="601" spans="1:14">
      <c r="A601" t="s">
        <v>726</v>
      </c>
      <c r="B601" t="s">
        <v>5557</v>
      </c>
      <c r="C601" t="s">
        <v>5558</v>
      </c>
      <c r="D601" t="s">
        <v>11</v>
      </c>
      <c r="E601" t="s">
        <v>13</v>
      </c>
      <c r="F601" t="s">
        <v>729</v>
      </c>
      <c r="G601" t="s">
        <v>12</v>
      </c>
      <c r="I601" t="s">
        <v>5557</v>
      </c>
      <c r="J601" t="s">
        <v>6905</v>
      </c>
      <c r="K601">
        <v>77.672341727325716</v>
      </c>
      <c r="L601">
        <v>0.50391386467187704</v>
      </c>
      <c r="M601">
        <v>835.73517706420273</v>
      </c>
      <c r="N601">
        <v>919.30869477062311</v>
      </c>
    </row>
    <row r="602" spans="1:14">
      <c r="A602" t="s">
        <v>726</v>
      </c>
      <c r="B602" t="s">
        <v>5559</v>
      </c>
      <c r="C602" t="s">
        <v>5558</v>
      </c>
      <c r="D602" t="s">
        <v>11</v>
      </c>
      <c r="E602" t="s">
        <v>13</v>
      </c>
      <c r="F602" t="s">
        <v>729</v>
      </c>
      <c r="G602" t="s">
        <v>12</v>
      </c>
      <c r="I602" t="s">
        <v>5559</v>
      </c>
      <c r="J602" t="s">
        <v>6906</v>
      </c>
      <c r="K602">
        <v>70.816201807563161</v>
      </c>
      <c r="L602">
        <v>0.39831464101843211</v>
      </c>
      <c r="M602">
        <v>1224.5127946151399</v>
      </c>
      <c r="N602">
        <v>1346.964074076654</v>
      </c>
    </row>
    <row r="603" spans="1:14">
      <c r="A603" t="s">
        <v>726</v>
      </c>
      <c r="B603" t="s">
        <v>5560</v>
      </c>
      <c r="C603" t="s">
        <v>5558</v>
      </c>
      <c r="D603" t="s">
        <v>11</v>
      </c>
      <c r="E603" t="s">
        <v>13</v>
      </c>
      <c r="F603" t="s">
        <v>729</v>
      </c>
      <c r="G603" t="s">
        <v>12</v>
      </c>
      <c r="I603" t="s">
        <v>5560</v>
      </c>
      <c r="J603" t="s">
        <v>6907</v>
      </c>
      <c r="K603">
        <v>165.81486941802686</v>
      </c>
      <c r="L603">
        <v>0.36980074811568298</v>
      </c>
      <c r="M603">
        <v>697.51062105054029</v>
      </c>
      <c r="N603">
        <v>767.26168315559437</v>
      </c>
    </row>
    <row r="604" spans="1:14">
      <c r="A604" t="s">
        <v>726</v>
      </c>
      <c r="B604" t="s">
        <v>5561</v>
      </c>
      <c r="C604" t="s">
        <v>5562</v>
      </c>
      <c r="D604" t="s">
        <v>11</v>
      </c>
      <c r="E604" t="s">
        <v>13</v>
      </c>
      <c r="F604" t="s">
        <v>729</v>
      </c>
      <c r="G604" t="s">
        <v>12</v>
      </c>
      <c r="I604" t="s">
        <v>5561</v>
      </c>
      <c r="J604" t="s">
        <v>6908</v>
      </c>
      <c r="K604">
        <v>80.555651176166919</v>
      </c>
      <c r="L604">
        <v>0.35341577710820782</v>
      </c>
      <c r="M604">
        <v>1075.0714128018892</v>
      </c>
      <c r="N604">
        <v>1182.5785540820782</v>
      </c>
    </row>
    <row r="605" spans="1:14">
      <c r="A605" t="s">
        <v>726</v>
      </c>
      <c r="B605" t="s">
        <v>5563</v>
      </c>
      <c r="C605" t="s">
        <v>5564</v>
      </c>
      <c r="D605" t="s">
        <v>11</v>
      </c>
      <c r="E605" t="s">
        <v>13</v>
      </c>
      <c r="F605" t="s">
        <v>729</v>
      </c>
      <c r="G605" t="s">
        <v>12</v>
      </c>
      <c r="I605" t="s">
        <v>5563</v>
      </c>
      <c r="J605" t="s">
        <v>6909</v>
      </c>
      <c r="K605">
        <v>42.635130520698688</v>
      </c>
      <c r="L605">
        <v>0.3525264531402138</v>
      </c>
      <c r="M605">
        <v>1144.6530541410768</v>
      </c>
      <c r="N605">
        <v>1259.1183595551847</v>
      </c>
    </row>
    <row r="606" spans="1:14">
      <c r="A606" t="s">
        <v>726</v>
      </c>
      <c r="B606" t="s">
        <v>5565</v>
      </c>
      <c r="C606" t="s">
        <v>5564</v>
      </c>
      <c r="D606" t="s">
        <v>11</v>
      </c>
      <c r="E606" t="s">
        <v>13</v>
      </c>
      <c r="F606" t="s">
        <v>729</v>
      </c>
      <c r="G606" t="s">
        <v>12</v>
      </c>
      <c r="I606" t="s">
        <v>5565</v>
      </c>
      <c r="J606" t="s">
        <v>6910</v>
      </c>
      <c r="K606">
        <v>73.872962833318311</v>
      </c>
      <c r="L606">
        <v>0.3324369954558028</v>
      </c>
      <c r="M606">
        <v>987.8451462879126</v>
      </c>
      <c r="N606">
        <v>1086.6296609167039</v>
      </c>
    </row>
    <row r="607" spans="1:14">
      <c r="A607" t="s">
        <v>726</v>
      </c>
      <c r="B607" t="s">
        <v>5566</v>
      </c>
      <c r="C607" t="s">
        <v>5567</v>
      </c>
      <c r="D607" t="s">
        <v>11</v>
      </c>
      <c r="E607" t="s">
        <v>13</v>
      </c>
      <c r="F607" t="s">
        <v>729</v>
      </c>
      <c r="G607" t="s">
        <v>12</v>
      </c>
      <c r="I607" t="s">
        <v>5566</v>
      </c>
      <c r="J607" t="s">
        <v>6911</v>
      </c>
      <c r="K607">
        <v>151.50275570937092</v>
      </c>
      <c r="L607">
        <v>0.40881646210898531</v>
      </c>
      <c r="M607">
        <v>665.86976815316245</v>
      </c>
      <c r="N607">
        <v>732.4567449684788</v>
      </c>
    </row>
    <row r="608" spans="1:14">
      <c r="A608" t="s">
        <v>726</v>
      </c>
      <c r="B608" t="s">
        <v>5568</v>
      </c>
      <c r="C608" t="s">
        <v>5569</v>
      </c>
      <c r="D608" t="s">
        <v>11</v>
      </c>
      <c r="E608" t="s">
        <v>13</v>
      </c>
      <c r="F608" t="s">
        <v>729</v>
      </c>
      <c r="G608" t="s">
        <v>12</v>
      </c>
      <c r="I608" t="s">
        <v>5568</v>
      </c>
      <c r="J608" t="s">
        <v>6912</v>
      </c>
      <c r="K608">
        <v>88.635245891110969</v>
      </c>
      <c r="L608">
        <v>0.40164985212725141</v>
      </c>
      <c r="M608">
        <v>515.5701547242644</v>
      </c>
      <c r="N608">
        <v>567.12717019669094</v>
      </c>
    </row>
    <row r="609" spans="1:14">
      <c r="A609" t="s">
        <v>726</v>
      </c>
      <c r="B609" t="s">
        <v>5570</v>
      </c>
      <c r="C609" t="s">
        <v>5571</v>
      </c>
      <c r="D609" t="s">
        <v>11</v>
      </c>
      <c r="E609" t="s">
        <v>13</v>
      </c>
      <c r="F609" t="s">
        <v>729</v>
      </c>
      <c r="G609" t="s">
        <v>12</v>
      </c>
      <c r="I609" t="s">
        <v>5570</v>
      </c>
      <c r="J609" t="s">
        <v>6913</v>
      </c>
      <c r="K609">
        <v>143.13151676542063</v>
      </c>
      <c r="L609">
        <v>0.508434311513564</v>
      </c>
      <c r="M609">
        <v>224.6092667641492</v>
      </c>
      <c r="N609">
        <v>247.07019344056414</v>
      </c>
    </row>
    <row r="610" spans="1:14">
      <c r="A610" t="s">
        <v>726</v>
      </c>
      <c r="B610" t="s">
        <v>5572</v>
      </c>
      <c r="C610" t="s">
        <v>5573</v>
      </c>
      <c r="D610" t="s">
        <v>11</v>
      </c>
      <c r="E610" t="s">
        <v>13</v>
      </c>
      <c r="F610" t="s">
        <v>729</v>
      </c>
      <c r="G610" t="s">
        <v>12</v>
      </c>
      <c r="I610" t="s">
        <v>5572</v>
      </c>
      <c r="J610" t="s">
        <v>6914</v>
      </c>
      <c r="K610">
        <v>99.371790245092157</v>
      </c>
      <c r="L610">
        <v>0.40331017002788611</v>
      </c>
      <c r="M610">
        <v>196.8730308421016</v>
      </c>
      <c r="N610">
        <v>216.56033392631178</v>
      </c>
    </row>
    <row r="611" spans="1:14">
      <c r="A611" t="s">
        <v>726</v>
      </c>
      <c r="B611" t="s">
        <v>5574</v>
      </c>
      <c r="C611" t="s">
        <v>5575</v>
      </c>
      <c r="D611" t="s">
        <v>11</v>
      </c>
      <c r="E611" t="s">
        <v>13</v>
      </c>
      <c r="F611" t="s">
        <v>729</v>
      </c>
      <c r="G611" t="s">
        <v>12</v>
      </c>
      <c r="I611" t="s">
        <v>5574</v>
      </c>
      <c r="J611" t="s">
        <v>6915</v>
      </c>
      <c r="K611">
        <v>68.890427439571923</v>
      </c>
      <c r="L611">
        <v>0.33545347451883778</v>
      </c>
      <c r="M611">
        <v>519.88143316515368</v>
      </c>
      <c r="N611">
        <v>571.86957648166913</v>
      </c>
    </row>
    <row r="612" spans="1:14">
      <c r="A612" t="s">
        <v>726</v>
      </c>
      <c r="B612" t="s">
        <v>5576</v>
      </c>
      <c r="C612" t="s">
        <v>5577</v>
      </c>
      <c r="D612" t="s">
        <v>11</v>
      </c>
      <c r="E612" t="s">
        <v>13</v>
      </c>
      <c r="F612" t="s">
        <v>729</v>
      </c>
      <c r="G612" t="s">
        <v>12</v>
      </c>
      <c r="I612" t="s">
        <v>5576</v>
      </c>
      <c r="J612" t="s">
        <v>6916</v>
      </c>
      <c r="K612">
        <v>0.14936937538348263</v>
      </c>
      <c r="L612">
        <v>0.12342879061976759</v>
      </c>
      <c r="M612">
        <v>122.46980547150204</v>
      </c>
      <c r="N612">
        <v>134.71678601865224</v>
      </c>
    </row>
    <row r="613" spans="1:14">
      <c r="A613" t="s">
        <v>726</v>
      </c>
      <c r="B613" t="s">
        <v>5578</v>
      </c>
      <c r="C613" t="s">
        <v>5579</v>
      </c>
      <c r="D613" t="s">
        <v>11</v>
      </c>
      <c r="E613" t="s">
        <v>13</v>
      </c>
      <c r="F613" t="s">
        <v>729</v>
      </c>
      <c r="G613" t="s">
        <v>12</v>
      </c>
      <c r="I613" t="s">
        <v>5578</v>
      </c>
      <c r="J613" t="s">
        <v>6917</v>
      </c>
      <c r="K613">
        <v>1.2328629509996123</v>
      </c>
      <c r="L613">
        <v>0.22791363704629669</v>
      </c>
      <c r="M613">
        <v>91.33640756842604</v>
      </c>
      <c r="N613">
        <v>100.47004832526865</v>
      </c>
    </row>
    <row r="614" spans="1:14">
      <c r="A614" t="s">
        <v>726</v>
      </c>
      <c r="B614" t="s">
        <v>5580</v>
      </c>
      <c r="C614" t="s">
        <v>5581</v>
      </c>
      <c r="D614" t="s">
        <v>11</v>
      </c>
      <c r="E614" t="s">
        <v>13</v>
      </c>
      <c r="F614" t="s">
        <v>729</v>
      </c>
      <c r="G614" t="s">
        <v>12</v>
      </c>
      <c r="I614" t="s">
        <v>5580</v>
      </c>
      <c r="J614" t="s">
        <v>6918</v>
      </c>
      <c r="K614">
        <v>1.9624477885754248</v>
      </c>
      <c r="L614">
        <v>0.1799050209075316</v>
      </c>
      <c r="M614">
        <v>103.45731189334036</v>
      </c>
      <c r="N614">
        <v>113.80304308267441</v>
      </c>
    </row>
    <row r="615" spans="1:14">
      <c r="A615" t="s">
        <v>726</v>
      </c>
      <c r="B615" t="s">
        <v>5582</v>
      </c>
      <c r="C615" t="s">
        <v>5581</v>
      </c>
      <c r="D615" t="s">
        <v>11</v>
      </c>
      <c r="E615" t="s">
        <v>13</v>
      </c>
      <c r="F615" t="s">
        <v>729</v>
      </c>
      <c r="G615" t="s">
        <v>12</v>
      </c>
      <c r="I615" t="s">
        <v>5582</v>
      </c>
      <c r="J615" t="s">
        <v>6919</v>
      </c>
      <c r="K615">
        <v>0.52786792372221791</v>
      </c>
      <c r="L615">
        <v>0.111008082338765</v>
      </c>
      <c r="M615">
        <v>93.899176007561223</v>
      </c>
      <c r="N615">
        <v>103.28909360831736</v>
      </c>
    </row>
    <row r="616" spans="1:14">
      <c r="A616" t="s">
        <v>726</v>
      </c>
      <c r="B616" t="s">
        <v>5583</v>
      </c>
      <c r="C616" t="s">
        <v>5584</v>
      </c>
      <c r="D616" t="s">
        <v>11</v>
      </c>
      <c r="E616" t="s">
        <v>13</v>
      </c>
      <c r="F616" t="s">
        <v>729</v>
      </c>
      <c r="G616" t="s">
        <v>12</v>
      </c>
      <c r="I616" t="s">
        <v>5583</v>
      </c>
      <c r="J616" t="s">
        <v>6920</v>
      </c>
      <c r="K616">
        <v>1.1131343206383728</v>
      </c>
      <c r="L616">
        <v>0.1401345323642306</v>
      </c>
      <c r="M616">
        <v>115.23862226380351</v>
      </c>
      <c r="N616">
        <v>126.76248449018387</v>
      </c>
    </row>
    <row r="617" spans="1:14">
      <c r="A617" t="s">
        <v>726</v>
      </c>
      <c r="B617" t="s">
        <v>5585</v>
      </c>
      <c r="C617" t="s">
        <v>5586</v>
      </c>
      <c r="D617" t="s">
        <v>11</v>
      </c>
      <c r="E617" t="s">
        <v>13</v>
      </c>
      <c r="F617" t="s">
        <v>729</v>
      </c>
      <c r="G617" t="s">
        <v>12</v>
      </c>
      <c r="I617" t="s">
        <v>5585</v>
      </c>
      <c r="J617" t="s">
        <v>6921</v>
      </c>
      <c r="K617">
        <v>1.5010805796979845</v>
      </c>
      <c r="L617">
        <v>9.7344141190165906E-2</v>
      </c>
      <c r="M617">
        <v>58.71779334206385</v>
      </c>
      <c r="N617">
        <v>64.589572676270237</v>
      </c>
    </row>
    <row r="618" spans="1:14">
      <c r="A618" t="s">
        <v>726</v>
      </c>
      <c r="B618" t="s">
        <v>5587</v>
      </c>
      <c r="C618" t="s">
        <v>5588</v>
      </c>
      <c r="D618" t="s">
        <v>11</v>
      </c>
      <c r="E618" t="s">
        <v>13</v>
      </c>
      <c r="F618" t="s">
        <v>729</v>
      </c>
      <c r="G618" t="s">
        <v>12</v>
      </c>
      <c r="I618" t="s">
        <v>5587</v>
      </c>
      <c r="J618" t="s">
        <v>6922</v>
      </c>
      <c r="K618">
        <v>1.8524523222222213</v>
      </c>
      <c r="L618">
        <v>0.1061146602240662</v>
      </c>
      <c r="M618">
        <v>97.167631475355122</v>
      </c>
      <c r="N618">
        <v>106.88439462289064</v>
      </c>
    </row>
    <row r="619" spans="1:14">
      <c r="A619" t="s">
        <v>726</v>
      </c>
      <c r="B619" t="s">
        <v>5589</v>
      </c>
      <c r="C619" t="s">
        <v>5590</v>
      </c>
      <c r="D619" t="s">
        <v>11</v>
      </c>
      <c r="E619" t="s">
        <v>13</v>
      </c>
      <c r="F619" t="s">
        <v>729</v>
      </c>
      <c r="G619" t="s">
        <v>12</v>
      </c>
      <c r="I619" t="s">
        <v>5589</v>
      </c>
      <c r="J619" t="s">
        <v>6923</v>
      </c>
      <c r="K619">
        <v>18.520607741272848</v>
      </c>
      <c r="L619">
        <v>0.11997168445993329</v>
      </c>
      <c r="M619">
        <v>284.51433388299091</v>
      </c>
      <c r="N619">
        <v>312.96576727129002</v>
      </c>
    </row>
    <row r="620" spans="1:14">
      <c r="A620" t="s">
        <v>726</v>
      </c>
      <c r="B620" t="s">
        <v>5591</v>
      </c>
      <c r="C620" t="s">
        <v>5592</v>
      </c>
      <c r="D620" t="s">
        <v>11</v>
      </c>
      <c r="E620" t="s">
        <v>13</v>
      </c>
      <c r="F620" t="s">
        <v>729</v>
      </c>
      <c r="G620" t="s">
        <v>12</v>
      </c>
      <c r="I620" t="s">
        <v>5591</v>
      </c>
      <c r="J620" t="s">
        <v>6924</v>
      </c>
      <c r="K620">
        <v>32.879846339242434</v>
      </c>
      <c r="L620">
        <v>0.15953163330990619</v>
      </c>
      <c r="M620">
        <v>129.70749941027501</v>
      </c>
      <c r="N620">
        <v>142.67824935130253</v>
      </c>
    </row>
    <row r="621" spans="1:14">
      <c r="A621" t="s">
        <v>726</v>
      </c>
      <c r="B621" t="s">
        <v>5593</v>
      </c>
      <c r="C621" t="s">
        <v>5594</v>
      </c>
      <c r="D621" t="s">
        <v>11</v>
      </c>
      <c r="E621" t="s">
        <v>13</v>
      </c>
      <c r="F621" t="s">
        <v>729</v>
      </c>
      <c r="G621" t="s">
        <v>12</v>
      </c>
      <c r="I621" t="s">
        <v>5593</v>
      </c>
      <c r="J621" t="s">
        <v>6925</v>
      </c>
      <c r="K621">
        <v>61.106769503050621</v>
      </c>
      <c r="L621">
        <v>0.19598791455669839</v>
      </c>
      <c r="M621">
        <v>249.14698162023959</v>
      </c>
      <c r="N621">
        <v>274.06167978226358</v>
      </c>
    </row>
    <row r="622" spans="1:14">
      <c r="A622" t="s">
        <v>726</v>
      </c>
      <c r="B622" t="s">
        <v>5595</v>
      </c>
      <c r="C622" t="s">
        <v>5596</v>
      </c>
      <c r="D622" t="s">
        <v>11</v>
      </c>
      <c r="E622" t="s">
        <v>13</v>
      </c>
      <c r="F622" t="s">
        <v>729</v>
      </c>
      <c r="G622" t="s">
        <v>12</v>
      </c>
      <c r="I622" t="s">
        <v>5595</v>
      </c>
      <c r="J622" t="s">
        <v>6926</v>
      </c>
      <c r="K622">
        <v>72.024872611204373</v>
      </c>
      <c r="L622">
        <v>0.3130319282693822</v>
      </c>
      <c r="M622">
        <v>353.46317626567929</v>
      </c>
      <c r="N622">
        <v>388.80949389224725</v>
      </c>
    </row>
    <row r="623" spans="1:14">
      <c r="A623" t="s">
        <v>726</v>
      </c>
      <c r="B623" t="s">
        <v>5597</v>
      </c>
      <c r="C623" t="s">
        <v>5598</v>
      </c>
      <c r="D623" t="s">
        <v>11</v>
      </c>
      <c r="E623" t="s">
        <v>13</v>
      </c>
      <c r="F623" t="s">
        <v>729</v>
      </c>
      <c r="G623" t="s">
        <v>12</v>
      </c>
      <c r="I623" t="s">
        <v>5597</v>
      </c>
      <c r="J623" t="s">
        <v>6927</v>
      </c>
      <c r="K623">
        <v>44.373238499456626</v>
      </c>
      <c r="L623">
        <v>0.21748260569819561</v>
      </c>
      <c r="M623">
        <v>495.1511714483031</v>
      </c>
      <c r="N623">
        <v>544.66628859313346</v>
      </c>
    </row>
    <row r="624" spans="1:14">
      <c r="A624" t="s">
        <v>726</v>
      </c>
      <c r="B624" t="s">
        <v>5599</v>
      </c>
      <c r="C624" t="s">
        <v>5594</v>
      </c>
      <c r="D624" t="s">
        <v>11</v>
      </c>
      <c r="E624" t="s">
        <v>13</v>
      </c>
      <c r="F624" t="s">
        <v>729</v>
      </c>
      <c r="G624" t="s">
        <v>12</v>
      </c>
      <c r="I624" t="s">
        <v>5599</v>
      </c>
      <c r="J624" t="s">
        <v>6928</v>
      </c>
      <c r="K624">
        <v>85.202046760312342</v>
      </c>
      <c r="L624">
        <v>0.27483443390777362</v>
      </c>
      <c r="M624">
        <v>260.24303312315402</v>
      </c>
      <c r="N624">
        <v>286.26733643546947</v>
      </c>
    </row>
    <row r="625" spans="1:14">
      <c r="A625" t="s">
        <v>726</v>
      </c>
      <c r="B625" t="s">
        <v>5600</v>
      </c>
      <c r="C625" t="s">
        <v>5601</v>
      </c>
      <c r="D625" t="s">
        <v>11</v>
      </c>
      <c r="E625" t="s">
        <v>13</v>
      </c>
      <c r="F625" t="s">
        <v>729</v>
      </c>
      <c r="G625" t="s">
        <v>12</v>
      </c>
      <c r="I625" t="s">
        <v>5600</v>
      </c>
      <c r="J625" t="s">
        <v>6929</v>
      </c>
      <c r="K625">
        <v>41.086764997434166</v>
      </c>
      <c r="L625">
        <v>0.23888805149370809</v>
      </c>
      <c r="M625">
        <v>155.45048439931199</v>
      </c>
      <c r="N625">
        <v>170.9955328392432</v>
      </c>
    </row>
    <row r="626" spans="1:14">
      <c r="A626" t="s">
        <v>726</v>
      </c>
      <c r="B626" t="s">
        <v>5602</v>
      </c>
      <c r="C626" t="s">
        <v>5603</v>
      </c>
      <c r="D626" t="s">
        <v>11</v>
      </c>
      <c r="E626" t="s">
        <v>13</v>
      </c>
      <c r="F626" t="s">
        <v>729</v>
      </c>
      <c r="G626" t="s">
        <v>12</v>
      </c>
      <c r="I626" t="s">
        <v>5602</v>
      </c>
      <c r="J626" t="s">
        <v>6930</v>
      </c>
      <c r="K626">
        <v>86.039814443201749</v>
      </c>
      <c r="L626">
        <v>0.22480503132179411</v>
      </c>
      <c r="M626">
        <v>210.1074340247539</v>
      </c>
      <c r="N626">
        <v>231.11817742722931</v>
      </c>
    </row>
    <row r="627" spans="1:14">
      <c r="A627" t="s">
        <v>726</v>
      </c>
      <c r="B627" t="s">
        <v>5604</v>
      </c>
      <c r="C627" t="s">
        <v>5605</v>
      </c>
      <c r="D627" t="s">
        <v>11</v>
      </c>
      <c r="E627" t="s">
        <v>13</v>
      </c>
      <c r="F627" t="s">
        <v>729</v>
      </c>
      <c r="G627" t="s">
        <v>12</v>
      </c>
      <c r="I627" t="s">
        <v>5604</v>
      </c>
      <c r="J627" t="s">
        <v>6931</v>
      </c>
      <c r="K627">
        <v>11.153701678952336</v>
      </c>
      <c r="L627">
        <v>0.15069730232214951</v>
      </c>
      <c r="M627">
        <v>348.46262441236627</v>
      </c>
      <c r="N627">
        <v>383.30888685360293</v>
      </c>
    </row>
    <row r="628" spans="1:14">
      <c r="A628" t="s">
        <v>726</v>
      </c>
      <c r="B628" t="s">
        <v>5606</v>
      </c>
      <c r="C628" t="s">
        <v>5607</v>
      </c>
      <c r="D628" t="s">
        <v>11</v>
      </c>
      <c r="E628" t="s">
        <v>13</v>
      </c>
      <c r="F628" t="s">
        <v>729</v>
      </c>
      <c r="G628" t="s">
        <v>12</v>
      </c>
      <c r="I628" t="s">
        <v>5606</v>
      </c>
      <c r="J628" t="s">
        <v>6932</v>
      </c>
      <c r="K628">
        <v>39.986236839967312</v>
      </c>
      <c r="L628">
        <v>0.19622349555002969</v>
      </c>
      <c r="M628">
        <v>106.84030083067222</v>
      </c>
      <c r="N628">
        <v>117.52433091373945</v>
      </c>
    </row>
    <row r="629" spans="1:14">
      <c r="A629" t="s">
        <v>726</v>
      </c>
      <c r="B629" t="s">
        <v>5608</v>
      </c>
      <c r="C629" t="s">
        <v>5609</v>
      </c>
      <c r="D629" t="s">
        <v>11</v>
      </c>
      <c r="E629" t="s">
        <v>13</v>
      </c>
      <c r="F629" t="s">
        <v>729</v>
      </c>
      <c r="G629" t="s">
        <v>12</v>
      </c>
      <c r="I629" t="s">
        <v>5608</v>
      </c>
      <c r="J629" t="s">
        <v>6933</v>
      </c>
      <c r="K629">
        <v>0.28414872675046843</v>
      </c>
      <c r="L629">
        <v>0.1038127824724339</v>
      </c>
      <c r="M629">
        <v>153.66015286539957</v>
      </c>
      <c r="N629">
        <v>169.02616815193954</v>
      </c>
    </row>
    <row r="630" spans="1:14">
      <c r="A630" t="s">
        <v>726</v>
      </c>
      <c r="B630" t="s">
        <v>5610</v>
      </c>
      <c r="C630" t="s">
        <v>5611</v>
      </c>
      <c r="D630" t="s">
        <v>11</v>
      </c>
      <c r="E630" t="s">
        <v>13</v>
      </c>
      <c r="F630" t="s">
        <v>729</v>
      </c>
      <c r="G630" t="s">
        <v>12</v>
      </c>
      <c r="I630" t="s">
        <v>5610</v>
      </c>
      <c r="J630" t="s">
        <v>6934</v>
      </c>
      <c r="K630">
        <v>0.32080609119845221</v>
      </c>
      <c r="L630">
        <v>0.3367230576266137</v>
      </c>
      <c r="M630">
        <v>76.192219718123638</v>
      </c>
      <c r="N630">
        <v>83.811441689936004</v>
      </c>
    </row>
    <row r="631" spans="1:14">
      <c r="A631" t="s">
        <v>726</v>
      </c>
      <c r="B631" t="s">
        <v>5612</v>
      </c>
      <c r="C631" t="s">
        <v>5609</v>
      </c>
      <c r="D631" t="s">
        <v>11</v>
      </c>
      <c r="E631" t="s">
        <v>13</v>
      </c>
      <c r="F631" t="s">
        <v>729</v>
      </c>
      <c r="G631" t="s">
        <v>12</v>
      </c>
      <c r="I631" t="s">
        <v>5612</v>
      </c>
      <c r="J631" t="s">
        <v>6935</v>
      </c>
      <c r="K631">
        <v>0.42920330749118601</v>
      </c>
      <c r="L631">
        <v>0.1932062483426655</v>
      </c>
      <c r="M631">
        <v>151.59688452112422</v>
      </c>
      <c r="N631">
        <v>166.75657297323667</v>
      </c>
    </row>
    <row r="632" spans="1:14">
      <c r="A632" t="s">
        <v>726</v>
      </c>
      <c r="B632" t="s">
        <v>5613</v>
      </c>
      <c r="C632" t="s">
        <v>5614</v>
      </c>
      <c r="D632" t="s">
        <v>11</v>
      </c>
      <c r="E632" t="s">
        <v>13</v>
      </c>
      <c r="F632" t="s">
        <v>729</v>
      </c>
      <c r="G632" t="s">
        <v>12</v>
      </c>
      <c r="I632" t="s">
        <v>5613</v>
      </c>
      <c r="J632" t="s">
        <v>6936</v>
      </c>
      <c r="K632">
        <v>140.36414807492005</v>
      </c>
      <c r="L632">
        <v>0.31454478529268931</v>
      </c>
      <c r="M632">
        <v>688.44100400621028</v>
      </c>
      <c r="N632">
        <v>757.28510440683135</v>
      </c>
    </row>
    <row r="633" spans="1:14">
      <c r="A633" t="s">
        <v>726</v>
      </c>
      <c r="B633" t="s">
        <v>5615</v>
      </c>
      <c r="C633" t="s">
        <v>5614</v>
      </c>
      <c r="D633" t="s">
        <v>11</v>
      </c>
      <c r="E633" t="s">
        <v>13</v>
      </c>
      <c r="F633" t="s">
        <v>729</v>
      </c>
      <c r="G633" t="s">
        <v>12</v>
      </c>
      <c r="I633" t="s">
        <v>5615</v>
      </c>
      <c r="J633" t="s">
        <v>6937</v>
      </c>
      <c r="K633">
        <v>80.6840802031587</v>
      </c>
      <c r="L633">
        <v>0.2191474668420979</v>
      </c>
      <c r="M633">
        <v>669.91194076318709</v>
      </c>
      <c r="N633">
        <v>736.90313483950581</v>
      </c>
    </row>
    <row r="634" spans="1:14">
      <c r="A634" t="s">
        <v>726</v>
      </c>
      <c r="B634" t="s">
        <v>5616</v>
      </c>
      <c r="C634" t="s">
        <v>5614</v>
      </c>
      <c r="D634" t="s">
        <v>11</v>
      </c>
      <c r="E634" t="s">
        <v>13</v>
      </c>
      <c r="F634" t="s">
        <v>729</v>
      </c>
      <c r="G634" t="s">
        <v>12</v>
      </c>
      <c r="I634" t="s">
        <v>5616</v>
      </c>
      <c r="J634" t="s">
        <v>6938</v>
      </c>
      <c r="K634">
        <v>220.83185083086917</v>
      </c>
      <c r="L634">
        <v>0.39086779744600109</v>
      </c>
      <c r="M634">
        <v>743.35280079000722</v>
      </c>
      <c r="N634">
        <v>817.68808086900799</v>
      </c>
    </row>
    <row r="635" spans="1:14">
      <c r="A635" t="s">
        <v>726</v>
      </c>
      <c r="B635" t="s">
        <v>5617</v>
      </c>
      <c r="C635" t="s">
        <v>5614</v>
      </c>
      <c r="D635" t="s">
        <v>11</v>
      </c>
      <c r="E635" t="s">
        <v>13</v>
      </c>
      <c r="F635" t="s">
        <v>729</v>
      </c>
      <c r="G635" t="s">
        <v>12</v>
      </c>
      <c r="I635" t="s">
        <v>5617</v>
      </c>
      <c r="J635" t="s">
        <v>6939</v>
      </c>
      <c r="K635">
        <v>66.10719957989204</v>
      </c>
      <c r="L635">
        <v>0.23457577578933889</v>
      </c>
      <c r="M635">
        <v>430.40864247999798</v>
      </c>
      <c r="N635">
        <v>473.4495067279978</v>
      </c>
    </row>
    <row r="636" spans="1:14">
      <c r="A636" t="s">
        <v>726</v>
      </c>
      <c r="B636" t="s">
        <v>5618</v>
      </c>
      <c r="C636" t="s">
        <v>5614</v>
      </c>
      <c r="D636" t="s">
        <v>11</v>
      </c>
      <c r="E636" t="s">
        <v>13</v>
      </c>
      <c r="F636" t="s">
        <v>729</v>
      </c>
      <c r="G636" t="s">
        <v>12</v>
      </c>
      <c r="I636" t="s">
        <v>5618</v>
      </c>
      <c r="J636" t="s">
        <v>6940</v>
      </c>
      <c r="K636">
        <v>143.30778236115279</v>
      </c>
      <c r="L636">
        <v>0.24741594178281029</v>
      </c>
      <c r="M636">
        <v>287.22819755960035</v>
      </c>
      <c r="N636">
        <v>315.95101731556042</v>
      </c>
    </row>
    <row r="637" spans="1:14">
      <c r="A637" t="s">
        <v>726</v>
      </c>
      <c r="B637" t="s">
        <v>5619</v>
      </c>
      <c r="C637" t="s">
        <v>5620</v>
      </c>
      <c r="D637" t="s">
        <v>11</v>
      </c>
      <c r="E637" t="s">
        <v>13</v>
      </c>
      <c r="F637" t="s">
        <v>729</v>
      </c>
      <c r="G637" t="s">
        <v>12</v>
      </c>
      <c r="I637" t="s">
        <v>5619</v>
      </c>
      <c r="J637" t="s">
        <v>6941</v>
      </c>
      <c r="K637">
        <v>210.63935078123566</v>
      </c>
      <c r="L637">
        <v>0.32571486379016962</v>
      </c>
      <c r="M637">
        <v>584.09431930656331</v>
      </c>
      <c r="N637">
        <v>642.50375123721972</v>
      </c>
    </row>
    <row r="638" spans="1:14">
      <c r="A638" t="s">
        <v>726</v>
      </c>
      <c r="B638" t="s">
        <v>5621</v>
      </c>
      <c r="C638" t="s">
        <v>5622</v>
      </c>
      <c r="D638" t="s">
        <v>11</v>
      </c>
      <c r="E638" t="s">
        <v>13</v>
      </c>
      <c r="F638" t="s">
        <v>729</v>
      </c>
      <c r="G638" t="s">
        <v>12</v>
      </c>
      <c r="I638" t="s">
        <v>5621</v>
      </c>
      <c r="J638" t="s">
        <v>6942</v>
      </c>
      <c r="K638">
        <v>37.609025171825188</v>
      </c>
      <c r="L638">
        <v>0.24094396099399809</v>
      </c>
      <c r="M638">
        <v>95.628180839278158</v>
      </c>
      <c r="N638">
        <v>105.19099892320598</v>
      </c>
    </row>
    <row r="639" spans="1:14">
      <c r="A639" t="s">
        <v>726</v>
      </c>
      <c r="B639" t="s">
        <v>5623</v>
      </c>
      <c r="C639" t="s">
        <v>5624</v>
      </c>
      <c r="D639" t="s">
        <v>11</v>
      </c>
      <c r="E639" t="s">
        <v>13</v>
      </c>
      <c r="F639" t="s">
        <v>729</v>
      </c>
      <c r="G639" t="s">
        <v>12</v>
      </c>
      <c r="I639" t="s">
        <v>5623</v>
      </c>
      <c r="J639" t="s">
        <v>6943</v>
      </c>
      <c r="K639">
        <v>56.39637065022486</v>
      </c>
      <c r="L639">
        <v>0.29295006917862387</v>
      </c>
      <c r="M639">
        <v>266.5105896213098</v>
      </c>
      <c r="N639">
        <v>293.16164858344081</v>
      </c>
    </row>
    <row r="640" spans="1:14">
      <c r="A640" t="s">
        <v>726</v>
      </c>
      <c r="B640" t="s">
        <v>5625</v>
      </c>
      <c r="C640" t="s">
        <v>5614</v>
      </c>
      <c r="D640" t="s">
        <v>11</v>
      </c>
      <c r="E640" t="s">
        <v>13</v>
      </c>
      <c r="F640" t="s">
        <v>729</v>
      </c>
      <c r="G640" t="s">
        <v>12</v>
      </c>
      <c r="I640" t="s">
        <v>5625</v>
      </c>
      <c r="J640" t="s">
        <v>6944</v>
      </c>
      <c r="K640">
        <v>131.57830492556187</v>
      </c>
      <c r="L640">
        <v>0.32259945391223721</v>
      </c>
      <c r="M640">
        <v>192.5299152379875</v>
      </c>
      <c r="N640">
        <v>211.78290676178625</v>
      </c>
    </row>
    <row r="641" spans="1:14">
      <c r="A641" t="s">
        <v>726</v>
      </c>
      <c r="B641" t="s">
        <v>5626</v>
      </c>
      <c r="C641" t="s">
        <v>5627</v>
      </c>
      <c r="D641" t="s">
        <v>11</v>
      </c>
      <c r="E641" t="s">
        <v>13</v>
      </c>
      <c r="F641" t="s">
        <v>729</v>
      </c>
      <c r="G641" t="s">
        <v>12</v>
      </c>
      <c r="I641" t="s">
        <v>5626</v>
      </c>
      <c r="J641" t="s">
        <v>6945</v>
      </c>
      <c r="K641">
        <v>65.797559576896987</v>
      </c>
      <c r="L641">
        <v>0.21829671105892229</v>
      </c>
      <c r="M641">
        <v>158.99019260190451</v>
      </c>
      <c r="N641">
        <v>174.88921186209498</v>
      </c>
    </row>
    <row r="642" spans="1:14">
      <c r="A642" t="s">
        <v>726</v>
      </c>
      <c r="B642" t="s">
        <v>5628</v>
      </c>
      <c r="C642" t="s">
        <v>5622</v>
      </c>
      <c r="D642" t="s">
        <v>11</v>
      </c>
      <c r="E642" t="s">
        <v>13</v>
      </c>
      <c r="F642" t="s">
        <v>729</v>
      </c>
      <c r="G642" t="s">
        <v>12</v>
      </c>
      <c r="I642" t="s">
        <v>5628</v>
      </c>
      <c r="J642" t="s">
        <v>6946</v>
      </c>
      <c r="K642">
        <v>41.298814320836598</v>
      </c>
      <c r="L642">
        <v>0.26879423909126859</v>
      </c>
      <c r="M642">
        <v>209.97500587973849</v>
      </c>
      <c r="N642">
        <v>230.97250646771235</v>
      </c>
    </row>
    <row r="643" spans="1:14">
      <c r="A643" t="s">
        <v>726</v>
      </c>
      <c r="B643" t="s">
        <v>5629</v>
      </c>
      <c r="C643" t="s">
        <v>5614</v>
      </c>
      <c r="D643" t="s">
        <v>11</v>
      </c>
      <c r="E643" t="s">
        <v>13</v>
      </c>
      <c r="F643" t="s">
        <v>729</v>
      </c>
      <c r="G643" t="s">
        <v>12</v>
      </c>
      <c r="I643" t="s">
        <v>5629</v>
      </c>
      <c r="J643" t="s">
        <v>6947</v>
      </c>
      <c r="K643">
        <v>96.14995205314446</v>
      </c>
      <c r="L643">
        <v>0.26751133375467878</v>
      </c>
      <c r="M643">
        <v>316.59575671286012</v>
      </c>
      <c r="N643">
        <v>348.25533238414619</v>
      </c>
    </row>
    <row r="644" spans="1:14">
      <c r="A644" t="s">
        <v>726</v>
      </c>
      <c r="B644" t="s">
        <v>5630</v>
      </c>
      <c r="C644" t="s">
        <v>5631</v>
      </c>
      <c r="D644" t="s">
        <v>11</v>
      </c>
      <c r="E644" t="s">
        <v>13</v>
      </c>
      <c r="F644" t="s">
        <v>729</v>
      </c>
      <c r="G644" t="s">
        <v>12</v>
      </c>
      <c r="I644" t="s">
        <v>5630</v>
      </c>
      <c r="J644" t="s">
        <v>6948</v>
      </c>
      <c r="K644">
        <v>16.281032786011643</v>
      </c>
      <c r="L644">
        <v>0.13703392789414501</v>
      </c>
      <c r="M644">
        <v>105.52174650663579</v>
      </c>
      <c r="N644">
        <v>116.07392115729938</v>
      </c>
    </row>
    <row r="645" spans="1:14">
      <c r="A645" t="s">
        <v>726</v>
      </c>
      <c r="B645" t="s">
        <v>5632</v>
      </c>
      <c r="C645" t="s">
        <v>5633</v>
      </c>
      <c r="D645" t="s">
        <v>11</v>
      </c>
      <c r="E645" t="s">
        <v>13</v>
      </c>
      <c r="F645" t="s">
        <v>729</v>
      </c>
      <c r="G645" t="s">
        <v>12</v>
      </c>
      <c r="I645" t="s">
        <v>5632</v>
      </c>
      <c r="J645" t="s">
        <v>6949</v>
      </c>
      <c r="K645">
        <v>9.8968240423623879</v>
      </c>
      <c r="L645">
        <v>0.10653780517902139</v>
      </c>
      <c r="M645">
        <v>103.75085831512988</v>
      </c>
      <c r="N645">
        <v>114.12594414664287</v>
      </c>
    </row>
    <row r="646" spans="1:14">
      <c r="A646" t="s">
        <v>726</v>
      </c>
      <c r="B646" t="s">
        <v>5634</v>
      </c>
      <c r="C646" t="s">
        <v>5635</v>
      </c>
      <c r="D646" t="s">
        <v>11</v>
      </c>
      <c r="E646" t="s">
        <v>13</v>
      </c>
      <c r="F646" t="s">
        <v>729</v>
      </c>
      <c r="G646" t="s">
        <v>12</v>
      </c>
      <c r="I646" t="s">
        <v>5634</v>
      </c>
      <c r="J646" t="s">
        <v>6950</v>
      </c>
      <c r="K646">
        <v>24.775128468312644</v>
      </c>
      <c r="L646">
        <v>0.12946032182873329</v>
      </c>
      <c r="M646">
        <v>105.46315740871826</v>
      </c>
      <c r="N646">
        <v>116.00947314959009</v>
      </c>
    </row>
    <row r="647" spans="1:14">
      <c r="A647" t="s">
        <v>726</v>
      </c>
      <c r="B647" t="s">
        <v>5636</v>
      </c>
      <c r="C647" t="s">
        <v>5637</v>
      </c>
      <c r="D647" t="s">
        <v>11</v>
      </c>
      <c r="E647" t="s">
        <v>13</v>
      </c>
      <c r="F647" t="s">
        <v>729</v>
      </c>
      <c r="G647" t="s">
        <v>12</v>
      </c>
      <c r="I647" t="s">
        <v>5636</v>
      </c>
      <c r="J647" t="s">
        <v>6951</v>
      </c>
      <c r="K647">
        <v>5.0617446349242039</v>
      </c>
      <c r="L647">
        <v>0.11962993732902991</v>
      </c>
      <c r="M647">
        <v>271.58192546905667</v>
      </c>
      <c r="N647">
        <v>298.74011801596237</v>
      </c>
    </row>
    <row r="648" spans="1:14">
      <c r="A648" t="s">
        <v>726</v>
      </c>
      <c r="B648" t="s">
        <v>5638</v>
      </c>
      <c r="C648" t="s">
        <v>5639</v>
      </c>
      <c r="D648" t="s">
        <v>11</v>
      </c>
      <c r="E648" t="s">
        <v>13</v>
      </c>
      <c r="F648" t="s">
        <v>729</v>
      </c>
      <c r="G648" t="s">
        <v>12</v>
      </c>
      <c r="I648" t="s">
        <v>5638</v>
      </c>
      <c r="J648" t="s">
        <v>6952</v>
      </c>
      <c r="K648">
        <v>28.057990995879511</v>
      </c>
      <c r="L648">
        <v>0.1512692283846821</v>
      </c>
      <c r="M648">
        <v>347.78908794453031</v>
      </c>
      <c r="N648">
        <v>382.56799673898337</v>
      </c>
    </row>
    <row r="649" spans="1:14">
      <c r="A649" t="s">
        <v>726</v>
      </c>
      <c r="B649" t="s">
        <v>5640</v>
      </c>
      <c r="C649" t="s">
        <v>5641</v>
      </c>
      <c r="D649" t="s">
        <v>11</v>
      </c>
      <c r="E649" t="s">
        <v>13</v>
      </c>
      <c r="F649" t="s">
        <v>729</v>
      </c>
      <c r="G649" t="s">
        <v>12</v>
      </c>
      <c r="I649" t="s">
        <v>5640</v>
      </c>
      <c r="J649" t="s">
        <v>6953</v>
      </c>
      <c r="K649">
        <v>57.788322016580807</v>
      </c>
      <c r="L649">
        <v>0.21465746809449249</v>
      </c>
      <c r="M649">
        <v>154.13889596040428</v>
      </c>
      <c r="N649">
        <v>169.55278555644472</v>
      </c>
    </row>
    <row r="650" spans="1:14">
      <c r="A650" t="s">
        <v>726</v>
      </c>
      <c r="B650" t="s">
        <v>5642</v>
      </c>
      <c r="C650" t="s">
        <v>5643</v>
      </c>
      <c r="D650" t="s">
        <v>11</v>
      </c>
      <c r="E650" t="s">
        <v>13</v>
      </c>
      <c r="F650" t="s">
        <v>729</v>
      </c>
      <c r="G650" t="s">
        <v>12</v>
      </c>
      <c r="I650" t="s">
        <v>5642</v>
      </c>
      <c r="J650" t="s">
        <v>6954</v>
      </c>
      <c r="K650">
        <v>29.460904222180961</v>
      </c>
      <c r="L650">
        <v>0.16360688774658111</v>
      </c>
      <c r="M650">
        <v>181.78032274551788</v>
      </c>
      <c r="N650">
        <v>199.95835502006969</v>
      </c>
    </row>
    <row r="651" spans="1:14">
      <c r="A651" t="s">
        <v>726</v>
      </c>
      <c r="B651" t="s">
        <v>5644</v>
      </c>
      <c r="C651" t="s">
        <v>5645</v>
      </c>
      <c r="D651" t="s">
        <v>11</v>
      </c>
      <c r="E651" t="s">
        <v>13</v>
      </c>
      <c r="F651" t="s">
        <v>729</v>
      </c>
      <c r="G651" t="s">
        <v>12</v>
      </c>
      <c r="I651" t="s">
        <v>5644</v>
      </c>
      <c r="J651" t="s">
        <v>6955</v>
      </c>
      <c r="K651">
        <v>6.1741294381098566</v>
      </c>
      <c r="L651">
        <v>0.13699060627161469</v>
      </c>
      <c r="M651">
        <v>68.435977509503658</v>
      </c>
      <c r="N651">
        <v>75.279575260454024</v>
      </c>
    </row>
    <row r="652" spans="1:14">
      <c r="A652" t="s">
        <v>726</v>
      </c>
      <c r="B652" t="s">
        <v>5646</v>
      </c>
      <c r="C652" t="s">
        <v>5647</v>
      </c>
      <c r="D652" t="s">
        <v>11</v>
      </c>
      <c r="E652" t="s">
        <v>13</v>
      </c>
      <c r="F652" t="s">
        <v>729</v>
      </c>
      <c r="G652" t="s">
        <v>12</v>
      </c>
      <c r="I652" t="s">
        <v>5646</v>
      </c>
      <c r="J652" t="s">
        <v>6956</v>
      </c>
      <c r="K652">
        <v>18.116392433554569</v>
      </c>
      <c r="L652">
        <v>0.1322024613245778</v>
      </c>
      <c r="M652">
        <v>140.5433687285981</v>
      </c>
      <c r="N652">
        <v>154.59770560145793</v>
      </c>
    </row>
    <row r="653" spans="1:14">
      <c r="A653" t="s">
        <v>726</v>
      </c>
      <c r="B653" t="s">
        <v>5648</v>
      </c>
      <c r="C653" t="s">
        <v>5649</v>
      </c>
      <c r="D653" t="s">
        <v>11</v>
      </c>
      <c r="E653" t="s">
        <v>13</v>
      </c>
      <c r="F653" t="s">
        <v>729</v>
      </c>
      <c r="G653" t="s">
        <v>12</v>
      </c>
      <c r="I653" t="s">
        <v>5648</v>
      </c>
      <c r="J653" t="s">
        <v>6957</v>
      </c>
      <c r="K653">
        <v>7.8733056925520959</v>
      </c>
      <c r="L653">
        <v>0.1555577282247167</v>
      </c>
      <c r="M653">
        <v>36.238133675578929</v>
      </c>
      <c r="N653">
        <v>39.861947043136823</v>
      </c>
    </row>
    <row r="654" spans="1:14">
      <c r="A654" t="s">
        <v>726</v>
      </c>
      <c r="B654" t="s">
        <v>5650</v>
      </c>
      <c r="C654" t="s">
        <v>5651</v>
      </c>
      <c r="D654" t="s">
        <v>11</v>
      </c>
      <c r="E654" t="s">
        <v>13</v>
      </c>
      <c r="F654" t="s">
        <v>729</v>
      </c>
      <c r="G654" t="s">
        <v>12</v>
      </c>
      <c r="I654" t="s">
        <v>5650</v>
      </c>
      <c r="J654" t="s">
        <v>6958</v>
      </c>
      <c r="K654">
        <v>4.0829980758451399</v>
      </c>
      <c r="L654">
        <v>0.32478037917333652</v>
      </c>
      <c r="M654">
        <v>26.96906213469898</v>
      </c>
      <c r="N654">
        <v>29.665968348168882</v>
      </c>
    </row>
    <row r="655" spans="1:14">
      <c r="A655" t="s">
        <v>726</v>
      </c>
      <c r="B655" t="s">
        <v>5652</v>
      </c>
      <c r="C655" t="s">
        <v>5653</v>
      </c>
      <c r="D655" t="s">
        <v>11</v>
      </c>
      <c r="E655" t="s">
        <v>13</v>
      </c>
      <c r="F655" t="s">
        <v>729</v>
      </c>
      <c r="G655" t="s">
        <v>12</v>
      </c>
      <c r="I655" t="s">
        <v>5652</v>
      </c>
      <c r="J655" t="s">
        <v>6959</v>
      </c>
      <c r="K655">
        <v>2.1272329096366698</v>
      </c>
      <c r="L655">
        <v>0.15279996747129301</v>
      </c>
      <c r="M655">
        <v>18.372187283331183</v>
      </c>
      <c r="N655">
        <v>20.209406011664303</v>
      </c>
    </row>
    <row r="656" spans="1:14">
      <c r="A656" t="s">
        <v>726</v>
      </c>
      <c r="B656" t="s">
        <v>5654</v>
      </c>
      <c r="C656" t="s">
        <v>5655</v>
      </c>
      <c r="D656" t="s">
        <v>11</v>
      </c>
      <c r="E656" t="s">
        <v>13</v>
      </c>
      <c r="F656" t="s">
        <v>729</v>
      </c>
      <c r="G656" t="s">
        <v>12</v>
      </c>
      <c r="I656" t="s">
        <v>5654</v>
      </c>
      <c r="J656" t="s">
        <v>6960</v>
      </c>
      <c r="K656">
        <v>0.11149297987937609</v>
      </c>
      <c r="L656">
        <v>0.1274004959297024</v>
      </c>
      <c r="M656">
        <v>7.2163721182116429</v>
      </c>
      <c r="N656">
        <v>7.9380093300328083</v>
      </c>
    </row>
    <row r="657" spans="1:14">
      <c r="A657" t="s">
        <v>726</v>
      </c>
      <c r="B657" t="s">
        <v>5656</v>
      </c>
      <c r="C657" t="s">
        <v>5657</v>
      </c>
      <c r="D657" t="s">
        <v>11</v>
      </c>
      <c r="E657" t="s">
        <v>13</v>
      </c>
      <c r="F657" t="s">
        <v>729</v>
      </c>
      <c r="G657" t="s">
        <v>12</v>
      </c>
      <c r="I657" t="s">
        <v>5656</v>
      </c>
      <c r="J657" t="s">
        <v>6961</v>
      </c>
      <c r="K657">
        <v>8.5657733251619455</v>
      </c>
      <c r="L657">
        <v>0.51782275367616915</v>
      </c>
      <c r="M657">
        <v>24.173964255691484</v>
      </c>
      <c r="N657">
        <v>26.591360681260635</v>
      </c>
    </row>
    <row r="658" spans="1:14">
      <c r="A658" t="s">
        <v>726</v>
      </c>
      <c r="B658" t="s">
        <v>5658</v>
      </c>
      <c r="C658" t="s">
        <v>5659</v>
      </c>
      <c r="D658" t="s">
        <v>11</v>
      </c>
      <c r="E658" t="s">
        <v>13</v>
      </c>
      <c r="F658" t="s">
        <v>729</v>
      </c>
      <c r="G658" t="s">
        <v>12</v>
      </c>
      <c r="I658" t="s">
        <v>5658</v>
      </c>
      <c r="J658" t="s">
        <v>6962</v>
      </c>
      <c r="K658">
        <v>44.268262402271546</v>
      </c>
      <c r="L658">
        <v>0.33878411437415151</v>
      </c>
      <c r="M658">
        <v>22.53819384030303</v>
      </c>
      <c r="N658">
        <v>24.792013224333335</v>
      </c>
    </row>
    <row r="659" spans="1:14">
      <c r="A659" t="s">
        <v>726</v>
      </c>
      <c r="B659" t="s">
        <v>5660</v>
      </c>
      <c r="C659" t="s">
        <v>5661</v>
      </c>
      <c r="D659" t="s">
        <v>11</v>
      </c>
      <c r="E659" t="s">
        <v>13</v>
      </c>
      <c r="F659" t="s">
        <v>729</v>
      </c>
      <c r="G659" t="s">
        <v>12</v>
      </c>
      <c r="I659" t="s">
        <v>5660</v>
      </c>
      <c r="J659" t="s">
        <v>6963</v>
      </c>
      <c r="K659">
        <v>30.627600211004506</v>
      </c>
      <c r="L659">
        <v>0.3939655161243531</v>
      </c>
      <c r="M659">
        <v>13.786752483341711</v>
      </c>
      <c r="N659">
        <v>15.165427731675884</v>
      </c>
    </row>
    <row r="660" spans="1:14">
      <c r="A660" t="s">
        <v>726</v>
      </c>
      <c r="B660" t="s">
        <v>5662</v>
      </c>
      <c r="C660" t="s">
        <v>5663</v>
      </c>
      <c r="D660" t="s">
        <v>11</v>
      </c>
      <c r="E660" t="s">
        <v>13</v>
      </c>
      <c r="F660" t="s">
        <v>729</v>
      </c>
      <c r="G660" t="s">
        <v>12</v>
      </c>
      <c r="I660" t="s">
        <v>5662</v>
      </c>
      <c r="J660" t="s">
        <v>6964</v>
      </c>
      <c r="K660">
        <v>10.327395342701772</v>
      </c>
      <c r="L660">
        <v>9.9986813039652803E-2</v>
      </c>
      <c r="M660">
        <v>67.162196266952932</v>
      </c>
      <c r="N660">
        <v>73.878415893648238</v>
      </c>
    </row>
    <row r="661" spans="1:14">
      <c r="A661" t="s">
        <v>726</v>
      </c>
      <c r="B661" t="s">
        <v>5664</v>
      </c>
      <c r="C661" t="s">
        <v>5665</v>
      </c>
      <c r="D661" t="s">
        <v>11</v>
      </c>
      <c r="E661" t="s">
        <v>13</v>
      </c>
      <c r="F661" t="s">
        <v>729</v>
      </c>
      <c r="G661" t="s">
        <v>12</v>
      </c>
      <c r="I661" t="s">
        <v>5664</v>
      </c>
      <c r="J661" t="s">
        <v>6965</v>
      </c>
      <c r="K661">
        <v>79.811709988984532</v>
      </c>
      <c r="L661">
        <v>0.2256388087824516</v>
      </c>
      <c r="M661">
        <v>113.85411671944398</v>
      </c>
      <c r="N661">
        <v>125.23952839138839</v>
      </c>
    </row>
    <row r="662" spans="1:14">
      <c r="A662" t="s">
        <v>726</v>
      </c>
      <c r="B662" t="s">
        <v>5666</v>
      </c>
      <c r="C662" t="s">
        <v>5667</v>
      </c>
      <c r="D662" t="s">
        <v>11</v>
      </c>
      <c r="E662" t="s">
        <v>13</v>
      </c>
      <c r="F662" t="s">
        <v>729</v>
      </c>
      <c r="G662" t="s">
        <v>12</v>
      </c>
      <c r="I662" t="s">
        <v>5666</v>
      </c>
      <c r="J662" t="s">
        <v>6966</v>
      </c>
      <c r="K662">
        <v>13.106092647689003</v>
      </c>
      <c r="L662">
        <v>0.36020097269051871</v>
      </c>
      <c r="M662">
        <v>30.978903431478361</v>
      </c>
      <c r="N662">
        <v>34.076793774626204</v>
      </c>
    </row>
    <row r="663" spans="1:14">
      <c r="A663" t="s">
        <v>726</v>
      </c>
      <c r="B663" t="s">
        <v>5668</v>
      </c>
      <c r="C663" t="s">
        <v>5669</v>
      </c>
      <c r="D663" t="s">
        <v>11</v>
      </c>
      <c r="E663" t="s">
        <v>13</v>
      </c>
      <c r="F663" t="s">
        <v>729</v>
      </c>
      <c r="G663" t="s">
        <v>12</v>
      </c>
      <c r="I663" t="s">
        <v>5668</v>
      </c>
      <c r="J663" t="s">
        <v>6967</v>
      </c>
      <c r="K663">
        <v>76.935205788354125</v>
      </c>
      <c r="L663">
        <v>0.32903996561321031</v>
      </c>
      <c r="M663">
        <v>43.996618500282437</v>
      </c>
      <c r="N663">
        <v>48.396280350310683</v>
      </c>
    </row>
    <row r="664" spans="1:14">
      <c r="A664" t="s">
        <v>726</v>
      </c>
      <c r="B664" t="s">
        <v>5670</v>
      </c>
      <c r="C664" t="s">
        <v>5671</v>
      </c>
      <c r="D664" t="s">
        <v>11</v>
      </c>
      <c r="E664" t="s">
        <v>13</v>
      </c>
      <c r="F664" t="s">
        <v>729</v>
      </c>
      <c r="G664" t="s">
        <v>12</v>
      </c>
      <c r="I664" t="s">
        <v>5670</v>
      </c>
      <c r="J664" t="s">
        <v>6968</v>
      </c>
      <c r="K664">
        <v>5.8260226515907778</v>
      </c>
      <c r="L664">
        <v>0.12232067382194881</v>
      </c>
      <c r="M664">
        <v>56.856754092536612</v>
      </c>
      <c r="N664">
        <v>62.542429501790281</v>
      </c>
    </row>
    <row r="665" spans="1:14">
      <c r="A665" t="s">
        <v>726</v>
      </c>
      <c r="B665" t="s">
        <v>5672</v>
      </c>
      <c r="C665" t="s">
        <v>5673</v>
      </c>
      <c r="D665" t="s">
        <v>11</v>
      </c>
      <c r="E665" t="s">
        <v>13</v>
      </c>
      <c r="F665" t="s">
        <v>729</v>
      </c>
      <c r="G665" t="s">
        <v>12</v>
      </c>
      <c r="I665" t="s">
        <v>5672</v>
      </c>
      <c r="J665" t="s">
        <v>6969</v>
      </c>
      <c r="K665">
        <v>14.66377349942011</v>
      </c>
      <c r="L665">
        <v>0.13023299080388381</v>
      </c>
      <c r="M665">
        <v>25.784411511101784</v>
      </c>
      <c r="N665">
        <v>28.362852662211964</v>
      </c>
    </row>
    <row r="666" spans="1:14">
      <c r="A666" t="s">
        <v>726</v>
      </c>
      <c r="B666" t="s">
        <v>5674</v>
      </c>
      <c r="C666" t="s">
        <v>5675</v>
      </c>
      <c r="D666" t="s">
        <v>11</v>
      </c>
      <c r="E666" t="s">
        <v>13</v>
      </c>
      <c r="F666" t="s">
        <v>729</v>
      </c>
      <c r="G666" t="s">
        <v>12</v>
      </c>
      <c r="I666" t="s">
        <v>5674</v>
      </c>
      <c r="J666" t="s">
        <v>6970</v>
      </c>
      <c r="K666">
        <v>50.904041900288625</v>
      </c>
      <c r="L666">
        <v>0.37157362743212041</v>
      </c>
      <c r="M666">
        <v>90.883790583540957</v>
      </c>
      <c r="N666">
        <v>99.972169641895064</v>
      </c>
    </row>
    <row r="667" spans="1:14">
      <c r="A667" t="s">
        <v>726</v>
      </c>
      <c r="B667" t="s">
        <v>5676</v>
      </c>
      <c r="C667" t="s">
        <v>5677</v>
      </c>
      <c r="D667" t="s">
        <v>11</v>
      </c>
      <c r="E667" t="s">
        <v>13</v>
      </c>
      <c r="F667" t="s">
        <v>729</v>
      </c>
      <c r="G667" t="s">
        <v>12</v>
      </c>
      <c r="I667" t="s">
        <v>5676</v>
      </c>
      <c r="J667" t="s">
        <v>6971</v>
      </c>
      <c r="K667">
        <v>30.271312154499352</v>
      </c>
      <c r="L667">
        <v>0.34977720411849628</v>
      </c>
      <c r="M667">
        <v>93.587755491822122</v>
      </c>
      <c r="N667">
        <v>102.94653104100435</v>
      </c>
    </row>
    <row r="668" spans="1:14">
      <c r="A668" t="s">
        <v>726</v>
      </c>
      <c r="B668" t="s">
        <v>5678</v>
      </c>
      <c r="C668" t="s">
        <v>5679</v>
      </c>
      <c r="D668" t="s">
        <v>11</v>
      </c>
      <c r="E668" t="s">
        <v>13</v>
      </c>
      <c r="F668" t="s">
        <v>729</v>
      </c>
      <c r="G668" t="s">
        <v>12</v>
      </c>
      <c r="I668" t="s">
        <v>5678</v>
      </c>
      <c r="J668" t="s">
        <v>6972</v>
      </c>
      <c r="K668">
        <v>51.808226838392258</v>
      </c>
      <c r="L668">
        <v>0.26865590949280649</v>
      </c>
      <c r="M668">
        <v>116.8821686048212</v>
      </c>
      <c r="N668">
        <v>128.57038546530333</v>
      </c>
    </row>
    <row r="669" spans="1:14">
      <c r="A669" t="s">
        <v>726</v>
      </c>
      <c r="B669" t="s">
        <v>5680</v>
      </c>
      <c r="C669" t="s">
        <v>5681</v>
      </c>
      <c r="D669" t="s">
        <v>11</v>
      </c>
      <c r="E669" t="s">
        <v>13</v>
      </c>
      <c r="F669" t="s">
        <v>729</v>
      </c>
      <c r="G669" t="s">
        <v>12</v>
      </c>
      <c r="I669" t="s">
        <v>5680</v>
      </c>
      <c r="J669" t="s">
        <v>6973</v>
      </c>
      <c r="K669">
        <v>70.838208634440321</v>
      </c>
      <c r="L669">
        <v>0.23942423743454491</v>
      </c>
      <c r="M669">
        <v>450.25342040579608</v>
      </c>
      <c r="N669">
        <v>495.27876244637571</v>
      </c>
    </row>
    <row r="670" spans="1:14">
      <c r="A670" t="s">
        <v>726</v>
      </c>
      <c r="B670" t="s">
        <v>5682</v>
      </c>
      <c r="C670" t="s">
        <v>5683</v>
      </c>
      <c r="D670" t="s">
        <v>11</v>
      </c>
      <c r="E670" t="s">
        <v>13</v>
      </c>
      <c r="F670" t="s">
        <v>729</v>
      </c>
      <c r="G670" t="s">
        <v>12</v>
      </c>
      <c r="I670" t="s">
        <v>5682</v>
      </c>
      <c r="J670" t="s">
        <v>6974</v>
      </c>
      <c r="K670">
        <v>22.904004522536177</v>
      </c>
      <c r="L670">
        <v>0.19752835157329379</v>
      </c>
      <c r="M670">
        <v>104.88814072743816</v>
      </c>
      <c r="N670">
        <v>115.37695480018198</v>
      </c>
    </row>
    <row r="671" spans="1:14">
      <c r="A671" t="s">
        <v>726</v>
      </c>
      <c r="B671" t="s">
        <v>5684</v>
      </c>
      <c r="C671" t="s">
        <v>5683</v>
      </c>
      <c r="D671" t="s">
        <v>11</v>
      </c>
      <c r="E671" t="s">
        <v>13</v>
      </c>
      <c r="F671" t="s">
        <v>729</v>
      </c>
      <c r="G671" t="s">
        <v>12</v>
      </c>
      <c r="I671" t="s">
        <v>5684</v>
      </c>
      <c r="J671" t="s">
        <v>6975</v>
      </c>
      <c r="K671">
        <v>11.192897228103847</v>
      </c>
      <c r="L671">
        <v>0.1376540118450536</v>
      </c>
      <c r="M671">
        <v>152.25145091961963</v>
      </c>
      <c r="N671">
        <v>167.47659601158159</v>
      </c>
    </row>
    <row r="672" spans="1:14">
      <c r="A672" t="s">
        <v>726</v>
      </c>
      <c r="B672" t="s">
        <v>5685</v>
      </c>
      <c r="C672" t="s">
        <v>5686</v>
      </c>
      <c r="D672" t="s">
        <v>11</v>
      </c>
      <c r="E672" t="s">
        <v>13</v>
      </c>
      <c r="F672" t="s">
        <v>729</v>
      </c>
      <c r="G672" t="s">
        <v>12</v>
      </c>
      <c r="I672" t="s">
        <v>5685</v>
      </c>
      <c r="J672" t="s">
        <v>6976</v>
      </c>
      <c r="K672">
        <v>15.395767843348871</v>
      </c>
      <c r="L672">
        <v>0.20294508314718829</v>
      </c>
      <c r="M672">
        <v>227.82110644380529</v>
      </c>
      <c r="N672">
        <v>250.60321708818583</v>
      </c>
    </row>
    <row r="673" spans="1:14">
      <c r="A673" t="s">
        <v>726</v>
      </c>
      <c r="B673" t="s">
        <v>5687</v>
      </c>
      <c r="C673" t="s">
        <v>5688</v>
      </c>
      <c r="D673" t="s">
        <v>11</v>
      </c>
      <c r="E673" t="s">
        <v>13</v>
      </c>
      <c r="F673" t="s">
        <v>729</v>
      </c>
      <c r="G673" t="s">
        <v>12</v>
      </c>
      <c r="I673" t="s">
        <v>5687</v>
      </c>
      <c r="J673" t="s">
        <v>6977</v>
      </c>
      <c r="K673">
        <v>9.2639145053828607</v>
      </c>
      <c r="L673">
        <v>0.10819314089414719</v>
      </c>
      <c r="M673">
        <v>297.92365406894328</v>
      </c>
      <c r="N673">
        <v>327.71601947583764</v>
      </c>
    </row>
    <row r="674" spans="1:14">
      <c r="A674" t="s">
        <v>726</v>
      </c>
      <c r="B674" t="s">
        <v>5689</v>
      </c>
      <c r="C674" t="s">
        <v>5690</v>
      </c>
      <c r="D674" t="s">
        <v>11</v>
      </c>
      <c r="E674" t="s">
        <v>13</v>
      </c>
      <c r="F674" t="s">
        <v>729</v>
      </c>
      <c r="G674" t="s">
        <v>12</v>
      </c>
      <c r="I674" t="s">
        <v>5689</v>
      </c>
      <c r="J674" t="s">
        <v>6978</v>
      </c>
      <c r="K674">
        <v>29.785238190336571</v>
      </c>
      <c r="L674">
        <v>0.2311296377432466</v>
      </c>
      <c r="M674">
        <v>308.72938626229848</v>
      </c>
      <c r="N674">
        <v>339.60232488852836</v>
      </c>
    </row>
    <row r="675" spans="1:14">
      <c r="A675" t="s">
        <v>726</v>
      </c>
      <c r="B675" t="s">
        <v>5691</v>
      </c>
      <c r="C675" t="s">
        <v>5692</v>
      </c>
      <c r="D675" t="s">
        <v>11</v>
      </c>
      <c r="E675" t="s">
        <v>13</v>
      </c>
      <c r="F675" t="s">
        <v>729</v>
      </c>
      <c r="G675" t="s">
        <v>12</v>
      </c>
      <c r="I675" t="s">
        <v>5691</v>
      </c>
      <c r="J675" t="s">
        <v>6979</v>
      </c>
      <c r="K675">
        <v>33.480966579625957</v>
      </c>
      <c r="L675">
        <v>0.28791907807905892</v>
      </c>
      <c r="M675">
        <v>267.24890828051269</v>
      </c>
      <c r="N675">
        <v>293.97379910856398</v>
      </c>
    </row>
    <row r="676" spans="1:14">
      <c r="A676" t="s">
        <v>726</v>
      </c>
      <c r="B676" t="s">
        <v>5693</v>
      </c>
      <c r="C676" t="s">
        <v>5694</v>
      </c>
      <c r="D676" t="s">
        <v>11</v>
      </c>
      <c r="E676" t="s">
        <v>13</v>
      </c>
      <c r="F676" t="s">
        <v>729</v>
      </c>
      <c r="G676" t="s">
        <v>12</v>
      </c>
      <c r="I676" t="s">
        <v>5693</v>
      </c>
      <c r="J676" t="s">
        <v>6980</v>
      </c>
      <c r="K676">
        <v>86.452910621971256</v>
      </c>
      <c r="L676">
        <v>0.27686167247541937</v>
      </c>
      <c r="M676">
        <v>196.89159134566864</v>
      </c>
      <c r="N676">
        <v>216.58075048023554</v>
      </c>
    </row>
    <row r="677" spans="1:14">
      <c r="A677" t="s">
        <v>726</v>
      </c>
      <c r="B677" t="s">
        <v>5695</v>
      </c>
      <c r="C677" t="s">
        <v>5694</v>
      </c>
      <c r="D677" t="s">
        <v>11</v>
      </c>
      <c r="E677" t="s">
        <v>13</v>
      </c>
      <c r="F677" t="s">
        <v>729</v>
      </c>
      <c r="G677" t="s">
        <v>12</v>
      </c>
      <c r="I677" t="s">
        <v>5695</v>
      </c>
      <c r="J677" t="s">
        <v>6981</v>
      </c>
      <c r="K677">
        <v>7.6839561135040135</v>
      </c>
      <c r="L677">
        <v>0.13452476289121801</v>
      </c>
      <c r="M677">
        <v>93.372691740133362</v>
      </c>
      <c r="N677">
        <v>102.70996091414671</v>
      </c>
    </row>
    <row r="678" spans="1:14">
      <c r="A678" t="s">
        <v>726</v>
      </c>
      <c r="B678" t="s">
        <v>5696</v>
      </c>
      <c r="C678" t="s">
        <v>5697</v>
      </c>
      <c r="D678" t="s">
        <v>11</v>
      </c>
      <c r="E678" t="s">
        <v>13</v>
      </c>
      <c r="F678" t="s">
        <v>729</v>
      </c>
      <c r="G678" t="s">
        <v>12</v>
      </c>
      <c r="I678" t="s">
        <v>5696</v>
      </c>
      <c r="J678" t="s">
        <v>6982</v>
      </c>
      <c r="K678">
        <v>100.3631338807218</v>
      </c>
      <c r="L678">
        <v>0.27788563711771241</v>
      </c>
      <c r="M678">
        <v>351.60505619233146</v>
      </c>
      <c r="N678">
        <v>386.76556181156462</v>
      </c>
    </row>
    <row r="679" spans="1:14">
      <c r="A679" t="s">
        <v>726</v>
      </c>
      <c r="B679" t="s">
        <v>5698</v>
      </c>
      <c r="C679" t="s">
        <v>5699</v>
      </c>
      <c r="D679" t="s">
        <v>11</v>
      </c>
      <c r="E679" t="s">
        <v>13</v>
      </c>
      <c r="F679" t="s">
        <v>729</v>
      </c>
      <c r="G679" t="s">
        <v>12</v>
      </c>
      <c r="I679" t="s">
        <v>5698</v>
      </c>
      <c r="J679" t="s">
        <v>6983</v>
      </c>
      <c r="K679">
        <v>10.426692471734365</v>
      </c>
      <c r="L679">
        <v>0.1699605154741296</v>
      </c>
      <c r="M679">
        <v>69.84787248850968</v>
      </c>
      <c r="N679">
        <v>76.832659737360657</v>
      </c>
    </row>
    <row r="680" spans="1:14">
      <c r="A680" t="s">
        <v>726</v>
      </c>
      <c r="B680" t="s">
        <v>5700</v>
      </c>
      <c r="C680" t="s">
        <v>5701</v>
      </c>
      <c r="D680" t="s">
        <v>11</v>
      </c>
      <c r="E680" t="s">
        <v>13</v>
      </c>
      <c r="F680" t="s">
        <v>729</v>
      </c>
      <c r="G680" t="s">
        <v>12</v>
      </c>
      <c r="I680" t="s">
        <v>5700</v>
      </c>
      <c r="J680" t="s">
        <v>6984</v>
      </c>
      <c r="K680">
        <v>29.423506140055128</v>
      </c>
      <c r="L680">
        <v>0.26822909709925419</v>
      </c>
      <c r="M680">
        <v>63.129318135057652</v>
      </c>
      <c r="N680">
        <v>69.442249948563429</v>
      </c>
    </row>
    <row r="681" spans="1:14">
      <c r="A681" t="s">
        <v>726</v>
      </c>
      <c r="B681" t="s">
        <v>5702</v>
      </c>
      <c r="C681" t="s">
        <v>5703</v>
      </c>
      <c r="D681" t="s">
        <v>11</v>
      </c>
      <c r="E681" t="s">
        <v>13</v>
      </c>
      <c r="F681" t="s">
        <v>729</v>
      </c>
      <c r="G681" t="s">
        <v>12</v>
      </c>
      <c r="I681" t="s">
        <v>5702</v>
      </c>
      <c r="J681" t="s">
        <v>6985</v>
      </c>
      <c r="K681">
        <v>37.427968683275282</v>
      </c>
      <c r="L681">
        <v>0.28044676857057699</v>
      </c>
      <c r="M681">
        <v>142.72841951264652</v>
      </c>
      <c r="N681">
        <v>157.00126146391119</v>
      </c>
    </row>
    <row r="682" spans="1:14">
      <c r="A682" t="s">
        <v>726</v>
      </c>
      <c r="B682" t="s">
        <v>5704</v>
      </c>
      <c r="C682" t="s">
        <v>5705</v>
      </c>
      <c r="D682" t="s">
        <v>11</v>
      </c>
      <c r="E682" t="s">
        <v>13</v>
      </c>
      <c r="F682" t="s">
        <v>729</v>
      </c>
      <c r="G682" t="s">
        <v>12</v>
      </c>
      <c r="I682" t="s">
        <v>5704</v>
      </c>
      <c r="J682" t="s">
        <v>6986</v>
      </c>
      <c r="K682">
        <v>10.450669299489233</v>
      </c>
      <c r="L682">
        <v>0.16175910222248269</v>
      </c>
      <c r="M682">
        <v>303.74537963711867</v>
      </c>
      <c r="N682">
        <v>334.11991760083055</v>
      </c>
    </row>
    <row r="683" spans="1:14">
      <c r="A683" t="s">
        <v>726</v>
      </c>
      <c r="B683" t="s">
        <v>5706</v>
      </c>
      <c r="C683" t="s">
        <v>5705</v>
      </c>
      <c r="D683" t="s">
        <v>11</v>
      </c>
      <c r="E683" t="s">
        <v>13</v>
      </c>
      <c r="F683" t="s">
        <v>729</v>
      </c>
      <c r="G683" t="s">
        <v>12</v>
      </c>
      <c r="I683" t="s">
        <v>5706</v>
      </c>
      <c r="J683" t="s">
        <v>6987</v>
      </c>
      <c r="K683">
        <v>88.628397048312138</v>
      </c>
      <c r="L683">
        <v>0.23444562360995341</v>
      </c>
      <c r="M683">
        <v>506.3418173487932</v>
      </c>
      <c r="N683">
        <v>556.9759990836726</v>
      </c>
    </row>
    <row r="684" spans="1:14">
      <c r="A684" t="s">
        <v>726</v>
      </c>
      <c r="B684" t="s">
        <v>5707</v>
      </c>
      <c r="C684" t="s">
        <v>5708</v>
      </c>
      <c r="D684" t="s">
        <v>11</v>
      </c>
      <c r="E684" t="s">
        <v>13</v>
      </c>
      <c r="F684" t="s">
        <v>729</v>
      </c>
      <c r="G684" t="s">
        <v>12</v>
      </c>
      <c r="I684" t="s">
        <v>5707</v>
      </c>
      <c r="J684" t="s">
        <v>6988</v>
      </c>
      <c r="K684">
        <v>54.537970057598486</v>
      </c>
      <c r="L684">
        <v>0.14572135328768601</v>
      </c>
      <c r="M684">
        <v>425.18434404921351</v>
      </c>
      <c r="N684">
        <v>467.70277845413489</v>
      </c>
    </row>
    <row r="685" spans="1:14">
      <c r="A685" t="s">
        <v>726</v>
      </c>
      <c r="B685" t="s">
        <v>5709</v>
      </c>
      <c r="C685" t="s">
        <v>5705</v>
      </c>
      <c r="D685" t="s">
        <v>11</v>
      </c>
      <c r="E685" t="s">
        <v>13</v>
      </c>
      <c r="F685" t="s">
        <v>729</v>
      </c>
      <c r="G685" t="s">
        <v>12</v>
      </c>
      <c r="I685" t="s">
        <v>5709</v>
      </c>
      <c r="J685" t="s">
        <v>6989</v>
      </c>
      <c r="K685">
        <v>17.084502393883497</v>
      </c>
      <c r="L685">
        <v>0.1276210229926858</v>
      </c>
      <c r="M685">
        <v>163.65781041176172</v>
      </c>
      <c r="N685">
        <v>180.02359145293789</v>
      </c>
    </row>
    <row r="686" spans="1:14">
      <c r="A686" t="s">
        <v>726</v>
      </c>
      <c r="B686" t="s">
        <v>5710</v>
      </c>
      <c r="C686" t="s">
        <v>5708</v>
      </c>
      <c r="D686" t="s">
        <v>11</v>
      </c>
      <c r="E686" t="s">
        <v>13</v>
      </c>
      <c r="F686" t="s">
        <v>729</v>
      </c>
      <c r="G686" t="s">
        <v>12</v>
      </c>
      <c r="I686" t="s">
        <v>5710</v>
      </c>
      <c r="J686" t="s">
        <v>6990</v>
      </c>
      <c r="K686">
        <v>48.700337437794083</v>
      </c>
      <c r="L686">
        <v>0.1685260573462635</v>
      </c>
      <c r="M686">
        <v>341.53524659956122</v>
      </c>
      <c r="N686">
        <v>375.68877125951735</v>
      </c>
    </row>
    <row r="687" spans="1:14">
      <c r="A687" t="s">
        <v>726</v>
      </c>
      <c r="B687" t="s">
        <v>5711</v>
      </c>
      <c r="C687" t="s">
        <v>5712</v>
      </c>
      <c r="D687" t="s">
        <v>11</v>
      </c>
      <c r="E687" t="s">
        <v>13</v>
      </c>
      <c r="F687" t="s">
        <v>729</v>
      </c>
      <c r="G687" t="s">
        <v>12</v>
      </c>
      <c r="I687" t="s">
        <v>5711</v>
      </c>
      <c r="J687" t="s">
        <v>6991</v>
      </c>
      <c r="K687">
        <v>30.238601299459212</v>
      </c>
      <c r="L687">
        <v>0.134982733069101</v>
      </c>
      <c r="M687">
        <v>82.000283825265512</v>
      </c>
      <c r="N687">
        <v>90.200312207792066</v>
      </c>
    </row>
    <row r="688" spans="1:14">
      <c r="A688" t="s">
        <v>726</v>
      </c>
      <c r="B688" t="s">
        <v>5713</v>
      </c>
      <c r="C688" t="s">
        <v>5714</v>
      </c>
      <c r="D688" t="s">
        <v>11</v>
      </c>
      <c r="E688" t="s">
        <v>13</v>
      </c>
      <c r="F688" t="s">
        <v>729</v>
      </c>
      <c r="G688" t="s">
        <v>12</v>
      </c>
      <c r="I688" t="s">
        <v>5713</v>
      </c>
      <c r="J688" t="s">
        <v>6992</v>
      </c>
      <c r="K688">
        <v>0.76115420553171298</v>
      </c>
      <c r="L688">
        <v>8.2528193003812395E-2</v>
      </c>
      <c r="M688">
        <v>187.98822368521027</v>
      </c>
      <c r="N688">
        <v>206.7870460537313</v>
      </c>
    </row>
    <row r="689" spans="1:14">
      <c r="A689" t="s">
        <v>726</v>
      </c>
      <c r="B689" t="s">
        <v>5715</v>
      </c>
      <c r="C689" t="s">
        <v>5716</v>
      </c>
      <c r="D689" t="s">
        <v>11</v>
      </c>
      <c r="E689" t="s">
        <v>13</v>
      </c>
      <c r="F689" t="s">
        <v>729</v>
      </c>
      <c r="G689" t="s">
        <v>12</v>
      </c>
      <c r="I689" t="s">
        <v>5715</v>
      </c>
      <c r="J689" t="s">
        <v>6993</v>
      </c>
      <c r="K689">
        <v>0.33109421525514993</v>
      </c>
      <c r="L689">
        <v>9.4917875119699902E-2</v>
      </c>
      <c r="M689">
        <v>156.57388891145777</v>
      </c>
      <c r="N689">
        <v>172.23127780260356</v>
      </c>
    </row>
    <row r="690" spans="1:14">
      <c r="A690" t="s">
        <v>726</v>
      </c>
      <c r="B690" t="s">
        <v>5717</v>
      </c>
      <c r="C690" t="s">
        <v>5718</v>
      </c>
      <c r="D690" t="s">
        <v>11</v>
      </c>
      <c r="E690" t="s">
        <v>13</v>
      </c>
      <c r="F690" t="s">
        <v>729</v>
      </c>
      <c r="G690" t="s">
        <v>12</v>
      </c>
      <c r="I690" t="s">
        <v>5717</v>
      </c>
      <c r="J690" t="s">
        <v>6994</v>
      </c>
      <c r="K690">
        <v>12.779587429352993</v>
      </c>
      <c r="L690">
        <v>0.22847274438698731</v>
      </c>
      <c r="M690">
        <v>107.46511226737184</v>
      </c>
      <c r="N690">
        <v>118.21162349410903</v>
      </c>
    </row>
    <row r="691" spans="1:14">
      <c r="A691" t="s">
        <v>726</v>
      </c>
      <c r="B691" t="s">
        <v>5719</v>
      </c>
      <c r="C691" t="s">
        <v>5720</v>
      </c>
      <c r="D691" t="s">
        <v>11</v>
      </c>
      <c r="E691" t="s">
        <v>13</v>
      </c>
      <c r="F691" t="s">
        <v>729</v>
      </c>
      <c r="G691" t="s">
        <v>12</v>
      </c>
      <c r="I691" t="s">
        <v>5719</v>
      </c>
      <c r="J691" t="s">
        <v>6995</v>
      </c>
      <c r="K691">
        <v>9.6757434828667108</v>
      </c>
      <c r="L691">
        <v>0.16547267742220259</v>
      </c>
      <c r="M691">
        <v>49.394457684412856</v>
      </c>
      <c r="N691">
        <v>54.333903452854145</v>
      </c>
    </row>
    <row r="692" spans="1:14">
      <c r="A692" t="s">
        <v>726</v>
      </c>
      <c r="B692" t="s">
        <v>5721</v>
      </c>
      <c r="C692" t="s">
        <v>5722</v>
      </c>
      <c r="D692" t="s">
        <v>11</v>
      </c>
      <c r="E692" t="s">
        <v>13</v>
      </c>
      <c r="F692" t="s">
        <v>729</v>
      </c>
      <c r="G692" t="s">
        <v>12</v>
      </c>
      <c r="I692" t="s">
        <v>5721</v>
      </c>
      <c r="J692" t="s">
        <v>6996</v>
      </c>
      <c r="K692">
        <v>5.463943902961776</v>
      </c>
      <c r="L692">
        <v>0.18942642474233451</v>
      </c>
      <c r="M692">
        <v>92.113779180088855</v>
      </c>
      <c r="N692">
        <v>101.32515709809775</v>
      </c>
    </row>
    <row r="693" spans="1:14">
      <c r="A693" t="s">
        <v>726</v>
      </c>
      <c r="B693" t="s">
        <v>5723</v>
      </c>
      <c r="C693" t="s">
        <v>5724</v>
      </c>
      <c r="D693" t="s">
        <v>11</v>
      </c>
      <c r="E693" t="s">
        <v>13</v>
      </c>
      <c r="F693" t="s">
        <v>729</v>
      </c>
      <c r="G693" t="s">
        <v>12</v>
      </c>
      <c r="I693" t="s">
        <v>5723</v>
      </c>
      <c r="J693" t="s">
        <v>6997</v>
      </c>
      <c r="K693">
        <v>8.7454982021038479</v>
      </c>
      <c r="L693">
        <v>0.24164047182400261</v>
      </c>
      <c r="M693">
        <v>70.452753805409614</v>
      </c>
      <c r="N693">
        <v>77.498029185950585</v>
      </c>
    </row>
    <row r="694" spans="1:14">
      <c r="A694" t="s">
        <v>726</v>
      </c>
      <c r="B694" t="s">
        <v>5725</v>
      </c>
      <c r="C694" t="s">
        <v>5726</v>
      </c>
      <c r="D694" t="s">
        <v>11</v>
      </c>
      <c r="E694" t="s">
        <v>13</v>
      </c>
      <c r="F694" t="s">
        <v>729</v>
      </c>
      <c r="G694" t="s">
        <v>12</v>
      </c>
      <c r="I694" t="s">
        <v>5725</v>
      </c>
      <c r="J694" t="s">
        <v>6998</v>
      </c>
      <c r="K694">
        <v>6.9944810540117741</v>
      </c>
      <c r="L694">
        <v>0.3503948223012644</v>
      </c>
      <c r="M694">
        <v>61.712072180595221</v>
      </c>
      <c r="N694">
        <v>67.88327939865475</v>
      </c>
    </row>
    <row r="695" spans="1:14">
      <c r="A695" t="s">
        <v>726</v>
      </c>
      <c r="B695" t="s">
        <v>5727</v>
      </c>
      <c r="C695" t="s">
        <v>5728</v>
      </c>
      <c r="D695" t="s">
        <v>11</v>
      </c>
      <c r="E695" t="s">
        <v>13</v>
      </c>
      <c r="F695" t="s">
        <v>729</v>
      </c>
      <c r="G695" t="s">
        <v>12</v>
      </c>
      <c r="I695" t="s">
        <v>5727</v>
      </c>
      <c r="J695" t="s">
        <v>6999</v>
      </c>
      <c r="K695">
        <v>10.203727266680064</v>
      </c>
      <c r="L695">
        <v>0.1271147789398461</v>
      </c>
      <c r="M695">
        <v>46.369968691632337</v>
      </c>
      <c r="N695">
        <v>51.006965560795578</v>
      </c>
    </row>
    <row r="696" spans="1:14">
      <c r="A696" t="s">
        <v>726</v>
      </c>
      <c r="B696" t="s">
        <v>5729</v>
      </c>
      <c r="C696" t="s">
        <v>5730</v>
      </c>
      <c r="D696" t="s">
        <v>11</v>
      </c>
      <c r="E696" t="s">
        <v>13</v>
      </c>
      <c r="F696" t="s">
        <v>729</v>
      </c>
      <c r="G696" t="s">
        <v>12</v>
      </c>
      <c r="I696" t="s">
        <v>5729</v>
      </c>
      <c r="J696" t="s">
        <v>7000</v>
      </c>
      <c r="K696">
        <v>6.8605908115669951</v>
      </c>
      <c r="L696">
        <v>0.19368118744128041</v>
      </c>
      <c r="M696">
        <v>23.06450491600652</v>
      </c>
      <c r="N696">
        <v>25.370955407607173</v>
      </c>
    </row>
    <row r="697" spans="1:14">
      <c r="A697" t="s">
        <v>726</v>
      </c>
      <c r="B697" t="s">
        <v>5731</v>
      </c>
      <c r="C697" t="s">
        <v>5732</v>
      </c>
      <c r="D697" t="s">
        <v>11</v>
      </c>
      <c r="E697" t="s">
        <v>13</v>
      </c>
      <c r="F697" t="s">
        <v>729</v>
      </c>
      <c r="G697" t="s">
        <v>12</v>
      </c>
      <c r="I697" t="s">
        <v>5731</v>
      </c>
      <c r="J697" t="s">
        <v>7001</v>
      </c>
      <c r="K697">
        <v>5.0204025752861963</v>
      </c>
      <c r="L697">
        <v>0.1959645604147541</v>
      </c>
      <c r="M697">
        <v>30.424590608984104</v>
      </c>
      <c r="N697">
        <v>33.46704966988252</v>
      </c>
    </row>
    <row r="698" spans="1:14">
      <c r="A698" t="s">
        <v>726</v>
      </c>
      <c r="B698" t="s">
        <v>5733</v>
      </c>
      <c r="C698" t="s">
        <v>5734</v>
      </c>
      <c r="D698" t="s">
        <v>11</v>
      </c>
      <c r="E698" t="s">
        <v>13</v>
      </c>
      <c r="F698" t="s">
        <v>729</v>
      </c>
      <c r="G698" t="s">
        <v>12</v>
      </c>
      <c r="I698" t="s">
        <v>5733</v>
      </c>
      <c r="J698" t="s">
        <v>7002</v>
      </c>
      <c r="K698">
        <v>19.332899651620824</v>
      </c>
      <c r="L698">
        <v>0.16033528044049819</v>
      </c>
      <c r="M698">
        <v>28.674110888693164</v>
      </c>
      <c r="N698">
        <v>31.541521977562482</v>
      </c>
    </row>
    <row r="699" spans="1:14">
      <c r="A699" t="s">
        <v>726</v>
      </c>
      <c r="B699" t="s">
        <v>5735</v>
      </c>
      <c r="C699" t="s">
        <v>5736</v>
      </c>
      <c r="D699" t="s">
        <v>11</v>
      </c>
      <c r="E699" t="s">
        <v>13</v>
      </c>
      <c r="F699" t="s">
        <v>729</v>
      </c>
      <c r="G699" t="s">
        <v>12</v>
      </c>
      <c r="I699" t="s">
        <v>5735</v>
      </c>
      <c r="J699" t="s">
        <v>7003</v>
      </c>
      <c r="K699">
        <v>45.180988094973898</v>
      </c>
      <c r="L699">
        <v>0.1902786891298702</v>
      </c>
      <c r="M699">
        <v>19.614018094578604</v>
      </c>
      <c r="N699">
        <v>21.575419904036465</v>
      </c>
    </row>
    <row r="700" spans="1:14">
      <c r="A700" t="s">
        <v>726</v>
      </c>
      <c r="B700" t="s">
        <v>5737</v>
      </c>
      <c r="C700" t="s">
        <v>5738</v>
      </c>
      <c r="D700" t="s">
        <v>11</v>
      </c>
      <c r="E700" t="s">
        <v>13</v>
      </c>
      <c r="F700" t="s">
        <v>729</v>
      </c>
      <c r="G700" t="s">
        <v>12</v>
      </c>
      <c r="I700" t="s">
        <v>5737</v>
      </c>
      <c r="J700" t="s">
        <v>7004</v>
      </c>
      <c r="K700">
        <v>36.38587208458776</v>
      </c>
      <c r="L700">
        <v>0.26665333849903999</v>
      </c>
      <c r="M700">
        <v>28.744103808502004</v>
      </c>
      <c r="N700">
        <v>31.618514189352208</v>
      </c>
    </row>
    <row r="701" spans="1:14">
      <c r="A701" t="s">
        <v>726</v>
      </c>
      <c r="B701" t="s">
        <v>5739</v>
      </c>
      <c r="C701" t="s">
        <v>5740</v>
      </c>
      <c r="D701" t="s">
        <v>11</v>
      </c>
      <c r="E701" t="s">
        <v>13</v>
      </c>
      <c r="F701" t="s">
        <v>729</v>
      </c>
      <c r="G701" t="s">
        <v>12</v>
      </c>
      <c r="I701" t="s">
        <v>5739</v>
      </c>
      <c r="J701" t="s">
        <v>7005</v>
      </c>
      <c r="K701">
        <v>24.259367820383943</v>
      </c>
      <c r="L701">
        <v>0.1336776091186114</v>
      </c>
      <c r="M701">
        <v>14.797670158180503</v>
      </c>
      <c r="N701">
        <v>16.277437173998557</v>
      </c>
    </row>
    <row r="702" spans="1:14">
      <c r="A702" t="s">
        <v>726</v>
      </c>
      <c r="B702" t="s">
        <v>5741</v>
      </c>
      <c r="C702" t="s">
        <v>5742</v>
      </c>
      <c r="D702" t="s">
        <v>11</v>
      </c>
      <c r="E702" t="s">
        <v>13</v>
      </c>
      <c r="F702" t="s">
        <v>729</v>
      </c>
      <c r="G702" t="s">
        <v>12</v>
      </c>
      <c r="I702" t="s">
        <v>5741</v>
      </c>
      <c r="J702" t="s">
        <v>7006</v>
      </c>
      <c r="K702">
        <v>0.96872324549473954</v>
      </c>
      <c r="L702">
        <v>0.20785822524965231</v>
      </c>
      <c r="M702">
        <v>368.2766983740633</v>
      </c>
      <c r="N702">
        <v>405.10436821146965</v>
      </c>
    </row>
    <row r="703" spans="1:14">
      <c r="A703" t="s">
        <v>726</v>
      </c>
      <c r="B703" t="s">
        <v>5743</v>
      </c>
      <c r="C703" t="s">
        <v>5744</v>
      </c>
      <c r="D703" t="s">
        <v>11</v>
      </c>
      <c r="E703" t="s">
        <v>13</v>
      </c>
      <c r="F703" t="s">
        <v>729</v>
      </c>
      <c r="G703" t="s">
        <v>12</v>
      </c>
      <c r="I703" t="s">
        <v>5743</v>
      </c>
      <c r="J703" t="s">
        <v>7007</v>
      </c>
      <c r="K703">
        <v>3.0288783946173937E-2</v>
      </c>
      <c r="L703">
        <v>0.28091263694412072</v>
      </c>
      <c r="M703">
        <v>137.36563836626817</v>
      </c>
      <c r="N703">
        <v>151.102202202895</v>
      </c>
    </row>
    <row r="704" spans="1:14">
      <c r="A704" t="s">
        <v>726</v>
      </c>
      <c r="B704" t="s">
        <v>5745</v>
      </c>
      <c r="C704" t="s">
        <v>5746</v>
      </c>
      <c r="D704" t="s">
        <v>11</v>
      </c>
      <c r="E704" t="s">
        <v>13</v>
      </c>
      <c r="F704" t="s">
        <v>729</v>
      </c>
      <c r="G704" t="s">
        <v>12</v>
      </c>
      <c r="I704" t="s">
        <v>5745</v>
      </c>
      <c r="J704" t="s">
        <v>7008</v>
      </c>
      <c r="K704">
        <v>1.8297007836543328E-2</v>
      </c>
      <c r="L704">
        <v>0.17214777135651191</v>
      </c>
      <c r="M704">
        <v>241.0879266938056</v>
      </c>
      <c r="N704">
        <v>265.19671936318616</v>
      </c>
    </row>
    <row r="705" spans="1:14">
      <c r="A705" t="s">
        <v>726</v>
      </c>
      <c r="B705" t="s">
        <v>5747</v>
      </c>
      <c r="C705" t="s">
        <v>5748</v>
      </c>
      <c r="D705" t="s">
        <v>11</v>
      </c>
      <c r="E705" t="s">
        <v>13</v>
      </c>
      <c r="F705" t="s">
        <v>729</v>
      </c>
      <c r="G705" t="s">
        <v>12</v>
      </c>
      <c r="I705" t="s">
        <v>5747</v>
      </c>
      <c r="J705" t="s">
        <v>7009</v>
      </c>
      <c r="K705">
        <v>1.899731299684434</v>
      </c>
      <c r="L705">
        <v>0.37227968923972871</v>
      </c>
      <c r="M705">
        <v>178.29589328286417</v>
      </c>
      <c r="N705">
        <v>196.1254826111506</v>
      </c>
    </row>
    <row r="706" spans="1:14">
      <c r="A706" t="s">
        <v>726</v>
      </c>
      <c r="B706" t="s">
        <v>5749</v>
      </c>
      <c r="C706" t="s">
        <v>5750</v>
      </c>
      <c r="D706" t="s">
        <v>11</v>
      </c>
      <c r="E706" t="s">
        <v>13</v>
      </c>
      <c r="F706" t="s">
        <v>729</v>
      </c>
      <c r="G706" t="s">
        <v>12</v>
      </c>
      <c r="I706" t="s">
        <v>5749</v>
      </c>
      <c r="J706" t="s">
        <v>7010</v>
      </c>
      <c r="K706">
        <v>5.4269759815604663</v>
      </c>
      <c r="L706">
        <v>0.30488190257760789</v>
      </c>
      <c r="M706">
        <v>43.398203268184893</v>
      </c>
      <c r="N706">
        <v>47.738023595003384</v>
      </c>
    </row>
    <row r="707" spans="1:14">
      <c r="A707" t="s">
        <v>726</v>
      </c>
      <c r="B707" t="s">
        <v>5751</v>
      </c>
      <c r="C707" t="s">
        <v>5752</v>
      </c>
      <c r="D707" t="s">
        <v>11</v>
      </c>
      <c r="E707" t="s">
        <v>13</v>
      </c>
      <c r="F707" t="s">
        <v>729</v>
      </c>
      <c r="G707" t="s">
        <v>12</v>
      </c>
      <c r="I707" t="s">
        <v>5751</v>
      </c>
      <c r="J707" t="s">
        <v>7011</v>
      </c>
      <c r="K707">
        <v>8.0517810049421517</v>
      </c>
      <c r="L707">
        <v>0.31464799268951921</v>
      </c>
      <c r="M707">
        <v>44.569555710957012</v>
      </c>
      <c r="N707">
        <v>49.026511282052716</v>
      </c>
    </row>
    <row r="708" spans="1:14">
      <c r="A708" t="s">
        <v>726</v>
      </c>
      <c r="B708" t="s">
        <v>5753</v>
      </c>
      <c r="C708" t="s">
        <v>5754</v>
      </c>
      <c r="D708" t="s">
        <v>11</v>
      </c>
      <c r="E708" t="s">
        <v>13</v>
      </c>
      <c r="F708" t="s">
        <v>729</v>
      </c>
      <c r="G708" t="s">
        <v>12</v>
      </c>
      <c r="I708" t="s">
        <v>5753</v>
      </c>
      <c r="J708" t="s">
        <v>7012</v>
      </c>
      <c r="K708">
        <v>5.7781137399921008</v>
      </c>
      <c r="L708">
        <v>0.31671205796411528</v>
      </c>
      <c r="M708">
        <v>61.604722213513647</v>
      </c>
      <c r="N708">
        <v>67.765194434865023</v>
      </c>
    </row>
    <row r="709" spans="1:14">
      <c r="A709" t="s">
        <v>726</v>
      </c>
      <c r="B709" t="s">
        <v>5755</v>
      </c>
      <c r="C709" t="s">
        <v>5756</v>
      </c>
      <c r="D709" t="s">
        <v>11</v>
      </c>
      <c r="E709" t="s">
        <v>13</v>
      </c>
      <c r="F709" t="s">
        <v>729</v>
      </c>
      <c r="G709" t="s">
        <v>12</v>
      </c>
      <c r="I709" t="s">
        <v>5755</v>
      </c>
      <c r="J709" t="s">
        <v>7013</v>
      </c>
      <c r="K709">
        <v>0.97886072674627833</v>
      </c>
      <c r="L709">
        <v>0.38528921498822227</v>
      </c>
      <c r="M709">
        <v>35.530559275023947</v>
      </c>
      <c r="N709">
        <v>39.083615202526346</v>
      </c>
    </row>
    <row r="710" spans="1:14">
      <c r="A710" t="s">
        <v>726</v>
      </c>
      <c r="B710" t="s">
        <v>5757</v>
      </c>
      <c r="C710" t="s">
        <v>5758</v>
      </c>
      <c r="D710" t="s">
        <v>11</v>
      </c>
      <c r="E710" t="s">
        <v>13</v>
      </c>
      <c r="F710" t="s">
        <v>729</v>
      </c>
      <c r="G710" t="s">
        <v>12</v>
      </c>
      <c r="I710" t="s">
        <v>5757</v>
      </c>
      <c r="J710" t="s">
        <v>7014</v>
      </c>
      <c r="K710">
        <v>2.5325570482143389</v>
      </c>
      <c r="L710">
        <v>0.29505193805489949</v>
      </c>
      <c r="M710">
        <v>46.912806656105225</v>
      </c>
      <c r="N710">
        <v>51.604087321715753</v>
      </c>
    </row>
    <row r="711" spans="1:14">
      <c r="A711" t="s">
        <v>726</v>
      </c>
      <c r="B711" t="s">
        <v>5759</v>
      </c>
      <c r="C711" t="s">
        <v>5760</v>
      </c>
      <c r="D711" t="s">
        <v>11</v>
      </c>
      <c r="E711" t="s">
        <v>13</v>
      </c>
      <c r="F711" t="s">
        <v>729</v>
      </c>
      <c r="G711" t="s">
        <v>12</v>
      </c>
      <c r="I711" t="s">
        <v>5759</v>
      </c>
      <c r="J711" t="s">
        <v>7015</v>
      </c>
      <c r="K711">
        <v>1.8018670962440984</v>
      </c>
      <c r="L711">
        <v>0.24043172717329839</v>
      </c>
      <c r="M711">
        <v>35.714835492621326</v>
      </c>
      <c r="N711">
        <v>39.286319041883459</v>
      </c>
    </row>
    <row r="712" spans="1:14">
      <c r="A712" t="s">
        <v>726</v>
      </c>
      <c r="B712" t="s">
        <v>5761</v>
      </c>
      <c r="C712" t="s">
        <v>5762</v>
      </c>
      <c r="D712" t="s">
        <v>11</v>
      </c>
      <c r="E712" t="s">
        <v>13</v>
      </c>
      <c r="F712" t="s">
        <v>729</v>
      </c>
      <c r="G712" t="s">
        <v>12</v>
      </c>
      <c r="I712" t="s">
        <v>5761</v>
      </c>
      <c r="J712" t="s">
        <v>7016</v>
      </c>
      <c r="K712">
        <v>2.7075924654766252</v>
      </c>
      <c r="L712">
        <v>0.25136918973870442</v>
      </c>
      <c r="M712">
        <v>40.568189752979549</v>
      </c>
      <c r="N712">
        <v>44.625008728277507</v>
      </c>
    </row>
    <row r="713" spans="1:14">
      <c r="A713" t="s">
        <v>726</v>
      </c>
      <c r="B713" t="s">
        <v>5763</v>
      </c>
      <c r="C713" t="s">
        <v>5764</v>
      </c>
      <c r="D713" t="s">
        <v>11</v>
      </c>
      <c r="E713" t="s">
        <v>13</v>
      </c>
      <c r="F713" t="s">
        <v>729</v>
      </c>
      <c r="G713" t="s">
        <v>12</v>
      </c>
      <c r="I713" t="s">
        <v>5763</v>
      </c>
      <c r="J713" t="s">
        <v>7017</v>
      </c>
      <c r="K713">
        <v>0.21647804409173346</v>
      </c>
      <c r="L713">
        <v>0.2029038971364204</v>
      </c>
      <c r="M713">
        <v>50.928832629367868</v>
      </c>
      <c r="N713">
        <v>56.021715892304663</v>
      </c>
    </row>
    <row r="714" spans="1:14">
      <c r="A714" t="s">
        <v>726</v>
      </c>
      <c r="B714" t="s">
        <v>5765</v>
      </c>
      <c r="C714" t="s">
        <v>5764</v>
      </c>
      <c r="D714" t="s">
        <v>11</v>
      </c>
      <c r="E714" t="s">
        <v>13</v>
      </c>
      <c r="F714" t="s">
        <v>729</v>
      </c>
      <c r="G714" t="s">
        <v>12</v>
      </c>
      <c r="I714" t="s">
        <v>5765</v>
      </c>
      <c r="J714" t="s">
        <v>7018</v>
      </c>
      <c r="K714">
        <v>0.21870769177417121</v>
      </c>
      <c r="L714">
        <v>0.30376345511173097</v>
      </c>
      <c r="M714">
        <v>11.034663469334175</v>
      </c>
      <c r="N714">
        <v>12.138129816267593</v>
      </c>
    </row>
    <row r="715" spans="1:14">
      <c r="A715" t="s">
        <v>726</v>
      </c>
      <c r="B715" t="s">
        <v>5766</v>
      </c>
      <c r="C715" t="s">
        <v>5767</v>
      </c>
      <c r="D715" t="s">
        <v>11</v>
      </c>
      <c r="E715" t="s">
        <v>13</v>
      </c>
      <c r="F715" t="s">
        <v>729</v>
      </c>
      <c r="G715" t="s">
        <v>12</v>
      </c>
      <c r="I715" t="s">
        <v>5766</v>
      </c>
      <c r="J715" t="s">
        <v>7019</v>
      </c>
      <c r="K715">
        <v>1.479508858986569</v>
      </c>
      <c r="L715">
        <v>0.25639350534344241</v>
      </c>
      <c r="M715">
        <v>28.249896229707879</v>
      </c>
      <c r="N715">
        <v>31.074885852678669</v>
      </c>
    </row>
    <row r="716" spans="1:14">
      <c r="A716" t="s">
        <v>726</v>
      </c>
      <c r="B716" t="s">
        <v>5768</v>
      </c>
      <c r="C716" t="s">
        <v>5769</v>
      </c>
      <c r="D716" t="s">
        <v>11</v>
      </c>
      <c r="E716" t="s">
        <v>13</v>
      </c>
      <c r="F716" t="s">
        <v>729</v>
      </c>
      <c r="G716" t="s">
        <v>12</v>
      </c>
      <c r="I716" t="s">
        <v>5768</v>
      </c>
      <c r="J716" t="s">
        <v>7020</v>
      </c>
      <c r="K716">
        <v>54.349190251381359</v>
      </c>
      <c r="L716">
        <v>0.15275344486972969</v>
      </c>
      <c r="M716">
        <v>61.015576137072451</v>
      </c>
      <c r="N716">
        <v>67.117133750779701</v>
      </c>
    </row>
    <row r="717" spans="1:14">
      <c r="A717" t="s">
        <v>726</v>
      </c>
      <c r="B717" t="s">
        <v>5770</v>
      </c>
      <c r="C717" t="s">
        <v>5771</v>
      </c>
      <c r="D717" t="s">
        <v>11</v>
      </c>
      <c r="E717" t="s">
        <v>13</v>
      </c>
      <c r="F717" t="s">
        <v>729</v>
      </c>
      <c r="G717" t="s">
        <v>12</v>
      </c>
      <c r="I717" t="s">
        <v>5770</v>
      </c>
      <c r="J717" t="s">
        <v>7021</v>
      </c>
      <c r="K717">
        <v>49.934990041041154</v>
      </c>
      <c r="L717">
        <v>0.1897148669870482</v>
      </c>
      <c r="M717">
        <v>68.993039227873723</v>
      </c>
      <c r="N717">
        <v>75.892343150661105</v>
      </c>
    </row>
    <row r="718" spans="1:14">
      <c r="A718" t="s">
        <v>726</v>
      </c>
      <c r="B718" t="s">
        <v>5772</v>
      </c>
      <c r="C718" t="s">
        <v>5773</v>
      </c>
      <c r="D718" t="s">
        <v>11</v>
      </c>
      <c r="E718" t="s">
        <v>13</v>
      </c>
      <c r="F718" t="s">
        <v>729</v>
      </c>
      <c r="G718" t="s">
        <v>12</v>
      </c>
      <c r="I718" t="s">
        <v>5772</v>
      </c>
      <c r="J718" t="s">
        <v>7022</v>
      </c>
      <c r="K718">
        <v>67.434074478216118</v>
      </c>
      <c r="L718">
        <v>0.148864803520984</v>
      </c>
      <c r="M718">
        <v>86.467228707102677</v>
      </c>
      <c r="N718">
        <v>95.113951577812955</v>
      </c>
    </row>
    <row r="719" spans="1:14">
      <c r="A719" t="s">
        <v>726</v>
      </c>
      <c r="B719" t="s">
        <v>5774</v>
      </c>
      <c r="C719" t="s">
        <v>5775</v>
      </c>
      <c r="D719" t="s">
        <v>11</v>
      </c>
      <c r="E719" t="s">
        <v>13</v>
      </c>
      <c r="F719" t="s">
        <v>729</v>
      </c>
      <c r="G719" t="s">
        <v>12</v>
      </c>
      <c r="I719" t="s">
        <v>5774</v>
      </c>
      <c r="J719" t="s">
        <v>7023</v>
      </c>
      <c r="K719">
        <v>38.456695521950678</v>
      </c>
      <c r="L719">
        <v>0.15971216900902149</v>
      </c>
      <c r="M719">
        <v>70.807661974473845</v>
      </c>
      <c r="N719">
        <v>77.888428171921234</v>
      </c>
    </row>
    <row r="720" spans="1:14">
      <c r="A720" t="s">
        <v>726</v>
      </c>
      <c r="B720" t="s">
        <v>5776</v>
      </c>
      <c r="C720" t="s">
        <v>5777</v>
      </c>
      <c r="D720" t="s">
        <v>11</v>
      </c>
      <c r="E720" t="s">
        <v>13</v>
      </c>
      <c r="F720" t="s">
        <v>729</v>
      </c>
      <c r="G720" t="s">
        <v>12</v>
      </c>
      <c r="I720" t="s">
        <v>5776</v>
      </c>
      <c r="J720" t="s">
        <v>7024</v>
      </c>
      <c r="K720">
        <v>29.689990054177027</v>
      </c>
      <c r="L720">
        <v>0.1447760583490475</v>
      </c>
      <c r="M720">
        <v>102.15786809339887</v>
      </c>
      <c r="N720">
        <v>112.37365490273878</v>
      </c>
    </row>
    <row r="721" spans="1:14">
      <c r="A721" t="s">
        <v>726</v>
      </c>
      <c r="B721" t="s">
        <v>5778</v>
      </c>
      <c r="C721" t="s">
        <v>5779</v>
      </c>
      <c r="D721" t="s">
        <v>11</v>
      </c>
      <c r="E721" t="s">
        <v>13</v>
      </c>
      <c r="F721" t="s">
        <v>729</v>
      </c>
      <c r="G721" t="s">
        <v>12</v>
      </c>
      <c r="I721" t="s">
        <v>5778</v>
      </c>
      <c r="J721" t="s">
        <v>7025</v>
      </c>
      <c r="K721">
        <v>3.6176128174175868</v>
      </c>
      <c r="L721">
        <v>0.1634222959348294</v>
      </c>
      <c r="M721">
        <v>31.592395824212264</v>
      </c>
      <c r="N721">
        <v>34.751635406633497</v>
      </c>
    </row>
    <row r="722" spans="1:14">
      <c r="A722" t="s">
        <v>726</v>
      </c>
      <c r="B722" t="s">
        <v>5780</v>
      </c>
      <c r="C722" t="s">
        <v>5781</v>
      </c>
      <c r="D722" t="s">
        <v>11</v>
      </c>
      <c r="E722" t="s">
        <v>13</v>
      </c>
      <c r="F722" t="s">
        <v>729</v>
      </c>
      <c r="G722" t="s">
        <v>12</v>
      </c>
      <c r="I722" t="s">
        <v>5780</v>
      </c>
      <c r="J722" t="s">
        <v>7026</v>
      </c>
      <c r="K722">
        <v>3.6551372633690935</v>
      </c>
      <c r="L722">
        <v>0.1457162294276457</v>
      </c>
      <c r="M722">
        <v>32.603747652889368</v>
      </c>
      <c r="N722">
        <v>35.864122418178304</v>
      </c>
    </row>
    <row r="723" spans="1:14">
      <c r="A723" t="s">
        <v>726</v>
      </c>
      <c r="B723" t="s">
        <v>5782</v>
      </c>
      <c r="C723" t="s">
        <v>5783</v>
      </c>
      <c r="D723" t="s">
        <v>11</v>
      </c>
      <c r="E723" t="s">
        <v>13</v>
      </c>
      <c r="F723" t="s">
        <v>729</v>
      </c>
      <c r="G723" t="s">
        <v>12</v>
      </c>
      <c r="I723" t="s">
        <v>5782</v>
      </c>
      <c r="J723" t="s">
        <v>7027</v>
      </c>
      <c r="K723">
        <v>0.18773520510209163</v>
      </c>
      <c r="L723">
        <v>0.56584033853403926</v>
      </c>
      <c r="M723">
        <v>198.6934451841274</v>
      </c>
      <c r="N723">
        <v>218.56278970254016</v>
      </c>
    </row>
    <row r="724" spans="1:14">
      <c r="A724" t="s">
        <v>726</v>
      </c>
      <c r="B724" t="s">
        <v>5784</v>
      </c>
      <c r="C724" t="s">
        <v>5785</v>
      </c>
      <c r="D724" t="s">
        <v>11</v>
      </c>
      <c r="E724" t="s">
        <v>13</v>
      </c>
      <c r="F724" t="s">
        <v>729</v>
      </c>
      <c r="G724" t="s">
        <v>12</v>
      </c>
      <c r="I724" t="s">
        <v>5784</v>
      </c>
      <c r="J724" t="s">
        <v>7028</v>
      </c>
      <c r="K724">
        <v>3.0649667200014532</v>
      </c>
      <c r="L724">
        <v>0.29970347190042501</v>
      </c>
      <c r="M724">
        <v>13.980646929642225</v>
      </c>
      <c r="N724">
        <v>15.378711622606449</v>
      </c>
    </row>
    <row r="725" spans="1:14">
      <c r="A725" t="s">
        <v>726</v>
      </c>
      <c r="B725" t="s">
        <v>5786</v>
      </c>
      <c r="C725" t="s">
        <v>5787</v>
      </c>
      <c r="D725" t="s">
        <v>11</v>
      </c>
      <c r="E725" t="s">
        <v>13</v>
      </c>
      <c r="F725" t="s">
        <v>729</v>
      </c>
      <c r="G725" t="s">
        <v>12</v>
      </c>
      <c r="I725" t="s">
        <v>5786</v>
      </c>
      <c r="J725" t="s">
        <v>7029</v>
      </c>
      <c r="K725">
        <v>5.0479169009176497</v>
      </c>
      <c r="L725">
        <v>0.26327767991028128</v>
      </c>
      <c r="M725">
        <v>42.46579083424794</v>
      </c>
      <c r="N725">
        <v>46.712369917672738</v>
      </c>
    </row>
    <row r="726" spans="1:14">
      <c r="A726" t="s">
        <v>726</v>
      </c>
      <c r="B726" t="s">
        <v>5788</v>
      </c>
      <c r="C726" t="s">
        <v>5789</v>
      </c>
      <c r="D726" t="s">
        <v>11</v>
      </c>
      <c r="E726" t="s">
        <v>13</v>
      </c>
      <c r="F726" t="s">
        <v>729</v>
      </c>
      <c r="G726" t="s">
        <v>12</v>
      </c>
      <c r="I726" t="s">
        <v>5788</v>
      </c>
      <c r="J726" t="s">
        <v>7030</v>
      </c>
      <c r="K726">
        <v>19.581148871324899</v>
      </c>
      <c r="L726">
        <v>0.2845574925944116</v>
      </c>
      <c r="M726">
        <v>84.825791671632317</v>
      </c>
      <c r="N726">
        <v>93.308370838795554</v>
      </c>
    </row>
    <row r="727" spans="1:14">
      <c r="A727" t="s">
        <v>726</v>
      </c>
      <c r="B727" t="s">
        <v>5790</v>
      </c>
      <c r="C727" t="s">
        <v>5791</v>
      </c>
      <c r="D727" t="s">
        <v>11</v>
      </c>
      <c r="E727" t="s">
        <v>13</v>
      </c>
      <c r="F727" t="s">
        <v>729</v>
      </c>
      <c r="G727" t="s">
        <v>12</v>
      </c>
      <c r="I727" t="s">
        <v>5790</v>
      </c>
      <c r="J727" t="s">
        <v>7031</v>
      </c>
      <c r="K727">
        <v>18.830613193635568</v>
      </c>
      <c r="L727">
        <v>0.28488962627292452</v>
      </c>
      <c r="M727">
        <v>85.325017981282301</v>
      </c>
      <c r="N727">
        <v>93.857519779410538</v>
      </c>
    </row>
    <row r="728" spans="1:14">
      <c r="A728" t="s">
        <v>726</v>
      </c>
      <c r="B728" t="s">
        <v>5792</v>
      </c>
      <c r="C728" t="s">
        <v>5793</v>
      </c>
      <c r="D728" t="s">
        <v>11</v>
      </c>
      <c r="E728" t="s">
        <v>13</v>
      </c>
      <c r="F728" t="s">
        <v>729</v>
      </c>
      <c r="G728" t="s">
        <v>12</v>
      </c>
      <c r="I728" t="s">
        <v>5792</v>
      </c>
      <c r="J728" t="s">
        <v>7032</v>
      </c>
      <c r="K728">
        <v>3.8190470264568313</v>
      </c>
      <c r="L728">
        <v>0.18883085986309059</v>
      </c>
      <c r="M728">
        <v>68.430895881116172</v>
      </c>
      <c r="N728">
        <v>75.273985469227796</v>
      </c>
    </row>
    <row r="729" spans="1:14">
      <c r="A729" t="s">
        <v>726</v>
      </c>
      <c r="B729" t="s">
        <v>5794</v>
      </c>
      <c r="C729" t="s">
        <v>5795</v>
      </c>
      <c r="D729" t="s">
        <v>11</v>
      </c>
      <c r="E729" t="s">
        <v>13</v>
      </c>
      <c r="F729" t="s">
        <v>729</v>
      </c>
      <c r="G729" t="s">
        <v>12</v>
      </c>
      <c r="I729" t="s">
        <v>5794</v>
      </c>
      <c r="J729" t="s">
        <v>7033</v>
      </c>
      <c r="K729">
        <v>6.218153500276113</v>
      </c>
      <c r="L729">
        <v>0.1821187554957307</v>
      </c>
      <c r="M729">
        <v>75.996317461131923</v>
      </c>
      <c r="N729">
        <v>83.595949207245127</v>
      </c>
    </row>
    <row r="730" spans="1:14">
      <c r="A730" t="s">
        <v>726</v>
      </c>
      <c r="B730" t="s">
        <v>5796</v>
      </c>
      <c r="C730" t="s">
        <v>5797</v>
      </c>
      <c r="D730" t="s">
        <v>11</v>
      </c>
      <c r="E730" t="s">
        <v>13</v>
      </c>
      <c r="F730" t="s">
        <v>729</v>
      </c>
      <c r="G730" t="s">
        <v>12</v>
      </c>
      <c r="I730" t="s">
        <v>5796</v>
      </c>
      <c r="J730" t="s">
        <v>7034</v>
      </c>
      <c r="K730">
        <v>16.798326736314582</v>
      </c>
      <c r="L730">
        <v>0.26440955042003639</v>
      </c>
      <c r="M730">
        <v>572.6649146915222</v>
      </c>
      <c r="N730">
        <v>629.93140616067444</v>
      </c>
    </row>
    <row r="731" spans="1:14">
      <c r="A731" t="s">
        <v>726</v>
      </c>
      <c r="B731" t="s">
        <v>5798</v>
      </c>
      <c r="C731" t="s">
        <v>5797</v>
      </c>
      <c r="D731" t="s">
        <v>11</v>
      </c>
      <c r="E731" t="s">
        <v>13</v>
      </c>
      <c r="F731" t="s">
        <v>729</v>
      </c>
      <c r="G731" t="s">
        <v>12</v>
      </c>
      <c r="I731" t="s">
        <v>5798</v>
      </c>
      <c r="J731" t="s">
        <v>7035</v>
      </c>
      <c r="K731">
        <v>15.879714563396917</v>
      </c>
      <c r="L731">
        <v>0.26825391255278558</v>
      </c>
      <c r="M731">
        <v>440.12002968741376</v>
      </c>
      <c r="N731">
        <v>484.13203265615516</v>
      </c>
    </row>
    <row r="732" spans="1:14">
      <c r="A732" t="s">
        <v>726</v>
      </c>
      <c r="B732" t="s">
        <v>5799</v>
      </c>
      <c r="C732" t="s">
        <v>5800</v>
      </c>
      <c r="D732" t="s">
        <v>11</v>
      </c>
      <c r="E732" t="s">
        <v>13</v>
      </c>
      <c r="F732" t="s">
        <v>729</v>
      </c>
      <c r="G732" t="s">
        <v>12</v>
      </c>
      <c r="I732" t="s">
        <v>5799</v>
      </c>
      <c r="J732" t="s">
        <v>7036</v>
      </c>
      <c r="K732">
        <v>14.433466812662116</v>
      </c>
      <c r="L732">
        <v>0.20040525538312809</v>
      </c>
      <c r="M732">
        <v>339.39462174138657</v>
      </c>
      <c r="N732">
        <v>373.33408391552524</v>
      </c>
    </row>
    <row r="733" spans="1:14">
      <c r="A733" t="s">
        <v>726</v>
      </c>
      <c r="B733" t="s">
        <v>5801</v>
      </c>
      <c r="C733" t="s">
        <v>5797</v>
      </c>
      <c r="D733" t="s">
        <v>11</v>
      </c>
      <c r="E733" t="s">
        <v>13</v>
      </c>
      <c r="F733" t="s">
        <v>729</v>
      </c>
      <c r="G733" t="s">
        <v>12</v>
      </c>
      <c r="I733" t="s">
        <v>5801</v>
      </c>
      <c r="J733" t="s">
        <v>7037</v>
      </c>
      <c r="K733">
        <v>19.033316982801171</v>
      </c>
      <c r="L733">
        <v>0.2725839032489768</v>
      </c>
      <c r="M733">
        <v>450.56398990028441</v>
      </c>
      <c r="N733">
        <v>495.62038889031288</v>
      </c>
    </row>
    <row r="734" spans="1:14">
      <c r="A734" t="s">
        <v>726</v>
      </c>
      <c r="B734" t="s">
        <v>5802</v>
      </c>
      <c r="C734" t="s">
        <v>5803</v>
      </c>
      <c r="D734" t="s">
        <v>11</v>
      </c>
      <c r="E734" t="s">
        <v>13</v>
      </c>
      <c r="F734" t="s">
        <v>729</v>
      </c>
      <c r="G734" t="s">
        <v>12</v>
      </c>
      <c r="I734" t="s">
        <v>5802</v>
      </c>
      <c r="J734" t="s">
        <v>7038</v>
      </c>
      <c r="K734">
        <v>0</v>
      </c>
      <c r="L734">
        <v>0.29626429699864498</v>
      </c>
      <c r="M734">
        <v>0</v>
      </c>
      <c r="N734">
        <v>0</v>
      </c>
    </row>
    <row r="735" spans="1:14">
      <c r="A735" t="s">
        <v>726</v>
      </c>
      <c r="B735" t="s">
        <v>5804</v>
      </c>
      <c r="C735" t="s">
        <v>5803</v>
      </c>
      <c r="D735" t="s">
        <v>11</v>
      </c>
      <c r="E735" t="s">
        <v>13</v>
      </c>
      <c r="F735" t="s">
        <v>729</v>
      </c>
      <c r="G735" t="s">
        <v>12</v>
      </c>
      <c r="I735" t="s">
        <v>5804</v>
      </c>
      <c r="J735" t="s">
        <v>7039</v>
      </c>
      <c r="K735">
        <v>0</v>
      </c>
      <c r="L735">
        <v>0.31562864066159341</v>
      </c>
      <c r="M735">
        <v>0</v>
      </c>
      <c r="N735">
        <v>0</v>
      </c>
    </row>
    <row r="736" spans="1:14">
      <c r="A736" t="s">
        <v>726</v>
      </c>
      <c r="B736" t="s">
        <v>5805</v>
      </c>
      <c r="C736" t="s">
        <v>5806</v>
      </c>
      <c r="D736" t="s">
        <v>11</v>
      </c>
      <c r="E736" t="s">
        <v>13</v>
      </c>
      <c r="F736" t="s">
        <v>729</v>
      </c>
      <c r="G736" t="s">
        <v>12</v>
      </c>
      <c r="I736" t="s">
        <v>5805</v>
      </c>
      <c r="J736" t="s">
        <v>7040</v>
      </c>
      <c r="K736">
        <v>3.6682956341285879</v>
      </c>
      <c r="L736">
        <v>0.17646134774798791</v>
      </c>
      <c r="M736">
        <v>35.410957489413299</v>
      </c>
      <c r="N736">
        <v>38.95205323835463</v>
      </c>
    </row>
    <row r="737" spans="1:14">
      <c r="A737" t="s">
        <v>726</v>
      </c>
      <c r="B737" t="s">
        <v>5807</v>
      </c>
      <c r="C737" t="s">
        <v>5808</v>
      </c>
      <c r="D737" t="s">
        <v>11</v>
      </c>
      <c r="E737" t="s">
        <v>13</v>
      </c>
      <c r="F737" t="s">
        <v>729</v>
      </c>
      <c r="G737" t="s">
        <v>12</v>
      </c>
      <c r="I737" t="s">
        <v>5807</v>
      </c>
      <c r="J737" t="s">
        <v>7041</v>
      </c>
      <c r="K737">
        <v>44.649245598271271</v>
      </c>
      <c r="L737">
        <v>0.2362703048586296</v>
      </c>
      <c r="M737">
        <v>37.65853996013152</v>
      </c>
      <c r="N737">
        <v>41.424393956144677</v>
      </c>
    </row>
    <row r="738" spans="1:14">
      <c r="A738" t="s">
        <v>726</v>
      </c>
      <c r="B738" t="s">
        <v>5809</v>
      </c>
      <c r="C738" t="s">
        <v>5810</v>
      </c>
      <c r="D738" t="s">
        <v>11</v>
      </c>
      <c r="E738" t="s">
        <v>13</v>
      </c>
      <c r="F738" t="s">
        <v>729</v>
      </c>
      <c r="G738" t="s">
        <v>12</v>
      </c>
      <c r="I738" t="s">
        <v>5809</v>
      </c>
      <c r="J738" t="s">
        <v>7042</v>
      </c>
      <c r="K738">
        <v>8.0783232498540247</v>
      </c>
      <c r="L738">
        <v>0.18037667010728059</v>
      </c>
      <c r="M738">
        <v>57.296027239460734</v>
      </c>
      <c r="N738">
        <v>63.025629963406814</v>
      </c>
    </row>
    <row r="739" spans="1:14">
      <c r="A739" t="s">
        <v>726</v>
      </c>
      <c r="B739" t="s">
        <v>5811</v>
      </c>
      <c r="C739" t="s">
        <v>5812</v>
      </c>
      <c r="D739" t="s">
        <v>11</v>
      </c>
      <c r="E739" t="s">
        <v>13</v>
      </c>
      <c r="F739" t="s">
        <v>729</v>
      </c>
      <c r="G739" t="s">
        <v>12</v>
      </c>
      <c r="I739" t="s">
        <v>5811</v>
      </c>
      <c r="J739" t="s">
        <v>7043</v>
      </c>
      <c r="K739">
        <v>0.86869381788367972</v>
      </c>
      <c r="L739">
        <v>0.11861866784950099</v>
      </c>
      <c r="M739">
        <v>30.256295542780904</v>
      </c>
      <c r="N739">
        <v>33.281925097058995</v>
      </c>
    </row>
    <row r="740" spans="1:14">
      <c r="A740" t="s">
        <v>726</v>
      </c>
      <c r="B740" t="s">
        <v>5813</v>
      </c>
      <c r="C740" t="s">
        <v>5814</v>
      </c>
      <c r="D740" t="s">
        <v>11</v>
      </c>
      <c r="E740" t="s">
        <v>13</v>
      </c>
      <c r="F740" t="s">
        <v>729</v>
      </c>
      <c r="G740" t="s">
        <v>12</v>
      </c>
      <c r="I740" t="s">
        <v>5813</v>
      </c>
      <c r="J740" t="s">
        <v>7044</v>
      </c>
      <c r="K740">
        <v>3.2260405544130473</v>
      </c>
      <c r="L740">
        <v>0.19548008431894301</v>
      </c>
      <c r="M740">
        <v>50.132270017733056</v>
      </c>
      <c r="N740">
        <v>55.145497019506365</v>
      </c>
    </row>
    <row r="741" spans="1:14">
      <c r="A741" t="s">
        <v>726</v>
      </c>
      <c r="B741" t="s">
        <v>5815</v>
      </c>
      <c r="C741" t="s">
        <v>5816</v>
      </c>
      <c r="D741" t="s">
        <v>11</v>
      </c>
      <c r="E741" t="s">
        <v>13</v>
      </c>
      <c r="F741" t="s">
        <v>729</v>
      </c>
      <c r="G741" t="s">
        <v>12</v>
      </c>
      <c r="I741" t="s">
        <v>5815</v>
      </c>
      <c r="J741" t="s">
        <v>7045</v>
      </c>
      <c r="K741">
        <v>8.8199096431333182</v>
      </c>
      <c r="L741">
        <v>0.19206005293462311</v>
      </c>
      <c r="M741">
        <v>35.794565931798608</v>
      </c>
      <c r="N741">
        <v>39.374022524978471</v>
      </c>
    </row>
    <row r="742" spans="1:14">
      <c r="A742" t="s">
        <v>726</v>
      </c>
      <c r="B742" t="s">
        <v>5817</v>
      </c>
      <c r="C742" t="s">
        <v>5818</v>
      </c>
      <c r="D742" t="s">
        <v>11</v>
      </c>
      <c r="E742" t="s">
        <v>13</v>
      </c>
      <c r="F742" t="s">
        <v>729</v>
      </c>
      <c r="G742" t="s">
        <v>12</v>
      </c>
      <c r="I742" t="s">
        <v>5817</v>
      </c>
      <c r="J742" t="s">
        <v>7046</v>
      </c>
      <c r="K742">
        <v>4.0671905132711732</v>
      </c>
      <c r="L742">
        <v>0.1379227338973619</v>
      </c>
      <c r="M742">
        <v>747.67678441840246</v>
      </c>
      <c r="N742">
        <v>822.44446286024277</v>
      </c>
    </row>
    <row r="743" spans="1:14">
      <c r="A743" t="s">
        <v>726</v>
      </c>
      <c r="B743" t="s">
        <v>5819</v>
      </c>
      <c r="C743" t="s">
        <v>5820</v>
      </c>
      <c r="D743" t="s">
        <v>11</v>
      </c>
      <c r="E743" t="s">
        <v>13</v>
      </c>
      <c r="F743" t="s">
        <v>729</v>
      </c>
      <c r="G743" t="s">
        <v>12</v>
      </c>
      <c r="I743" t="s">
        <v>5819</v>
      </c>
      <c r="J743" t="s">
        <v>7047</v>
      </c>
      <c r="K743">
        <v>34.968870022468721</v>
      </c>
      <c r="L743">
        <v>0.23388484129646689</v>
      </c>
      <c r="M743">
        <v>491.55322252582971</v>
      </c>
      <c r="N743">
        <v>540.70854477841272</v>
      </c>
    </row>
    <row r="744" spans="1:14">
      <c r="A744" t="s">
        <v>726</v>
      </c>
      <c r="B744" t="s">
        <v>5821</v>
      </c>
      <c r="C744" t="s">
        <v>5820</v>
      </c>
      <c r="D744" t="s">
        <v>11</v>
      </c>
      <c r="E744" t="s">
        <v>13</v>
      </c>
      <c r="F744" t="s">
        <v>729</v>
      </c>
      <c r="G744" t="s">
        <v>12</v>
      </c>
      <c r="I744" t="s">
        <v>5821</v>
      </c>
      <c r="J744" t="s">
        <v>7048</v>
      </c>
      <c r="K744">
        <v>37.216640902038492</v>
      </c>
      <c r="L744">
        <v>0.25766316537173217</v>
      </c>
      <c r="M744">
        <v>232.77498379877989</v>
      </c>
      <c r="N744">
        <v>256.0524821786579</v>
      </c>
    </row>
    <row r="745" spans="1:14">
      <c r="A745" t="s">
        <v>726</v>
      </c>
      <c r="B745" t="s">
        <v>5822</v>
      </c>
      <c r="C745" t="s">
        <v>5823</v>
      </c>
      <c r="D745" t="s">
        <v>11</v>
      </c>
      <c r="E745" t="s">
        <v>13</v>
      </c>
      <c r="F745" t="s">
        <v>729</v>
      </c>
      <c r="G745" t="s">
        <v>12</v>
      </c>
      <c r="I745" t="s">
        <v>5822</v>
      </c>
      <c r="J745" t="s">
        <v>7049</v>
      </c>
      <c r="K745">
        <v>39.56427620471198</v>
      </c>
      <c r="L745">
        <v>0.236282239961327</v>
      </c>
      <c r="M745">
        <v>473.91106393037973</v>
      </c>
      <c r="N745">
        <v>521.30217032341773</v>
      </c>
    </row>
    <row r="746" spans="1:14">
      <c r="A746" t="s">
        <v>726</v>
      </c>
      <c r="B746" t="s">
        <v>5824</v>
      </c>
      <c r="C746" t="s">
        <v>5825</v>
      </c>
      <c r="D746" t="s">
        <v>11</v>
      </c>
      <c r="E746" t="s">
        <v>13</v>
      </c>
      <c r="F746" t="s">
        <v>729</v>
      </c>
      <c r="G746" t="s">
        <v>12</v>
      </c>
      <c r="I746" t="s">
        <v>5824</v>
      </c>
      <c r="J746" t="s">
        <v>7050</v>
      </c>
      <c r="K746">
        <v>2.6841406348518575</v>
      </c>
      <c r="L746">
        <v>0.1424681502690375</v>
      </c>
      <c r="M746">
        <v>804.92659313302681</v>
      </c>
      <c r="N746">
        <v>885.41925244632955</v>
      </c>
    </row>
    <row r="747" spans="1:14">
      <c r="A747" t="s">
        <v>726</v>
      </c>
      <c r="B747" t="s">
        <v>5826</v>
      </c>
      <c r="C747" t="s">
        <v>5827</v>
      </c>
      <c r="D747" t="s">
        <v>11</v>
      </c>
      <c r="E747" t="s">
        <v>13</v>
      </c>
      <c r="F747" t="s">
        <v>729</v>
      </c>
      <c r="G747" t="s">
        <v>12</v>
      </c>
      <c r="I747" t="s">
        <v>5826</v>
      </c>
      <c r="J747" t="s">
        <v>7051</v>
      </c>
      <c r="K747">
        <v>14.947567238835795</v>
      </c>
      <c r="L747">
        <v>0.17214298984633461</v>
      </c>
      <c r="M747">
        <v>553.12046482595701</v>
      </c>
      <c r="N747">
        <v>608.43251130855276</v>
      </c>
    </row>
    <row r="748" spans="1:14">
      <c r="A748" t="s">
        <v>726</v>
      </c>
      <c r="B748" t="s">
        <v>5828</v>
      </c>
      <c r="C748" t="s">
        <v>5829</v>
      </c>
      <c r="D748" t="s">
        <v>11</v>
      </c>
      <c r="E748" t="s">
        <v>13</v>
      </c>
      <c r="F748" t="s">
        <v>729</v>
      </c>
      <c r="G748" t="s">
        <v>12</v>
      </c>
      <c r="I748" t="s">
        <v>5828</v>
      </c>
      <c r="J748" t="s">
        <v>7052</v>
      </c>
      <c r="K748">
        <v>30.659080897646753</v>
      </c>
      <c r="L748">
        <v>0.25187678770620631</v>
      </c>
      <c r="M748">
        <v>363.27940025590681</v>
      </c>
      <c r="N748">
        <v>399.6073402814975</v>
      </c>
    </row>
    <row r="749" spans="1:14">
      <c r="A749" t="s">
        <v>726</v>
      </c>
      <c r="B749" t="s">
        <v>5830</v>
      </c>
      <c r="C749" t="s">
        <v>5831</v>
      </c>
      <c r="D749" t="s">
        <v>11</v>
      </c>
      <c r="E749" t="s">
        <v>13</v>
      </c>
      <c r="F749" t="s">
        <v>729</v>
      </c>
      <c r="G749" t="s">
        <v>12</v>
      </c>
      <c r="I749" t="s">
        <v>5830</v>
      </c>
      <c r="J749" t="s">
        <v>7053</v>
      </c>
      <c r="K749">
        <v>10.868983062144677</v>
      </c>
      <c r="L749">
        <v>0.24155092981511039</v>
      </c>
      <c r="M749">
        <v>955.28200977068479</v>
      </c>
      <c r="N749">
        <v>1050.8102107477534</v>
      </c>
    </row>
    <row r="750" spans="1:14">
      <c r="A750" t="s">
        <v>726</v>
      </c>
      <c r="B750" t="s">
        <v>5832</v>
      </c>
      <c r="C750" t="s">
        <v>5829</v>
      </c>
      <c r="D750" t="s">
        <v>11</v>
      </c>
      <c r="E750" t="s">
        <v>13</v>
      </c>
      <c r="F750" t="s">
        <v>729</v>
      </c>
      <c r="G750" t="s">
        <v>12</v>
      </c>
      <c r="I750" t="s">
        <v>5832</v>
      </c>
      <c r="J750" t="s">
        <v>7054</v>
      </c>
      <c r="K750">
        <v>26.683092838134911</v>
      </c>
      <c r="L750">
        <v>0.2079520494798236</v>
      </c>
      <c r="M750">
        <v>154.12779293996095</v>
      </c>
      <c r="N750">
        <v>169.54057223395705</v>
      </c>
    </row>
    <row r="751" spans="1:14">
      <c r="A751" t="s">
        <v>726</v>
      </c>
      <c r="B751" t="s">
        <v>5833</v>
      </c>
      <c r="C751" t="s">
        <v>5834</v>
      </c>
      <c r="D751" t="s">
        <v>11</v>
      </c>
      <c r="E751" t="s">
        <v>13</v>
      </c>
      <c r="F751" t="s">
        <v>729</v>
      </c>
      <c r="G751" t="s">
        <v>12</v>
      </c>
      <c r="I751" t="s">
        <v>5833</v>
      </c>
      <c r="J751" t="s">
        <v>7055</v>
      </c>
      <c r="K751">
        <v>64.607458329819764</v>
      </c>
      <c r="L751">
        <v>0.22651065928283851</v>
      </c>
      <c r="M751">
        <v>212.22907829669529</v>
      </c>
      <c r="N751">
        <v>233.45198612636483</v>
      </c>
    </row>
    <row r="752" spans="1:14">
      <c r="A752" t="s">
        <v>726</v>
      </c>
      <c r="B752" t="s">
        <v>5835</v>
      </c>
      <c r="C752" t="s">
        <v>5836</v>
      </c>
      <c r="D752" t="s">
        <v>11</v>
      </c>
      <c r="E752" t="s">
        <v>13</v>
      </c>
      <c r="F752" t="s">
        <v>729</v>
      </c>
      <c r="G752" t="s">
        <v>12</v>
      </c>
      <c r="I752" t="s">
        <v>5835</v>
      </c>
      <c r="J752" t="s">
        <v>7056</v>
      </c>
      <c r="K752">
        <v>91.932464366513841</v>
      </c>
      <c r="L752">
        <v>0.30386345505774509</v>
      </c>
      <c r="M752">
        <v>108.16259447743739</v>
      </c>
      <c r="N752">
        <v>118.97885392518114</v>
      </c>
    </row>
    <row r="753" spans="1:14">
      <c r="A753" t="s">
        <v>726</v>
      </c>
      <c r="B753" t="s">
        <v>5837</v>
      </c>
      <c r="C753" t="s">
        <v>5838</v>
      </c>
      <c r="D753" t="s">
        <v>11</v>
      </c>
      <c r="E753" t="s">
        <v>13</v>
      </c>
      <c r="F753" t="s">
        <v>729</v>
      </c>
      <c r="G753" t="s">
        <v>12</v>
      </c>
      <c r="I753" t="s">
        <v>5837</v>
      </c>
      <c r="J753" t="s">
        <v>7057</v>
      </c>
      <c r="K753">
        <v>267.80763061696058</v>
      </c>
      <c r="L753">
        <v>0.31142318774902161</v>
      </c>
      <c r="M753">
        <v>99.787856124603834</v>
      </c>
      <c r="N753">
        <v>109.76664173706423</v>
      </c>
    </row>
    <row r="754" spans="1:14">
      <c r="A754" t="s">
        <v>726</v>
      </c>
      <c r="B754" t="s">
        <v>5839</v>
      </c>
      <c r="C754" t="s">
        <v>5840</v>
      </c>
      <c r="D754" t="s">
        <v>11</v>
      </c>
      <c r="E754" t="s">
        <v>13</v>
      </c>
      <c r="F754" t="s">
        <v>729</v>
      </c>
      <c r="G754" t="s">
        <v>12</v>
      </c>
      <c r="I754" t="s">
        <v>5839</v>
      </c>
      <c r="J754" t="s">
        <v>7058</v>
      </c>
      <c r="K754">
        <v>286.04597130366125</v>
      </c>
      <c r="L754">
        <v>0.27782155902622779</v>
      </c>
      <c r="M754">
        <v>105.37305075573541</v>
      </c>
      <c r="N754">
        <v>115.91035583130896</v>
      </c>
    </row>
    <row r="755" spans="1:14">
      <c r="A755" t="s">
        <v>726</v>
      </c>
      <c r="B755" t="s">
        <v>5841</v>
      </c>
      <c r="C755" t="s">
        <v>5842</v>
      </c>
      <c r="D755" t="s">
        <v>11</v>
      </c>
      <c r="E755" t="s">
        <v>13</v>
      </c>
      <c r="F755" t="s">
        <v>729</v>
      </c>
      <c r="G755" t="s">
        <v>12</v>
      </c>
      <c r="I755" t="s">
        <v>5841</v>
      </c>
      <c r="J755" t="s">
        <v>7059</v>
      </c>
      <c r="K755">
        <v>585.21311284100796</v>
      </c>
      <c r="L755">
        <v>0.33565748447000548</v>
      </c>
      <c r="M755">
        <v>133.00369509193388</v>
      </c>
      <c r="N755">
        <v>146.30406460112727</v>
      </c>
    </row>
    <row r="756" spans="1:14">
      <c r="A756" t="s">
        <v>726</v>
      </c>
      <c r="B756" t="s">
        <v>5843</v>
      </c>
      <c r="C756" t="s">
        <v>5844</v>
      </c>
      <c r="D756" t="s">
        <v>11</v>
      </c>
      <c r="E756" t="s">
        <v>13</v>
      </c>
      <c r="F756" t="s">
        <v>729</v>
      </c>
      <c r="G756" t="s">
        <v>12</v>
      </c>
      <c r="I756" t="s">
        <v>5843</v>
      </c>
      <c r="J756" t="s">
        <v>7060</v>
      </c>
      <c r="K756">
        <v>234.0868609738545</v>
      </c>
      <c r="L756">
        <v>0.34355535633235179</v>
      </c>
      <c r="M756">
        <v>117.60544979249326</v>
      </c>
      <c r="N756">
        <v>129.36599477174261</v>
      </c>
    </row>
    <row r="757" spans="1:14">
      <c r="A757" t="s">
        <v>726</v>
      </c>
      <c r="B757" t="s">
        <v>5845</v>
      </c>
      <c r="C757" t="s">
        <v>5846</v>
      </c>
      <c r="D757" t="s">
        <v>11</v>
      </c>
      <c r="E757" t="s">
        <v>13</v>
      </c>
      <c r="F757" t="s">
        <v>729</v>
      </c>
      <c r="G757" t="s">
        <v>12</v>
      </c>
      <c r="I757" t="s">
        <v>5845</v>
      </c>
      <c r="J757" t="s">
        <v>7061</v>
      </c>
      <c r="K757">
        <v>742.34220423282272</v>
      </c>
      <c r="L757">
        <v>0.34477594593372107</v>
      </c>
      <c r="M757">
        <v>112.52676983540098</v>
      </c>
      <c r="N757">
        <v>123.7794468189411</v>
      </c>
    </row>
    <row r="758" spans="1:14">
      <c r="A758" t="s">
        <v>726</v>
      </c>
      <c r="B758" t="s">
        <v>5847</v>
      </c>
      <c r="C758" t="s">
        <v>5848</v>
      </c>
      <c r="D758" t="s">
        <v>11</v>
      </c>
      <c r="E758" t="s">
        <v>13</v>
      </c>
      <c r="F758" t="s">
        <v>729</v>
      </c>
      <c r="G758" t="s">
        <v>12</v>
      </c>
      <c r="I758" t="s">
        <v>5847</v>
      </c>
      <c r="J758" t="s">
        <v>7062</v>
      </c>
      <c r="K758">
        <v>7.6590026837258725</v>
      </c>
      <c r="L758">
        <v>0.1480156989127801</v>
      </c>
      <c r="M758">
        <v>153.23763023885033</v>
      </c>
      <c r="N758">
        <v>168.56139326273538</v>
      </c>
    </row>
    <row r="759" spans="1:14">
      <c r="A759" t="s">
        <v>726</v>
      </c>
      <c r="B759" t="s">
        <v>5849</v>
      </c>
      <c r="C759" t="s">
        <v>5850</v>
      </c>
      <c r="D759" t="s">
        <v>11</v>
      </c>
      <c r="E759" t="s">
        <v>13</v>
      </c>
      <c r="F759" t="s">
        <v>729</v>
      </c>
      <c r="G759" t="s">
        <v>12</v>
      </c>
      <c r="I759" t="s">
        <v>5849</v>
      </c>
      <c r="J759" t="s">
        <v>7063</v>
      </c>
      <c r="K759">
        <v>4.7167884528084718</v>
      </c>
      <c r="L759">
        <v>0.21932082699166849</v>
      </c>
      <c r="M759">
        <v>372.72375075448809</v>
      </c>
      <c r="N759">
        <v>409.99612582993694</v>
      </c>
    </row>
    <row r="760" spans="1:14">
      <c r="A760" t="s">
        <v>726</v>
      </c>
      <c r="B760" t="s">
        <v>5851</v>
      </c>
      <c r="C760" t="s">
        <v>5852</v>
      </c>
      <c r="D760" t="s">
        <v>11</v>
      </c>
      <c r="E760" t="s">
        <v>13</v>
      </c>
      <c r="F760" t="s">
        <v>729</v>
      </c>
      <c r="G760" t="s">
        <v>12</v>
      </c>
      <c r="I760" t="s">
        <v>5851</v>
      </c>
      <c r="J760" t="s">
        <v>7064</v>
      </c>
      <c r="K760">
        <v>341.74257478137895</v>
      </c>
      <c r="L760">
        <v>0.36604660960750851</v>
      </c>
      <c r="M760">
        <v>188.03708330229679</v>
      </c>
      <c r="N760">
        <v>206.84079163252648</v>
      </c>
    </row>
    <row r="761" spans="1:14">
      <c r="A761" t="s">
        <v>726</v>
      </c>
      <c r="B761" t="s">
        <v>5853</v>
      </c>
      <c r="C761" t="s">
        <v>5854</v>
      </c>
      <c r="D761" t="s">
        <v>11</v>
      </c>
      <c r="E761" t="s">
        <v>13</v>
      </c>
      <c r="F761" t="s">
        <v>729</v>
      </c>
      <c r="G761" t="s">
        <v>12</v>
      </c>
      <c r="I761" t="s">
        <v>5853</v>
      </c>
      <c r="J761" t="s">
        <v>7065</v>
      </c>
      <c r="K761">
        <v>76.226079690643303</v>
      </c>
      <c r="L761">
        <v>0.31719834914166511</v>
      </c>
      <c r="M761">
        <v>306.48363061184455</v>
      </c>
      <c r="N761">
        <v>337.131993673029</v>
      </c>
    </row>
    <row r="762" spans="1:14">
      <c r="A762" t="s">
        <v>726</v>
      </c>
      <c r="B762" t="s">
        <v>5855</v>
      </c>
      <c r="C762" t="s">
        <v>5856</v>
      </c>
      <c r="D762" t="s">
        <v>11</v>
      </c>
      <c r="E762" t="s">
        <v>13</v>
      </c>
      <c r="F762" t="s">
        <v>729</v>
      </c>
      <c r="G762" t="s">
        <v>12</v>
      </c>
      <c r="I762" t="s">
        <v>5855</v>
      </c>
      <c r="J762" t="s">
        <v>7066</v>
      </c>
      <c r="K762">
        <v>48.484450120150179</v>
      </c>
      <c r="L762">
        <v>0.23044535594681581</v>
      </c>
      <c r="M762">
        <v>233.75702236385985</v>
      </c>
      <c r="N762">
        <v>257.13272460024587</v>
      </c>
    </row>
    <row r="763" spans="1:14">
      <c r="A763" t="s">
        <v>726</v>
      </c>
      <c r="B763" t="s">
        <v>5857</v>
      </c>
      <c r="C763" t="s">
        <v>5858</v>
      </c>
      <c r="D763" t="s">
        <v>11</v>
      </c>
      <c r="E763" t="s">
        <v>13</v>
      </c>
      <c r="F763" t="s">
        <v>729</v>
      </c>
      <c r="G763" t="s">
        <v>12</v>
      </c>
      <c r="I763" t="s">
        <v>5857</v>
      </c>
      <c r="J763" t="s">
        <v>7067</v>
      </c>
      <c r="K763">
        <v>203.85627467607333</v>
      </c>
      <c r="L763">
        <v>0.3376419513146105</v>
      </c>
      <c r="M763">
        <v>193.59442016615117</v>
      </c>
      <c r="N763">
        <v>212.9538621827663</v>
      </c>
    </row>
    <row r="764" spans="1:14">
      <c r="A764" t="s">
        <v>726</v>
      </c>
      <c r="B764" t="s">
        <v>5859</v>
      </c>
      <c r="C764" t="s">
        <v>5860</v>
      </c>
      <c r="D764" t="s">
        <v>11</v>
      </c>
      <c r="E764" t="s">
        <v>13</v>
      </c>
      <c r="F764" t="s">
        <v>729</v>
      </c>
      <c r="G764" t="s">
        <v>12</v>
      </c>
      <c r="I764" t="s">
        <v>5859</v>
      </c>
      <c r="J764" t="s">
        <v>7068</v>
      </c>
      <c r="K764">
        <v>348.55423871434198</v>
      </c>
      <c r="L764">
        <v>0.35899832403386789</v>
      </c>
      <c r="M764">
        <v>270.97518257375168</v>
      </c>
      <c r="N764">
        <v>298.07270083112689</v>
      </c>
    </row>
    <row r="765" spans="1:14">
      <c r="A765" t="s">
        <v>726</v>
      </c>
      <c r="B765" t="s">
        <v>5861</v>
      </c>
      <c r="C765" t="s">
        <v>5862</v>
      </c>
      <c r="D765" t="s">
        <v>11</v>
      </c>
      <c r="E765" t="s">
        <v>13</v>
      </c>
      <c r="F765" t="s">
        <v>729</v>
      </c>
      <c r="G765" t="s">
        <v>12</v>
      </c>
      <c r="I765" t="s">
        <v>5861</v>
      </c>
      <c r="J765" t="s">
        <v>7069</v>
      </c>
      <c r="K765">
        <v>1.273191443167131E-2</v>
      </c>
      <c r="L765">
        <v>8.6134485468077008E-3</v>
      </c>
      <c r="M765">
        <v>17.603702179662044</v>
      </c>
      <c r="N765">
        <v>19.364072397628249</v>
      </c>
    </row>
    <row r="766" spans="1:14">
      <c r="A766" t="s">
        <v>726</v>
      </c>
      <c r="B766" t="s">
        <v>5863</v>
      </c>
      <c r="C766" t="s">
        <v>5864</v>
      </c>
      <c r="D766" t="s">
        <v>11</v>
      </c>
      <c r="E766" t="s">
        <v>13</v>
      </c>
      <c r="F766" t="s">
        <v>729</v>
      </c>
      <c r="G766" t="s">
        <v>12</v>
      </c>
      <c r="I766" t="s">
        <v>5863</v>
      </c>
      <c r="J766" t="s">
        <v>7070</v>
      </c>
      <c r="K766">
        <v>7.9186961746445017E-2</v>
      </c>
      <c r="L766">
        <v>3.2252417848006999E-3</v>
      </c>
      <c r="M766">
        <v>23.485838286648217</v>
      </c>
      <c r="N766">
        <v>25.834422115313043</v>
      </c>
    </row>
    <row r="767" spans="1:14">
      <c r="A767" t="s">
        <v>726</v>
      </c>
      <c r="B767" t="s">
        <v>5865</v>
      </c>
      <c r="C767" t="s">
        <v>5866</v>
      </c>
      <c r="D767" t="s">
        <v>11</v>
      </c>
      <c r="E767" t="s">
        <v>13</v>
      </c>
      <c r="F767" t="s">
        <v>729</v>
      </c>
      <c r="G767" t="s">
        <v>12</v>
      </c>
      <c r="I767" t="s">
        <v>5865</v>
      </c>
      <c r="J767" t="s">
        <v>7071</v>
      </c>
      <c r="K767">
        <v>91.681810754239009</v>
      </c>
      <c r="L767">
        <v>0.30876950094927808</v>
      </c>
      <c r="M767">
        <v>160.57930148882144</v>
      </c>
      <c r="N767">
        <v>176.63723163770359</v>
      </c>
    </row>
    <row r="768" spans="1:14">
      <c r="A768" t="s">
        <v>726</v>
      </c>
      <c r="B768" t="s">
        <v>5867</v>
      </c>
      <c r="C768" t="s">
        <v>5868</v>
      </c>
      <c r="D768" t="s">
        <v>11</v>
      </c>
      <c r="E768" t="s">
        <v>13</v>
      </c>
      <c r="F768" t="s">
        <v>729</v>
      </c>
      <c r="G768" t="s">
        <v>12</v>
      </c>
      <c r="I768" t="s">
        <v>5867</v>
      </c>
      <c r="J768" t="s">
        <v>7072</v>
      </c>
      <c r="K768">
        <v>201.00633492543997</v>
      </c>
      <c r="L768">
        <v>0.3270806017966732</v>
      </c>
      <c r="M768">
        <v>256.58868489678525</v>
      </c>
      <c r="N768">
        <v>282.24755338646378</v>
      </c>
    </row>
    <row r="769" spans="1:14">
      <c r="A769" t="s">
        <v>726</v>
      </c>
      <c r="B769" t="s">
        <v>5869</v>
      </c>
      <c r="C769" t="s">
        <v>5866</v>
      </c>
      <c r="D769" t="s">
        <v>11</v>
      </c>
      <c r="E769" t="s">
        <v>13</v>
      </c>
      <c r="F769" t="s">
        <v>729</v>
      </c>
      <c r="G769" t="s">
        <v>12</v>
      </c>
      <c r="I769" t="s">
        <v>5869</v>
      </c>
      <c r="J769" t="s">
        <v>7073</v>
      </c>
      <c r="K769">
        <v>263.70066181283642</v>
      </c>
      <c r="L769">
        <v>0.2511725772934767</v>
      </c>
      <c r="M769">
        <v>636.82506361377796</v>
      </c>
      <c r="N769">
        <v>700.50756997515577</v>
      </c>
    </row>
    <row r="770" spans="1:14">
      <c r="A770" t="s">
        <v>726</v>
      </c>
      <c r="B770" t="s">
        <v>5870</v>
      </c>
      <c r="C770" t="s">
        <v>5868</v>
      </c>
      <c r="D770" t="s">
        <v>11</v>
      </c>
      <c r="E770" t="s">
        <v>13</v>
      </c>
      <c r="F770" t="s">
        <v>729</v>
      </c>
      <c r="G770" t="s">
        <v>12</v>
      </c>
      <c r="I770" t="s">
        <v>5870</v>
      </c>
      <c r="J770" t="s">
        <v>7074</v>
      </c>
      <c r="K770">
        <v>133.15504723322252</v>
      </c>
      <c r="L770">
        <v>0.24318647065118709</v>
      </c>
      <c r="M770">
        <v>602.74789300974408</v>
      </c>
      <c r="N770">
        <v>663.02268231071855</v>
      </c>
    </row>
    <row r="771" spans="1:14">
      <c r="A771" t="s">
        <v>726</v>
      </c>
      <c r="B771" t="s">
        <v>5871</v>
      </c>
      <c r="C771" t="s">
        <v>5868</v>
      </c>
      <c r="D771" t="s">
        <v>11</v>
      </c>
      <c r="E771" t="s">
        <v>13</v>
      </c>
      <c r="F771" t="s">
        <v>729</v>
      </c>
      <c r="G771" t="s">
        <v>12</v>
      </c>
      <c r="I771" t="s">
        <v>5871</v>
      </c>
      <c r="J771" t="s">
        <v>7075</v>
      </c>
      <c r="K771">
        <v>132.49185278458586</v>
      </c>
      <c r="L771">
        <v>0.2391768038724279</v>
      </c>
      <c r="M771">
        <v>305.6977878620101</v>
      </c>
      <c r="N771">
        <v>336.26756664821113</v>
      </c>
    </row>
    <row r="772" spans="1:14">
      <c r="A772" t="s">
        <v>726</v>
      </c>
      <c r="B772" t="s">
        <v>5872</v>
      </c>
      <c r="C772" t="s">
        <v>5873</v>
      </c>
      <c r="D772" t="s">
        <v>11</v>
      </c>
      <c r="E772" t="s">
        <v>13</v>
      </c>
      <c r="F772" t="s">
        <v>729</v>
      </c>
      <c r="G772" t="s">
        <v>12</v>
      </c>
      <c r="I772" t="s">
        <v>5872</v>
      </c>
      <c r="J772" t="s">
        <v>7076</v>
      </c>
      <c r="K772">
        <v>146.45173655148841</v>
      </c>
      <c r="L772">
        <v>0.26607510473451401</v>
      </c>
      <c r="M772">
        <v>206.61360608394497</v>
      </c>
      <c r="N772">
        <v>227.27496669233949</v>
      </c>
    </row>
    <row r="773" spans="1:14">
      <c r="A773" t="s">
        <v>726</v>
      </c>
      <c r="B773" t="s">
        <v>5874</v>
      </c>
      <c r="C773" t="s">
        <v>5875</v>
      </c>
      <c r="D773" t="s">
        <v>11</v>
      </c>
      <c r="E773" t="s">
        <v>13</v>
      </c>
      <c r="F773" t="s">
        <v>729</v>
      </c>
      <c r="G773" t="s">
        <v>12</v>
      </c>
      <c r="I773" t="s">
        <v>5874</v>
      </c>
      <c r="J773" t="s">
        <v>7077</v>
      </c>
      <c r="K773">
        <v>104.57265036389285</v>
      </c>
      <c r="L773">
        <v>0.1482135267767731</v>
      </c>
      <c r="M773">
        <v>173.54977283944481</v>
      </c>
      <c r="N773">
        <v>190.90475012338931</v>
      </c>
    </row>
    <row r="774" spans="1:14">
      <c r="A774" t="s">
        <v>726</v>
      </c>
      <c r="B774" t="s">
        <v>5876</v>
      </c>
      <c r="C774" t="s">
        <v>5877</v>
      </c>
      <c r="D774" t="s">
        <v>11</v>
      </c>
      <c r="E774" t="s">
        <v>13</v>
      </c>
      <c r="F774" t="s">
        <v>729</v>
      </c>
      <c r="G774" t="s">
        <v>12</v>
      </c>
      <c r="I774" t="s">
        <v>5876</v>
      </c>
      <c r="J774" t="s">
        <v>7078</v>
      </c>
      <c r="K774">
        <v>30.41673888909445</v>
      </c>
      <c r="L774">
        <v>0.2340483595394747</v>
      </c>
      <c r="M774">
        <v>170.776122867434</v>
      </c>
      <c r="N774">
        <v>187.8537351541774</v>
      </c>
    </row>
    <row r="775" spans="1:14">
      <c r="A775" t="s">
        <v>726</v>
      </c>
      <c r="B775" t="s">
        <v>5878</v>
      </c>
      <c r="C775" t="s">
        <v>5879</v>
      </c>
      <c r="D775" t="s">
        <v>11</v>
      </c>
      <c r="E775" t="s">
        <v>13</v>
      </c>
      <c r="F775" t="s">
        <v>729</v>
      </c>
      <c r="G775" t="s">
        <v>12</v>
      </c>
      <c r="I775" t="s">
        <v>5878</v>
      </c>
      <c r="J775" t="s">
        <v>7079</v>
      </c>
      <c r="K775">
        <v>148.03939231616255</v>
      </c>
      <c r="L775">
        <v>0.28351462943758071</v>
      </c>
      <c r="M775">
        <v>256.51070713042259</v>
      </c>
      <c r="N775">
        <v>282.16177784346485</v>
      </c>
    </row>
    <row r="776" spans="1:14">
      <c r="A776" t="s">
        <v>726</v>
      </c>
      <c r="B776" t="s">
        <v>5880</v>
      </c>
      <c r="C776" t="s">
        <v>5881</v>
      </c>
      <c r="D776" t="s">
        <v>11</v>
      </c>
      <c r="E776" t="s">
        <v>13</v>
      </c>
      <c r="F776" t="s">
        <v>729</v>
      </c>
      <c r="G776" t="s">
        <v>12</v>
      </c>
      <c r="I776" t="s">
        <v>5880</v>
      </c>
      <c r="J776" t="s">
        <v>7080</v>
      </c>
      <c r="K776">
        <v>79.775381663625936</v>
      </c>
      <c r="L776">
        <v>0.24035966791772281</v>
      </c>
      <c r="M776">
        <v>622.07714836940283</v>
      </c>
      <c r="N776">
        <v>684.28486320634318</v>
      </c>
    </row>
    <row r="777" spans="1:14">
      <c r="A777" t="s">
        <v>726</v>
      </c>
      <c r="B777" t="s">
        <v>5882</v>
      </c>
      <c r="C777" t="s">
        <v>5873</v>
      </c>
      <c r="D777" t="s">
        <v>11</v>
      </c>
      <c r="E777" t="s">
        <v>13</v>
      </c>
      <c r="F777" t="s">
        <v>729</v>
      </c>
      <c r="G777" t="s">
        <v>12</v>
      </c>
      <c r="I777" t="s">
        <v>5882</v>
      </c>
      <c r="J777" t="s">
        <v>7081</v>
      </c>
      <c r="K777">
        <v>171.56050178366306</v>
      </c>
      <c r="L777">
        <v>0.3371224681983277</v>
      </c>
      <c r="M777">
        <v>348.99551733615323</v>
      </c>
      <c r="N777">
        <v>383.89506906976857</v>
      </c>
    </row>
    <row r="778" spans="1:14">
      <c r="A778" t="s">
        <v>726</v>
      </c>
      <c r="B778" t="s">
        <v>5883</v>
      </c>
      <c r="C778" t="s">
        <v>5884</v>
      </c>
      <c r="D778" t="s">
        <v>11</v>
      </c>
      <c r="E778" t="s">
        <v>13</v>
      </c>
      <c r="F778" t="s">
        <v>729</v>
      </c>
      <c r="G778" t="s">
        <v>12</v>
      </c>
      <c r="I778" t="s">
        <v>5883</v>
      </c>
      <c r="J778" t="s">
        <v>7082</v>
      </c>
      <c r="K778">
        <v>274.75650202280252</v>
      </c>
      <c r="L778">
        <v>0.2749962577920505</v>
      </c>
      <c r="M778">
        <v>285.90770322783493</v>
      </c>
      <c r="N778">
        <v>314.49847355061843</v>
      </c>
    </row>
    <row r="779" spans="1:14">
      <c r="A779" t="s">
        <v>726</v>
      </c>
      <c r="B779" t="s">
        <v>5885</v>
      </c>
      <c r="C779" t="s">
        <v>5886</v>
      </c>
      <c r="D779" t="s">
        <v>11</v>
      </c>
      <c r="E779" t="s">
        <v>13</v>
      </c>
      <c r="F779" t="s">
        <v>729</v>
      </c>
      <c r="G779" t="s">
        <v>12</v>
      </c>
      <c r="I779" t="s">
        <v>5885</v>
      </c>
      <c r="J779" t="s">
        <v>7083</v>
      </c>
      <c r="K779">
        <v>136.73218642624767</v>
      </c>
      <c r="L779">
        <v>0.29790963257723369</v>
      </c>
      <c r="M779">
        <v>588.53473582368156</v>
      </c>
      <c r="N779">
        <v>647.38820940604978</v>
      </c>
    </row>
    <row r="780" spans="1:14">
      <c r="A780" t="s">
        <v>726</v>
      </c>
      <c r="B780" t="s">
        <v>5887</v>
      </c>
      <c r="C780" t="s">
        <v>5888</v>
      </c>
      <c r="D780" t="s">
        <v>11</v>
      </c>
      <c r="E780" t="s">
        <v>13</v>
      </c>
      <c r="F780" t="s">
        <v>729</v>
      </c>
      <c r="G780" t="s">
        <v>12</v>
      </c>
      <c r="I780" t="s">
        <v>5887</v>
      </c>
      <c r="J780" t="s">
        <v>7084</v>
      </c>
      <c r="K780">
        <v>157.21470750767944</v>
      </c>
      <c r="L780">
        <v>0.3264121139511707</v>
      </c>
      <c r="M780">
        <v>343.77291222921542</v>
      </c>
      <c r="N780">
        <v>378.15020345213702</v>
      </c>
    </row>
    <row r="781" spans="1:14">
      <c r="A781" t="s">
        <v>726</v>
      </c>
      <c r="B781" t="s">
        <v>5889</v>
      </c>
      <c r="C781" t="s">
        <v>5890</v>
      </c>
      <c r="D781" t="s">
        <v>11</v>
      </c>
      <c r="E781" t="s">
        <v>13</v>
      </c>
      <c r="F781" t="s">
        <v>729</v>
      </c>
      <c r="G781" t="s">
        <v>12</v>
      </c>
      <c r="I781" t="s">
        <v>5889</v>
      </c>
      <c r="J781" t="s">
        <v>7085</v>
      </c>
      <c r="K781">
        <v>59.239539437463101</v>
      </c>
      <c r="L781">
        <v>0.1918690423874968</v>
      </c>
      <c r="M781">
        <v>604.55906194794682</v>
      </c>
      <c r="N781">
        <v>665.01496814274151</v>
      </c>
    </row>
    <row r="782" spans="1:14">
      <c r="A782" t="s">
        <v>726</v>
      </c>
      <c r="B782" t="s">
        <v>5891</v>
      </c>
      <c r="C782" t="s">
        <v>5892</v>
      </c>
      <c r="D782" t="s">
        <v>11</v>
      </c>
      <c r="E782" t="s">
        <v>13</v>
      </c>
      <c r="F782" t="s">
        <v>729</v>
      </c>
      <c r="G782" t="s">
        <v>12</v>
      </c>
      <c r="I782" t="s">
        <v>5891</v>
      </c>
      <c r="J782" t="s">
        <v>7086</v>
      </c>
      <c r="K782">
        <v>131.98092421278946</v>
      </c>
      <c r="L782">
        <v>0.25275566836356222</v>
      </c>
      <c r="M782">
        <v>420.6228299277555</v>
      </c>
      <c r="N782">
        <v>462.68511292053108</v>
      </c>
    </row>
    <row r="783" spans="1:14">
      <c r="A783" t="s">
        <v>726</v>
      </c>
      <c r="B783" t="s">
        <v>5893</v>
      </c>
      <c r="C783" t="s">
        <v>5894</v>
      </c>
      <c r="D783" t="s">
        <v>11</v>
      </c>
      <c r="E783" t="s">
        <v>13</v>
      </c>
      <c r="F783" t="s">
        <v>729</v>
      </c>
      <c r="G783" t="s">
        <v>12</v>
      </c>
      <c r="I783" t="s">
        <v>5893</v>
      </c>
      <c r="J783" t="s">
        <v>7087</v>
      </c>
      <c r="K783">
        <v>378.32016972528987</v>
      </c>
      <c r="L783">
        <v>0.44417928177937488</v>
      </c>
      <c r="M783">
        <v>533.84043937262379</v>
      </c>
      <c r="N783">
        <v>587.22448330988618</v>
      </c>
    </row>
    <row r="784" spans="1:14">
      <c r="A784" t="s">
        <v>726</v>
      </c>
      <c r="B784" t="s">
        <v>5895</v>
      </c>
      <c r="C784" t="s">
        <v>5896</v>
      </c>
      <c r="D784" t="s">
        <v>11</v>
      </c>
      <c r="E784" t="s">
        <v>13</v>
      </c>
      <c r="F784" t="s">
        <v>729</v>
      </c>
      <c r="G784" t="s">
        <v>12</v>
      </c>
      <c r="I784" t="s">
        <v>5895</v>
      </c>
      <c r="J784" t="s">
        <v>7088</v>
      </c>
      <c r="K784">
        <v>151.23623958614778</v>
      </c>
      <c r="L784">
        <v>0.34330832518023963</v>
      </c>
      <c r="M784">
        <v>611.1158935427635</v>
      </c>
      <c r="N784">
        <v>672.22748289703986</v>
      </c>
    </row>
    <row r="785" spans="1:14">
      <c r="A785" t="s">
        <v>726</v>
      </c>
      <c r="B785" t="s">
        <v>5897</v>
      </c>
      <c r="C785" t="s">
        <v>5894</v>
      </c>
      <c r="D785" t="s">
        <v>11</v>
      </c>
      <c r="E785" t="s">
        <v>13</v>
      </c>
      <c r="F785" t="s">
        <v>729</v>
      </c>
      <c r="G785" t="s">
        <v>12</v>
      </c>
      <c r="I785" t="s">
        <v>5897</v>
      </c>
      <c r="J785" t="s">
        <v>7089</v>
      </c>
      <c r="K785">
        <v>205.53346974962878</v>
      </c>
      <c r="L785">
        <v>0.3317989833117071</v>
      </c>
      <c r="M785">
        <v>812.55506080128896</v>
      </c>
      <c r="N785">
        <v>893.81056688141791</v>
      </c>
    </row>
    <row r="786" spans="1:14">
      <c r="A786" t="s">
        <v>726</v>
      </c>
      <c r="B786" t="s">
        <v>5898</v>
      </c>
      <c r="C786" t="s">
        <v>5899</v>
      </c>
      <c r="D786" t="s">
        <v>11</v>
      </c>
      <c r="E786" t="s">
        <v>13</v>
      </c>
      <c r="F786" t="s">
        <v>729</v>
      </c>
      <c r="G786" t="s">
        <v>12</v>
      </c>
      <c r="I786" t="s">
        <v>5898</v>
      </c>
      <c r="J786" t="s">
        <v>7090</v>
      </c>
      <c r="K786">
        <v>23.938817174608339</v>
      </c>
      <c r="L786">
        <v>0.15811337875160389</v>
      </c>
      <c r="M786">
        <v>246.82081074779649</v>
      </c>
      <c r="N786">
        <v>271.50289182257615</v>
      </c>
    </row>
    <row r="787" spans="1:14">
      <c r="A787" t="s">
        <v>726</v>
      </c>
      <c r="B787" t="s">
        <v>5900</v>
      </c>
      <c r="C787" t="s">
        <v>5899</v>
      </c>
      <c r="D787" t="s">
        <v>11</v>
      </c>
      <c r="E787" t="s">
        <v>13</v>
      </c>
      <c r="F787" t="s">
        <v>729</v>
      </c>
      <c r="G787" t="s">
        <v>12</v>
      </c>
      <c r="I787" t="s">
        <v>5900</v>
      </c>
      <c r="J787" t="s">
        <v>7091</v>
      </c>
      <c r="K787">
        <v>56.431887620753614</v>
      </c>
      <c r="L787">
        <v>0.1793021578861258</v>
      </c>
      <c r="M787">
        <v>216.19355957762883</v>
      </c>
      <c r="N787">
        <v>237.81291553539174</v>
      </c>
    </row>
    <row r="788" spans="1:14">
      <c r="A788" t="s">
        <v>726</v>
      </c>
      <c r="B788" t="s">
        <v>5901</v>
      </c>
      <c r="C788" t="s">
        <v>5899</v>
      </c>
      <c r="D788" t="s">
        <v>11</v>
      </c>
      <c r="E788" t="s">
        <v>13</v>
      </c>
      <c r="F788" t="s">
        <v>729</v>
      </c>
      <c r="G788" t="s">
        <v>12</v>
      </c>
      <c r="I788" t="s">
        <v>5901</v>
      </c>
      <c r="J788" t="s">
        <v>7092</v>
      </c>
      <c r="K788">
        <v>120.3220161152425</v>
      </c>
      <c r="L788">
        <v>0.3617443683847093</v>
      </c>
      <c r="M788">
        <v>316.23608752376242</v>
      </c>
      <c r="N788">
        <v>347.85969627613866</v>
      </c>
    </row>
    <row r="789" spans="1:14">
      <c r="A789" t="s">
        <v>726</v>
      </c>
      <c r="B789" t="s">
        <v>5902</v>
      </c>
      <c r="C789" t="s">
        <v>5899</v>
      </c>
      <c r="D789" t="s">
        <v>11</v>
      </c>
      <c r="E789" t="s">
        <v>13</v>
      </c>
      <c r="F789" t="s">
        <v>729</v>
      </c>
      <c r="G789" t="s">
        <v>12</v>
      </c>
      <c r="I789" t="s">
        <v>5902</v>
      </c>
      <c r="J789" t="s">
        <v>7093</v>
      </c>
      <c r="K789">
        <v>83.491913414438642</v>
      </c>
      <c r="L789">
        <v>0.35691129322538878</v>
      </c>
      <c r="M789">
        <v>171.18672288066884</v>
      </c>
      <c r="N789">
        <v>188.30539516873574</v>
      </c>
    </row>
    <row r="790" spans="1:14">
      <c r="A790" t="s">
        <v>726</v>
      </c>
      <c r="B790" t="s">
        <v>5903</v>
      </c>
      <c r="C790" t="s">
        <v>5904</v>
      </c>
      <c r="D790" t="s">
        <v>11</v>
      </c>
      <c r="E790" t="s">
        <v>13</v>
      </c>
      <c r="F790" t="s">
        <v>729</v>
      </c>
      <c r="G790" t="s">
        <v>12</v>
      </c>
      <c r="I790" t="s">
        <v>5903</v>
      </c>
      <c r="J790" t="s">
        <v>7094</v>
      </c>
      <c r="K790">
        <v>282.41325855732288</v>
      </c>
      <c r="L790">
        <v>0.40566845389631179</v>
      </c>
      <c r="M790">
        <v>280.83664761799002</v>
      </c>
      <c r="N790">
        <v>308.92031237978904</v>
      </c>
    </row>
    <row r="791" spans="1:14">
      <c r="A791" t="s">
        <v>726</v>
      </c>
      <c r="B791" t="s">
        <v>5905</v>
      </c>
      <c r="C791" t="s">
        <v>5896</v>
      </c>
      <c r="D791" t="s">
        <v>11</v>
      </c>
      <c r="E791" t="s">
        <v>13</v>
      </c>
      <c r="F791" t="s">
        <v>729</v>
      </c>
      <c r="G791" t="s">
        <v>12</v>
      </c>
      <c r="I791" t="s">
        <v>5905</v>
      </c>
      <c r="J791" t="s">
        <v>7095</v>
      </c>
      <c r="K791">
        <v>49.574396388390014</v>
      </c>
      <c r="L791">
        <v>0.32973772936751727</v>
      </c>
      <c r="M791">
        <v>276.25807454588414</v>
      </c>
      <c r="N791">
        <v>303.88388200047257</v>
      </c>
    </row>
    <row r="792" spans="1:14">
      <c r="A792" t="s">
        <v>726</v>
      </c>
      <c r="B792" t="s">
        <v>5906</v>
      </c>
      <c r="C792" t="s">
        <v>5904</v>
      </c>
      <c r="D792" t="s">
        <v>11</v>
      </c>
      <c r="E792" t="s">
        <v>13</v>
      </c>
      <c r="F792" t="s">
        <v>729</v>
      </c>
      <c r="G792" t="s">
        <v>12</v>
      </c>
      <c r="I792" t="s">
        <v>5906</v>
      </c>
      <c r="J792" t="s">
        <v>7096</v>
      </c>
      <c r="K792">
        <v>171.19168407623695</v>
      </c>
      <c r="L792">
        <v>0.32816514779397737</v>
      </c>
      <c r="M792">
        <v>438.98008567323359</v>
      </c>
      <c r="N792">
        <v>482.878094240557</v>
      </c>
    </row>
    <row r="793" spans="1:14">
      <c r="A793" t="s">
        <v>726</v>
      </c>
      <c r="B793" t="s">
        <v>5907</v>
      </c>
      <c r="C793" t="s">
        <v>5908</v>
      </c>
      <c r="D793" t="s">
        <v>11</v>
      </c>
      <c r="E793" t="s">
        <v>13</v>
      </c>
      <c r="F793" t="s">
        <v>729</v>
      </c>
      <c r="G793" t="s">
        <v>12</v>
      </c>
      <c r="I793" t="s">
        <v>5907</v>
      </c>
      <c r="J793" t="s">
        <v>7097</v>
      </c>
      <c r="K793">
        <v>44.806327415452849</v>
      </c>
      <c r="L793">
        <v>0.2268667595065699</v>
      </c>
      <c r="M793">
        <v>380.41601493911912</v>
      </c>
      <c r="N793">
        <v>418.45761643303109</v>
      </c>
    </row>
    <row r="794" spans="1:14">
      <c r="A794" t="s">
        <v>726</v>
      </c>
      <c r="B794" t="s">
        <v>5909</v>
      </c>
      <c r="C794" t="s">
        <v>5910</v>
      </c>
      <c r="D794" t="s">
        <v>11</v>
      </c>
      <c r="E794" t="s">
        <v>13</v>
      </c>
      <c r="F794" t="s">
        <v>729</v>
      </c>
      <c r="G794" t="s">
        <v>12</v>
      </c>
      <c r="I794" t="s">
        <v>5909</v>
      </c>
      <c r="J794" t="s">
        <v>7098</v>
      </c>
      <c r="K794">
        <v>120.16290341188483</v>
      </c>
      <c r="L794">
        <v>0.3258894876567518</v>
      </c>
      <c r="M794">
        <v>166.65452355049246</v>
      </c>
      <c r="N794">
        <v>183.31997590554172</v>
      </c>
    </row>
    <row r="795" spans="1:14">
      <c r="A795" t="s">
        <v>726</v>
      </c>
      <c r="B795" t="s">
        <v>5911</v>
      </c>
      <c r="C795" t="s">
        <v>5912</v>
      </c>
      <c r="D795" t="s">
        <v>11</v>
      </c>
      <c r="E795" t="s">
        <v>13</v>
      </c>
      <c r="F795" t="s">
        <v>729</v>
      </c>
      <c r="G795" t="s">
        <v>12</v>
      </c>
      <c r="I795" t="s">
        <v>5911</v>
      </c>
      <c r="J795" t="s">
        <v>7099</v>
      </c>
      <c r="K795">
        <v>39.230580226062038</v>
      </c>
      <c r="L795">
        <v>0.2383940657370531</v>
      </c>
      <c r="M795">
        <v>255.9604424285142</v>
      </c>
      <c r="N795">
        <v>281.55648667136563</v>
      </c>
    </row>
    <row r="796" spans="1:14">
      <c r="A796" t="s">
        <v>726</v>
      </c>
      <c r="B796" t="s">
        <v>5913</v>
      </c>
      <c r="C796" t="s">
        <v>5914</v>
      </c>
      <c r="D796" t="s">
        <v>11</v>
      </c>
      <c r="E796" t="s">
        <v>13</v>
      </c>
      <c r="F796" t="s">
        <v>729</v>
      </c>
      <c r="G796" t="s">
        <v>12</v>
      </c>
      <c r="I796" t="s">
        <v>5913</v>
      </c>
      <c r="J796" t="s">
        <v>7100</v>
      </c>
      <c r="K796">
        <v>33.948073709827952</v>
      </c>
      <c r="L796">
        <v>0.2928552330691323</v>
      </c>
      <c r="M796">
        <v>104.99053008140812</v>
      </c>
      <c r="N796">
        <v>115.48958308954894</v>
      </c>
    </row>
    <row r="797" spans="1:14">
      <c r="A797" t="s">
        <v>726</v>
      </c>
      <c r="B797" t="s">
        <v>5915</v>
      </c>
      <c r="C797" t="s">
        <v>5916</v>
      </c>
      <c r="D797" t="s">
        <v>11</v>
      </c>
      <c r="E797" t="s">
        <v>13</v>
      </c>
      <c r="F797" t="s">
        <v>729</v>
      </c>
      <c r="G797" t="s">
        <v>12</v>
      </c>
      <c r="I797" t="s">
        <v>5915</v>
      </c>
      <c r="J797" t="s">
        <v>7101</v>
      </c>
      <c r="K797">
        <v>2.0820661936736324</v>
      </c>
      <c r="L797">
        <v>0.191971129370407</v>
      </c>
      <c r="M797">
        <v>405.88849092842952</v>
      </c>
      <c r="N797">
        <v>446.47734002127248</v>
      </c>
    </row>
    <row r="798" spans="1:14">
      <c r="A798" t="s">
        <v>726</v>
      </c>
      <c r="B798" t="s">
        <v>5917</v>
      </c>
      <c r="C798" t="s">
        <v>5918</v>
      </c>
      <c r="D798" t="s">
        <v>11</v>
      </c>
      <c r="E798" t="s">
        <v>13</v>
      </c>
      <c r="F798" t="s">
        <v>729</v>
      </c>
      <c r="G798" t="s">
        <v>12</v>
      </c>
      <c r="I798" t="s">
        <v>5917</v>
      </c>
      <c r="J798" t="s">
        <v>7102</v>
      </c>
      <c r="K798">
        <v>5.9552281573881931</v>
      </c>
      <c r="L798">
        <v>0.16220634342612689</v>
      </c>
      <c r="M798">
        <v>69.157574276903006</v>
      </c>
      <c r="N798">
        <v>76.073331704593315</v>
      </c>
    </row>
    <row r="799" spans="1:14">
      <c r="A799" t="s">
        <v>726</v>
      </c>
      <c r="B799" t="s">
        <v>5919</v>
      </c>
      <c r="C799" t="s">
        <v>5920</v>
      </c>
      <c r="D799" t="s">
        <v>11</v>
      </c>
      <c r="E799" t="s">
        <v>13</v>
      </c>
      <c r="F799" t="s">
        <v>729</v>
      </c>
      <c r="G799" t="s">
        <v>12</v>
      </c>
      <c r="I799" t="s">
        <v>5919</v>
      </c>
      <c r="J799" t="s">
        <v>7103</v>
      </c>
      <c r="K799">
        <v>1.7434230944213187</v>
      </c>
      <c r="L799">
        <v>0.15598825065016031</v>
      </c>
      <c r="M799">
        <v>209.42264460164321</v>
      </c>
      <c r="N799">
        <v>230.36490906180757</v>
      </c>
    </row>
    <row r="800" spans="1:14">
      <c r="A800" t="s">
        <v>726</v>
      </c>
      <c r="B800" t="s">
        <v>5921</v>
      </c>
      <c r="C800" t="s">
        <v>5922</v>
      </c>
      <c r="D800" t="s">
        <v>11</v>
      </c>
      <c r="E800" t="s">
        <v>13</v>
      </c>
      <c r="F800" t="s">
        <v>729</v>
      </c>
      <c r="G800" t="s">
        <v>12</v>
      </c>
      <c r="I800" t="s">
        <v>5921</v>
      </c>
      <c r="J800" t="s">
        <v>7104</v>
      </c>
      <c r="K800">
        <v>16.967936329801404</v>
      </c>
      <c r="L800">
        <v>0.19302049756276801</v>
      </c>
      <c r="M800">
        <v>270.99012364214207</v>
      </c>
      <c r="N800">
        <v>298.08913600635628</v>
      </c>
    </row>
    <row r="801" spans="1:14">
      <c r="A801" t="s">
        <v>726</v>
      </c>
      <c r="B801" t="s">
        <v>5923</v>
      </c>
      <c r="C801" t="s">
        <v>5924</v>
      </c>
      <c r="D801" t="s">
        <v>11</v>
      </c>
      <c r="E801" t="s">
        <v>13</v>
      </c>
      <c r="F801" t="s">
        <v>729</v>
      </c>
      <c r="G801" t="s">
        <v>12</v>
      </c>
      <c r="I801" t="s">
        <v>5923</v>
      </c>
      <c r="J801" t="s">
        <v>7105</v>
      </c>
      <c r="K801">
        <v>3.8959441666808303E-3</v>
      </c>
      <c r="L801">
        <v>8.3213282568357999E-2</v>
      </c>
      <c r="M801">
        <v>6.403931548308436</v>
      </c>
      <c r="N801">
        <v>7.0443247031392806</v>
      </c>
    </row>
    <row r="802" spans="1:14">
      <c r="A802" t="s">
        <v>726</v>
      </c>
      <c r="B802" t="s">
        <v>5925</v>
      </c>
      <c r="C802" t="s">
        <v>5926</v>
      </c>
      <c r="D802" t="s">
        <v>11</v>
      </c>
      <c r="E802" t="s">
        <v>13</v>
      </c>
      <c r="F802" t="s">
        <v>729</v>
      </c>
      <c r="G802" t="s">
        <v>12</v>
      </c>
      <c r="I802" t="s">
        <v>5925</v>
      </c>
      <c r="J802" t="s">
        <v>7106</v>
      </c>
      <c r="K802">
        <v>1.6353525235066512E-2</v>
      </c>
      <c r="L802">
        <v>8.5509877232473594E-2</v>
      </c>
      <c r="M802">
        <v>15.178301278682261</v>
      </c>
      <c r="N802">
        <v>16.696131406550489</v>
      </c>
    </row>
    <row r="803" spans="1:14">
      <c r="A803" t="s">
        <v>726</v>
      </c>
      <c r="B803" t="s">
        <v>5927</v>
      </c>
      <c r="C803" t="s">
        <v>5928</v>
      </c>
      <c r="D803" t="s">
        <v>11</v>
      </c>
      <c r="E803" t="s">
        <v>13</v>
      </c>
      <c r="F803" t="s">
        <v>729</v>
      </c>
      <c r="G803" t="s">
        <v>12</v>
      </c>
      <c r="I803" t="s">
        <v>5927</v>
      </c>
      <c r="J803" t="s">
        <v>7107</v>
      </c>
      <c r="K803">
        <v>1.8346385263930332E-2</v>
      </c>
      <c r="L803">
        <v>4.5717822597475997E-2</v>
      </c>
      <c r="M803">
        <v>74.470437001759905</v>
      </c>
      <c r="N803">
        <v>81.917480701935901</v>
      </c>
    </row>
    <row r="804" spans="1:14">
      <c r="A804" t="s">
        <v>726</v>
      </c>
      <c r="B804" t="s">
        <v>5929</v>
      </c>
      <c r="C804" t="s">
        <v>5930</v>
      </c>
      <c r="D804" t="s">
        <v>11</v>
      </c>
      <c r="E804" t="s">
        <v>13</v>
      </c>
      <c r="F804" t="s">
        <v>729</v>
      </c>
      <c r="G804" t="s">
        <v>12</v>
      </c>
      <c r="I804" t="s">
        <v>5929</v>
      </c>
      <c r="J804" t="s">
        <v>7108</v>
      </c>
      <c r="K804">
        <v>9.344500330111434E-2</v>
      </c>
      <c r="L804">
        <v>2.17194816319955E-2</v>
      </c>
      <c r="M804">
        <v>122.96454975195796</v>
      </c>
      <c r="N804">
        <v>135.26100472715376</v>
      </c>
    </row>
    <row r="805" spans="1:14">
      <c r="A805" t="s">
        <v>726</v>
      </c>
      <c r="B805" t="s">
        <v>5931</v>
      </c>
      <c r="C805" t="s">
        <v>5932</v>
      </c>
      <c r="D805" t="s">
        <v>11</v>
      </c>
      <c r="E805" t="s">
        <v>13</v>
      </c>
      <c r="F805" t="s">
        <v>729</v>
      </c>
      <c r="G805" t="s">
        <v>12</v>
      </c>
      <c r="I805" t="s">
        <v>5931</v>
      </c>
      <c r="J805" t="s">
        <v>7109</v>
      </c>
      <c r="K805">
        <v>3.2529883555417802</v>
      </c>
      <c r="L805">
        <v>4.7023554743632401E-2</v>
      </c>
      <c r="M805">
        <v>14.059780897477999</v>
      </c>
      <c r="N805">
        <v>15.465758987225801</v>
      </c>
    </row>
    <row r="806" spans="1:14">
      <c r="A806" t="s">
        <v>726</v>
      </c>
      <c r="B806" t="s">
        <v>5933</v>
      </c>
      <c r="C806" t="s">
        <v>5934</v>
      </c>
      <c r="D806" t="s">
        <v>11</v>
      </c>
      <c r="E806" t="s">
        <v>13</v>
      </c>
      <c r="F806" t="s">
        <v>729</v>
      </c>
      <c r="G806" t="s">
        <v>12</v>
      </c>
      <c r="I806" t="s">
        <v>5933</v>
      </c>
      <c r="J806" t="s">
        <v>7110</v>
      </c>
      <c r="K806">
        <v>11.564915308901913</v>
      </c>
      <c r="L806">
        <v>4.9453222901354399E-2</v>
      </c>
      <c r="M806">
        <v>25.402649886953583</v>
      </c>
      <c r="N806">
        <v>27.942914875648942</v>
      </c>
    </row>
    <row r="807" spans="1:14">
      <c r="A807" t="s">
        <v>726</v>
      </c>
      <c r="B807" t="s">
        <v>5935</v>
      </c>
      <c r="C807" t="s">
        <v>5936</v>
      </c>
      <c r="D807" t="s">
        <v>11</v>
      </c>
      <c r="E807" t="s">
        <v>13</v>
      </c>
      <c r="F807" t="s">
        <v>729</v>
      </c>
      <c r="G807" t="s">
        <v>12</v>
      </c>
      <c r="I807" t="s">
        <v>5935</v>
      </c>
      <c r="J807" t="s">
        <v>7111</v>
      </c>
      <c r="K807">
        <v>59.614709415548305</v>
      </c>
      <c r="L807">
        <v>0.3714154793409401</v>
      </c>
      <c r="M807">
        <v>101.43397908210244</v>
      </c>
      <c r="N807">
        <v>111.57737699031269</v>
      </c>
    </row>
    <row r="808" spans="1:14">
      <c r="A808" t="s">
        <v>726</v>
      </c>
      <c r="B808" t="s">
        <v>5937</v>
      </c>
      <c r="C808" t="s">
        <v>5938</v>
      </c>
      <c r="D808" t="s">
        <v>11</v>
      </c>
      <c r="E808" t="s">
        <v>13</v>
      </c>
      <c r="F808" t="s">
        <v>729</v>
      </c>
      <c r="G808" t="s">
        <v>12</v>
      </c>
      <c r="I808" t="s">
        <v>5937</v>
      </c>
      <c r="J808" t="s">
        <v>7112</v>
      </c>
      <c r="K808">
        <v>21.851595790106057</v>
      </c>
      <c r="L808">
        <v>0.25282106425230361</v>
      </c>
      <c r="M808">
        <v>70.551205945539635</v>
      </c>
      <c r="N808">
        <v>77.606326540093605</v>
      </c>
    </row>
    <row r="809" spans="1:14">
      <c r="A809" t="s">
        <v>726</v>
      </c>
      <c r="B809" t="s">
        <v>5939</v>
      </c>
      <c r="C809" t="s">
        <v>5940</v>
      </c>
      <c r="D809" t="s">
        <v>11</v>
      </c>
      <c r="E809" t="s">
        <v>13</v>
      </c>
      <c r="F809" t="s">
        <v>729</v>
      </c>
      <c r="G809" t="s">
        <v>12</v>
      </c>
      <c r="I809" t="s">
        <v>5939</v>
      </c>
      <c r="J809" t="s">
        <v>7113</v>
      </c>
      <c r="K809">
        <v>19.800068815240731</v>
      </c>
      <c r="L809">
        <v>0.22932815197325879</v>
      </c>
      <c r="M809">
        <v>131.34603752387466</v>
      </c>
      <c r="N809">
        <v>144.48064127626213</v>
      </c>
    </row>
    <row r="810" spans="1:14">
      <c r="A810" t="s">
        <v>726</v>
      </c>
      <c r="B810" t="s">
        <v>5941</v>
      </c>
      <c r="C810" t="s">
        <v>5942</v>
      </c>
      <c r="D810" t="s">
        <v>11</v>
      </c>
      <c r="E810" t="s">
        <v>13</v>
      </c>
      <c r="F810" t="s">
        <v>729</v>
      </c>
      <c r="G810" t="s">
        <v>12</v>
      </c>
      <c r="I810" t="s">
        <v>5941</v>
      </c>
      <c r="J810" t="s">
        <v>7114</v>
      </c>
      <c r="K810">
        <v>45.062750227161658</v>
      </c>
      <c r="L810">
        <v>0.31594249872804098</v>
      </c>
      <c r="M810">
        <v>159.37958658264847</v>
      </c>
      <c r="N810">
        <v>175.31754524091332</v>
      </c>
    </row>
    <row r="811" spans="1:14">
      <c r="A811" t="s">
        <v>726</v>
      </c>
      <c r="B811" t="s">
        <v>5943</v>
      </c>
      <c r="C811" t="s">
        <v>5944</v>
      </c>
      <c r="D811" t="s">
        <v>11</v>
      </c>
      <c r="E811" t="s">
        <v>13</v>
      </c>
      <c r="F811" t="s">
        <v>729</v>
      </c>
      <c r="G811" t="s">
        <v>12</v>
      </c>
      <c r="I811" t="s">
        <v>5943</v>
      </c>
      <c r="J811" t="s">
        <v>7115</v>
      </c>
      <c r="K811">
        <v>53.176100927729614</v>
      </c>
      <c r="L811">
        <v>0.39349949038331539</v>
      </c>
      <c r="M811">
        <v>112.24472716493068</v>
      </c>
      <c r="N811">
        <v>123.46919988142376</v>
      </c>
    </row>
    <row r="812" spans="1:14">
      <c r="A812" t="s">
        <v>726</v>
      </c>
      <c r="B812" t="s">
        <v>5945</v>
      </c>
      <c r="C812" t="s">
        <v>5946</v>
      </c>
      <c r="D812" t="s">
        <v>11</v>
      </c>
      <c r="E812" t="s">
        <v>13</v>
      </c>
      <c r="F812" t="s">
        <v>729</v>
      </c>
      <c r="G812" t="s">
        <v>12</v>
      </c>
      <c r="I812" t="s">
        <v>5945</v>
      </c>
      <c r="J812" t="s">
        <v>7116</v>
      </c>
      <c r="K812">
        <v>10.262731882946062</v>
      </c>
      <c r="L812">
        <v>0.24687690317154429</v>
      </c>
      <c r="M812">
        <v>171.59254144686244</v>
      </c>
      <c r="N812">
        <v>188.7517955915487</v>
      </c>
    </row>
    <row r="813" spans="1:14">
      <c r="A813" t="s">
        <v>726</v>
      </c>
      <c r="B813" t="s">
        <v>5947</v>
      </c>
      <c r="C813" t="s">
        <v>5948</v>
      </c>
      <c r="D813" t="s">
        <v>11</v>
      </c>
      <c r="E813" t="s">
        <v>13</v>
      </c>
      <c r="F813" t="s">
        <v>729</v>
      </c>
      <c r="G813" t="s">
        <v>12</v>
      </c>
      <c r="I813" t="s">
        <v>5947</v>
      </c>
      <c r="J813" t="s">
        <v>7117</v>
      </c>
      <c r="K813">
        <v>121.00551728749471</v>
      </c>
      <c r="L813">
        <v>0.47599154204672262</v>
      </c>
      <c r="M813">
        <v>126.27318297727452</v>
      </c>
      <c r="N813">
        <v>138.90050127500197</v>
      </c>
    </row>
    <row r="814" spans="1:14">
      <c r="A814" t="s">
        <v>726</v>
      </c>
      <c r="B814" t="s">
        <v>5949</v>
      </c>
      <c r="C814" t="s">
        <v>5950</v>
      </c>
      <c r="D814" t="s">
        <v>11</v>
      </c>
      <c r="E814" t="s">
        <v>13</v>
      </c>
      <c r="F814" t="s">
        <v>729</v>
      </c>
      <c r="G814" t="s">
        <v>12</v>
      </c>
      <c r="I814" t="s">
        <v>5949</v>
      </c>
      <c r="J814" t="s">
        <v>7118</v>
      </c>
      <c r="K814">
        <v>59.744023083871141</v>
      </c>
      <c r="L814">
        <v>0.61144782894346494</v>
      </c>
      <c r="M814">
        <v>131.30013979649704</v>
      </c>
      <c r="N814">
        <v>144.43015377614674</v>
      </c>
    </row>
    <row r="815" spans="1:14">
      <c r="A815" t="s">
        <v>726</v>
      </c>
      <c r="B815" t="s">
        <v>5951</v>
      </c>
      <c r="C815" t="s">
        <v>5952</v>
      </c>
      <c r="D815" t="s">
        <v>11</v>
      </c>
      <c r="E815" t="s">
        <v>13</v>
      </c>
      <c r="F815" t="s">
        <v>729</v>
      </c>
      <c r="G815" t="s">
        <v>12</v>
      </c>
      <c r="I815" t="s">
        <v>5951</v>
      </c>
      <c r="J815" t="s">
        <v>7119</v>
      </c>
      <c r="K815">
        <v>75.897213562202609</v>
      </c>
      <c r="L815">
        <v>0.49738265986877889</v>
      </c>
      <c r="M815">
        <v>89.064888762642894</v>
      </c>
      <c r="N815">
        <v>97.971377638907185</v>
      </c>
    </row>
    <row r="816" spans="1:14">
      <c r="A816" t="s">
        <v>726</v>
      </c>
      <c r="B816" t="s">
        <v>5953</v>
      </c>
      <c r="C816" t="s">
        <v>5954</v>
      </c>
      <c r="D816" t="s">
        <v>11</v>
      </c>
      <c r="E816" t="s">
        <v>13</v>
      </c>
      <c r="F816" t="s">
        <v>729</v>
      </c>
      <c r="G816" t="s">
        <v>12</v>
      </c>
      <c r="I816" t="s">
        <v>5953</v>
      </c>
      <c r="J816" t="s">
        <v>7120</v>
      </c>
      <c r="K816">
        <v>5.9312667769767806</v>
      </c>
      <c r="L816">
        <v>0.21568168865504081</v>
      </c>
      <c r="M816">
        <v>19.491219928617987</v>
      </c>
      <c r="N816">
        <v>21.440341921479789</v>
      </c>
    </row>
    <row r="817" spans="1:14">
      <c r="A817" t="s">
        <v>726</v>
      </c>
      <c r="B817" t="s">
        <v>5955</v>
      </c>
      <c r="C817" t="s">
        <v>5956</v>
      </c>
      <c r="D817" t="s">
        <v>11</v>
      </c>
      <c r="E817" t="s">
        <v>13</v>
      </c>
      <c r="F817" t="s">
        <v>729</v>
      </c>
      <c r="G817" t="s">
        <v>12</v>
      </c>
      <c r="I817" t="s">
        <v>5955</v>
      </c>
      <c r="J817" t="s">
        <v>7121</v>
      </c>
      <c r="K817">
        <v>2.2670360408410852</v>
      </c>
      <c r="L817">
        <v>0.15517565835405489</v>
      </c>
      <c r="M817">
        <v>14.977705800253556</v>
      </c>
      <c r="N817">
        <v>16.475476380278913</v>
      </c>
    </row>
    <row r="818" spans="1:14">
      <c r="A818" t="s">
        <v>726</v>
      </c>
      <c r="B818" t="s">
        <v>5957</v>
      </c>
      <c r="C818" t="s">
        <v>5958</v>
      </c>
      <c r="D818" t="s">
        <v>11</v>
      </c>
      <c r="E818" t="s">
        <v>13</v>
      </c>
      <c r="F818" t="s">
        <v>729</v>
      </c>
      <c r="G818" t="s">
        <v>12</v>
      </c>
      <c r="I818" t="s">
        <v>5957</v>
      </c>
      <c r="J818" t="s">
        <v>7122</v>
      </c>
      <c r="K818">
        <v>9.9100568317974922</v>
      </c>
      <c r="L818">
        <v>0.19570111811422269</v>
      </c>
      <c r="M818">
        <v>33.912856836313772</v>
      </c>
      <c r="N818">
        <v>37.304142519945152</v>
      </c>
    </row>
    <row r="819" spans="1:14">
      <c r="A819" t="s">
        <v>726</v>
      </c>
      <c r="B819" t="s">
        <v>5959</v>
      </c>
      <c r="C819" t="s">
        <v>5960</v>
      </c>
      <c r="D819" t="s">
        <v>11</v>
      </c>
      <c r="E819" t="s">
        <v>13</v>
      </c>
      <c r="F819" t="s">
        <v>729</v>
      </c>
      <c r="G819" t="s">
        <v>12</v>
      </c>
      <c r="I819" t="s">
        <v>5959</v>
      </c>
      <c r="J819" t="s">
        <v>7123</v>
      </c>
      <c r="K819">
        <v>0.41154951561165204</v>
      </c>
      <c r="L819">
        <v>0.14152640726086399</v>
      </c>
      <c r="M819">
        <v>21.624160776800128</v>
      </c>
      <c r="N819">
        <v>23.786576854480142</v>
      </c>
    </row>
    <row r="820" spans="1:14">
      <c r="A820" t="s">
        <v>726</v>
      </c>
      <c r="B820" t="s">
        <v>5961</v>
      </c>
      <c r="C820" t="s">
        <v>5962</v>
      </c>
      <c r="D820" t="s">
        <v>11</v>
      </c>
      <c r="E820" t="s">
        <v>13</v>
      </c>
      <c r="F820" t="s">
        <v>729</v>
      </c>
      <c r="G820" t="s">
        <v>12</v>
      </c>
      <c r="I820" t="s">
        <v>5961</v>
      </c>
      <c r="J820" t="s">
        <v>7124</v>
      </c>
      <c r="K820">
        <v>0.26732866351610313</v>
      </c>
      <c r="L820">
        <v>8.8404330996589398E-2</v>
      </c>
      <c r="M820">
        <v>21.486001768835056</v>
      </c>
      <c r="N820">
        <v>23.634601945718565</v>
      </c>
    </row>
    <row r="821" spans="1:14">
      <c r="A821" t="s">
        <v>726</v>
      </c>
      <c r="B821" t="s">
        <v>5963</v>
      </c>
      <c r="C821" t="s">
        <v>5964</v>
      </c>
      <c r="D821" t="s">
        <v>11</v>
      </c>
      <c r="E821" t="s">
        <v>13</v>
      </c>
      <c r="F821" t="s">
        <v>729</v>
      </c>
      <c r="G821" t="s">
        <v>12</v>
      </c>
      <c r="I821" t="s">
        <v>5963</v>
      </c>
      <c r="J821" t="s">
        <v>7125</v>
      </c>
      <c r="K821">
        <v>1.632392563854939</v>
      </c>
      <c r="L821">
        <v>0.11590121452709939</v>
      </c>
      <c r="M821">
        <v>17.884837417779661</v>
      </c>
      <c r="N821">
        <v>19.673321159557627</v>
      </c>
    </row>
    <row r="822" spans="1:14">
      <c r="A822" t="s">
        <v>726</v>
      </c>
      <c r="B822" t="s">
        <v>5965</v>
      </c>
      <c r="C822" t="s">
        <v>5966</v>
      </c>
      <c r="D822" t="s">
        <v>11</v>
      </c>
      <c r="E822" t="s">
        <v>13</v>
      </c>
      <c r="F822" t="s">
        <v>729</v>
      </c>
      <c r="G822" t="s">
        <v>12</v>
      </c>
      <c r="I822" t="s">
        <v>5965</v>
      </c>
      <c r="J822" t="s">
        <v>7126</v>
      </c>
      <c r="K822">
        <v>15.051265693840836</v>
      </c>
      <c r="L822">
        <v>0.13149990887865809</v>
      </c>
      <c r="M822">
        <v>210.77376698933068</v>
      </c>
      <c r="N822">
        <v>231.85114368826376</v>
      </c>
    </row>
    <row r="823" spans="1:14">
      <c r="A823" t="s">
        <v>726</v>
      </c>
      <c r="B823" t="s">
        <v>5967</v>
      </c>
      <c r="C823" t="s">
        <v>5966</v>
      </c>
      <c r="D823" t="s">
        <v>11</v>
      </c>
      <c r="E823" t="s">
        <v>13</v>
      </c>
      <c r="F823" t="s">
        <v>729</v>
      </c>
      <c r="G823" t="s">
        <v>12</v>
      </c>
      <c r="I823" t="s">
        <v>5967</v>
      </c>
      <c r="J823" t="s">
        <v>7127</v>
      </c>
      <c r="K823">
        <v>10.925688978365191</v>
      </c>
      <c r="L823">
        <v>0.15275872948629429</v>
      </c>
      <c r="M823">
        <v>268.01112162607143</v>
      </c>
      <c r="N823">
        <v>294.81223378867861</v>
      </c>
    </row>
    <row r="824" spans="1:14">
      <c r="A824" t="s">
        <v>726</v>
      </c>
      <c r="B824" t="s">
        <v>5968</v>
      </c>
      <c r="C824" t="s">
        <v>5969</v>
      </c>
      <c r="D824" t="s">
        <v>11</v>
      </c>
      <c r="E824" t="s">
        <v>13</v>
      </c>
      <c r="F824" t="s">
        <v>729</v>
      </c>
      <c r="G824" t="s">
        <v>12</v>
      </c>
      <c r="I824" t="s">
        <v>5968</v>
      </c>
      <c r="J824" t="s">
        <v>7128</v>
      </c>
      <c r="K824">
        <v>23.849989053274939</v>
      </c>
      <c r="L824">
        <v>0.16933825493065971</v>
      </c>
      <c r="M824">
        <v>306.1575160846424</v>
      </c>
      <c r="N824">
        <v>336.77326769310667</v>
      </c>
    </row>
    <row r="825" spans="1:14">
      <c r="A825" t="s">
        <v>726</v>
      </c>
      <c r="B825" t="s">
        <v>5970</v>
      </c>
      <c r="C825" t="s">
        <v>5971</v>
      </c>
      <c r="D825" t="s">
        <v>11</v>
      </c>
      <c r="E825" t="s">
        <v>13</v>
      </c>
      <c r="F825" t="s">
        <v>729</v>
      </c>
      <c r="G825" t="s">
        <v>12</v>
      </c>
      <c r="I825" t="s">
        <v>5970</v>
      </c>
      <c r="J825" t="s">
        <v>7129</v>
      </c>
      <c r="K825">
        <v>24.895819046579653</v>
      </c>
      <c r="L825">
        <v>0.20178734632757311</v>
      </c>
      <c r="M825">
        <v>194.17701158193807</v>
      </c>
      <c r="N825">
        <v>213.59471274013191</v>
      </c>
    </row>
    <row r="826" spans="1:14">
      <c r="A826" t="s">
        <v>726</v>
      </c>
      <c r="B826" t="s">
        <v>5972</v>
      </c>
      <c r="C826" t="s">
        <v>5971</v>
      </c>
      <c r="D826" t="s">
        <v>11</v>
      </c>
      <c r="E826" t="s">
        <v>13</v>
      </c>
      <c r="F826" t="s">
        <v>729</v>
      </c>
      <c r="G826" t="s">
        <v>12</v>
      </c>
      <c r="I826" t="s">
        <v>5972</v>
      </c>
      <c r="J826" t="s">
        <v>7130</v>
      </c>
      <c r="K826">
        <v>11.239013104621026</v>
      </c>
      <c r="L826">
        <v>0.13580006897046171</v>
      </c>
      <c r="M826">
        <v>96.391176558741364</v>
      </c>
      <c r="N826">
        <v>106.03029421461551</v>
      </c>
    </row>
    <row r="827" spans="1:14">
      <c r="A827" t="s">
        <v>726</v>
      </c>
      <c r="B827" t="s">
        <v>5973</v>
      </c>
      <c r="C827" t="s">
        <v>5974</v>
      </c>
      <c r="D827" t="s">
        <v>11</v>
      </c>
      <c r="E827" t="s">
        <v>13</v>
      </c>
      <c r="F827" t="s">
        <v>729</v>
      </c>
      <c r="G827" t="s">
        <v>12</v>
      </c>
      <c r="I827" t="s">
        <v>5973</v>
      </c>
      <c r="J827" t="s">
        <v>7131</v>
      </c>
      <c r="K827">
        <v>7.6948665051820626</v>
      </c>
      <c r="L827">
        <v>0.12827653921567991</v>
      </c>
      <c r="M827">
        <v>161.41577060573223</v>
      </c>
      <c r="N827">
        <v>177.55734766630547</v>
      </c>
    </row>
    <row r="828" spans="1:14">
      <c r="A828" t="s">
        <v>726</v>
      </c>
      <c r="B828" t="s">
        <v>5975</v>
      </c>
      <c r="C828" t="s">
        <v>5976</v>
      </c>
      <c r="D828" t="s">
        <v>11</v>
      </c>
      <c r="E828" t="s">
        <v>13</v>
      </c>
      <c r="F828" t="s">
        <v>729</v>
      </c>
      <c r="G828" t="s">
        <v>12</v>
      </c>
      <c r="I828" t="s">
        <v>5975</v>
      </c>
      <c r="J828" t="s">
        <v>7132</v>
      </c>
      <c r="K828">
        <v>6.7175395618866651E-2</v>
      </c>
      <c r="L828">
        <v>0.1656756871142441</v>
      </c>
      <c r="M828">
        <v>161.25035804592096</v>
      </c>
      <c r="N828">
        <v>177.37539385051306</v>
      </c>
    </row>
    <row r="829" spans="1:14">
      <c r="A829" t="s">
        <v>726</v>
      </c>
      <c r="B829" t="s">
        <v>5977</v>
      </c>
      <c r="C829" t="s">
        <v>5978</v>
      </c>
      <c r="D829" t="s">
        <v>11</v>
      </c>
      <c r="E829" t="s">
        <v>13</v>
      </c>
      <c r="F829" t="s">
        <v>729</v>
      </c>
      <c r="G829" t="s">
        <v>12</v>
      </c>
      <c r="I829" t="s">
        <v>5977</v>
      </c>
      <c r="J829" t="s">
        <v>7133</v>
      </c>
      <c r="K829">
        <v>0.21812827605483309</v>
      </c>
      <c r="L829">
        <v>0.19981974004570291</v>
      </c>
      <c r="M829">
        <v>45.743767145686633</v>
      </c>
      <c r="N829">
        <v>50.318143860255297</v>
      </c>
    </row>
    <row r="830" spans="1:14">
      <c r="A830" t="s">
        <v>726</v>
      </c>
      <c r="B830" t="s">
        <v>5979</v>
      </c>
      <c r="C830" t="s">
        <v>5980</v>
      </c>
      <c r="D830" t="s">
        <v>11</v>
      </c>
      <c r="E830" t="s">
        <v>13</v>
      </c>
      <c r="F830" t="s">
        <v>729</v>
      </c>
      <c r="G830" t="s">
        <v>12</v>
      </c>
      <c r="I830" t="s">
        <v>5979</v>
      </c>
      <c r="J830" t="s">
        <v>7134</v>
      </c>
      <c r="K830">
        <v>27.184125472111848</v>
      </c>
      <c r="L830">
        <v>0.14652793378341811</v>
      </c>
      <c r="M830">
        <v>25.775793011132681</v>
      </c>
      <c r="N830">
        <v>28.353372312245952</v>
      </c>
    </row>
    <row r="831" spans="1:14">
      <c r="A831" t="s">
        <v>726</v>
      </c>
      <c r="B831" t="s">
        <v>5981</v>
      </c>
      <c r="C831" t="s">
        <v>5982</v>
      </c>
      <c r="D831" t="s">
        <v>11</v>
      </c>
      <c r="E831" t="s">
        <v>13</v>
      </c>
      <c r="F831" t="s">
        <v>729</v>
      </c>
      <c r="G831" t="s">
        <v>12</v>
      </c>
      <c r="I831" t="s">
        <v>5981</v>
      </c>
      <c r="J831" t="s">
        <v>7135</v>
      </c>
      <c r="K831">
        <v>16.333339458149943</v>
      </c>
      <c r="L831">
        <v>0.13891494451305511</v>
      </c>
      <c r="M831">
        <v>35.881488578103394</v>
      </c>
      <c r="N831">
        <v>39.469637435913739</v>
      </c>
    </row>
    <row r="832" spans="1:14">
      <c r="A832" t="s">
        <v>726</v>
      </c>
      <c r="B832" t="s">
        <v>5983</v>
      </c>
      <c r="C832" t="s">
        <v>5984</v>
      </c>
      <c r="D832" t="s">
        <v>11</v>
      </c>
      <c r="E832" t="s">
        <v>13</v>
      </c>
      <c r="F832" t="s">
        <v>729</v>
      </c>
      <c r="G832" t="s">
        <v>12</v>
      </c>
      <c r="I832" t="s">
        <v>5983</v>
      </c>
      <c r="J832" t="s">
        <v>7136</v>
      </c>
      <c r="K832">
        <v>89.882293869838364</v>
      </c>
      <c r="L832">
        <v>0.19230591641397299</v>
      </c>
      <c r="M832">
        <v>29.318024383636168</v>
      </c>
      <c r="N832">
        <v>32.24982682199979</v>
      </c>
    </row>
    <row r="833" spans="1:14">
      <c r="A833" t="s">
        <v>726</v>
      </c>
      <c r="B833" t="s">
        <v>5985</v>
      </c>
      <c r="C833" t="s">
        <v>5986</v>
      </c>
      <c r="D833" t="s">
        <v>11</v>
      </c>
      <c r="E833" t="s">
        <v>13</v>
      </c>
      <c r="F833" t="s">
        <v>729</v>
      </c>
      <c r="G833" t="s">
        <v>12</v>
      </c>
      <c r="I833" t="s">
        <v>5985</v>
      </c>
      <c r="J833" t="s">
        <v>7137</v>
      </c>
      <c r="K833">
        <v>0.63574139705219246</v>
      </c>
      <c r="L833">
        <v>2.0614512131476199E-2</v>
      </c>
      <c r="M833">
        <v>29.608700984774643</v>
      </c>
      <c r="N833">
        <v>32.569571083252107</v>
      </c>
    </row>
    <row r="834" spans="1:14">
      <c r="A834" t="s">
        <v>726</v>
      </c>
      <c r="B834" t="s">
        <v>5987</v>
      </c>
      <c r="C834" t="s">
        <v>5988</v>
      </c>
      <c r="D834" t="s">
        <v>11</v>
      </c>
      <c r="E834" t="s">
        <v>13</v>
      </c>
      <c r="F834" t="s">
        <v>729</v>
      </c>
      <c r="G834" t="s">
        <v>12</v>
      </c>
      <c r="I834" t="s">
        <v>5987</v>
      </c>
      <c r="J834" t="s">
        <v>7138</v>
      </c>
      <c r="K834">
        <v>28.782200867882199</v>
      </c>
      <c r="L834">
        <v>8.7976897704359402E-2</v>
      </c>
      <c r="M834">
        <v>21.146877704967768</v>
      </c>
      <c r="N834">
        <v>23.261565475464547</v>
      </c>
    </row>
    <row r="835" spans="1:14">
      <c r="A835" t="s">
        <v>726</v>
      </c>
      <c r="B835" t="s">
        <v>5989</v>
      </c>
      <c r="C835" t="s">
        <v>5990</v>
      </c>
      <c r="D835" t="s">
        <v>11</v>
      </c>
      <c r="E835" t="s">
        <v>13</v>
      </c>
      <c r="F835" t="s">
        <v>729</v>
      </c>
      <c r="G835" t="s">
        <v>12</v>
      </c>
      <c r="I835" t="s">
        <v>5989</v>
      </c>
      <c r="J835" t="s">
        <v>7139</v>
      </c>
      <c r="K835">
        <v>0.28953421481450403</v>
      </c>
      <c r="L835">
        <v>0.51513194497558534</v>
      </c>
      <c r="M835">
        <v>148.14105655373405</v>
      </c>
      <c r="N835">
        <v>162.95516220910747</v>
      </c>
    </row>
    <row r="836" spans="1:14">
      <c r="A836" t="s">
        <v>726</v>
      </c>
      <c r="B836" t="s">
        <v>5991</v>
      </c>
      <c r="C836" t="s">
        <v>5992</v>
      </c>
      <c r="D836" t="s">
        <v>11</v>
      </c>
      <c r="E836" t="s">
        <v>13</v>
      </c>
      <c r="F836" t="s">
        <v>729</v>
      </c>
      <c r="G836" t="s">
        <v>12</v>
      </c>
      <c r="I836" t="s">
        <v>5991</v>
      </c>
      <c r="J836" t="s">
        <v>7140</v>
      </c>
      <c r="K836">
        <v>2.4967076417750445</v>
      </c>
      <c r="L836">
        <v>0.40173511254309052</v>
      </c>
      <c r="M836">
        <v>49.775476374017217</v>
      </c>
      <c r="N836">
        <v>54.753024011418944</v>
      </c>
    </row>
    <row r="837" spans="1:14">
      <c r="A837" t="s">
        <v>726</v>
      </c>
      <c r="B837" t="s">
        <v>5993</v>
      </c>
      <c r="C837" t="s">
        <v>5994</v>
      </c>
      <c r="D837" t="s">
        <v>11</v>
      </c>
      <c r="E837" t="s">
        <v>13</v>
      </c>
      <c r="F837" t="s">
        <v>729</v>
      </c>
      <c r="G837" t="s">
        <v>12</v>
      </c>
      <c r="I837" t="s">
        <v>5993</v>
      </c>
      <c r="J837" t="s">
        <v>7141</v>
      </c>
      <c r="K837">
        <v>11.463106449646256</v>
      </c>
      <c r="L837">
        <v>0.3183807695425398</v>
      </c>
      <c r="M837">
        <v>34.753077311417975</v>
      </c>
      <c r="N837">
        <v>38.228385042559779</v>
      </c>
    </row>
    <row r="838" spans="1:14">
      <c r="A838" t="s">
        <v>726</v>
      </c>
      <c r="B838" t="s">
        <v>5995</v>
      </c>
      <c r="C838" t="s">
        <v>5996</v>
      </c>
      <c r="D838" t="s">
        <v>11</v>
      </c>
      <c r="E838" t="s">
        <v>13</v>
      </c>
      <c r="F838" t="s">
        <v>729</v>
      </c>
      <c r="G838" t="s">
        <v>12</v>
      </c>
      <c r="I838" t="s">
        <v>5995</v>
      </c>
      <c r="J838" t="s">
        <v>7142</v>
      </c>
      <c r="K838">
        <v>1.0627888304387156</v>
      </c>
      <c r="L838">
        <v>0.2792502251073451</v>
      </c>
      <c r="M838">
        <v>109.91683997014968</v>
      </c>
      <c r="N838">
        <v>120.90852396716465</v>
      </c>
    </row>
    <row r="839" spans="1:14">
      <c r="A839" t="s">
        <v>726</v>
      </c>
      <c r="B839" t="s">
        <v>5997</v>
      </c>
      <c r="C839" t="s">
        <v>5998</v>
      </c>
      <c r="D839" t="s">
        <v>11</v>
      </c>
      <c r="E839" t="s">
        <v>13</v>
      </c>
      <c r="F839" t="s">
        <v>729</v>
      </c>
      <c r="G839" t="s">
        <v>12</v>
      </c>
      <c r="I839" t="s">
        <v>5997</v>
      </c>
      <c r="J839" t="s">
        <v>7143</v>
      </c>
      <c r="K839">
        <v>17.659145741772377</v>
      </c>
      <c r="L839">
        <v>0.35600266335940128</v>
      </c>
      <c r="M839">
        <v>33.955871762213022</v>
      </c>
      <c r="N839">
        <v>37.351458938434327</v>
      </c>
    </row>
    <row r="840" spans="1:14">
      <c r="A840" t="s">
        <v>726</v>
      </c>
      <c r="B840" t="s">
        <v>5999</v>
      </c>
      <c r="C840" t="s">
        <v>6000</v>
      </c>
      <c r="D840" t="s">
        <v>11</v>
      </c>
      <c r="E840" t="s">
        <v>13</v>
      </c>
      <c r="F840" t="s">
        <v>729</v>
      </c>
      <c r="G840" t="s">
        <v>12</v>
      </c>
      <c r="I840" t="s">
        <v>5999</v>
      </c>
      <c r="J840" t="s">
        <v>7144</v>
      </c>
      <c r="K840">
        <v>31.316931341985164</v>
      </c>
      <c r="L840">
        <v>0.2468536360183162</v>
      </c>
      <c r="M840">
        <v>127.87447847026829</v>
      </c>
      <c r="N840">
        <v>140.66192631729513</v>
      </c>
    </row>
    <row r="841" spans="1:14">
      <c r="A841" t="s">
        <v>726</v>
      </c>
      <c r="B841" t="s">
        <v>6001</v>
      </c>
      <c r="C841" t="s">
        <v>6002</v>
      </c>
      <c r="D841" t="s">
        <v>11</v>
      </c>
      <c r="E841" t="s">
        <v>13</v>
      </c>
      <c r="F841" t="s">
        <v>729</v>
      </c>
      <c r="G841" t="s">
        <v>12</v>
      </c>
      <c r="I841" t="s">
        <v>6001</v>
      </c>
      <c r="J841" t="s">
        <v>7145</v>
      </c>
      <c r="K841">
        <v>2.1131876563703171</v>
      </c>
      <c r="L841">
        <v>0.13186427726574951</v>
      </c>
      <c r="M841">
        <v>40.897030707341059</v>
      </c>
      <c r="N841">
        <v>44.98673377807517</v>
      </c>
    </row>
    <row r="842" spans="1:14">
      <c r="A842" t="s">
        <v>726</v>
      </c>
      <c r="B842" t="s">
        <v>6003</v>
      </c>
      <c r="C842" t="s">
        <v>6004</v>
      </c>
      <c r="D842" t="s">
        <v>11</v>
      </c>
      <c r="E842" t="s">
        <v>13</v>
      </c>
      <c r="F842" t="s">
        <v>729</v>
      </c>
      <c r="G842" t="s">
        <v>12</v>
      </c>
      <c r="I842" t="s">
        <v>6003</v>
      </c>
      <c r="J842" t="s">
        <v>7146</v>
      </c>
      <c r="K842">
        <v>15.45007947339705</v>
      </c>
      <c r="L842">
        <v>0.28946402298494889</v>
      </c>
      <c r="M842">
        <v>53.525612304475139</v>
      </c>
      <c r="N842">
        <v>58.878173534922659</v>
      </c>
    </row>
    <row r="843" spans="1:14">
      <c r="A843" t="s">
        <v>726</v>
      </c>
      <c r="B843" t="s">
        <v>6005</v>
      </c>
      <c r="C843" t="s">
        <v>6006</v>
      </c>
      <c r="D843" t="s">
        <v>11</v>
      </c>
      <c r="E843" t="s">
        <v>13</v>
      </c>
      <c r="F843" t="s">
        <v>729</v>
      </c>
      <c r="G843" t="s">
        <v>12</v>
      </c>
      <c r="I843" t="s">
        <v>6005</v>
      </c>
      <c r="J843" t="s">
        <v>7147</v>
      </c>
      <c r="K843">
        <v>1.0132096944551265</v>
      </c>
      <c r="L843">
        <v>0.11254003152295811</v>
      </c>
      <c r="M843">
        <v>65.820849046553505</v>
      </c>
      <c r="N843">
        <v>72.402933951208865</v>
      </c>
    </row>
    <row r="844" spans="1:14">
      <c r="A844" t="s">
        <v>726</v>
      </c>
      <c r="B844" t="s">
        <v>6007</v>
      </c>
      <c r="C844" t="s">
        <v>6008</v>
      </c>
      <c r="D844" t="s">
        <v>11</v>
      </c>
      <c r="E844" t="s">
        <v>13</v>
      </c>
      <c r="F844" t="s">
        <v>729</v>
      </c>
      <c r="G844" t="s">
        <v>12</v>
      </c>
      <c r="I844" t="s">
        <v>6007</v>
      </c>
      <c r="J844" t="s">
        <v>7148</v>
      </c>
      <c r="K844">
        <v>33.258933206597419</v>
      </c>
      <c r="L844">
        <v>0.31189797068338998</v>
      </c>
      <c r="M844">
        <v>78.287839637889448</v>
      </c>
      <c r="N844">
        <v>86.116623601678398</v>
      </c>
    </row>
    <row r="845" spans="1:14">
      <c r="A845" t="s">
        <v>726</v>
      </c>
      <c r="B845" t="s">
        <v>6009</v>
      </c>
      <c r="C845" t="s">
        <v>6010</v>
      </c>
      <c r="D845" t="s">
        <v>11</v>
      </c>
      <c r="E845" t="s">
        <v>13</v>
      </c>
      <c r="F845" t="s">
        <v>729</v>
      </c>
      <c r="G845" t="s">
        <v>12</v>
      </c>
      <c r="I845" t="s">
        <v>6009</v>
      </c>
      <c r="J845" t="s">
        <v>7149</v>
      </c>
      <c r="K845">
        <v>75.134266452242855</v>
      </c>
      <c r="L845">
        <v>0.34455812600751612</v>
      </c>
      <c r="M845">
        <v>100.44726123444531</v>
      </c>
      <c r="N845">
        <v>110.49198735788984</v>
      </c>
    </row>
    <row r="846" spans="1:14">
      <c r="A846" t="s">
        <v>726</v>
      </c>
      <c r="B846" t="s">
        <v>6011</v>
      </c>
      <c r="C846" t="s">
        <v>6012</v>
      </c>
      <c r="D846" t="s">
        <v>11</v>
      </c>
      <c r="E846" t="s">
        <v>13</v>
      </c>
      <c r="F846" t="s">
        <v>729</v>
      </c>
      <c r="G846" t="s">
        <v>12</v>
      </c>
      <c r="I846" t="s">
        <v>6011</v>
      </c>
      <c r="J846" t="s">
        <v>7150</v>
      </c>
      <c r="K846">
        <v>86.448130145224937</v>
      </c>
      <c r="L846">
        <v>0.22692052150494441</v>
      </c>
      <c r="M846">
        <v>506.73438659633501</v>
      </c>
      <c r="N846">
        <v>557.40782525596853</v>
      </c>
    </row>
    <row r="847" spans="1:14">
      <c r="A847" t="s">
        <v>726</v>
      </c>
      <c r="B847" t="s">
        <v>6013</v>
      </c>
      <c r="C847" t="s">
        <v>6012</v>
      </c>
      <c r="D847" t="s">
        <v>11</v>
      </c>
      <c r="E847" t="s">
        <v>13</v>
      </c>
      <c r="F847" t="s">
        <v>729</v>
      </c>
      <c r="G847" t="s">
        <v>12</v>
      </c>
      <c r="I847" t="s">
        <v>6013</v>
      </c>
      <c r="J847" t="s">
        <v>7151</v>
      </c>
      <c r="K847">
        <v>125.39681824891481</v>
      </c>
      <c r="L847">
        <v>0.3763564752589828</v>
      </c>
      <c r="M847">
        <v>433.09569125859127</v>
      </c>
      <c r="N847">
        <v>476.40526038445046</v>
      </c>
    </row>
    <row r="848" spans="1:14">
      <c r="A848" t="s">
        <v>726</v>
      </c>
      <c r="B848" t="s">
        <v>6014</v>
      </c>
      <c r="C848" t="s">
        <v>6012</v>
      </c>
      <c r="D848" t="s">
        <v>11</v>
      </c>
      <c r="E848" t="s">
        <v>13</v>
      </c>
      <c r="F848" t="s">
        <v>729</v>
      </c>
      <c r="G848" t="s">
        <v>12</v>
      </c>
      <c r="I848" t="s">
        <v>6014</v>
      </c>
      <c r="J848" t="s">
        <v>7152</v>
      </c>
      <c r="K848">
        <v>50.444964526879069</v>
      </c>
      <c r="L848">
        <v>0.1820355704459071</v>
      </c>
      <c r="M848">
        <v>382.26735289065942</v>
      </c>
      <c r="N848">
        <v>420.4940881797254</v>
      </c>
    </row>
    <row r="849" spans="1:14">
      <c r="A849" t="s">
        <v>726</v>
      </c>
      <c r="B849" t="s">
        <v>6015</v>
      </c>
      <c r="C849" t="s">
        <v>6016</v>
      </c>
      <c r="D849" t="s">
        <v>11</v>
      </c>
      <c r="E849" t="s">
        <v>13</v>
      </c>
      <c r="F849" t="s">
        <v>729</v>
      </c>
      <c r="G849" t="s">
        <v>12</v>
      </c>
      <c r="I849" t="s">
        <v>6015</v>
      </c>
      <c r="J849" t="s">
        <v>7153</v>
      </c>
      <c r="K849">
        <v>16.88926655650825</v>
      </c>
      <c r="L849">
        <v>0.13618129474694149</v>
      </c>
      <c r="M849">
        <v>82.555663084614935</v>
      </c>
      <c r="N849">
        <v>90.811229393076431</v>
      </c>
    </row>
    <row r="850" spans="1:14">
      <c r="A850" t="s">
        <v>726</v>
      </c>
      <c r="B850" t="s">
        <v>6017</v>
      </c>
      <c r="C850" t="s">
        <v>6018</v>
      </c>
      <c r="D850" t="s">
        <v>11</v>
      </c>
      <c r="E850" t="s">
        <v>13</v>
      </c>
      <c r="F850" t="s">
        <v>729</v>
      </c>
      <c r="G850" t="s">
        <v>12</v>
      </c>
      <c r="I850" t="s">
        <v>6017</v>
      </c>
      <c r="J850" t="s">
        <v>7154</v>
      </c>
      <c r="K850">
        <v>21.850776409927175</v>
      </c>
      <c r="L850">
        <v>0.1624451038817889</v>
      </c>
      <c r="M850">
        <v>144.56143153168071</v>
      </c>
      <c r="N850">
        <v>159.0175746848488</v>
      </c>
    </row>
    <row r="851" spans="1:14">
      <c r="A851" t="s">
        <v>726</v>
      </c>
      <c r="B851" t="s">
        <v>6019</v>
      </c>
      <c r="C851" t="s">
        <v>6020</v>
      </c>
      <c r="D851" t="s">
        <v>11</v>
      </c>
      <c r="E851" t="s">
        <v>13</v>
      </c>
      <c r="F851" t="s">
        <v>729</v>
      </c>
      <c r="G851" t="s">
        <v>12</v>
      </c>
      <c r="I851" t="s">
        <v>6019</v>
      </c>
      <c r="J851" t="s">
        <v>7155</v>
      </c>
      <c r="K851">
        <v>15.376942672332788</v>
      </c>
      <c r="L851">
        <v>0.13257643504194089</v>
      </c>
      <c r="M851">
        <v>211.45770296242085</v>
      </c>
      <c r="N851">
        <v>232.60347325866294</v>
      </c>
    </row>
    <row r="852" spans="1:14">
      <c r="A852" t="s">
        <v>726</v>
      </c>
      <c r="B852" t="s">
        <v>6021</v>
      </c>
      <c r="C852" t="s">
        <v>6022</v>
      </c>
      <c r="D852" t="s">
        <v>11</v>
      </c>
      <c r="E852" t="s">
        <v>13</v>
      </c>
      <c r="F852" t="s">
        <v>729</v>
      </c>
      <c r="G852" t="s">
        <v>12</v>
      </c>
      <c r="I852" t="s">
        <v>6021</v>
      </c>
      <c r="J852" t="s">
        <v>7156</v>
      </c>
      <c r="K852">
        <v>4.2256812942708839</v>
      </c>
      <c r="L852">
        <v>0.1173506679912719</v>
      </c>
      <c r="M852">
        <v>153.25738001282883</v>
      </c>
      <c r="N852">
        <v>168.58311801411173</v>
      </c>
    </row>
    <row r="853" spans="1:14">
      <c r="A853" t="s">
        <v>726</v>
      </c>
      <c r="B853" t="s">
        <v>6023</v>
      </c>
      <c r="C853" t="s">
        <v>6024</v>
      </c>
      <c r="D853" t="s">
        <v>11</v>
      </c>
      <c r="E853" t="s">
        <v>13</v>
      </c>
      <c r="F853" t="s">
        <v>729</v>
      </c>
      <c r="G853" t="s">
        <v>12</v>
      </c>
      <c r="I853" t="s">
        <v>6023</v>
      </c>
      <c r="J853" t="s">
        <v>7157</v>
      </c>
      <c r="K853">
        <v>227.2963165699189</v>
      </c>
      <c r="L853">
        <v>0.44296044619436259</v>
      </c>
      <c r="M853">
        <v>220.10374904828868</v>
      </c>
      <c r="N853">
        <v>242.11412395311757</v>
      </c>
    </row>
    <row r="854" spans="1:14">
      <c r="A854" t="s">
        <v>726</v>
      </c>
      <c r="B854" t="s">
        <v>6025</v>
      </c>
      <c r="C854" t="s">
        <v>6026</v>
      </c>
      <c r="D854" t="s">
        <v>11</v>
      </c>
      <c r="E854" t="s">
        <v>13</v>
      </c>
      <c r="F854" t="s">
        <v>729</v>
      </c>
      <c r="G854" t="s">
        <v>12</v>
      </c>
      <c r="I854" t="s">
        <v>6025</v>
      </c>
      <c r="J854" t="s">
        <v>7158</v>
      </c>
      <c r="K854">
        <v>357.92923348423443</v>
      </c>
      <c r="L854">
        <v>0.48033804261479751</v>
      </c>
      <c r="M854">
        <v>279.36147041695574</v>
      </c>
      <c r="N854">
        <v>307.29761745865136</v>
      </c>
    </row>
    <row r="855" spans="1:14">
      <c r="A855" t="s">
        <v>726</v>
      </c>
      <c r="B855" t="s">
        <v>6027</v>
      </c>
      <c r="C855" t="s">
        <v>6028</v>
      </c>
      <c r="D855" t="s">
        <v>11</v>
      </c>
      <c r="E855" t="s">
        <v>13</v>
      </c>
      <c r="F855" t="s">
        <v>729</v>
      </c>
      <c r="G855" t="s">
        <v>12</v>
      </c>
      <c r="I855" t="s">
        <v>6027</v>
      </c>
      <c r="J855" t="s">
        <v>7159</v>
      </c>
      <c r="K855">
        <v>14.211274061280024</v>
      </c>
      <c r="L855">
        <v>0.17675056824787089</v>
      </c>
      <c r="M855">
        <v>96.480465385614735</v>
      </c>
      <c r="N855">
        <v>106.12851192417622</v>
      </c>
    </row>
    <row r="856" spans="1:14">
      <c r="A856" t="s">
        <v>726</v>
      </c>
      <c r="B856" t="s">
        <v>6029</v>
      </c>
      <c r="C856" t="s">
        <v>6030</v>
      </c>
      <c r="D856" t="s">
        <v>11</v>
      </c>
      <c r="E856" t="s">
        <v>13</v>
      </c>
      <c r="F856" t="s">
        <v>729</v>
      </c>
      <c r="G856" t="s">
        <v>12</v>
      </c>
      <c r="I856" t="s">
        <v>6029</v>
      </c>
      <c r="J856" t="s">
        <v>7160</v>
      </c>
      <c r="K856">
        <v>69.860042676603626</v>
      </c>
      <c r="L856">
        <v>0.23262493442363619</v>
      </c>
      <c r="M856">
        <v>94.951605413622616</v>
      </c>
      <c r="N856">
        <v>104.44676595498488</v>
      </c>
    </row>
    <row r="857" spans="1:14">
      <c r="A857" t="s">
        <v>726</v>
      </c>
      <c r="B857" t="s">
        <v>6031</v>
      </c>
      <c r="C857" t="s">
        <v>6030</v>
      </c>
      <c r="D857" t="s">
        <v>11</v>
      </c>
      <c r="E857" t="s">
        <v>13</v>
      </c>
      <c r="F857" t="s">
        <v>729</v>
      </c>
      <c r="G857" t="s">
        <v>12</v>
      </c>
      <c r="I857" t="s">
        <v>6031</v>
      </c>
      <c r="J857" t="s">
        <v>7161</v>
      </c>
      <c r="K857">
        <v>152.57758855947986</v>
      </c>
      <c r="L857">
        <v>0.40938262013022247</v>
      </c>
      <c r="M857">
        <v>167.91885225988577</v>
      </c>
      <c r="N857">
        <v>184.71073748587435</v>
      </c>
    </row>
    <row r="858" spans="1:14">
      <c r="A858" t="s">
        <v>726</v>
      </c>
      <c r="B858" t="s">
        <v>6032</v>
      </c>
      <c r="C858" t="s">
        <v>6033</v>
      </c>
      <c r="D858" t="s">
        <v>11</v>
      </c>
      <c r="E858" t="s">
        <v>13</v>
      </c>
      <c r="F858" t="s">
        <v>729</v>
      </c>
      <c r="G858" t="s">
        <v>12</v>
      </c>
      <c r="I858" t="s">
        <v>6032</v>
      </c>
      <c r="J858" t="s">
        <v>7162</v>
      </c>
      <c r="K858">
        <v>23.731747377286986</v>
      </c>
      <c r="L858">
        <v>0.1239609190675396</v>
      </c>
      <c r="M858">
        <v>165.32651005295511</v>
      </c>
      <c r="N858">
        <v>181.85916105825063</v>
      </c>
    </row>
    <row r="859" spans="1:14">
      <c r="A859" t="s">
        <v>726</v>
      </c>
      <c r="B859" t="s">
        <v>6034</v>
      </c>
      <c r="C859" t="s">
        <v>6035</v>
      </c>
      <c r="D859" t="s">
        <v>11</v>
      </c>
      <c r="E859" t="s">
        <v>13</v>
      </c>
      <c r="F859" t="s">
        <v>729</v>
      </c>
      <c r="G859" t="s">
        <v>12</v>
      </c>
      <c r="I859" t="s">
        <v>6034</v>
      </c>
      <c r="J859" t="s">
        <v>7163</v>
      </c>
      <c r="K859">
        <v>1.8631093605353259</v>
      </c>
      <c r="L859">
        <v>8.2650457071287403E-2</v>
      </c>
      <c r="M859">
        <v>42.549226134694052</v>
      </c>
      <c r="N859">
        <v>46.804148748163463</v>
      </c>
    </row>
    <row r="860" spans="1:14">
      <c r="A860" t="s">
        <v>726</v>
      </c>
      <c r="B860" t="s">
        <v>6036</v>
      </c>
      <c r="C860" t="s">
        <v>6037</v>
      </c>
      <c r="D860" t="s">
        <v>11</v>
      </c>
      <c r="E860" t="s">
        <v>13</v>
      </c>
      <c r="F860" t="s">
        <v>729</v>
      </c>
      <c r="G860" t="s">
        <v>12</v>
      </c>
      <c r="I860" t="s">
        <v>6036</v>
      </c>
      <c r="J860" t="s">
        <v>7164</v>
      </c>
      <c r="K860">
        <v>16.695268741259646</v>
      </c>
      <c r="L860">
        <v>0.19342855862341041</v>
      </c>
      <c r="M860">
        <v>82.254261602332306</v>
      </c>
      <c r="N860">
        <v>90.479687762565547</v>
      </c>
    </row>
    <row r="861" spans="1:14">
      <c r="A861" t="s">
        <v>726</v>
      </c>
      <c r="B861" t="s">
        <v>6038</v>
      </c>
      <c r="C861" t="s">
        <v>6039</v>
      </c>
      <c r="D861" t="s">
        <v>11</v>
      </c>
      <c r="E861" t="s">
        <v>13</v>
      </c>
      <c r="F861" t="s">
        <v>729</v>
      </c>
      <c r="G861" t="s">
        <v>12</v>
      </c>
      <c r="I861" t="s">
        <v>6038</v>
      </c>
      <c r="J861" t="s">
        <v>7165</v>
      </c>
      <c r="K861">
        <v>9.7394887917143258</v>
      </c>
      <c r="L861">
        <v>0.1439610396731186</v>
      </c>
      <c r="M861">
        <v>161.09286686032516</v>
      </c>
      <c r="N861">
        <v>177.20215354635769</v>
      </c>
    </row>
    <row r="862" spans="1:14">
      <c r="A862" t="s">
        <v>726</v>
      </c>
      <c r="B862" t="s">
        <v>6040</v>
      </c>
      <c r="C862" t="s">
        <v>6041</v>
      </c>
      <c r="D862" t="s">
        <v>11</v>
      </c>
      <c r="E862" t="s">
        <v>13</v>
      </c>
      <c r="F862" t="s">
        <v>729</v>
      </c>
      <c r="G862" t="s">
        <v>12</v>
      </c>
      <c r="I862" t="s">
        <v>6040</v>
      </c>
      <c r="J862" t="s">
        <v>7166</v>
      </c>
      <c r="K862">
        <v>14.542721042768742</v>
      </c>
      <c r="L862">
        <v>0.1196281919217623</v>
      </c>
      <c r="M862">
        <v>94.849821233855536</v>
      </c>
      <c r="N862">
        <v>104.3348033572411</v>
      </c>
    </row>
    <row r="863" spans="1:14">
      <c r="A863" t="s">
        <v>726</v>
      </c>
      <c r="B863" t="s">
        <v>6042</v>
      </c>
      <c r="C863" t="s">
        <v>6043</v>
      </c>
      <c r="D863" t="s">
        <v>11</v>
      </c>
      <c r="E863" t="s">
        <v>13</v>
      </c>
      <c r="F863" t="s">
        <v>729</v>
      </c>
      <c r="G863" t="s">
        <v>12</v>
      </c>
      <c r="I863" t="s">
        <v>6042</v>
      </c>
      <c r="J863" t="s">
        <v>7167</v>
      </c>
      <c r="K863">
        <v>4.8552200091022257</v>
      </c>
      <c r="L863">
        <v>0.1014921957709989</v>
      </c>
      <c r="M863">
        <v>77.59602580867562</v>
      </c>
      <c r="N863">
        <v>85.355628389543185</v>
      </c>
    </row>
    <row r="864" spans="1:14">
      <c r="A864" t="s">
        <v>726</v>
      </c>
      <c r="B864" t="s">
        <v>6044</v>
      </c>
      <c r="C864" t="s">
        <v>6045</v>
      </c>
      <c r="D864" t="s">
        <v>11</v>
      </c>
      <c r="E864" t="s">
        <v>13</v>
      </c>
      <c r="F864" t="s">
        <v>729</v>
      </c>
      <c r="G864" t="s">
        <v>12</v>
      </c>
      <c r="I864" t="s">
        <v>6044</v>
      </c>
      <c r="J864" t="s">
        <v>7168</v>
      </c>
      <c r="K864">
        <v>0.64519150473857079</v>
      </c>
      <c r="L864">
        <v>0.17330927032667931</v>
      </c>
      <c r="M864">
        <v>176.87852454139414</v>
      </c>
      <c r="N864">
        <v>194.56637699553357</v>
      </c>
    </row>
    <row r="865" spans="1:14">
      <c r="A865" t="s">
        <v>726</v>
      </c>
      <c r="B865" t="s">
        <v>6046</v>
      </c>
      <c r="C865" t="s">
        <v>6047</v>
      </c>
      <c r="D865" t="s">
        <v>11</v>
      </c>
      <c r="E865" t="s">
        <v>13</v>
      </c>
      <c r="F865" t="s">
        <v>729</v>
      </c>
      <c r="G865" t="s">
        <v>12</v>
      </c>
      <c r="I865" t="s">
        <v>6046</v>
      </c>
      <c r="J865" t="s">
        <v>7169</v>
      </c>
      <c r="K865">
        <v>0.56631757038553199</v>
      </c>
      <c r="L865">
        <v>0.1216429469127656</v>
      </c>
      <c r="M865">
        <v>105.0161732090138</v>
      </c>
      <c r="N865">
        <v>115.51779052991519</v>
      </c>
    </row>
    <row r="866" spans="1:14">
      <c r="A866" t="s">
        <v>726</v>
      </c>
      <c r="B866" t="s">
        <v>6048</v>
      </c>
      <c r="C866" t="s">
        <v>6049</v>
      </c>
      <c r="D866" t="s">
        <v>11</v>
      </c>
      <c r="E866" t="s">
        <v>13</v>
      </c>
      <c r="F866" t="s">
        <v>729</v>
      </c>
      <c r="G866" t="s">
        <v>12</v>
      </c>
      <c r="I866" t="s">
        <v>6048</v>
      </c>
      <c r="J866" t="s">
        <v>7170</v>
      </c>
      <c r="K866">
        <v>0.16648139533435402</v>
      </c>
      <c r="L866">
        <v>5.0489843500311996E-3</v>
      </c>
      <c r="M866">
        <v>187.64338318215241</v>
      </c>
      <c r="N866">
        <v>206.40772150036767</v>
      </c>
    </row>
    <row r="867" spans="1:14">
      <c r="A867" t="s">
        <v>726</v>
      </c>
      <c r="B867" t="s">
        <v>6050</v>
      </c>
      <c r="C867" t="s">
        <v>6051</v>
      </c>
      <c r="D867" t="s">
        <v>11</v>
      </c>
      <c r="E867" t="s">
        <v>13</v>
      </c>
      <c r="F867" t="s">
        <v>729</v>
      </c>
      <c r="G867" t="s">
        <v>12</v>
      </c>
      <c r="I867" t="s">
        <v>6050</v>
      </c>
      <c r="J867" t="s">
        <v>7171</v>
      </c>
      <c r="K867">
        <v>1.4250000000000001E-2</v>
      </c>
      <c r="L867">
        <v>2.5563826366871E-3</v>
      </c>
      <c r="M867">
        <v>256.24787800136806</v>
      </c>
      <c r="N867">
        <v>281.87266580150492</v>
      </c>
    </row>
    <row r="868" spans="1:14">
      <c r="A868" t="s">
        <v>726</v>
      </c>
      <c r="B868" t="s">
        <v>6052</v>
      </c>
      <c r="C868" t="s">
        <v>6053</v>
      </c>
      <c r="D868" t="s">
        <v>11</v>
      </c>
      <c r="E868" t="s">
        <v>13</v>
      </c>
      <c r="F868" t="s">
        <v>729</v>
      </c>
      <c r="G868" t="s">
        <v>12</v>
      </c>
      <c r="I868" t="s">
        <v>6052</v>
      </c>
      <c r="J868" t="s">
        <v>7172</v>
      </c>
      <c r="K868">
        <v>5.3442073346075754</v>
      </c>
      <c r="L868">
        <v>8.3377568646614095E-2</v>
      </c>
      <c r="M868">
        <v>63.258817825219154</v>
      </c>
      <c r="N868">
        <v>69.584699607741072</v>
      </c>
    </row>
    <row r="869" spans="1:14">
      <c r="A869" t="s">
        <v>726</v>
      </c>
      <c r="B869" t="s">
        <v>6054</v>
      </c>
      <c r="C869" t="s">
        <v>6055</v>
      </c>
      <c r="D869" t="s">
        <v>11</v>
      </c>
      <c r="E869" t="s">
        <v>13</v>
      </c>
      <c r="F869" t="s">
        <v>729</v>
      </c>
      <c r="G869" t="s">
        <v>12</v>
      </c>
      <c r="I869" t="s">
        <v>6054</v>
      </c>
      <c r="J869" t="s">
        <v>7173</v>
      </c>
      <c r="K869">
        <v>4.8336467547933086</v>
      </c>
      <c r="L869">
        <v>6.0185532318676099E-2</v>
      </c>
      <c r="M869">
        <v>34.871405133278564</v>
      </c>
      <c r="N869">
        <v>38.358545646606423</v>
      </c>
    </row>
    <row r="870" spans="1:14">
      <c r="A870" t="s">
        <v>726</v>
      </c>
      <c r="B870" t="s">
        <v>6056</v>
      </c>
      <c r="C870" t="s">
        <v>6057</v>
      </c>
      <c r="D870" t="s">
        <v>11</v>
      </c>
      <c r="E870" t="s">
        <v>13</v>
      </c>
      <c r="F870" t="s">
        <v>729</v>
      </c>
      <c r="G870" t="s">
        <v>12</v>
      </c>
      <c r="I870" t="s">
        <v>6056</v>
      </c>
      <c r="J870" t="s">
        <v>7174</v>
      </c>
      <c r="K870">
        <v>15.877196348455355</v>
      </c>
      <c r="L870">
        <v>0.2496362084231013</v>
      </c>
      <c r="M870">
        <v>211.70417614182111</v>
      </c>
      <c r="N870">
        <v>232.87459375600324</v>
      </c>
    </row>
    <row r="871" spans="1:14">
      <c r="A871" t="s">
        <v>726</v>
      </c>
      <c r="B871" t="s">
        <v>6058</v>
      </c>
      <c r="C871" t="s">
        <v>6059</v>
      </c>
      <c r="D871" t="s">
        <v>11</v>
      </c>
      <c r="E871" t="s">
        <v>13</v>
      </c>
      <c r="F871" t="s">
        <v>729</v>
      </c>
      <c r="G871" t="s">
        <v>12</v>
      </c>
      <c r="I871" t="s">
        <v>6058</v>
      </c>
      <c r="J871" t="s">
        <v>7175</v>
      </c>
      <c r="K871">
        <v>70.368782444280967</v>
      </c>
      <c r="L871">
        <v>0.30075690576396319</v>
      </c>
      <c r="M871">
        <v>107.22160898138796</v>
      </c>
      <c r="N871">
        <v>117.94376987952677</v>
      </c>
    </row>
    <row r="872" spans="1:14">
      <c r="A872" t="s">
        <v>726</v>
      </c>
      <c r="B872" t="s">
        <v>6060</v>
      </c>
      <c r="C872" t="s">
        <v>6061</v>
      </c>
      <c r="D872" t="s">
        <v>11</v>
      </c>
      <c r="E872" t="s">
        <v>13</v>
      </c>
      <c r="F872" t="s">
        <v>729</v>
      </c>
      <c r="G872" t="s">
        <v>12</v>
      </c>
      <c r="I872" t="s">
        <v>6060</v>
      </c>
      <c r="J872" t="s">
        <v>7176</v>
      </c>
      <c r="K872">
        <v>11.716990784581089</v>
      </c>
      <c r="L872">
        <v>0.1744717338789421</v>
      </c>
      <c r="M872">
        <v>170.71893174875797</v>
      </c>
      <c r="N872">
        <v>187.79082492363378</v>
      </c>
    </row>
    <row r="873" spans="1:14">
      <c r="A873" t="s">
        <v>726</v>
      </c>
      <c r="B873" t="s">
        <v>6062</v>
      </c>
      <c r="C873" t="s">
        <v>6061</v>
      </c>
      <c r="D873" t="s">
        <v>11</v>
      </c>
      <c r="E873" t="s">
        <v>13</v>
      </c>
      <c r="F873" t="s">
        <v>729</v>
      </c>
      <c r="G873" t="s">
        <v>12</v>
      </c>
      <c r="I873" t="s">
        <v>6062</v>
      </c>
      <c r="J873" t="s">
        <v>7177</v>
      </c>
      <c r="K873">
        <v>26.077146420476705</v>
      </c>
      <c r="L873">
        <v>0.2400845971191877</v>
      </c>
      <c r="M873">
        <v>123.52529257013268</v>
      </c>
      <c r="N873">
        <v>135.87782182714597</v>
      </c>
    </row>
    <row r="874" spans="1:14">
      <c r="A874" t="s">
        <v>726</v>
      </c>
      <c r="B874" t="s">
        <v>6063</v>
      </c>
      <c r="C874" t="s">
        <v>6061</v>
      </c>
      <c r="D874" t="s">
        <v>11</v>
      </c>
      <c r="E874" t="s">
        <v>13</v>
      </c>
      <c r="F874" t="s">
        <v>729</v>
      </c>
      <c r="G874" t="s">
        <v>12</v>
      </c>
      <c r="I874" t="s">
        <v>6063</v>
      </c>
      <c r="J874" t="s">
        <v>7178</v>
      </c>
      <c r="K874">
        <v>57.353196520919546</v>
      </c>
      <c r="L874">
        <v>0.39945765106239178</v>
      </c>
      <c r="M874">
        <v>182.40893868518063</v>
      </c>
      <c r="N874">
        <v>200.6498325536987</v>
      </c>
    </row>
    <row r="875" spans="1:14">
      <c r="A875" t="s">
        <v>726</v>
      </c>
      <c r="B875" t="s">
        <v>6064</v>
      </c>
      <c r="C875" t="s">
        <v>6065</v>
      </c>
      <c r="D875" t="s">
        <v>11</v>
      </c>
      <c r="E875" t="s">
        <v>13</v>
      </c>
      <c r="F875" t="s">
        <v>729</v>
      </c>
      <c r="G875" t="s">
        <v>12</v>
      </c>
      <c r="I875" t="s">
        <v>6064</v>
      </c>
      <c r="J875" t="s">
        <v>7179</v>
      </c>
      <c r="K875">
        <v>46.400198789110249</v>
      </c>
      <c r="L875">
        <v>0.2962518749253355</v>
      </c>
      <c r="M875">
        <v>127.79865176360951</v>
      </c>
      <c r="N875">
        <v>140.57851693997048</v>
      </c>
    </row>
    <row r="876" spans="1:14">
      <c r="A876" t="s">
        <v>726</v>
      </c>
      <c r="B876" t="s">
        <v>6066</v>
      </c>
      <c r="C876" t="s">
        <v>6067</v>
      </c>
      <c r="D876" t="s">
        <v>11</v>
      </c>
      <c r="E876" t="s">
        <v>13</v>
      </c>
      <c r="F876" t="s">
        <v>729</v>
      </c>
      <c r="G876" t="s">
        <v>12</v>
      </c>
      <c r="I876" t="s">
        <v>6066</v>
      </c>
      <c r="J876" t="s">
        <v>7180</v>
      </c>
      <c r="K876">
        <v>87.126773694002793</v>
      </c>
      <c r="L876">
        <v>0.33775052241773351</v>
      </c>
      <c r="M876">
        <v>151.56850176249995</v>
      </c>
      <c r="N876">
        <v>166.72535193874995</v>
      </c>
    </row>
    <row r="877" spans="1:14">
      <c r="A877" t="s">
        <v>726</v>
      </c>
      <c r="B877" t="s">
        <v>6068</v>
      </c>
      <c r="C877" t="s">
        <v>6069</v>
      </c>
      <c r="D877" t="s">
        <v>11</v>
      </c>
      <c r="E877" t="s">
        <v>13</v>
      </c>
      <c r="F877" t="s">
        <v>729</v>
      </c>
      <c r="G877" t="s">
        <v>12</v>
      </c>
      <c r="I877" t="s">
        <v>6068</v>
      </c>
      <c r="J877" t="s">
        <v>7181</v>
      </c>
      <c r="K877">
        <v>138.68825317958346</v>
      </c>
      <c r="L877">
        <v>0.37592989559876611</v>
      </c>
      <c r="M877">
        <v>220.9589630253044</v>
      </c>
      <c r="N877">
        <v>243.05485932783486</v>
      </c>
    </row>
    <row r="878" spans="1:14">
      <c r="A878" t="s">
        <v>726</v>
      </c>
      <c r="B878" t="s">
        <v>6070</v>
      </c>
      <c r="C878" t="s">
        <v>6071</v>
      </c>
      <c r="D878" t="s">
        <v>11</v>
      </c>
      <c r="E878" t="s">
        <v>13</v>
      </c>
      <c r="F878" t="s">
        <v>729</v>
      </c>
      <c r="G878" t="s">
        <v>12</v>
      </c>
      <c r="I878" t="s">
        <v>6070</v>
      </c>
      <c r="J878" t="s">
        <v>7182</v>
      </c>
      <c r="K878">
        <v>23.86199514751328</v>
      </c>
      <c r="L878">
        <v>0.41297219231095472</v>
      </c>
      <c r="M878">
        <v>45.323908256965083</v>
      </c>
      <c r="N878">
        <v>49.856299082661593</v>
      </c>
    </row>
    <row r="879" spans="1:14">
      <c r="A879" t="s">
        <v>726</v>
      </c>
      <c r="B879" t="s">
        <v>6072</v>
      </c>
      <c r="C879" t="s">
        <v>6073</v>
      </c>
      <c r="D879" t="s">
        <v>11</v>
      </c>
      <c r="E879" t="s">
        <v>13</v>
      </c>
      <c r="F879" t="s">
        <v>729</v>
      </c>
      <c r="G879" t="s">
        <v>12</v>
      </c>
      <c r="I879" t="s">
        <v>6072</v>
      </c>
      <c r="J879" t="s">
        <v>7183</v>
      </c>
      <c r="K879">
        <v>5.64975</v>
      </c>
      <c r="L879">
        <v>0.1965511465168156</v>
      </c>
      <c r="M879">
        <v>25.132526993250224</v>
      </c>
      <c r="N879">
        <v>27.64577969257525</v>
      </c>
    </row>
    <row r="880" spans="1:14">
      <c r="A880" t="s">
        <v>726</v>
      </c>
      <c r="B880" t="s">
        <v>6074</v>
      </c>
      <c r="C880" t="s">
        <v>6075</v>
      </c>
      <c r="D880" t="s">
        <v>11</v>
      </c>
      <c r="E880" t="s">
        <v>13</v>
      </c>
      <c r="F880" t="s">
        <v>729</v>
      </c>
      <c r="G880" t="s">
        <v>12</v>
      </c>
      <c r="I880" t="s">
        <v>6074</v>
      </c>
      <c r="J880" t="s">
        <v>7184</v>
      </c>
      <c r="K880">
        <v>1.1509627472287989</v>
      </c>
      <c r="L880">
        <v>0.1826924269784635</v>
      </c>
      <c r="M880">
        <v>54.490520282060771</v>
      </c>
      <c r="N880">
        <v>59.939572310266854</v>
      </c>
    </row>
    <row r="881" spans="1:14">
      <c r="A881" t="s">
        <v>726</v>
      </c>
      <c r="B881" t="s">
        <v>6076</v>
      </c>
      <c r="C881" t="s">
        <v>6077</v>
      </c>
      <c r="D881" t="s">
        <v>11</v>
      </c>
      <c r="E881" t="s">
        <v>13</v>
      </c>
      <c r="F881" t="s">
        <v>729</v>
      </c>
      <c r="G881" t="s">
        <v>12</v>
      </c>
      <c r="I881" t="s">
        <v>6076</v>
      </c>
      <c r="J881" t="s">
        <v>7185</v>
      </c>
      <c r="K881">
        <v>8.4035412529348115</v>
      </c>
      <c r="L881">
        <v>0.2417663926751055</v>
      </c>
      <c r="M881">
        <v>29.889363391416182</v>
      </c>
      <c r="N881">
        <v>32.878299730557806</v>
      </c>
    </row>
    <row r="882" spans="1:14">
      <c r="A882" t="s">
        <v>726</v>
      </c>
      <c r="B882" t="s">
        <v>6078</v>
      </c>
      <c r="C882" t="s">
        <v>6079</v>
      </c>
      <c r="D882" t="s">
        <v>11</v>
      </c>
      <c r="E882" t="s">
        <v>13</v>
      </c>
      <c r="F882" t="s">
        <v>729</v>
      </c>
      <c r="G882" t="s">
        <v>12</v>
      </c>
      <c r="I882" t="s">
        <v>6078</v>
      </c>
      <c r="J882" t="s">
        <v>7186</v>
      </c>
      <c r="K882">
        <v>102.70897326883788</v>
      </c>
      <c r="L882">
        <v>0.39319824563592681</v>
      </c>
      <c r="M882">
        <v>153.12395742518029</v>
      </c>
      <c r="N882">
        <v>168.43635316769834</v>
      </c>
    </row>
    <row r="883" spans="1:14">
      <c r="A883" t="s">
        <v>726</v>
      </c>
      <c r="B883" t="s">
        <v>6080</v>
      </c>
      <c r="C883" t="s">
        <v>6079</v>
      </c>
      <c r="D883" t="s">
        <v>11</v>
      </c>
      <c r="E883" t="s">
        <v>13</v>
      </c>
      <c r="F883" t="s">
        <v>729</v>
      </c>
      <c r="G883" t="s">
        <v>12</v>
      </c>
      <c r="I883" t="s">
        <v>6080</v>
      </c>
      <c r="J883" t="s">
        <v>7187</v>
      </c>
      <c r="K883">
        <v>29.993327271078957</v>
      </c>
      <c r="L883">
        <v>0.35996905463711742</v>
      </c>
      <c r="M883">
        <v>43.505490090403271</v>
      </c>
      <c r="N883">
        <v>47.856039099443599</v>
      </c>
    </row>
    <row r="884" spans="1:14">
      <c r="A884" t="s">
        <v>726</v>
      </c>
      <c r="B884" t="s">
        <v>6081</v>
      </c>
      <c r="C884" t="s">
        <v>6082</v>
      </c>
      <c r="D884" t="s">
        <v>11</v>
      </c>
      <c r="E884" t="s">
        <v>13</v>
      </c>
      <c r="F884" t="s">
        <v>729</v>
      </c>
      <c r="G884" t="s">
        <v>12</v>
      </c>
      <c r="I884" t="s">
        <v>6081</v>
      </c>
      <c r="J884" t="s">
        <v>7188</v>
      </c>
      <c r="K884">
        <v>11.1080337312184</v>
      </c>
      <c r="L884">
        <v>0.26580237634558002</v>
      </c>
      <c r="M884">
        <v>35.468727028095017</v>
      </c>
      <c r="N884">
        <v>39.015599730904519</v>
      </c>
    </row>
    <row r="885" spans="1:14">
      <c r="A885" t="s">
        <v>726</v>
      </c>
      <c r="B885" t="s">
        <v>6083</v>
      </c>
      <c r="C885" t="s">
        <v>6084</v>
      </c>
      <c r="D885" t="s">
        <v>11</v>
      </c>
      <c r="E885" t="s">
        <v>13</v>
      </c>
      <c r="F885" t="s">
        <v>729</v>
      </c>
      <c r="G885" t="s">
        <v>12</v>
      </c>
      <c r="I885" t="s">
        <v>6083</v>
      </c>
      <c r="J885" t="s">
        <v>7189</v>
      </c>
      <c r="K885">
        <v>10.89888486882437</v>
      </c>
      <c r="L885">
        <v>0.1317624794832043</v>
      </c>
      <c r="M885">
        <v>54.697952177955997</v>
      </c>
      <c r="N885">
        <v>60.167747395751604</v>
      </c>
    </row>
    <row r="886" spans="1:14">
      <c r="A886" t="s">
        <v>726</v>
      </c>
      <c r="B886" t="s">
        <v>6085</v>
      </c>
      <c r="C886" t="s">
        <v>6086</v>
      </c>
      <c r="D886" t="s">
        <v>11</v>
      </c>
      <c r="E886" t="s">
        <v>13</v>
      </c>
      <c r="F886" t="s">
        <v>729</v>
      </c>
      <c r="G886" t="s">
        <v>12</v>
      </c>
      <c r="I886" t="s">
        <v>6085</v>
      </c>
      <c r="J886" t="s">
        <v>7190</v>
      </c>
      <c r="K886">
        <v>8.3812188162528045</v>
      </c>
      <c r="L886">
        <v>0.12597055631761789</v>
      </c>
      <c r="M886">
        <v>78.838734915506535</v>
      </c>
      <c r="N886">
        <v>86.722608407057194</v>
      </c>
    </row>
    <row r="887" spans="1:14">
      <c r="A887" t="s">
        <v>726</v>
      </c>
      <c r="B887" t="s">
        <v>6087</v>
      </c>
      <c r="C887" t="s">
        <v>6088</v>
      </c>
      <c r="D887" t="s">
        <v>11</v>
      </c>
      <c r="E887" t="s">
        <v>13</v>
      </c>
      <c r="F887" t="s">
        <v>729</v>
      </c>
      <c r="G887" t="s">
        <v>12</v>
      </c>
      <c r="I887" t="s">
        <v>6087</v>
      </c>
      <c r="J887" t="s">
        <v>7191</v>
      </c>
      <c r="K887">
        <v>14.164308971442701</v>
      </c>
      <c r="L887">
        <v>0.12587981897317199</v>
      </c>
      <c r="M887">
        <v>69.353533851461165</v>
      </c>
      <c r="N887">
        <v>76.288887236607295</v>
      </c>
    </row>
    <row r="888" spans="1:14">
      <c r="A888" t="s">
        <v>726</v>
      </c>
      <c r="B888" t="s">
        <v>6089</v>
      </c>
      <c r="C888" t="s">
        <v>6090</v>
      </c>
      <c r="D888" t="s">
        <v>11</v>
      </c>
      <c r="E888" t="s">
        <v>13</v>
      </c>
      <c r="F888" t="s">
        <v>729</v>
      </c>
      <c r="G888" t="s">
        <v>12</v>
      </c>
      <c r="I888" t="s">
        <v>6089</v>
      </c>
      <c r="J888" t="s">
        <v>7192</v>
      </c>
      <c r="K888">
        <v>11.842595196127476</v>
      </c>
      <c r="L888">
        <v>0.1904883949879799</v>
      </c>
      <c r="M888">
        <v>43.111159906683923</v>
      </c>
      <c r="N888">
        <v>47.422275897352321</v>
      </c>
    </row>
    <row r="889" spans="1:14">
      <c r="A889" t="s">
        <v>726</v>
      </c>
      <c r="B889" t="s">
        <v>6091</v>
      </c>
      <c r="C889" t="s">
        <v>6092</v>
      </c>
      <c r="D889" t="s">
        <v>11</v>
      </c>
      <c r="E889" t="s">
        <v>13</v>
      </c>
      <c r="F889" t="s">
        <v>729</v>
      </c>
      <c r="G889" t="s">
        <v>12</v>
      </c>
      <c r="I889" t="s">
        <v>6091</v>
      </c>
      <c r="J889" t="s">
        <v>7193</v>
      </c>
      <c r="K889">
        <v>11.064812971912845</v>
      </c>
      <c r="L889">
        <v>0.27581621212097851</v>
      </c>
      <c r="M889">
        <v>65.552844231035394</v>
      </c>
      <c r="N889">
        <v>72.108128654138937</v>
      </c>
    </row>
    <row r="890" spans="1:14">
      <c r="A890" t="s">
        <v>726</v>
      </c>
      <c r="B890" t="s">
        <v>6093</v>
      </c>
      <c r="C890" t="s">
        <v>6094</v>
      </c>
      <c r="D890" t="s">
        <v>11</v>
      </c>
      <c r="E890" t="s">
        <v>13</v>
      </c>
      <c r="F890" t="s">
        <v>729</v>
      </c>
      <c r="G890" t="s">
        <v>12</v>
      </c>
      <c r="I890" t="s">
        <v>6093</v>
      </c>
      <c r="J890" t="s">
        <v>7194</v>
      </c>
      <c r="K890">
        <v>2.9647778845322104</v>
      </c>
      <c r="L890">
        <v>0.12457009128764671</v>
      </c>
      <c r="M890">
        <v>70.400132082044877</v>
      </c>
      <c r="N890">
        <v>77.440145290249376</v>
      </c>
    </row>
    <row r="891" spans="1:14">
      <c r="A891" t="s">
        <v>726</v>
      </c>
      <c r="B891" t="s">
        <v>6095</v>
      </c>
      <c r="C891" t="s">
        <v>6096</v>
      </c>
      <c r="D891" t="s">
        <v>11</v>
      </c>
      <c r="E891" t="s">
        <v>13</v>
      </c>
      <c r="F891" t="s">
        <v>729</v>
      </c>
      <c r="G891" t="s">
        <v>12</v>
      </c>
      <c r="I891" t="s">
        <v>6095</v>
      </c>
      <c r="J891" t="s">
        <v>7195</v>
      </c>
      <c r="K891">
        <v>2.2492231399154461</v>
      </c>
      <c r="L891">
        <v>0.2269831197945914</v>
      </c>
      <c r="M891">
        <v>55.537802416014657</v>
      </c>
      <c r="N891">
        <v>61.091582657616129</v>
      </c>
    </row>
    <row r="892" spans="1:14">
      <c r="A892" t="s">
        <v>726</v>
      </c>
      <c r="B892" t="s">
        <v>6097</v>
      </c>
      <c r="C892" t="s">
        <v>6098</v>
      </c>
      <c r="D892" t="s">
        <v>11</v>
      </c>
      <c r="E892" t="s">
        <v>13</v>
      </c>
      <c r="F892" t="s">
        <v>729</v>
      </c>
      <c r="G892" t="s">
        <v>12</v>
      </c>
      <c r="I892" t="s">
        <v>6097</v>
      </c>
      <c r="J892" t="s">
        <v>7196</v>
      </c>
      <c r="K892">
        <v>1.235307828414238</v>
      </c>
      <c r="L892">
        <v>0.2234278436166077</v>
      </c>
      <c r="M892">
        <v>21.13215646826427</v>
      </c>
      <c r="N892">
        <v>23.245372115090699</v>
      </c>
    </row>
    <row r="893" spans="1:14">
      <c r="A893" t="s">
        <v>726</v>
      </c>
      <c r="B893" t="s">
        <v>6099</v>
      </c>
      <c r="C893" t="s">
        <v>6100</v>
      </c>
      <c r="D893" t="s">
        <v>11</v>
      </c>
      <c r="E893" t="s">
        <v>13</v>
      </c>
      <c r="F893" t="s">
        <v>729</v>
      </c>
      <c r="G893" t="s">
        <v>12</v>
      </c>
      <c r="I893" t="s">
        <v>6099</v>
      </c>
      <c r="J893" t="s">
        <v>7197</v>
      </c>
      <c r="K893">
        <v>4.1708900933846806E-2</v>
      </c>
      <c r="L893">
        <v>0.25961693054932222</v>
      </c>
      <c r="M893">
        <v>41.900802379343681</v>
      </c>
      <c r="N893">
        <v>46.090882617278055</v>
      </c>
    </row>
    <row r="894" spans="1:14">
      <c r="A894" t="s">
        <v>726</v>
      </c>
      <c r="B894" t="s">
        <v>6101</v>
      </c>
      <c r="C894" t="s">
        <v>6102</v>
      </c>
      <c r="D894" t="s">
        <v>11</v>
      </c>
      <c r="E894" t="s">
        <v>13</v>
      </c>
      <c r="F894" t="s">
        <v>729</v>
      </c>
      <c r="G894" t="s">
        <v>12</v>
      </c>
      <c r="I894" t="s">
        <v>6101</v>
      </c>
      <c r="J894" t="s">
        <v>7198</v>
      </c>
      <c r="K894">
        <v>0.29380735008896847</v>
      </c>
      <c r="L894">
        <v>0.3734173815534072</v>
      </c>
      <c r="M894">
        <v>123.74089415804968</v>
      </c>
      <c r="N894">
        <v>136.11498357385466</v>
      </c>
    </row>
    <row r="895" spans="1:14">
      <c r="A895" t="s">
        <v>726</v>
      </c>
      <c r="B895" t="s">
        <v>6103</v>
      </c>
      <c r="C895" t="s">
        <v>6104</v>
      </c>
      <c r="D895" t="s">
        <v>11</v>
      </c>
      <c r="E895" t="s">
        <v>13</v>
      </c>
      <c r="F895" t="s">
        <v>729</v>
      </c>
      <c r="G895" t="s">
        <v>12</v>
      </c>
      <c r="I895" t="s">
        <v>6103</v>
      </c>
      <c r="J895" t="s">
        <v>7199</v>
      </c>
      <c r="K895">
        <v>4.4721927068661866</v>
      </c>
      <c r="L895">
        <v>0.12865287020581739</v>
      </c>
      <c r="M895">
        <v>79.527572838375491</v>
      </c>
      <c r="N895">
        <v>87.480330122213047</v>
      </c>
    </row>
    <row r="896" spans="1:14">
      <c r="A896" t="s">
        <v>726</v>
      </c>
      <c r="B896" t="s">
        <v>6105</v>
      </c>
      <c r="C896" t="s">
        <v>6106</v>
      </c>
      <c r="D896" t="s">
        <v>11</v>
      </c>
      <c r="E896" t="s">
        <v>13</v>
      </c>
      <c r="F896" t="s">
        <v>729</v>
      </c>
      <c r="G896" t="s">
        <v>12</v>
      </c>
      <c r="I896" t="s">
        <v>6105</v>
      </c>
      <c r="J896" t="s">
        <v>7200</v>
      </c>
      <c r="K896">
        <v>10.136109959888824</v>
      </c>
      <c r="L896">
        <v>0.14619395909912969</v>
      </c>
      <c r="M896">
        <v>205.61931148739671</v>
      </c>
      <c r="N896">
        <v>226.1812426361364</v>
      </c>
    </row>
    <row r="897" spans="1:14">
      <c r="A897" t="s">
        <v>726</v>
      </c>
      <c r="B897" t="s">
        <v>6107</v>
      </c>
      <c r="C897" t="s">
        <v>6108</v>
      </c>
      <c r="D897" t="s">
        <v>11</v>
      </c>
      <c r="E897" t="s">
        <v>13</v>
      </c>
      <c r="F897" t="s">
        <v>729</v>
      </c>
      <c r="G897" t="s">
        <v>12</v>
      </c>
      <c r="I897" t="s">
        <v>6107</v>
      </c>
      <c r="J897" t="s">
        <v>7201</v>
      </c>
      <c r="K897">
        <v>18.940503633858299</v>
      </c>
      <c r="L897">
        <v>0.2211623261742702</v>
      </c>
      <c r="M897">
        <v>151.17121982519222</v>
      </c>
      <c r="N897">
        <v>166.28834180771145</v>
      </c>
    </row>
    <row r="898" spans="1:14">
      <c r="A898" t="s">
        <v>726</v>
      </c>
      <c r="B898" t="s">
        <v>6109</v>
      </c>
      <c r="C898" t="s">
        <v>6110</v>
      </c>
      <c r="D898" t="s">
        <v>11</v>
      </c>
      <c r="E898" t="s">
        <v>13</v>
      </c>
      <c r="F898" t="s">
        <v>729</v>
      </c>
      <c r="G898" t="s">
        <v>12</v>
      </c>
      <c r="I898" t="s">
        <v>6109</v>
      </c>
      <c r="J898" t="s">
        <v>7202</v>
      </c>
      <c r="K898">
        <v>2.8978958262264007</v>
      </c>
      <c r="L898">
        <v>0.16341202253219361</v>
      </c>
      <c r="M898">
        <v>184.29882363051507</v>
      </c>
      <c r="N898">
        <v>202.72870599356659</v>
      </c>
    </row>
    <row r="899" spans="1:14">
      <c r="A899" t="s">
        <v>726</v>
      </c>
      <c r="B899" t="s">
        <v>6111</v>
      </c>
      <c r="C899" t="s">
        <v>6112</v>
      </c>
      <c r="D899" t="s">
        <v>11</v>
      </c>
      <c r="E899" t="s">
        <v>13</v>
      </c>
      <c r="F899" t="s">
        <v>729</v>
      </c>
      <c r="G899" t="s">
        <v>12</v>
      </c>
      <c r="I899" t="s">
        <v>6111</v>
      </c>
      <c r="J899" t="s">
        <v>7203</v>
      </c>
      <c r="K899">
        <v>14.648749872699799</v>
      </c>
      <c r="L899">
        <v>0.1567265792300524</v>
      </c>
      <c r="M899">
        <v>106.62567993805568</v>
      </c>
      <c r="N899">
        <v>117.28824793186126</v>
      </c>
    </row>
    <row r="900" spans="1:14">
      <c r="A900" t="s">
        <v>726</v>
      </c>
      <c r="B900" t="s">
        <v>6113</v>
      </c>
      <c r="C900" t="s">
        <v>6114</v>
      </c>
      <c r="D900" t="s">
        <v>11</v>
      </c>
      <c r="E900" t="s">
        <v>13</v>
      </c>
      <c r="F900" t="s">
        <v>729</v>
      </c>
      <c r="G900" t="s">
        <v>12</v>
      </c>
      <c r="I900" t="s">
        <v>6113</v>
      </c>
      <c r="J900" t="s">
        <v>7204</v>
      </c>
      <c r="K900">
        <v>5.0452993535950279</v>
      </c>
      <c r="L900">
        <v>0.17145929498352699</v>
      </c>
      <c r="M900">
        <v>99.229606844473764</v>
      </c>
      <c r="N900">
        <v>109.15256752892115</v>
      </c>
    </row>
    <row r="901" spans="1:14">
      <c r="A901" t="s">
        <v>726</v>
      </c>
      <c r="B901" t="s">
        <v>6115</v>
      </c>
      <c r="C901" t="s">
        <v>6116</v>
      </c>
      <c r="D901" t="s">
        <v>11</v>
      </c>
      <c r="E901" t="s">
        <v>13</v>
      </c>
      <c r="F901" t="s">
        <v>729</v>
      </c>
      <c r="G901" t="s">
        <v>12</v>
      </c>
      <c r="I901" t="s">
        <v>6115</v>
      </c>
      <c r="J901" t="s">
        <v>7205</v>
      </c>
      <c r="K901">
        <v>2.7752941650497176</v>
      </c>
      <c r="L901">
        <v>0.17903482315956851</v>
      </c>
      <c r="M901">
        <v>110.83926520355182</v>
      </c>
      <c r="N901">
        <v>121.92319172390701</v>
      </c>
    </row>
    <row r="902" spans="1:14">
      <c r="A902" t="s">
        <v>726</v>
      </c>
      <c r="B902" t="s">
        <v>6117</v>
      </c>
      <c r="C902" t="s">
        <v>6118</v>
      </c>
      <c r="D902" t="s">
        <v>11</v>
      </c>
      <c r="E902" t="s">
        <v>13</v>
      </c>
      <c r="F902" t="s">
        <v>729</v>
      </c>
      <c r="G902" t="s">
        <v>12</v>
      </c>
      <c r="I902" t="s">
        <v>6117</v>
      </c>
      <c r="J902" t="s">
        <v>7206</v>
      </c>
      <c r="K902">
        <v>0.36421844651065022</v>
      </c>
      <c r="L902">
        <v>8.8768550967463999E-2</v>
      </c>
      <c r="M902">
        <v>111.99504348531472</v>
      </c>
      <c r="N902">
        <v>123.1945478338462</v>
      </c>
    </row>
    <row r="903" spans="1:14">
      <c r="A903" t="s">
        <v>726</v>
      </c>
      <c r="B903" t="s">
        <v>6119</v>
      </c>
      <c r="C903" t="s">
        <v>6120</v>
      </c>
      <c r="D903" t="s">
        <v>11</v>
      </c>
      <c r="E903" t="s">
        <v>13</v>
      </c>
      <c r="F903" t="s">
        <v>729</v>
      </c>
      <c r="G903" t="s">
        <v>12</v>
      </c>
      <c r="I903" t="s">
        <v>6119</v>
      </c>
      <c r="J903" t="s">
        <v>7207</v>
      </c>
      <c r="K903">
        <v>0.60921171010189534</v>
      </c>
      <c r="L903">
        <v>0.104564071584528</v>
      </c>
      <c r="M903">
        <v>154.91935247322914</v>
      </c>
      <c r="N903">
        <v>170.41128772055205</v>
      </c>
    </row>
    <row r="904" spans="1:14">
      <c r="A904" t="s">
        <v>726</v>
      </c>
      <c r="B904" t="s">
        <v>6121</v>
      </c>
      <c r="C904" t="s">
        <v>6122</v>
      </c>
      <c r="D904" t="s">
        <v>11</v>
      </c>
      <c r="E904" t="s">
        <v>13</v>
      </c>
      <c r="F904" t="s">
        <v>729</v>
      </c>
      <c r="G904" t="s">
        <v>12</v>
      </c>
      <c r="I904" t="s">
        <v>6121</v>
      </c>
      <c r="J904" t="s">
        <v>7208</v>
      </c>
      <c r="K904">
        <v>53.734500855299409</v>
      </c>
      <c r="L904">
        <v>0.29709595098537772</v>
      </c>
      <c r="M904">
        <v>57.095354246337536</v>
      </c>
      <c r="N904">
        <v>62.804889670971292</v>
      </c>
    </row>
    <row r="905" spans="1:14">
      <c r="A905" t="s">
        <v>726</v>
      </c>
      <c r="B905" t="s">
        <v>6123</v>
      </c>
      <c r="C905" t="s">
        <v>6124</v>
      </c>
      <c r="D905" t="s">
        <v>11</v>
      </c>
      <c r="E905" t="s">
        <v>13</v>
      </c>
      <c r="F905" t="s">
        <v>729</v>
      </c>
      <c r="G905" t="s">
        <v>12</v>
      </c>
      <c r="I905" t="s">
        <v>6123</v>
      </c>
      <c r="J905" t="s">
        <v>7209</v>
      </c>
      <c r="K905">
        <v>1.8876158916176931</v>
      </c>
      <c r="L905">
        <v>0.21265040153316869</v>
      </c>
      <c r="M905">
        <v>58.689424812348527</v>
      </c>
      <c r="N905">
        <v>64.558367293583387</v>
      </c>
    </row>
    <row r="906" spans="1:14">
      <c r="A906" t="s">
        <v>726</v>
      </c>
      <c r="B906" t="s">
        <v>6125</v>
      </c>
      <c r="C906" t="s">
        <v>6126</v>
      </c>
      <c r="D906" t="s">
        <v>11</v>
      </c>
      <c r="E906" t="s">
        <v>13</v>
      </c>
      <c r="F906" t="s">
        <v>729</v>
      </c>
      <c r="G906" t="s">
        <v>12</v>
      </c>
      <c r="I906" t="s">
        <v>6125</v>
      </c>
      <c r="J906" t="s">
        <v>7210</v>
      </c>
      <c r="K906">
        <v>29.555223831168874</v>
      </c>
      <c r="L906">
        <v>0.29739230006902689</v>
      </c>
      <c r="M906">
        <v>51.711540824900879</v>
      </c>
      <c r="N906">
        <v>56.88269490739097</v>
      </c>
    </row>
    <row r="907" spans="1:14">
      <c r="A907" t="s">
        <v>726</v>
      </c>
      <c r="B907" t="s">
        <v>6127</v>
      </c>
      <c r="C907" t="s">
        <v>6128</v>
      </c>
      <c r="D907" t="s">
        <v>11</v>
      </c>
      <c r="E907" t="s">
        <v>13</v>
      </c>
      <c r="F907" t="s">
        <v>729</v>
      </c>
      <c r="G907" t="s">
        <v>12</v>
      </c>
      <c r="I907" t="s">
        <v>6127</v>
      </c>
      <c r="J907" t="s">
        <v>7211</v>
      </c>
      <c r="K907">
        <v>70.577689156787699</v>
      </c>
      <c r="L907">
        <v>0.27849047529461951</v>
      </c>
      <c r="M907">
        <v>86.243354595462165</v>
      </c>
      <c r="N907">
        <v>94.867690055008396</v>
      </c>
    </row>
    <row r="908" spans="1:14">
      <c r="A908" t="s">
        <v>726</v>
      </c>
      <c r="B908" t="s">
        <v>6129</v>
      </c>
      <c r="C908" t="s">
        <v>6130</v>
      </c>
      <c r="D908" t="s">
        <v>11</v>
      </c>
      <c r="E908" t="s">
        <v>13</v>
      </c>
      <c r="F908" t="s">
        <v>729</v>
      </c>
      <c r="G908" t="s">
        <v>12</v>
      </c>
      <c r="I908" t="s">
        <v>6129</v>
      </c>
      <c r="J908" t="s">
        <v>7212</v>
      </c>
      <c r="K908">
        <v>24.228486074485286</v>
      </c>
      <c r="L908">
        <v>0.3095327462913201</v>
      </c>
      <c r="M908">
        <v>53.798070420733225</v>
      </c>
      <c r="N908">
        <v>59.177877462806549</v>
      </c>
    </row>
    <row r="909" spans="1:14">
      <c r="A909" t="s">
        <v>726</v>
      </c>
      <c r="B909" t="s">
        <v>6131</v>
      </c>
      <c r="C909" t="s">
        <v>6132</v>
      </c>
      <c r="D909" t="s">
        <v>11</v>
      </c>
      <c r="E909" t="s">
        <v>13</v>
      </c>
      <c r="F909" t="s">
        <v>729</v>
      </c>
      <c r="G909" t="s">
        <v>12</v>
      </c>
      <c r="I909" t="s">
        <v>6131</v>
      </c>
      <c r="J909" t="s">
        <v>7213</v>
      </c>
      <c r="K909">
        <v>49.086792587434829</v>
      </c>
      <c r="L909">
        <v>0.2871838455478522</v>
      </c>
      <c r="M909">
        <v>63.2765686994587</v>
      </c>
      <c r="N909">
        <v>69.604225569404576</v>
      </c>
    </row>
    <row r="910" spans="1:14">
      <c r="A910" t="s">
        <v>726</v>
      </c>
      <c r="B910" t="s">
        <v>6133</v>
      </c>
      <c r="C910" t="s">
        <v>6134</v>
      </c>
      <c r="D910" t="s">
        <v>11</v>
      </c>
      <c r="E910" t="s">
        <v>13</v>
      </c>
      <c r="F910" t="s">
        <v>729</v>
      </c>
      <c r="G910" t="s">
        <v>12</v>
      </c>
      <c r="I910" t="s">
        <v>6133</v>
      </c>
      <c r="J910" t="s">
        <v>7214</v>
      </c>
      <c r="K910">
        <v>96.784579476140422</v>
      </c>
      <c r="L910">
        <v>0.29726527891099341</v>
      </c>
      <c r="M910">
        <v>64.357262686376941</v>
      </c>
      <c r="N910">
        <v>70.792988955014636</v>
      </c>
    </row>
    <row r="911" spans="1:14">
      <c r="A911" t="s">
        <v>726</v>
      </c>
      <c r="B911" t="s">
        <v>6135</v>
      </c>
      <c r="C911" t="s">
        <v>6136</v>
      </c>
      <c r="D911" t="s">
        <v>11</v>
      </c>
      <c r="E911" t="s">
        <v>13</v>
      </c>
      <c r="F911" t="s">
        <v>729</v>
      </c>
      <c r="G911" t="s">
        <v>12</v>
      </c>
      <c r="I911" t="s">
        <v>6135</v>
      </c>
      <c r="J911" t="s">
        <v>7215</v>
      </c>
      <c r="K911">
        <v>47.964287072636601</v>
      </c>
      <c r="L911">
        <v>0.3131963051600124</v>
      </c>
      <c r="M911">
        <v>55.30136230019562</v>
      </c>
      <c r="N911">
        <v>60.831498530215185</v>
      </c>
    </row>
    <row r="912" spans="1:14">
      <c r="A912" t="s">
        <v>726</v>
      </c>
      <c r="B912" t="s">
        <v>6137</v>
      </c>
      <c r="C912" t="s">
        <v>6138</v>
      </c>
      <c r="D912" t="s">
        <v>11</v>
      </c>
      <c r="E912" t="s">
        <v>13</v>
      </c>
      <c r="F912" t="s">
        <v>729</v>
      </c>
      <c r="G912" t="s">
        <v>12</v>
      </c>
      <c r="I912" t="s">
        <v>6137</v>
      </c>
      <c r="J912" t="s">
        <v>7216</v>
      </c>
      <c r="K912">
        <v>99.453971123049072</v>
      </c>
      <c r="L912">
        <v>0.29801131599865122</v>
      </c>
      <c r="M912">
        <v>62.495605496882312</v>
      </c>
      <c r="N912">
        <v>68.745166046570546</v>
      </c>
    </row>
    <row r="913" spans="1:14">
      <c r="A913" t="s">
        <v>726</v>
      </c>
      <c r="B913" t="s">
        <v>6139</v>
      </c>
      <c r="C913" t="s">
        <v>6140</v>
      </c>
      <c r="D913" t="s">
        <v>11</v>
      </c>
      <c r="E913" t="s">
        <v>13</v>
      </c>
      <c r="F913" t="s">
        <v>729</v>
      </c>
      <c r="G913" t="s">
        <v>12</v>
      </c>
      <c r="I913" t="s">
        <v>6139</v>
      </c>
      <c r="J913" t="s">
        <v>7217</v>
      </c>
      <c r="K913">
        <v>17.855276967215644</v>
      </c>
      <c r="L913">
        <v>0.34018174912955551</v>
      </c>
      <c r="M913">
        <v>121.7337207653954</v>
      </c>
      <c r="N913">
        <v>133.90709284193497</v>
      </c>
    </row>
    <row r="914" spans="1:14">
      <c r="A914" t="s">
        <v>726</v>
      </c>
      <c r="B914" t="s">
        <v>6141</v>
      </c>
      <c r="C914" t="s">
        <v>6142</v>
      </c>
      <c r="D914" t="s">
        <v>11</v>
      </c>
      <c r="E914" t="s">
        <v>13</v>
      </c>
      <c r="F914" t="s">
        <v>729</v>
      </c>
      <c r="G914" t="s">
        <v>12</v>
      </c>
      <c r="I914" t="s">
        <v>6141</v>
      </c>
      <c r="J914" t="s">
        <v>7218</v>
      </c>
      <c r="K914">
        <v>31.413112507755311</v>
      </c>
      <c r="L914">
        <v>0.3003195595095064</v>
      </c>
      <c r="M914">
        <v>66.236714424188079</v>
      </c>
      <c r="N914">
        <v>72.86038586660689</v>
      </c>
    </row>
    <row r="915" spans="1:14">
      <c r="A915" t="s">
        <v>726</v>
      </c>
      <c r="B915" t="s">
        <v>6143</v>
      </c>
      <c r="C915" t="s">
        <v>6144</v>
      </c>
      <c r="D915" t="s">
        <v>11</v>
      </c>
      <c r="E915" t="s">
        <v>13</v>
      </c>
      <c r="F915" t="s">
        <v>729</v>
      </c>
      <c r="G915" t="s">
        <v>12</v>
      </c>
      <c r="I915" t="s">
        <v>6143</v>
      </c>
      <c r="J915" t="s">
        <v>7219</v>
      </c>
      <c r="K915">
        <v>29.756154001242766</v>
      </c>
      <c r="L915">
        <v>0.33633416870820071</v>
      </c>
      <c r="M915">
        <v>111.96997283392749</v>
      </c>
      <c r="N915">
        <v>123.16697011732025</v>
      </c>
    </row>
    <row r="916" spans="1:14">
      <c r="A916" t="s">
        <v>726</v>
      </c>
      <c r="B916" t="s">
        <v>6145</v>
      </c>
      <c r="C916" t="s">
        <v>6146</v>
      </c>
      <c r="D916" t="s">
        <v>11</v>
      </c>
      <c r="E916" t="s">
        <v>13</v>
      </c>
      <c r="F916" t="s">
        <v>729</v>
      </c>
      <c r="G916" t="s">
        <v>12</v>
      </c>
      <c r="I916" t="s">
        <v>6145</v>
      </c>
      <c r="J916" t="s">
        <v>7220</v>
      </c>
      <c r="K916">
        <v>26.156563025732062</v>
      </c>
      <c r="L916">
        <v>0.34244469865858662</v>
      </c>
      <c r="M916">
        <v>94.221593538822404</v>
      </c>
      <c r="N916">
        <v>103.64375289270465</v>
      </c>
    </row>
    <row r="917" spans="1:14">
      <c r="A917" t="s">
        <v>726</v>
      </c>
      <c r="B917" t="s">
        <v>6147</v>
      </c>
      <c r="C917" t="s">
        <v>6148</v>
      </c>
      <c r="D917" t="s">
        <v>11</v>
      </c>
      <c r="E917" t="s">
        <v>13</v>
      </c>
      <c r="F917" t="s">
        <v>729</v>
      </c>
      <c r="G917" t="s">
        <v>12</v>
      </c>
      <c r="I917" t="s">
        <v>6147</v>
      </c>
      <c r="J917" t="s">
        <v>7221</v>
      </c>
      <c r="K917">
        <v>37.532782632119478</v>
      </c>
      <c r="L917">
        <v>0.32790250735524651</v>
      </c>
      <c r="M917">
        <v>106.26924184554952</v>
      </c>
      <c r="N917">
        <v>116.89616603010448</v>
      </c>
    </row>
    <row r="918" spans="1:14">
      <c r="A918" t="s">
        <v>726</v>
      </c>
      <c r="B918" t="s">
        <v>6149</v>
      </c>
      <c r="C918" t="s">
        <v>6150</v>
      </c>
      <c r="D918" t="s">
        <v>11</v>
      </c>
      <c r="E918" t="s">
        <v>13</v>
      </c>
      <c r="F918" t="s">
        <v>729</v>
      </c>
      <c r="G918" t="s">
        <v>12</v>
      </c>
      <c r="I918" t="s">
        <v>6149</v>
      </c>
      <c r="J918" t="s">
        <v>7222</v>
      </c>
      <c r="K918">
        <v>34.471479951184882</v>
      </c>
      <c r="L918">
        <v>0.1806298263925426</v>
      </c>
      <c r="M918">
        <v>90.036075191770237</v>
      </c>
      <c r="N918">
        <v>99.039682710947275</v>
      </c>
    </row>
    <row r="919" spans="1:14">
      <c r="A919" t="s">
        <v>726</v>
      </c>
      <c r="B919" t="s">
        <v>6151</v>
      </c>
      <c r="C919" t="s">
        <v>6152</v>
      </c>
      <c r="D919" t="s">
        <v>11</v>
      </c>
      <c r="E919" t="s">
        <v>13</v>
      </c>
      <c r="F919" t="s">
        <v>729</v>
      </c>
      <c r="G919" t="s">
        <v>12</v>
      </c>
      <c r="I919" t="s">
        <v>6151</v>
      </c>
      <c r="J919" t="s">
        <v>7223</v>
      </c>
      <c r="K919">
        <v>56.293033541078216</v>
      </c>
      <c r="L919">
        <v>0.16241545846095529</v>
      </c>
      <c r="M919">
        <v>150.65436369058551</v>
      </c>
      <c r="N919">
        <v>165.71980005964409</v>
      </c>
    </row>
    <row r="920" spans="1:14">
      <c r="A920" t="s">
        <v>726</v>
      </c>
      <c r="B920" t="s">
        <v>6153</v>
      </c>
      <c r="C920" t="s">
        <v>6154</v>
      </c>
      <c r="D920" t="s">
        <v>11</v>
      </c>
      <c r="E920" t="s">
        <v>13</v>
      </c>
      <c r="F920" t="s">
        <v>729</v>
      </c>
      <c r="G920" t="s">
        <v>12</v>
      </c>
      <c r="I920" t="s">
        <v>6153</v>
      </c>
      <c r="J920" t="s">
        <v>7224</v>
      </c>
      <c r="K920">
        <v>121.23292020059411</v>
      </c>
      <c r="L920">
        <v>0.1610366935016552</v>
      </c>
      <c r="M920">
        <v>136.01120719940852</v>
      </c>
      <c r="N920">
        <v>149.61232791934938</v>
      </c>
    </row>
    <row r="921" spans="1:14">
      <c r="A921" t="s">
        <v>726</v>
      </c>
      <c r="B921" t="s">
        <v>6155</v>
      </c>
      <c r="C921" t="s">
        <v>6156</v>
      </c>
      <c r="D921" t="s">
        <v>11</v>
      </c>
      <c r="E921" t="s">
        <v>13</v>
      </c>
      <c r="F921" t="s">
        <v>729</v>
      </c>
      <c r="G921" t="s">
        <v>12</v>
      </c>
      <c r="I921" t="s">
        <v>6155</v>
      </c>
      <c r="J921" t="s">
        <v>7225</v>
      </c>
      <c r="K921">
        <v>81.004985419572421</v>
      </c>
      <c r="L921">
        <v>0.1188358558520302</v>
      </c>
      <c r="M921">
        <v>213.95104240266528</v>
      </c>
      <c r="N921">
        <v>235.34614664293181</v>
      </c>
    </row>
    <row r="922" spans="1:14">
      <c r="A922" t="s">
        <v>726</v>
      </c>
      <c r="B922" t="s">
        <v>6157</v>
      </c>
      <c r="C922" t="s">
        <v>6158</v>
      </c>
      <c r="D922" t="s">
        <v>11</v>
      </c>
      <c r="E922" t="s">
        <v>13</v>
      </c>
      <c r="F922" t="s">
        <v>729</v>
      </c>
      <c r="G922" t="s">
        <v>12</v>
      </c>
      <c r="I922" t="s">
        <v>6157</v>
      </c>
      <c r="J922" t="s">
        <v>7226</v>
      </c>
      <c r="K922">
        <v>145.2829150664904</v>
      </c>
      <c r="L922">
        <v>0.20091085537702769</v>
      </c>
      <c r="M922">
        <v>142.44689971657203</v>
      </c>
      <c r="N922">
        <v>156.69158968822924</v>
      </c>
    </row>
    <row r="923" spans="1:14">
      <c r="A923" t="s">
        <v>726</v>
      </c>
      <c r="B923" t="s">
        <v>6159</v>
      </c>
      <c r="C923" t="s">
        <v>6160</v>
      </c>
      <c r="D923" t="s">
        <v>11</v>
      </c>
      <c r="E923" t="s">
        <v>13</v>
      </c>
      <c r="F923" t="s">
        <v>729</v>
      </c>
      <c r="G923" t="s">
        <v>12</v>
      </c>
      <c r="I923" t="s">
        <v>6159</v>
      </c>
      <c r="J923" t="s">
        <v>7227</v>
      </c>
      <c r="K923">
        <v>138.62927406641191</v>
      </c>
      <c r="L923">
        <v>0.12718298984340601</v>
      </c>
      <c r="M923">
        <v>148.86505066378157</v>
      </c>
      <c r="N923">
        <v>163.75155573015974</v>
      </c>
    </row>
    <row r="924" spans="1:14">
      <c r="A924" t="s">
        <v>726</v>
      </c>
      <c r="B924" t="s">
        <v>6161</v>
      </c>
      <c r="C924" t="s">
        <v>6162</v>
      </c>
      <c r="D924" t="s">
        <v>11</v>
      </c>
      <c r="E924" t="s">
        <v>13</v>
      </c>
      <c r="F924" t="s">
        <v>729</v>
      </c>
      <c r="G924" t="s">
        <v>12</v>
      </c>
      <c r="I924" t="s">
        <v>6161</v>
      </c>
      <c r="J924" t="s">
        <v>7228</v>
      </c>
      <c r="K924">
        <v>62.926493868066352</v>
      </c>
      <c r="L924">
        <v>0.1626136118266438</v>
      </c>
      <c r="M924">
        <v>109.71845382355998</v>
      </c>
      <c r="N924">
        <v>120.69029920591599</v>
      </c>
    </row>
    <row r="925" spans="1:14">
      <c r="A925" t="s">
        <v>726</v>
      </c>
      <c r="B925" t="s">
        <v>6163</v>
      </c>
      <c r="C925" t="s">
        <v>6164</v>
      </c>
      <c r="D925" t="s">
        <v>11</v>
      </c>
      <c r="E925" t="s">
        <v>13</v>
      </c>
      <c r="F925" t="s">
        <v>729</v>
      </c>
      <c r="G925" t="s">
        <v>12</v>
      </c>
      <c r="I925" t="s">
        <v>6163</v>
      </c>
      <c r="J925" t="s">
        <v>7229</v>
      </c>
      <c r="K925">
        <v>58.215548476842365</v>
      </c>
      <c r="L925">
        <v>0.13736188078835901</v>
      </c>
      <c r="M925">
        <v>172.55886472173071</v>
      </c>
      <c r="N925">
        <v>189.81475119390379</v>
      </c>
    </row>
    <row r="926" spans="1:14">
      <c r="A926" t="s">
        <v>726</v>
      </c>
      <c r="B926" t="s">
        <v>6165</v>
      </c>
      <c r="C926" t="s">
        <v>6166</v>
      </c>
      <c r="D926" t="s">
        <v>11</v>
      </c>
      <c r="E926" t="s">
        <v>13</v>
      </c>
      <c r="F926" t="s">
        <v>729</v>
      </c>
      <c r="G926" t="s">
        <v>12</v>
      </c>
      <c r="I926" t="s">
        <v>6165</v>
      </c>
      <c r="J926" t="s">
        <v>7230</v>
      </c>
      <c r="K926">
        <v>271.65860710011219</v>
      </c>
      <c r="L926">
        <v>0.3144281695691783</v>
      </c>
      <c r="M926">
        <v>69.940035593108163</v>
      </c>
      <c r="N926">
        <v>76.93403915241899</v>
      </c>
    </row>
    <row r="927" spans="1:14">
      <c r="A927" t="s">
        <v>726</v>
      </c>
      <c r="B927" t="s">
        <v>6167</v>
      </c>
      <c r="C927" t="s">
        <v>6168</v>
      </c>
      <c r="D927" t="s">
        <v>11</v>
      </c>
      <c r="E927" t="s">
        <v>13</v>
      </c>
      <c r="F927" t="s">
        <v>729</v>
      </c>
      <c r="G927" t="s">
        <v>12</v>
      </c>
      <c r="I927" t="s">
        <v>6167</v>
      </c>
      <c r="J927" t="s">
        <v>7231</v>
      </c>
      <c r="K927">
        <v>541.75500392449703</v>
      </c>
      <c r="L927">
        <v>0.40676709889556589</v>
      </c>
      <c r="M927">
        <v>150.96006088381142</v>
      </c>
      <c r="N927">
        <v>166.05606697219258</v>
      </c>
    </row>
    <row r="928" spans="1:14">
      <c r="A928" t="s">
        <v>726</v>
      </c>
      <c r="B928" t="s">
        <v>6169</v>
      </c>
      <c r="C928" t="s">
        <v>6170</v>
      </c>
      <c r="D928" t="s">
        <v>11</v>
      </c>
      <c r="E928" t="s">
        <v>13</v>
      </c>
      <c r="F928" t="s">
        <v>729</v>
      </c>
      <c r="G928" t="s">
        <v>12</v>
      </c>
      <c r="I928" t="s">
        <v>6169</v>
      </c>
      <c r="J928" t="s">
        <v>7232</v>
      </c>
      <c r="K928">
        <v>88.591314753771769</v>
      </c>
      <c r="L928">
        <v>0.2676188542880189</v>
      </c>
      <c r="M928">
        <v>148.46972518911772</v>
      </c>
      <c r="N928">
        <v>163.31669770802952</v>
      </c>
    </row>
    <row r="929" spans="1:14">
      <c r="A929" t="s">
        <v>726</v>
      </c>
      <c r="B929" t="s">
        <v>6171</v>
      </c>
      <c r="C929" t="s">
        <v>6172</v>
      </c>
      <c r="D929" t="s">
        <v>11</v>
      </c>
      <c r="E929" t="s">
        <v>13</v>
      </c>
      <c r="F929" t="s">
        <v>729</v>
      </c>
      <c r="G929" t="s">
        <v>12</v>
      </c>
      <c r="I929" t="s">
        <v>6171</v>
      </c>
      <c r="J929" t="s">
        <v>7233</v>
      </c>
      <c r="K929">
        <v>163.34338217698314</v>
      </c>
      <c r="L929">
        <v>0.3138050688760104</v>
      </c>
      <c r="M929">
        <v>164.38372505400071</v>
      </c>
      <c r="N929">
        <v>180.82209755940079</v>
      </c>
    </row>
    <row r="930" spans="1:14">
      <c r="A930" t="s">
        <v>726</v>
      </c>
      <c r="B930" t="s">
        <v>6173</v>
      </c>
      <c r="C930" t="s">
        <v>6174</v>
      </c>
      <c r="D930" t="s">
        <v>11</v>
      </c>
      <c r="E930" t="s">
        <v>13</v>
      </c>
      <c r="F930" t="s">
        <v>729</v>
      </c>
      <c r="G930" t="s">
        <v>12</v>
      </c>
      <c r="I930" t="s">
        <v>6173</v>
      </c>
      <c r="J930" t="s">
        <v>7234</v>
      </c>
      <c r="K930">
        <v>6.983623261153312</v>
      </c>
      <c r="L930">
        <v>0.1240632103527972</v>
      </c>
      <c r="M930">
        <v>1242.4159627709123</v>
      </c>
      <c r="N930">
        <v>1366.6575590480036</v>
      </c>
    </row>
    <row r="931" spans="1:14">
      <c r="A931" t="s">
        <v>726</v>
      </c>
      <c r="B931" t="s">
        <v>6175</v>
      </c>
      <c r="C931" t="s">
        <v>6176</v>
      </c>
      <c r="D931" t="s">
        <v>11</v>
      </c>
      <c r="E931" t="s">
        <v>13</v>
      </c>
      <c r="F931" t="s">
        <v>729</v>
      </c>
      <c r="G931" t="s">
        <v>12</v>
      </c>
      <c r="I931" t="s">
        <v>6175</v>
      </c>
      <c r="J931" t="s">
        <v>7235</v>
      </c>
      <c r="K931">
        <v>132.00035789229972</v>
      </c>
      <c r="L931">
        <v>0.35449620851091218</v>
      </c>
      <c r="M931">
        <v>1034.3658247603487</v>
      </c>
      <c r="N931">
        <v>1137.8024072363837</v>
      </c>
    </row>
    <row r="932" spans="1:14">
      <c r="A932" t="s">
        <v>726</v>
      </c>
      <c r="B932" t="s">
        <v>6177</v>
      </c>
      <c r="C932" t="s">
        <v>6178</v>
      </c>
      <c r="D932" t="s">
        <v>11</v>
      </c>
      <c r="E932" t="s">
        <v>13</v>
      </c>
      <c r="F932" t="s">
        <v>729</v>
      </c>
      <c r="G932" t="s">
        <v>12</v>
      </c>
      <c r="I932" t="s">
        <v>6177</v>
      </c>
      <c r="J932" t="s">
        <v>7236</v>
      </c>
      <c r="K932">
        <v>125.65925384572326</v>
      </c>
      <c r="L932">
        <v>0.42296559065031669</v>
      </c>
      <c r="M932">
        <v>195.57158285769663</v>
      </c>
      <c r="N932">
        <v>215.1287411434663</v>
      </c>
    </row>
    <row r="933" spans="1:14">
      <c r="A933" t="s">
        <v>726</v>
      </c>
      <c r="B933" t="s">
        <v>6179</v>
      </c>
      <c r="C933" t="s">
        <v>6180</v>
      </c>
      <c r="D933" t="s">
        <v>11</v>
      </c>
      <c r="E933" t="s">
        <v>13</v>
      </c>
      <c r="F933" t="s">
        <v>729</v>
      </c>
      <c r="G933" t="s">
        <v>12</v>
      </c>
      <c r="I933" t="s">
        <v>6179</v>
      </c>
      <c r="J933" t="s">
        <v>7237</v>
      </c>
      <c r="K933">
        <v>211.98902256016297</v>
      </c>
      <c r="L933">
        <v>0.39615930099666868</v>
      </c>
      <c r="M933">
        <v>262.13136922715233</v>
      </c>
      <c r="N933">
        <v>288.34450614986758</v>
      </c>
    </row>
    <row r="934" spans="1:14">
      <c r="A934" t="s">
        <v>726</v>
      </c>
      <c r="B934" t="s">
        <v>6181</v>
      </c>
      <c r="C934" t="s">
        <v>6182</v>
      </c>
      <c r="D934" t="s">
        <v>11</v>
      </c>
      <c r="E934" t="s">
        <v>13</v>
      </c>
      <c r="F934" t="s">
        <v>729</v>
      </c>
      <c r="G934" t="s">
        <v>12</v>
      </c>
      <c r="I934" t="s">
        <v>6181</v>
      </c>
      <c r="J934" t="s">
        <v>7238</v>
      </c>
      <c r="K934">
        <v>440.53186767164976</v>
      </c>
      <c r="L934">
        <v>0.41818875237055858</v>
      </c>
      <c r="M934">
        <v>196.30689583328811</v>
      </c>
      <c r="N934">
        <v>215.93758541661694</v>
      </c>
    </row>
    <row r="935" spans="1:14">
      <c r="A935" t="s">
        <v>726</v>
      </c>
      <c r="B935" t="s">
        <v>6183</v>
      </c>
      <c r="C935" t="s">
        <v>6184</v>
      </c>
      <c r="D935" t="s">
        <v>11</v>
      </c>
      <c r="E935" t="s">
        <v>13</v>
      </c>
      <c r="F935" t="s">
        <v>729</v>
      </c>
      <c r="G935" t="s">
        <v>12</v>
      </c>
      <c r="I935" t="s">
        <v>6183</v>
      </c>
      <c r="J935" t="s">
        <v>7239</v>
      </c>
      <c r="K935">
        <v>21.816301566125684</v>
      </c>
      <c r="L935">
        <v>0.1608675853907767</v>
      </c>
      <c r="M935">
        <v>29.967506827457846</v>
      </c>
      <c r="N935">
        <v>32.96425751020363</v>
      </c>
    </row>
    <row r="936" spans="1:14">
      <c r="A936" t="s">
        <v>726</v>
      </c>
      <c r="B936" t="s">
        <v>6185</v>
      </c>
      <c r="C936" t="s">
        <v>6186</v>
      </c>
      <c r="D936" t="s">
        <v>11</v>
      </c>
      <c r="E936" t="s">
        <v>13</v>
      </c>
      <c r="F936" t="s">
        <v>729</v>
      </c>
      <c r="G936" t="s">
        <v>12</v>
      </c>
      <c r="I936" t="s">
        <v>6185</v>
      </c>
      <c r="J936" t="s">
        <v>7240</v>
      </c>
      <c r="K936">
        <v>65.826726456232549</v>
      </c>
      <c r="L936">
        <v>0.18683400122747559</v>
      </c>
      <c r="M936">
        <v>42.894532926648807</v>
      </c>
      <c r="N936">
        <v>47.183986219313695</v>
      </c>
    </row>
    <row r="937" spans="1:14">
      <c r="A937" t="s">
        <v>726</v>
      </c>
      <c r="B937" t="s">
        <v>6187</v>
      </c>
      <c r="C937" t="s">
        <v>6188</v>
      </c>
      <c r="D937" t="s">
        <v>11</v>
      </c>
      <c r="E937" t="s">
        <v>13</v>
      </c>
      <c r="F937" t="s">
        <v>729</v>
      </c>
      <c r="G937" t="s">
        <v>12</v>
      </c>
      <c r="I937" t="s">
        <v>6187</v>
      </c>
      <c r="J937" t="s">
        <v>7241</v>
      </c>
      <c r="K937">
        <v>13.777082811935445</v>
      </c>
      <c r="L937">
        <v>0.26851833779861489</v>
      </c>
      <c r="M937">
        <v>54.379024225015399</v>
      </c>
      <c r="N937">
        <v>59.816926647516944</v>
      </c>
    </row>
    <row r="938" spans="1:14">
      <c r="A938" t="s">
        <v>726</v>
      </c>
      <c r="B938" t="s">
        <v>6189</v>
      </c>
      <c r="C938" t="s">
        <v>6190</v>
      </c>
      <c r="D938" t="s">
        <v>11</v>
      </c>
      <c r="E938" t="s">
        <v>13</v>
      </c>
      <c r="F938" t="s">
        <v>729</v>
      </c>
      <c r="G938" t="s">
        <v>12</v>
      </c>
      <c r="I938" t="s">
        <v>6189</v>
      </c>
      <c r="J938" t="s">
        <v>7242</v>
      </c>
      <c r="K938">
        <v>40.444930613132001</v>
      </c>
      <c r="L938">
        <v>0.2694994462978012</v>
      </c>
      <c r="M938">
        <v>49.178734370576443</v>
      </c>
      <c r="N938">
        <v>54.096607807634093</v>
      </c>
    </row>
    <row r="939" spans="1:14">
      <c r="A939" t="s">
        <v>726</v>
      </c>
      <c r="B939" t="s">
        <v>6191</v>
      </c>
      <c r="C939" t="s">
        <v>6192</v>
      </c>
      <c r="D939" t="s">
        <v>11</v>
      </c>
      <c r="E939" t="s">
        <v>13</v>
      </c>
      <c r="F939" t="s">
        <v>729</v>
      </c>
      <c r="G939" t="s">
        <v>12</v>
      </c>
      <c r="I939" t="s">
        <v>6191</v>
      </c>
      <c r="J939" t="s">
        <v>7243</v>
      </c>
      <c r="K939">
        <v>40.676981632005962</v>
      </c>
      <c r="L939">
        <v>0.22284996837973789</v>
      </c>
      <c r="M939">
        <v>80.439942411916405</v>
      </c>
      <c r="N939">
        <v>88.48393665310806</v>
      </c>
    </row>
    <row r="940" spans="1:14">
      <c r="A940" t="s">
        <v>726</v>
      </c>
      <c r="B940" t="s">
        <v>6193</v>
      </c>
      <c r="C940" t="s">
        <v>6194</v>
      </c>
      <c r="D940" t="s">
        <v>11</v>
      </c>
      <c r="E940" t="s">
        <v>13</v>
      </c>
      <c r="F940" t="s">
        <v>729</v>
      </c>
      <c r="G940" t="s">
        <v>12</v>
      </c>
      <c r="I940" t="s">
        <v>6193</v>
      </c>
      <c r="J940" t="s">
        <v>7244</v>
      </c>
      <c r="K940">
        <v>62.43983678343502</v>
      </c>
      <c r="L940">
        <v>0.1978632838700802</v>
      </c>
      <c r="M940">
        <v>55.351811725565028</v>
      </c>
      <c r="N940">
        <v>60.886992898121534</v>
      </c>
    </row>
    <row r="941" spans="1:14">
      <c r="A941" t="s">
        <v>726</v>
      </c>
      <c r="B941" t="s">
        <v>6195</v>
      </c>
      <c r="C941" t="s">
        <v>6196</v>
      </c>
      <c r="D941" t="s">
        <v>11</v>
      </c>
      <c r="E941" t="s">
        <v>13</v>
      </c>
      <c r="F941" t="s">
        <v>729</v>
      </c>
      <c r="G941" t="s">
        <v>12</v>
      </c>
      <c r="I941" t="s">
        <v>6195</v>
      </c>
      <c r="J941" t="s">
        <v>7245</v>
      </c>
      <c r="K941">
        <v>59.425360117477815</v>
      </c>
      <c r="L941">
        <v>0.27697585833776961</v>
      </c>
      <c r="M941">
        <v>45.245119670777314</v>
      </c>
      <c r="N941">
        <v>49.769631637855049</v>
      </c>
    </row>
    <row r="942" spans="1:14">
      <c r="A942" t="s">
        <v>726</v>
      </c>
      <c r="B942" t="s">
        <v>6197</v>
      </c>
      <c r="C942" t="s">
        <v>6198</v>
      </c>
      <c r="D942" t="s">
        <v>11</v>
      </c>
      <c r="E942" t="s">
        <v>13</v>
      </c>
      <c r="F942" t="s">
        <v>729</v>
      </c>
      <c r="G942" t="s">
        <v>12</v>
      </c>
      <c r="I942" t="s">
        <v>6197</v>
      </c>
      <c r="J942" t="s">
        <v>7246</v>
      </c>
      <c r="K942">
        <v>22.944738569703222</v>
      </c>
      <c r="L942">
        <v>0.36817968612158442</v>
      </c>
      <c r="M942">
        <v>112.40417892813134</v>
      </c>
      <c r="N942">
        <v>123.64459682094449</v>
      </c>
    </row>
    <row r="943" spans="1:14">
      <c r="A943" t="s">
        <v>726</v>
      </c>
      <c r="B943" t="s">
        <v>6199</v>
      </c>
      <c r="C943" t="s">
        <v>6200</v>
      </c>
      <c r="D943" t="s">
        <v>11</v>
      </c>
      <c r="E943" t="s">
        <v>13</v>
      </c>
      <c r="F943" t="s">
        <v>729</v>
      </c>
      <c r="G943" t="s">
        <v>12</v>
      </c>
      <c r="I943" t="s">
        <v>6199</v>
      </c>
      <c r="J943" t="s">
        <v>7247</v>
      </c>
      <c r="K943">
        <v>90.412194990071526</v>
      </c>
      <c r="L943">
        <v>0.32015790938481231</v>
      </c>
      <c r="M943">
        <v>69.24774949402034</v>
      </c>
      <c r="N943">
        <v>76.172524443422375</v>
      </c>
    </row>
    <row r="944" spans="1:14">
      <c r="A944" t="s">
        <v>726</v>
      </c>
      <c r="B944" t="s">
        <v>6201</v>
      </c>
      <c r="C944" t="s">
        <v>6202</v>
      </c>
      <c r="D944" t="s">
        <v>11</v>
      </c>
      <c r="E944" t="s">
        <v>13</v>
      </c>
      <c r="F944" t="s">
        <v>729</v>
      </c>
      <c r="G944" t="s">
        <v>12</v>
      </c>
      <c r="I944" t="s">
        <v>6201</v>
      </c>
      <c r="J944" t="s">
        <v>7248</v>
      </c>
      <c r="K944">
        <v>117.34375654870735</v>
      </c>
      <c r="L944">
        <v>0.42274931589630438</v>
      </c>
      <c r="M944">
        <v>299.51615436904427</v>
      </c>
      <c r="N944">
        <v>329.46776980594871</v>
      </c>
    </row>
    <row r="945" spans="1:14">
      <c r="A945" t="s">
        <v>726</v>
      </c>
      <c r="B945" t="s">
        <v>6203</v>
      </c>
      <c r="C945" t="s">
        <v>6204</v>
      </c>
      <c r="D945" t="s">
        <v>11</v>
      </c>
      <c r="E945" t="s">
        <v>13</v>
      </c>
      <c r="F945" t="s">
        <v>729</v>
      </c>
      <c r="G945" t="s">
        <v>12</v>
      </c>
      <c r="I945" t="s">
        <v>6203</v>
      </c>
      <c r="J945" t="s">
        <v>7249</v>
      </c>
      <c r="K945">
        <v>45.697053265209128</v>
      </c>
      <c r="L945">
        <v>0.354893071513397</v>
      </c>
      <c r="M945">
        <v>214.07457116918573</v>
      </c>
      <c r="N945">
        <v>235.48202828610431</v>
      </c>
    </row>
    <row r="946" spans="1:14">
      <c r="A946" t="s">
        <v>726</v>
      </c>
      <c r="B946" t="s">
        <v>6205</v>
      </c>
      <c r="C946" t="s">
        <v>6206</v>
      </c>
      <c r="D946" t="s">
        <v>11</v>
      </c>
      <c r="E946" t="s">
        <v>13</v>
      </c>
      <c r="F946" t="s">
        <v>729</v>
      </c>
      <c r="G946" t="s">
        <v>12</v>
      </c>
      <c r="I946" t="s">
        <v>6205</v>
      </c>
      <c r="J946" t="s">
        <v>7250</v>
      </c>
      <c r="K946">
        <v>122.09270736819148</v>
      </c>
      <c r="L946">
        <v>0.34527602759696668</v>
      </c>
      <c r="M946">
        <v>150.18226366188739</v>
      </c>
      <c r="N946">
        <v>165.20049002807613</v>
      </c>
    </row>
    <row r="947" spans="1:14">
      <c r="A947" t="s">
        <v>726</v>
      </c>
      <c r="B947" t="s">
        <v>6207</v>
      </c>
      <c r="C947" t="s">
        <v>6208</v>
      </c>
      <c r="D947" t="s">
        <v>11</v>
      </c>
      <c r="E947" t="s">
        <v>13</v>
      </c>
      <c r="F947" t="s">
        <v>729</v>
      </c>
      <c r="G947" t="s">
        <v>12</v>
      </c>
      <c r="I947" t="s">
        <v>6207</v>
      </c>
      <c r="J947" t="s">
        <v>7251</v>
      </c>
      <c r="K947">
        <v>2.3332937378027507</v>
      </c>
      <c r="L947">
        <v>0.1196169215428582</v>
      </c>
      <c r="M947">
        <v>70.291121963904644</v>
      </c>
      <c r="N947">
        <v>77.320234160295115</v>
      </c>
    </row>
    <row r="948" spans="1:14">
      <c r="A948" t="s">
        <v>726</v>
      </c>
      <c r="B948" t="s">
        <v>6209</v>
      </c>
      <c r="C948" t="s">
        <v>6210</v>
      </c>
      <c r="D948" t="s">
        <v>11</v>
      </c>
      <c r="E948" t="s">
        <v>13</v>
      </c>
      <c r="F948" t="s">
        <v>729</v>
      </c>
      <c r="G948" t="s">
        <v>12</v>
      </c>
      <c r="I948" t="s">
        <v>6209</v>
      </c>
      <c r="J948" t="s">
        <v>7252</v>
      </c>
      <c r="K948">
        <v>5.1491306293121006</v>
      </c>
      <c r="L948">
        <v>0.1508531121051318</v>
      </c>
      <c r="M948">
        <v>95.056746570469755</v>
      </c>
      <c r="N948">
        <v>104.56242122751674</v>
      </c>
    </row>
    <row r="949" spans="1:14">
      <c r="A949" t="s">
        <v>726</v>
      </c>
      <c r="B949" t="s">
        <v>6211</v>
      </c>
      <c r="C949" t="s">
        <v>6204</v>
      </c>
      <c r="D949" t="s">
        <v>11</v>
      </c>
      <c r="E949" t="s">
        <v>13</v>
      </c>
      <c r="F949" t="s">
        <v>729</v>
      </c>
      <c r="G949" t="s">
        <v>12</v>
      </c>
      <c r="I949" t="s">
        <v>6211</v>
      </c>
      <c r="J949" t="s">
        <v>7253</v>
      </c>
      <c r="K949">
        <v>94.813129038447883</v>
      </c>
      <c r="L949">
        <v>0.34732091827189981</v>
      </c>
      <c r="M949">
        <v>126.3065453634923</v>
      </c>
      <c r="N949">
        <v>138.93719989984154</v>
      </c>
    </row>
    <row r="950" spans="1:14">
      <c r="A950" t="s">
        <v>726</v>
      </c>
      <c r="B950" t="s">
        <v>6212</v>
      </c>
      <c r="C950" t="s">
        <v>6213</v>
      </c>
      <c r="D950" t="s">
        <v>11</v>
      </c>
      <c r="E950" t="s">
        <v>13</v>
      </c>
      <c r="F950" t="s">
        <v>729</v>
      </c>
      <c r="G950" t="s">
        <v>12</v>
      </c>
      <c r="I950" t="s">
        <v>6212</v>
      </c>
      <c r="J950" t="s">
        <v>7254</v>
      </c>
      <c r="K950">
        <v>19.164014822120009</v>
      </c>
      <c r="L950">
        <v>0.3019724774738779</v>
      </c>
      <c r="M950">
        <v>70.304209855499153</v>
      </c>
      <c r="N950">
        <v>77.334630841049076</v>
      </c>
    </row>
    <row r="951" spans="1:14">
      <c r="A951" t="s">
        <v>726</v>
      </c>
      <c r="B951" t="s">
        <v>6214</v>
      </c>
      <c r="C951" t="s">
        <v>6215</v>
      </c>
      <c r="D951" t="s">
        <v>11</v>
      </c>
      <c r="E951" t="s">
        <v>13</v>
      </c>
      <c r="F951" t="s">
        <v>729</v>
      </c>
      <c r="G951" t="s">
        <v>12</v>
      </c>
      <c r="I951" t="s">
        <v>6214</v>
      </c>
      <c r="J951" t="s">
        <v>7255</v>
      </c>
      <c r="K951">
        <v>7.7610918898638896</v>
      </c>
      <c r="L951">
        <v>0.15944439496860549</v>
      </c>
      <c r="M951">
        <v>71.957649211421568</v>
      </c>
      <c r="N951">
        <v>79.153414132563725</v>
      </c>
    </row>
    <row r="952" spans="1:14">
      <c r="A952" t="s">
        <v>726</v>
      </c>
      <c r="B952" t="s">
        <v>6216</v>
      </c>
      <c r="C952" t="s">
        <v>6217</v>
      </c>
      <c r="D952" t="s">
        <v>11</v>
      </c>
      <c r="E952" t="s">
        <v>13</v>
      </c>
      <c r="F952" t="s">
        <v>729</v>
      </c>
      <c r="G952" t="s">
        <v>12</v>
      </c>
      <c r="I952" t="s">
        <v>6216</v>
      </c>
      <c r="J952" t="s">
        <v>7256</v>
      </c>
      <c r="K952">
        <v>9.059177406953852</v>
      </c>
      <c r="L952">
        <v>0.10559659178771789</v>
      </c>
      <c r="M952">
        <v>310.58703096060776</v>
      </c>
      <c r="N952">
        <v>341.64573405666857</v>
      </c>
    </row>
    <row r="953" spans="1:14">
      <c r="A953" t="s">
        <v>726</v>
      </c>
      <c r="B953" t="s">
        <v>6218</v>
      </c>
      <c r="C953" t="s">
        <v>6219</v>
      </c>
      <c r="D953" t="s">
        <v>11</v>
      </c>
      <c r="E953" t="s">
        <v>13</v>
      </c>
      <c r="F953" t="s">
        <v>729</v>
      </c>
      <c r="G953" t="s">
        <v>12</v>
      </c>
      <c r="I953" t="s">
        <v>6218</v>
      </c>
      <c r="J953" t="s">
        <v>7257</v>
      </c>
      <c r="K953">
        <v>3.2664180979747588</v>
      </c>
      <c r="L953">
        <v>0.22281223461683811</v>
      </c>
      <c r="M953">
        <v>66.249739951112275</v>
      </c>
      <c r="N953">
        <v>72.874713946223508</v>
      </c>
    </row>
    <row r="954" spans="1:14">
      <c r="A954" t="s">
        <v>726</v>
      </c>
      <c r="B954" t="s">
        <v>6220</v>
      </c>
      <c r="C954" t="s">
        <v>6221</v>
      </c>
      <c r="D954" t="s">
        <v>11</v>
      </c>
      <c r="E954" t="s">
        <v>13</v>
      </c>
      <c r="F954" t="s">
        <v>729</v>
      </c>
      <c r="G954" t="s">
        <v>12</v>
      </c>
      <c r="I954" t="s">
        <v>6220</v>
      </c>
      <c r="J954" t="s">
        <v>7258</v>
      </c>
      <c r="K954">
        <v>10.174067540474397</v>
      </c>
      <c r="L954">
        <v>0.1186369636817196</v>
      </c>
      <c r="M954">
        <v>111.55178816459772</v>
      </c>
      <c r="N954">
        <v>122.7069669810575</v>
      </c>
    </row>
    <row r="955" spans="1:14">
      <c r="A955" t="s">
        <v>726</v>
      </c>
      <c r="B955" t="s">
        <v>6222</v>
      </c>
      <c r="C955" t="s">
        <v>6223</v>
      </c>
      <c r="D955" t="s">
        <v>11</v>
      </c>
      <c r="E955" t="s">
        <v>13</v>
      </c>
      <c r="F955" t="s">
        <v>729</v>
      </c>
      <c r="G955" t="s">
        <v>12</v>
      </c>
      <c r="I955" t="s">
        <v>6222</v>
      </c>
      <c r="J955" t="s">
        <v>7259</v>
      </c>
      <c r="K955">
        <v>12.35767257052763</v>
      </c>
      <c r="L955">
        <v>0.1872700254278867</v>
      </c>
      <c r="M955">
        <v>72.849384203954671</v>
      </c>
      <c r="N955">
        <v>80.134322624350148</v>
      </c>
    </row>
    <row r="956" spans="1:14">
      <c r="A956" t="s">
        <v>726</v>
      </c>
      <c r="B956" t="s">
        <v>6224</v>
      </c>
      <c r="C956" t="s">
        <v>6225</v>
      </c>
      <c r="D956" t="s">
        <v>11</v>
      </c>
      <c r="E956" t="s">
        <v>13</v>
      </c>
      <c r="F956" t="s">
        <v>729</v>
      </c>
      <c r="G956" t="s">
        <v>12</v>
      </c>
      <c r="I956" t="s">
        <v>6224</v>
      </c>
      <c r="J956" t="s">
        <v>7260</v>
      </c>
      <c r="K956">
        <v>19.355286999351289</v>
      </c>
      <c r="L956">
        <v>0.35326465078776731</v>
      </c>
      <c r="M956">
        <v>85.235924472336393</v>
      </c>
      <c r="N956">
        <v>93.759516919570046</v>
      </c>
    </row>
    <row r="957" spans="1:14">
      <c r="A957" t="s">
        <v>726</v>
      </c>
      <c r="B957" t="s">
        <v>6226</v>
      </c>
      <c r="C957" t="s">
        <v>6221</v>
      </c>
      <c r="D957" t="s">
        <v>11</v>
      </c>
      <c r="E957" t="s">
        <v>13</v>
      </c>
      <c r="F957" t="s">
        <v>729</v>
      </c>
      <c r="G957" t="s">
        <v>12</v>
      </c>
      <c r="I957" t="s">
        <v>6226</v>
      </c>
      <c r="J957" t="s">
        <v>7261</v>
      </c>
      <c r="K957">
        <v>14.142479798978336</v>
      </c>
      <c r="L957">
        <v>0.1326772952996059</v>
      </c>
      <c r="M957">
        <v>205.31997834414256</v>
      </c>
      <c r="N957">
        <v>225.85197617855684</v>
      </c>
    </row>
    <row r="958" spans="1:14">
      <c r="A958" t="s">
        <v>726</v>
      </c>
      <c r="B958" t="s">
        <v>6227</v>
      </c>
      <c r="C958" t="s">
        <v>6228</v>
      </c>
      <c r="D958" t="s">
        <v>11</v>
      </c>
      <c r="E958" t="s">
        <v>13</v>
      </c>
      <c r="F958" t="s">
        <v>729</v>
      </c>
      <c r="G958" t="s">
        <v>12</v>
      </c>
      <c r="I958" t="s">
        <v>6227</v>
      </c>
      <c r="J958" t="s">
        <v>7262</v>
      </c>
      <c r="K958">
        <v>39.937288212776387</v>
      </c>
      <c r="L958">
        <v>0.17726663043531721</v>
      </c>
      <c r="M958">
        <v>110.53691974573836</v>
      </c>
      <c r="N958">
        <v>121.59061172031221</v>
      </c>
    </row>
    <row r="959" spans="1:14">
      <c r="A959" t="s">
        <v>726</v>
      </c>
      <c r="B959" t="s">
        <v>6229</v>
      </c>
      <c r="C959" t="s">
        <v>6230</v>
      </c>
      <c r="D959" t="s">
        <v>11</v>
      </c>
      <c r="E959" t="s">
        <v>13</v>
      </c>
      <c r="F959" t="s">
        <v>729</v>
      </c>
      <c r="G959" t="s">
        <v>12</v>
      </c>
      <c r="I959" t="s">
        <v>6229</v>
      </c>
      <c r="J959" t="s">
        <v>7263</v>
      </c>
      <c r="K959">
        <v>64.502703024798137</v>
      </c>
      <c r="L959">
        <v>0.14159871771394861</v>
      </c>
      <c r="M959">
        <v>93.046600198263761</v>
      </c>
      <c r="N959">
        <v>102.35126021809015</v>
      </c>
    </row>
    <row r="960" spans="1:14">
      <c r="A960" t="s">
        <v>726</v>
      </c>
      <c r="B960" t="s">
        <v>6231</v>
      </c>
      <c r="C960" t="s">
        <v>6232</v>
      </c>
      <c r="D960" t="s">
        <v>11</v>
      </c>
      <c r="E960" t="s">
        <v>13</v>
      </c>
      <c r="F960" t="s">
        <v>729</v>
      </c>
      <c r="G960" t="s">
        <v>12</v>
      </c>
      <c r="I960" t="s">
        <v>6231</v>
      </c>
      <c r="J960" t="s">
        <v>7264</v>
      </c>
      <c r="K960">
        <v>13.461502945942097</v>
      </c>
      <c r="L960">
        <v>0.20076120296594549</v>
      </c>
      <c r="M960">
        <v>76.324214639314036</v>
      </c>
      <c r="N960">
        <v>83.956636103245444</v>
      </c>
    </row>
    <row r="961" spans="1:14">
      <c r="A961" t="s">
        <v>726</v>
      </c>
      <c r="B961" t="s">
        <v>6233</v>
      </c>
      <c r="C961" t="s">
        <v>6234</v>
      </c>
      <c r="D961" t="s">
        <v>11</v>
      </c>
      <c r="E961" t="s">
        <v>13</v>
      </c>
      <c r="F961" t="s">
        <v>729</v>
      </c>
      <c r="G961" t="s">
        <v>12</v>
      </c>
      <c r="I961" t="s">
        <v>6233</v>
      </c>
      <c r="J961" t="s">
        <v>7265</v>
      </c>
      <c r="K961">
        <v>23.278909303747103</v>
      </c>
      <c r="L961">
        <v>0.13864529080219279</v>
      </c>
      <c r="M961">
        <v>54.246078360337272</v>
      </c>
      <c r="N961">
        <v>59.670686196371001</v>
      </c>
    </row>
    <row r="962" spans="1:14">
      <c r="A962" t="s">
        <v>726</v>
      </c>
      <c r="B962" t="s">
        <v>6235</v>
      </c>
      <c r="C962" t="s">
        <v>6236</v>
      </c>
      <c r="D962" t="s">
        <v>11</v>
      </c>
      <c r="E962" t="s">
        <v>13</v>
      </c>
      <c r="F962" t="s">
        <v>729</v>
      </c>
      <c r="G962" t="s">
        <v>12</v>
      </c>
      <c r="I962" t="s">
        <v>6235</v>
      </c>
      <c r="J962" t="s">
        <v>7266</v>
      </c>
      <c r="K962">
        <v>64.389579050888884</v>
      </c>
      <c r="L962">
        <v>0.15519868392313349</v>
      </c>
      <c r="M962">
        <v>70.931279380453461</v>
      </c>
      <c r="N962">
        <v>78.024407318498817</v>
      </c>
    </row>
    <row r="963" spans="1:14">
      <c r="A963" t="s">
        <v>726</v>
      </c>
      <c r="B963" t="s">
        <v>6237</v>
      </c>
      <c r="C963" t="s">
        <v>6238</v>
      </c>
      <c r="D963" t="s">
        <v>11</v>
      </c>
      <c r="E963" t="s">
        <v>13</v>
      </c>
      <c r="F963" t="s">
        <v>729</v>
      </c>
      <c r="G963" t="s">
        <v>12</v>
      </c>
      <c r="I963" t="s">
        <v>6237</v>
      </c>
      <c r="J963" t="s">
        <v>7267</v>
      </c>
      <c r="K963">
        <v>45.169420708826671</v>
      </c>
      <c r="L963">
        <v>0.18422084963680049</v>
      </c>
      <c r="M963">
        <v>86.816622379007114</v>
      </c>
      <c r="N963">
        <v>95.498284616907839</v>
      </c>
    </row>
    <row r="964" spans="1:14">
      <c r="A964" t="s">
        <v>726</v>
      </c>
      <c r="B964" t="s">
        <v>6239</v>
      </c>
      <c r="C964" t="s">
        <v>6240</v>
      </c>
      <c r="D964" t="s">
        <v>11</v>
      </c>
      <c r="E964" t="s">
        <v>13</v>
      </c>
      <c r="F964" t="s">
        <v>729</v>
      </c>
      <c r="G964" t="s">
        <v>12</v>
      </c>
      <c r="I964" t="s">
        <v>6239</v>
      </c>
      <c r="J964" t="s">
        <v>7268</v>
      </c>
      <c r="K964">
        <v>7.381537233222601</v>
      </c>
      <c r="L964">
        <v>0.16318099819122719</v>
      </c>
      <c r="M964">
        <v>54.719499597062757</v>
      </c>
      <c r="N964">
        <v>60.191449556769037</v>
      </c>
    </row>
    <row r="965" spans="1:14">
      <c r="A965" t="s">
        <v>726</v>
      </c>
      <c r="B965" t="s">
        <v>6241</v>
      </c>
      <c r="C965" t="s">
        <v>6242</v>
      </c>
      <c r="D965" t="s">
        <v>11</v>
      </c>
      <c r="E965" t="s">
        <v>13</v>
      </c>
      <c r="F965" t="s">
        <v>729</v>
      </c>
      <c r="G965" t="s">
        <v>12</v>
      </c>
      <c r="I965" t="s">
        <v>6241</v>
      </c>
      <c r="J965" t="s">
        <v>7269</v>
      </c>
      <c r="K965">
        <v>12.559017211821834</v>
      </c>
      <c r="L965">
        <v>0.3503127375070314</v>
      </c>
      <c r="M965">
        <v>76.039589009953502</v>
      </c>
      <c r="N965">
        <v>83.643547910948854</v>
      </c>
    </row>
    <row r="966" spans="1:14">
      <c r="A966" t="s">
        <v>726</v>
      </c>
      <c r="B966" t="s">
        <v>6243</v>
      </c>
      <c r="C966" t="s">
        <v>6244</v>
      </c>
      <c r="D966" t="s">
        <v>11</v>
      </c>
      <c r="E966" t="s">
        <v>13</v>
      </c>
      <c r="F966" t="s">
        <v>729</v>
      </c>
      <c r="G966" t="s">
        <v>12</v>
      </c>
      <c r="I966" t="s">
        <v>6243</v>
      </c>
      <c r="J966" t="s">
        <v>7270</v>
      </c>
      <c r="K966">
        <v>2.6232303820970269</v>
      </c>
      <c r="L966">
        <v>0.41388349665299518</v>
      </c>
      <c r="M966">
        <v>568.97922611553099</v>
      </c>
      <c r="N966">
        <v>625.87714872708409</v>
      </c>
    </row>
    <row r="967" spans="1:14">
      <c r="A967" t="s">
        <v>726</v>
      </c>
      <c r="B967" t="s">
        <v>6245</v>
      </c>
      <c r="C967" t="s">
        <v>6244</v>
      </c>
      <c r="D967" t="s">
        <v>11</v>
      </c>
      <c r="E967" t="s">
        <v>13</v>
      </c>
      <c r="F967" t="s">
        <v>729</v>
      </c>
      <c r="G967" t="s">
        <v>12</v>
      </c>
      <c r="I967" t="s">
        <v>6245</v>
      </c>
      <c r="J967" t="s">
        <v>7271</v>
      </c>
      <c r="K967">
        <v>8.7440075305586973</v>
      </c>
      <c r="L967">
        <v>0.13598878305022799</v>
      </c>
      <c r="M967">
        <v>184.9105004617343</v>
      </c>
      <c r="N967">
        <v>203.40155050790776</v>
      </c>
    </row>
    <row r="968" spans="1:14">
      <c r="A968" t="s">
        <v>726</v>
      </c>
      <c r="B968" t="s">
        <v>6246</v>
      </c>
      <c r="C968" t="s">
        <v>6244</v>
      </c>
      <c r="D968" t="s">
        <v>11</v>
      </c>
      <c r="E968" t="s">
        <v>13</v>
      </c>
      <c r="F968" t="s">
        <v>729</v>
      </c>
      <c r="G968" t="s">
        <v>12</v>
      </c>
      <c r="I968" t="s">
        <v>6246</v>
      </c>
      <c r="J968" t="s">
        <v>7272</v>
      </c>
      <c r="K968">
        <v>123.20298146298298</v>
      </c>
      <c r="L968">
        <v>0.28639288911668548</v>
      </c>
      <c r="M968">
        <v>406.61322611684687</v>
      </c>
      <c r="N968">
        <v>447.27454872853161</v>
      </c>
    </row>
    <row r="969" spans="1:14">
      <c r="A969" t="s">
        <v>726</v>
      </c>
      <c r="B969" t="s">
        <v>6247</v>
      </c>
      <c r="C969" t="s">
        <v>6248</v>
      </c>
      <c r="D969" t="s">
        <v>11</v>
      </c>
      <c r="E969" t="s">
        <v>13</v>
      </c>
      <c r="F969" t="s">
        <v>729</v>
      </c>
      <c r="G969" t="s">
        <v>12</v>
      </c>
      <c r="I969" t="s">
        <v>6247</v>
      </c>
      <c r="J969" t="s">
        <v>7273</v>
      </c>
      <c r="K969">
        <v>34.264746431810444</v>
      </c>
      <c r="L969">
        <v>0.1942332361468502</v>
      </c>
      <c r="M969">
        <v>348.54944061003795</v>
      </c>
      <c r="N969">
        <v>383.40438467104178</v>
      </c>
    </row>
    <row r="970" spans="1:14">
      <c r="A970" t="s">
        <v>726</v>
      </c>
      <c r="B970" t="s">
        <v>6249</v>
      </c>
      <c r="C970" t="s">
        <v>6250</v>
      </c>
      <c r="D970" t="s">
        <v>11</v>
      </c>
      <c r="E970" t="s">
        <v>13</v>
      </c>
      <c r="F970" t="s">
        <v>729</v>
      </c>
      <c r="G970" t="s">
        <v>12</v>
      </c>
      <c r="I970" t="s">
        <v>6249</v>
      </c>
      <c r="J970" t="s">
        <v>7274</v>
      </c>
      <c r="K970">
        <v>33.060942721365507</v>
      </c>
      <c r="L970">
        <v>0.15472728584302131</v>
      </c>
      <c r="M970">
        <v>192.27779365015519</v>
      </c>
      <c r="N970">
        <v>211.50557301517074</v>
      </c>
    </row>
    <row r="971" spans="1:14">
      <c r="A971" t="s">
        <v>726</v>
      </c>
      <c r="B971" t="s">
        <v>6251</v>
      </c>
      <c r="C971" t="s">
        <v>6252</v>
      </c>
      <c r="D971" t="s">
        <v>11</v>
      </c>
      <c r="E971" t="s">
        <v>13</v>
      </c>
      <c r="F971" t="s">
        <v>729</v>
      </c>
      <c r="G971" t="s">
        <v>12</v>
      </c>
      <c r="I971" t="s">
        <v>6251</v>
      </c>
      <c r="J971" t="s">
        <v>7275</v>
      </c>
      <c r="K971">
        <v>27.07021025581243</v>
      </c>
      <c r="L971">
        <v>0.1133534793039383</v>
      </c>
      <c r="M971">
        <v>179.07773746690745</v>
      </c>
      <c r="N971">
        <v>196.98551121359822</v>
      </c>
    </row>
    <row r="972" spans="1:14">
      <c r="A972" t="s">
        <v>726</v>
      </c>
      <c r="B972" t="s">
        <v>6253</v>
      </c>
      <c r="C972" t="s">
        <v>6252</v>
      </c>
      <c r="D972" t="s">
        <v>11</v>
      </c>
      <c r="E972" t="s">
        <v>13</v>
      </c>
      <c r="F972" t="s">
        <v>729</v>
      </c>
      <c r="G972" t="s">
        <v>12</v>
      </c>
      <c r="I972" t="s">
        <v>6253</v>
      </c>
      <c r="J972" t="s">
        <v>7276</v>
      </c>
      <c r="K972">
        <v>62.016991079396959</v>
      </c>
      <c r="L972">
        <v>0.21379867090476329</v>
      </c>
      <c r="M972">
        <v>244.83396316635489</v>
      </c>
      <c r="N972">
        <v>269.31735948299041</v>
      </c>
    </row>
    <row r="973" spans="1:14">
      <c r="A973" t="s">
        <v>726</v>
      </c>
      <c r="B973" t="s">
        <v>6254</v>
      </c>
      <c r="C973" t="s">
        <v>6255</v>
      </c>
      <c r="D973" t="s">
        <v>11</v>
      </c>
      <c r="E973" t="s">
        <v>13</v>
      </c>
      <c r="F973" t="s">
        <v>729</v>
      </c>
      <c r="G973" t="s">
        <v>12</v>
      </c>
      <c r="I973" t="s">
        <v>6254</v>
      </c>
      <c r="J973" t="s">
        <v>7277</v>
      </c>
      <c r="K973">
        <v>161.65400185325686</v>
      </c>
      <c r="L973">
        <v>0.24241844479062619</v>
      </c>
      <c r="M973">
        <v>219.82664435915868</v>
      </c>
      <c r="N973">
        <v>241.80930879507457</v>
      </c>
    </row>
    <row r="974" spans="1:14">
      <c r="A974" t="s">
        <v>726</v>
      </c>
      <c r="B974" t="s">
        <v>6256</v>
      </c>
      <c r="C974" t="s">
        <v>6257</v>
      </c>
      <c r="D974" t="s">
        <v>11</v>
      </c>
      <c r="E974" t="s">
        <v>13</v>
      </c>
      <c r="F974" t="s">
        <v>729</v>
      </c>
      <c r="G974" t="s">
        <v>12</v>
      </c>
      <c r="I974" t="s">
        <v>6256</v>
      </c>
      <c r="J974" t="s">
        <v>7278</v>
      </c>
      <c r="K974">
        <v>7.6187600542008829</v>
      </c>
      <c r="L974">
        <v>0.10160941375580169</v>
      </c>
      <c r="M974">
        <v>203.78095269266717</v>
      </c>
      <c r="N974">
        <v>224.15904796193391</v>
      </c>
    </row>
    <row r="975" spans="1:14">
      <c r="A975" t="s">
        <v>726</v>
      </c>
      <c r="B975" t="s">
        <v>6258</v>
      </c>
      <c r="C975" t="s">
        <v>6259</v>
      </c>
      <c r="D975" t="s">
        <v>11</v>
      </c>
      <c r="E975" t="s">
        <v>13</v>
      </c>
      <c r="F975" t="s">
        <v>729</v>
      </c>
      <c r="G975" t="s">
        <v>12</v>
      </c>
      <c r="I975" t="s">
        <v>6258</v>
      </c>
      <c r="J975" t="s">
        <v>7279</v>
      </c>
      <c r="K975">
        <v>41.638621488424498</v>
      </c>
      <c r="L975">
        <v>0.18608355085333689</v>
      </c>
      <c r="M975">
        <v>97.336985417945641</v>
      </c>
      <c r="N975">
        <v>107.07068395974021</v>
      </c>
    </row>
    <row r="976" spans="1:14">
      <c r="A976" t="s">
        <v>726</v>
      </c>
      <c r="B976" t="s">
        <v>6260</v>
      </c>
      <c r="C976" t="s">
        <v>6261</v>
      </c>
      <c r="D976" t="s">
        <v>11</v>
      </c>
      <c r="E976" t="s">
        <v>13</v>
      </c>
      <c r="F976" t="s">
        <v>729</v>
      </c>
      <c r="G976" t="s">
        <v>12</v>
      </c>
      <c r="I976" t="s">
        <v>6260</v>
      </c>
      <c r="J976" t="s">
        <v>7280</v>
      </c>
      <c r="K976">
        <v>24.834574810117999</v>
      </c>
      <c r="L976">
        <v>0.2369798369845427</v>
      </c>
      <c r="M976">
        <v>163.22900327137626</v>
      </c>
      <c r="N976">
        <v>179.55190359851389</v>
      </c>
    </row>
    <row r="977" spans="1:14">
      <c r="A977" t="s">
        <v>726</v>
      </c>
      <c r="B977" t="s">
        <v>6262</v>
      </c>
      <c r="C977" t="s">
        <v>6263</v>
      </c>
      <c r="D977" t="s">
        <v>11</v>
      </c>
      <c r="E977" t="s">
        <v>13</v>
      </c>
      <c r="F977" t="s">
        <v>729</v>
      </c>
      <c r="G977" t="s">
        <v>12</v>
      </c>
      <c r="I977" t="s">
        <v>6262</v>
      </c>
      <c r="J977" t="s">
        <v>7281</v>
      </c>
      <c r="K977">
        <v>20.204273499388144</v>
      </c>
      <c r="L977">
        <v>0.2210399395736731</v>
      </c>
      <c r="M977">
        <v>152.84219943498388</v>
      </c>
      <c r="N977">
        <v>168.1264193784823</v>
      </c>
    </row>
    <row r="978" spans="1:14">
      <c r="A978" t="s">
        <v>726</v>
      </c>
      <c r="B978" t="s">
        <v>6264</v>
      </c>
      <c r="C978" t="s">
        <v>6265</v>
      </c>
      <c r="D978" t="s">
        <v>11</v>
      </c>
      <c r="E978" t="s">
        <v>13</v>
      </c>
      <c r="F978" t="s">
        <v>729</v>
      </c>
      <c r="G978" t="s">
        <v>12</v>
      </c>
      <c r="I978" t="s">
        <v>6264</v>
      </c>
      <c r="J978" t="s">
        <v>7282</v>
      </c>
      <c r="K978">
        <v>22.393522448154087</v>
      </c>
      <c r="L978">
        <v>0.20437738320568219</v>
      </c>
      <c r="M978">
        <v>248.82800926539463</v>
      </c>
      <c r="N978">
        <v>273.71081019193412</v>
      </c>
    </row>
    <row r="979" spans="1:14">
      <c r="A979" t="s">
        <v>726</v>
      </c>
      <c r="B979" t="s">
        <v>6266</v>
      </c>
      <c r="C979" t="s">
        <v>6267</v>
      </c>
      <c r="D979" t="s">
        <v>11</v>
      </c>
      <c r="E979" t="s">
        <v>13</v>
      </c>
      <c r="F979" t="s">
        <v>729</v>
      </c>
      <c r="G979" t="s">
        <v>12</v>
      </c>
      <c r="I979" t="s">
        <v>6266</v>
      </c>
      <c r="J979" t="s">
        <v>7283</v>
      </c>
      <c r="K979">
        <v>23.912275399682432</v>
      </c>
      <c r="L979">
        <v>0.19121215481430259</v>
      </c>
      <c r="M979">
        <v>152.27687318525821</v>
      </c>
      <c r="N979">
        <v>167.50456050378403</v>
      </c>
    </row>
    <row r="980" spans="1:14">
      <c r="A980" t="s">
        <v>726</v>
      </c>
      <c r="B980" t="s">
        <v>6268</v>
      </c>
      <c r="C980" t="s">
        <v>6269</v>
      </c>
      <c r="D980" t="s">
        <v>11</v>
      </c>
      <c r="E980" t="s">
        <v>13</v>
      </c>
      <c r="F980" t="s">
        <v>729</v>
      </c>
      <c r="G980" t="s">
        <v>12</v>
      </c>
      <c r="I980" t="s">
        <v>6268</v>
      </c>
      <c r="J980" t="s">
        <v>7284</v>
      </c>
      <c r="K980">
        <v>20.786973811835324</v>
      </c>
      <c r="L980">
        <v>0.2303134401032485</v>
      </c>
      <c r="M980">
        <v>89.645673774282699</v>
      </c>
      <c r="N980">
        <v>98.61024115171098</v>
      </c>
    </row>
    <row r="981" spans="1:14">
      <c r="A981" t="s">
        <v>726</v>
      </c>
      <c r="B981" t="s">
        <v>6270</v>
      </c>
      <c r="C981" t="s">
        <v>6271</v>
      </c>
      <c r="D981" t="s">
        <v>11</v>
      </c>
      <c r="E981" t="s">
        <v>13</v>
      </c>
      <c r="F981" t="s">
        <v>729</v>
      </c>
      <c r="G981" t="s">
        <v>12</v>
      </c>
      <c r="I981" t="s">
        <v>6270</v>
      </c>
      <c r="J981" t="s">
        <v>7285</v>
      </c>
      <c r="K981">
        <v>133.29502610858663</v>
      </c>
      <c r="L981">
        <v>0.29407570976244352</v>
      </c>
      <c r="M981">
        <v>241.5975941190456</v>
      </c>
      <c r="N981">
        <v>265.75735353095018</v>
      </c>
    </row>
    <row r="982" spans="1:14">
      <c r="A982" t="s">
        <v>726</v>
      </c>
      <c r="B982" t="s">
        <v>6272</v>
      </c>
      <c r="C982" t="s">
        <v>6273</v>
      </c>
      <c r="D982" t="s">
        <v>11</v>
      </c>
      <c r="E982" t="s">
        <v>13</v>
      </c>
      <c r="F982" t="s">
        <v>729</v>
      </c>
      <c r="G982" t="s">
        <v>12</v>
      </c>
      <c r="I982" t="s">
        <v>6272</v>
      </c>
      <c r="J982" t="s">
        <v>7286</v>
      </c>
      <c r="K982">
        <v>88.706207354858208</v>
      </c>
      <c r="L982">
        <v>0.2740165859310405</v>
      </c>
      <c r="M982">
        <v>414.49541848067145</v>
      </c>
      <c r="N982">
        <v>455.9449603287386</v>
      </c>
    </row>
    <row r="983" spans="1:14">
      <c r="A983" t="s">
        <v>726</v>
      </c>
      <c r="B983" t="s">
        <v>6274</v>
      </c>
      <c r="C983" t="s">
        <v>6275</v>
      </c>
      <c r="D983" t="s">
        <v>11</v>
      </c>
      <c r="E983" t="s">
        <v>13</v>
      </c>
      <c r="F983" t="s">
        <v>729</v>
      </c>
      <c r="G983" t="s">
        <v>12</v>
      </c>
      <c r="I983" t="s">
        <v>6274</v>
      </c>
      <c r="J983" t="s">
        <v>7287</v>
      </c>
      <c r="K983">
        <v>101.33517805811491</v>
      </c>
      <c r="L983">
        <v>0.38348393750888388</v>
      </c>
      <c r="M983">
        <v>347.53320355330425</v>
      </c>
      <c r="N983">
        <v>382.28652390863471</v>
      </c>
    </row>
    <row r="984" spans="1:14">
      <c r="A984" t="s">
        <v>726</v>
      </c>
      <c r="B984" t="s">
        <v>6276</v>
      </c>
      <c r="C984" t="s">
        <v>6271</v>
      </c>
      <c r="D984" t="s">
        <v>11</v>
      </c>
      <c r="E984" t="s">
        <v>13</v>
      </c>
      <c r="F984" t="s">
        <v>729</v>
      </c>
      <c r="G984" t="s">
        <v>12</v>
      </c>
      <c r="I984" t="s">
        <v>6276</v>
      </c>
      <c r="J984" t="s">
        <v>7288</v>
      </c>
      <c r="K984">
        <v>89.208007761860316</v>
      </c>
      <c r="L984">
        <v>0.32742655245914581</v>
      </c>
      <c r="M984">
        <v>567.47642850329862</v>
      </c>
      <c r="N984">
        <v>624.22407135362857</v>
      </c>
    </row>
    <row r="985" spans="1:14">
      <c r="A985" t="s">
        <v>726</v>
      </c>
      <c r="B985" t="s">
        <v>6277</v>
      </c>
      <c r="C985" t="s">
        <v>6278</v>
      </c>
      <c r="D985" t="s">
        <v>11</v>
      </c>
      <c r="E985" t="s">
        <v>13</v>
      </c>
      <c r="F985" t="s">
        <v>729</v>
      </c>
      <c r="G985" t="s">
        <v>12</v>
      </c>
      <c r="I985" t="s">
        <v>6277</v>
      </c>
      <c r="J985" t="s">
        <v>7289</v>
      </c>
      <c r="K985">
        <v>9.221202920067169</v>
      </c>
      <c r="L985">
        <v>0.15394567970285139</v>
      </c>
      <c r="M985">
        <v>150.53540228507481</v>
      </c>
      <c r="N985">
        <v>165.58894251358231</v>
      </c>
    </row>
    <row r="986" spans="1:14">
      <c r="A986" t="s">
        <v>726</v>
      </c>
      <c r="B986" t="s">
        <v>6279</v>
      </c>
      <c r="C986" t="s">
        <v>6280</v>
      </c>
      <c r="D986" t="s">
        <v>11</v>
      </c>
      <c r="E986" t="s">
        <v>13</v>
      </c>
      <c r="F986" t="s">
        <v>729</v>
      </c>
      <c r="G986" t="s">
        <v>12</v>
      </c>
      <c r="I986" t="s">
        <v>6279</v>
      </c>
      <c r="J986" t="s">
        <v>7290</v>
      </c>
      <c r="K986">
        <v>3.0906554879634229</v>
      </c>
      <c r="L986">
        <v>0.14974351548856829</v>
      </c>
      <c r="M986">
        <v>298.35727674060263</v>
      </c>
      <c r="N986">
        <v>328.19300441466294</v>
      </c>
    </row>
    <row r="987" spans="1:14">
      <c r="A987" t="s">
        <v>726</v>
      </c>
      <c r="B987" t="s">
        <v>6281</v>
      </c>
      <c r="C987" t="s">
        <v>6282</v>
      </c>
      <c r="D987" t="s">
        <v>11</v>
      </c>
      <c r="E987" t="s">
        <v>13</v>
      </c>
      <c r="F987" t="s">
        <v>729</v>
      </c>
      <c r="G987" t="s">
        <v>12</v>
      </c>
      <c r="I987" t="s">
        <v>6281</v>
      </c>
      <c r="J987" t="s">
        <v>7291</v>
      </c>
      <c r="K987">
        <v>10.806177082777863</v>
      </c>
      <c r="L987">
        <v>0.1811490798684075</v>
      </c>
      <c r="M987">
        <v>171.61364982642075</v>
      </c>
      <c r="N987">
        <v>188.77501480906284</v>
      </c>
    </row>
    <row r="988" spans="1:14">
      <c r="A988" t="s">
        <v>726</v>
      </c>
      <c r="B988" t="s">
        <v>6283</v>
      </c>
      <c r="C988" t="s">
        <v>6284</v>
      </c>
      <c r="D988" t="s">
        <v>11</v>
      </c>
      <c r="E988" t="s">
        <v>13</v>
      </c>
      <c r="F988" t="s">
        <v>729</v>
      </c>
      <c r="G988" t="s">
        <v>12</v>
      </c>
      <c r="I988" t="s">
        <v>6283</v>
      </c>
      <c r="J988" t="s">
        <v>7292</v>
      </c>
      <c r="K988">
        <v>2.0027300070168921</v>
      </c>
      <c r="L988">
        <v>0.14737748789779789</v>
      </c>
      <c r="M988">
        <v>172.07521760148569</v>
      </c>
      <c r="N988">
        <v>189.28273936163427</v>
      </c>
    </row>
    <row r="989" spans="1:14">
      <c r="A989" t="s">
        <v>726</v>
      </c>
      <c r="B989" t="s">
        <v>6285</v>
      </c>
      <c r="C989" t="s">
        <v>6286</v>
      </c>
      <c r="D989" t="s">
        <v>11</v>
      </c>
      <c r="E989" t="s">
        <v>13</v>
      </c>
      <c r="F989" t="s">
        <v>729</v>
      </c>
      <c r="G989" t="s">
        <v>12</v>
      </c>
      <c r="I989" t="s">
        <v>6285</v>
      </c>
      <c r="J989" t="s">
        <v>7293</v>
      </c>
      <c r="K989">
        <v>5.2033844294856024</v>
      </c>
      <c r="L989">
        <v>0.2435464059259346</v>
      </c>
      <c r="M989">
        <v>114.8229162394112</v>
      </c>
      <c r="N989">
        <v>126.30520786335234</v>
      </c>
    </row>
    <row r="990" spans="1:14">
      <c r="A990" t="s">
        <v>726</v>
      </c>
      <c r="B990" t="s">
        <v>6287</v>
      </c>
      <c r="C990" t="s">
        <v>6288</v>
      </c>
      <c r="D990" t="s">
        <v>11</v>
      </c>
      <c r="E990" t="s">
        <v>13</v>
      </c>
      <c r="F990" t="s">
        <v>729</v>
      </c>
      <c r="G990" t="s">
        <v>12</v>
      </c>
      <c r="I990" t="s">
        <v>6287</v>
      </c>
      <c r="J990" t="s">
        <v>7294</v>
      </c>
      <c r="K990">
        <v>2.0464883963164602</v>
      </c>
      <c r="L990">
        <v>0.2044506952565136</v>
      </c>
      <c r="M990">
        <v>272.35556327480862</v>
      </c>
      <c r="N990">
        <v>299.5911196022895</v>
      </c>
    </row>
    <row r="991" spans="1:14">
      <c r="A991" t="s">
        <v>726</v>
      </c>
      <c r="B991" t="s">
        <v>6289</v>
      </c>
      <c r="C991" t="s">
        <v>6290</v>
      </c>
      <c r="D991" t="s">
        <v>11</v>
      </c>
      <c r="E991" t="s">
        <v>13</v>
      </c>
      <c r="F991" t="s">
        <v>729</v>
      </c>
      <c r="G991" t="s">
        <v>12</v>
      </c>
      <c r="I991" t="s">
        <v>6289</v>
      </c>
      <c r="J991" t="s">
        <v>7295</v>
      </c>
      <c r="K991">
        <v>6.0156121151556903</v>
      </c>
      <c r="L991">
        <v>0.16859705345423881</v>
      </c>
      <c r="M991">
        <v>247.84865620973488</v>
      </c>
      <c r="N991">
        <v>272.63352183070839</v>
      </c>
    </row>
    <row r="992" spans="1:14">
      <c r="A992" t="s">
        <v>726</v>
      </c>
      <c r="B992" t="s">
        <v>6291</v>
      </c>
      <c r="C992" t="s">
        <v>6278</v>
      </c>
      <c r="D992" t="s">
        <v>11</v>
      </c>
      <c r="E992" t="s">
        <v>13</v>
      </c>
      <c r="F992" t="s">
        <v>729</v>
      </c>
      <c r="G992" t="s">
        <v>12</v>
      </c>
      <c r="I992" t="s">
        <v>6291</v>
      </c>
      <c r="J992" t="s">
        <v>7296</v>
      </c>
      <c r="K992">
        <v>2.9898885241348143</v>
      </c>
      <c r="L992">
        <v>0.15430386295278639</v>
      </c>
      <c r="M992">
        <v>132.04841417610024</v>
      </c>
      <c r="N992">
        <v>145.25325559371026</v>
      </c>
    </row>
    <row r="993" spans="1:14">
      <c r="A993" t="s">
        <v>726</v>
      </c>
      <c r="B993" t="s">
        <v>6292</v>
      </c>
      <c r="C993" t="s">
        <v>6293</v>
      </c>
      <c r="D993" t="s">
        <v>11</v>
      </c>
      <c r="E993" t="s">
        <v>13</v>
      </c>
      <c r="F993" t="s">
        <v>729</v>
      </c>
      <c r="G993" t="s">
        <v>12</v>
      </c>
      <c r="I993" t="s">
        <v>6292</v>
      </c>
      <c r="J993" t="s">
        <v>7297</v>
      </c>
      <c r="K993">
        <v>9.7261963742876727</v>
      </c>
      <c r="L993">
        <v>0.17922602977895499</v>
      </c>
      <c r="M993">
        <v>150.85890887151425</v>
      </c>
      <c r="N993">
        <v>165.94479975866568</v>
      </c>
    </row>
    <row r="994" spans="1:14">
      <c r="A994" t="s">
        <v>726</v>
      </c>
      <c r="B994" t="s">
        <v>6294</v>
      </c>
      <c r="C994" t="s">
        <v>6295</v>
      </c>
      <c r="D994" t="s">
        <v>11</v>
      </c>
      <c r="E994" t="s">
        <v>13</v>
      </c>
      <c r="F994" t="s">
        <v>729</v>
      </c>
      <c r="G994" t="s">
        <v>12</v>
      </c>
      <c r="I994" t="s">
        <v>6294</v>
      </c>
      <c r="J994" t="s">
        <v>7298</v>
      </c>
      <c r="K994">
        <v>11.778700413338507</v>
      </c>
      <c r="L994">
        <v>0.24237007288292489</v>
      </c>
      <c r="M994">
        <v>228.97588645952527</v>
      </c>
      <c r="N994">
        <v>251.87347510547781</v>
      </c>
    </row>
    <row r="995" spans="1:14">
      <c r="A995" t="s">
        <v>726</v>
      </c>
      <c r="B995" t="s">
        <v>6296</v>
      </c>
      <c r="C995" t="s">
        <v>6297</v>
      </c>
      <c r="D995" t="s">
        <v>11</v>
      </c>
      <c r="E995" t="s">
        <v>13</v>
      </c>
      <c r="F995" t="s">
        <v>729</v>
      </c>
      <c r="G995" t="s">
        <v>12</v>
      </c>
      <c r="I995" t="s">
        <v>6296</v>
      </c>
      <c r="J995" t="s">
        <v>7299</v>
      </c>
      <c r="K995">
        <v>4.0546767337060468</v>
      </c>
      <c r="L995">
        <v>0.1943874933425398</v>
      </c>
      <c r="M995">
        <v>99.880329924315362</v>
      </c>
      <c r="N995">
        <v>109.8683629167469</v>
      </c>
    </row>
    <row r="996" spans="1:14">
      <c r="A996" t="s">
        <v>726</v>
      </c>
      <c r="B996" t="s">
        <v>6298</v>
      </c>
      <c r="C996" t="s">
        <v>6295</v>
      </c>
      <c r="D996" t="s">
        <v>11</v>
      </c>
      <c r="E996" t="s">
        <v>13</v>
      </c>
      <c r="F996" t="s">
        <v>729</v>
      </c>
      <c r="G996" t="s">
        <v>12</v>
      </c>
      <c r="I996" t="s">
        <v>6298</v>
      </c>
      <c r="J996" t="s">
        <v>7300</v>
      </c>
      <c r="K996">
        <v>21.063548677219163</v>
      </c>
      <c r="L996">
        <v>0.27246855446558849</v>
      </c>
      <c r="M996">
        <v>89.638684674079798</v>
      </c>
      <c r="N996">
        <v>98.602553141487789</v>
      </c>
    </row>
    <row r="997" spans="1:14">
      <c r="A997" t="s">
        <v>726</v>
      </c>
      <c r="B997" t="s">
        <v>6299</v>
      </c>
      <c r="C997" t="s">
        <v>6300</v>
      </c>
      <c r="D997" t="s">
        <v>11</v>
      </c>
      <c r="E997" t="s">
        <v>13</v>
      </c>
      <c r="F997" t="s">
        <v>729</v>
      </c>
      <c r="G997" t="s">
        <v>12</v>
      </c>
      <c r="I997" t="s">
        <v>6299</v>
      </c>
      <c r="J997" t="s">
        <v>7301</v>
      </c>
      <c r="K997">
        <v>6.1671091279824797</v>
      </c>
      <c r="L997">
        <v>0.17971725228024449</v>
      </c>
      <c r="M997">
        <v>192.57026120772983</v>
      </c>
      <c r="N997">
        <v>211.82728732850282</v>
      </c>
    </row>
    <row r="998" spans="1:14">
      <c r="A998" t="s">
        <v>726</v>
      </c>
      <c r="B998" t="s">
        <v>6301</v>
      </c>
      <c r="C998" t="s">
        <v>6302</v>
      </c>
      <c r="D998" t="s">
        <v>11</v>
      </c>
      <c r="E998" t="s">
        <v>13</v>
      </c>
      <c r="F998" t="s">
        <v>729</v>
      </c>
      <c r="G998" t="s">
        <v>12</v>
      </c>
      <c r="I998" t="s">
        <v>6301</v>
      </c>
      <c r="J998" t="s">
        <v>7302</v>
      </c>
      <c r="K998">
        <v>6.0185723807091538</v>
      </c>
      <c r="L998">
        <v>0.21353235180165131</v>
      </c>
      <c r="M998">
        <v>193.71568940364759</v>
      </c>
      <c r="N998">
        <v>213.08725834401235</v>
      </c>
    </row>
    <row r="999" spans="1:14">
      <c r="A999" t="s">
        <v>726</v>
      </c>
      <c r="B999" t="s">
        <v>6303</v>
      </c>
      <c r="C999" t="s">
        <v>6304</v>
      </c>
      <c r="D999" t="s">
        <v>11</v>
      </c>
      <c r="E999" t="s">
        <v>13</v>
      </c>
      <c r="F999" t="s">
        <v>729</v>
      </c>
      <c r="G999" t="s">
        <v>12</v>
      </c>
      <c r="I999" t="s">
        <v>6303</v>
      </c>
      <c r="J999" t="s">
        <v>7303</v>
      </c>
      <c r="K999">
        <v>3.9245436491108774</v>
      </c>
      <c r="L999">
        <v>0.20384276246619279</v>
      </c>
      <c r="M999">
        <v>115.22493491412035</v>
      </c>
      <c r="N999">
        <v>126.7474284055324</v>
      </c>
    </row>
    <row r="1000" spans="1:14">
      <c r="A1000" t="s">
        <v>726</v>
      </c>
      <c r="B1000" t="s">
        <v>6305</v>
      </c>
      <c r="C1000" t="s">
        <v>6306</v>
      </c>
      <c r="D1000" t="s">
        <v>11</v>
      </c>
      <c r="E1000" t="s">
        <v>13</v>
      </c>
      <c r="F1000" t="s">
        <v>729</v>
      </c>
      <c r="G1000" t="s">
        <v>12</v>
      </c>
      <c r="I1000" t="s">
        <v>6305</v>
      </c>
      <c r="J1000" t="s">
        <v>7304</v>
      </c>
      <c r="K1000">
        <v>4.3432730949451708</v>
      </c>
      <c r="L1000">
        <v>0.15598014332201179</v>
      </c>
      <c r="M1000">
        <v>326.78321027285915</v>
      </c>
      <c r="N1000">
        <v>359.46153130014511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0ED1-6FB2-490C-A8FD-44238422B107}">
  <dimension ref="A1:Z553"/>
  <sheetViews>
    <sheetView workbookViewId="0"/>
  </sheetViews>
  <sheetFormatPr defaultRowHeight="14.25"/>
  <sheetData>
    <row r="1" spans="1:26">
      <c r="A1" t="s">
        <v>0</v>
      </c>
      <c r="I1" t="s">
        <v>1</v>
      </c>
      <c r="P1" t="s">
        <v>0</v>
      </c>
      <c r="X1" t="s">
        <v>1</v>
      </c>
    </row>
    <row r="2" spans="1:2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3</v>
      </c>
      <c r="J2" t="s">
        <v>9</v>
      </c>
      <c r="K2" t="s">
        <v>10</v>
      </c>
      <c r="L2" t="s">
        <v>2949</v>
      </c>
      <c r="M2" t="s">
        <v>2950</v>
      </c>
      <c r="N2" t="s">
        <v>14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X2" t="s">
        <v>3</v>
      </c>
      <c r="Y2" t="s">
        <v>9</v>
      </c>
      <c r="Z2" t="s">
        <v>4426</v>
      </c>
    </row>
    <row r="3" spans="1:26">
      <c r="A3" t="s">
        <v>726</v>
      </c>
      <c r="B3" t="s">
        <v>7621</v>
      </c>
      <c r="C3" t="s">
        <v>7622</v>
      </c>
      <c r="D3" t="s">
        <v>11</v>
      </c>
      <c r="E3" t="s">
        <v>13</v>
      </c>
      <c r="F3" t="s">
        <v>729</v>
      </c>
      <c r="G3" t="s">
        <v>12</v>
      </c>
      <c r="I3" t="s">
        <v>7621</v>
      </c>
      <c r="J3" t="s">
        <v>8593</v>
      </c>
      <c r="K3">
        <v>1.089</v>
      </c>
      <c r="L3">
        <v>0.2863405124168758</v>
      </c>
      <c r="M3">
        <v>114.61114800151992</v>
      </c>
      <c r="N3">
        <v>126.07226280167193</v>
      </c>
      <c r="P3" t="s">
        <v>726</v>
      </c>
      <c r="Q3" t="s">
        <v>9144</v>
      </c>
      <c r="R3" t="s">
        <v>9145</v>
      </c>
      <c r="S3" t="s">
        <v>11</v>
      </c>
      <c r="T3" t="s">
        <v>13</v>
      </c>
      <c r="U3" t="s">
        <v>75</v>
      </c>
      <c r="V3" t="s">
        <v>12</v>
      </c>
      <c r="X3" t="s">
        <v>9144</v>
      </c>
      <c r="Y3" t="s">
        <v>76</v>
      </c>
      <c r="Z3">
        <v>1</v>
      </c>
    </row>
    <row r="4" spans="1:26">
      <c r="A4" t="s">
        <v>726</v>
      </c>
      <c r="B4" t="s">
        <v>7623</v>
      </c>
      <c r="C4" t="s">
        <v>7622</v>
      </c>
      <c r="D4" t="s">
        <v>11</v>
      </c>
      <c r="E4" t="s">
        <v>13</v>
      </c>
      <c r="F4" t="s">
        <v>729</v>
      </c>
      <c r="G4" t="s">
        <v>12</v>
      </c>
      <c r="I4" t="s">
        <v>7623</v>
      </c>
      <c r="J4" t="s">
        <v>8594</v>
      </c>
      <c r="K4">
        <v>12.99075</v>
      </c>
      <c r="L4">
        <v>0.482620507348614</v>
      </c>
      <c r="M4">
        <v>206.47460033829083</v>
      </c>
      <c r="N4">
        <v>227.12206037211993</v>
      </c>
      <c r="P4" t="s">
        <v>726</v>
      </c>
      <c r="Q4" t="s">
        <v>9146</v>
      </c>
      <c r="R4" t="s">
        <v>9147</v>
      </c>
      <c r="S4" t="s">
        <v>11</v>
      </c>
      <c r="T4" t="s">
        <v>13</v>
      </c>
      <c r="U4" t="s">
        <v>75</v>
      </c>
      <c r="V4" t="s">
        <v>12</v>
      </c>
      <c r="X4" t="s">
        <v>9146</v>
      </c>
      <c r="Y4" t="s">
        <v>76</v>
      </c>
      <c r="Z4">
        <v>1</v>
      </c>
    </row>
    <row r="5" spans="1:26">
      <c r="A5" t="s">
        <v>726</v>
      </c>
      <c r="B5" t="s">
        <v>7624</v>
      </c>
      <c r="C5" t="s">
        <v>7625</v>
      </c>
      <c r="D5" t="s">
        <v>11</v>
      </c>
      <c r="E5" t="s">
        <v>13</v>
      </c>
      <c r="F5" t="s">
        <v>729</v>
      </c>
      <c r="G5" t="s">
        <v>12</v>
      </c>
      <c r="I5" t="s">
        <v>7624</v>
      </c>
      <c r="J5" t="s">
        <v>8595</v>
      </c>
      <c r="K5">
        <v>9.15</v>
      </c>
      <c r="L5">
        <v>0.311215241294516</v>
      </c>
      <c r="M5">
        <v>55.018787026403352</v>
      </c>
      <c r="N5">
        <v>60.520665729043692</v>
      </c>
      <c r="P5" t="s">
        <v>726</v>
      </c>
      <c r="Q5" t="s">
        <v>9148</v>
      </c>
      <c r="R5" t="s">
        <v>9149</v>
      </c>
      <c r="S5" t="s">
        <v>11</v>
      </c>
      <c r="T5" t="s">
        <v>13</v>
      </c>
      <c r="U5" t="s">
        <v>75</v>
      </c>
      <c r="V5" t="s">
        <v>12</v>
      </c>
      <c r="X5" t="s">
        <v>9148</v>
      </c>
      <c r="Y5" t="s">
        <v>76</v>
      </c>
      <c r="Z5">
        <v>1</v>
      </c>
    </row>
    <row r="6" spans="1:26">
      <c r="A6" t="s">
        <v>726</v>
      </c>
      <c r="B6" t="s">
        <v>7626</v>
      </c>
      <c r="C6" t="s">
        <v>7627</v>
      </c>
      <c r="D6" t="s">
        <v>11</v>
      </c>
      <c r="E6" t="s">
        <v>13</v>
      </c>
      <c r="F6" t="s">
        <v>729</v>
      </c>
      <c r="G6" t="s">
        <v>12</v>
      </c>
      <c r="I6" t="s">
        <v>7626</v>
      </c>
      <c r="J6" t="s">
        <v>8596</v>
      </c>
      <c r="K6">
        <v>15.113250000000001</v>
      </c>
      <c r="L6">
        <v>0.27978348820297688</v>
      </c>
      <c r="M6">
        <v>66.96884611127129</v>
      </c>
      <c r="N6">
        <v>73.665730722398422</v>
      </c>
      <c r="P6" t="s">
        <v>726</v>
      </c>
      <c r="Q6" t="s">
        <v>9150</v>
      </c>
      <c r="R6" t="s">
        <v>9151</v>
      </c>
      <c r="S6" t="s">
        <v>11</v>
      </c>
      <c r="T6" t="s">
        <v>13</v>
      </c>
      <c r="U6" t="s">
        <v>75</v>
      </c>
      <c r="V6" t="s">
        <v>12</v>
      </c>
      <c r="X6" t="s">
        <v>9150</v>
      </c>
      <c r="Y6" t="s">
        <v>76</v>
      </c>
      <c r="Z6">
        <v>1</v>
      </c>
    </row>
    <row r="7" spans="1:26">
      <c r="A7" t="s">
        <v>726</v>
      </c>
      <c r="B7" t="s">
        <v>7628</v>
      </c>
      <c r="C7" t="s">
        <v>7629</v>
      </c>
      <c r="D7" t="s">
        <v>11</v>
      </c>
      <c r="E7" t="s">
        <v>13</v>
      </c>
      <c r="F7" t="s">
        <v>729</v>
      </c>
      <c r="G7" t="s">
        <v>12</v>
      </c>
      <c r="I7" t="s">
        <v>7628</v>
      </c>
      <c r="J7" t="s">
        <v>8597</v>
      </c>
      <c r="K7">
        <v>0</v>
      </c>
      <c r="L7">
        <v>0.2491421647635321</v>
      </c>
      <c r="M7">
        <v>0</v>
      </c>
      <c r="N7">
        <v>0</v>
      </c>
      <c r="P7" t="s">
        <v>726</v>
      </c>
      <c r="Q7" t="s">
        <v>9152</v>
      </c>
      <c r="R7" t="s">
        <v>9153</v>
      </c>
      <c r="S7" t="s">
        <v>11</v>
      </c>
      <c r="T7" t="s">
        <v>13</v>
      </c>
      <c r="U7" t="s">
        <v>75</v>
      </c>
      <c r="V7" t="s">
        <v>12</v>
      </c>
      <c r="X7" t="s">
        <v>9152</v>
      </c>
      <c r="Y7" t="s">
        <v>76</v>
      </c>
      <c r="Z7">
        <v>1</v>
      </c>
    </row>
    <row r="8" spans="1:26">
      <c r="A8" t="s">
        <v>726</v>
      </c>
      <c r="B8" t="s">
        <v>7630</v>
      </c>
      <c r="C8" t="s">
        <v>7629</v>
      </c>
      <c r="D8" t="s">
        <v>11</v>
      </c>
      <c r="E8" t="s">
        <v>13</v>
      </c>
      <c r="F8" t="s">
        <v>729</v>
      </c>
      <c r="G8" t="s">
        <v>12</v>
      </c>
      <c r="I8" t="s">
        <v>7630</v>
      </c>
      <c r="J8" t="s">
        <v>8598</v>
      </c>
      <c r="K8">
        <v>0</v>
      </c>
      <c r="L8">
        <v>0.2232959939250643</v>
      </c>
      <c r="M8">
        <v>0</v>
      </c>
      <c r="N8">
        <v>0</v>
      </c>
      <c r="P8" t="s">
        <v>726</v>
      </c>
      <c r="Q8" t="s">
        <v>9154</v>
      </c>
      <c r="R8" t="s">
        <v>9155</v>
      </c>
      <c r="S8" t="s">
        <v>11</v>
      </c>
      <c r="T8" t="s">
        <v>13</v>
      </c>
      <c r="U8" t="s">
        <v>75</v>
      </c>
      <c r="V8" t="s">
        <v>12</v>
      </c>
      <c r="X8" t="s">
        <v>9154</v>
      </c>
      <c r="Y8" t="s">
        <v>76</v>
      </c>
      <c r="Z8">
        <v>1</v>
      </c>
    </row>
    <row r="9" spans="1:26">
      <c r="A9" t="s">
        <v>726</v>
      </c>
      <c r="B9" t="s">
        <v>7631</v>
      </c>
      <c r="C9" t="s">
        <v>7632</v>
      </c>
      <c r="D9" t="s">
        <v>11</v>
      </c>
      <c r="E9" t="s">
        <v>13</v>
      </c>
      <c r="F9" t="s">
        <v>729</v>
      </c>
      <c r="G9" t="s">
        <v>12</v>
      </c>
      <c r="I9" t="s">
        <v>7631</v>
      </c>
      <c r="J9" t="s">
        <v>8599</v>
      </c>
      <c r="K9">
        <v>258.81524999999999</v>
      </c>
      <c r="L9">
        <v>0.62034035062740789</v>
      </c>
      <c r="M9">
        <v>323.52705462529866</v>
      </c>
      <c r="N9">
        <v>355.87976008782857</v>
      </c>
      <c r="P9" t="s">
        <v>726</v>
      </c>
      <c r="Q9" t="s">
        <v>9156</v>
      </c>
      <c r="R9" t="s">
        <v>9157</v>
      </c>
      <c r="S9" t="s">
        <v>11</v>
      </c>
      <c r="T9" t="s">
        <v>13</v>
      </c>
      <c r="U9" t="s">
        <v>75</v>
      </c>
      <c r="V9" t="s">
        <v>12</v>
      </c>
      <c r="X9" t="s">
        <v>9156</v>
      </c>
      <c r="Y9" t="s">
        <v>76</v>
      </c>
      <c r="Z9">
        <v>1</v>
      </c>
    </row>
    <row r="10" spans="1:26">
      <c r="A10" t="s">
        <v>726</v>
      </c>
      <c r="B10" t="s">
        <v>7633</v>
      </c>
      <c r="C10" t="s">
        <v>7634</v>
      </c>
      <c r="D10" t="s">
        <v>11</v>
      </c>
      <c r="E10" t="s">
        <v>13</v>
      </c>
      <c r="F10" t="s">
        <v>729</v>
      </c>
      <c r="G10" t="s">
        <v>12</v>
      </c>
      <c r="I10" t="s">
        <v>7633</v>
      </c>
      <c r="J10" t="s">
        <v>8600</v>
      </c>
      <c r="K10">
        <v>168.75</v>
      </c>
      <c r="L10">
        <v>0.74371121841254084</v>
      </c>
      <c r="M10">
        <v>592.24150009641369</v>
      </c>
      <c r="N10">
        <v>651.46565010605514</v>
      </c>
      <c r="P10" t="s">
        <v>726</v>
      </c>
      <c r="Q10" t="s">
        <v>9158</v>
      </c>
      <c r="R10" t="s">
        <v>9159</v>
      </c>
      <c r="S10" t="s">
        <v>11</v>
      </c>
      <c r="T10" t="s">
        <v>13</v>
      </c>
      <c r="U10" t="s">
        <v>75</v>
      </c>
      <c r="V10" t="s">
        <v>12</v>
      </c>
      <c r="X10" t="s">
        <v>9158</v>
      </c>
      <c r="Y10" t="s">
        <v>76</v>
      </c>
      <c r="Z10">
        <v>1</v>
      </c>
    </row>
    <row r="11" spans="1:26">
      <c r="A11" t="s">
        <v>726</v>
      </c>
      <c r="B11" t="s">
        <v>7635</v>
      </c>
      <c r="C11" t="s">
        <v>7634</v>
      </c>
      <c r="D11" t="s">
        <v>11</v>
      </c>
      <c r="E11" t="s">
        <v>13</v>
      </c>
      <c r="F11" t="s">
        <v>729</v>
      </c>
      <c r="G11" t="s">
        <v>12</v>
      </c>
      <c r="I11" t="s">
        <v>7635</v>
      </c>
      <c r="J11" t="s">
        <v>8601</v>
      </c>
      <c r="K11">
        <v>292.48874999999998</v>
      </c>
      <c r="L11">
        <v>0.71604889107881919</v>
      </c>
      <c r="M11">
        <v>238.17665411163489</v>
      </c>
      <c r="N11">
        <v>261.99431952279838</v>
      </c>
      <c r="P11" t="s">
        <v>726</v>
      </c>
      <c r="Q11" t="s">
        <v>9160</v>
      </c>
      <c r="R11" t="s">
        <v>9161</v>
      </c>
      <c r="S11" t="s">
        <v>11</v>
      </c>
      <c r="T11" t="s">
        <v>13</v>
      </c>
      <c r="U11" t="s">
        <v>75</v>
      </c>
      <c r="V11" t="s">
        <v>12</v>
      </c>
      <c r="X11" t="s">
        <v>9160</v>
      </c>
      <c r="Y11" t="s">
        <v>76</v>
      </c>
      <c r="Z11">
        <v>1</v>
      </c>
    </row>
    <row r="12" spans="1:26">
      <c r="A12" t="s">
        <v>726</v>
      </c>
      <c r="B12" t="s">
        <v>7636</v>
      </c>
      <c r="C12" t="s">
        <v>7637</v>
      </c>
      <c r="D12" t="s">
        <v>11</v>
      </c>
      <c r="E12" t="s">
        <v>13</v>
      </c>
      <c r="F12" t="s">
        <v>729</v>
      </c>
      <c r="G12" t="s">
        <v>12</v>
      </c>
      <c r="I12" t="s">
        <v>7636</v>
      </c>
      <c r="J12" t="s">
        <v>8602</v>
      </c>
      <c r="K12">
        <v>122.14725</v>
      </c>
      <c r="L12">
        <v>0.54920356443673046</v>
      </c>
      <c r="M12">
        <v>156.04036903147497</v>
      </c>
      <c r="N12">
        <v>171.64440593462248</v>
      </c>
      <c r="P12" t="s">
        <v>726</v>
      </c>
      <c r="Q12" t="s">
        <v>9162</v>
      </c>
      <c r="R12" t="s">
        <v>9163</v>
      </c>
      <c r="S12" t="s">
        <v>11</v>
      </c>
      <c r="T12" t="s">
        <v>13</v>
      </c>
      <c r="U12" t="s">
        <v>75</v>
      </c>
      <c r="V12" t="s">
        <v>12</v>
      </c>
      <c r="X12" t="s">
        <v>9162</v>
      </c>
      <c r="Y12" t="s">
        <v>76</v>
      </c>
      <c r="Z12">
        <v>1</v>
      </c>
    </row>
    <row r="13" spans="1:26">
      <c r="A13" t="s">
        <v>726</v>
      </c>
      <c r="B13" t="s">
        <v>7638</v>
      </c>
      <c r="C13" t="s">
        <v>7639</v>
      </c>
      <c r="D13" t="s">
        <v>11</v>
      </c>
      <c r="E13" t="s">
        <v>13</v>
      </c>
      <c r="F13" t="s">
        <v>729</v>
      </c>
      <c r="G13" t="s">
        <v>12</v>
      </c>
      <c r="I13" t="s">
        <v>7638</v>
      </c>
      <c r="J13" t="s">
        <v>8603</v>
      </c>
      <c r="K13">
        <v>131.07075</v>
      </c>
      <c r="L13">
        <v>0.52029414365816529</v>
      </c>
      <c r="M13">
        <v>204.91760978102536</v>
      </c>
      <c r="N13">
        <v>225.40937075912791</v>
      </c>
      <c r="P13" t="s">
        <v>726</v>
      </c>
      <c r="Q13" t="s">
        <v>9164</v>
      </c>
      <c r="R13" t="s">
        <v>9165</v>
      </c>
      <c r="S13" t="s">
        <v>11</v>
      </c>
      <c r="T13" t="s">
        <v>13</v>
      </c>
      <c r="U13" t="s">
        <v>75</v>
      </c>
      <c r="V13" t="s">
        <v>12</v>
      </c>
      <c r="X13" t="s">
        <v>9164</v>
      </c>
      <c r="Y13" t="s">
        <v>76</v>
      </c>
      <c r="Z13">
        <v>1</v>
      </c>
    </row>
    <row r="14" spans="1:26">
      <c r="A14" t="s">
        <v>726</v>
      </c>
      <c r="B14" t="s">
        <v>7640</v>
      </c>
      <c r="C14" t="s">
        <v>7641</v>
      </c>
      <c r="D14" t="s">
        <v>11</v>
      </c>
      <c r="E14" t="s">
        <v>13</v>
      </c>
      <c r="F14" t="s">
        <v>729</v>
      </c>
      <c r="G14" t="s">
        <v>12</v>
      </c>
      <c r="I14" t="s">
        <v>7640</v>
      </c>
      <c r="J14" t="s">
        <v>8604</v>
      </c>
      <c r="K14">
        <v>218.25149999999999</v>
      </c>
      <c r="L14">
        <v>0.62518342813606442</v>
      </c>
      <c r="M14">
        <v>413.79802713661695</v>
      </c>
      <c r="N14">
        <v>455.17782985027867</v>
      </c>
      <c r="P14" t="s">
        <v>726</v>
      </c>
      <c r="Q14" t="s">
        <v>9166</v>
      </c>
      <c r="R14" t="s">
        <v>9167</v>
      </c>
      <c r="S14" t="s">
        <v>11</v>
      </c>
      <c r="T14" t="s">
        <v>13</v>
      </c>
      <c r="U14" t="s">
        <v>75</v>
      </c>
      <c r="V14" t="s">
        <v>12</v>
      </c>
      <c r="X14" t="s">
        <v>9166</v>
      </c>
      <c r="Y14" t="s">
        <v>76</v>
      </c>
      <c r="Z14">
        <v>1</v>
      </c>
    </row>
    <row r="15" spans="1:26">
      <c r="A15" t="s">
        <v>726</v>
      </c>
      <c r="B15" t="s">
        <v>7642</v>
      </c>
      <c r="C15" t="s">
        <v>7641</v>
      </c>
      <c r="D15" t="s">
        <v>11</v>
      </c>
      <c r="E15" t="s">
        <v>13</v>
      </c>
      <c r="F15" t="s">
        <v>729</v>
      </c>
      <c r="G15" t="s">
        <v>12</v>
      </c>
      <c r="I15" t="s">
        <v>7642</v>
      </c>
      <c r="J15" t="s">
        <v>8605</v>
      </c>
      <c r="K15">
        <v>203.01150000000001</v>
      </c>
      <c r="L15">
        <v>0.57802381934819314</v>
      </c>
      <c r="M15">
        <v>182.58907647565036</v>
      </c>
      <c r="N15">
        <v>200.84798412321541</v>
      </c>
      <c r="P15" t="s">
        <v>726</v>
      </c>
      <c r="Q15" t="s">
        <v>9168</v>
      </c>
      <c r="R15" t="s">
        <v>9169</v>
      </c>
      <c r="S15" t="s">
        <v>11</v>
      </c>
      <c r="T15" t="s">
        <v>13</v>
      </c>
      <c r="U15" t="s">
        <v>75</v>
      </c>
      <c r="V15" t="s">
        <v>12</v>
      </c>
      <c r="X15" t="s">
        <v>9168</v>
      </c>
      <c r="Y15" t="s">
        <v>76</v>
      </c>
      <c r="Z15">
        <v>1</v>
      </c>
    </row>
    <row r="16" spans="1:26">
      <c r="A16" t="s">
        <v>726</v>
      </c>
      <c r="B16" t="s">
        <v>7643</v>
      </c>
      <c r="C16" t="s">
        <v>7644</v>
      </c>
      <c r="D16" t="s">
        <v>11</v>
      </c>
      <c r="E16" t="s">
        <v>13</v>
      </c>
      <c r="F16" t="s">
        <v>729</v>
      </c>
      <c r="G16" t="s">
        <v>12</v>
      </c>
      <c r="I16" t="s">
        <v>7643</v>
      </c>
      <c r="J16" t="s">
        <v>8606</v>
      </c>
      <c r="K16">
        <v>129.42075</v>
      </c>
      <c r="L16">
        <v>0.5690924521981795</v>
      </c>
      <c r="M16">
        <v>333.95370243773294</v>
      </c>
      <c r="N16">
        <v>367.34907268150624</v>
      </c>
      <c r="P16" t="s">
        <v>726</v>
      </c>
      <c r="Q16" t="s">
        <v>9170</v>
      </c>
      <c r="R16" t="s">
        <v>9171</v>
      </c>
      <c r="S16" t="s">
        <v>11</v>
      </c>
      <c r="T16" t="s">
        <v>13</v>
      </c>
      <c r="U16" t="s">
        <v>75</v>
      </c>
      <c r="V16" t="s">
        <v>12</v>
      </c>
      <c r="X16" t="s">
        <v>9170</v>
      </c>
      <c r="Y16" t="s">
        <v>76</v>
      </c>
      <c r="Z16">
        <v>1</v>
      </c>
    </row>
    <row r="17" spans="1:26">
      <c r="A17" t="s">
        <v>726</v>
      </c>
      <c r="B17" t="s">
        <v>7645</v>
      </c>
      <c r="C17" t="s">
        <v>7644</v>
      </c>
      <c r="D17" t="s">
        <v>11</v>
      </c>
      <c r="E17" t="s">
        <v>13</v>
      </c>
      <c r="F17" t="s">
        <v>729</v>
      </c>
      <c r="G17" t="s">
        <v>12</v>
      </c>
      <c r="I17" t="s">
        <v>7645</v>
      </c>
      <c r="J17" t="s">
        <v>8607</v>
      </c>
      <c r="K17">
        <v>197.892</v>
      </c>
      <c r="L17">
        <v>0.55239414152409916</v>
      </c>
      <c r="M17">
        <v>229.91730443239021</v>
      </c>
      <c r="N17">
        <v>252.90903487562926</v>
      </c>
      <c r="P17" t="s">
        <v>726</v>
      </c>
      <c r="Q17" t="s">
        <v>9172</v>
      </c>
      <c r="R17" t="s">
        <v>9173</v>
      </c>
      <c r="S17" t="s">
        <v>11</v>
      </c>
      <c r="T17" t="s">
        <v>13</v>
      </c>
      <c r="U17" t="s">
        <v>75</v>
      </c>
      <c r="V17" t="s">
        <v>12</v>
      </c>
      <c r="X17" t="s">
        <v>9172</v>
      </c>
      <c r="Y17" t="s">
        <v>76</v>
      </c>
      <c r="Z17">
        <v>1</v>
      </c>
    </row>
    <row r="18" spans="1:26">
      <c r="A18" t="s">
        <v>726</v>
      </c>
      <c r="B18" t="s">
        <v>7646</v>
      </c>
      <c r="C18" t="s">
        <v>7647</v>
      </c>
      <c r="D18" t="s">
        <v>11</v>
      </c>
      <c r="E18" t="s">
        <v>13</v>
      </c>
      <c r="F18" t="s">
        <v>729</v>
      </c>
      <c r="G18" t="s">
        <v>12</v>
      </c>
      <c r="I18" t="s">
        <v>7646</v>
      </c>
      <c r="J18" t="s">
        <v>8608</v>
      </c>
      <c r="K18">
        <v>353.32274999999998</v>
      </c>
      <c r="L18">
        <v>0.26678167919049178</v>
      </c>
      <c r="M18">
        <v>1549.4387135956863</v>
      </c>
      <c r="N18">
        <v>1704.382584955255</v>
      </c>
      <c r="P18" t="s">
        <v>726</v>
      </c>
      <c r="Q18" t="s">
        <v>9174</v>
      </c>
      <c r="R18" t="s">
        <v>9175</v>
      </c>
      <c r="S18" t="s">
        <v>11</v>
      </c>
      <c r="T18" t="s">
        <v>13</v>
      </c>
      <c r="U18" t="s">
        <v>75</v>
      </c>
      <c r="V18" t="s">
        <v>12</v>
      </c>
      <c r="X18" t="s">
        <v>9174</v>
      </c>
      <c r="Y18" t="s">
        <v>76</v>
      </c>
      <c r="Z18">
        <v>1</v>
      </c>
    </row>
    <row r="19" spans="1:26">
      <c r="A19" t="s">
        <v>726</v>
      </c>
      <c r="B19" t="s">
        <v>7648</v>
      </c>
      <c r="C19" t="s">
        <v>7649</v>
      </c>
      <c r="D19" t="s">
        <v>11</v>
      </c>
      <c r="E19" t="s">
        <v>13</v>
      </c>
      <c r="F19" t="s">
        <v>729</v>
      </c>
      <c r="G19" t="s">
        <v>12</v>
      </c>
      <c r="I19" t="s">
        <v>7648</v>
      </c>
      <c r="J19" t="s">
        <v>8609</v>
      </c>
      <c r="K19">
        <v>516.48599999999999</v>
      </c>
      <c r="L19">
        <v>0.4835671859756791</v>
      </c>
      <c r="M19">
        <v>614.76553700559111</v>
      </c>
      <c r="N19">
        <v>676.24209070615029</v>
      </c>
      <c r="P19" t="s">
        <v>726</v>
      </c>
      <c r="Q19" t="s">
        <v>9176</v>
      </c>
      <c r="R19" t="s">
        <v>9177</v>
      </c>
      <c r="S19" t="s">
        <v>11</v>
      </c>
      <c r="T19" t="s">
        <v>13</v>
      </c>
      <c r="U19" t="s">
        <v>75</v>
      </c>
      <c r="V19" t="s">
        <v>12</v>
      </c>
      <c r="X19" t="s">
        <v>9176</v>
      </c>
      <c r="Y19" t="s">
        <v>76</v>
      </c>
      <c r="Z19">
        <v>1</v>
      </c>
    </row>
    <row r="20" spans="1:26">
      <c r="A20" t="s">
        <v>726</v>
      </c>
      <c r="B20" t="s">
        <v>7650</v>
      </c>
      <c r="C20" t="s">
        <v>7651</v>
      </c>
      <c r="D20" t="s">
        <v>11</v>
      </c>
      <c r="E20" t="s">
        <v>13</v>
      </c>
      <c r="F20" t="s">
        <v>729</v>
      </c>
      <c r="G20" t="s">
        <v>12</v>
      </c>
      <c r="I20" t="s">
        <v>7650</v>
      </c>
      <c r="J20" t="s">
        <v>8610</v>
      </c>
      <c r="K20">
        <v>319.94024999999999</v>
      </c>
      <c r="L20">
        <v>0.47667419022241359</v>
      </c>
      <c r="M20">
        <v>713.66404118084404</v>
      </c>
      <c r="N20">
        <v>785.0304452989285</v>
      </c>
      <c r="P20" t="s">
        <v>726</v>
      </c>
      <c r="Q20" t="s">
        <v>9178</v>
      </c>
      <c r="R20" t="s">
        <v>9179</v>
      </c>
      <c r="S20" t="s">
        <v>11</v>
      </c>
      <c r="T20" t="s">
        <v>13</v>
      </c>
      <c r="U20" t="s">
        <v>75</v>
      </c>
      <c r="V20" t="s">
        <v>12</v>
      </c>
      <c r="X20" t="s">
        <v>9178</v>
      </c>
      <c r="Y20" t="s">
        <v>76</v>
      </c>
      <c r="Z20">
        <v>1</v>
      </c>
    </row>
    <row r="21" spans="1:26">
      <c r="A21" t="s">
        <v>726</v>
      </c>
      <c r="B21" t="s">
        <v>7652</v>
      </c>
      <c r="C21" t="s">
        <v>7653</v>
      </c>
      <c r="D21" t="s">
        <v>11</v>
      </c>
      <c r="E21" t="s">
        <v>13</v>
      </c>
      <c r="F21" t="s">
        <v>729</v>
      </c>
      <c r="G21" t="s">
        <v>12</v>
      </c>
      <c r="I21" t="s">
        <v>7652</v>
      </c>
      <c r="J21" t="s">
        <v>8611</v>
      </c>
      <c r="K21">
        <v>457.49175000000002</v>
      </c>
      <c r="L21">
        <v>0.5473463446594895</v>
      </c>
      <c r="M21">
        <v>370.11358996395774</v>
      </c>
      <c r="N21">
        <v>407.12494896035355</v>
      </c>
      <c r="P21" t="s">
        <v>726</v>
      </c>
      <c r="Q21" t="s">
        <v>9180</v>
      </c>
      <c r="R21" t="s">
        <v>9181</v>
      </c>
      <c r="S21" t="s">
        <v>11</v>
      </c>
      <c r="T21" t="s">
        <v>13</v>
      </c>
      <c r="U21" t="s">
        <v>75</v>
      </c>
      <c r="V21" t="s">
        <v>12</v>
      </c>
      <c r="X21" t="s">
        <v>9180</v>
      </c>
      <c r="Y21" t="s">
        <v>76</v>
      </c>
      <c r="Z21">
        <v>1</v>
      </c>
    </row>
    <row r="22" spans="1:26">
      <c r="A22" t="s">
        <v>726</v>
      </c>
      <c r="B22" t="s">
        <v>7654</v>
      </c>
      <c r="C22" t="s">
        <v>7647</v>
      </c>
      <c r="D22" t="s">
        <v>11</v>
      </c>
      <c r="E22" t="s">
        <v>13</v>
      </c>
      <c r="F22" t="s">
        <v>729</v>
      </c>
      <c r="G22" t="s">
        <v>12</v>
      </c>
      <c r="I22" t="s">
        <v>7654</v>
      </c>
      <c r="J22" t="s">
        <v>8612</v>
      </c>
      <c r="K22">
        <v>208.9665</v>
      </c>
      <c r="L22">
        <v>0.53078451808921967</v>
      </c>
      <c r="M22">
        <v>668.89330905569386</v>
      </c>
      <c r="N22">
        <v>735.78263996126327</v>
      </c>
      <c r="P22" t="s">
        <v>726</v>
      </c>
      <c r="Q22" t="s">
        <v>9182</v>
      </c>
      <c r="R22" t="s">
        <v>9183</v>
      </c>
      <c r="S22" t="s">
        <v>11</v>
      </c>
      <c r="T22" t="s">
        <v>13</v>
      </c>
      <c r="U22" t="s">
        <v>75</v>
      </c>
      <c r="V22" t="s">
        <v>12</v>
      </c>
      <c r="X22" t="s">
        <v>9182</v>
      </c>
      <c r="Y22" t="s">
        <v>76</v>
      </c>
      <c r="Z22">
        <v>1</v>
      </c>
    </row>
    <row r="23" spans="1:26">
      <c r="A23" t="s">
        <v>726</v>
      </c>
      <c r="B23" t="s">
        <v>7655</v>
      </c>
      <c r="C23" t="s">
        <v>7647</v>
      </c>
      <c r="D23" t="s">
        <v>11</v>
      </c>
      <c r="E23" t="s">
        <v>13</v>
      </c>
      <c r="F23" t="s">
        <v>729</v>
      </c>
      <c r="G23" t="s">
        <v>12</v>
      </c>
      <c r="I23" t="s">
        <v>7655</v>
      </c>
      <c r="J23" t="s">
        <v>8613</v>
      </c>
      <c r="K23">
        <v>105.49724999999999</v>
      </c>
      <c r="L23">
        <v>0.43456566753406439</v>
      </c>
      <c r="M23">
        <v>1122.6639548361038</v>
      </c>
      <c r="N23">
        <v>1234.9303503197143</v>
      </c>
      <c r="P23" t="s">
        <v>726</v>
      </c>
      <c r="Q23" t="s">
        <v>9184</v>
      </c>
      <c r="R23" t="s">
        <v>9185</v>
      </c>
      <c r="S23" t="s">
        <v>11</v>
      </c>
      <c r="T23" t="s">
        <v>13</v>
      </c>
      <c r="U23" t="s">
        <v>75</v>
      </c>
      <c r="V23" t="s">
        <v>12</v>
      </c>
      <c r="X23" t="s">
        <v>9184</v>
      </c>
      <c r="Y23" t="s">
        <v>76</v>
      </c>
      <c r="Z23">
        <v>1</v>
      </c>
    </row>
    <row r="24" spans="1:26">
      <c r="A24" t="s">
        <v>726</v>
      </c>
      <c r="B24" t="s">
        <v>7656</v>
      </c>
      <c r="C24" t="s">
        <v>7657</v>
      </c>
      <c r="D24" t="s">
        <v>11</v>
      </c>
      <c r="E24" t="s">
        <v>13</v>
      </c>
      <c r="F24" t="s">
        <v>729</v>
      </c>
      <c r="G24" t="s">
        <v>12</v>
      </c>
      <c r="I24" t="s">
        <v>7656</v>
      </c>
      <c r="J24" t="s">
        <v>8614</v>
      </c>
      <c r="K24">
        <v>64.177499999999995</v>
      </c>
      <c r="L24">
        <v>0.38073731114632059</v>
      </c>
      <c r="M24">
        <v>197.75554633277039</v>
      </c>
      <c r="N24">
        <v>217.53110096604746</v>
      </c>
      <c r="P24" t="s">
        <v>726</v>
      </c>
      <c r="Q24" t="s">
        <v>9186</v>
      </c>
      <c r="R24" t="s">
        <v>9187</v>
      </c>
      <c r="S24" t="s">
        <v>11</v>
      </c>
      <c r="T24" t="s">
        <v>13</v>
      </c>
      <c r="U24" t="s">
        <v>75</v>
      </c>
      <c r="V24" t="s">
        <v>12</v>
      </c>
      <c r="X24" t="s">
        <v>9186</v>
      </c>
      <c r="Y24" t="s">
        <v>76</v>
      </c>
      <c r="Z24">
        <v>1</v>
      </c>
    </row>
    <row r="25" spans="1:26">
      <c r="A25" t="s">
        <v>726</v>
      </c>
      <c r="B25" t="s">
        <v>7658</v>
      </c>
      <c r="C25" t="s">
        <v>7659</v>
      </c>
      <c r="D25" t="s">
        <v>11</v>
      </c>
      <c r="E25" t="s">
        <v>13</v>
      </c>
      <c r="F25" t="s">
        <v>729</v>
      </c>
      <c r="G25" t="s">
        <v>12</v>
      </c>
      <c r="I25" t="s">
        <v>7658</v>
      </c>
      <c r="J25" t="s">
        <v>8615</v>
      </c>
      <c r="K25">
        <v>90.716250000000002</v>
      </c>
      <c r="L25">
        <v>0.35040970287225331</v>
      </c>
      <c r="M25">
        <v>175.51813892639066</v>
      </c>
      <c r="N25">
        <v>193.06995281902974</v>
      </c>
      <c r="P25" t="s">
        <v>726</v>
      </c>
      <c r="Q25" t="s">
        <v>9188</v>
      </c>
      <c r="R25" t="s">
        <v>9189</v>
      </c>
      <c r="S25" t="s">
        <v>11</v>
      </c>
      <c r="T25" t="s">
        <v>13</v>
      </c>
      <c r="U25" t="s">
        <v>75</v>
      </c>
      <c r="V25" t="s">
        <v>12</v>
      </c>
      <c r="X25" t="s">
        <v>9188</v>
      </c>
      <c r="Y25" t="s">
        <v>76</v>
      </c>
      <c r="Z25">
        <v>1</v>
      </c>
    </row>
    <row r="26" spans="1:26">
      <c r="A26" t="s">
        <v>726</v>
      </c>
      <c r="B26" t="s">
        <v>7660</v>
      </c>
      <c r="C26" t="s">
        <v>7657</v>
      </c>
      <c r="D26" t="s">
        <v>11</v>
      </c>
      <c r="E26" t="s">
        <v>13</v>
      </c>
      <c r="F26" t="s">
        <v>729</v>
      </c>
      <c r="G26" t="s">
        <v>12</v>
      </c>
      <c r="I26" t="s">
        <v>7660</v>
      </c>
      <c r="J26" t="s">
        <v>8616</v>
      </c>
      <c r="K26">
        <v>212.69624999999999</v>
      </c>
      <c r="L26">
        <v>0.25285817376163489</v>
      </c>
      <c r="M26">
        <v>2177.429735378651</v>
      </c>
      <c r="N26">
        <v>2395.1727089165165</v>
      </c>
      <c r="P26" t="s">
        <v>726</v>
      </c>
      <c r="Q26" t="s">
        <v>9190</v>
      </c>
      <c r="R26" t="s">
        <v>9191</v>
      </c>
      <c r="S26" t="s">
        <v>11</v>
      </c>
      <c r="T26" t="s">
        <v>13</v>
      </c>
      <c r="U26" t="s">
        <v>75</v>
      </c>
      <c r="V26" t="s">
        <v>12</v>
      </c>
      <c r="X26" t="s">
        <v>9190</v>
      </c>
      <c r="Y26" t="s">
        <v>76</v>
      </c>
      <c r="Z26">
        <v>1</v>
      </c>
    </row>
    <row r="27" spans="1:26">
      <c r="A27" t="s">
        <v>726</v>
      </c>
      <c r="B27" t="s">
        <v>7661</v>
      </c>
      <c r="C27" t="s">
        <v>7657</v>
      </c>
      <c r="D27" t="s">
        <v>11</v>
      </c>
      <c r="E27" t="s">
        <v>13</v>
      </c>
      <c r="F27" t="s">
        <v>729</v>
      </c>
      <c r="G27" t="s">
        <v>12</v>
      </c>
      <c r="I27" t="s">
        <v>7661</v>
      </c>
      <c r="J27" t="s">
        <v>8617</v>
      </c>
      <c r="K27">
        <v>628.5915</v>
      </c>
      <c r="L27">
        <v>0.33565643660593941</v>
      </c>
      <c r="M27">
        <v>2639.9376703181319</v>
      </c>
      <c r="N27">
        <v>2903.9314373499456</v>
      </c>
      <c r="P27" t="s">
        <v>726</v>
      </c>
      <c r="Q27" t="s">
        <v>9192</v>
      </c>
      <c r="R27" t="s">
        <v>9193</v>
      </c>
      <c r="S27" t="s">
        <v>11</v>
      </c>
      <c r="T27" t="s">
        <v>13</v>
      </c>
      <c r="U27" t="s">
        <v>75</v>
      </c>
      <c r="V27" t="s">
        <v>12</v>
      </c>
      <c r="X27" t="s">
        <v>9192</v>
      </c>
      <c r="Y27" t="s">
        <v>76</v>
      </c>
      <c r="Z27">
        <v>1</v>
      </c>
    </row>
    <row r="28" spans="1:26">
      <c r="A28" t="s">
        <v>726</v>
      </c>
      <c r="B28" t="s">
        <v>7662</v>
      </c>
      <c r="C28" t="s">
        <v>7657</v>
      </c>
      <c r="D28" t="s">
        <v>11</v>
      </c>
      <c r="E28" t="s">
        <v>13</v>
      </c>
      <c r="F28" t="s">
        <v>729</v>
      </c>
      <c r="G28" t="s">
        <v>12</v>
      </c>
      <c r="I28" t="s">
        <v>7662</v>
      </c>
      <c r="J28" t="s">
        <v>8618</v>
      </c>
      <c r="K28">
        <v>315.75975</v>
      </c>
      <c r="L28">
        <v>0.42020403175294679</v>
      </c>
      <c r="M28">
        <v>652.62546594055232</v>
      </c>
      <c r="N28">
        <v>717.88801253460758</v>
      </c>
      <c r="P28" t="s">
        <v>726</v>
      </c>
      <c r="Q28" t="s">
        <v>9194</v>
      </c>
      <c r="R28" t="s">
        <v>9195</v>
      </c>
      <c r="S28" t="s">
        <v>11</v>
      </c>
      <c r="T28" t="s">
        <v>13</v>
      </c>
      <c r="U28" t="s">
        <v>75</v>
      </c>
      <c r="V28" t="s">
        <v>12</v>
      </c>
      <c r="X28" t="s">
        <v>9194</v>
      </c>
      <c r="Y28" t="s">
        <v>76</v>
      </c>
      <c r="Z28">
        <v>1</v>
      </c>
    </row>
    <row r="29" spans="1:26">
      <c r="A29" t="s">
        <v>726</v>
      </c>
      <c r="B29" t="s">
        <v>7663</v>
      </c>
      <c r="C29" t="s">
        <v>7657</v>
      </c>
      <c r="D29" t="s">
        <v>11</v>
      </c>
      <c r="E29" t="s">
        <v>13</v>
      </c>
      <c r="F29" t="s">
        <v>729</v>
      </c>
      <c r="G29" t="s">
        <v>12</v>
      </c>
      <c r="I29" t="s">
        <v>7663</v>
      </c>
      <c r="J29" t="s">
        <v>8619</v>
      </c>
      <c r="K29">
        <v>40.497</v>
      </c>
      <c r="L29">
        <v>0.53475420463774848</v>
      </c>
      <c r="M29">
        <v>2081.4495388905912</v>
      </c>
      <c r="N29">
        <v>2289.5944927796504</v>
      </c>
      <c r="P29" t="s">
        <v>726</v>
      </c>
      <c r="Q29" t="s">
        <v>9196</v>
      </c>
      <c r="R29" t="s">
        <v>9197</v>
      </c>
      <c r="S29" t="s">
        <v>11</v>
      </c>
      <c r="T29" t="s">
        <v>13</v>
      </c>
      <c r="U29" t="s">
        <v>75</v>
      </c>
      <c r="V29" t="s">
        <v>12</v>
      </c>
      <c r="X29" t="s">
        <v>9196</v>
      </c>
      <c r="Y29" t="s">
        <v>76</v>
      </c>
      <c r="Z29">
        <v>1</v>
      </c>
    </row>
    <row r="30" spans="1:26">
      <c r="A30" t="s">
        <v>726</v>
      </c>
      <c r="B30" t="s">
        <v>7664</v>
      </c>
      <c r="C30" t="s">
        <v>7657</v>
      </c>
      <c r="D30" t="s">
        <v>11</v>
      </c>
      <c r="E30" t="s">
        <v>13</v>
      </c>
      <c r="F30" t="s">
        <v>729</v>
      </c>
      <c r="G30" t="s">
        <v>12</v>
      </c>
      <c r="I30" t="s">
        <v>7664</v>
      </c>
      <c r="J30" t="s">
        <v>8620</v>
      </c>
      <c r="K30">
        <v>346.83974999999998</v>
      </c>
      <c r="L30">
        <v>0.44083545134425672</v>
      </c>
      <c r="M30">
        <v>1151.1408090753159</v>
      </c>
      <c r="N30">
        <v>1266.2548899828475</v>
      </c>
      <c r="P30" t="s">
        <v>726</v>
      </c>
      <c r="Q30" t="s">
        <v>9198</v>
      </c>
      <c r="R30" t="s">
        <v>9199</v>
      </c>
      <c r="S30" t="s">
        <v>11</v>
      </c>
      <c r="T30" t="s">
        <v>13</v>
      </c>
      <c r="U30" t="s">
        <v>75</v>
      </c>
      <c r="V30" t="s">
        <v>12</v>
      </c>
      <c r="X30" t="s">
        <v>9198</v>
      </c>
      <c r="Y30" t="s">
        <v>76</v>
      </c>
      <c r="Z30">
        <v>1</v>
      </c>
    </row>
    <row r="31" spans="1:26">
      <c r="A31" t="s">
        <v>726</v>
      </c>
      <c r="B31" t="s">
        <v>7665</v>
      </c>
      <c r="C31" t="s">
        <v>7666</v>
      </c>
      <c r="D31" t="s">
        <v>11</v>
      </c>
      <c r="E31" t="s">
        <v>13</v>
      </c>
      <c r="F31" t="s">
        <v>729</v>
      </c>
      <c r="G31" t="s">
        <v>12</v>
      </c>
      <c r="I31" t="s">
        <v>7665</v>
      </c>
      <c r="J31" t="s">
        <v>8621</v>
      </c>
      <c r="K31">
        <v>56.844000000000001</v>
      </c>
      <c r="L31">
        <v>0.25657091921256597</v>
      </c>
      <c r="M31">
        <v>145.18071987889192</v>
      </c>
      <c r="N31">
        <v>159.69879186678114</v>
      </c>
      <c r="P31" t="s">
        <v>726</v>
      </c>
      <c r="Q31" t="s">
        <v>9200</v>
      </c>
      <c r="R31" t="s">
        <v>9201</v>
      </c>
      <c r="S31" t="s">
        <v>11</v>
      </c>
      <c r="T31" t="s">
        <v>13</v>
      </c>
      <c r="U31" t="s">
        <v>75</v>
      </c>
      <c r="V31" t="s">
        <v>12</v>
      </c>
      <c r="X31" t="s">
        <v>9200</v>
      </c>
      <c r="Y31" t="s">
        <v>76</v>
      </c>
      <c r="Z31">
        <v>1</v>
      </c>
    </row>
    <row r="32" spans="1:26">
      <c r="A32" t="s">
        <v>726</v>
      </c>
      <c r="B32" t="s">
        <v>7667</v>
      </c>
      <c r="C32" t="s">
        <v>7668</v>
      </c>
      <c r="D32" t="s">
        <v>11</v>
      </c>
      <c r="E32" t="s">
        <v>13</v>
      </c>
      <c r="F32" t="s">
        <v>729</v>
      </c>
      <c r="G32" t="s">
        <v>12</v>
      </c>
      <c r="I32" t="s">
        <v>7667</v>
      </c>
      <c r="J32" t="s">
        <v>8622</v>
      </c>
      <c r="K32">
        <v>38.16675</v>
      </c>
      <c r="L32">
        <v>0.35495664949321282</v>
      </c>
      <c r="M32">
        <v>91.587605192737882</v>
      </c>
      <c r="N32">
        <v>100.74636571201168</v>
      </c>
      <c r="P32" t="s">
        <v>726</v>
      </c>
      <c r="Q32" t="s">
        <v>9202</v>
      </c>
      <c r="R32" t="s">
        <v>9203</v>
      </c>
      <c r="S32" t="s">
        <v>11</v>
      </c>
      <c r="T32" t="s">
        <v>13</v>
      </c>
      <c r="U32" t="s">
        <v>75</v>
      </c>
      <c r="V32" t="s">
        <v>12</v>
      </c>
      <c r="X32" t="s">
        <v>9202</v>
      </c>
      <c r="Y32" t="s">
        <v>76</v>
      </c>
      <c r="Z32">
        <v>1</v>
      </c>
    </row>
    <row r="33" spans="1:26">
      <c r="A33" t="s">
        <v>726</v>
      </c>
      <c r="B33" t="s">
        <v>7669</v>
      </c>
      <c r="C33" t="s">
        <v>7666</v>
      </c>
      <c r="D33" t="s">
        <v>11</v>
      </c>
      <c r="E33" t="s">
        <v>13</v>
      </c>
      <c r="F33" t="s">
        <v>729</v>
      </c>
      <c r="G33" t="s">
        <v>12</v>
      </c>
      <c r="I33" t="s">
        <v>7669</v>
      </c>
      <c r="J33" t="s">
        <v>8623</v>
      </c>
      <c r="K33">
        <v>40.540500000000002</v>
      </c>
      <c r="L33">
        <v>0.3690072792794955</v>
      </c>
      <c r="M33">
        <v>109.0984461204736</v>
      </c>
      <c r="N33">
        <v>120.00829073252096</v>
      </c>
      <c r="P33" t="s">
        <v>726</v>
      </c>
      <c r="Q33" t="s">
        <v>9204</v>
      </c>
      <c r="R33" t="s">
        <v>9205</v>
      </c>
      <c r="S33" t="s">
        <v>11</v>
      </c>
      <c r="T33" t="s">
        <v>13</v>
      </c>
      <c r="U33" t="s">
        <v>75</v>
      </c>
      <c r="V33" t="s">
        <v>12</v>
      </c>
      <c r="X33" t="s">
        <v>9204</v>
      </c>
      <c r="Y33" t="s">
        <v>76</v>
      </c>
      <c r="Z33">
        <v>1</v>
      </c>
    </row>
    <row r="34" spans="1:26">
      <c r="A34" t="s">
        <v>726</v>
      </c>
      <c r="B34" t="s">
        <v>7670</v>
      </c>
      <c r="C34" t="s">
        <v>7671</v>
      </c>
      <c r="D34" t="s">
        <v>11</v>
      </c>
      <c r="E34" t="s">
        <v>13</v>
      </c>
      <c r="F34" t="s">
        <v>729</v>
      </c>
      <c r="G34" t="s">
        <v>12</v>
      </c>
      <c r="I34" t="s">
        <v>7670</v>
      </c>
      <c r="J34" t="s">
        <v>8624</v>
      </c>
      <c r="K34">
        <v>62.151000000000003</v>
      </c>
      <c r="L34">
        <v>0.41581279436523</v>
      </c>
      <c r="M34">
        <v>131.43815432826895</v>
      </c>
      <c r="N34">
        <v>144.58196976109585</v>
      </c>
      <c r="P34" t="s">
        <v>726</v>
      </c>
      <c r="Q34" t="s">
        <v>9206</v>
      </c>
      <c r="R34" t="s">
        <v>9207</v>
      </c>
      <c r="S34" t="s">
        <v>11</v>
      </c>
      <c r="T34" t="s">
        <v>13</v>
      </c>
      <c r="U34" t="s">
        <v>75</v>
      </c>
      <c r="V34" t="s">
        <v>12</v>
      </c>
      <c r="X34" t="s">
        <v>9206</v>
      </c>
      <c r="Y34" t="s">
        <v>76</v>
      </c>
      <c r="Z34">
        <v>1</v>
      </c>
    </row>
    <row r="35" spans="1:26">
      <c r="A35" t="s">
        <v>726</v>
      </c>
      <c r="B35" t="s">
        <v>7672</v>
      </c>
      <c r="C35" t="s">
        <v>7673</v>
      </c>
      <c r="D35" t="s">
        <v>11</v>
      </c>
      <c r="E35" t="s">
        <v>13</v>
      </c>
      <c r="F35" t="s">
        <v>729</v>
      </c>
      <c r="G35" t="s">
        <v>12</v>
      </c>
      <c r="I35" t="s">
        <v>7672</v>
      </c>
      <c r="J35" t="s">
        <v>8625</v>
      </c>
      <c r="K35">
        <v>1.7175</v>
      </c>
      <c r="L35">
        <v>0.1683304862626509</v>
      </c>
      <c r="M35">
        <v>62.593875442660895</v>
      </c>
      <c r="N35">
        <v>68.853262986926993</v>
      </c>
      <c r="P35" t="s">
        <v>726</v>
      </c>
      <c r="Q35" t="s">
        <v>9208</v>
      </c>
      <c r="R35" t="s">
        <v>9209</v>
      </c>
      <c r="S35" t="s">
        <v>11</v>
      </c>
      <c r="T35" t="s">
        <v>13</v>
      </c>
      <c r="U35" t="s">
        <v>75</v>
      </c>
      <c r="V35" t="s">
        <v>12</v>
      </c>
      <c r="X35" t="s">
        <v>9208</v>
      </c>
      <c r="Y35" t="s">
        <v>76</v>
      </c>
      <c r="Z35">
        <v>1</v>
      </c>
    </row>
    <row r="36" spans="1:26">
      <c r="A36" t="s">
        <v>726</v>
      </c>
      <c r="B36" t="s">
        <v>7674</v>
      </c>
      <c r="C36" t="s">
        <v>7675</v>
      </c>
      <c r="D36" t="s">
        <v>11</v>
      </c>
      <c r="E36" t="s">
        <v>13</v>
      </c>
      <c r="F36" t="s">
        <v>729</v>
      </c>
      <c r="G36" t="s">
        <v>12</v>
      </c>
      <c r="I36" t="s">
        <v>7674</v>
      </c>
      <c r="J36" t="s">
        <v>8626</v>
      </c>
      <c r="K36">
        <v>4.1580000000000004</v>
      </c>
      <c r="L36">
        <v>0.15383613455808301</v>
      </c>
      <c r="M36">
        <v>42.022991930071328</v>
      </c>
      <c r="N36">
        <v>46.225291123078463</v>
      </c>
      <c r="P36" t="s">
        <v>726</v>
      </c>
      <c r="Q36" t="s">
        <v>9210</v>
      </c>
      <c r="R36" t="s">
        <v>9211</v>
      </c>
      <c r="S36" t="s">
        <v>11</v>
      </c>
      <c r="T36" t="s">
        <v>13</v>
      </c>
      <c r="U36" t="s">
        <v>75</v>
      </c>
      <c r="V36" t="s">
        <v>12</v>
      </c>
      <c r="X36" t="s">
        <v>9210</v>
      </c>
      <c r="Y36" t="s">
        <v>76</v>
      </c>
      <c r="Z36">
        <v>1</v>
      </c>
    </row>
    <row r="37" spans="1:26">
      <c r="A37" t="s">
        <v>726</v>
      </c>
      <c r="B37" t="s">
        <v>7676</v>
      </c>
      <c r="C37" t="s">
        <v>7677</v>
      </c>
      <c r="D37" t="s">
        <v>11</v>
      </c>
      <c r="E37" t="s">
        <v>13</v>
      </c>
      <c r="F37" t="s">
        <v>729</v>
      </c>
      <c r="G37" t="s">
        <v>12</v>
      </c>
      <c r="I37" t="s">
        <v>7676</v>
      </c>
      <c r="J37" t="s">
        <v>8627</v>
      </c>
      <c r="K37">
        <v>45.5715</v>
      </c>
      <c r="L37">
        <v>0.2447107141967575</v>
      </c>
      <c r="M37">
        <v>235.89006541064259</v>
      </c>
      <c r="N37">
        <v>259.47907195170689</v>
      </c>
      <c r="P37" t="s">
        <v>726</v>
      </c>
      <c r="Q37" t="s">
        <v>9212</v>
      </c>
      <c r="R37" t="s">
        <v>9213</v>
      </c>
      <c r="S37" t="s">
        <v>11</v>
      </c>
      <c r="T37" t="s">
        <v>13</v>
      </c>
      <c r="U37" t="s">
        <v>75</v>
      </c>
      <c r="V37" t="s">
        <v>12</v>
      </c>
      <c r="X37" t="s">
        <v>9212</v>
      </c>
      <c r="Y37" t="s">
        <v>76</v>
      </c>
      <c r="Z37">
        <v>1</v>
      </c>
    </row>
    <row r="38" spans="1:26">
      <c r="A38" t="s">
        <v>726</v>
      </c>
      <c r="B38" t="s">
        <v>7678</v>
      </c>
      <c r="C38" t="s">
        <v>7679</v>
      </c>
      <c r="D38" t="s">
        <v>11</v>
      </c>
      <c r="E38" t="s">
        <v>13</v>
      </c>
      <c r="F38" t="s">
        <v>729</v>
      </c>
      <c r="G38" t="s">
        <v>12</v>
      </c>
      <c r="I38" t="s">
        <v>7678</v>
      </c>
      <c r="J38" t="s">
        <v>8628</v>
      </c>
      <c r="K38">
        <v>7.33725</v>
      </c>
      <c r="L38">
        <v>0.2336929129751493</v>
      </c>
      <c r="M38">
        <v>165.47481945311904</v>
      </c>
      <c r="N38">
        <v>182.02230139843095</v>
      </c>
      <c r="P38" t="s">
        <v>726</v>
      </c>
      <c r="Q38" t="s">
        <v>9214</v>
      </c>
      <c r="R38" t="s">
        <v>9215</v>
      </c>
      <c r="S38" t="s">
        <v>11</v>
      </c>
      <c r="T38" t="s">
        <v>13</v>
      </c>
      <c r="U38" t="s">
        <v>75</v>
      </c>
      <c r="V38" t="s">
        <v>12</v>
      </c>
      <c r="X38" t="s">
        <v>9214</v>
      </c>
      <c r="Y38" t="s">
        <v>76</v>
      </c>
      <c r="Z38">
        <v>1</v>
      </c>
    </row>
    <row r="39" spans="1:26">
      <c r="A39" t="s">
        <v>726</v>
      </c>
      <c r="B39" t="s">
        <v>7680</v>
      </c>
      <c r="C39" t="s">
        <v>7679</v>
      </c>
      <c r="D39" t="s">
        <v>11</v>
      </c>
      <c r="E39" t="s">
        <v>13</v>
      </c>
      <c r="F39" t="s">
        <v>729</v>
      </c>
      <c r="G39" t="s">
        <v>12</v>
      </c>
      <c r="I39" t="s">
        <v>7680</v>
      </c>
      <c r="J39" t="s">
        <v>8629</v>
      </c>
      <c r="K39">
        <v>36.674999999999997</v>
      </c>
      <c r="L39">
        <v>0.24307139562852739</v>
      </c>
      <c r="M39">
        <v>243.69641493037091</v>
      </c>
      <c r="N39">
        <v>268.06605642340804</v>
      </c>
      <c r="P39" t="s">
        <v>726</v>
      </c>
      <c r="Q39" t="s">
        <v>9216</v>
      </c>
      <c r="R39" t="s">
        <v>9217</v>
      </c>
      <c r="S39" t="s">
        <v>11</v>
      </c>
      <c r="T39" t="s">
        <v>13</v>
      </c>
      <c r="U39" t="s">
        <v>75</v>
      </c>
      <c r="V39" t="s">
        <v>12</v>
      </c>
      <c r="X39" t="s">
        <v>9216</v>
      </c>
      <c r="Y39" t="s">
        <v>76</v>
      </c>
      <c r="Z39">
        <v>1</v>
      </c>
    </row>
    <row r="40" spans="1:26">
      <c r="A40" t="s">
        <v>726</v>
      </c>
      <c r="B40" t="s">
        <v>7681</v>
      </c>
      <c r="C40" t="s">
        <v>7682</v>
      </c>
      <c r="D40" t="s">
        <v>11</v>
      </c>
      <c r="E40" t="s">
        <v>13</v>
      </c>
      <c r="F40" t="s">
        <v>729</v>
      </c>
      <c r="G40" t="s">
        <v>12</v>
      </c>
      <c r="I40" t="s">
        <v>7681</v>
      </c>
      <c r="J40" t="s">
        <v>8630</v>
      </c>
      <c r="K40">
        <v>39.551250000000003</v>
      </c>
      <c r="L40">
        <v>0.34664222062678163</v>
      </c>
      <c r="M40">
        <v>177.08767617842099</v>
      </c>
      <c r="N40">
        <v>194.79644379626311</v>
      </c>
      <c r="P40" t="s">
        <v>726</v>
      </c>
      <c r="Q40" t="s">
        <v>9218</v>
      </c>
      <c r="R40" t="s">
        <v>9219</v>
      </c>
      <c r="S40" t="s">
        <v>11</v>
      </c>
      <c r="T40" t="s">
        <v>13</v>
      </c>
      <c r="U40" t="s">
        <v>75</v>
      </c>
      <c r="V40" t="s">
        <v>12</v>
      </c>
      <c r="X40" t="s">
        <v>9218</v>
      </c>
      <c r="Y40" t="s">
        <v>76</v>
      </c>
      <c r="Z40">
        <v>1</v>
      </c>
    </row>
    <row r="41" spans="1:26">
      <c r="A41" t="s">
        <v>726</v>
      </c>
      <c r="B41" t="s">
        <v>7683</v>
      </c>
      <c r="C41" t="s">
        <v>7684</v>
      </c>
      <c r="D41" t="s">
        <v>11</v>
      </c>
      <c r="E41" t="s">
        <v>13</v>
      </c>
      <c r="F41" t="s">
        <v>729</v>
      </c>
      <c r="G41" t="s">
        <v>12</v>
      </c>
      <c r="I41" t="s">
        <v>7683</v>
      </c>
      <c r="J41" t="s">
        <v>8631</v>
      </c>
      <c r="K41">
        <v>5.5147500000000003</v>
      </c>
      <c r="L41">
        <v>0.25369741340271479</v>
      </c>
      <c r="M41">
        <v>54.481932067921647</v>
      </c>
      <c r="N41">
        <v>59.930125274713816</v>
      </c>
      <c r="P41" t="s">
        <v>726</v>
      </c>
      <c r="Q41" t="s">
        <v>9220</v>
      </c>
      <c r="R41" t="s">
        <v>9221</v>
      </c>
      <c r="S41" t="s">
        <v>11</v>
      </c>
      <c r="T41" t="s">
        <v>13</v>
      </c>
      <c r="U41" t="s">
        <v>75</v>
      </c>
      <c r="V41" t="s">
        <v>12</v>
      </c>
      <c r="X41" t="s">
        <v>9220</v>
      </c>
      <c r="Y41" t="s">
        <v>76</v>
      </c>
      <c r="Z41">
        <v>1</v>
      </c>
    </row>
    <row r="42" spans="1:26">
      <c r="A42" t="s">
        <v>726</v>
      </c>
      <c r="B42" t="s">
        <v>7685</v>
      </c>
      <c r="C42" t="s">
        <v>7684</v>
      </c>
      <c r="D42" t="s">
        <v>11</v>
      </c>
      <c r="E42" t="s">
        <v>13</v>
      </c>
      <c r="F42" t="s">
        <v>729</v>
      </c>
      <c r="G42" t="s">
        <v>12</v>
      </c>
      <c r="I42" t="s">
        <v>7685</v>
      </c>
      <c r="J42" t="s">
        <v>8632</v>
      </c>
      <c r="K42">
        <v>13.612500000000001</v>
      </c>
      <c r="L42">
        <v>0.30428833961654661</v>
      </c>
      <c r="M42">
        <v>115.90178390312052</v>
      </c>
      <c r="N42">
        <v>127.49196229343258</v>
      </c>
      <c r="P42" t="s">
        <v>726</v>
      </c>
      <c r="Q42" t="s">
        <v>9222</v>
      </c>
      <c r="R42" t="s">
        <v>9223</v>
      </c>
      <c r="S42" t="s">
        <v>11</v>
      </c>
      <c r="T42" t="s">
        <v>13</v>
      </c>
      <c r="U42" t="s">
        <v>75</v>
      </c>
      <c r="V42" t="s">
        <v>12</v>
      </c>
      <c r="X42" t="s">
        <v>9222</v>
      </c>
      <c r="Y42" t="s">
        <v>76</v>
      </c>
      <c r="Z42">
        <v>1</v>
      </c>
    </row>
    <row r="43" spans="1:26">
      <c r="A43" t="s">
        <v>726</v>
      </c>
      <c r="B43" t="s">
        <v>7686</v>
      </c>
      <c r="C43" t="s">
        <v>7687</v>
      </c>
      <c r="D43" t="s">
        <v>11</v>
      </c>
      <c r="E43" t="s">
        <v>13</v>
      </c>
      <c r="F43" t="s">
        <v>729</v>
      </c>
      <c r="G43" t="s">
        <v>12</v>
      </c>
      <c r="I43" t="s">
        <v>7686</v>
      </c>
      <c r="J43" t="s">
        <v>8633</v>
      </c>
      <c r="K43">
        <v>200.96100000000001</v>
      </c>
      <c r="L43">
        <v>0.46435474760174472</v>
      </c>
      <c r="M43">
        <v>160.93773487880983</v>
      </c>
      <c r="N43">
        <v>177.03150836669084</v>
      </c>
      <c r="P43" t="s">
        <v>726</v>
      </c>
      <c r="Q43" t="s">
        <v>9224</v>
      </c>
      <c r="R43" t="s">
        <v>9225</v>
      </c>
      <c r="S43" t="s">
        <v>11</v>
      </c>
      <c r="T43" t="s">
        <v>13</v>
      </c>
      <c r="U43" t="s">
        <v>75</v>
      </c>
      <c r="V43" t="s">
        <v>12</v>
      </c>
      <c r="X43" t="s">
        <v>9224</v>
      </c>
      <c r="Y43" t="s">
        <v>76</v>
      </c>
      <c r="Z43">
        <v>1</v>
      </c>
    </row>
    <row r="44" spans="1:26">
      <c r="A44" t="s">
        <v>726</v>
      </c>
      <c r="B44" t="s">
        <v>7688</v>
      </c>
      <c r="C44" t="s">
        <v>7689</v>
      </c>
      <c r="D44" t="s">
        <v>11</v>
      </c>
      <c r="E44" t="s">
        <v>13</v>
      </c>
      <c r="F44" t="s">
        <v>729</v>
      </c>
      <c r="G44" t="s">
        <v>12</v>
      </c>
      <c r="I44" t="s">
        <v>7688</v>
      </c>
      <c r="J44" t="s">
        <v>8634</v>
      </c>
      <c r="K44">
        <v>157.28925000000001</v>
      </c>
      <c r="L44">
        <v>0.31855786576372402</v>
      </c>
      <c r="M44">
        <v>108.94986244750896</v>
      </c>
      <c r="N44">
        <v>119.84484869225987</v>
      </c>
      <c r="P44" t="s">
        <v>726</v>
      </c>
      <c r="Q44" t="s">
        <v>9226</v>
      </c>
      <c r="R44" t="s">
        <v>9227</v>
      </c>
      <c r="S44" t="s">
        <v>11</v>
      </c>
      <c r="T44" t="s">
        <v>13</v>
      </c>
      <c r="U44" t="s">
        <v>75</v>
      </c>
      <c r="V44" t="s">
        <v>12</v>
      </c>
      <c r="X44" t="s">
        <v>9226</v>
      </c>
      <c r="Y44" t="s">
        <v>76</v>
      </c>
      <c r="Z44">
        <v>1</v>
      </c>
    </row>
    <row r="45" spans="1:26">
      <c r="A45" t="s">
        <v>726</v>
      </c>
      <c r="B45" t="s">
        <v>7690</v>
      </c>
      <c r="C45" t="s">
        <v>7691</v>
      </c>
      <c r="D45" t="s">
        <v>11</v>
      </c>
      <c r="E45" t="s">
        <v>13</v>
      </c>
      <c r="F45" t="s">
        <v>729</v>
      </c>
      <c r="G45" t="s">
        <v>12</v>
      </c>
      <c r="I45" t="s">
        <v>7690</v>
      </c>
      <c r="J45" t="s">
        <v>8635</v>
      </c>
      <c r="K45">
        <v>100.82325</v>
      </c>
      <c r="L45">
        <v>0.46074758952877648</v>
      </c>
      <c r="M45">
        <v>142.65474138322207</v>
      </c>
      <c r="N45">
        <v>156.92021552154429</v>
      </c>
      <c r="P45" t="s">
        <v>726</v>
      </c>
      <c r="Q45" t="s">
        <v>9228</v>
      </c>
      <c r="R45" t="s">
        <v>9229</v>
      </c>
      <c r="S45" t="s">
        <v>11</v>
      </c>
      <c r="T45" t="s">
        <v>13</v>
      </c>
      <c r="U45" t="s">
        <v>75</v>
      </c>
      <c r="V45" t="s">
        <v>12</v>
      </c>
      <c r="X45" t="s">
        <v>9228</v>
      </c>
      <c r="Y45" t="s">
        <v>76</v>
      </c>
      <c r="Z45">
        <v>1</v>
      </c>
    </row>
    <row r="46" spans="1:26">
      <c r="A46" t="s">
        <v>726</v>
      </c>
      <c r="B46" t="s">
        <v>7692</v>
      </c>
      <c r="C46" t="s">
        <v>7693</v>
      </c>
      <c r="D46" t="s">
        <v>11</v>
      </c>
      <c r="E46" t="s">
        <v>13</v>
      </c>
      <c r="F46" t="s">
        <v>729</v>
      </c>
      <c r="G46" t="s">
        <v>12</v>
      </c>
      <c r="I46" t="s">
        <v>7692</v>
      </c>
      <c r="J46" t="s">
        <v>8636</v>
      </c>
      <c r="K46">
        <v>133.40774999999999</v>
      </c>
      <c r="L46">
        <v>0.32213996008310419</v>
      </c>
      <c r="M46">
        <v>144.16891692713983</v>
      </c>
      <c r="N46">
        <v>158.58580861985382</v>
      </c>
      <c r="P46" t="s">
        <v>726</v>
      </c>
      <c r="Q46" t="s">
        <v>9230</v>
      </c>
      <c r="R46" t="s">
        <v>9231</v>
      </c>
      <c r="S46" t="s">
        <v>11</v>
      </c>
      <c r="T46" t="s">
        <v>13</v>
      </c>
      <c r="U46" t="s">
        <v>75</v>
      </c>
      <c r="V46" t="s">
        <v>12</v>
      </c>
      <c r="X46" t="s">
        <v>9230</v>
      </c>
      <c r="Y46" t="s">
        <v>76</v>
      </c>
      <c r="Z46">
        <v>1</v>
      </c>
    </row>
    <row r="47" spans="1:26">
      <c r="A47" t="s">
        <v>726</v>
      </c>
      <c r="B47" t="s">
        <v>7694</v>
      </c>
      <c r="C47" t="s">
        <v>7695</v>
      </c>
      <c r="D47" t="s">
        <v>11</v>
      </c>
      <c r="E47" t="s">
        <v>13</v>
      </c>
      <c r="F47" t="s">
        <v>729</v>
      </c>
      <c r="G47" t="s">
        <v>12</v>
      </c>
      <c r="I47" t="s">
        <v>7694</v>
      </c>
      <c r="J47" t="s">
        <v>8637</v>
      </c>
      <c r="K47">
        <v>99.726749999999996</v>
      </c>
      <c r="L47">
        <v>0.28459834345657969</v>
      </c>
      <c r="M47">
        <v>472.66033238390878</v>
      </c>
      <c r="N47">
        <v>519.92636562229973</v>
      </c>
      <c r="P47" t="s">
        <v>726</v>
      </c>
      <c r="Q47" t="s">
        <v>9232</v>
      </c>
      <c r="R47" t="s">
        <v>9233</v>
      </c>
      <c r="S47" t="s">
        <v>11</v>
      </c>
      <c r="T47" t="s">
        <v>13</v>
      </c>
      <c r="U47" t="s">
        <v>75</v>
      </c>
      <c r="V47" t="s">
        <v>12</v>
      </c>
      <c r="X47" t="s">
        <v>9232</v>
      </c>
      <c r="Y47" t="s">
        <v>76</v>
      </c>
      <c r="Z47">
        <v>1</v>
      </c>
    </row>
    <row r="48" spans="1:26">
      <c r="A48" t="s">
        <v>726</v>
      </c>
      <c r="B48" t="s">
        <v>7696</v>
      </c>
      <c r="C48" t="s">
        <v>7697</v>
      </c>
      <c r="D48" t="s">
        <v>11</v>
      </c>
      <c r="E48" t="s">
        <v>13</v>
      </c>
      <c r="F48" t="s">
        <v>729</v>
      </c>
      <c r="G48" t="s">
        <v>12</v>
      </c>
      <c r="I48" t="s">
        <v>7696</v>
      </c>
      <c r="J48" t="s">
        <v>8638</v>
      </c>
      <c r="K48">
        <v>61.95975</v>
      </c>
      <c r="L48">
        <v>0.31422672291958781</v>
      </c>
      <c r="M48">
        <v>164.82591167380613</v>
      </c>
      <c r="N48">
        <v>181.30850284118677</v>
      </c>
      <c r="P48" t="s">
        <v>726</v>
      </c>
      <c r="Q48" t="s">
        <v>9234</v>
      </c>
      <c r="R48" t="s">
        <v>9235</v>
      </c>
      <c r="S48" t="s">
        <v>11</v>
      </c>
      <c r="T48" t="s">
        <v>13</v>
      </c>
      <c r="U48" t="s">
        <v>75</v>
      </c>
      <c r="V48" t="s">
        <v>12</v>
      </c>
      <c r="X48" t="s">
        <v>9234</v>
      </c>
      <c r="Y48" t="s">
        <v>76</v>
      </c>
      <c r="Z48">
        <v>1</v>
      </c>
    </row>
    <row r="49" spans="1:26">
      <c r="A49" t="s">
        <v>726</v>
      </c>
      <c r="B49" t="s">
        <v>7698</v>
      </c>
      <c r="C49" t="s">
        <v>7699</v>
      </c>
      <c r="D49" t="s">
        <v>11</v>
      </c>
      <c r="E49" t="s">
        <v>13</v>
      </c>
      <c r="F49" t="s">
        <v>729</v>
      </c>
      <c r="G49" t="s">
        <v>12</v>
      </c>
      <c r="I49" t="s">
        <v>7698</v>
      </c>
      <c r="J49" t="s">
        <v>8639</v>
      </c>
      <c r="K49">
        <v>62.091000000000001</v>
      </c>
      <c r="L49">
        <v>0.43786694914384111</v>
      </c>
      <c r="M49">
        <v>99.963347913994042</v>
      </c>
      <c r="N49">
        <v>109.95968270539346</v>
      </c>
      <c r="P49" t="s">
        <v>726</v>
      </c>
      <c r="Q49" t="s">
        <v>9236</v>
      </c>
      <c r="R49" t="s">
        <v>9237</v>
      </c>
      <c r="S49" t="s">
        <v>11</v>
      </c>
      <c r="T49" t="s">
        <v>13</v>
      </c>
      <c r="U49" t="s">
        <v>75</v>
      </c>
      <c r="V49" t="s">
        <v>12</v>
      </c>
      <c r="X49" t="s">
        <v>9236</v>
      </c>
      <c r="Y49" t="s">
        <v>76</v>
      </c>
      <c r="Z49">
        <v>1</v>
      </c>
    </row>
    <row r="50" spans="1:26">
      <c r="A50" t="s">
        <v>726</v>
      </c>
      <c r="B50" t="s">
        <v>7700</v>
      </c>
      <c r="C50" t="s">
        <v>7701</v>
      </c>
      <c r="D50" t="s">
        <v>11</v>
      </c>
      <c r="E50" t="s">
        <v>13</v>
      </c>
      <c r="F50" t="s">
        <v>729</v>
      </c>
      <c r="G50" t="s">
        <v>12</v>
      </c>
      <c r="I50" t="s">
        <v>7700</v>
      </c>
      <c r="J50" t="s">
        <v>8640</v>
      </c>
      <c r="K50">
        <v>67.296750000000003</v>
      </c>
      <c r="L50">
        <v>0.34439108822438169</v>
      </c>
      <c r="M50">
        <v>196.84789531518024</v>
      </c>
      <c r="N50">
        <v>216.53268484669829</v>
      </c>
      <c r="P50" t="s">
        <v>726</v>
      </c>
      <c r="Q50" t="s">
        <v>9238</v>
      </c>
      <c r="R50" t="s">
        <v>9239</v>
      </c>
      <c r="S50" t="s">
        <v>11</v>
      </c>
      <c r="T50" t="s">
        <v>13</v>
      </c>
      <c r="U50" t="s">
        <v>75</v>
      </c>
      <c r="V50" t="s">
        <v>12</v>
      </c>
      <c r="X50" t="s">
        <v>9238</v>
      </c>
      <c r="Y50" t="s">
        <v>76</v>
      </c>
      <c r="Z50">
        <v>1</v>
      </c>
    </row>
    <row r="51" spans="1:26">
      <c r="A51" t="s">
        <v>726</v>
      </c>
      <c r="B51" t="s">
        <v>7702</v>
      </c>
      <c r="C51" t="s">
        <v>7703</v>
      </c>
      <c r="D51" t="s">
        <v>11</v>
      </c>
      <c r="E51" t="s">
        <v>13</v>
      </c>
      <c r="F51" t="s">
        <v>729</v>
      </c>
      <c r="G51" t="s">
        <v>12</v>
      </c>
      <c r="I51" t="s">
        <v>7702</v>
      </c>
      <c r="J51" t="s">
        <v>8641</v>
      </c>
      <c r="K51">
        <v>14.317500000000001</v>
      </c>
      <c r="L51">
        <v>0.23401848921395529</v>
      </c>
      <c r="M51">
        <v>52.604536993109811</v>
      </c>
      <c r="N51">
        <v>57.864990692420797</v>
      </c>
      <c r="P51" t="s">
        <v>726</v>
      </c>
      <c r="Q51" t="s">
        <v>9240</v>
      </c>
      <c r="R51" t="s">
        <v>9241</v>
      </c>
      <c r="S51" t="s">
        <v>11</v>
      </c>
      <c r="T51" t="s">
        <v>13</v>
      </c>
      <c r="U51" t="s">
        <v>75</v>
      </c>
      <c r="V51" t="s">
        <v>12</v>
      </c>
      <c r="X51" t="s">
        <v>9240</v>
      </c>
      <c r="Y51" t="s">
        <v>76</v>
      </c>
      <c r="Z51">
        <v>1</v>
      </c>
    </row>
    <row r="52" spans="1:26">
      <c r="A52" t="s">
        <v>726</v>
      </c>
      <c r="B52" t="s">
        <v>7704</v>
      </c>
      <c r="C52" t="s">
        <v>7705</v>
      </c>
      <c r="D52" t="s">
        <v>11</v>
      </c>
      <c r="E52" t="s">
        <v>13</v>
      </c>
      <c r="F52" t="s">
        <v>729</v>
      </c>
      <c r="G52" t="s">
        <v>12</v>
      </c>
      <c r="I52" t="s">
        <v>7704</v>
      </c>
      <c r="J52" t="s">
        <v>8642</v>
      </c>
      <c r="K52">
        <v>60.5565</v>
      </c>
      <c r="L52">
        <v>0.50863983295865967</v>
      </c>
      <c r="M52">
        <v>98.272899001984456</v>
      </c>
      <c r="N52">
        <v>108.10018890218291</v>
      </c>
      <c r="P52" t="s">
        <v>726</v>
      </c>
      <c r="Q52" t="s">
        <v>9242</v>
      </c>
      <c r="R52" t="s">
        <v>9243</v>
      </c>
      <c r="S52" t="s">
        <v>11</v>
      </c>
      <c r="T52" t="s">
        <v>13</v>
      </c>
      <c r="U52" t="s">
        <v>75</v>
      </c>
      <c r="V52" t="s">
        <v>12</v>
      </c>
      <c r="X52" t="s">
        <v>9242</v>
      </c>
      <c r="Y52" t="s">
        <v>76</v>
      </c>
      <c r="Z52">
        <v>1</v>
      </c>
    </row>
    <row r="53" spans="1:26">
      <c r="A53" t="s">
        <v>726</v>
      </c>
      <c r="B53" t="s">
        <v>7706</v>
      </c>
      <c r="C53" t="s">
        <v>7707</v>
      </c>
      <c r="D53" t="s">
        <v>11</v>
      </c>
      <c r="E53" t="s">
        <v>13</v>
      </c>
      <c r="F53" t="s">
        <v>729</v>
      </c>
      <c r="G53" t="s">
        <v>12</v>
      </c>
      <c r="I53" t="s">
        <v>7706</v>
      </c>
      <c r="J53" t="s">
        <v>8643</v>
      </c>
      <c r="K53">
        <v>787.38075000000003</v>
      </c>
      <c r="L53">
        <v>0.43386609010474397</v>
      </c>
      <c r="M53">
        <v>1713.184443848713</v>
      </c>
      <c r="N53">
        <v>1884.5028882335846</v>
      </c>
      <c r="P53" t="s">
        <v>726</v>
      </c>
      <c r="Q53" t="s">
        <v>9244</v>
      </c>
      <c r="R53" t="s">
        <v>9245</v>
      </c>
      <c r="S53" t="s">
        <v>11</v>
      </c>
      <c r="T53" t="s">
        <v>13</v>
      </c>
      <c r="U53" t="s">
        <v>75</v>
      </c>
      <c r="V53" t="s">
        <v>12</v>
      </c>
      <c r="X53" t="s">
        <v>9244</v>
      </c>
      <c r="Y53" t="s">
        <v>76</v>
      </c>
      <c r="Z53">
        <v>1</v>
      </c>
    </row>
    <row r="54" spans="1:26">
      <c r="A54" t="s">
        <v>726</v>
      </c>
      <c r="B54" t="s">
        <v>7708</v>
      </c>
      <c r="C54" t="s">
        <v>7709</v>
      </c>
      <c r="D54" t="s">
        <v>11</v>
      </c>
      <c r="E54" t="s">
        <v>13</v>
      </c>
      <c r="F54" t="s">
        <v>729</v>
      </c>
      <c r="G54" t="s">
        <v>12</v>
      </c>
      <c r="I54" t="s">
        <v>7708</v>
      </c>
      <c r="J54" t="s">
        <v>8644</v>
      </c>
      <c r="K54">
        <v>456.06599999999997</v>
      </c>
      <c r="L54">
        <v>0.38604668526296071</v>
      </c>
      <c r="M54">
        <v>2180.2221436044551</v>
      </c>
      <c r="N54">
        <v>2398.2443579649007</v>
      </c>
      <c r="P54" t="s">
        <v>726</v>
      </c>
      <c r="Q54" t="s">
        <v>9246</v>
      </c>
      <c r="R54" t="s">
        <v>9247</v>
      </c>
      <c r="S54" t="s">
        <v>11</v>
      </c>
      <c r="T54" t="s">
        <v>13</v>
      </c>
      <c r="U54" t="s">
        <v>75</v>
      </c>
      <c r="V54" t="s">
        <v>12</v>
      </c>
      <c r="X54" t="s">
        <v>9246</v>
      </c>
      <c r="Y54" t="s">
        <v>76</v>
      </c>
      <c r="Z54">
        <v>1</v>
      </c>
    </row>
    <row r="55" spans="1:26">
      <c r="A55" t="s">
        <v>726</v>
      </c>
      <c r="B55" t="s">
        <v>7710</v>
      </c>
      <c r="C55" t="s">
        <v>7711</v>
      </c>
      <c r="D55" t="s">
        <v>11</v>
      </c>
      <c r="E55" t="s">
        <v>13</v>
      </c>
      <c r="F55" t="s">
        <v>729</v>
      </c>
      <c r="G55" t="s">
        <v>12</v>
      </c>
      <c r="I55" t="s">
        <v>7710</v>
      </c>
      <c r="J55" t="s">
        <v>8645</v>
      </c>
      <c r="K55">
        <v>987.70799999999997</v>
      </c>
      <c r="L55">
        <v>0.48837913531723359</v>
      </c>
      <c r="M55">
        <v>1239.4778528557474</v>
      </c>
      <c r="N55">
        <v>1363.4256381413222</v>
      </c>
      <c r="P55" t="s">
        <v>726</v>
      </c>
      <c r="Q55" t="s">
        <v>9248</v>
      </c>
      <c r="R55" t="s">
        <v>9249</v>
      </c>
      <c r="S55" t="s">
        <v>11</v>
      </c>
      <c r="T55" t="s">
        <v>13</v>
      </c>
      <c r="U55" t="s">
        <v>75</v>
      </c>
      <c r="V55" t="s">
        <v>12</v>
      </c>
      <c r="X55" t="s">
        <v>9248</v>
      </c>
      <c r="Y55" t="s">
        <v>76</v>
      </c>
      <c r="Z55">
        <v>1</v>
      </c>
    </row>
    <row r="56" spans="1:26">
      <c r="A56" t="s">
        <v>726</v>
      </c>
      <c r="B56" t="s">
        <v>7712</v>
      </c>
      <c r="C56" t="s">
        <v>7709</v>
      </c>
      <c r="D56" t="s">
        <v>11</v>
      </c>
      <c r="E56" t="s">
        <v>13</v>
      </c>
      <c r="F56" t="s">
        <v>729</v>
      </c>
      <c r="G56" t="s">
        <v>12</v>
      </c>
      <c r="I56" t="s">
        <v>7712</v>
      </c>
      <c r="J56" t="s">
        <v>8646</v>
      </c>
      <c r="K56">
        <v>900.78975000000003</v>
      </c>
      <c r="L56">
        <v>0.46333646279188589</v>
      </c>
      <c r="M56">
        <v>1353.9143340595915</v>
      </c>
      <c r="N56">
        <v>1489.3057674655508</v>
      </c>
      <c r="P56" t="s">
        <v>726</v>
      </c>
      <c r="Q56" t="s">
        <v>9250</v>
      </c>
      <c r="R56" t="s">
        <v>9251</v>
      </c>
      <c r="S56" t="s">
        <v>11</v>
      </c>
      <c r="T56" t="s">
        <v>13</v>
      </c>
      <c r="U56" t="s">
        <v>75</v>
      </c>
      <c r="V56" t="s">
        <v>12</v>
      </c>
      <c r="X56" t="s">
        <v>9250</v>
      </c>
      <c r="Y56" t="s">
        <v>76</v>
      </c>
      <c r="Z56">
        <v>1</v>
      </c>
    </row>
    <row r="57" spans="1:26">
      <c r="A57" t="s">
        <v>726</v>
      </c>
      <c r="B57" t="s">
        <v>7713</v>
      </c>
      <c r="C57" t="s">
        <v>7714</v>
      </c>
      <c r="D57" t="s">
        <v>11</v>
      </c>
      <c r="E57" t="s">
        <v>13</v>
      </c>
      <c r="F57" t="s">
        <v>729</v>
      </c>
      <c r="G57" t="s">
        <v>12</v>
      </c>
      <c r="I57" t="s">
        <v>7713</v>
      </c>
      <c r="J57" t="s">
        <v>8647</v>
      </c>
      <c r="K57">
        <v>352.84350000000001</v>
      </c>
      <c r="L57">
        <v>0.34271902787234337</v>
      </c>
      <c r="M57">
        <v>2553.6957099818578</v>
      </c>
      <c r="N57">
        <v>2809.065280980044</v>
      </c>
      <c r="P57" t="s">
        <v>726</v>
      </c>
      <c r="Q57" t="s">
        <v>9252</v>
      </c>
      <c r="R57" t="s">
        <v>9253</v>
      </c>
      <c r="S57" t="s">
        <v>11</v>
      </c>
      <c r="T57" t="s">
        <v>13</v>
      </c>
      <c r="U57" t="s">
        <v>75</v>
      </c>
      <c r="V57" t="s">
        <v>12</v>
      </c>
      <c r="X57" t="s">
        <v>9252</v>
      </c>
      <c r="Y57" t="s">
        <v>76</v>
      </c>
      <c r="Z57">
        <v>1</v>
      </c>
    </row>
    <row r="58" spans="1:26">
      <c r="A58" t="s">
        <v>726</v>
      </c>
      <c r="B58" t="s">
        <v>7715</v>
      </c>
      <c r="C58" t="s">
        <v>7714</v>
      </c>
      <c r="D58" t="s">
        <v>11</v>
      </c>
      <c r="E58" t="s">
        <v>13</v>
      </c>
      <c r="F58" t="s">
        <v>729</v>
      </c>
      <c r="G58" t="s">
        <v>12</v>
      </c>
      <c r="I58" t="s">
        <v>7715</v>
      </c>
      <c r="J58" t="s">
        <v>8648</v>
      </c>
      <c r="K58">
        <v>510.483</v>
      </c>
      <c r="L58">
        <v>0.33667058737106159</v>
      </c>
      <c r="M58">
        <v>2272.0353981027502</v>
      </c>
      <c r="N58">
        <v>2499.2389379130254</v>
      </c>
      <c r="P58" t="s">
        <v>726</v>
      </c>
      <c r="Q58" t="s">
        <v>9254</v>
      </c>
      <c r="R58" t="s">
        <v>9255</v>
      </c>
      <c r="S58" t="s">
        <v>11</v>
      </c>
      <c r="T58" t="s">
        <v>13</v>
      </c>
      <c r="U58" t="s">
        <v>75</v>
      </c>
      <c r="V58" t="s">
        <v>12</v>
      </c>
      <c r="X58" t="s">
        <v>9254</v>
      </c>
      <c r="Y58" t="s">
        <v>76</v>
      </c>
      <c r="Z58">
        <v>1</v>
      </c>
    </row>
    <row r="59" spans="1:26">
      <c r="A59" t="s">
        <v>726</v>
      </c>
      <c r="B59" t="s">
        <v>7716</v>
      </c>
      <c r="C59" t="s">
        <v>7707</v>
      </c>
      <c r="D59" t="s">
        <v>11</v>
      </c>
      <c r="E59" t="s">
        <v>13</v>
      </c>
      <c r="F59" t="s">
        <v>729</v>
      </c>
      <c r="G59" t="s">
        <v>12</v>
      </c>
      <c r="I59" t="s">
        <v>7716</v>
      </c>
      <c r="J59" t="s">
        <v>8649</v>
      </c>
      <c r="K59">
        <v>230.02500000000001</v>
      </c>
      <c r="L59">
        <v>0.28917080506038673</v>
      </c>
      <c r="M59">
        <v>2433.9974718916619</v>
      </c>
      <c r="N59">
        <v>2677.3972190808281</v>
      </c>
      <c r="P59" t="s">
        <v>726</v>
      </c>
      <c r="Q59" t="s">
        <v>9256</v>
      </c>
      <c r="R59" t="s">
        <v>9257</v>
      </c>
      <c r="S59" t="s">
        <v>11</v>
      </c>
      <c r="T59" t="s">
        <v>13</v>
      </c>
      <c r="U59" t="s">
        <v>75</v>
      </c>
      <c r="V59" t="s">
        <v>12</v>
      </c>
      <c r="X59" t="s">
        <v>9256</v>
      </c>
      <c r="Y59" t="s">
        <v>76</v>
      </c>
      <c r="Z59">
        <v>1</v>
      </c>
    </row>
    <row r="60" spans="1:26">
      <c r="A60" t="s">
        <v>726</v>
      </c>
      <c r="B60" t="s">
        <v>7717</v>
      </c>
      <c r="C60" t="s">
        <v>7718</v>
      </c>
      <c r="D60" t="s">
        <v>11</v>
      </c>
      <c r="E60" t="s">
        <v>13</v>
      </c>
      <c r="F60" t="s">
        <v>729</v>
      </c>
      <c r="G60" t="s">
        <v>12</v>
      </c>
      <c r="I60" t="s">
        <v>7717</v>
      </c>
      <c r="J60" t="s">
        <v>8650</v>
      </c>
      <c r="K60">
        <v>326.154</v>
      </c>
      <c r="L60">
        <v>0.3148234265386437</v>
      </c>
      <c r="M60">
        <v>2887.2246914498041</v>
      </c>
      <c r="N60">
        <v>3175.9471605947847</v>
      </c>
      <c r="P60" t="s">
        <v>726</v>
      </c>
      <c r="Q60" t="s">
        <v>9258</v>
      </c>
      <c r="R60" t="s">
        <v>9259</v>
      </c>
      <c r="S60" t="s">
        <v>11</v>
      </c>
      <c r="T60" t="s">
        <v>13</v>
      </c>
      <c r="U60" t="s">
        <v>75</v>
      </c>
      <c r="V60" t="s">
        <v>12</v>
      </c>
      <c r="X60" t="s">
        <v>9258</v>
      </c>
      <c r="Y60" t="s">
        <v>76</v>
      </c>
      <c r="Z60">
        <v>1</v>
      </c>
    </row>
    <row r="61" spans="1:26">
      <c r="A61" t="s">
        <v>726</v>
      </c>
      <c r="B61" t="s">
        <v>7719</v>
      </c>
      <c r="C61" t="s">
        <v>7718</v>
      </c>
      <c r="D61" t="s">
        <v>11</v>
      </c>
      <c r="E61" t="s">
        <v>13</v>
      </c>
      <c r="F61" t="s">
        <v>729</v>
      </c>
      <c r="G61" t="s">
        <v>12</v>
      </c>
      <c r="I61" t="s">
        <v>7719</v>
      </c>
      <c r="J61" t="s">
        <v>8651</v>
      </c>
      <c r="K61">
        <v>349.44450000000001</v>
      </c>
      <c r="L61">
        <v>0.33438928540285701</v>
      </c>
      <c r="M61">
        <v>2380.9174914284185</v>
      </c>
      <c r="N61">
        <v>2619.0092405712608</v>
      </c>
      <c r="P61" t="s">
        <v>726</v>
      </c>
      <c r="Q61" t="s">
        <v>9260</v>
      </c>
      <c r="R61" t="s">
        <v>9261</v>
      </c>
      <c r="S61" t="s">
        <v>11</v>
      </c>
      <c r="T61" t="s">
        <v>13</v>
      </c>
      <c r="U61" t="s">
        <v>75</v>
      </c>
      <c r="V61" t="s">
        <v>12</v>
      </c>
      <c r="X61" t="s">
        <v>9260</v>
      </c>
      <c r="Y61" t="s">
        <v>76</v>
      </c>
      <c r="Z61">
        <v>1</v>
      </c>
    </row>
    <row r="62" spans="1:26">
      <c r="A62" t="s">
        <v>726</v>
      </c>
      <c r="B62" t="s">
        <v>7720</v>
      </c>
      <c r="C62" t="s">
        <v>7714</v>
      </c>
      <c r="D62" t="s">
        <v>11</v>
      </c>
      <c r="E62" t="s">
        <v>13</v>
      </c>
      <c r="F62" t="s">
        <v>729</v>
      </c>
      <c r="G62" t="s">
        <v>12</v>
      </c>
      <c r="I62" t="s">
        <v>7720</v>
      </c>
      <c r="J62" t="s">
        <v>8652</v>
      </c>
      <c r="K62">
        <v>423.32024999999999</v>
      </c>
      <c r="L62">
        <v>0.33180162620571341</v>
      </c>
      <c r="M62">
        <v>2795.435208732094</v>
      </c>
      <c r="N62">
        <v>3074.9787296053037</v>
      </c>
      <c r="P62" t="s">
        <v>726</v>
      </c>
      <c r="Q62" t="s">
        <v>9262</v>
      </c>
      <c r="R62" t="s">
        <v>9263</v>
      </c>
      <c r="S62" t="s">
        <v>11</v>
      </c>
      <c r="T62" t="s">
        <v>13</v>
      </c>
      <c r="U62" t="s">
        <v>75</v>
      </c>
      <c r="V62" t="s">
        <v>12</v>
      </c>
      <c r="X62" t="s">
        <v>9262</v>
      </c>
      <c r="Y62" t="s">
        <v>76</v>
      </c>
      <c r="Z62">
        <v>1</v>
      </c>
    </row>
    <row r="63" spans="1:26">
      <c r="A63" t="s">
        <v>726</v>
      </c>
      <c r="B63" t="s">
        <v>7721</v>
      </c>
      <c r="C63" t="s">
        <v>7714</v>
      </c>
      <c r="D63" t="s">
        <v>11</v>
      </c>
      <c r="E63" t="s">
        <v>13</v>
      </c>
      <c r="F63" t="s">
        <v>729</v>
      </c>
      <c r="G63" t="s">
        <v>12</v>
      </c>
      <c r="I63" t="s">
        <v>7721</v>
      </c>
      <c r="J63" t="s">
        <v>8653</v>
      </c>
      <c r="K63">
        <v>229.97399999999999</v>
      </c>
      <c r="L63">
        <v>0.39078736315817453</v>
      </c>
      <c r="M63">
        <v>2729.559862264714</v>
      </c>
      <c r="N63">
        <v>3002.5158484911858</v>
      </c>
      <c r="P63" t="s">
        <v>726</v>
      </c>
      <c r="Q63" t="s">
        <v>9264</v>
      </c>
      <c r="R63" t="s">
        <v>9265</v>
      </c>
      <c r="S63" t="s">
        <v>11</v>
      </c>
      <c r="T63" t="s">
        <v>13</v>
      </c>
      <c r="U63" t="s">
        <v>75</v>
      </c>
      <c r="V63" t="s">
        <v>12</v>
      </c>
      <c r="X63" t="s">
        <v>9264</v>
      </c>
      <c r="Y63" t="s">
        <v>76</v>
      </c>
      <c r="Z63">
        <v>1</v>
      </c>
    </row>
    <row r="64" spans="1:26">
      <c r="A64" t="s">
        <v>726</v>
      </c>
      <c r="B64" t="s">
        <v>7722</v>
      </c>
      <c r="C64" t="s">
        <v>7714</v>
      </c>
      <c r="D64" t="s">
        <v>11</v>
      </c>
      <c r="E64" t="s">
        <v>13</v>
      </c>
      <c r="F64" t="s">
        <v>729</v>
      </c>
      <c r="G64" t="s">
        <v>12</v>
      </c>
      <c r="I64" t="s">
        <v>7722</v>
      </c>
      <c r="J64" t="s">
        <v>8654</v>
      </c>
      <c r="K64">
        <v>725.63025000000005</v>
      </c>
      <c r="L64">
        <v>0.3595891236952613</v>
      </c>
      <c r="M64">
        <v>2504.1685516089092</v>
      </c>
      <c r="N64">
        <v>2754.5854067698001</v>
      </c>
      <c r="P64" t="s">
        <v>726</v>
      </c>
      <c r="Q64" t="s">
        <v>9266</v>
      </c>
      <c r="R64" t="s">
        <v>9267</v>
      </c>
      <c r="S64" t="s">
        <v>11</v>
      </c>
      <c r="T64" t="s">
        <v>13</v>
      </c>
      <c r="U64" t="s">
        <v>75</v>
      </c>
      <c r="V64" t="s">
        <v>12</v>
      </c>
      <c r="X64" t="s">
        <v>9266</v>
      </c>
      <c r="Y64" t="s">
        <v>76</v>
      </c>
      <c r="Z64">
        <v>1</v>
      </c>
    </row>
    <row r="65" spans="1:26">
      <c r="A65" t="s">
        <v>726</v>
      </c>
      <c r="B65" t="s">
        <v>7723</v>
      </c>
      <c r="C65" t="s">
        <v>7714</v>
      </c>
      <c r="D65" t="s">
        <v>11</v>
      </c>
      <c r="E65" t="s">
        <v>13</v>
      </c>
      <c r="F65" t="s">
        <v>729</v>
      </c>
      <c r="G65" t="s">
        <v>12</v>
      </c>
      <c r="I65" t="s">
        <v>7723</v>
      </c>
      <c r="J65" t="s">
        <v>8655</v>
      </c>
      <c r="K65">
        <v>653.16449999999998</v>
      </c>
      <c r="L65">
        <v>0.3397001758974269</v>
      </c>
      <c r="M65">
        <v>2348.9548120566897</v>
      </c>
      <c r="N65">
        <v>2583.8502932623587</v>
      </c>
      <c r="P65" t="s">
        <v>726</v>
      </c>
      <c r="Q65" t="s">
        <v>9268</v>
      </c>
      <c r="R65" t="s">
        <v>9269</v>
      </c>
      <c r="S65" t="s">
        <v>11</v>
      </c>
      <c r="T65" t="s">
        <v>13</v>
      </c>
      <c r="U65" t="s">
        <v>75</v>
      </c>
      <c r="V65" t="s">
        <v>12</v>
      </c>
      <c r="X65" t="s">
        <v>9268</v>
      </c>
      <c r="Y65" t="s">
        <v>76</v>
      </c>
      <c r="Z65">
        <v>1</v>
      </c>
    </row>
    <row r="66" spans="1:26">
      <c r="A66" t="s">
        <v>726</v>
      </c>
      <c r="B66" t="s">
        <v>7724</v>
      </c>
      <c r="C66" t="s">
        <v>7714</v>
      </c>
      <c r="D66" t="s">
        <v>11</v>
      </c>
      <c r="E66" t="s">
        <v>13</v>
      </c>
      <c r="F66" t="s">
        <v>729</v>
      </c>
      <c r="G66" t="s">
        <v>12</v>
      </c>
      <c r="I66" t="s">
        <v>7724</v>
      </c>
      <c r="J66" t="s">
        <v>8656</v>
      </c>
      <c r="K66">
        <v>82.717500000000001</v>
      </c>
      <c r="L66">
        <v>0.35386773607743971</v>
      </c>
      <c r="M66">
        <v>1805.3622964207359</v>
      </c>
      <c r="N66">
        <v>1985.8985260628097</v>
      </c>
      <c r="P66" t="s">
        <v>726</v>
      </c>
      <c r="Q66" t="s">
        <v>9270</v>
      </c>
      <c r="R66" t="s">
        <v>9271</v>
      </c>
      <c r="S66" t="s">
        <v>11</v>
      </c>
      <c r="T66" t="s">
        <v>13</v>
      </c>
      <c r="U66" t="s">
        <v>75</v>
      </c>
      <c r="V66" t="s">
        <v>12</v>
      </c>
      <c r="X66" t="s">
        <v>9270</v>
      </c>
      <c r="Y66" t="s">
        <v>76</v>
      </c>
      <c r="Z66">
        <v>1</v>
      </c>
    </row>
    <row r="67" spans="1:26">
      <c r="A67" t="s">
        <v>726</v>
      </c>
      <c r="B67" t="s">
        <v>7725</v>
      </c>
      <c r="C67" t="s">
        <v>7714</v>
      </c>
      <c r="D67" t="s">
        <v>11</v>
      </c>
      <c r="E67" t="s">
        <v>13</v>
      </c>
      <c r="F67" t="s">
        <v>729</v>
      </c>
      <c r="G67" t="s">
        <v>12</v>
      </c>
      <c r="I67" t="s">
        <v>7725</v>
      </c>
      <c r="J67" t="s">
        <v>8657</v>
      </c>
      <c r="K67">
        <v>400.72949999999997</v>
      </c>
      <c r="L67">
        <v>0.35061700070855628</v>
      </c>
      <c r="M67">
        <v>1911.273907991181</v>
      </c>
      <c r="N67">
        <v>2102.4012987902993</v>
      </c>
      <c r="P67" t="s">
        <v>726</v>
      </c>
      <c r="Q67" t="s">
        <v>9272</v>
      </c>
      <c r="R67" t="s">
        <v>9273</v>
      </c>
      <c r="S67" t="s">
        <v>11</v>
      </c>
      <c r="T67" t="s">
        <v>13</v>
      </c>
      <c r="U67" t="s">
        <v>75</v>
      </c>
      <c r="V67" t="s">
        <v>12</v>
      </c>
      <c r="X67" t="s">
        <v>9272</v>
      </c>
      <c r="Y67" t="s">
        <v>76</v>
      </c>
      <c r="Z67">
        <v>1</v>
      </c>
    </row>
    <row r="68" spans="1:26">
      <c r="A68" t="s">
        <v>726</v>
      </c>
      <c r="B68" t="s">
        <v>7726</v>
      </c>
      <c r="C68" t="s">
        <v>7727</v>
      </c>
      <c r="D68" t="s">
        <v>11</v>
      </c>
      <c r="E68" t="s">
        <v>13</v>
      </c>
      <c r="F68" t="s">
        <v>729</v>
      </c>
      <c r="G68" t="s">
        <v>12</v>
      </c>
      <c r="I68" t="s">
        <v>7726</v>
      </c>
      <c r="J68" t="s">
        <v>8658</v>
      </c>
      <c r="K68">
        <v>398.34300000000002</v>
      </c>
      <c r="L68">
        <v>0.53261678130059187</v>
      </c>
      <c r="M68">
        <v>1248.0192338913623</v>
      </c>
      <c r="N68">
        <v>1372.8211572804987</v>
      </c>
      <c r="P68" t="s">
        <v>726</v>
      </c>
      <c r="Q68" t="s">
        <v>9274</v>
      </c>
      <c r="R68" t="s">
        <v>9275</v>
      </c>
      <c r="S68" t="s">
        <v>11</v>
      </c>
      <c r="T68" t="s">
        <v>13</v>
      </c>
      <c r="U68" t="s">
        <v>75</v>
      </c>
      <c r="V68" t="s">
        <v>12</v>
      </c>
      <c r="X68" t="s">
        <v>9274</v>
      </c>
      <c r="Y68" t="s">
        <v>76</v>
      </c>
      <c r="Z68">
        <v>1</v>
      </c>
    </row>
    <row r="69" spans="1:26">
      <c r="A69" t="s">
        <v>726</v>
      </c>
      <c r="B69" t="s">
        <v>7728</v>
      </c>
      <c r="C69" t="s">
        <v>7707</v>
      </c>
      <c r="D69" t="s">
        <v>11</v>
      </c>
      <c r="E69" t="s">
        <v>13</v>
      </c>
      <c r="F69" t="s">
        <v>729</v>
      </c>
      <c r="G69" t="s">
        <v>12</v>
      </c>
      <c r="I69" t="s">
        <v>7728</v>
      </c>
      <c r="J69" t="s">
        <v>8659</v>
      </c>
      <c r="K69">
        <v>714.24525000000006</v>
      </c>
      <c r="L69">
        <v>0.51704508427838802</v>
      </c>
      <c r="M69">
        <v>1511.6897963149486</v>
      </c>
      <c r="N69">
        <v>1662.8587759464435</v>
      </c>
      <c r="P69" t="s">
        <v>726</v>
      </c>
      <c r="Q69" t="s">
        <v>9276</v>
      </c>
      <c r="R69" t="s">
        <v>9277</v>
      </c>
      <c r="S69" t="s">
        <v>11</v>
      </c>
      <c r="T69" t="s">
        <v>13</v>
      </c>
      <c r="U69" t="s">
        <v>75</v>
      </c>
      <c r="V69" t="s">
        <v>12</v>
      </c>
      <c r="X69" t="s">
        <v>9276</v>
      </c>
      <c r="Y69" t="s">
        <v>76</v>
      </c>
      <c r="Z69">
        <v>1</v>
      </c>
    </row>
    <row r="70" spans="1:26">
      <c r="A70" t="s">
        <v>726</v>
      </c>
      <c r="B70" t="s">
        <v>7729</v>
      </c>
      <c r="C70" t="s">
        <v>7707</v>
      </c>
      <c r="D70" t="s">
        <v>11</v>
      </c>
      <c r="E70" t="s">
        <v>13</v>
      </c>
      <c r="F70" t="s">
        <v>729</v>
      </c>
      <c r="G70" t="s">
        <v>12</v>
      </c>
      <c r="I70" t="s">
        <v>7729</v>
      </c>
      <c r="J70" t="s">
        <v>8660</v>
      </c>
      <c r="K70">
        <v>861.64800000000002</v>
      </c>
      <c r="L70">
        <v>0.46439214837870568</v>
      </c>
      <c r="M70">
        <v>2029.6194897806545</v>
      </c>
      <c r="N70">
        <v>2232.5814387587202</v>
      </c>
      <c r="P70" t="s">
        <v>726</v>
      </c>
      <c r="Q70" t="s">
        <v>9278</v>
      </c>
      <c r="R70" t="s">
        <v>9279</v>
      </c>
      <c r="S70" t="s">
        <v>11</v>
      </c>
      <c r="T70" t="s">
        <v>13</v>
      </c>
      <c r="U70" t="s">
        <v>75</v>
      </c>
      <c r="V70" t="s">
        <v>12</v>
      </c>
      <c r="X70" t="s">
        <v>9278</v>
      </c>
      <c r="Y70" t="s">
        <v>76</v>
      </c>
      <c r="Z70">
        <v>1</v>
      </c>
    </row>
    <row r="71" spans="1:26">
      <c r="A71" t="s">
        <v>726</v>
      </c>
      <c r="B71" t="s">
        <v>7730</v>
      </c>
      <c r="C71" t="s">
        <v>7731</v>
      </c>
      <c r="D71" t="s">
        <v>11</v>
      </c>
      <c r="E71" t="s">
        <v>13</v>
      </c>
      <c r="F71" t="s">
        <v>729</v>
      </c>
      <c r="G71" t="s">
        <v>12</v>
      </c>
      <c r="I71" t="s">
        <v>7730</v>
      </c>
      <c r="J71" t="s">
        <v>8661</v>
      </c>
      <c r="K71">
        <v>292.48874999999998</v>
      </c>
      <c r="L71">
        <v>0.38088719487500611</v>
      </c>
      <c r="M71">
        <v>713.75943053290484</v>
      </c>
      <c r="N71">
        <v>785.13537358619544</v>
      </c>
      <c r="P71" t="s">
        <v>726</v>
      </c>
      <c r="Q71" t="s">
        <v>9280</v>
      </c>
      <c r="R71" t="s">
        <v>9281</v>
      </c>
      <c r="S71" t="s">
        <v>11</v>
      </c>
      <c r="T71" t="s">
        <v>13</v>
      </c>
      <c r="U71" t="s">
        <v>75</v>
      </c>
      <c r="V71" t="s">
        <v>12</v>
      </c>
      <c r="X71" t="s">
        <v>9280</v>
      </c>
      <c r="Y71" t="s">
        <v>76</v>
      </c>
      <c r="Z71">
        <v>1</v>
      </c>
    </row>
    <row r="72" spans="1:26">
      <c r="A72" t="s">
        <v>726</v>
      </c>
      <c r="B72" t="s">
        <v>7732</v>
      </c>
      <c r="C72" t="s">
        <v>7733</v>
      </c>
      <c r="D72" t="s">
        <v>11</v>
      </c>
      <c r="E72" t="s">
        <v>13</v>
      </c>
      <c r="F72" t="s">
        <v>729</v>
      </c>
      <c r="G72" t="s">
        <v>12</v>
      </c>
      <c r="I72" t="s">
        <v>7732</v>
      </c>
      <c r="J72" t="s">
        <v>8662</v>
      </c>
      <c r="K72">
        <v>855.50175000000002</v>
      </c>
      <c r="L72">
        <v>0.52402881792993927</v>
      </c>
      <c r="M72">
        <v>430.01269302554391</v>
      </c>
      <c r="N72">
        <v>473.01396232809833</v>
      </c>
      <c r="P72" t="s">
        <v>726</v>
      </c>
      <c r="Q72" t="s">
        <v>9282</v>
      </c>
      <c r="R72" t="s">
        <v>9283</v>
      </c>
      <c r="S72" t="s">
        <v>11</v>
      </c>
      <c r="T72" t="s">
        <v>13</v>
      </c>
      <c r="U72" t="s">
        <v>75</v>
      </c>
      <c r="V72" t="s">
        <v>12</v>
      </c>
      <c r="X72" t="s">
        <v>9282</v>
      </c>
      <c r="Y72" t="s">
        <v>76</v>
      </c>
      <c r="Z72">
        <v>1</v>
      </c>
    </row>
    <row r="73" spans="1:26">
      <c r="A73" t="s">
        <v>726</v>
      </c>
      <c r="B73" t="s">
        <v>7734</v>
      </c>
      <c r="C73" t="s">
        <v>7727</v>
      </c>
      <c r="D73" t="s">
        <v>11</v>
      </c>
      <c r="E73" t="s">
        <v>13</v>
      </c>
      <c r="F73" t="s">
        <v>729</v>
      </c>
      <c r="G73" t="s">
        <v>12</v>
      </c>
      <c r="I73" t="s">
        <v>7734</v>
      </c>
      <c r="J73" t="s">
        <v>8663</v>
      </c>
      <c r="K73">
        <v>748.47825</v>
      </c>
      <c r="L73">
        <v>0.65822490513324605</v>
      </c>
      <c r="M73">
        <v>461.4310216385216</v>
      </c>
      <c r="N73">
        <v>507.57412380237378</v>
      </c>
      <c r="P73" t="s">
        <v>726</v>
      </c>
      <c r="Q73" t="s">
        <v>9284</v>
      </c>
      <c r="R73" t="s">
        <v>9285</v>
      </c>
      <c r="S73" t="s">
        <v>11</v>
      </c>
      <c r="T73" t="s">
        <v>13</v>
      </c>
      <c r="U73" t="s">
        <v>75</v>
      </c>
      <c r="V73" t="s">
        <v>12</v>
      </c>
      <c r="X73" t="s">
        <v>9284</v>
      </c>
      <c r="Y73" t="s">
        <v>76</v>
      </c>
      <c r="Z73">
        <v>1</v>
      </c>
    </row>
    <row r="74" spans="1:26">
      <c r="A74" t="s">
        <v>726</v>
      </c>
      <c r="B74" t="s">
        <v>7735</v>
      </c>
      <c r="C74" t="s">
        <v>7727</v>
      </c>
      <c r="D74" t="s">
        <v>11</v>
      </c>
      <c r="E74" t="s">
        <v>13</v>
      </c>
      <c r="F74" t="s">
        <v>729</v>
      </c>
      <c r="G74" t="s">
        <v>12</v>
      </c>
      <c r="I74" t="s">
        <v>7735</v>
      </c>
      <c r="J74" t="s">
        <v>8664</v>
      </c>
      <c r="K74">
        <v>904.22775000000001</v>
      </c>
      <c r="L74">
        <v>0.60500928152487621</v>
      </c>
      <c r="M74">
        <v>340.73648377087443</v>
      </c>
      <c r="N74">
        <v>374.81013214796189</v>
      </c>
      <c r="P74" t="s">
        <v>726</v>
      </c>
      <c r="Q74" t="s">
        <v>9286</v>
      </c>
      <c r="R74" t="s">
        <v>9287</v>
      </c>
      <c r="S74" t="s">
        <v>11</v>
      </c>
      <c r="T74" t="s">
        <v>13</v>
      </c>
      <c r="U74" t="s">
        <v>75</v>
      </c>
      <c r="V74" t="s">
        <v>12</v>
      </c>
      <c r="X74" t="s">
        <v>9286</v>
      </c>
      <c r="Y74" t="s">
        <v>76</v>
      </c>
      <c r="Z74">
        <v>1</v>
      </c>
    </row>
    <row r="75" spans="1:26">
      <c r="A75" t="s">
        <v>726</v>
      </c>
      <c r="B75" t="s">
        <v>7736</v>
      </c>
      <c r="C75" t="s">
        <v>7737</v>
      </c>
      <c r="D75" t="s">
        <v>11</v>
      </c>
      <c r="E75" t="s">
        <v>13</v>
      </c>
      <c r="F75" t="s">
        <v>729</v>
      </c>
      <c r="G75" t="s">
        <v>12</v>
      </c>
      <c r="I75" t="s">
        <v>7736</v>
      </c>
      <c r="J75" t="s">
        <v>8665</v>
      </c>
      <c r="K75">
        <v>157.19475</v>
      </c>
      <c r="L75">
        <v>0.41134525291406121</v>
      </c>
      <c r="M75">
        <v>286.08566244512139</v>
      </c>
      <c r="N75">
        <v>314.69422868963358</v>
      </c>
      <c r="P75" t="s">
        <v>726</v>
      </c>
      <c r="Q75" t="s">
        <v>9288</v>
      </c>
      <c r="R75" t="s">
        <v>9289</v>
      </c>
      <c r="S75" t="s">
        <v>11</v>
      </c>
      <c r="T75" t="s">
        <v>13</v>
      </c>
      <c r="U75" t="s">
        <v>75</v>
      </c>
      <c r="V75" t="s">
        <v>12</v>
      </c>
      <c r="X75" t="s">
        <v>9288</v>
      </c>
      <c r="Y75" t="s">
        <v>76</v>
      </c>
      <c r="Z75">
        <v>1</v>
      </c>
    </row>
    <row r="76" spans="1:26">
      <c r="A76" t="s">
        <v>726</v>
      </c>
      <c r="B76" t="s">
        <v>7738</v>
      </c>
      <c r="C76" t="s">
        <v>7739</v>
      </c>
      <c r="D76" t="s">
        <v>11</v>
      </c>
      <c r="E76" t="s">
        <v>13</v>
      </c>
      <c r="F76" t="s">
        <v>729</v>
      </c>
      <c r="G76" t="s">
        <v>12</v>
      </c>
      <c r="I76" t="s">
        <v>7738</v>
      </c>
      <c r="J76" t="s">
        <v>8666</v>
      </c>
      <c r="K76">
        <v>111.795</v>
      </c>
      <c r="L76">
        <v>0.54463285134933237</v>
      </c>
      <c r="M76">
        <v>638.42288826086417</v>
      </c>
      <c r="N76">
        <v>702.26517708695064</v>
      </c>
      <c r="P76" t="s">
        <v>726</v>
      </c>
      <c r="Q76" t="s">
        <v>9290</v>
      </c>
      <c r="R76" t="s">
        <v>9291</v>
      </c>
      <c r="S76" t="s">
        <v>11</v>
      </c>
      <c r="T76" t="s">
        <v>13</v>
      </c>
      <c r="U76" t="s">
        <v>75</v>
      </c>
      <c r="V76" t="s">
        <v>12</v>
      </c>
      <c r="X76" t="s">
        <v>9290</v>
      </c>
      <c r="Y76" t="s">
        <v>76</v>
      </c>
      <c r="Z76">
        <v>1</v>
      </c>
    </row>
    <row r="77" spans="1:26">
      <c r="A77" t="s">
        <v>726</v>
      </c>
      <c r="B77" t="s">
        <v>7740</v>
      </c>
      <c r="C77" t="s">
        <v>7739</v>
      </c>
      <c r="D77" t="s">
        <v>11</v>
      </c>
      <c r="E77" t="s">
        <v>13</v>
      </c>
      <c r="F77" t="s">
        <v>729</v>
      </c>
      <c r="G77" t="s">
        <v>12</v>
      </c>
      <c r="I77" t="s">
        <v>7740</v>
      </c>
      <c r="J77" t="s">
        <v>8667</v>
      </c>
      <c r="K77">
        <v>52.421999999999997</v>
      </c>
      <c r="L77">
        <v>0.4749380630430175</v>
      </c>
      <c r="M77">
        <v>182.11637923757297</v>
      </c>
      <c r="N77">
        <v>200.32801716133028</v>
      </c>
      <c r="P77" t="s">
        <v>726</v>
      </c>
      <c r="Q77" t="s">
        <v>9292</v>
      </c>
      <c r="R77" t="s">
        <v>9293</v>
      </c>
      <c r="S77" t="s">
        <v>11</v>
      </c>
      <c r="T77" t="s">
        <v>13</v>
      </c>
      <c r="U77" t="s">
        <v>75</v>
      </c>
      <c r="V77" t="s">
        <v>12</v>
      </c>
      <c r="X77" t="s">
        <v>9292</v>
      </c>
      <c r="Y77" t="s">
        <v>76</v>
      </c>
      <c r="Z77">
        <v>1</v>
      </c>
    </row>
    <row r="78" spans="1:26">
      <c r="A78" t="s">
        <v>726</v>
      </c>
      <c r="B78" t="s">
        <v>7741</v>
      </c>
      <c r="C78" t="s">
        <v>7739</v>
      </c>
      <c r="D78" t="s">
        <v>11</v>
      </c>
      <c r="E78" t="s">
        <v>13</v>
      </c>
      <c r="F78" t="s">
        <v>729</v>
      </c>
      <c r="G78" t="s">
        <v>12</v>
      </c>
      <c r="I78" t="s">
        <v>7741</v>
      </c>
      <c r="J78" t="s">
        <v>8668</v>
      </c>
      <c r="K78">
        <v>264.37275</v>
      </c>
      <c r="L78">
        <v>0.763997212591493</v>
      </c>
      <c r="M78">
        <v>398.20369454544101</v>
      </c>
      <c r="N78">
        <v>438.02406399998517</v>
      </c>
      <c r="P78" t="s">
        <v>726</v>
      </c>
      <c r="Q78" t="s">
        <v>9294</v>
      </c>
      <c r="R78" t="s">
        <v>9295</v>
      </c>
      <c r="S78" t="s">
        <v>11</v>
      </c>
      <c r="T78" t="s">
        <v>13</v>
      </c>
      <c r="U78" t="s">
        <v>75</v>
      </c>
      <c r="V78" t="s">
        <v>12</v>
      </c>
      <c r="X78" t="s">
        <v>9294</v>
      </c>
      <c r="Y78" t="s">
        <v>76</v>
      </c>
      <c r="Z78">
        <v>1</v>
      </c>
    </row>
    <row r="79" spans="1:26">
      <c r="A79" t="s">
        <v>726</v>
      </c>
      <c r="B79" t="s">
        <v>7742</v>
      </c>
      <c r="C79" t="s">
        <v>7743</v>
      </c>
      <c r="D79" t="s">
        <v>11</v>
      </c>
      <c r="E79" t="s">
        <v>13</v>
      </c>
      <c r="F79" t="s">
        <v>729</v>
      </c>
      <c r="G79" t="s">
        <v>12</v>
      </c>
      <c r="I79" t="s">
        <v>7742</v>
      </c>
      <c r="J79" t="s">
        <v>8669</v>
      </c>
      <c r="K79">
        <v>7.5030000000000001</v>
      </c>
      <c r="L79">
        <v>0.2318522803420511</v>
      </c>
      <c r="M79">
        <v>155.97208981488342</v>
      </c>
      <c r="N79">
        <v>171.56929879637178</v>
      </c>
      <c r="P79" t="s">
        <v>726</v>
      </c>
      <c r="Q79" t="s">
        <v>9296</v>
      </c>
      <c r="R79" t="s">
        <v>9297</v>
      </c>
      <c r="S79" t="s">
        <v>11</v>
      </c>
      <c r="T79" t="s">
        <v>13</v>
      </c>
      <c r="U79" t="s">
        <v>75</v>
      </c>
      <c r="V79" t="s">
        <v>12</v>
      </c>
      <c r="X79" t="s">
        <v>9296</v>
      </c>
      <c r="Y79" t="s">
        <v>76</v>
      </c>
      <c r="Z79">
        <v>1</v>
      </c>
    </row>
    <row r="80" spans="1:26">
      <c r="A80" t="s">
        <v>726</v>
      </c>
      <c r="B80" t="s">
        <v>7744</v>
      </c>
      <c r="C80" t="s">
        <v>7745</v>
      </c>
      <c r="D80" t="s">
        <v>11</v>
      </c>
      <c r="E80" t="s">
        <v>13</v>
      </c>
      <c r="F80" t="s">
        <v>729</v>
      </c>
      <c r="G80" t="s">
        <v>12</v>
      </c>
      <c r="I80" t="s">
        <v>7744</v>
      </c>
      <c r="J80" t="s">
        <v>8670</v>
      </c>
      <c r="K80">
        <v>27.787500000000001</v>
      </c>
      <c r="L80">
        <v>0.38481237915445538</v>
      </c>
      <c r="M80">
        <v>167.40556890650876</v>
      </c>
      <c r="N80">
        <v>184.14612579715964</v>
      </c>
      <c r="P80" t="s">
        <v>726</v>
      </c>
      <c r="Q80" t="s">
        <v>9298</v>
      </c>
      <c r="R80" t="s">
        <v>9299</v>
      </c>
      <c r="S80" t="s">
        <v>11</v>
      </c>
      <c r="T80" t="s">
        <v>13</v>
      </c>
      <c r="U80" t="s">
        <v>75</v>
      </c>
      <c r="V80" t="s">
        <v>12</v>
      </c>
      <c r="X80" t="s">
        <v>9298</v>
      </c>
      <c r="Y80" t="s">
        <v>76</v>
      </c>
      <c r="Z80">
        <v>1</v>
      </c>
    </row>
    <row r="81" spans="1:26">
      <c r="A81" t="s">
        <v>726</v>
      </c>
      <c r="B81" t="s">
        <v>7746</v>
      </c>
      <c r="C81" t="s">
        <v>7747</v>
      </c>
      <c r="D81" t="s">
        <v>11</v>
      </c>
      <c r="E81" t="s">
        <v>13</v>
      </c>
      <c r="F81" t="s">
        <v>729</v>
      </c>
      <c r="G81" t="s">
        <v>12</v>
      </c>
      <c r="I81" t="s">
        <v>7746</v>
      </c>
      <c r="J81" t="s">
        <v>8671</v>
      </c>
      <c r="K81">
        <v>51.237749999999998</v>
      </c>
      <c r="L81">
        <v>0.44221517779401548</v>
      </c>
      <c r="M81">
        <v>98.330485042466407</v>
      </c>
      <c r="N81">
        <v>108.16353354671305</v>
      </c>
      <c r="P81" t="s">
        <v>726</v>
      </c>
      <c r="Q81" t="s">
        <v>9300</v>
      </c>
      <c r="R81" t="s">
        <v>9301</v>
      </c>
      <c r="S81" t="s">
        <v>11</v>
      </c>
      <c r="T81" t="s">
        <v>13</v>
      </c>
      <c r="U81" t="s">
        <v>75</v>
      </c>
      <c r="V81" t="s">
        <v>12</v>
      </c>
      <c r="X81" t="s">
        <v>9300</v>
      </c>
      <c r="Y81" t="s">
        <v>76</v>
      </c>
      <c r="Z81">
        <v>1</v>
      </c>
    </row>
    <row r="82" spans="1:26">
      <c r="A82" t="s">
        <v>726</v>
      </c>
      <c r="B82" t="s">
        <v>7748</v>
      </c>
      <c r="C82" t="s">
        <v>7749</v>
      </c>
      <c r="D82" t="s">
        <v>11</v>
      </c>
      <c r="E82" t="s">
        <v>13</v>
      </c>
      <c r="F82" t="s">
        <v>729</v>
      </c>
      <c r="G82" t="s">
        <v>12</v>
      </c>
      <c r="I82" t="s">
        <v>7748</v>
      </c>
      <c r="J82" t="s">
        <v>8672</v>
      </c>
      <c r="K82">
        <v>56.64</v>
      </c>
      <c r="L82">
        <v>0.4312419578079188</v>
      </c>
      <c r="M82">
        <v>181.15149757012972</v>
      </c>
      <c r="N82">
        <v>199.26664732714272</v>
      </c>
      <c r="P82" t="s">
        <v>726</v>
      </c>
      <c r="Q82" t="s">
        <v>9302</v>
      </c>
      <c r="R82" t="s">
        <v>9303</v>
      </c>
      <c r="S82" t="s">
        <v>11</v>
      </c>
      <c r="T82" t="s">
        <v>13</v>
      </c>
      <c r="U82" t="s">
        <v>75</v>
      </c>
      <c r="V82" t="s">
        <v>12</v>
      </c>
      <c r="X82" t="s">
        <v>9302</v>
      </c>
      <c r="Y82" t="s">
        <v>76</v>
      </c>
      <c r="Z82">
        <v>1</v>
      </c>
    </row>
    <row r="83" spans="1:26">
      <c r="A83" t="s">
        <v>726</v>
      </c>
      <c r="B83" t="s">
        <v>7750</v>
      </c>
      <c r="C83" t="s">
        <v>7751</v>
      </c>
      <c r="D83" t="s">
        <v>11</v>
      </c>
      <c r="E83" t="s">
        <v>13</v>
      </c>
      <c r="F83" t="s">
        <v>729</v>
      </c>
      <c r="G83" t="s">
        <v>12</v>
      </c>
      <c r="I83" t="s">
        <v>7750</v>
      </c>
      <c r="J83" t="s">
        <v>8673</v>
      </c>
      <c r="K83">
        <v>21.27825</v>
      </c>
      <c r="L83">
        <v>0.37182818045368837</v>
      </c>
      <c r="M83">
        <v>1222.0431074353587</v>
      </c>
      <c r="N83">
        <v>1344.2474181788946</v>
      </c>
      <c r="P83" t="s">
        <v>726</v>
      </c>
      <c r="Q83" t="s">
        <v>9304</v>
      </c>
      <c r="R83" t="s">
        <v>9305</v>
      </c>
      <c r="S83" t="s">
        <v>11</v>
      </c>
      <c r="T83" t="s">
        <v>13</v>
      </c>
      <c r="U83" t="s">
        <v>75</v>
      </c>
      <c r="V83" t="s">
        <v>12</v>
      </c>
      <c r="X83" t="s">
        <v>9304</v>
      </c>
      <c r="Y83" t="s">
        <v>76</v>
      </c>
      <c r="Z83">
        <v>1</v>
      </c>
    </row>
    <row r="84" spans="1:26">
      <c r="A84" t="s">
        <v>726</v>
      </c>
      <c r="B84" t="s">
        <v>7752</v>
      </c>
      <c r="C84" t="s">
        <v>7753</v>
      </c>
      <c r="D84" t="s">
        <v>11</v>
      </c>
      <c r="E84" t="s">
        <v>13</v>
      </c>
      <c r="F84" t="s">
        <v>729</v>
      </c>
      <c r="G84" t="s">
        <v>12</v>
      </c>
      <c r="I84" t="s">
        <v>7752</v>
      </c>
      <c r="J84" t="s">
        <v>8674</v>
      </c>
      <c r="K84">
        <v>61.503</v>
      </c>
      <c r="L84">
        <v>0.61011039151820057</v>
      </c>
      <c r="M84">
        <v>133.15757378411053</v>
      </c>
      <c r="N84">
        <v>146.47333116252159</v>
      </c>
      <c r="P84" t="s">
        <v>726</v>
      </c>
      <c r="Q84" t="s">
        <v>9306</v>
      </c>
      <c r="R84" t="s">
        <v>9307</v>
      </c>
      <c r="S84" t="s">
        <v>11</v>
      </c>
      <c r="T84" t="s">
        <v>13</v>
      </c>
      <c r="U84" t="s">
        <v>75</v>
      </c>
      <c r="V84" t="s">
        <v>12</v>
      </c>
      <c r="X84" t="s">
        <v>9306</v>
      </c>
      <c r="Y84" t="s">
        <v>76</v>
      </c>
      <c r="Z84">
        <v>1</v>
      </c>
    </row>
    <row r="85" spans="1:26">
      <c r="A85" t="s">
        <v>726</v>
      </c>
      <c r="B85" t="s">
        <v>7754</v>
      </c>
      <c r="C85" t="s">
        <v>7755</v>
      </c>
      <c r="D85" t="s">
        <v>11</v>
      </c>
      <c r="E85" t="s">
        <v>13</v>
      </c>
      <c r="F85" t="s">
        <v>729</v>
      </c>
      <c r="G85" t="s">
        <v>12</v>
      </c>
      <c r="I85" t="s">
        <v>7754</v>
      </c>
      <c r="J85" t="s">
        <v>8675</v>
      </c>
      <c r="K85">
        <v>166.68600000000001</v>
      </c>
      <c r="L85">
        <v>0.4943044084380841</v>
      </c>
      <c r="M85">
        <v>172.94483741404821</v>
      </c>
      <c r="N85">
        <v>190.23932115545304</v>
      </c>
      <c r="P85" t="s">
        <v>726</v>
      </c>
      <c r="Q85" t="s">
        <v>9308</v>
      </c>
      <c r="R85" t="s">
        <v>9309</v>
      </c>
      <c r="S85" t="s">
        <v>11</v>
      </c>
      <c r="T85" t="s">
        <v>13</v>
      </c>
      <c r="U85" t="s">
        <v>75</v>
      </c>
      <c r="V85" t="s">
        <v>12</v>
      </c>
      <c r="X85" t="s">
        <v>9308</v>
      </c>
      <c r="Y85" t="s">
        <v>76</v>
      </c>
      <c r="Z85">
        <v>1</v>
      </c>
    </row>
    <row r="86" spans="1:26">
      <c r="A86" t="s">
        <v>726</v>
      </c>
      <c r="B86" t="s">
        <v>7756</v>
      </c>
      <c r="C86" t="s">
        <v>7751</v>
      </c>
      <c r="D86" t="s">
        <v>11</v>
      </c>
      <c r="E86" t="s">
        <v>13</v>
      </c>
      <c r="F86" t="s">
        <v>729</v>
      </c>
      <c r="G86" t="s">
        <v>12</v>
      </c>
      <c r="I86" t="s">
        <v>7756</v>
      </c>
      <c r="J86" t="s">
        <v>8676</v>
      </c>
      <c r="K86">
        <v>97.952250000000006</v>
      </c>
      <c r="L86">
        <v>0.37842181555164278</v>
      </c>
      <c r="M86">
        <v>313.5049454235741</v>
      </c>
      <c r="N86">
        <v>344.85543996593151</v>
      </c>
      <c r="P86" t="s">
        <v>726</v>
      </c>
      <c r="Q86" t="s">
        <v>9310</v>
      </c>
      <c r="R86" t="s">
        <v>9311</v>
      </c>
      <c r="S86" t="s">
        <v>11</v>
      </c>
      <c r="T86" t="s">
        <v>13</v>
      </c>
      <c r="U86" t="s">
        <v>75</v>
      </c>
      <c r="V86" t="s">
        <v>12</v>
      </c>
      <c r="X86" t="s">
        <v>9310</v>
      </c>
      <c r="Y86" t="s">
        <v>76</v>
      </c>
      <c r="Z86">
        <v>1</v>
      </c>
    </row>
    <row r="87" spans="1:26">
      <c r="A87" t="s">
        <v>726</v>
      </c>
      <c r="B87" t="s">
        <v>7757</v>
      </c>
      <c r="C87" t="s">
        <v>7751</v>
      </c>
      <c r="D87" t="s">
        <v>11</v>
      </c>
      <c r="E87" t="s">
        <v>13</v>
      </c>
      <c r="F87" t="s">
        <v>729</v>
      </c>
      <c r="G87" t="s">
        <v>12</v>
      </c>
      <c r="I87" t="s">
        <v>7757</v>
      </c>
      <c r="J87" t="s">
        <v>8677</v>
      </c>
      <c r="K87">
        <v>171.86250000000001</v>
      </c>
      <c r="L87">
        <v>0.43152993383312688</v>
      </c>
      <c r="M87">
        <v>186.46719865645423</v>
      </c>
      <c r="N87">
        <v>205.11391852209968</v>
      </c>
      <c r="P87" t="s">
        <v>726</v>
      </c>
      <c r="Q87" t="s">
        <v>9312</v>
      </c>
      <c r="R87" t="s">
        <v>9313</v>
      </c>
      <c r="S87" t="s">
        <v>11</v>
      </c>
      <c r="T87" t="s">
        <v>13</v>
      </c>
      <c r="U87" t="s">
        <v>75</v>
      </c>
      <c r="V87" t="s">
        <v>12</v>
      </c>
      <c r="X87" t="s">
        <v>9312</v>
      </c>
      <c r="Y87" t="s">
        <v>76</v>
      </c>
      <c r="Z87">
        <v>1</v>
      </c>
    </row>
    <row r="88" spans="1:26">
      <c r="A88" t="s">
        <v>726</v>
      </c>
      <c r="B88" t="s">
        <v>7758</v>
      </c>
      <c r="C88" t="s">
        <v>7751</v>
      </c>
      <c r="D88" t="s">
        <v>11</v>
      </c>
      <c r="E88" t="s">
        <v>13</v>
      </c>
      <c r="F88" t="s">
        <v>729</v>
      </c>
      <c r="G88" t="s">
        <v>12</v>
      </c>
      <c r="I88" t="s">
        <v>7758</v>
      </c>
      <c r="J88" t="s">
        <v>8678</v>
      </c>
      <c r="K88">
        <v>92.185500000000005</v>
      </c>
      <c r="L88">
        <v>0.37952862995237252</v>
      </c>
      <c r="M88">
        <v>373.69045193129824</v>
      </c>
      <c r="N88">
        <v>411.05949712442811</v>
      </c>
      <c r="P88" t="s">
        <v>726</v>
      </c>
      <c r="Q88" t="s">
        <v>9314</v>
      </c>
      <c r="R88" t="s">
        <v>9315</v>
      </c>
      <c r="S88" t="s">
        <v>11</v>
      </c>
      <c r="T88" t="s">
        <v>13</v>
      </c>
      <c r="U88" t="s">
        <v>75</v>
      </c>
      <c r="V88" t="s">
        <v>12</v>
      </c>
      <c r="X88" t="s">
        <v>9314</v>
      </c>
      <c r="Y88" t="s">
        <v>76</v>
      </c>
      <c r="Z88">
        <v>1</v>
      </c>
    </row>
    <row r="89" spans="1:26">
      <c r="A89" t="s">
        <v>726</v>
      </c>
      <c r="B89" t="s">
        <v>7759</v>
      </c>
      <c r="C89" t="s">
        <v>7760</v>
      </c>
      <c r="D89" t="s">
        <v>11</v>
      </c>
      <c r="E89" t="s">
        <v>13</v>
      </c>
      <c r="F89" t="s">
        <v>729</v>
      </c>
      <c r="G89" t="s">
        <v>12</v>
      </c>
      <c r="I89" t="s">
        <v>7759</v>
      </c>
      <c r="J89" t="s">
        <v>8679</v>
      </c>
      <c r="K89">
        <v>136.72874999999999</v>
      </c>
      <c r="L89">
        <v>0.52522739000929319</v>
      </c>
      <c r="M89">
        <v>199.64405748207489</v>
      </c>
      <c r="N89">
        <v>219.60846323028238</v>
      </c>
      <c r="P89" t="s">
        <v>726</v>
      </c>
      <c r="Q89" t="s">
        <v>9316</v>
      </c>
      <c r="R89" t="s">
        <v>9317</v>
      </c>
      <c r="S89" t="s">
        <v>11</v>
      </c>
      <c r="T89" t="s">
        <v>13</v>
      </c>
      <c r="U89" t="s">
        <v>75</v>
      </c>
      <c r="V89" t="s">
        <v>12</v>
      </c>
      <c r="X89" t="s">
        <v>9316</v>
      </c>
      <c r="Y89" t="s">
        <v>76</v>
      </c>
      <c r="Z89">
        <v>1</v>
      </c>
    </row>
    <row r="90" spans="1:26">
      <c r="A90" t="s">
        <v>726</v>
      </c>
      <c r="B90" t="s">
        <v>7761</v>
      </c>
      <c r="C90" t="s">
        <v>7762</v>
      </c>
      <c r="D90" t="s">
        <v>11</v>
      </c>
      <c r="E90" t="s">
        <v>13</v>
      </c>
      <c r="F90" t="s">
        <v>729</v>
      </c>
      <c r="G90" t="s">
        <v>12</v>
      </c>
      <c r="I90" t="s">
        <v>7761</v>
      </c>
      <c r="J90" t="s">
        <v>8680</v>
      </c>
      <c r="K90">
        <v>160.78424999999999</v>
      </c>
      <c r="L90">
        <v>0.48995769108691661</v>
      </c>
      <c r="M90">
        <v>264.86173159324608</v>
      </c>
      <c r="N90">
        <v>291.34790475257068</v>
      </c>
      <c r="P90" t="s">
        <v>726</v>
      </c>
      <c r="Q90" t="s">
        <v>9318</v>
      </c>
      <c r="R90" t="s">
        <v>9319</v>
      </c>
      <c r="S90" t="s">
        <v>11</v>
      </c>
      <c r="T90" t="s">
        <v>13</v>
      </c>
      <c r="U90" t="s">
        <v>75</v>
      </c>
      <c r="V90" t="s">
        <v>12</v>
      </c>
      <c r="X90" t="s">
        <v>9318</v>
      </c>
      <c r="Y90" t="s">
        <v>76</v>
      </c>
      <c r="Z90">
        <v>1</v>
      </c>
    </row>
    <row r="91" spans="1:26">
      <c r="A91" t="s">
        <v>726</v>
      </c>
      <c r="B91" t="s">
        <v>7763</v>
      </c>
      <c r="C91" t="s">
        <v>7764</v>
      </c>
      <c r="D91" t="s">
        <v>11</v>
      </c>
      <c r="E91" t="s">
        <v>13</v>
      </c>
      <c r="F91" t="s">
        <v>729</v>
      </c>
      <c r="G91" t="s">
        <v>12</v>
      </c>
      <c r="I91" t="s">
        <v>7763</v>
      </c>
      <c r="J91" t="s">
        <v>8681</v>
      </c>
      <c r="K91">
        <v>140.20875000000001</v>
      </c>
      <c r="L91">
        <v>0.38686344953580692</v>
      </c>
      <c r="M91">
        <v>249.02515692322689</v>
      </c>
      <c r="N91">
        <v>273.92767261554962</v>
      </c>
      <c r="P91" t="s">
        <v>726</v>
      </c>
      <c r="Q91" t="s">
        <v>9320</v>
      </c>
      <c r="R91" t="s">
        <v>9321</v>
      </c>
      <c r="S91" t="s">
        <v>11</v>
      </c>
      <c r="T91" t="s">
        <v>13</v>
      </c>
      <c r="U91" t="s">
        <v>75</v>
      </c>
      <c r="V91" t="s">
        <v>12</v>
      </c>
      <c r="X91" t="s">
        <v>9320</v>
      </c>
      <c r="Y91" t="s">
        <v>76</v>
      </c>
      <c r="Z91">
        <v>1</v>
      </c>
    </row>
    <row r="92" spans="1:26">
      <c r="A92" t="s">
        <v>726</v>
      </c>
      <c r="B92" t="s">
        <v>7765</v>
      </c>
      <c r="C92" t="s">
        <v>7764</v>
      </c>
      <c r="D92" t="s">
        <v>11</v>
      </c>
      <c r="E92" t="s">
        <v>13</v>
      </c>
      <c r="F92" t="s">
        <v>729</v>
      </c>
      <c r="G92" t="s">
        <v>12</v>
      </c>
      <c r="I92" t="s">
        <v>7765</v>
      </c>
      <c r="J92" t="s">
        <v>8682</v>
      </c>
      <c r="K92">
        <v>69.509249999999994</v>
      </c>
      <c r="L92">
        <v>0.39297951438960949</v>
      </c>
      <c r="M92">
        <v>142.3929383896762</v>
      </c>
      <c r="N92">
        <v>156.63223222864383</v>
      </c>
      <c r="P92" t="s">
        <v>726</v>
      </c>
      <c r="Q92" t="s">
        <v>9322</v>
      </c>
      <c r="R92" t="s">
        <v>9323</v>
      </c>
      <c r="S92" t="s">
        <v>11</v>
      </c>
      <c r="T92" t="s">
        <v>13</v>
      </c>
      <c r="U92" t="s">
        <v>75</v>
      </c>
      <c r="V92" t="s">
        <v>12</v>
      </c>
      <c r="X92" t="s">
        <v>9322</v>
      </c>
      <c r="Y92" t="s">
        <v>76</v>
      </c>
      <c r="Z92">
        <v>1</v>
      </c>
    </row>
    <row r="93" spans="1:26">
      <c r="A93" t="s">
        <v>726</v>
      </c>
      <c r="B93" t="s">
        <v>7766</v>
      </c>
      <c r="C93" t="s">
        <v>7767</v>
      </c>
      <c r="D93" t="s">
        <v>11</v>
      </c>
      <c r="E93" t="s">
        <v>13</v>
      </c>
      <c r="F93" t="s">
        <v>729</v>
      </c>
      <c r="G93" t="s">
        <v>12</v>
      </c>
      <c r="I93" t="s">
        <v>7766</v>
      </c>
      <c r="J93" t="s">
        <v>8683</v>
      </c>
      <c r="K93">
        <v>2.8642500000000002</v>
      </c>
      <c r="L93">
        <v>7.8454049287106795E-2</v>
      </c>
      <c r="M93">
        <v>101.6534301311696</v>
      </c>
      <c r="N93">
        <v>111.81877314428657</v>
      </c>
      <c r="P93" t="s">
        <v>726</v>
      </c>
      <c r="Q93" t="s">
        <v>9324</v>
      </c>
      <c r="R93" t="s">
        <v>9325</v>
      </c>
      <c r="S93" t="s">
        <v>11</v>
      </c>
      <c r="T93" t="s">
        <v>13</v>
      </c>
      <c r="U93" t="s">
        <v>75</v>
      </c>
      <c r="V93" t="s">
        <v>12</v>
      </c>
      <c r="X93" t="s">
        <v>9324</v>
      </c>
      <c r="Y93" t="s">
        <v>76</v>
      </c>
      <c r="Z93">
        <v>1</v>
      </c>
    </row>
    <row r="94" spans="1:26">
      <c r="A94" t="s">
        <v>726</v>
      </c>
      <c r="B94" t="s">
        <v>7768</v>
      </c>
      <c r="C94" t="s">
        <v>7769</v>
      </c>
      <c r="D94" t="s">
        <v>11</v>
      </c>
      <c r="E94" t="s">
        <v>13</v>
      </c>
      <c r="F94" t="s">
        <v>729</v>
      </c>
      <c r="G94" t="s">
        <v>12</v>
      </c>
      <c r="I94" t="s">
        <v>7768</v>
      </c>
      <c r="J94" t="s">
        <v>8684</v>
      </c>
      <c r="K94">
        <v>8.6865000000000006</v>
      </c>
      <c r="L94">
        <v>8.1656088806455293E-2</v>
      </c>
      <c r="M94">
        <v>78.827439404666862</v>
      </c>
      <c r="N94">
        <v>86.710183345133558</v>
      </c>
      <c r="P94" t="s">
        <v>726</v>
      </c>
      <c r="Q94" t="s">
        <v>9326</v>
      </c>
      <c r="R94" t="s">
        <v>9327</v>
      </c>
      <c r="S94" t="s">
        <v>11</v>
      </c>
      <c r="T94" t="s">
        <v>13</v>
      </c>
      <c r="U94" t="s">
        <v>75</v>
      </c>
      <c r="V94" t="s">
        <v>12</v>
      </c>
      <c r="X94" t="s">
        <v>9326</v>
      </c>
      <c r="Y94" t="s">
        <v>76</v>
      </c>
      <c r="Z94">
        <v>1</v>
      </c>
    </row>
    <row r="95" spans="1:26">
      <c r="A95" t="s">
        <v>726</v>
      </c>
      <c r="B95" t="s">
        <v>7770</v>
      </c>
      <c r="C95" t="s">
        <v>7771</v>
      </c>
      <c r="D95" t="s">
        <v>11</v>
      </c>
      <c r="E95" t="s">
        <v>13</v>
      </c>
      <c r="F95" t="s">
        <v>729</v>
      </c>
      <c r="G95" t="s">
        <v>12</v>
      </c>
      <c r="I95" t="s">
        <v>7770</v>
      </c>
      <c r="J95" t="s">
        <v>8685</v>
      </c>
      <c r="K95">
        <v>15.69375</v>
      </c>
      <c r="L95">
        <v>8.9403610392709401E-2</v>
      </c>
      <c r="M95">
        <v>65.86310312483819</v>
      </c>
      <c r="N95">
        <v>72.449413437322022</v>
      </c>
      <c r="P95" t="s">
        <v>726</v>
      </c>
      <c r="Q95" t="s">
        <v>9328</v>
      </c>
      <c r="R95" t="s">
        <v>9329</v>
      </c>
      <c r="S95" t="s">
        <v>11</v>
      </c>
      <c r="T95" t="s">
        <v>13</v>
      </c>
      <c r="U95" t="s">
        <v>75</v>
      </c>
      <c r="V95" t="s">
        <v>12</v>
      </c>
      <c r="X95" t="s">
        <v>9328</v>
      </c>
      <c r="Y95" t="s">
        <v>76</v>
      </c>
      <c r="Z95">
        <v>1</v>
      </c>
    </row>
    <row r="96" spans="1:26">
      <c r="A96" t="s">
        <v>726</v>
      </c>
      <c r="B96" t="s">
        <v>7772</v>
      </c>
      <c r="C96" t="s">
        <v>7773</v>
      </c>
      <c r="D96" t="s">
        <v>11</v>
      </c>
      <c r="E96" t="s">
        <v>13</v>
      </c>
      <c r="F96" t="s">
        <v>729</v>
      </c>
      <c r="G96" t="s">
        <v>12</v>
      </c>
      <c r="I96" t="s">
        <v>7772</v>
      </c>
      <c r="J96" t="s">
        <v>8686</v>
      </c>
      <c r="K96">
        <v>0.23624999999999999</v>
      </c>
      <c r="L96">
        <v>3.87674809814504E-2</v>
      </c>
      <c r="M96">
        <v>363.48337354410268</v>
      </c>
      <c r="N96">
        <v>399.83171089851299</v>
      </c>
      <c r="P96" t="s">
        <v>726</v>
      </c>
      <c r="Q96" t="s">
        <v>9330</v>
      </c>
      <c r="R96" t="s">
        <v>9331</v>
      </c>
      <c r="S96" t="s">
        <v>11</v>
      </c>
      <c r="T96" t="s">
        <v>13</v>
      </c>
      <c r="U96" t="s">
        <v>75</v>
      </c>
      <c r="V96" t="s">
        <v>12</v>
      </c>
      <c r="X96" t="s">
        <v>9330</v>
      </c>
      <c r="Y96" t="s">
        <v>76</v>
      </c>
      <c r="Z96">
        <v>1</v>
      </c>
    </row>
    <row r="97" spans="1:26">
      <c r="A97" t="s">
        <v>726</v>
      </c>
      <c r="B97" t="s">
        <v>7774</v>
      </c>
      <c r="C97" t="s">
        <v>7775</v>
      </c>
      <c r="D97" t="s">
        <v>11</v>
      </c>
      <c r="E97" t="s">
        <v>13</v>
      </c>
      <c r="F97" t="s">
        <v>729</v>
      </c>
      <c r="G97" t="s">
        <v>12</v>
      </c>
      <c r="I97" t="s">
        <v>7774</v>
      </c>
      <c r="J97" t="s">
        <v>8687</v>
      </c>
      <c r="K97">
        <v>20.16</v>
      </c>
      <c r="L97">
        <v>7.0788878722369303E-2</v>
      </c>
      <c r="M97">
        <v>457.61731239356885</v>
      </c>
      <c r="N97">
        <v>503.3790436329258</v>
      </c>
      <c r="P97" t="s">
        <v>726</v>
      </c>
      <c r="Q97" t="s">
        <v>9332</v>
      </c>
      <c r="R97" t="s">
        <v>9333</v>
      </c>
      <c r="S97" t="s">
        <v>11</v>
      </c>
      <c r="T97" t="s">
        <v>13</v>
      </c>
      <c r="U97" t="s">
        <v>75</v>
      </c>
      <c r="V97" t="s">
        <v>12</v>
      </c>
      <c r="X97" t="s">
        <v>9332</v>
      </c>
      <c r="Y97" t="s">
        <v>76</v>
      </c>
      <c r="Z97">
        <v>1</v>
      </c>
    </row>
    <row r="98" spans="1:26">
      <c r="A98" t="s">
        <v>726</v>
      </c>
      <c r="B98" t="s">
        <v>7776</v>
      </c>
      <c r="C98" t="s">
        <v>7777</v>
      </c>
      <c r="D98" t="s">
        <v>11</v>
      </c>
      <c r="E98" t="s">
        <v>13</v>
      </c>
      <c r="F98" t="s">
        <v>729</v>
      </c>
      <c r="G98" t="s">
        <v>12</v>
      </c>
      <c r="I98" t="s">
        <v>7776</v>
      </c>
      <c r="J98" t="s">
        <v>8688</v>
      </c>
      <c r="K98">
        <v>16.905750000000001</v>
      </c>
      <c r="L98">
        <v>6.7287955305001604E-2</v>
      </c>
      <c r="M98">
        <v>74.592908275045005</v>
      </c>
      <c r="N98">
        <v>82.052199102549508</v>
      </c>
      <c r="P98" t="s">
        <v>726</v>
      </c>
      <c r="Q98" t="s">
        <v>9334</v>
      </c>
      <c r="R98" t="s">
        <v>9335</v>
      </c>
      <c r="S98" t="s">
        <v>11</v>
      </c>
      <c r="T98" t="s">
        <v>13</v>
      </c>
      <c r="U98" t="s">
        <v>75</v>
      </c>
      <c r="V98" t="s">
        <v>12</v>
      </c>
      <c r="X98" t="s">
        <v>9334</v>
      </c>
      <c r="Y98" t="s">
        <v>76</v>
      </c>
      <c r="Z98">
        <v>1</v>
      </c>
    </row>
    <row r="99" spans="1:26">
      <c r="A99" t="s">
        <v>726</v>
      </c>
      <c r="B99" t="s">
        <v>7778</v>
      </c>
      <c r="C99" t="s">
        <v>7779</v>
      </c>
      <c r="D99" t="s">
        <v>11</v>
      </c>
      <c r="E99" t="s">
        <v>13</v>
      </c>
      <c r="F99" t="s">
        <v>729</v>
      </c>
      <c r="G99" t="s">
        <v>12</v>
      </c>
      <c r="I99" t="s">
        <v>7778</v>
      </c>
      <c r="J99" t="s">
        <v>8689</v>
      </c>
      <c r="K99">
        <v>8.5447500000000005</v>
      </c>
      <c r="L99">
        <v>5.20498225509127E-2</v>
      </c>
      <c r="M99">
        <v>37.040944183356963</v>
      </c>
      <c r="N99">
        <v>40.745038601692663</v>
      </c>
      <c r="P99" t="s">
        <v>726</v>
      </c>
      <c r="Q99" t="s">
        <v>9336</v>
      </c>
      <c r="R99" t="s">
        <v>9337</v>
      </c>
      <c r="S99" t="s">
        <v>11</v>
      </c>
      <c r="T99" t="s">
        <v>13</v>
      </c>
      <c r="U99" t="s">
        <v>75</v>
      </c>
      <c r="V99" t="s">
        <v>12</v>
      </c>
      <c r="X99" t="s">
        <v>9336</v>
      </c>
      <c r="Y99" t="s">
        <v>76</v>
      </c>
      <c r="Z99">
        <v>1</v>
      </c>
    </row>
    <row r="100" spans="1:26">
      <c r="A100" t="s">
        <v>726</v>
      </c>
      <c r="B100" t="s">
        <v>7780</v>
      </c>
      <c r="C100" t="s">
        <v>7781</v>
      </c>
      <c r="D100" t="s">
        <v>11</v>
      </c>
      <c r="E100" t="s">
        <v>13</v>
      </c>
      <c r="F100" t="s">
        <v>729</v>
      </c>
      <c r="G100" t="s">
        <v>12</v>
      </c>
      <c r="I100" t="s">
        <v>7780</v>
      </c>
      <c r="J100" t="s">
        <v>8690</v>
      </c>
      <c r="K100">
        <v>5.6467499999999999</v>
      </c>
      <c r="L100">
        <v>0.27520319668044008</v>
      </c>
      <c r="M100">
        <v>56.339390345892646</v>
      </c>
      <c r="N100">
        <v>61.973329380481914</v>
      </c>
      <c r="P100" t="s">
        <v>726</v>
      </c>
      <c r="Q100" t="s">
        <v>9338</v>
      </c>
      <c r="R100" t="s">
        <v>9339</v>
      </c>
      <c r="S100" t="s">
        <v>11</v>
      </c>
      <c r="T100" t="s">
        <v>13</v>
      </c>
      <c r="U100" t="s">
        <v>75</v>
      </c>
      <c r="V100" t="s">
        <v>12</v>
      </c>
      <c r="X100" t="s">
        <v>9338</v>
      </c>
      <c r="Y100" t="s">
        <v>76</v>
      </c>
      <c r="Z100">
        <v>1</v>
      </c>
    </row>
    <row r="101" spans="1:26">
      <c r="A101" t="s">
        <v>726</v>
      </c>
      <c r="B101" t="s">
        <v>7782</v>
      </c>
      <c r="C101" t="s">
        <v>7783</v>
      </c>
      <c r="D101" t="s">
        <v>11</v>
      </c>
      <c r="E101" t="s">
        <v>13</v>
      </c>
      <c r="F101" t="s">
        <v>729</v>
      </c>
      <c r="G101" t="s">
        <v>12</v>
      </c>
      <c r="I101" t="s">
        <v>7782</v>
      </c>
      <c r="J101" t="s">
        <v>8691</v>
      </c>
      <c r="K101">
        <v>16.773</v>
      </c>
      <c r="L101">
        <v>0.53436952457638287</v>
      </c>
      <c r="M101">
        <v>45.323473988497881</v>
      </c>
      <c r="N101">
        <v>49.855821387347675</v>
      </c>
      <c r="P101" t="s">
        <v>726</v>
      </c>
      <c r="Q101" t="s">
        <v>9340</v>
      </c>
      <c r="R101" t="s">
        <v>9341</v>
      </c>
      <c r="S101" t="s">
        <v>11</v>
      </c>
      <c r="T101" t="s">
        <v>13</v>
      </c>
      <c r="U101" t="s">
        <v>75</v>
      </c>
      <c r="V101" t="s">
        <v>12</v>
      </c>
      <c r="X101" t="s">
        <v>9340</v>
      </c>
      <c r="Y101" t="s">
        <v>76</v>
      </c>
      <c r="Z101">
        <v>1</v>
      </c>
    </row>
    <row r="102" spans="1:26">
      <c r="A102" t="s">
        <v>726</v>
      </c>
      <c r="B102" t="s">
        <v>7784</v>
      </c>
      <c r="C102" t="s">
        <v>7785</v>
      </c>
      <c r="D102" t="s">
        <v>11</v>
      </c>
      <c r="E102" t="s">
        <v>13</v>
      </c>
      <c r="F102" t="s">
        <v>729</v>
      </c>
      <c r="G102" t="s">
        <v>12</v>
      </c>
      <c r="I102" t="s">
        <v>7784</v>
      </c>
      <c r="J102" t="s">
        <v>8692</v>
      </c>
      <c r="K102">
        <v>28.67925</v>
      </c>
      <c r="L102">
        <v>0.32072903271427899</v>
      </c>
      <c r="M102">
        <v>75.636331115629673</v>
      </c>
      <c r="N102">
        <v>83.199964227192652</v>
      </c>
      <c r="P102" t="s">
        <v>726</v>
      </c>
      <c r="Q102" t="s">
        <v>9342</v>
      </c>
      <c r="R102" t="s">
        <v>9343</v>
      </c>
      <c r="S102" t="s">
        <v>11</v>
      </c>
      <c r="T102" t="s">
        <v>13</v>
      </c>
      <c r="U102" t="s">
        <v>75</v>
      </c>
      <c r="V102" t="s">
        <v>12</v>
      </c>
      <c r="X102" t="s">
        <v>9342</v>
      </c>
      <c r="Y102" t="s">
        <v>76</v>
      </c>
      <c r="Z102">
        <v>1</v>
      </c>
    </row>
    <row r="103" spans="1:26">
      <c r="A103" t="s">
        <v>726</v>
      </c>
      <c r="B103" t="s">
        <v>7786</v>
      </c>
      <c r="C103" t="s">
        <v>7787</v>
      </c>
      <c r="D103" t="s">
        <v>11</v>
      </c>
      <c r="E103" t="s">
        <v>13</v>
      </c>
      <c r="F103" t="s">
        <v>729</v>
      </c>
      <c r="G103" t="s">
        <v>12</v>
      </c>
      <c r="I103" t="s">
        <v>7786</v>
      </c>
      <c r="J103" t="s">
        <v>8693</v>
      </c>
      <c r="K103">
        <v>38.109000000000002</v>
      </c>
      <c r="L103">
        <v>0.67375974145379935</v>
      </c>
      <c r="M103">
        <v>105.19121725782119</v>
      </c>
      <c r="N103">
        <v>115.71033898360332</v>
      </c>
      <c r="P103" t="s">
        <v>726</v>
      </c>
      <c r="Q103" t="s">
        <v>9344</v>
      </c>
      <c r="R103" t="s">
        <v>9345</v>
      </c>
      <c r="S103" t="s">
        <v>11</v>
      </c>
      <c r="T103" t="s">
        <v>13</v>
      </c>
      <c r="U103" t="s">
        <v>75</v>
      </c>
      <c r="V103" t="s">
        <v>12</v>
      </c>
      <c r="X103" t="s">
        <v>9344</v>
      </c>
      <c r="Y103" t="s">
        <v>76</v>
      </c>
      <c r="Z103">
        <v>1</v>
      </c>
    </row>
    <row r="104" spans="1:26">
      <c r="A104" t="s">
        <v>726</v>
      </c>
      <c r="B104" t="s">
        <v>7788</v>
      </c>
      <c r="C104" t="s">
        <v>7789</v>
      </c>
      <c r="D104" t="s">
        <v>11</v>
      </c>
      <c r="E104" t="s">
        <v>13</v>
      </c>
      <c r="F104" t="s">
        <v>729</v>
      </c>
      <c r="G104" t="s">
        <v>12</v>
      </c>
      <c r="I104" t="s">
        <v>7788</v>
      </c>
      <c r="J104" t="s">
        <v>8694</v>
      </c>
      <c r="K104">
        <v>14.694000000000001</v>
      </c>
      <c r="L104">
        <v>0.4547066692503543</v>
      </c>
      <c r="M104">
        <v>102.72587759211775</v>
      </c>
      <c r="N104">
        <v>112.99846535132954</v>
      </c>
      <c r="P104" t="s">
        <v>726</v>
      </c>
      <c r="Q104" t="s">
        <v>9346</v>
      </c>
      <c r="R104" t="s">
        <v>9347</v>
      </c>
      <c r="S104" t="s">
        <v>11</v>
      </c>
      <c r="T104" t="s">
        <v>13</v>
      </c>
      <c r="U104" t="s">
        <v>75</v>
      </c>
      <c r="V104" t="s">
        <v>12</v>
      </c>
      <c r="X104" t="s">
        <v>9346</v>
      </c>
      <c r="Y104" t="s">
        <v>76</v>
      </c>
      <c r="Z104">
        <v>1</v>
      </c>
    </row>
    <row r="105" spans="1:26">
      <c r="A105" t="s">
        <v>726</v>
      </c>
      <c r="B105" t="s">
        <v>7790</v>
      </c>
      <c r="C105" t="s">
        <v>7791</v>
      </c>
      <c r="D105" t="s">
        <v>11</v>
      </c>
      <c r="E105" t="s">
        <v>13</v>
      </c>
      <c r="F105" t="s">
        <v>729</v>
      </c>
      <c r="G105" t="s">
        <v>12</v>
      </c>
      <c r="I105" t="s">
        <v>7790</v>
      </c>
      <c r="J105" t="s">
        <v>8695</v>
      </c>
      <c r="K105">
        <v>5.5987499999999999</v>
      </c>
      <c r="L105">
        <v>0.22795612709168439</v>
      </c>
      <c r="M105">
        <v>56.503614443168182</v>
      </c>
      <c r="N105">
        <v>62.153975887485004</v>
      </c>
      <c r="P105" t="s">
        <v>726</v>
      </c>
      <c r="Q105" t="s">
        <v>9348</v>
      </c>
      <c r="R105" t="s">
        <v>9349</v>
      </c>
      <c r="S105" t="s">
        <v>11</v>
      </c>
      <c r="T105" t="s">
        <v>13</v>
      </c>
      <c r="U105" t="s">
        <v>75</v>
      </c>
      <c r="V105" t="s">
        <v>12</v>
      </c>
      <c r="X105" t="s">
        <v>9348</v>
      </c>
      <c r="Y105" t="s">
        <v>76</v>
      </c>
      <c r="Z105">
        <v>1</v>
      </c>
    </row>
    <row r="106" spans="1:26">
      <c r="A106" t="s">
        <v>726</v>
      </c>
      <c r="B106" t="s">
        <v>7792</v>
      </c>
      <c r="C106" t="s">
        <v>7793</v>
      </c>
      <c r="D106" t="s">
        <v>11</v>
      </c>
      <c r="E106" t="s">
        <v>13</v>
      </c>
      <c r="F106" t="s">
        <v>729</v>
      </c>
      <c r="G106" t="s">
        <v>12</v>
      </c>
      <c r="I106" t="s">
        <v>7792</v>
      </c>
      <c r="J106" t="s">
        <v>8696</v>
      </c>
      <c r="K106">
        <v>9.7575000000000003</v>
      </c>
      <c r="L106">
        <v>0.29347291329614611</v>
      </c>
      <c r="M106">
        <v>216.28145757851439</v>
      </c>
      <c r="N106">
        <v>237.90960333636585</v>
      </c>
      <c r="P106" t="s">
        <v>726</v>
      </c>
      <c r="Q106" t="s">
        <v>9350</v>
      </c>
      <c r="R106" t="s">
        <v>9351</v>
      </c>
      <c r="S106" t="s">
        <v>11</v>
      </c>
      <c r="T106" t="s">
        <v>13</v>
      </c>
      <c r="U106" t="s">
        <v>75</v>
      </c>
      <c r="V106" t="s">
        <v>12</v>
      </c>
      <c r="X106" t="s">
        <v>9350</v>
      </c>
      <c r="Y106" t="s">
        <v>76</v>
      </c>
      <c r="Z106">
        <v>1</v>
      </c>
    </row>
    <row r="107" spans="1:26">
      <c r="A107" t="s">
        <v>726</v>
      </c>
      <c r="B107" t="s">
        <v>7794</v>
      </c>
      <c r="C107" t="s">
        <v>7795</v>
      </c>
      <c r="D107" t="s">
        <v>11</v>
      </c>
      <c r="E107" t="s">
        <v>13</v>
      </c>
      <c r="F107" t="s">
        <v>729</v>
      </c>
      <c r="G107" t="s">
        <v>12</v>
      </c>
      <c r="I107" t="s">
        <v>7794</v>
      </c>
      <c r="J107" t="s">
        <v>8697</v>
      </c>
      <c r="K107">
        <v>4.3620000000000001</v>
      </c>
      <c r="L107">
        <v>0.2534581750300744</v>
      </c>
      <c r="M107">
        <v>125.75298954388089</v>
      </c>
      <c r="N107">
        <v>138.32828849826899</v>
      </c>
      <c r="P107" t="s">
        <v>726</v>
      </c>
      <c r="Q107" t="s">
        <v>9352</v>
      </c>
      <c r="R107" t="s">
        <v>9353</v>
      </c>
      <c r="S107" t="s">
        <v>11</v>
      </c>
      <c r="T107" t="s">
        <v>13</v>
      </c>
      <c r="U107" t="s">
        <v>75</v>
      </c>
      <c r="V107" t="s">
        <v>12</v>
      </c>
      <c r="X107" t="s">
        <v>9352</v>
      </c>
      <c r="Y107" t="s">
        <v>76</v>
      </c>
      <c r="Z107">
        <v>1</v>
      </c>
    </row>
    <row r="108" spans="1:26">
      <c r="A108" t="s">
        <v>726</v>
      </c>
      <c r="B108" t="s">
        <v>7796</v>
      </c>
      <c r="C108" t="s">
        <v>7797</v>
      </c>
      <c r="D108" t="s">
        <v>11</v>
      </c>
      <c r="E108" t="s">
        <v>13</v>
      </c>
      <c r="F108" t="s">
        <v>729</v>
      </c>
      <c r="G108" t="s">
        <v>12</v>
      </c>
      <c r="I108" t="s">
        <v>7796</v>
      </c>
      <c r="J108" t="s">
        <v>8698</v>
      </c>
      <c r="K108">
        <v>28.911750000000001</v>
      </c>
      <c r="L108">
        <v>0.3089077607039134</v>
      </c>
      <c r="M108">
        <v>99.22011877291736</v>
      </c>
      <c r="N108">
        <v>109.14213065020911</v>
      </c>
      <c r="P108" t="s">
        <v>726</v>
      </c>
      <c r="Q108" t="s">
        <v>9354</v>
      </c>
      <c r="R108" t="s">
        <v>9355</v>
      </c>
      <c r="S108" t="s">
        <v>11</v>
      </c>
      <c r="T108" t="s">
        <v>13</v>
      </c>
      <c r="U108" t="s">
        <v>75</v>
      </c>
      <c r="V108" t="s">
        <v>12</v>
      </c>
      <c r="X108" t="s">
        <v>9354</v>
      </c>
      <c r="Y108" t="s">
        <v>76</v>
      </c>
      <c r="Z108">
        <v>1</v>
      </c>
    </row>
    <row r="109" spans="1:26">
      <c r="A109" t="s">
        <v>726</v>
      </c>
      <c r="B109" t="s">
        <v>7798</v>
      </c>
      <c r="C109" t="s">
        <v>7799</v>
      </c>
      <c r="D109" t="s">
        <v>11</v>
      </c>
      <c r="E109" t="s">
        <v>13</v>
      </c>
      <c r="F109" t="s">
        <v>729</v>
      </c>
      <c r="G109" t="s">
        <v>12</v>
      </c>
      <c r="I109" t="s">
        <v>7798</v>
      </c>
      <c r="J109" t="s">
        <v>8699</v>
      </c>
      <c r="K109">
        <v>9.5549999999999997</v>
      </c>
      <c r="L109">
        <v>0.25502184917329812</v>
      </c>
      <c r="M109">
        <v>110.89458385527</v>
      </c>
      <c r="N109">
        <v>121.98404224079701</v>
      </c>
      <c r="P109" t="s">
        <v>726</v>
      </c>
      <c r="Q109" t="s">
        <v>9356</v>
      </c>
      <c r="R109" t="s">
        <v>9357</v>
      </c>
      <c r="S109" t="s">
        <v>11</v>
      </c>
      <c r="T109" t="s">
        <v>13</v>
      </c>
      <c r="U109" t="s">
        <v>75</v>
      </c>
      <c r="V109" t="s">
        <v>12</v>
      </c>
      <c r="X109" t="s">
        <v>9356</v>
      </c>
      <c r="Y109" t="s">
        <v>76</v>
      </c>
      <c r="Z109">
        <v>1</v>
      </c>
    </row>
    <row r="110" spans="1:26">
      <c r="A110" t="s">
        <v>726</v>
      </c>
      <c r="B110" t="s">
        <v>7800</v>
      </c>
      <c r="C110" t="s">
        <v>7801</v>
      </c>
      <c r="D110" t="s">
        <v>11</v>
      </c>
      <c r="E110" t="s">
        <v>13</v>
      </c>
      <c r="F110" t="s">
        <v>729</v>
      </c>
      <c r="G110" t="s">
        <v>12</v>
      </c>
      <c r="I110" t="s">
        <v>7800</v>
      </c>
      <c r="J110" t="s">
        <v>8700</v>
      </c>
      <c r="K110">
        <v>42.248249999999999</v>
      </c>
      <c r="L110">
        <v>0.32196720213763591</v>
      </c>
      <c r="M110">
        <v>73.866423066398255</v>
      </c>
      <c r="N110">
        <v>81.253065373038083</v>
      </c>
      <c r="P110" t="s">
        <v>726</v>
      </c>
      <c r="Q110" t="s">
        <v>9358</v>
      </c>
      <c r="R110" t="s">
        <v>9359</v>
      </c>
      <c r="S110" t="s">
        <v>11</v>
      </c>
      <c r="T110" t="s">
        <v>13</v>
      </c>
      <c r="U110" t="s">
        <v>75</v>
      </c>
      <c r="V110" t="s">
        <v>12</v>
      </c>
      <c r="X110" t="s">
        <v>9358</v>
      </c>
      <c r="Y110" t="s">
        <v>76</v>
      </c>
      <c r="Z110">
        <v>1</v>
      </c>
    </row>
    <row r="111" spans="1:26">
      <c r="A111" t="s">
        <v>726</v>
      </c>
      <c r="B111" t="s">
        <v>7802</v>
      </c>
      <c r="C111" t="s">
        <v>7803</v>
      </c>
      <c r="D111" t="s">
        <v>11</v>
      </c>
      <c r="E111" t="s">
        <v>13</v>
      </c>
      <c r="F111" t="s">
        <v>729</v>
      </c>
      <c r="G111" t="s">
        <v>12</v>
      </c>
      <c r="I111" t="s">
        <v>7802</v>
      </c>
      <c r="J111" t="s">
        <v>8701</v>
      </c>
      <c r="K111">
        <v>9.7072500000000002</v>
      </c>
      <c r="L111">
        <v>0.32159143999277151</v>
      </c>
      <c r="M111">
        <v>52.983524485602011</v>
      </c>
      <c r="N111">
        <v>58.28187693416222</v>
      </c>
      <c r="P111" t="s">
        <v>726</v>
      </c>
      <c r="Q111" t="s">
        <v>9360</v>
      </c>
      <c r="R111" t="s">
        <v>9361</v>
      </c>
      <c r="S111" t="s">
        <v>11</v>
      </c>
      <c r="T111" t="s">
        <v>13</v>
      </c>
      <c r="U111" t="s">
        <v>75</v>
      </c>
      <c r="V111" t="s">
        <v>12</v>
      </c>
      <c r="X111" t="s">
        <v>9360</v>
      </c>
      <c r="Y111" t="s">
        <v>76</v>
      </c>
      <c r="Z111">
        <v>1</v>
      </c>
    </row>
    <row r="112" spans="1:26">
      <c r="A112" t="s">
        <v>726</v>
      </c>
      <c r="B112" t="s">
        <v>7804</v>
      </c>
      <c r="C112" t="s">
        <v>7805</v>
      </c>
      <c r="D112" t="s">
        <v>11</v>
      </c>
      <c r="E112" t="s">
        <v>13</v>
      </c>
      <c r="F112" t="s">
        <v>729</v>
      </c>
      <c r="G112" t="s">
        <v>12</v>
      </c>
      <c r="I112" t="s">
        <v>7804</v>
      </c>
      <c r="J112" t="s">
        <v>8702</v>
      </c>
      <c r="K112">
        <v>34.039499999999997</v>
      </c>
      <c r="L112">
        <v>0.2364726678709054</v>
      </c>
      <c r="M112">
        <v>100.43303425355528</v>
      </c>
      <c r="N112">
        <v>110.47633767891081</v>
      </c>
      <c r="P112" t="s">
        <v>726</v>
      </c>
      <c r="Q112" t="s">
        <v>9362</v>
      </c>
      <c r="R112" t="s">
        <v>9363</v>
      </c>
      <c r="S112" t="s">
        <v>11</v>
      </c>
      <c r="T112" t="s">
        <v>13</v>
      </c>
      <c r="U112" t="s">
        <v>75</v>
      </c>
      <c r="V112" t="s">
        <v>12</v>
      </c>
      <c r="X112" t="s">
        <v>9362</v>
      </c>
      <c r="Y112" t="s">
        <v>76</v>
      </c>
      <c r="Z112">
        <v>1</v>
      </c>
    </row>
    <row r="113" spans="1:26">
      <c r="A113" t="s">
        <v>726</v>
      </c>
      <c r="B113" t="s">
        <v>7806</v>
      </c>
      <c r="C113" t="s">
        <v>7807</v>
      </c>
      <c r="D113" t="s">
        <v>11</v>
      </c>
      <c r="E113" t="s">
        <v>13</v>
      </c>
      <c r="F113" t="s">
        <v>729</v>
      </c>
      <c r="G113" t="s">
        <v>12</v>
      </c>
      <c r="I113" t="s">
        <v>7806</v>
      </c>
      <c r="J113" t="s">
        <v>8703</v>
      </c>
      <c r="K113">
        <v>7.6994999999999996</v>
      </c>
      <c r="L113">
        <v>0.2347157323357644</v>
      </c>
      <c r="M113">
        <v>71.462349579050453</v>
      </c>
      <c r="N113">
        <v>78.608584536955505</v>
      </c>
      <c r="P113" t="s">
        <v>726</v>
      </c>
      <c r="Q113" t="s">
        <v>9364</v>
      </c>
      <c r="R113" t="s">
        <v>9365</v>
      </c>
      <c r="S113" t="s">
        <v>11</v>
      </c>
      <c r="T113" t="s">
        <v>13</v>
      </c>
      <c r="U113" t="s">
        <v>75</v>
      </c>
      <c r="V113" t="s">
        <v>12</v>
      </c>
      <c r="X113" t="s">
        <v>9364</v>
      </c>
      <c r="Y113" t="s">
        <v>76</v>
      </c>
      <c r="Z113">
        <v>1</v>
      </c>
    </row>
    <row r="114" spans="1:26">
      <c r="A114" t="s">
        <v>726</v>
      </c>
      <c r="B114" t="s">
        <v>7808</v>
      </c>
      <c r="C114" t="s">
        <v>7809</v>
      </c>
      <c r="D114" t="s">
        <v>11</v>
      </c>
      <c r="E114" t="s">
        <v>13</v>
      </c>
      <c r="F114" t="s">
        <v>729</v>
      </c>
      <c r="G114" t="s">
        <v>12</v>
      </c>
      <c r="I114" t="s">
        <v>7808</v>
      </c>
      <c r="J114" t="s">
        <v>8704</v>
      </c>
      <c r="K114">
        <v>4.4917499999999997</v>
      </c>
      <c r="L114">
        <v>0.2326332784219888</v>
      </c>
      <c r="M114">
        <v>61.251109022349233</v>
      </c>
      <c r="N114">
        <v>67.376219924584163</v>
      </c>
      <c r="P114" t="s">
        <v>726</v>
      </c>
      <c r="Q114" t="s">
        <v>9366</v>
      </c>
      <c r="R114" t="s">
        <v>9367</v>
      </c>
      <c r="S114" t="s">
        <v>11</v>
      </c>
      <c r="T114" t="s">
        <v>13</v>
      </c>
      <c r="U114" t="s">
        <v>75</v>
      </c>
      <c r="V114" t="s">
        <v>12</v>
      </c>
      <c r="X114" t="s">
        <v>9366</v>
      </c>
      <c r="Y114" t="s">
        <v>76</v>
      </c>
      <c r="Z114">
        <v>1</v>
      </c>
    </row>
    <row r="115" spans="1:26">
      <c r="A115" t="s">
        <v>726</v>
      </c>
      <c r="B115" t="s">
        <v>7810</v>
      </c>
      <c r="C115" t="s">
        <v>7811</v>
      </c>
      <c r="D115" t="s">
        <v>11</v>
      </c>
      <c r="E115" t="s">
        <v>13</v>
      </c>
      <c r="F115" t="s">
        <v>729</v>
      </c>
      <c r="G115" t="s">
        <v>12</v>
      </c>
      <c r="I115" t="s">
        <v>7810</v>
      </c>
      <c r="J115" t="s">
        <v>8705</v>
      </c>
      <c r="K115">
        <v>223.07499999999999</v>
      </c>
      <c r="L115">
        <v>0.55204149668857505</v>
      </c>
      <c r="M115">
        <v>151.35084161862767</v>
      </c>
      <c r="N115">
        <v>166.48592578049045</v>
      </c>
      <c r="P115" t="s">
        <v>726</v>
      </c>
      <c r="Q115" t="s">
        <v>9368</v>
      </c>
      <c r="R115" t="s">
        <v>9369</v>
      </c>
      <c r="S115" t="s">
        <v>11</v>
      </c>
      <c r="T115" t="s">
        <v>13</v>
      </c>
      <c r="U115" t="s">
        <v>75</v>
      </c>
      <c r="V115" t="s">
        <v>12</v>
      </c>
      <c r="X115" t="s">
        <v>9368</v>
      </c>
      <c r="Y115" t="s">
        <v>76</v>
      </c>
      <c r="Z115">
        <v>1</v>
      </c>
    </row>
    <row r="116" spans="1:26">
      <c r="A116" t="s">
        <v>726</v>
      </c>
      <c r="B116" t="s">
        <v>7812</v>
      </c>
      <c r="C116" t="s">
        <v>7813</v>
      </c>
      <c r="D116" t="s">
        <v>11</v>
      </c>
      <c r="E116" t="s">
        <v>13</v>
      </c>
      <c r="F116" t="s">
        <v>729</v>
      </c>
      <c r="G116" t="s">
        <v>12</v>
      </c>
      <c r="I116" t="s">
        <v>7812</v>
      </c>
      <c r="J116" t="s">
        <v>8706</v>
      </c>
      <c r="K116">
        <v>50.664999999999999</v>
      </c>
      <c r="L116">
        <v>0.4758983015386774</v>
      </c>
      <c r="M116">
        <v>85.202198280738642</v>
      </c>
      <c r="N116">
        <v>93.722418108812519</v>
      </c>
      <c r="P116" t="s">
        <v>726</v>
      </c>
      <c r="Q116" t="s">
        <v>9370</v>
      </c>
      <c r="R116" t="s">
        <v>9371</v>
      </c>
      <c r="S116" t="s">
        <v>11</v>
      </c>
      <c r="T116" t="s">
        <v>13</v>
      </c>
      <c r="U116" t="s">
        <v>75</v>
      </c>
      <c r="V116" t="s">
        <v>12</v>
      </c>
      <c r="X116" t="s">
        <v>9370</v>
      </c>
      <c r="Y116" t="s">
        <v>76</v>
      </c>
      <c r="Z116">
        <v>1</v>
      </c>
    </row>
    <row r="117" spans="1:26">
      <c r="A117" t="s">
        <v>726</v>
      </c>
      <c r="B117" t="s">
        <v>7814</v>
      </c>
      <c r="C117" t="s">
        <v>7815</v>
      </c>
      <c r="D117" t="s">
        <v>11</v>
      </c>
      <c r="E117" t="s">
        <v>13</v>
      </c>
      <c r="F117" t="s">
        <v>729</v>
      </c>
      <c r="G117" t="s">
        <v>12</v>
      </c>
      <c r="I117" t="s">
        <v>7814</v>
      </c>
      <c r="J117" t="s">
        <v>8707</v>
      </c>
      <c r="K117">
        <v>0.92625000000000002</v>
      </c>
      <c r="L117">
        <v>0.28470851865910418</v>
      </c>
      <c r="M117">
        <v>22.746171271872345</v>
      </c>
      <c r="N117">
        <v>25.020788399059583</v>
      </c>
      <c r="P117" t="s">
        <v>726</v>
      </c>
      <c r="Q117" t="s">
        <v>9372</v>
      </c>
      <c r="R117" t="s">
        <v>9373</v>
      </c>
      <c r="S117" t="s">
        <v>11</v>
      </c>
      <c r="T117" t="s">
        <v>13</v>
      </c>
      <c r="U117" t="s">
        <v>75</v>
      </c>
      <c r="V117" t="s">
        <v>12</v>
      </c>
      <c r="X117" t="s">
        <v>9372</v>
      </c>
      <c r="Y117" t="s">
        <v>76</v>
      </c>
      <c r="Z117">
        <v>1</v>
      </c>
    </row>
    <row r="118" spans="1:26">
      <c r="A118" t="s">
        <v>726</v>
      </c>
      <c r="B118" t="s">
        <v>7816</v>
      </c>
      <c r="C118" t="s">
        <v>7817</v>
      </c>
      <c r="D118" t="s">
        <v>11</v>
      </c>
      <c r="E118" t="s">
        <v>13</v>
      </c>
      <c r="F118" t="s">
        <v>729</v>
      </c>
      <c r="G118" t="s">
        <v>12</v>
      </c>
      <c r="I118" t="s">
        <v>7816</v>
      </c>
      <c r="J118" t="s">
        <v>8708</v>
      </c>
      <c r="K118">
        <v>22.372499999999999</v>
      </c>
      <c r="L118">
        <v>0.38730466587608797</v>
      </c>
      <c r="M118">
        <v>40.592370692266648</v>
      </c>
      <c r="N118">
        <v>44.651607761493317</v>
      </c>
      <c r="P118" t="s">
        <v>726</v>
      </c>
      <c r="Q118" t="s">
        <v>9374</v>
      </c>
      <c r="R118" t="s">
        <v>9375</v>
      </c>
      <c r="S118" t="s">
        <v>11</v>
      </c>
      <c r="T118" t="s">
        <v>13</v>
      </c>
      <c r="U118" t="s">
        <v>75</v>
      </c>
      <c r="V118" t="s">
        <v>12</v>
      </c>
      <c r="X118" t="s">
        <v>9374</v>
      </c>
      <c r="Y118" t="s">
        <v>76</v>
      </c>
      <c r="Z118">
        <v>1</v>
      </c>
    </row>
    <row r="119" spans="1:26">
      <c r="A119" t="s">
        <v>726</v>
      </c>
      <c r="B119" t="s">
        <v>7818</v>
      </c>
      <c r="C119" t="s">
        <v>7819</v>
      </c>
      <c r="D119" t="s">
        <v>11</v>
      </c>
      <c r="E119" t="s">
        <v>13</v>
      </c>
      <c r="F119" t="s">
        <v>729</v>
      </c>
      <c r="G119" t="s">
        <v>12</v>
      </c>
      <c r="I119" t="s">
        <v>7818</v>
      </c>
      <c r="J119" t="s">
        <v>8709</v>
      </c>
      <c r="K119">
        <v>13.11975</v>
      </c>
      <c r="L119">
        <v>0.31322500726152219</v>
      </c>
      <c r="M119">
        <v>89.834821456918846</v>
      </c>
      <c r="N119">
        <v>98.81830360261074</v>
      </c>
    </row>
    <row r="120" spans="1:26">
      <c r="A120" t="s">
        <v>726</v>
      </c>
      <c r="B120" t="s">
        <v>7820</v>
      </c>
      <c r="C120" t="s">
        <v>7821</v>
      </c>
      <c r="D120" t="s">
        <v>11</v>
      </c>
      <c r="E120" t="s">
        <v>13</v>
      </c>
      <c r="F120" t="s">
        <v>729</v>
      </c>
      <c r="G120" t="s">
        <v>12</v>
      </c>
      <c r="I120" t="s">
        <v>7820</v>
      </c>
      <c r="J120" t="s">
        <v>8710</v>
      </c>
      <c r="K120">
        <v>1.5367500000000001</v>
      </c>
      <c r="L120">
        <v>8.5698392599360004E-2</v>
      </c>
      <c r="M120">
        <v>46.491219199016612</v>
      </c>
      <c r="N120">
        <v>51.140341118918279</v>
      </c>
    </row>
    <row r="121" spans="1:26">
      <c r="A121" t="s">
        <v>726</v>
      </c>
      <c r="B121" t="s">
        <v>7822</v>
      </c>
      <c r="C121" t="s">
        <v>7823</v>
      </c>
      <c r="D121" t="s">
        <v>11</v>
      </c>
      <c r="E121" t="s">
        <v>13</v>
      </c>
      <c r="F121" t="s">
        <v>729</v>
      </c>
      <c r="G121" t="s">
        <v>12</v>
      </c>
      <c r="I121" t="s">
        <v>7822</v>
      </c>
      <c r="J121" t="s">
        <v>8711</v>
      </c>
      <c r="K121">
        <v>6.0000000000000001E-3</v>
      </c>
      <c r="L121">
        <v>0.4454074820855719</v>
      </c>
      <c r="M121">
        <v>39.055376596982207</v>
      </c>
      <c r="N121">
        <v>42.960914256680432</v>
      </c>
    </row>
    <row r="122" spans="1:26">
      <c r="A122" t="s">
        <v>726</v>
      </c>
      <c r="B122" t="s">
        <v>7824</v>
      </c>
      <c r="C122" t="s">
        <v>7825</v>
      </c>
      <c r="D122" t="s">
        <v>11</v>
      </c>
      <c r="E122" t="s">
        <v>13</v>
      </c>
      <c r="F122" t="s">
        <v>729</v>
      </c>
      <c r="G122" t="s">
        <v>12</v>
      </c>
      <c r="I122" t="s">
        <v>7824</v>
      </c>
      <c r="J122" t="s">
        <v>8712</v>
      </c>
      <c r="K122">
        <v>54.146999999999998</v>
      </c>
      <c r="L122">
        <v>0.51045984036478176</v>
      </c>
      <c r="M122">
        <v>336.84489172625479</v>
      </c>
      <c r="N122">
        <v>370.52938089888028</v>
      </c>
    </row>
    <row r="123" spans="1:26">
      <c r="A123" t="s">
        <v>726</v>
      </c>
      <c r="B123" t="s">
        <v>7826</v>
      </c>
      <c r="C123" t="s">
        <v>7827</v>
      </c>
      <c r="D123" t="s">
        <v>11</v>
      </c>
      <c r="E123" t="s">
        <v>13</v>
      </c>
      <c r="F123" t="s">
        <v>729</v>
      </c>
      <c r="G123" t="s">
        <v>12</v>
      </c>
      <c r="I123" t="s">
        <v>7826</v>
      </c>
      <c r="J123" t="s">
        <v>8713</v>
      </c>
      <c r="K123">
        <v>43.502249999999997</v>
      </c>
      <c r="L123">
        <v>0.51296879831225417</v>
      </c>
      <c r="M123">
        <v>141.16969840961934</v>
      </c>
      <c r="N123">
        <v>155.2866682505813</v>
      </c>
    </row>
    <row r="124" spans="1:26">
      <c r="A124" t="s">
        <v>726</v>
      </c>
      <c r="B124" t="s">
        <v>7828</v>
      </c>
      <c r="C124" t="s">
        <v>7829</v>
      </c>
      <c r="D124" t="s">
        <v>11</v>
      </c>
      <c r="E124" t="s">
        <v>13</v>
      </c>
      <c r="F124" t="s">
        <v>729</v>
      </c>
      <c r="G124" t="s">
        <v>12</v>
      </c>
      <c r="I124" t="s">
        <v>7828</v>
      </c>
      <c r="J124" t="s">
        <v>8714</v>
      </c>
      <c r="K124">
        <v>55.576500000000003</v>
      </c>
      <c r="L124">
        <v>0.60645317175898106</v>
      </c>
      <c r="M124">
        <v>251.36288269652459</v>
      </c>
      <c r="N124">
        <v>276.49917096617708</v>
      </c>
    </row>
    <row r="125" spans="1:26">
      <c r="A125" t="s">
        <v>726</v>
      </c>
      <c r="B125" t="s">
        <v>7830</v>
      </c>
      <c r="C125" t="s">
        <v>7831</v>
      </c>
      <c r="D125" t="s">
        <v>11</v>
      </c>
      <c r="E125" t="s">
        <v>13</v>
      </c>
      <c r="F125" t="s">
        <v>729</v>
      </c>
      <c r="G125" t="s">
        <v>12</v>
      </c>
      <c r="I125" t="s">
        <v>7830</v>
      </c>
      <c r="J125" t="s">
        <v>8715</v>
      </c>
      <c r="K125">
        <v>20.44725</v>
      </c>
      <c r="L125">
        <v>0.2843890638539957</v>
      </c>
      <c r="M125">
        <v>43.50854544337124</v>
      </c>
      <c r="N125">
        <v>47.859399987708365</v>
      </c>
    </row>
    <row r="126" spans="1:26">
      <c r="A126" t="s">
        <v>726</v>
      </c>
      <c r="B126" t="s">
        <v>7832</v>
      </c>
      <c r="C126" t="s">
        <v>7833</v>
      </c>
      <c r="D126" t="s">
        <v>11</v>
      </c>
      <c r="E126" t="s">
        <v>13</v>
      </c>
      <c r="F126" t="s">
        <v>729</v>
      </c>
      <c r="G126" t="s">
        <v>12</v>
      </c>
      <c r="I126" t="s">
        <v>7832</v>
      </c>
      <c r="J126" t="s">
        <v>8716</v>
      </c>
      <c r="K126">
        <v>3.786</v>
      </c>
      <c r="L126">
        <v>0.35762439555537601</v>
      </c>
      <c r="M126">
        <v>108.74963782274833</v>
      </c>
      <c r="N126">
        <v>119.62460160502317</v>
      </c>
    </row>
    <row r="127" spans="1:26">
      <c r="A127" t="s">
        <v>726</v>
      </c>
      <c r="B127" t="s">
        <v>7834</v>
      </c>
      <c r="C127" t="s">
        <v>7835</v>
      </c>
      <c r="D127" t="s">
        <v>11</v>
      </c>
      <c r="E127" t="s">
        <v>13</v>
      </c>
      <c r="F127" t="s">
        <v>729</v>
      </c>
      <c r="G127" t="s">
        <v>12</v>
      </c>
      <c r="I127" t="s">
        <v>7834</v>
      </c>
      <c r="J127" t="s">
        <v>8717</v>
      </c>
      <c r="K127">
        <v>3.3344999999999998</v>
      </c>
      <c r="L127">
        <v>0.47116898588931228</v>
      </c>
      <c r="M127">
        <v>94.163840174958395</v>
      </c>
      <c r="N127">
        <v>103.58022419245424</v>
      </c>
    </row>
    <row r="128" spans="1:26">
      <c r="A128" t="s">
        <v>726</v>
      </c>
      <c r="B128" t="s">
        <v>7836</v>
      </c>
      <c r="C128" t="s">
        <v>7837</v>
      </c>
      <c r="D128" t="s">
        <v>11</v>
      </c>
      <c r="E128" t="s">
        <v>13</v>
      </c>
      <c r="F128" t="s">
        <v>729</v>
      </c>
      <c r="G128" t="s">
        <v>12</v>
      </c>
      <c r="I128" t="s">
        <v>7836</v>
      </c>
      <c r="J128" t="s">
        <v>8718</v>
      </c>
      <c r="K128">
        <v>17.510999999999999</v>
      </c>
      <c r="L128">
        <v>0.45714541847645418</v>
      </c>
      <c r="M128">
        <v>130.47755354670338</v>
      </c>
      <c r="N128">
        <v>143.52530890137373</v>
      </c>
    </row>
    <row r="129" spans="1:14">
      <c r="A129" t="s">
        <v>726</v>
      </c>
      <c r="B129" t="s">
        <v>7838</v>
      </c>
      <c r="C129" t="s">
        <v>7839</v>
      </c>
      <c r="D129" t="s">
        <v>11</v>
      </c>
      <c r="E129" t="s">
        <v>13</v>
      </c>
      <c r="F129" t="s">
        <v>729</v>
      </c>
      <c r="G129" t="s">
        <v>12</v>
      </c>
      <c r="I129" t="s">
        <v>7838</v>
      </c>
      <c r="J129" t="s">
        <v>8719</v>
      </c>
      <c r="K129">
        <v>15.80775</v>
      </c>
      <c r="L129">
        <v>0.28892431430847149</v>
      </c>
      <c r="M129">
        <v>72.989509754543718</v>
      </c>
      <c r="N129">
        <v>80.288460729998093</v>
      </c>
    </row>
    <row r="130" spans="1:14">
      <c r="A130" t="s">
        <v>726</v>
      </c>
      <c r="B130" t="s">
        <v>7840</v>
      </c>
      <c r="C130" t="s">
        <v>7841</v>
      </c>
      <c r="D130" t="s">
        <v>11</v>
      </c>
      <c r="E130" t="s">
        <v>13</v>
      </c>
      <c r="F130" t="s">
        <v>729</v>
      </c>
      <c r="G130" t="s">
        <v>12</v>
      </c>
      <c r="I130" t="s">
        <v>7840</v>
      </c>
      <c r="J130" t="s">
        <v>8720</v>
      </c>
      <c r="K130">
        <v>6.9705000000000004</v>
      </c>
      <c r="L130">
        <v>0.26840011874861769</v>
      </c>
      <c r="M130">
        <v>18.469659537605491</v>
      </c>
      <c r="N130">
        <v>20.316625491366043</v>
      </c>
    </row>
    <row r="131" spans="1:14">
      <c r="A131" t="s">
        <v>726</v>
      </c>
      <c r="B131" t="s">
        <v>7842</v>
      </c>
      <c r="C131" t="s">
        <v>7843</v>
      </c>
      <c r="D131" t="s">
        <v>11</v>
      </c>
      <c r="E131" t="s">
        <v>13</v>
      </c>
      <c r="F131" t="s">
        <v>729</v>
      </c>
      <c r="G131" t="s">
        <v>12</v>
      </c>
      <c r="I131" t="s">
        <v>7842</v>
      </c>
      <c r="J131" t="s">
        <v>8721</v>
      </c>
      <c r="K131">
        <v>24.521999999999998</v>
      </c>
      <c r="L131">
        <v>0.3026273664468922</v>
      </c>
      <c r="M131">
        <v>44.219101738993082</v>
      </c>
      <c r="N131">
        <v>48.641011912892395</v>
      </c>
    </row>
    <row r="132" spans="1:14">
      <c r="A132" t="s">
        <v>726</v>
      </c>
      <c r="B132" t="s">
        <v>7844</v>
      </c>
      <c r="C132" t="s">
        <v>7845</v>
      </c>
      <c r="D132" t="s">
        <v>11</v>
      </c>
      <c r="E132" t="s">
        <v>13</v>
      </c>
      <c r="F132" t="s">
        <v>729</v>
      </c>
      <c r="G132" t="s">
        <v>12</v>
      </c>
      <c r="I132" t="s">
        <v>7844</v>
      </c>
      <c r="J132" t="s">
        <v>8722</v>
      </c>
      <c r="K132">
        <v>0</v>
      </c>
      <c r="L132">
        <v>0.22693773571395659</v>
      </c>
      <c r="M132">
        <v>0</v>
      </c>
      <c r="N132">
        <v>0</v>
      </c>
    </row>
    <row r="133" spans="1:14">
      <c r="A133" t="s">
        <v>726</v>
      </c>
      <c r="B133" t="s">
        <v>7846</v>
      </c>
      <c r="C133" t="s">
        <v>7845</v>
      </c>
      <c r="D133" t="s">
        <v>11</v>
      </c>
      <c r="E133" t="s">
        <v>13</v>
      </c>
      <c r="F133" t="s">
        <v>729</v>
      </c>
      <c r="G133" t="s">
        <v>12</v>
      </c>
      <c r="I133" t="s">
        <v>7846</v>
      </c>
      <c r="J133" t="s">
        <v>8723</v>
      </c>
      <c r="K133">
        <v>0</v>
      </c>
      <c r="L133">
        <v>0.200332951206698</v>
      </c>
      <c r="M133">
        <v>0</v>
      </c>
      <c r="N133">
        <v>0</v>
      </c>
    </row>
    <row r="134" spans="1:14">
      <c r="A134" t="s">
        <v>726</v>
      </c>
      <c r="B134" t="s">
        <v>7847</v>
      </c>
      <c r="C134" t="s">
        <v>7848</v>
      </c>
      <c r="D134" t="s">
        <v>11</v>
      </c>
      <c r="E134" t="s">
        <v>13</v>
      </c>
      <c r="F134" t="s">
        <v>729</v>
      </c>
      <c r="G134" t="s">
        <v>12</v>
      </c>
      <c r="I134" t="s">
        <v>7847</v>
      </c>
      <c r="J134" t="s">
        <v>8724</v>
      </c>
      <c r="K134">
        <v>36.347250000000003</v>
      </c>
      <c r="L134">
        <v>0.40500375693667789</v>
      </c>
      <c r="M134">
        <v>264.08887948068502</v>
      </c>
      <c r="N134">
        <v>290.49776742875355</v>
      </c>
    </row>
    <row r="135" spans="1:14">
      <c r="A135" t="s">
        <v>726</v>
      </c>
      <c r="B135" t="s">
        <v>7849</v>
      </c>
      <c r="C135" t="s">
        <v>7848</v>
      </c>
      <c r="D135" t="s">
        <v>11</v>
      </c>
      <c r="E135" t="s">
        <v>13</v>
      </c>
      <c r="F135" t="s">
        <v>729</v>
      </c>
      <c r="G135" t="s">
        <v>12</v>
      </c>
      <c r="I135" t="s">
        <v>7849</v>
      </c>
      <c r="J135" t="s">
        <v>8725</v>
      </c>
      <c r="K135">
        <v>101.23275</v>
      </c>
      <c r="L135">
        <v>0.34614160008212957</v>
      </c>
      <c r="M135">
        <v>419.00383082265307</v>
      </c>
      <c r="N135">
        <v>460.90421390491844</v>
      </c>
    </row>
    <row r="136" spans="1:14">
      <c r="A136" t="s">
        <v>726</v>
      </c>
      <c r="B136" t="s">
        <v>7850</v>
      </c>
      <c r="C136" t="s">
        <v>7851</v>
      </c>
      <c r="D136" t="s">
        <v>11</v>
      </c>
      <c r="E136" t="s">
        <v>13</v>
      </c>
      <c r="F136" t="s">
        <v>729</v>
      </c>
      <c r="G136" t="s">
        <v>12</v>
      </c>
      <c r="I136" t="s">
        <v>7850</v>
      </c>
      <c r="J136" t="s">
        <v>8726</v>
      </c>
      <c r="K136">
        <v>42.603749999999998</v>
      </c>
      <c r="L136">
        <v>0.2463119778199292</v>
      </c>
      <c r="M136">
        <v>103.77399214158692</v>
      </c>
      <c r="N136">
        <v>114.15139135574562</v>
      </c>
    </row>
    <row r="137" spans="1:14">
      <c r="A137" t="s">
        <v>726</v>
      </c>
      <c r="B137" t="s">
        <v>7852</v>
      </c>
      <c r="C137" t="s">
        <v>7853</v>
      </c>
      <c r="D137" t="s">
        <v>11</v>
      </c>
      <c r="E137" t="s">
        <v>13</v>
      </c>
      <c r="F137" t="s">
        <v>729</v>
      </c>
      <c r="G137" t="s">
        <v>12</v>
      </c>
      <c r="I137" t="s">
        <v>7852</v>
      </c>
      <c r="J137" t="s">
        <v>8727</v>
      </c>
      <c r="K137">
        <v>11.24775</v>
      </c>
      <c r="L137">
        <v>0.30206610352113128</v>
      </c>
      <c r="M137">
        <v>435.81967212873531</v>
      </c>
      <c r="N137">
        <v>479.40163934160887</v>
      </c>
    </row>
    <row r="138" spans="1:14">
      <c r="A138" t="s">
        <v>726</v>
      </c>
      <c r="B138" t="s">
        <v>7854</v>
      </c>
      <c r="C138" t="s">
        <v>7853</v>
      </c>
      <c r="D138" t="s">
        <v>11</v>
      </c>
      <c r="E138" t="s">
        <v>13</v>
      </c>
      <c r="F138" t="s">
        <v>729</v>
      </c>
      <c r="G138" t="s">
        <v>12</v>
      </c>
      <c r="I138" t="s">
        <v>7854</v>
      </c>
      <c r="J138" t="s">
        <v>8728</v>
      </c>
      <c r="K138">
        <v>30.65175</v>
      </c>
      <c r="L138">
        <v>0.2765799695319523</v>
      </c>
      <c r="M138">
        <v>106.3025654098882</v>
      </c>
      <c r="N138">
        <v>116.93282195087703</v>
      </c>
    </row>
    <row r="139" spans="1:14">
      <c r="A139" t="s">
        <v>726</v>
      </c>
      <c r="B139" t="s">
        <v>7855</v>
      </c>
      <c r="C139" t="s">
        <v>7856</v>
      </c>
      <c r="D139" t="s">
        <v>11</v>
      </c>
      <c r="E139" t="s">
        <v>13</v>
      </c>
      <c r="F139" t="s">
        <v>729</v>
      </c>
      <c r="G139" t="s">
        <v>12</v>
      </c>
      <c r="I139" t="s">
        <v>7855</v>
      </c>
      <c r="J139" t="s">
        <v>8729</v>
      </c>
      <c r="K139">
        <v>22.747499999999999</v>
      </c>
      <c r="L139">
        <v>0.2051086285227727</v>
      </c>
      <c r="M139">
        <v>247.90785122703937</v>
      </c>
      <c r="N139">
        <v>272.69863634974331</v>
      </c>
    </row>
    <row r="140" spans="1:14">
      <c r="A140" t="s">
        <v>726</v>
      </c>
      <c r="B140" t="s">
        <v>7857</v>
      </c>
      <c r="C140" t="s">
        <v>7858</v>
      </c>
      <c r="D140" t="s">
        <v>11</v>
      </c>
      <c r="E140" t="s">
        <v>13</v>
      </c>
      <c r="F140" t="s">
        <v>729</v>
      </c>
      <c r="G140" t="s">
        <v>12</v>
      </c>
      <c r="I140" t="s">
        <v>7857</v>
      </c>
      <c r="J140" t="s">
        <v>8730</v>
      </c>
      <c r="K140">
        <v>37.285499999999999</v>
      </c>
      <c r="L140">
        <v>0.41919203008715861</v>
      </c>
      <c r="M140">
        <v>377.59822719398886</v>
      </c>
      <c r="N140">
        <v>415.35804991338779</v>
      </c>
    </row>
    <row r="141" spans="1:14">
      <c r="A141" t="s">
        <v>726</v>
      </c>
      <c r="B141" t="s">
        <v>7859</v>
      </c>
      <c r="C141" t="s">
        <v>7858</v>
      </c>
      <c r="D141" t="s">
        <v>11</v>
      </c>
      <c r="E141" t="s">
        <v>13</v>
      </c>
      <c r="F141" t="s">
        <v>729</v>
      </c>
      <c r="G141" t="s">
        <v>12</v>
      </c>
      <c r="I141" t="s">
        <v>7859</v>
      </c>
      <c r="J141" t="s">
        <v>8731</v>
      </c>
      <c r="K141">
        <v>23.484749999999998</v>
      </c>
      <c r="L141">
        <v>0.2491596106100808</v>
      </c>
      <c r="M141">
        <v>272.36916974770241</v>
      </c>
      <c r="N141">
        <v>299.6060867224727</v>
      </c>
    </row>
    <row r="142" spans="1:14">
      <c r="A142" t="s">
        <v>726</v>
      </c>
      <c r="B142" t="s">
        <v>7860</v>
      </c>
      <c r="C142" t="s">
        <v>7861</v>
      </c>
      <c r="D142" t="s">
        <v>11</v>
      </c>
      <c r="E142" t="s">
        <v>13</v>
      </c>
      <c r="F142" t="s">
        <v>729</v>
      </c>
      <c r="G142" t="s">
        <v>12</v>
      </c>
      <c r="I142" t="s">
        <v>7860</v>
      </c>
      <c r="J142" t="s">
        <v>8732</v>
      </c>
      <c r="K142">
        <v>103.41074999999999</v>
      </c>
      <c r="L142">
        <v>0.28073157486597528</v>
      </c>
      <c r="M142">
        <v>55.625891004793736</v>
      </c>
      <c r="N142">
        <v>61.188480105273115</v>
      </c>
    </row>
    <row r="143" spans="1:14">
      <c r="A143" t="s">
        <v>726</v>
      </c>
      <c r="B143" t="s">
        <v>7862</v>
      </c>
      <c r="C143" t="s">
        <v>7863</v>
      </c>
      <c r="D143" t="s">
        <v>11</v>
      </c>
      <c r="E143" t="s">
        <v>13</v>
      </c>
      <c r="F143" t="s">
        <v>729</v>
      </c>
      <c r="G143" t="s">
        <v>12</v>
      </c>
      <c r="I143" t="s">
        <v>7862</v>
      </c>
      <c r="J143" t="s">
        <v>8733</v>
      </c>
      <c r="K143">
        <v>41.738999999999997</v>
      </c>
      <c r="L143">
        <v>0.27676482997106949</v>
      </c>
      <c r="M143">
        <v>76.462915727157579</v>
      </c>
      <c r="N143">
        <v>84.109207299873347</v>
      </c>
    </row>
    <row r="144" spans="1:14">
      <c r="A144" t="s">
        <v>726</v>
      </c>
      <c r="B144" t="s">
        <v>7864</v>
      </c>
      <c r="C144" t="s">
        <v>7865</v>
      </c>
      <c r="D144" t="s">
        <v>11</v>
      </c>
      <c r="E144" t="s">
        <v>13</v>
      </c>
      <c r="F144" t="s">
        <v>729</v>
      </c>
      <c r="G144" t="s">
        <v>12</v>
      </c>
      <c r="I144" t="s">
        <v>7864</v>
      </c>
      <c r="J144" t="s">
        <v>8734</v>
      </c>
      <c r="K144">
        <v>70.403999999999996</v>
      </c>
      <c r="L144">
        <v>0.35887505346832099</v>
      </c>
      <c r="M144">
        <v>52.920646921999705</v>
      </c>
      <c r="N144">
        <v>58.212711614199677</v>
      </c>
    </row>
    <row r="145" spans="1:14">
      <c r="A145" t="s">
        <v>726</v>
      </c>
      <c r="B145" t="s">
        <v>7866</v>
      </c>
      <c r="C145" t="s">
        <v>7867</v>
      </c>
      <c r="D145" t="s">
        <v>11</v>
      </c>
      <c r="E145" t="s">
        <v>13</v>
      </c>
      <c r="F145" t="s">
        <v>729</v>
      </c>
      <c r="G145" t="s">
        <v>12</v>
      </c>
      <c r="I145" t="s">
        <v>7866</v>
      </c>
      <c r="J145" t="s">
        <v>8735</v>
      </c>
      <c r="K145">
        <v>46.533000000000001</v>
      </c>
      <c r="L145">
        <v>0.37379278221119971</v>
      </c>
      <c r="M145">
        <v>75.177245711370347</v>
      </c>
      <c r="N145">
        <v>82.694970282507384</v>
      </c>
    </row>
    <row r="146" spans="1:14">
      <c r="A146" t="s">
        <v>726</v>
      </c>
      <c r="B146" t="s">
        <v>7868</v>
      </c>
      <c r="C146" t="s">
        <v>7869</v>
      </c>
      <c r="D146" t="s">
        <v>11</v>
      </c>
      <c r="E146" t="s">
        <v>13</v>
      </c>
      <c r="F146" t="s">
        <v>729</v>
      </c>
      <c r="G146" t="s">
        <v>12</v>
      </c>
      <c r="I146" t="s">
        <v>7868</v>
      </c>
      <c r="J146" t="s">
        <v>8736</v>
      </c>
      <c r="K146">
        <v>51.417000000000002</v>
      </c>
      <c r="L146">
        <v>0.30496669987374819</v>
      </c>
      <c r="M146">
        <v>63.259655316826027</v>
      </c>
      <c r="N146">
        <v>69.58562084850864</v>
      </c>
    </row>
    <row r="147" spans="1:14">
      <c r="A147" t="s">
        <v>726</v>
      </c>
      <c r="B147" t="s">
        <v>7870</v>
      </c>
      <c r="C147" t="s">
        <v>7871</v>
      </c>
      <c r="D147" t="s">
        <v>11</v>
      </c>
      <c r="E147" t="s">
        <v>13</v>
      </c>
      <c r="F147" t="s">
        <v>729</v>
      </c>
      <c r="G147" t="s">
        <v>12</v>
      </c>
      <c r="I147" t="s">
        <v>7870</v>
      </c>
      <c r="J147" t="s">
        <v>8737</v>
      </c>
      <c r="K147">
        <v>34.175249999999998</v>
      </c>
      <c r="L147">
        <v>0.49087910650217742</v>
      </c>
      <c r="M147">
        <v>104.13124363698628</v>
      </c>
      <c r="N147">
        <v>114.54436800068493</v>
      </c>
    </row>
    <row r="148" spans="1:14">
      <c r="A148" t="s">
        <v>726</v>
      </c>
      <c r="B148" t="s">
        <v>7872</v>
      </c>
      <c r="C148" t="s">
        <v>7873</v>
      </c>
      <c r="D148" t="s">
        <v>11</v>
      </c>
      <c r="E148" t="s">
        <v>13</v>
      </c>
      <c r="F148" t="s">
        <v>729</v>
      </c>
      <c r="G148" t="s">
        <v>12</v>
      </c>
      <c r="I148" t="s">
        <v>7872</v>
      </c>
      <c r="J148" t="s">
        <v>8738</v>
      </c>
      <c r="K148">
        <v>63.579749999999997</v>
      </c>
      <c r="L148">
        <v>0.5064712854263248</v>
      </c>
      <c r="M148">
        <v>80.949821376416409</v>
      </c>
      <c r="N148">
        <v>89.04480351405806</v>
      </c>
    </row>
    <row r="149" spans="1:14">
      <c r="A149" t="s">
        <v>726</v>
      </c>
      <c r="B149" t="s">
        <v>7874</v>
      </c>
      <c r="C149" t="s">
        <v>7875</v>
      </c>
      <c r="D149" t="s">
        <v>11</v>
      </c>
      <c r="E149" t="s">
        <v>13</v>
      </c>
      <c r="F149" t="s">
        <v>729</v>
      </c>
      <c r="G149" t="s">
        <v>12</v>
      </c>
      <c r="I149" t="s">
        <v>7874</v>
      </c>
      <c r="J149" t="s">
        <v>8739</v>
      </c>
      <c r="K149">
        <v>20.954249999999998</v>
      </c>
      <c r="L149">
        <v>0.3216700790663195</v>
      </c>
      <c r="M149">
        <v>83.513548623558108</v>
      </c>
      <c r="N149">
        <v>91.864903485913928</v>
      </c>
    </row>
    <row r="150" spans="1:14">
      <c r="A150" t="s">
        <v>726</v>
      </c>
      <c r="B150" t="s">
        <v>7876</v>
      </c>
      <c r="C150" t="s">
        <v>7875</v>
      </c>
      <c r="D150" t="s">
        <v>11</v>
      </c>
      <c r="E150" t="s">
        <v>13</v>
      </c>
      <c r="F150" t="s">
        <v>729</v>
      </c>
      <c r="G150" t="s">
        <v>12</v>
      </c>
      <c r="I150" t="s">
        <v>7876</v>
      </c>
      <c r="J150" t="s">
        <v>8740</v>
      </c>
      <c r="K150">
        <v>18.36225</v>
      </c>
      <c r="L150">
        <v>0.45060346844290827</v>
      </c>
      <c r="M150">
        <v>191.44451831710217</v>
      </c>
      <c r="N150">
        <v>210.58897014881239</v>
      </c>
    </row>
    <row r="151" spans="1:14">
      <c r="A151" t="s">
        <v>726</v>
      </c>
      <c r="B151" t="s">
        <v>7877</v>
      </c>
      <c r="C151" t="s">
        <v>7875</v>
      </c>
      <c r="D151" t="s">
        <v>11</v>
      </c>
      <c r="E151" t="s">
        <v>13</v>
      </c>
      <c r="F151" t="s">
        <v>729</v>
      </c>
      <c r="G151" t="s">
        <v>12</v>
      </c>
      <c r="I151" t="s">
        <v>7877</v>
      </c>
      <c r="J151" t="s">
        <v>8741</v>
      </c>
      <c r="K151">
        <v>56.268749999999997</v>
      </c>
      <c r="L151">
        <v>0.47672083214918171</v>
      </c>
      <c r="M151">
        <v>404.94112192909415</v>
      </c>
      <c r="N151">
        <v>445.43523412200358</v>
      </c>
    </row>
    <row r="152" spans="1:14">
      <c r="A152" t="s">
        <v>726</v>
      </c>
      <c r="B152" t="s">
        <v>7878</v>
      </c>
      <c r="C152" t="s">
        <v>7879</v>
      </c>
      <c r="D152" t="s">
        <v>11</v>
      </c>
      <c r="E152" t="s">
        <v>13</v>
      </c>
      <c r="F152" t="s">
        <v>729</v>
      </c>
      <c r="G152" t="s">
        <v>12</v>
      </c>
      <c r="I152" t="s">
        <v>7878</v>
      </c>
      <c r="J152" t="s">
        <v>8742</v>
      </c>
      <c r="K152">
        <v>78.775499999999994</v>
      </c>
      <c r="L152">
        <v>0.48767416398761598</v>
      </c>
      <c r="M152">
        <v>138.54032693067404</v>
      </c>
      <c r="N152">
        <v>152.39435962374145</v>
      </c>
    </row>
    <row r="153" spans="1:14">
      <c r="A153" t="s">
        <v>726</v>
      </c>
      <c r="B153" t="s">
        <v>7880</v>
      </c>
      <c r="C153" t="s">
        <v>7881</v>
      </c>
      <c r="D153" t="s">
        <v>11</v>
      </c>
      <c r="E153" t="s">
        <v>13</v>
      </c>
      <c r="F153" t="s">
        <v>729</v>
      </c>
      <c r="G153" t="s">
        <v>12</v>
      </c>
      <c r="I153" t="s">
        <v>7880</v>
      </c>
      <c r="J153" t="s">
        <v>8743</v>
      </c>
      <c r="K153">
        <v>28.538250000000001</v>
      </c>
      <c r="L153">
        <v>0.45234475467183177</v>
      </c>
      <c r="M153">
        <v>60.85882776528922</v>
      </c>
      <c r="N153">
        <v>66.944710541818154</v>
      </c>
    </row>
    <row r="154" spans="1:14">
      <c r="A154" t="s">
        <v>726</v>
      </c>
      <c r="B154" t="s">
        <v>7882</v>
      </c>
      <c r="C154" t="s">
        <v>7883</v>
      </c>
      <c r="D154" t="s">
        <v>11</v>
      </c>
      <c r="E154" t="s">
        <v>13</v>
      </c>
      <c r="F154" t="s">
        <v>729</v>
      </c>
      <c r="G154" t="s">
        <v>12</v>
      </c>
      <c r="I154" t="s">
        <v>7882</v>
      </c>
      <c r="J154" t="s">
        <v>8744</v>
      </c>
      <c r="K154">
        <v>81.393749999999997</v>
      </c>
      <c r="L154">
        <v>0.49843161001430319</v>
      </c>
      <c r="M154">
        <v>172.30722614625316</v>
      </c>
      <c r="N154">
        <v>189.53794876087849</v>
      </c>
    </row>
    <row r="155" spans="1:14">
      <c r="A155" t="s">
        <v>726</v>
      </c>
      <c r="B155" t="s">
        <v>7884</v>
      </c>
      <c r="C155" t="s">
        <v>7885</v>
      </c>
      <c r="D155" t="s">
        <v>11</v>
      </c>
      <c r="E155" t="s">
        <v>13</v>
      </c>
      <c r="F155" t="s">
        <v>729</v>
      </c>
      <c r="G155" t="s">
        <v>12</v>
      </c>
      <c r="I155" t="s">
        <v>7884</v>
      </c>
      <c r="J155" t="s">
        <v>8745</v>
      </c>
      <c r="K155">
        <v>63.694499999999998</v>
      </c>
      <c r="L155">
        <v>0.47757625770975221</v>
      </c>
      <c r="M155">
        <v>180.7399832390102</v>
      </c>
      <c r="N155">
        <v>198.81398156291124</v>
      </c>
    </row>
    <row r="156" spans="1:14">
      <c r="A156" t="s">
        <v>726</v>
      </c>
      <c r="B156" t="s">
        <v>7886</v>
      </c>
      <c r="C156" t="s">
        <v>7887</v>
      </c>
      <c r="D156" t="s">
        <v>11</v>
      </c>
      <c r="E156" t="s">
        <v>13</v>
      </c>
      <c r="F156" t="s">
        <v>729</v>
      </c>
      <c r="G156" t="s">
        <v>12</v>
      </c>
      <c r="I156" t="s">
        <v>7886</v>
      </c>
      <c r="J156" t="s">
        <v>8746</v>
      </c>
      <c r="K156">
        <v>38.411999999999999</v>
      </c>
      <c r="L156">
        <v>0.49422859759551718</v>
      </c>
      <c r="M156">
        <v>57.587805431668549</v>
      </c>
      <c r="N156">
        <v>63.346585974835406</v>
      </c>
    </row>
    <row r="157" spans="1:14">
      <c r="A157" t="s">
        <v>726</v>
      </c>
      <c r="B157" t="s">
        <v>7888</v>
      </c>
      <c r="C157" t="s">
        <v>7889</v>
      </c>
      <c r="D157" t="s">
        <v>11</v>
      </c>
      <c r="E157" t="s">
        <v>13</v>
      </c>
      <c r="F157" t="s">
        <v>729</v>
      </c>
      <c r="G157" t="s">
        <v>12</v>
      </c>
      <c r="I157" t="s">
        <v>7888</v>
      </c>
      <c r="J157" t="s">
        <v>8747</v>
      </c>
      <c r="K157">
        <v>34.057499999999997</v>
      </c>
      <c r="L157">
        <v>0.26511672158498562</v>
      </c>
      <c r="M157">
        <v>69.715928537168949</v>
      </c>
      <c r="N157">
        <v>76.687521390885848</v>
      </c>
    </row>
    <row r="158" spans="1:14">
      <c r="A158" t="s">
        <v>726</v>
      </c>
      <c r="B158" t="s">
        <v>7890</v>
      </c>
      <c r="C158" t="s">
        <v>7891</v>
      </c>
      <c r="D158" t="s">
        <v>11</v>
      </c>
      <c r="E158" t="s">
        <v>13</v>
      </c>
      <c r="F158" t="s">
        <v>729</v>
      </c>
      <c r="G158" t="s">
        <v>12</v>
      </c>
      <c r="I158" t="s">
        <v>7890</v>
      </c>
      <c r="J158" t="s">
        <v>8748</v>
      </c>
      <c r="K158">
        <v>30.642749999999999</v>
      </c>
      <c r="L158">
        <v>0.34235236888189441</v>
      </c>
      <c r="M158">
        <v>68.075982396329408</v>
      </c>
      <c r="N158">
        <v>74.88358063596236</v>
      </c>
    </row>
    <row r="159" spans="1:14">
      <c r="A159" t="s">
        <v>726</v>
      </c>
      <c r="B159" t="s">
        <v>7892</v>
      </c>
      <c r="C159" t="s">
        <v>7893</v>
      </c>
      <c r="D159" t="s">
        <v>11</v>
      </c>
      <c r="E159" t="s">
        <v>13</v>
      </c>
      <c r="F159" t="s">
        <v>729</v>
      </c>
      <c r="G159" t="s">
        <v>12</v>
      </c>
      <c r="I159" t="s">
        <v>7892</v>
      </c>
      <c r="J159" t="s">
        <v>8749</v>
      </c>
      <c r="K159">
        <v>150.08699999999999</v>
      </c>
      <c r="L159">
        <v>0.48193236624132751</v>
      </c>
      <c r="M159">
        <v>136.88055702024857</v>
      </c>
      <c r="N159">
        <v>150.56861272227346</v>
      </c>
    </row>
    <row r="160" spans="1:14">
      <c r="A160" t="s">
        <v>726</v>
      </c>
      <c r="B160" t="s">
        <v>7894</v>
      </c>
      <c r="C160" t="s">
        <v>7895</v>
      </c>
      <c r="D160" t="s">
        <v>11</v>
      </c>
      <c r="E160" t="s">
        <v>13</v>
      </c>
      <c r="F160" t="s">
        <v>729</v>
      </c>
      <c r="G160" t="s">
        <v>12</v>
      </c>
      <c r="I160" t="s">
        <v>7894</v>
      </c>
      <c r="J160" t="s">
        <v>8750</v>
      </c>
      <c r="K160">
        <v>55.070999999999998</v>
      </c>
      <c r="L160">
        <v>0.52276714473178965</v>
      </c>
      <c r="M160">
        <v>81.116415226829929</v>
      </c>
      <c r="N160">
        <v>89.22805674951293</v>
      </c>
    </row>
    <row r="161" spans="1:14">
      <c r="A161" t="s">
        <v>726</v>
      </c>
      <c r="B161" t="s">
        <v>7896</v>
      </c>
      <c r="C161" t="s">
        <v>7897</v>
      </c>
      <c r="D161" t="s">
        <v>11</v>
      </c>
      <c r="E161" t="s">
        <v>13</v>
      </c>
      <c r="F161" t="s">
        <v>729</v>
      </c>
      <c r="G161" t="s">
        <v>12</v>
      </c>
      <c r="I161" t="s">
        <v>7896</v>
      </c>
      <c r="J161" t="s">
        <v>8751</v>
      </c>
      <c r="K161">
        <v>196.13024999999999</v>
      </c>
      <c r="L161">
        <v>0.57239438631003536</v>
      </c>
      <c r="M161">
        <v>186.78764544275572</v>
      </c>
      <c r="N161">
        <v>205.46640998703131</v>
      </c>
    </row>
    <row r="162" spans="1:14">
      <c r="A162" t="s">
        <v>726</v>
      </c>
      <c r="B162" t="s">
        <v>7898</v>
      </c>
      <c r="C162" t="s">
        <v>7899</v>
      </c>
      <c r="D162" t="s">
        <v>11</v>
      </c>
      <c r="E162" t="s">
        <v>13</v>
      </c>
      <c r="F162" t="s">
        <v>729</v>
      </c>
      <c r="G162" t="s">
        <v>12</v>
      </c>
      <c r="I162" t="s">
        <v>7898</v>
      </c>
      <c r="J162" t="s">
        <v>8752</v>
      </c>
      <c r="K162">
        <v>19.609500000000001</v>
      </c>
      <c r="L162">
        <v>9.7782768142499102E-2</v>
      </c>
      <c r="M162">
        <v>55.663839542755845</v>
      </c>
      <c r="N162">
        <v>61.230223497031432</v>
      </c>
    </row>
    <row r="163" spans="1:14">
      <c r="A163" t="s">
        <v>726</v>
      </c>
      <c r="B163" t="s">
        <v>7900</v>
      </c>
      <c r="C163" t="s">
        <v>7899</v>
      </c>
      <c r="D163" t="s">
        <v>11</v>
      </c>
      <c r="E163" t="s">
        <v>13</v>
      </c>
      <c r="F163" t="s">
        <v>729</v>
      </c>
      <c r="G163" t="s">
        <v>12</v>
      </c>
      <c r="I163" t="s">
        <v>7900</v>
      </c>
      <c r="J163" t="s">
        <v>8753</v>
      </c>
      <c r="K163">
        <v>24.069749999999999</v>
      </c>
      <c r="L163">
        <v>5.6256260761109497E-2</v>
      </c>
      <c r="M163">
        <v>393.3550943855563</v>
      </c>
      <c r="N163">
        <v>432.69060382411197</v>
      </c>
    </row>
    <row r="164" spans="1:14">
      <c r="A164" t="s">
        <v>726</v>
      </c>
      <c r="B164" t="s">
        <v>7901</v>
      </c>
      <c r="C164" t="s">
        <v>7902</v>
      </c>
      <c r="D164" t="s">
        <v>11</v>
      </c>
      <c r="E164" t="s">
        <v>13</v>
      </c>
      <c r="F164" t="s">
        <v>729</v>
      </c>
      <c r="G164" t="s">
        <v>12</v>
      </c>
      <c r="I164" t="s">
        <v>7901</v>
      </c>
      <c r="J164" t="s">
        <v>8754</v>
      </c>
      <c r="K164">
        <v>0.38774999999999998</v>
      </c>
      <c r="L164">
        <v>2.1772882097792001E-2</v>
      </c>
      <c r="M164">
        <v>316.86354868575859</v>
      </c>
      <c r="N164">
        <v>348.54990355433449</v>
      </c>
    </row>
    <row r="165" spans="1:14">
      <c r="A165" t="s">
        <v>726</v>
      </c>
      <c r="B165" t="s">
        <v>7903</v>
      </c>
      <c r="C165" t="s">
        <v>7899</v>
      </c>
      <c r="D165" t="s">
        <v>11</v>
      </c>
      <c r="E165" t="s">
        <v>13</v>
      </c>
      <c r="F165" t="s">
        <v>729</v>
      </c>
      <c r="G165" t="s">
        <v>12</v>
      </c>
      <c r="I165" t="s">
        <v>7903</v>
      </c>
      <c r="J165" t="s">
        <v>8755</v>
      </c>
      <c r="K165">
        <v>38.289000000000001</v>
      </c>
      <c r="L165">
        <v>7.5643214625809793E-2</v>
      </c>
      <c r="M165">
        <v>204.06638671569488</v>
      </c>
      <c r="N165">
        <v>224.47302538726439</v>
      </c>
    </row>
    <row r="166" spans="1:14">
      <c r="A166" t="s">
        <v>726</v>
      </c>
      <c r="B166" t="s">
        <v>7904</v>
      </c>
      <c r="C166" t="s">
        <v>7905</v>
      </c>
      <c r="D166" t="s">
        <v>11</v>
      </c>
      <c r="E166" t="s">
        <v>13</v>
      </c>
      <c r="F166" t="s">
        <v>729</v>
      </c>
      <c r="G166" t="s">
        <v>12</v>
      </c>
      <c r="I166" t="s">
        <v>7904</v>
      </c>
      <c r="J166" t="s">
        <v>8756</v>
      </c>
      <c r="K166">
        <v>73.41825</v>
      </c>
      <c r="L166">
        <v>0.54103069676448157</v>
      </c>
      <c r="M166">
        <v>70.401944804272134</v>
      </c>
      <c r="N166">
        <v>77.442139284699351</v>
      </c>
    </row>
    <row r="167" spans="1:14">
      <c r="A167" t="s">
        <v>726</v>
      </c>
      <c r="B167" t="s">
        <v>7906</v>
      </c>
      <c r="C167" t="s">
        <v>7907</v>
      </c>
      <c r="D167" t="s">
        <v>11</v>
      </c>
      <c r="E167" t="s">
        <v>13</v>
      </c>
      <c r="F167" t="s">
        <v>729</v>
      </c>
      <c r="G167" t="s">
        <v>12</v>
      </c>
      <c r="I167" t="s">
        <v>7906</v>
      </c>
      <c r="J167" t="s">
        <v>8757</v>
      </c>
      <c r="K167">
        <v>96.203249999999997</v>
      </c>
      <c r="L167">
        <v>0.5412581146510218</v>
      </c>
      <c r="M167">
        <v>150.94265494450951</v>
      </c>
      <c r="N167">
        <v>166.03692043896046</v>
      </c>
    </row>
    <row r="168" spans="1:14">
      <c r="A168" t="s">
        <v>726</v>
      </c>
      <c r="B168" t="s">
        <v>7908</v>
      </c>
      <c r="C168" t="s">
        <v>7909</v>
      </c>
      <c r="D168" t="s">
        <v>11</v>
      </c>
      <c r="E168" t="s">
        <v>13</v>
      </c>
      <c r="F168" t="s">
        <v>729</v>
      </c>
      <c r="G168" t="s">
        <v>12</v>
      </c>
      <c r="I168" t="s">
        <v>7908</v>
      </c>
      <c r="J168" t="s">
        <v>8758</v>
      </c>
      <c r="K168">
        <v>318.19425000000001</v>
      </c>
      <c r="L168">
        <v>0.57270167116733006</v>
      </c>
      <c r="M168">
        <v>295.53803364227389</v>
      </c>
      <c r="N168">
        <v>325.09183700650129</v>
      </c>
    </row>
    <row r="169" spans="1:14">
      <c r="A169" t="s">
        <v>726</v>
      </c>
      <c r="B169" t="s">
        <v>7910</v>
      </c>
      <c r="C169" t="s">
        <v>7911</v>
      </c>
      <c r="D169" t="s">
        <v>11</v>
      </c>
      <c r="E169" t="s">
        <v>13</v>
      </c>
      <c r="F169" t="s">
        <v>729</v>
      </c>
      <c r="G169" t="s">
        <v>12</v>
      </c>
      <c r="I169" t="s">
        <v>7910</v>
      </c>
      <c r="J169" t="s">
        <v>8759</v>
      </c>
      <c r="K169">
        <v>187.70325</v>
      </c>
      <c r="L169">
        <v>0.5743954136404269</v>
      </c>
      <c r="M169">
        <v>179.75645751904608</v>
      </c>
      <c r="N169">
        <v>197.73210327095072</v>
      </c>
    </row>
    <row r="170" spans="1:14">
      <c r="A170" t="s">
        <v>726</v>
      </c>
      <c r="B170" t="s">
        <v>7912</v>
      </c>
      <c r="C170" t="s">
        <v>7913</v>
      </c>
      <c r="D170" t="s">
        <v>11</v>
      </c>
      <c r="E170" t="s">
        <v>13</v>
      </c>
      <c r="F170" t="s">
        <v>729</v>
      </c>
      <c r="G170" t="s">
        <v>12</v>
      </c>
      <c r="I170" t="s">
        <v>7912</v>
      </c>
      <c r="J170" t="s">
        <v>8760</v>
      </c>
      <c r="K170">
        <v>98.879249999999999</v>
      </c>
      <c r="L170">
        <v>0.66045174720285638</v>
      </c>
      <c r="M170">
        <v>804.61525279056013</v>
      </c>
      <c r="N170">
        <v>885.07677806961624</v>
      </c>
    </row>
    <row r="171" spans="1:14">
      <c r="A171" t="s">
        <v>726</v>
      </c>
      <c r="B171" t="s">
        <v>7914</v>
      </c>
      <c r="C171" t="s">
        <v>7915</v>
      </c>
      <c r="D171" t="s">
        <v>11</v>
      </c>
      <c r="E171" t="s">
        <v>13</v>
      </c>
      <c r="F171" t="s">
        <v>729</v>
      </c>
      <c r="G171" t="s">
        <v>12</v>
      </c>
      <c r="I171" t="s">
        <v>7914</v>
      </c>
      <c r="J171" t="s">
        <v>8761</v>
      </c>
      <c r="K171">
        <v>252.17400000000001</v>
      </c>
      <c r="L171">
        <v>0.61525557298917</v>
      </c>
      <c r="M171">
        <v>354.86254455108161</v>
      </c>
      <c r="N171">
        <v>390.34879900618978</v>
      </c>
    </row>
    <row r="172" spans="1:14">
      <c r="A172" t="s">
        <v>726</v>
      </c>
      <c r="B172" t="s">
        <v>7916</v>
      </c>
      <c r="C172" t="s">
        <v>7915</v>
      </c>
      <c r="D172" t="s">
        <v>11</v>
      </c>
      <c r="E172" t="s">
        <v>13</v>
      </c>
      <c r="F172" t="s">
        <v>729</v>
      </c>
      <c r="G172" t="s">
        <v>12</v>
      </c>
      <c r="I172" t="s">
        <v>7916</v>
      </c>
      <c r="J172" t="s">
        <v>8762</v>
      </c>
      <c r="K172">
        <v>177.30824999999999</v>
      </c>
      <c r="L172">
        <v>0.58770422554410173</v>
      </c>
      <c r="M172">
        <v>355.62999181549003</v>
      </c>
      <c r="N172">
        <v>391.19299099703909</v>
      </c>
    </row>
    <row r="173" spans="1:14">
      <c r="A173" t="s">
        <v>726</v>
      </c>
      <c r="B173" t="s">
        <v>7917</v>
      </c>
      <c r="C173" t="s">
        <v>7918</v>
      </c>
      <c r="D173" t="s">
        <v>11</v>
      </c>
      <c r="E173" t="s">
        <v>13</v>
      </c>
      <c r="F173" t="s">
        <v>729</v>
      </c>
      <c r="G173" t="s">
        <v>12</v>
      </c>
      <c r="I173" t="s">
        <v>7917</v>
      </c>
      <c r="J173" t="s">
        <v>8763</v>
      </c>
      <c r="K173">
        <v>277.48725000000002</v>
      </c>
      <c r="L173">
        <v>0.55244413393673009</v>
      </c>
      <c r="M173">
        <v>525.76756548801109</v>
      </c>
      <c r="N173">
        <v>578.34432203681229</v>
      </c>
    </row>
    <row r="174" spans="1:14">
      <c r="A174" t="s">
        <v>726</v>
      </c>
      <c r="B174" t="s">
        <v>7919</v>
      </c>
      <c r="C174" t="s">
        <v>7920</v>
      </c>
      <c r="D174" t="s">
        <v>11</v>
      </c>
      <c r="E174" t="s">
        <v>13</v>
      </c>
      <c r="F174" t="s">
        <v>729</v>
      </c>
      <c r="G174" t="s">
        <v>12</v>
      </c>
      <c r="I174" t="s">
        <v>7919</v>
      </c>
      <c r="J174" t="s">
        <v>8764</v>
      </c>
      <c r="K174">
        <v>201.15</v>
      </c>
      <c r="L174">
        <v>0.56549544550391073</v>
      </c>
      <c r="M174">
        <v>161.51211992979012</v>
      </c>
      <c r="N174">
        <v>177.66333192276915</v>
      </c>
    </row>
    <row r="175" spans="1:14">
      <c r="A175" t="s">
        <v>726</v>
      </c>
      <c r="B175" t="s">
        <v>7921</v>
      </c>
      <c r="C175" t="s">
        <v>7918</v>
      </c>
      <c r="D175" t="s">
        <v>11</v>
      </c>
      <c r="E175" t="s">
        <v>13</v>
      </c>
      <c r="F175" t="s">
        <v>729</v>
      </c>
      <c r="G175" t="s">
        <v>12</v>
      </c>
      <c r="I175" t="s">
        <v>7921</v>
      </c>
      <c r="J175" t="s">
        <v>8765</v>
      </c>
      <c r="K175">
        <v>329.37824999999998</v>
      </c>
      <c r="L175">
        <v>0.5655502890749442</v>
      </c>
      <c r="M175">
        <v>234.0950768163265</v>
      </c>
      <c r="N175">
        <v>257.50458449795917</v>
      </c>
    </row>
    <row r="176" spans="1:14">
      <c r="A176" t="s">
        <v>726</v>
      </c>
      <c r="B176" t="s">
        <v>7922</v>
      </c>
      <c r="C176" t="s">
        <v>7923</v>
      </c>
      <c r="D176" t="s">
        <v>11</v>
      </c>
      <c r="E176" t="s">
        <v>13</v>
      </c>
      <c r="F176" t="s">
        <v>729</v>
      </c>
      <c r="G176" t="s">
        <v>12</v>
      </c>
      <c r="I176" t="s">
        <v>7922</v>
      </c>
      <c r="J176" t="s">
        <v>8766</v>
      </c>
      <c r="K176">
        <v>3.27075</v>
      </c>
      <c r="L176">
        <v>0.1158006785630785</v>
      </c>
      <c r="M176">
        <v>40.380074566692841</v>
      </c>
      <c r="N176">
        <v>44.418082023362132</v>
      </c>
    </row>
    <row r="177" spans="1:14">
      <c r="A177" t="s">
        <v>726</v>
      </c>
      <c r="B177" t="s">
        <v>7924</v>
      </c>
      <c r="C177" t="s">
        <v>7923</v>
      </c>
      <c r="D177" t="s">
        <v>11</v>
      </c>
      <c r="E177" t="s">
        <v>13</v>
      </c>
      <c r="F177" t="s">
        <v>729</v>
      </c>
      <c r="G177" t="s">
        <v>12</v>
      </c>
      <c r="I177" t="s">
        <v>7924</v>
      </c>
      <c r="J177" t="s">
        <v>8767</v>
      </c>
      <c r="K177">
        <v>13.5825</v>
      </c>
      <c r="L177">
        <v>0.13778609535181299</v>
      </c>
      <c r="M177">
        <v>165.55344750027572</v>
      </c>
      <c r="N177">
        <v>182.10879225030331</v>
      </c>
    </row>
    <row r="178" spans="1:14">
      <c r="A178" t="s">
        <v>726</v>
      </c>
      <c r="B178" t="s">
        <v>7925</v>
      </c>
      <c r="C178" t="s">
        <v>7926</v>
      </c>
      <c r="D178" t="s">
        <v>11</v>
      </c>
      <c r="E178" t="s">
        <v>13</v>
      </c>
      <c r="F178" t="s">
        <v>729</v>
      </c>
      <c r="G178" t="s">
        <v>12</v>
      </c>
      <c r="I178" t="s">
        <v>7925</v>
      </c>
      <c r="J178" t="s">
        <v>8768</v>
      </c>
      <c r="K178">
        <v>7.7370000000000001</v>
      </c>
      <c r="L178">
        <v>0.1044294843006098</v>
      </c>
      <c r="M178">
        <v>162.13883353257202</v>
      </c>
      <c r="N178">
        <v>178.35271688582924</v>
      </c>
    </row>
    <row r="179" spans="1:14">
      <c r="A179" t="s">
        <v>726</v>
      </c>
      <c r="B179" t="s">
        <v>7927</v>
      </c>
      <c r="C179" t="s">
        <v>7928</v>
      </c>
      <c r="D179" t="s">
        <v>11</v>
      </c>
      <c r="E179" t="s">
        <v>13</v>
      </c>
      <c r="F179" t="s">
        <v>729</v>
      </c>
      <c r="G179" t="s">
        <v>12</v>
      </c>
      <c r="I179" t="s">
        <v>7927</v>
      </c>
      <c r="J179" t="s">
        <v>8769</v>
      </c>
      <c r="K179">
        <v>4.3462500000000004</v>
      </c>
      <c r="L179">
        <v>0.1715467838314918</v>
      </c>
      <c r="M179">
        <v>127.19710986855776</v>
      </c>
      <c r="N179">
        <v>139.91682085541353</v>
      </c>
    </row>
    <row r="180" spans="1:14">
      <c r="A180" t="s">
        <v>726</v>
      </c>
      <c r="B180" t="s">
        <v>7929</v>
      </c>
      <c r="C180" t="s">
        <v>7926</v>
      </c>
      <c r="D180" t="s">
        <v>11</v>
      </c>
      <c r="E180" t="s">
        <v>13</v>
      </c>
      <c r="F180" t="s">
        <v>729</v>
      </c>
      <c r="G180" t="s">
        <v>12</v>
      </c>
      <c r="I180" t="s">
        <v>7929</v>
      </c>
      <c r="J180" t="s">
        <v>8770</v>
      </c>
      <c r="K180">
        <v>7.7482499999999996</v>
      </c>
      <c r="L180">
        <v>0.1405311722801886</v>
      </c>
      <c r="M180">
        <v>59.613924024504712</v>
      </c>
      <c r="N180">
        <v>65.575316426955183</v>
      </c>
    </row>
    <row r="181" spans="1:14">
      <c r="A181" t="s">
        <v>726</v>
      </c>
      <c r="B181" t="s">
        <v>7930</v>
      </c>
      <c r="C181" t="s">
        <v>7931</v>
      </c>
      <c r="D181" t="s">
        <v>11</v>
      </c>
      <c r="E181" t="s">
        <v>13</v>
      </c>
      <c r="F181" t="s">
        <v>729</v>
      </c>
      <c r="G181" t="s">
        <v>12</v>
      </c>
      <c r="I181" t="s">
        <v>7930</v>
      </c>
      <c r="J181" t="s">
        <v>8771</v>
      </c>
      <c r="K181">
        <v>8.577</v>
      </c>
      <c r="L181">
        <v>8.1083782018812306E-2</v>
      </c>
      <c r="M181">
        <v>134.06031150645245</v>
      </c>
      <c r="N181">
        <v>147.4663426570977</v>
      </c>
    </row>
    <row r="182" spans="1:14">
      <c r="A182" t="s">
        <v>726</v>
      </c>
      <c r="B182" t="s">
        <v>7932</v>
      </c>
      <c r="C182" t="s">
        <v>7931</v>
      </c>
      <c r="D182" t="s">
        <v>11</v>
      </c>
      <c r="E182" t="s">
        <v>13</v>
      </c>
      <c r="F182" t="s">
        <v>729</v>
      </c>
      <c r="G182" t="s">
        <v>12</v>
      </c>
      <c r="I182" t="s">
        <v>7932</v>
      </c>
      <c r="J182" t="s">
        <v>8772</v>
      </c>
      <c r="K182">
        <v>22.8645</v>
      </c>
      <c r="L182">
        <v>8.4957945489322395E-2</v>
      </c>
      <c r="M182">
        <v>220.20296841304213</v>
      </c>
      <c r="N182">
        <v>242.22326525434636</v>
      </c>
    </row>
    <row r="183" spans="1:14">
      <c r="A183" t="s">
        <v>726</v>
      </c>
      <c r="B183" t="s">
        <v>7933</v>
      </c>
      <c r="C183" t="s">
        <v>7931</v>
      </c>
      <c r="D183" t="s">
        <v>11</v>
      </c>
      <c r="E183" t="s">
        <v>13</v>
      </c>
      <c r="F183" t="s">
        <v>729</v>
      </c>
      <c r="G183" t="s">
        <v>12</v>
      </c>
      <c r="I183" t="s">
        <v>7933</v>
      </c>
      <c r="J183" t="s">
        <v>8773</v>
      </c>
      <c r="K183">
        <v>12.816000000000001</v>
      </c>
      <c r="L183">
        <v>9.7551533625640494E-2</v>
      </c>
      <c r="M183">
        <v>323.63092244124181</v>
      </c>
      <c r="N183">
        <v>355.99401468536604</v>
      </c>
    </row>
    <row r="184" spans="1:14">
      <c r="A184" t="s">
        <v>726</v>
      </c>
      <c r="B184" t="s">
        <v>7934</v>
      </c>
      <c r="C184" t="s">
        <v>7935</v>
      </c>
      <c r="D184" t="s">
        <v>11</v>
      </c>
      <c r="E184" t="s">
        <v>13</v>
      </c>
      <c r="F184" t="s">
        <v>729</v>
      </c>
      <c r="G184" t="s">
        <v>12</v>
      </c>
      <c r="I184" t="s">
        <v>7934</v>
      </c>
      <c r="J184" t="s">
        <v>8774</v>
      </c>
      <c r="K184">
        <v>25.97025</v>
      </c>
      <c r="L184">
        <v>0.1377382957471302</v>
      </c>
      <c r="M184">
        <v>213.80712250390371</v>
      </c>
      <c r="N184">
        <v>235.1878347542941</v>
      </c>
    </row>
    <row r="185" spans="1:14">
      <c r="A185" t="s">
        <v>726</v>
      </c>
      <c r="B185" t="s">
        <v>7936</v>
      </c>
      <c r="C185" t="s">
        <v>7935</v>
      </c>
      <c r="D185" t="s">
        <v>11</v>
      </c>
      <c r="E185" t="s">
        <v>13</v>
      </c>
      <c r="F185" t="s">
        <v>729</v>
      </c>
      <c r="G185" t="s">
        <v>12</v>
      </c>
      <c r="I185" t="s">
        <v>7936</v>
      </c>
      <c r="J185" t="s">
        <v>8775</v>
      </c>
      <c r="K185">
        <v>0.105</v>
      </c>
      <c r="L185">
        <v>9.5261244641539206E-2</v>
      </c>
      <c r="M185">
        <v>48.168903401492607</v>
      </c>
      <c r="N185">
        <v>52.985793741641871</v>
      </c>
    </row>
    <row r="186" spans="1:14">
      <c r="A186" t="s">
        <v>726</v>
      </c>
      <c r="B186" t="s">
        <v>7937</v>
      </c>
      <c r="C186" t="s">
        <v>7935</v>
      </c>
      <c r="D186" t="s">
        <v>11</v>
      </c>
      <c r="E186" t="s">
        <v>13</v>
      </c>
      <c r="F186" t="s">
        <v>729</v>
      </c>
      <c r="G186" t="s">
        <v>12</v>
      </c>
      <c r="I186" t="s">
        <v>7937</v>
      </c>
      <c r="J186" t="s">
        <v>8776</v>
      </c>
      <c r="K186">
        <v>20.4345</v>
      </c>
      <c r="L186">
        <v>0.10241357730690159</v>
      </c>
      <c r="M186">
        <v>234.77636847227404</v>
      </c>
      <c r="N186">
        <v>258.25400531950146</v>
      </c>
    </row>
    <row r="187" spans="1:14">
      <c r="A187" t="s">
        <v>726</v>
      </c>
      <c r="B187" t="s">
        <v>7938</v>
      </c>
      <c r="C187" t="s">
        <v>7939</v>
      </c>
      <c r="D187" t="s">
        <v>11</v>
      </c>
      <c r="E187" t="s">
        <v>13</v>
      </c>
      <c r="F187" t="s">
        <v>729</v>
      </c>
      <c r="G187" t="s">
        <v>12</v>
      </c>
      <c r="I187" t="s">
        <v>7938</v>
      </c>
      <c r="J187" t="s">
        <v>8777</v>
      </c>
      <c r="K187">
        <v>0.8085</v>
      </c>
      <c r="L187">
        <v>0.1100161676228119</v>
      </c>
      <c r="M187">
        <v>604.43651300065505</v>
      </c>
      <c r="N187">
        <v>664.88016430072059</v>
      </c>
    </row>
    <row r="188" spans="1:14">
      <c r="A188" t="s">
        <v>726</v>
      </c>
      <c r="B188" t="s">
        <v>7940</v>
      </c>
      <c r="C188" t="s">
        <v>7939</v>
      </c>
      <c r="D188" t="s">
        <v>11</v>
      </c>
      <c r="E188" t="s">
        <v>13</v>
      </c>
      <c r="F188" t="s">
        <v>729</v>
      </c>
      <c r="G188" t="s">
        <v>12</v>
      </c>
      <c r="I188" t="s">
        <v>7940</v>
      </c>
      <c r="J188" t="s">
        <v>8778</v>
      </c>
      <c r="K188">
        <v>16.8855</v>
      </c>
      <c r="L188">
        <v>8.0310514566345706E-2</v>
      </c>
      <c r="M188">
        <v>100.22997693973686</v>
      </c>
      <c r="N188">
        <v>110.25297463371055</v>
      </c>
    </row>
    <row r="189" spans="1:14">
      <c r="A189" t="s">
        <v>726</v>
      </c>
      <c r="B189" t="s">
        <v>7941</v>
      </c>
      <c r="C189" t="s">
        <v>7942</v>
      </c>
      <c r="D189" t="s">
        <v>11</v>
      </c>
      <c r="E189" t="s">
        <v>13</v>
      </c>
      <c r="F189" t="s">
        <v>729</v>
      </c>
      <c r="G189" t="s">
        <v>12</v>
      </c>
      <c r="I189" t="s">
        <v>7941</v>
      </c>
      <c r="J189" t="s">
        <v>8779</v>
      </c>
      <c r="K189">
        <v>27.769500000000001</v>
      </c>
      <c r="L189">
        <v>6.3956902784808298E-2</v>
      </c>
      <c r="M189">
        <v>86.327101535972673</v>
      </c>
      <c r="N189">
        <v>94.959811689569946</v>
      </c>
    </row>
    <row r="190" spans="1:14">
      <c r="A190" t="s">
        <v>726</v>
      </c>
      <c r="B190" t="s">
        <v>7943</v>
      </c>
      <c r="C190" t="s">
        <v>7944</v>
      </c>
      <c r="D190" t="s">
        <v>11</v>
      </c>
      <c r="E190" t="s">
        <v>13</v>
      </c>
      <c r="F190" t="s">
        <v>729</v>
      </c>
      <c r="G190" t="s">
        <v>12</v>
      </c>
      <c r="I190" t="s">
        <v>7943</v>
      </c>
      <c r="J190" t="s">
        <v>8780</v>
      </c>
      <c r="K190">
        <v>32.914499999999997</v>
      </c>
      <c r="L190">
        <v>0.29482683059442338</v>
      </c>
      <c r="M190">
        <v>140.18871368192842</v>
      </c>
      <c r="N190">
        <v>154.20758505012128</v>
      </c>
    </row>
    <row r="191" spans="1:14">
      <c r="A191" t="s">
        <v>726</v>
      </c>
      <c r="B191" t="s">
        <v>7945</v>
      </c>
      <c r="C191" t="s">
        <v>7946</v>
      </c>
      <c r="D191" t="s">
        <v>11</v>
      </c>
      <c r="E191" t="s">
        <v>13</v>
      </c>
      <c r="F191" t="s">
        <v>729</v>
      </c>
      <c r="G191" t="s">
        <v>12</v>
      </c>
      <c r="I191" t="s">
        <v>7945</v>
      </c>
      <c r="J191" t="s">
        <v>8781</v>
      </c>
      <c r="K191">
        <v>64.157250000000005</v>
      </c>
      <c r="L191">
        <v>0.3369173277454568</v>
      </c>
      <c r="M191">
        <v>117.87663094701388</v>
      </c>
      <c r="N191">
        <v>129.66429404171527</v>
      </c>
    </row>
    <row r="192" spans="1:14">
      <c r="A192" t="s">
        <v>726</v>
      </c>
      <c r="B192" t="s">
        <v>7947</v>
      </c>
      <c r="C192" t="s">
        <v>7948</v>
      </c>
      <c r="D192" t="s">
        <v>11</v>
      </c>
      <c r="E192" t="s">
        <v>13</v>
      </c>
      <c r="F192" t="s">
        <v>729</v>
      </c>
      <c r="G192" t="s">
        <v>12</v>
      </c>
      <c r="I192" t="s">
        <v>7947</v>
      </c>
      <c r="J192" t="s">
        <v>8782</v>
      </c>
      <c r="K192">
        <v>156.59475</v>
      </c>
      <c r="L192">
        <v>0.42862162747291349</v>
      </c>
      <c r="M192">
        <v>149.92250569464898</v>
      </c>
      <c r="N192">
        <v>164.91475626411389</v>
      </c>
    </row>
    <row r="193" spans="1:14">
      <c r="A193" t="s">
        <v>726</v>
      </c>
      <c r="B193" t="s">
        <v>7949</v>
      </c>
      <c r="C193" t="s">
        <v>7950</v>
      </c>
      <c r="D193" t="s">
        <v>11</v>
      </c>
      <c r="E193" t="s">
        <v>13</v>
      </c>
      <c r="F193" t="s">
        <v>729</v>
      </c>
      <c r="G193" t="s">
        <v>12</v>
      </c>
      <c r="I193" t="s">
        <v>7949</v>
      </c>
      <c r="J193" t="s">
        <v>8783</v>
      </c>
      <c r="K193">
        <v>32.205750000000002</v>
      </c>
      <c r="L193">
        <v>0.33296055769647293</v>
      </c>
      <c r="M193">
        <v>78.337257266892777</v>
      </c>
      <c r="N193">
        <v>86.170982993582058</v>
      </c>
    </row>
    <row r="194" spans="1:14">
      <c r="A194" t="s">
        <v>726</v>
      </c>
      <c r="B194" t="s">
        <v>7951</v>
      </c>
      <c r="C194" t="s">
        <v>7952</v>
      </c>
      <c r="D194" t="s">
        <v>11</v>
      </c>
      <c r="E194" t="s">
        <v>13</v>
      </c>
      <c r="F194" t="s">
        <v>729</v>
      </c>
      <c r="G194" t="s">
        <v>12</v>
      </c>
      <c r="I194" t="s">
        <v>7951</v>
      </c>
      <c r="J194" t="s">
        <v>8784</v>
      </c>
      <c r="K194">
        <v>121.947</v>
      </c>
      <c r="L194">
        <v>0.50496550724127165</v>
      </c>
      <c r="M194">
        <v>164.44506712997159</v>
      </c>
      <c r="N194">
        <v>180.88957384296876</v>
      </c>
    </row>
    <row r="195" spans="1:14">
      <c r="A195" t="s">
        <v>726</v>
      </c>
      <c r="B195" t="s">
        <v>7953</v>
      </c>
      <c r="C195" t="s">
        <v>7954</v>
      </c>
      <c r="D195" t="s">
        <v>11</v>
      </c>
      <c r="E195" t="s">
        <v>13</v>
      </c>
      <c r="F195" t="s">
        <v>729</v>
      </c>
      <c r="G195" t="s">
        <v>12</v>
      </c>
      <c r="I195" t="s">
        <v>7953</v>
      </c>
      <c r="J195" t="s">
        <v>8785</v>
      </c>
      <c r="K195">
        <v>18.08175</v>
      </c>
      <c r="L195">
        <v>0.37680615829656688</v>
      </c>
      <c r="M195">
        <v>64.601408671310168</v>
      </c>
      <c r="N195">
        <v>71.061549538441184</v>
      </c>
    </row>
    <row r="196" spans="1:14">
      <c r="A196" t="s">
        <v>726</v>
      </c>
      <c r="B196" t="s">
        <v>7955</v>
      </c>
      <c r="C196" t="s">
        <v>7956</v>
      </c>
      <c r="D196" t="s">
        <v>11</v>
      </c>
      <c r="E196" t="s">
        <v>13</v>
      </c>
      <c r="F196" t="s">
        <v>729</v>
      </c>
      <c r="G196" t="s">
        <v>12</v>
      </c>
      <c r="I196" t="s">
        <v>7955</v>
      </c>
      <c r="J196" t="s">
        <v>8786</v>
      </c>
      <c r="K196">
        <v>0</v>
      </c>
      <c r="L196">
        <v>3.6472446962246698E-2</v>
      </c>
      <c r="M196">
        <v>0</v>
      </c>
      <c r="N196">
        <v>0</v>
      </c>
    </row>
    <row r="197" spans="1:14">
      <c r="A197" t="s">
        <v>726</v>
      </c>
      <c r="B197" t="s">
        <v>7957</v>
      </c>
      <c r="C197" t="s">
        <v>7958</v>
      </c>
      <c r="D197" t="s">
        <v>11</v>
      </c>
      <c r="E197" t="s">
        <v>13</v>
      </c>
      <c r="F197" t="s">
        <v>729</v>
      </c>
      <c r="G197" t="s">
        <v>12</v>
      </c>
      <c r="I197" t="s">
        <v>7957</v>
      </c>
      <c r="J197" t="s">
        <v>8787</v>
      </c>
      <c r="K197">
        <v>0</v>
      </c>
      <c r="L197">
        <v>1.7150462191210601E-2</v>
      </c>
      <c r="M197">
        <v>0</v>
      </c>
      <c r="N197">
        <v>0</v>
      </c>
    </row>
    <row r="198" spans="1:14">
      <c r="A198" t="s">
        <v>726</v>
      </c>
      <c r="B198" t="s">
        <v>7959</v>
      </c>
      <c r="C198" t="s">
        <v>7960</v>
      </c>
      <c r="D198" t="s">
        <v>11</v>
      </c>
      <c r="E198" t="s">
        <v>13</v>
      </c>
      <c r="F198" t="s">
        <v>729</v>
      </c>
      <c r="G198" t="s">
        <v>12</v>
      </c>
      <c r="I198" t="s">
        <v>7959</v>
      </c>
      <c r="J198" t="s">
        <v>8788</v>
      </c>
      <c r="K198">
        <v>0</v>
      </c>
      <c r="L198">
        <v>2.23200082833779E-2</v>
      </c>
      <c r="M198">
        <v>0</v>
      </c>
      <c r="N198">
        <v>0</v>
      </c>
    </row>
    <row r="199" spans="1:14">
      <c r="A199" t="s">
        <v>726</v>
      </c>
      <c r="B199" t="s">
        <v>7961</v>
      </c>
      <c r="C199" t="s">
        <v>7962</v>
      </c>
      <c r="D199" t="s">
        <v>11</v>
      </c>
      <c r="E199" t="s">
        <v>13</v>
      </c>
      <c r="F199" t="s">
        <v>729</v>
      </c>
      <c r="G199" t="s">
        <v>12</v>
      </c>
      <c r="I199" t="s">
        <v>7961</v>
      </c>
      <c r="J199" t="s">
        <v>8789</v>
      </c>
      <c r="K199">
        <v>0</v>
      </c>
      <c r="L199">
        <v>9.3232044003373399E-2</v>
      </c>
      <c r="M199">
        <v>0</v>
      </c>
      <c r="N199">
        <v>0</v>
      </c>
    </row>
    <row r="200" spans="1:14">
      <c r="A200" t="s">
        <v>726</v>
      </c>
      <c r="B200" t="s">
        <v>7963</v>
      </c>
      <c r="C200" t="s">
        <v>7964</v>
      </c>
      <c r="D200" t="s">
        <v>11</v>
      </c>
      <c r="E200" t="s">
        <v>13</v>
      </c>
      <c r="F200" t="s">
        <v>729</v>
      </c>
      <c r="G200" t="s">
        <v>12</v>
      </c>
      <c r="I200" t="s">
        <v>7963</v>
      </c>
      <c r="J200" t="s">
        <v>8790</v>
      </c>
      <c r="K200">
        <v>31.556249999999999</v>
      </c>
      <c r="L200">
        <v>0.28702839208787939</v>
      </c>
      <c r="M200">
        <v>251.26034742001093</v>
      </c>
      <c r="N200">
        <v>276.38638216201207</v>
      </c>
    </row>
    <row r="201" spans="1:14">
      <c r="A201" t="s">
        <v>726</v>
      </c>
      <c r="B201" t="s">
        <v>7965</v>
      </c>
      <c r="C201" t="s">
        <v>7966</v>
      </c>
      <c r="D201" t="s">
        <v>11</v>
      </c>
      <c r="E201" t="s">
        <v>13</v>
      </c>
      <c r="F201" t="s">
        <v>729</v>
      </c>
      <c r="G201" t="s">
        <v>12</v>
      </c>
      <c r="I201" t="s">
        <v>7965</v>
      </c>
      <c r="J201" t="s">
        <v>8791</v>
      </c>
      <c r="K201">
        <v>14.890499999999999</v>
      </c>
      <c r="L201">
        <v>0.29045868060661811</v>
      </c>
      <c r="M201">
        <v>121.23232099396866</v>
      </c>
      <c r="N201">
        <v>133.35555309336553</v>
      </c>
    </row>
    <row r="202" spans="1:14">
      <c r="A202" t="s">
        <v>726</v>
      </c>
      <c r="B202" t="s">
        <v>7967</v>
      </c>
      <c r="C202" t="s">
        <v>7964</v>
      </c>
      <c r="D202" t="s">
        <v>11</v>
      </c>
      <c r="E202" t="s">
        <v>13</v>
      </c>
      <c r="F202" t="s">
        <v>729</v>
      </c>
      <c r="G202" t="s">
        <v>12</v>
      </c>
      <c r="I202" t="s">
        <v>7967</v>
      </c>
      <c r="J202" t="s">
        <v>8792</v>
      </c>
      <c r="K202">
        <v>21.863250000000001</v>
      </c>
      <c r="L202">
        <v>0.3156694690815473</v>
      </c>
      <c r="M202">
        <v>165.44282816257351</v>
      </c>
      <c r="N202">
        <v>181.98711097883088</v>
      </c>
    </row>
    <row r="203" spans="1:14">
      <c r="A203" t="s">
        <v>726</v>
      </c>
      <c r="B203" t="s">
        <v>7968</v>
      </c>
      <c r="C203" t="s">
        <v>7969</v>
      </c>
      <c r="D203" t="s">
        <v>11</v>
      </c>
      <c r="E203" t="s">
        <v>13</v>
      </c>
      <c r="F203" t="s">
        <v>729</v>
      </c>
      <c r="G203" t="s">
        <v>12</v>
      </c>
      <c r="I203" t="s">
        <v>7968</v>
      </c>
      <c r="J203" t="s">
        <v>8793</v>
      </c>
      <c r="K203">
        <v>69.880499999999998</v>
      </c>
      <c r="L203">
        <v>0.35004844458976769</v>
      </c>
      <c r="M203">
        <v>498.59252689831931</v>
      </c>
      <c r="N203">
        <v>548.45177958815123</v>
      </c>
    </row>
    <row r="204" spans="1:14">
      <c r="A204" t="s">
        <v>726</v>
      </c>
      <c r="B204" t="s">
        <v>7970</v>
      </c>
      <c r="C204" t="s">
        <v>7971</v>
      </c>
      <c r="D204" t="s">
        <v>11</v>
      </c>
      <c r="E204" t="s">
        <v>13</v>
      </c>
      <c r="F204" t="s">
        <v>729</v>
      </c>
      <c r="G204" t="s">
        <v>12</v>
      </c>
      <c r="I204" t="s">
        <v>7970</v>
      </c>
      <c r="J204" t="s">
        <v>8794</v>
      </c>
      <c r="K204">
        <v>1.4025000000000001</v>
      </c>
      <c r="L204">
        <v>0.3725907081226561</v>
      </c>
      <c r="M204">
        <v>102.85724342708949</v>
      </c>
      <c r="N204">
        <v>113.14296776979845</v>
      </c>
    </row>
    <row r="205" spans="1:14">
      <c r="A205" t="s">
        <v>726</v>
      </c>
      <c r="B205" t="s">
        <v>7972</v>
      </c>
      <c r="C205" t="s">
        <v>7971</v>
      </c>
      <c r="D205" t="s">
        <v>11</v>
      </c>
      <c r="E205" t="s">
        <v>13</v>
      </c>
      <c r="F205" t="s">
        <v>729</v>
      </c>
      <c r="G205" t="s">
        <v>12</v>
      </c>
      <c r="I205" t="s">
        <v>7972</v>
      </c>
      <c r="J205" t="s">
        <v>8795</v>
      </c>
      <c r="K205">
        <v>2.89575</v>
      </c>
      <c r="L205">
        <v>0.33474644007861631</v>
      </c>
      <c r="M205">
        <v>439.13698722013561</v>
      </c>
      <c r="N205">
        <v>483.05068594214919</v>
      </c>
    </row>
    <row r="206" spans="1:14">
      <c r="A206" t="s">
        <v>726</v>
      </c>
      <c r="B206" t="s">
        <v>7973</v>
      </c>
      <c r="C206" t="s">
        <v>7969</v>
      </c>
      <c r="D206" t="s">
        <v>11</v>
      </c>
      <c r="E206" t="s">
        <v>13</v>
      </c>
      <c r="F206" t="s">
        <v>729</v>
      </c>
      <c r="G206" t="s">
        <v>12</v>
      </c>
      <c r="I206" t="s">
        <v>7973</v>
      </c>
      <c r="J206" t="s">
        <v>8796</v>
      </c>
      <c r="K206">
        <v>15.763500000000001</v>
      </c>
      <c r="L206">
        <v>0.3036988404143276</v>
      </c>
      <c r="M206">
        <v>226.77266563779327</v>
      </c>
      <c r="N206">
        <v>249.44993220157261</v>
      </c>
    </row>
    <row r="207" spans="1:14">
      <c r="A207" t="s">
        <v>726</v>
      </c>
      <c r="B207" t="s">
        <v>7974</v>
      </c>
      <c r="C207" t="s">
        <v>7975</v>
      </c>
      <c r="D207" t="s">
        <v>11</v>
      </c>
      <c r="E207" t="s">
        <v>13</v>
      </c>
      <c r="F207" t="s">
        <v>729</v>
      </c>
      <c r="G207" t="s">
        <v>12</v>
      </c>
      <c r="I207" t="s">
        <v>7974</v>
      </c>
      <c r="J207" t="s">
        <v>8797</v>
      </c>
      <c r="K207">
        <v>4.1159999999999997</v>
      </c>
      <c r="L207">
        <v>0.22250011702003011</v>
      </c>
      <c r="M207">
        <v>52.76736545205712</v>
      </c>
      <c r="N207">
        <v>58.044101997262835</v>
      </c>
    </row>
    <row r="208" spans="1:14">
      <c r="A208" t="s">
        <v>726</v>
      </c>
      <c r="B208" t="s">
        <v>7976</v>
      </c>
      <c r="C208" t="s">
        <v>7977</v>
      </c>
      <c r="D208" t="s">
        <v>11</v>
      </c>
      <c r="E208" t="s">
        <v>13</v>
      </c>
      <c r="F208" t="s">
        <v>729</v>
      </c>
      <c r="G208" t="s">
        <v>12</v>
      </c>
      <c r="I208" t="s">
        <v>7976</v>
      </c>
      <c r="J208" t="s">
        <v>8798</v>
      </c>
      <c r="K208">
        <v>22.580249999999999</v>
      </c>
      <c r="L208">
        <v>0.27493200927249378</v>
      </c>
      <c r="M208">
        <v>95.93052651481436</v>
      </c>
      <c r="N208">
        <v>105.5235791662958</v>
      </c>
    </row>
    <row r="209" spans="1:14">
      <c r="A209" t="s">
        <v>726</v>
      </c>
      <c r="B209" t="s">
        <v>7978</v>
      </c>
      <c r="C209" t="s">
        <v>7979</v>
      </c>
      <c r="D209" t="s">
        <v>11</v>
      </c>
      <c r="E209" t="s">
        <v>13</v>
      </c>
      <c r="F209" t="s">
        <v>729</v>
      </c>
      <c r="G209" t="s">
        <v>12</v>
      </c>
      <c r="I209" t="s">
        <v>7978</v>
      </c>
      <c r="J209" t="s">
        <v>8799</v>
      </c>
      <c r="K209">
        <v>23.015250000000002</v>
      </c>
      <c r="L209">
        <v>0.24566022333417531</v>
      </c>
      <c r="M209">
        <v>63.841286343265899</v>
      </c>
      <c r="N209">
        <v>70.225414977592493</v>
      </c>
    </row>
    <row r="210" spans="1:14">
      <c r="A210" t="s">
        <v>726</v>
      </c>
      <c r="B210" t="s">
        <v>7980</v>
      </c>
      <c r="C210" t="s">
        <v>7981</v>
      </c>
      <c r="D210" t="s">
        <v>11</v>
      </c>
      <c r="E210" t="s">
        <v>13</v>
      </c>
      <c r="F210" t="s">
        <v>729</v>
      </c>
      <c r="G210" t="s">
        <v>12</v>
      </c>
      <c r="I210" t="s">
        <v>7980</v>
      </c>
      <c r="J210" t="s">
        <v>8800</v>
      </c>
      <c r="K210">
        <v>17.7225</v>
      </c>
      <c r="L210">
        <v>0.24408956111531979</v>
      </c>
      <c r="M210">
        <v>60.162207053919815</v>
      </c>
      <c r="N210">
        <v>66.178427759311802</v>
      </c>
    </row>
    <row r="211" spans="1:14">
      <c r="A211" t="s">
        <v>726</v>
      </c>
      <c r="B211" t="s">
        <v>7982</v>
      </c>
      <c r="C211" t="s">
        <v>7983</v>
      </c>
      <c r="D211" t="s">
        <v>11</v>
      </c>
      <c r="E211" t="s">
        <v>13</v>
      </c>
      <c r="F211" t="s">
        <v>729</v>
      </c>
      <c r="G211" t="s">
        <v>12</v>
      </c>
      <c r="I211" t="s">
        <v>7982</v>
      </c>
      <c r="J211" t="s">
        <v>8801</v>
      </c>
      <c r="K211">
        <v>16.895250000000001</v>
      </c>
      <c r="L211">
        <v>0.25623617761701761</v>
      </c>
      <c r="M211">
        <v>109.95351115556022</v>
      </c>
      <c r="N211">
        <v>120.94886227111625</v>
      </c>
    </row>
    <row r="212" spans="1:14">
      <c r="A212" t="s">
        <v>726</v>
      </c>
      <c r="B212" t="s">
        <v>7984</v>
      </c>
      <c r="C212" t="s">
        <v>7985</v>
      </c>
      <c r="D212" t="s">
        <v>11</v>
      </c>
      <c r="E212" t="s">
        <v>13</v>
      </c>
      <c r="F212" t="s">
        <v>729</v>
      </c>
      <c r="G212" t="s">
        <v>12</v>
      </c>
      <c r="I212" t="s">
        <v>7984</v>
      </c>
      <c r="J212" t="s">
        <v>8802</v>
      </c>
      <c r="K212">
        <v>5.9212499999999997</v>
      </c>
      <c r="L212">
        <v>0.2790252969041957</v>
      </c>
      <c r="M212">
        <v>37.398264036732648</v>
      </c>
      <c r="N212">
        <v>41.138090440405918</v>
      </c>
    </row>
    <row r="213" spans="1:14">
      <c r="A213" t="s">
        <v>726</v>
      </c>
      <c r="B213" t="s">
        <v>7986</v>
      </c>
      <c r="C213" t="s">
        <v>7987</v>
      </c>
      <c r="D213" t="s">
        <v>11</v>
      </c>
      <c r="E213" t="s">
        <v>13</v>
      </c>
      <c r="F213" t="s">
        <v>729</v>
      </c>
      <c r="G213" t="s">
        <v>12</v>
      </c>
      <c r="I213" t="s">
        <v>7986</v>
      </c>
      <c r="J213" t="s">
        <v>8803</v>
      </c>
      <c r="K213">
        <v>0.13500000000000001</v>
      </c>
      <c r="L213">
        <v>0.2136680178504195</v>
      </c>
      <c r="M213">
        <v>48.422064671629926</v>
      </c>
      <c r="N213">
        <v>53.264271138792921</v>
      </c>
    </row>
    <row r="214" spans="1:14">
      <c r="A214" t="s">
        <v>726</v>
      </c>
      <c r="B214" t="s">
        <v>7988</v>
      </c>
      <c r="C214" t="s">
        <v>7989</v>
      </c>
      <c r="D214" t="s">
        <v>11</v>
      </c>
      <c r="E214" t="s">
        <v>13</v>
      </c>
      <c r="F214" t="s">
        <v>729</v>
      </c>
      <c r="G214" t="s">
        <v>12</v>
      </c>
      <c r="I214" t="s">
        <v>7988</v>
      </c>
      <c r="J214" t="s">
        <v>8804</v>
      </c>
      <c r="K214">
        <v>97.291499999999999</v>
      </c>
      <c r="L214">
        <v>0.23077335559281109</v>
      </c>
      <c r="M214">
        <v>187.21506707982761</v>
      </c>
      <c r="N214">
        <v>205.93657378781037</v>
      </c>
    </row>
    <row r="215" spans="1:14">
      <c r="A215" t="s">
        <v>726</v>
      </c>
      <c r="B215" t="s">
        <v>7990</v>
      </c>
      <c r="C215" t="s">
        <v>7991</v>
      </c>
      <c r="D215" t="s">
        <v>11</v>
      </c>
      <c r="E215" t="s">
        <v>13</v>
      </c>
      <c r="F215" t="s">
        <v>729</v>
      </c>
      <c r="G215" t="s">
        <v>12</v>
      </c>
      <c r="I215" t="s">
        <v>7990</v>
      </c>
      <c r="J215" t="s">
        <v>8805</v>
      </c>
      <c r="K215">
        <v>56.646000000000001</v>
      </c>
      <c r="L215">
        <v>0.2600417423433537</v>
      </c>
      <c r="M215">
        <v>578.68287596622315</v>
      </c>
      <c r="N215">
        <v>636.55116356284555</v>
      </c>
    </row>
    <row r="216" spans="1:14">
      <c r="A216" t="s">
        <v>726</v>
      </c>
      <c r="B216" t="s">
        <v>7992</v>
      </c>
      <c r="C216" t="s">
        <v>7991</v>
      </c>
      <c r="D216" t="s">
        <v>11</v>
      </c>
      <c r="E216" t="s">
        <v>13</v>
      </c>
      <c r="F216" t="s">
        <v>729</v>
      </c>
      <c r="G216" t="s">
        <v>12</v>
      </c>
      <c r="I216" t="s">
        <v>7992</v>
      </c>
      <c r="J216" t="s">
        <v>8806</v>
      </c>
      <c r="K216">
        <v>336.9</v>
      </c>
      <c r="L216">
        <v>0.38425028679520451</v>
      </c>
      <c r="M216">
        <v>820.63409660677701</v>
      </c>
      <c r="N216">
        <v>902.69750626745474</v>
      </c>
    </row>
    <row r="217" spans="1:14">
      <c r="A217" t="s">
        <v>726</v>
      </c>
      <c r="B217" t="s">
        <v>7993</v>
      </c>
      <c r="C217" t="s">
        <v>7991</v>
      </c>
      <c r="D217" t="s">
        <v>11</v>
      </c>
      <c r="E217" t="s">
        <v>13</v>
      </c>
      <c r="F217" t="s">
        <v>729</v>
      </c>
      <c r="G217" t="s">
        <v>12</v>
      </c>
      <c r="I217" t="s">
        <v>7993</v>
      </c>
      <c r="J217" t="s">
        <v>8807</v>
      </c>
      <c r="K217">
        <v>160.53825000000001</v>
      </c>
      <c r="L217">
        <v>0.29885524156192678</v>
      </c>
      <c r="M217">
        <v>642.18242391408137</v>
      </c>
      <c r="N217">
        <v>706.40066630548961</v>
      </c>
    </row>
    <row r="218" spans="1:14">
      <c r="A218" t="s">
        <v>726</v>
      </c>
      <c r="B218" t="s">
        <v>7994</v>
      </c>
      <c r="C218" t="s">
        <v>7995</v>
      </c>
      <c r="D218" t="s">
        <v>11</v>
      </c>
      <c r="E218" t="s">
        <v>13</v>
      </c>
      <c r="F218" t="s">
        <v>729</v>
      </c>
      <c r="G218" t="s">
        <v>12</v>
      </c>
      <c r="I218" t="s">
        <v>7994</v>
      </c>
      <c r="J218" t="s">
        <v>8808</v>
      </c>
      <c r="K218">
        <v>114.063</v>
      </c>
      <c r="L218">
        <v>0.26221734163484151</v>
      </c>
      <c r="M218">
        <v>631.91281967464511</v>
      </c>
      <c r="N218">
        <v>695.10410164210964</v>
      </c>
    </row>
    <row r="219" spans="1:14">
      <c r="A219" t="s">
        <v>726</v>
      </c>
      <c r="B219" t="s">
        <v>7996</v>
      </c>
      <c r="C219" t="s">
        <v>7997</v>
      </c>
      <c r="D219" t="s">
        <v>11</v>
      </c>
      <c r="E219" t="s">
        <v>13</v>
      </c>
      <c r="F219" t="s">
        <v>729</v>
      </c>
      <c r="G219" t="s">
        <v>12</v>
      </c>
      <c r="I219" t="s">
        <v>7996</v>
      </c>
      <c r="J219" t="s">
        <v>8809</v>
      </c>
      <c r="K219">
        <v>291.39449999999999</v>
      </c>
      <c r="L219">
        <v>0.22009338318393601</v>
      </c>
      <c r="M219">
        <v>220.31544414852505</v>
      </c>
      <c r="N219">
        <v>242.34698856337758</v>
      </c>
    </row>
    <row r="220" spans="1:14">
      <c r="A220" t="s">
        <v>726</v>
      </c>
      <c r="B220" t="s">
        <v>7998</v>
      </c>
      <c r="C220" t="s">
        <v>7999</v>
      </c>
      <c r="D220" t="s">
        <v>11</v>
      </c>
      <c r="E220" t="s">
        <v>13</v>
      </c>
      <c r="F220" t="s">
        <v>729</v>
      </c>
      <c r="G220" t="s">
        <v>12</v>
      </c>
      <c r="I220" t="s">
        <v>7998</v>
      </c>
      <c r="J220" t="s">
        <v>8810</v>
      </c>
      <c r="K220">
        <v>20.095500000000001</v>
      </c>
      <c r="L220">
        <v>0.2354593343612349</v>
      </c>
      <c r="M220">
        <v>499.47995749981385</v>
      </c>
      <c r="N220">
        <v>549.42795324979522</v>
      </c>
    </row>
    <row r="221" spans="1:14">
      <c r="A221" t="s">
        <v>726</v>
      </c>
      <c r="B221" t="s">
        <v>8000</v>
      </c>
      <c r="C221" t="s">
        <v>8001</v>
      </c>
      <c r="D221" t="s">
        <v>11</v>
      </c>
      <c r="E221" t="s">
        <v>13</v>
      </c>
      <c r="F221" t="s">
        <v>729</v>
      </c>
      <c r="G221" t="s">
        <v>12</v>
      </c>
      <c r="I221" t="s">
        <v>8000</v>
      </c>
      <c r="J221" t="s">
        <v>8811</v>
      </c>
      <c r="K221">
        <v>13.478999999999999</v>
      </c>
      <c r="L221">
        <v>0.2343863533190565</v>
      </c>
      <c r="M221">
        <v>146.52255439274734</v>
      </c>
      <c r="N221">
        <v>161.17480983202208</v>
      </c>
    </row>
    <row r="222" spans="1:14">
      <c r="A222" t="s">
        <v>726</v>
      </c>
      <c r="B222" t="s">
        <v>8002</v>
      </c>
      <c r="C222" t="s">
        <v>8003</v>
      </c>
      <c r="D222" t="s">
        <v>11</v>
      </c>
      <c r="E222" t="s">
        <v>13</v>
      </c>
      <c r="F222" t="s">
        <v>729</v>
      </c>
      <c r="G222" t="s">
        <v>12</v>
      </c>
      <c r="I222" t="s">
        <v>8002</v>
      </c>
      <c r="J222" t="s">
        <v>8812</v>
      </c>
      <c r="K222">
        <v>1.2622500000000001</v>
      </c>
      <c r="L222">
        <v>0.21618716759964479</v>
      </c>
      <c r="M222">
        <v>479.60089842198551</v>
      </c>
      <c r="N222">
        <v>527.56098826418406</v>
      </c>
    </row>
    <row r="223" spans="1:14">
      <c r="A223" t="s">
        <v>726</v>
      </c>
      <c r="B223" t="s">
        <v>8004</v>
      </c>
      <c r="C223" t="s">
        <v>8005</v>
      </c>
      <c r="D223" t="s">
        <v>11</v>
      </c>
      <c r="E223" t="s">
        <v>13</v>
      </c>
      <c r="F223" t="s">
        <v>729</v>
      </c>
      <c r="G223" t="s">
        <v>12</v>
      </c>
      <c r="I223" t="s">
        <v>8004</v>
      </c>
      <c r="J223" t="s">
        <v>8813</v>
      </c>
      <c r="K223">
        <v>25.102499999999999</v>
      </c>
      <c r="L223">
        <v>0.24999589886091089</v>
      </c>
      <c r="M223">
        <v>210.38350802577435</v>
      </c>
      <c r="N223">
        <v>231.42185882835179</v>
      </c>
    </row>
    <row r="224" spans="1:14">
      <c r="A224" t="s">
        <v>726</v>
      </c>
      <c r="B224" t="s">
        <v>8006</v>
      </c>
      <c r="C224" t="s">
        <v>8007</v>
      </c>
      <c r="D224" t="s">
        <v>11</v>
      </c>
      <c r="E224" t="s">
        <v>13</v>
      </c>
      <c r="F224" t="s">
        <v>729</v>
      </c>
      <c r="G224" t="s">
        <v>12</v>
      </c>
      <c r="I224" t="s">
        <v>8006</v>
      </c>
      <c r="J224" t="s">
        <v>8814</v>
      </c>
      <c r="K224">
        <v>11.221500000000001</v>
      </c>
      <c r="L224">
        <v>0.2652536138605725</v>
      </c>
      <c r="M224">
        <v>295.56523624306209</v>
      </c>
      <c r="N224">
        <v>325.12175986736833</v>
      </c>
    </row>
    <row r="225" spans="1:14">
      <c r="A225" t="s">
        <v>726</v>
      </c>
      <c r="B225" t="s">
        <v>8008</v>
      </c>
      <c r="C225" t="s">
        <v>8009</v>
      </c>
      <c r="D225" t="s">
        <v>11</v>
      </c>
      <c r="E225" t="s">
        <v>13</v>
      </c>
      <c r="F225" t="s">
        <v>729</v>
      </c>
      <c r="G225" t="s">
        <v>12</v>
      </c>
      <c r="I225" t="s">
        <v>8008</v>
      </c>
      <c r="J225" t="s">
        <v>8815</v>
      </c>
      <c r="K225">
        <v>94.391999999999996</v>
      </c>
      <c r="L225">
        <v>0.25480241804241049</v>
      </c>
      <c r="M225">
        <v>111.3731803081518</v>
      </c>
      <c r="N225">
        <v>122.510498338967</v>
      </c>
    </row>
    <row r="226" spans="1:14">
      <c r="A226" t="s">
        <v>726</v>
      </c>
      <c r="B226" t="s">
        <v>8010</v>
      </c>
      <c r="C226" t="s">
        <v>8011</v>
      </c>
      <c r="D226" t="s">
        <v>11</v>
      </c>
      <c r="E226" t="s">
        <v>13</v>
      </c>
      <c r="F226" t="s">
        <v>729</v>
      </c>
      <c r="G226" t="s">
        <v>12</v>
      </c>
      <c r="I226" t="s">
        <v>8010</v>
      </c>
      <c r="J226" t="s">
        <v>8816</v>
      </c>
      <c r="K226">
        <v>48.383249999999997</v>
      </c>
      <c r="L226">
        <v>0.28105826593180511</v>
      </c>
      <c r="M226">
        <v>162.88392515483616</v>
      </c>
      <c r="N226">
        <v>179.17231767031979</v>
      </c>
    </row>
    <row r="227" spans="1:14">
      <c r="A227" t="s">
        <v>726</v>
      </c>
      <c r="B227" t="s">
        <v>8012</v>
      </c>
      <c r="C227" t="s">
        <v>8013</v>
      </c>
      <c r="D227" t="s">
        <v>11</v>
      </c>
      <c r="E227" t="s">
        <v>13</v>
      </c>
      <c r="F227" t="s">
        <v>729</v>
      </c>
      <c r="G227" t="s">
        <v>12</v>
      </c>
      <c r="I227" t="s">
        <v>8012</v>
      </c>
      <c r="J227" t="s">
        <v>8817</v>
      </c>
      <c r="K227">
        <v>170.19749999999999</v>
      </c>
      <c r="L227">
        <v>0.30814352946516999</v>
      </c>
      <c r="M227">
        <v>141.40851031706541</v>
      </c>
      <c r="N227">
        <v>155.54936134877195</v>
      </c>
    </row>
    <row r="228" spans="1:14">
      <c r="A228" t="s">
        <v>726</v>
      </c>
      <c r="B228" t="s">
        <v>8014</v>
      </c>
      <c r="C228" t="s">
        <v>8015</v>
      </c>
      <c r="D228" t="s">
        <v>11</v>
      </c>
      <c r="E228" t="s">
        <v>13</v>
      </c>
      <c r="F228" t="s">
        <v>729</v>
      </c>
      <c r="G228" t="s">
        <v>12</v>
      </c>
      <c r="I228" t="s">
        <v>8014</v>
      </c>
      <c r="J228" t="s">
        <v>8818</v>
      </c>
      <c r="K228">
        <v>26.994</v>
      </c>
      <c r="L228">
        <v>0.3090613482312376</v>
      </c>
      <c r="M228">
        <v>58.1391460553914</v>
      </c>
      <c r="N228">
        <v>63.953060660930547</v>
      </c>
    </row>
    <row r="229" spans="1:14">
      <c r="A229" t="s">
        <v>726</v>
      </c>
      <c r="B229" t="s">
        <v>8016</v>
      </c>
      <c r="C229" t="s">
        <v>8017</v>
      </c>
      <c r="D229" t="s">
        <v>11</v>
      </c>
      <c r="E229" t="s">
        <v>13</v>
      </c>
      <c r="F229" t="s">
        <v>729</v>
      </c>
      <c r="G229" t="s">
        <v>12</v>
      </c>
      <c r="I229" t="s">
        <v>8016</v>
      </c>
      <c r="J229" t="s">
        <v>8819</v>
      </c>
      <c r="K229">
        <v>42.478499999999997</v>
      </c>
      <c r="L229">
        <v>0.45951520077677538</v>
      </c>
      <c r="M229">
        <v>87.217888025001187</v>
      </c>
      <c r="N229">
        <v>95.939676827501316</v>
      </c>
    </row>
    <row r="230" spans="1:14">
      <c r="A230" t="s">
        <v>726</v>
      </c>
      <c r="B230" t="s">
        <v>8018</v>
      </c>
      <c r="C230" t="s">
        <v>8019</v>
      </c>
      <c r="D230" t="s">
        <v>11</v>
      </c>
      <c r="E230" t="s">
        <v>13</v>
      </c>
      <c r="F230" t="s">
        <v>729</v>
      </c>
      <c r="G230" t="s">
        <v>12</v>
      </c>
      <c r="I230" t="s">
        <v>8018</v>
      </c>
      <c r="J230" t="s">
        <v>8820</v>
      </c>
      <c r="K230">
        <v>41.874000000000002</v>
      </c>
      <c r="L230">
        <v>0.28070317655551541</v>
      </c>
      <c r="M230">
        <v>56.206162973809462</v>
      </c>
      <c r="N230">
        <v>61.826779271190411</v>
      </c>
    </row>
    <row r="231" spans="1:14">
      <c r="A231" t="s">
        <v>726</v>
      </c>
      <c r="B231" t="s">
        <v>8020</v>
      </c>
      <c r="C231" t="s">
        <v>8021</v>
      </c>
      <c r="D231" t="s">
        <v>11</v>
      </c>
      <c r="E231" t="s">
        <v>13</v>
      </c>
      <c r="F231" t="s">
        <v>729</v>
      </c>
      <c r="G231" t="s">
        <v>12</v>
      </c>
      <c r="I231" t="s">
        <v>8020</v>
      </c>
      <c r="J231" t="s">
        <v>8821</v>
      </c>
      <c r="K231">
        <v>81.1905</v>
      </c>
      <c r="L231">
        <v>0.26478001117562661</v>
      </c>
      <c r="M231">
        <v>135.11589215765031</v>
      </c>
      <c r="N231">
        <v>148.62748137341535</v>
      </c>
    </row>
    <row r="232" spans="1:14">
      <c r="A232" t="s">
        <v>726</v>
      </c>
      <c r="B232" t="s">
        <v>8022</v>
      </c>
      <c r="C232" t="s">
        <v>8023</v>
      </c>
      <c r="D232" t="s">
        <v>11</v>
      </c>
      <c r="E232" t="s">
        <v>13</v>
      </c>
      <c r="F232" t="s">
        <v>729</v>
      </c>
      <c r="G232" t="s">
        <v>12</v>
      </c>
      <c r="I232" t="s">
        <v>8022</v>
      </c>
      <c r="J232" t="s">
        <v>8822</v>
      </c>
      <c r="K232">
        <v>226.4265</v>
      </c>
      <c r="L232">
        <v>0.58283626167912606</v>
      </c>
      <c r="M232">
        <v>183.46883148001623</v>
      </c>
      <c r="N232">
        <v>201.81571462801787</v>
      </c>
    </row>
    <row r="233" spans="1:14">
      <c r="A233" t="s">
        <v>726</v>
      </c>
      <c r="B233" t="s">
        <v>8024</v>
      </c>
      <c r="C233" t="s">
        <v>8025</v>
      </c>
      <c r="D233" t="s">
        <v>11</v>
      </c>
      <c r="E233" t="s">
        <v>13</v>
      </c>
      <c r="F233" t="s">
        <v>729</v>
      </c>
      <c r="G233" t="s">
        <v>12</v>
      </c>
      <c r="I233" t="s">
        <v>8024</v>
      </c>
      <c r="J233" t="s">
        <v>8823</v>
      </c>
      <c r="K233">
        <v>0.54149999999999998</v>
      </c>
      <c r="L233">
        <v>0.3670703733745318</v>
      </c>
      <c r="M233">
        <v>46.211785847012877</v>
      </c>
      <c r="N233">
        <v>50.832964431714167</v>
      </c>
    </row>
    <row r="234" spans="1:14">
      <c r="A234" t="s">
        <v>726</v>
      </c>
      <c r="B234" t="s">
        <v>8026</v>
      </c>
      <c r="C234" t="s">
        <v>8027</v>
      </c>
      <c r="D234" t="s">
        <v>11</v>
      </c>
      <c r="E234" t="s">
        <v>13</v>
      </c>
      <c r="F234" t="s">
        <v>729</v>
      </c>
      <c r="G234" t="s">
        <v>12</v>
      </c>
      <c r="I234" t="s">
        <v>8026</v>
      </c>
      <c r="J234" t="s">
        <v>8824</v>
      </c>
      <c r="K234">
        <v>88.085999999999999</v>
      </c>
      <c r="L234">
        <v>0.54716253346923649</v>
      </c>
      <c r="M234">
        <v>108.9374348520184</v>
      </c>
      <c r="N234">
        <v>119.83117833722025</v>
      </c>
    </row>
    <row r="235" spans="1:14">
      <c r="A235" t="s">
        <v>726</v>
      </c>
      <c r="B235" t="s">
        <v>8028</v>
      </c>
      <c r="C235" t="s">
        <v>8029</v>
      </c>
      <c r="D235" t="s">
        <v>11</v>
      </c>
      <c r="E235" t="s">
        <v>13</v>
      </c>
      <c r="F235" t="s">
        <v>729</v>
      </c>
      <c r="G235" t="s">
        <v>12</v>
      </c>
      <c r="I235" t="s">
        <v>8028</v>
      </c>
      <c r="J235" t="s">
        <v>8825</v>
      </c>
      <c r="K235">
        <v>131.94300000000001</v>
      </c>
      <c r="L235">
        <v>0.61153456553741659</v>
      </c>
      <c r="M235">
        <v>232.9675313712311</v>
      </c>
      <c r="N235">
        <v>256.26428450835425</v>
      </c>
    </row>
    <row r="236" spans="1:14">
      <c r="A236" t="s">
        <v>726</v>
      </c>
      <c r="B236" t="s">
        <v>8030</v>
      </c>
      <c r="C236" t="s">
        <v>8031</v>
      </c>
      <c r="D236" t="s">
        <v>11</v>
      </c>
      <c r="E236" t="s">
        <v>13</v>
      </c>
      <c r="F236" t="s">
        <v>729</v>
      </c>
      <c r="G236" t="s">
        <v>12</v>
      </c>
      <c r="I236" t="s">
        <v>8030</v>
      </c>
      <c r="J236" t="s">
        <v>8826</v>
      </c>
      <c r="K236">
        <v>15.43125</v>
      </c>
      <c r="L236">
        <v>0.67195295071933847</v>
      </c>
      <c r="M236">
        <v>718.00175350027121</v>
      </c>
      <c r="N236">
        <v>789.8019288502984</v>
      </c>
    </row>
    <row r="237" spans="1:14">
      <c r="A237" t="s">
        <v>726</v>
      </c>
      <c r="B237" t="s">
        <v>8032</v>
      </c>
      <c r="C237" t="s">
        <v>8033</v>
      </c>
      <c r="D237" t="s">
        <v>11</v>
      </c>
      <c r="E237" t="s">
        <v>13</v>
      </c>
      <c r="F237" t="s">
        <v>729</v>
      </c>
      <c r="G237" t="s">
        <v>12</v>
      </c>
      <c r="I237" t="s">
        <v>8032</v>
      </c>
      <c r="J237" t="s">
        <v>8827</v>
      </c>
      <c r="K237">
        <v>229.90725</v>
      </c>
      <c r="L237">
        <v>0.61784990255561834</v>
      </c>
      <c r="M237">
        <v>244.39891364206801</v>
      </c>
      <c r="N237">
        <v>268.83880500627481</v>
      </c>
    </row>
    <row r="238" spans="1:14">
      <c r="A238" t="s">
        <v>726</v>
      </c>
      <c r="B238" t="s">
        <v>8034</v>
      </c>
      <c r="C238" t="s">
        <v>8035</v>
      </c>
      <c r="D238" t="s">
        <v>11</v>
      </c>
      <c r="E238" t="s">
        <v>13</v>
      </c>
      <c r="F238" t="s">
        <v>729</v>
      </c>
      <c r="G238" t="s">
        <v>12</v>
      </c>
      <c r="I238" t="s">
        <v>8034</v>
      </c>
      <c r="J238" t="s">
        <v>8828</v>
      </c>
      <c r="K238">
        <v>29.211749999999999</v>
      </c>
      <c r="L238">
        <v>0.31777751682516092</v>
      </c>
      <c r="M238">
        <v>150.58752287656677</v>
      </c>
      <c r="N238">
        <v>165.64627516422345</v>
      </c>
    </row>
    <row r="239" spans="1:14">
      <c r="A239" t="s">
        <v>726</v>
      </c>
      <c r="B239" t="s">
        <v>8036</v>
      </c>
      <c r="C239" t="s">
        <v>8035</v>
      </c>
      <c r="D239" t="s">
        <v>11</v>
      </c>
      <c r="E239" t="s">
        <v>13</v>
      </c>
      <c r="F239" t="s">
        <v>729</v>
      </c>
      <c r="G239" t="s">
        <v>12</v>
      </c>
      <c r="I239" t="s">
        <v>8036</v>
      </c>
      <c r="J239" t="s">
        <v>8829</v>
      </c>
      <c r="K239">
        <v>23.326499999999999</v>
      </c>
      <c r="L239">
        <v>0.32472751743425421</v>
      </c>
      <c r="M239">
        <v>113.33112565552862</v>
      </c>
      <c r="N239">
        <v>124.66423822108149</v>
      </c>
    </row>
    <row r="240" spans="1:14">
      <c r="A240" t="s">
        <v>726</v>
      </c>
      <c r="B240" t="s">
        <v>8037</v>
      </c>
      <c r="C240" t="s">
        <v>8038</v>
      </c>
      <c r="D240" t="s">
        <v>11</v>
      </c>
      <c r="E240" t="s">
        <v>13</v>
      </c>
      <c r="F240" t="s">
        <v>729</v>
      </c>
      <c r="G240" t="s">
        <v>12</v>
      </c>
      <c r="I240" t="s">
        <v>8037</v>
      </c>
      <c r="J240" t="s">
        <v>8830</v>
      </c>
      <c r="K240">
        <v>17.836500000000001</v>
      </c>
      <c r="L240">
        <v>0.22448665419943839</v>
      </c>
      <c r="M240">
        <v>349.71863770590085</v>
      </c>
      <c r="N240">
        <v>384.69050147649097</v>
      </c>
    </row>
    <row r="241" spans="1:14">
      <c r="A241" t="s">
        <v>726</v>
      </c>
      <c r="B241" t="s">
        <v>8039</v>
      </c>
      <c r="C241" t="s">
        <v>8035</v>
      </c>
      <c r="D241" t="s">
        <v>11</v>
      </c>
      <c r="E241" t="s">
        <v>13</v>
      </c>
      <c r="F241" t="s">
        <v>729</v>
      </c>
      <c r="G241" t="s">
        <v>12</v>
      </c>
      <c r="I241" t="s">
        <v>8039</v>
      </c>
      <c r="J241" t="s">
        <v>8831</v>
      </c>
      <c r="K241">
        <v>40.736249999999998</v>
      </c>
      <c r="L241">
        <v>0.26766027322833408</v>
      </c>
      <c r="M241">
        <v>294.05544347962012</v>
      </c>
      <c r="N241">
        <v>323.46098782758219</v>
      </c>
    </row>
    <row r="242" spans="1:14">
      <c r="A242" t="s">
        <v>726</v>
      </c>
      <c r="B242" t="s">
        <v>8040</v>
      </c>
      <c r="C242" t="s">
        <v>8041</v>
      </c>
      <c r="D242" t="s">
        <v>11</v>
      </c>
      <c r="E242" t="s">
        <v>13</v>
      </c>
      <c r="F242" t="s">
        <v>729</v>
      </c>
      <c r="G242" t="s">
        <v>12</v>
      </c>
      <c r="I242" t="s">
        <v>8040</v>
      </c>
      <c r="J242" t="s">
        <v>8832</v>
      </c>
      <c r="K242">
        <v>50.225250000000003</v>
      </c>
      <c r="L242">
        <v>0.24190314794705001</v>
      </c>
      <c r="M242">
        <v>83.453448901970191</v>
      </c>
      <c r="N242">
        <v>91.798793792167217</v>
      </c>
    </row>
    <row r="243" spans="1:14">
      <c r="A243" t="s">
        <v>726</v>
      </c>
      <c r="B243" t="s">
        <v>8042</v>
      </c>
      <c r="C243" t="s">
        <v>8043</v>
      </c>
      <c r="D243" t="s">
        <v>11</v>
      </c>
      <c r="E243" t="s">
        <v>13</v>
      </c>
      <c r="F243" t="s">
        <v>729</v>
      </c>
      <c r="G243" t="s">
        <v>12</v>
      </c>
      <c r="I243" t="s">
        <v>8042</v>
      </c>
      <c r="J243" t="s">
        <v>8833</v>
      </c>
      <c r="K243">
        <v>81.962249999999997</v>
      </c>
      <c r="L243">
        <v>0.2923239794795387</v>
      </c>
      <c r="M243">
        <v>56.153104053789079</v>
      </c>
      <c r="N243">
        <v>61.768414459167992</v>
      </c>
    </row>
    <row r="244" spans="1:14">
      <c r="A244" t="s">
        <v>726</v>
      </c>
      <c r="B244" t="s">
        <v>8044</v>
      </c>
      <c r="C244" t="s">
        <v>8045</v>
      </c>
      <c r="D244" t="s">
        <v>11</v>
      </c>
      <c r="E244" t="s">
        <v>13</v>
      </c>
      <c r="F244" t="s">
        <v>729</v>
      </c>
      <c r="G244" t="s">
        <v>12</v>
      </c>
      <c r="I244" t="s">
        <v>8044</v>
      </c>
      <c r="J244" t="s">
        <v>8834</v>
      </c>
      <c r="K244">
        <v>28.463999999999999</v>
      </c>
      <c r="L244">
        <v>0.29632081358157308</v>
      </c>
      <c r="M244">
        <v>56.686839191904923</v>
      </c>
      <c r="N244">
        <v>62.355523111095422</v>
      </c>
    </row>
    <row r="245" spans="1:14">
      <c r="A245" t="s">
        <v>726</v>
      </c>
      <c r="B245" t="s">
        <v>8046</v>
      </c>
      <c r="C245" t="s">
        <v>8047</v>
      </c>
      <c r="D245" t="s">
        <v>11</v>
      </c>
      <c r="E245" t="s">
        <v>13</v>
      </c>
      <c r="F245" t="s">
        <v>729</v>
      </c>
      <c r="G245" t="s">
        <v>12</v>
      </c>
      <c r="I245" t="s">
        <v>8046</v>
      </c>
      <c r="J245" t="s">
        <v>8835</v>
      </c>
      <c r="K245">
        <v>63.626249999999999</v>
      </c>
      <c r="L245">
        <v>0.23749644759798369</v>
      </c>
      <c r="M245">
        <v>67.278327268075373</v>
      </c>
      <c r="N245">
        <v>74.006159994882921</v>
      </c>
    </row>
    <row r="246" spans="1:14">
      <c r="A246" t="s">
        <v>726</v>
      </c>
      <c r="B246" t="s">
        <v>8048</v>
      </c>
      <c r="C246" t="s">
        <v>8049</v>
      </c>
      <c r="D246" t="s">
        <v>11</v>
      </c>
      <c r="E246" t="s">
        <v>13</v>
      </c>
      <c r="F246" t="s">
        <v>729</v>
      </c>
      <c r="G246" t="s">
        <v>12</v>
      </c>
      <c r="I246" t="s">
        <v>8048</v>
      </c>
      <c r="J246" t="s">
        <v>8836</v>
      </c>
      <c r="K246">
        <v>17.103750000000002</v>
      </c>
      <c r="L246">
        <v>0.23349165355331869</v>
      </c>
      <c r="M246">
        <v>47.16746655834114</v>
      </c>
      <c r="N246">
        <v>51.884213214175254</v>
      </c>
    </row>
    <row r="247" spans="1:14">
      <c r="A247" t="s">
        <v>726</v>
      </c>
      <c r="B247" t="s">
        <v>8050</v>
      </c>
      <c r="C247" t="s">
        <v>8051</v>
      </c>
      <c r="D247" t="s">
        <v>11</v>
      </c>
      <c r="E247" t="s">
        <v>13</v>
      </c>
      <c r="F247" t="s">
        <v>729</v>
      </c>
      <c r="G247" t="s">
        <v>12</v>
      </c>
      <c r="I247" t="s">
        <v>8050</v>
      </c>
      <c r="J247" t="s">
        <v>8837</v>
      </c>
      <c r="K247">
        <v>112.6395</v>
      </c>
      <c r="L247">
        <v>0.37277367928436389</v>
      </c>
      <c r="M247">
        <v>103.58697564319094</v>
      </c>
      <c r="N247">
        <v>113.94567320751004</v>
      </c>
    </row>
    <row r="248" spans="1:14">
      <c r="A248" t="s">
        <v>726</v>
      </c>
      <c r="B248" t="s">
        <v>8052</v>
      </c>
      <c r="C248" t="s">
        <v>8053</v>
      </c>
      <c r="D248" t="s">
        <v>11</v>
      </c>
      <c r="E248" t="s">
        <v>13</v>
      </c>
      <c r="F248" t="s">
        <v>729</v>
      </c>
      <c r="G248" t="s">
        <v>12</v>
      </c>
      <c r="I248" t="s">
        <v>8052</v>
      </c>
      <c r="J248" t="s">
        <v>8838</v>
      </c>
      <c r="K248">
        <v>151.42724999999999</v>
      </c>
      <c r="L248">
        <v>0.35799748783322088</v>
      </c>
      <c r="M248">
        <v>115.26946227456484</v>
      </c>
      <c r="N248">
        <v>126.79640850202134</v>
      </c>
    </row>
    <row r="249" spans="1:14">
      <c r="A249" t="s">
        <v>726</v>
      </c>
      <c r="B249" t="s">
        <v>8054</v>
      </c>
      <c r="C249" t="s">
        <v>8055</v>
      </c>
      <c r="D249" t="s">
        <v>11</v>
      </c>
      <c r="E249" t="s">
        <v>13</v>
      </c>
      <c r="F249" t="s">
        <v>729</v>
      </c>
      <c r="G249" t="s">
        <v>12</v>
      </c>
      <c r="I249" t="s">
        <v>8054</v>
      </c>
      <c r="J249" t="s">
        <v>8839</v>
      </c>
      <c r="K249">
        <v>13.997249999999999</v>
      </c>
      <c r="L249">
        <v>0.43955839419760517</v>
      </c>
      <c r="M249">
        <v>345.2697448046203</v>
      </c>
      <c r="N249">
        <v>379.79671928508236</v>
      </c>
    </row>
    <row r="250" spans="1:14">
      <c r="A250" t="s">
        <v>726</v>
      </c>
      <c r="B250" t="s">
        <v>8056</v>
      </c>
      <c r="C250" t="s">
        <v>8057</v>
      </c>
      <c r="D250" t="s">
        <v>11</v>
      </c>
      <c r="E250" t="s">
        <v>13</v>
      </c>
      <c r="F250" t="s">
        <v>729</v>
      </c>
      <c r="G250" t="s">
        <v>12</v>
      </c>
      <c r="I250" t="s">
        <v>8056</v>
      </c>
      <c r="J250" t="s">
        <v>8840</v>
      </c>
      <c r="K250">
        <v>33.587249999999997</v>
      </c>
      <c r="L250">
        <v>0.37834497180675319</v>
      </c>
      <c r="M250">
        <v>121.83413640532868</v>
      </c>
      <c r="N250">
        <v>134.01755004586155</v>
      </c>
    </row>
    <row r="251" spans="1:14">
      <c r="A251" t="s">
        <v>726</v>
      </c>
      <c r="B251" t="s">
        <v>8058</v>
      </c>
      <c r="C251" t="s">
        <v>8059</v>
      </c>
      <c r="D251" t="s">
        <v>11</v>
      </c>
      <c r="E251" t="s">
        <v>13</v>
      </c>
      <c r="F251" t="s">
        <v>729</v>
      </c>
      <c r="G251" t="s">
        <v>12</v>
      </c>
      <c r="I251" t="s">
        <v>8058</v>
      </c>
      <c r="J251" t="s">
        <v>8841</v>
      </c>
      <c r="K251">
        <v>1.3065</v>
      </c>
      <c r="L251">
        <v>0.25584597573185691</v>
      </c>
      <c r="M251">
        <v>138.05651110402474</v>
      </c>
      <c r="N251">
        <v>151.86216221442723</v>
      </c>
    </row>
    <row r="252" spans="1:14">
      <c r="A252" t="s">
        <v>726</v>
      </c>
      <c r="B252" t="s">
        <v>8060</v>
      </c>
      <c r="C252" t="s">
        <v>8055</v>
      </c>
      <c r="D252" t="s">
        <v>11</v>
      </c>
      <c r="E252" t="s">
        <v>13</v>
      </c>
      <c r="F252" t="s">
        <v>729</v>
      </c>
      <c r="G252" t="s">
        <v>12</v>
      </c>
      <c r="I252" t="s">
        <v>8060</v>
      </c>
      <c r="J252" t="s">
        <v>8842</v>
      </c>
      <c r="K252">
        <v>17.669250000000002</v>
      </c>
      <c r="L252">
        <v>0.34406917061239328</v>
      </c>
      <c r="M252">
        <v>276.88115319529732</v>
      </c>
      <c r="N252">
        <v>304.56926851482706</v>
      </c>
    </row>
    <row r="253" spans="1:14">
      <c r="A253" t="s">
        <v>726</v>
      </c>
      <c r="B253" t="s">
        <v>8061</v>
      </c>
      <c r="C253" t="s">
        <v>8062</v>
      </c>
      <c r="D253" t="s">
        <v>11</v>
      </c>
      <c r="E253" t="s">
        <v>13</v>
      </c>
      <c r="F253" t="s">
        <v>729</v>
      </c>
      <c r="G253" t="s">
        <v>12</v>
      </c>
      <c r="I253" t="s">
        <v>8061</v>
      </c>
      <c r="J253" t="s">
        <v>8843</v>
      </c>
      <c r="K253">
        <v>69.105000000000004</v>
      </c>
      <c r="L253">
        <v>0.43500754847929141</v>
      </c>
      <c r="M253">
        <v>356.12245250608891</v>
      </c>
      <c r="N253">
        <v>391.73469775669781</v>
      </c>
    </row>
    <row r="254" spans="1:14">
      <c r="A254" t="s">
        <v>726</v>
      </c>
      <c r="B254" t="s">
        <v>8063</v>
      </c>
      <c r="C254" t="s">
        <v>8064</v>
      </c>
      <c r="D254" t="s">
        <v>11</v>
      </c>
      <c r="E254" t="s">
        <v>13</v>
      </c>
      <c r="F254" t="s">
        <v>729</v>
      </c>
      <c r="G254" t="s">
        <v>12</v>
      </c>
      <c r="I254" t="s">
        <v>8063</v>
      </c>
      <c r="J254" t="s">
        <v>8844</v>
      </c>
      <c r="K254">
        <v>221.19675000000001</v>
      </c>
      <c r="L254">
        <v>0.43647831808110238</v>
      </c>
      <c r="M254">
        <v>220.33736461823344</v>
      </c>
      <c r="N254">
        <v>242.3711010800568</v>
      </c>
    </row>
    <row r="255" spans="1:14">
      <c r="A255" t="s">
        <v>726</v>
      </c>
      <c r="B255" t="s">
        <v>8065</v>
      </c>
      <c r="C255" t="s">
        <v>8066</v>
      </c>
      <c r="D255" t="s">
        <v>11</v>
      </c>
      <c r="E255" t="s">
        <v>13</v>
      </c>
      <c r="F255" t="s">
        <v>729</v>
      </c>
      <c r="G255" t="s">
        <v>12</v>
      </c>
      <c r="I255" t="s">
        <v>8065</v>
      </c>
      <c r="J255" t="s">
        <v>8845</v>
      </c>
      <c r="K255">
        <v>80.51925</v>
      </c>
      <c r="L255">
        <v>0.3224311657596986</v>
      </c>
      <c r="M255">
        <v>78.467642050190904</v>
      </c>
      <c r="N255">
        <v>86.314406255210002</v>
      </c>
    </row>
    <row r="256" spans="1:14">
      <c r="A256" t="s">
        <v>726</v>
      </c>
      <c r="B256" t="s">
        <v>8067</v>
      </c>
      <c r="C256" t="s">
        <v>8068</v>
      </c>
      <c r="D256" t="s">
        <v>11</v>
      </c>
      <c r="E256" t="s">
        <v>13</v>
      </c>
      <c r="F256" t="s">
        <v>729</v>
      </c>
      <c r="G256" t="s">
        <v>12</v>
      </c>
      <c r="I256" t="s">
        <v>8067</v>
      </c>
      <c r="J256" t="s">
        <v>8846</v>
      </c>
      <c r="K256">
        <v>286.6755</v>
      </c>
      <c r="L256">
        <v>0.41828207212159879</v>
      </c>
      <c r="M256">
        <v>152.30689086359587</v>
      </c>
      <c r="N256">
        <v>167.53757994995547</v>
      </c>
    </row>
    <row r="257" spans="1:14">
      <c r="A257" t="s">
        <v>726</v>
      </c>
      <c r="B257" t="s">
        <v>8069</v>
      </c>
      <c r="C257" t="s">
        <v>8070</v>
      </c>
      <c r="D257" t="s">
        <v>11</v>
      </c>
      <c r="E257" t="s">
        <v>13</v>
      </c>
      <c r="F257" t="s">
        <v>729</v>
      </c>
      <c r="G257" t="s">
        <v>12</v>
      </c>
      <c r="I257" t="s">
        <v>8069</v>
      </c>
      <c r="J257" t="s">
        <v>8847</v>
      </c>
      <c r="K257">
        <v>114.756</v>
      </c>
      <c r="L257">
        <v>0.4154385543365462</v>
      </c>
      <c r="M257">
        <v>82.63436968634862</v>
      </c>
      <c r="N257">
        <v>90.897806654983484</v>
      </c>
    </row>
    <row r="258" spans="1:14">
      <c r="A258" t="s">
        <v>726</v>
      </c>
      <c r="B258" t="s">
        <v>8071</v>
      </c>
      <c r="C258" t="s">
        <v>8072</v>
      </c>
      <c r="D258" t="s">
        <v>11</v>
      </c>
      <c r="E258" t="s">
        <v>13</v>
      </c>
      <c r="F258" t="s">
        <v>729</v>
      </c>
      <c r="G258" t="s">
        <v>12</v>
      </c>
      <c r="I258" t="s">
        <v>8071</v>
      </c>
      <c r="J258" t="s">
        <v>8848</v>
      </c>
      <c r="K258">
        <v>232.23675</v>
      </c>
      <c r="L258">
        <v>0.4525809219957268</v>
      </c>
      <c r="M258">
        <v>191.82316649432349</v>
      </c>
      <c r="N258">
        <v>211.00548314375584</v>
      </c>
    </row>
    <row r="259" spans="1:14">
      <c r="A259" t="s">
        <v>726</v>
      </c>
      <c r="B259" t="s">
        <v>8073</v>
      </c>
      <c r="C259" t="s">
        <v>8074</v>
      </c>
      <c r="D259" t="s">
        <v>11</v>
      </c>
      <c r="E259" t="s">
        <v>13</v>
      </c>
      <c r="F259" t="s">
        <v>729</v>
      </c>
      <c r="G259" t="s">
        <v>12</v>
      </c>
      <c r="I259" t="s">
        <v>8073</v>
      </c>
      <c r="J259" t="s">
        <v>8849</v>
      </c>
      <c r="K259">
        <v>120.8625</v>
      </c>
      <c r="L259">
        <v>0.35952630634191313</v>
      </c>
      <c r="M259">
        <v>98.227510478452501</v>
      </c>
      <c r="N259">
        <v>108.05026152629776</v>
      </c>
    </row>
    <row r="260" spans="1:14">
      <c r="A260" t="s">
        <v>726</v>
      </c>
      <c r="B260" t="s">
        <v>8075</v>
      </c>
      <c r="C260" t="s">
        <v>8076</v>
      </c>
      <c r="D260" t="s">
        <v>11</v>
      </c>
      <c r="E260" t="s">
        <v>13</v>
      </c>
      <c r="F260" t="s">
        <v>729</v>
      </c>
      <c r="G260" t="s">
        <v>12</v>
      </c>
      <c r="I260" t="s">
        <v>8075</v>
      </c>
      <c r="J260" t="s">
        <v>8850</v>
      </c>
      <c r="K260">
        <v>251.22300000000001</v>
      </c>
      <c r="L260">
        <v>0.39342467215276239</v>
      </c>
      <c r="M260">
        <v>120.79898102308896</v>
      </c>
      <c r="N260">
        <v>132.87887912539787</v>
      </c>
    </row>
    <row r="261" spans="1:14">
      <c r="A261" t="s">
        <v>726</v>
      </c>
      <c r="B261" t="s">
        <v>8077</v>
      </c>
      <c r="C261" t="s">
        <v>8078</v>
      </c>
      <c r="D261" t="s">
        <v>11</v>
      </c>
      <c r="E261" t="s">
        <v>13</v>
      </c>
      <c r="F261" t="s">
        <v>729</v>
      </c>
      <c r="G261" t="s">
        <v>12</v>
      </c>
      <c r="I261" t="s">
        <v>8077</v>
      </c>
      <c r="J261" t="s">
        <v>8851</v>
      </c>
      <c r="K261">
        <v>17.07525</v>
      </c>
      <c r="L261">
        <v>0.366335622458484</v>
      </c>
      <c r="M261">
        <v>945.85376395670096</v>
      </c>
      <c r="N261">
        <v>1040.4391403523712</v>
      </c>
    </row>
    <row r="262" spans="1:14">
      <c r="A262" t="s">
        <v>726</v>
      </c>
      <c r="B262" t="s">
        <v>8079</v>
      </c>
      <c r="C262" t="s">
        <v>8080</v>
      </c>
      <c r="D262" t="s">
        <v>11</v>
      </c>
      <c r="E262" t="s">
        <v>13</v>
      </c>
      <c r="F262" t="s">
        <v>729</v>
      </c>
      <c r="G262" t="s">
        <v>12</v>
      </c>
      <c r="I262" t="s">
        <v>8079</v>
      </c>
      <c r="J262" t="s">
        <v>8852</v>
      </c>
      <c r="K262">
        <v>7.9777500000000003</v>
      </c>
      <c r="L262">
        <v>0.32772739661308098</v>
      </c>
      <c r="M262">
        <v>1251.460195169064</v>
      </c>
      <c r="N262">
        <v>1376.6062146859706</v>
      </c>
    </row>
    <row r="263" spans="1:14">
      <c r="A263" t="s">
        <v>726</v>
      </c>
      <c r="B263" t="s">
        <v>8081</v>
      </c>
      <c r="C263" t="s">
        <v>8082</v>
      </c>
      <c r="D263" t="s">
        <v>11</v>
      </c>
      <c r="E263" t="s">
        <v>13</v>
      </c>
      <c r="F263" t="s">
        <v>729</v>
      </c>
      <c r="G263" t="s">
        <v>12</v>
      </c>
      <c r="I263" t="s">
        <v>8081</v>
      </c>
      <c r="J263" t="s">
        <v>8853</v>
      </c>
      <c r="K263">
        <v>81.167249999999996</v>
      </c>
      <c r="L263">
        <v>0.51101764965697405</v>
      </c>
      <c r="M263">
        <v>187.70229788111547</v>
      </c>
      <c r="N263">
        <v>206.47252766922702</v>
      </c>
    </row>
    <row r="264" spans="1:14">
      <c r="A264" t="s">
        <v>726</v>
      </c>
      <c r="B264" t="s">
        <v>8083</v>
      </c>
      <c r="C264" t="s">
        <v>8084</v>
      </c>
      <c r="D264" t="s">
        <v>11</v>
      </c>
      <c r="E264" t="s">
        <v>13</v>
      </c>
      <c r="F264" t="s">
        <v>729</v>
      </c>
      <c r="G264" t="s">
        <v>12</v>
      </c>
      <c r="I264" t="s">
        <v>8083</v>
      </c>
      <c r="J264" t="s">
        <v>8854</v>
      </c>
      <c r="K264">
        <v>112.18875</v>
      </c>
      <c r="L264">
        <v>0.37996169258088641</v>
      </c>
      <c r="M264">
        <v>86.12776679807223</v>
      </c>
      <c r="N264">
        <v>94.740543477879456</v>
      </c>
    </row>
    <row r="265" spans="1:14">
      <c r="A265" t="s">
        <v>726</v>
      </c>
      <c r="B265" t="s">
        <v>8085</v>
      </c>
      <c r="C265" t="s">
        <v>8086</v>
      </c>
      <c r="D265" t="s">
        <v>11</v>
      </c>
      <c r="E265" t="s">
        <v>13</v>
      </c>
      <c r="F265" t="s">
        <v>729</v>
      </c>
      <c r="G265" t="s">
        <v>12</v>
      </c>
      <c r="I265" t="s">
        <v>8085</v>
      </c>
      <c r="J265" t="s">
        <v>8855</v>
      </c>
      <c r="K265">
        <v>52.04025</v>
      </c>
      <c r="L265">
        <v>0.436376578437144</v>
      </c>
      <c r="M265">
        <v>193.22088362085881</v>
      </c>
      <c r="N265">
        <v>212.54297198294472</v>
      </c>
    </row>
    <row r="266" spans="1:14">
      <c r="A266" t="s">
        <v>726</v>
      </c>
      <c r="B266" t="s">
        <v>8087</v>
      </c>
      <c r="C266" t="s">
        <v>8088</v>
      </c>
      <c r="D266" t="s">
        <v>11</v>
      </c>
      <c r="E266" t="s">
        <v>13</v>
      </c>
      <c r="F266" t="s">
        <v>729</v>
      </c>
      <c r="G266" t="s">
        <v>12</v>
      </c>
      <c r="I266" t="s">
        <v>8087</v>
      </c>
      <c r="J266" t="s">
        <v>8856</v>
      </c>
      <c r="K266">
        <v>68.099249999999998</v>
      </c>
      <c r="L266">
        <v>0.39994555299618439</v>
      </c>
      <c r="M266">
        <v>186.83064378935231</v>
      </c>
      <c r="N266">
        <v>205.51370816828756</v>
      </c>
    </row>
    <row r="267" spans="1:14">
      <c r="A267" t="s">
        <v>726</v>
      </c>
      <c r="B267" t="s">
        <v>8089</v>
      </c>
      <c r="C267" t="s">
        <v>8088</v>
      </c>
      <c r="D267" t="s">
        <v>11</v>
      </c>
      <c r="E267" t="s">
        <v>13</v>
      </c>
      <c r="F267" t="s">
        <v>729</v>
      </c>
      <c r="G267" t="s">
        <v>12</v>
      </c>
      <c r="I267" t="s">
        <v>8089</v>
      </c>
      <c r="J267" t="s">
        <v>8857</v>
      </c>
      <c r="K267">
        <v>52.634999999999998</v>
      </c>
      <c r="L267">
        <v>0.42784629047050809</v>
      </c>
      <c r="M267">
        <v>189.5042907073028</v>
      </c>
      <c r="N267">
        <v>208.45471977803311</v>
      </c>
    </row>
    <row r="268" spans="1:14">
      <c r="A268" t="s">
        <v>726</v>
      </c>
      <c r="B268" t="s">
        <v>8090</v>
      </c>
      <c r="C268" t="s">
        <v>8088</v>
      </c>
      <c r="D268" t="s">
        <v>11</v>
      </c>
      <c r="E268" t="s">
        <v>13</v>
      </c>
      <c r="F268" t="s">
        <v>729</v>
      </c>
      <c r="G268" t="s">
        <v>12</v>
      </c>
      <c r="I268" t="s">
        <v>8090</v>
      </c>
      <c r="J268" t="s">
        <v>8858</v>
      </c>
      <c r="K268">
        <v>39.427500000000002</v>
      </c>
      <c r="L268">
        <v>0.40612681044932453</v>
      </c>
      <c r="M268">
        <v>74.992230474910812</v>
      </c>
      <c r="N268">
        <v>82.491453522401898</v>
      </c>
    </row>
    <row r="269" spans="1:14">
      <c r="A269" t="s">
        <v>726</v>
      </c>
      <c r="B269" t="s">
        <v>8091</v>
      </c>
      <c r="C269" t="s">
        <v>8092</v>
      </c>
      <c r="D269" t="s">
        <v>11</v>
      </c>
      <c r="E269" t="s">
        <v>13</v>
      </c>
      <c r="F269" t="s">
        <v>729</v>
      </c>
      <c r="G269" t="s">
        <v>12</v>
      </c>
      <c r="I269" t="s">
        <v>8091</v>
      </c>
      <c r="J269" t="s">
        <v>8859</v>
      </c>
      <c r="K269">
        <v>26.171250000000001</v>
      </c>
      <c r="L269">
        <v>0.27337802520605881</v>
      </c>
      <c r="M269">
        <v>65.606554153473937</v>
      </c>
      <c r="N269">
        <v>72.167209568821335</v>
      </c>
    </row>
    <row r="270" spans="1:14">
      <c r="A270" t="s">
        <v>726</v>
      </c>
      <c r="B270" t="s">
        <v>8093</v>
      </c>
      <c r="C270" t="s">
        <v>8092</v>
      </c>
      <c r="D270" t="s">
        <v>11</v>
      </c>
      <c r="E270" t="s">
        <v>13</v>
      </c>
      <c r="F270" t="s">
        <v>729</v>
      </c>
      <c r="G270" t="s">
        <v>12</v>
      </c>
      <c r="I270" t="s">
        <v>8093</v>
      </c>
      <c r="J270" t="s">
        <v>8860</v>
      </c>
      <c r="K270">
        <v>3.92625</v>
      </c>
      <c r="L270">
        <v>0.32561208468932218</v>
      </c>
      <c r="M270">
        <v>321.36290376195609</v>
      </c>
      <c r="N270">
        <v>353.49919413815172</v>
      </c>
    </row>
    <row r="271" spans="1:14">
      <c r="A271" t="s">
        <v>726</v>
      </c>
      <c r="B271" t="s">
        <v>8094</v>
      </c>
      <c r="C271" t="s">
        <v>8092</v>
      </c>
      <c r="D271" t="s">
        <v>11</v>
      </c>
      <c r="E271" t="s">
        <v>13</v>
      </c>
      <c r="F271" t="s">
        <v>729</v>
      </c>
      <c r="G271" t="s">
        <v>12</v>
      </c>
      <c r="I271" t="s">
        <v>8094</v>
      </c>
      <c r="J271" t="s">
        <v>8861</v>
      </c>
      <c r="K271">
        <v>25.273499999999999</v>
      </c>
      <c r="L271">
        <v>0.3340219373181792</v>
      </c>
      <c r="M271">
        <v>161.73770298207381</v>
      </c>
      <c r="N271">
        <v>177.9114732802812</v>
      </c>
    </row>
    <row r="272" spans="1:14">
      <c r="A272" t="s">
        <v>726</v>
      </c>
      <c r="B272" t="s">
        <v>8095</v>
      </c>
      <c r="C272" t="s">
        <v>8096</v>
      </c>
      <c r="D272" t="s">
        <v>11</v>
      </c>
      <c r="E272" t="s">
        <v>13</v>
      </c>
      <c r="F272" t="s">
        <v>729</v>
      </c>
      <c r="G272" t="s">
        <v>12</v>
      </c>
      <c r="I272" t="s">
        <v>8095</v>
      </c>
      <c r="J272" t="s">
        <v>8862</v>
      </c>
      <c r="K272">
        <v>0</v>
      </c>
      <c r="L272">
        <v>0.17048032218446951</v>
      </c>
      <c r="M272">
        <v>0</v>
      </c>
      <c r="N272">
        <v>0</v>
      </c>
    </row>
    <row r="273" spans="1:14">
      <c r="A273" t="s">
        <v>726</v>
      </c>
      <c r="B273" t="s">
        <v>8097</v>
      </c>
      <c r="C273" t="s">
        <v>8098</v>
      </c>
      <c r="D273" t="s">
        <v>11</v>
      </c>
      <c r="E273" t="s">
        <v>13</v>
      </c>
      <c r="F273" t="s">
        <v>729</v>
      </c>
      <c r="G273" t="s">
        <v>12</v>
      </c>
      <c r="I273" t="s">
        <v>8097</v>
      </c>
      <c r="J273" t="s">
        <v>8863</v>
      </c>
      <c r="K273">
        <v>0</v>
      </c>
      <c r="L273">
        <v>0.1345508131803361</v>
      </c>
      <c r="M273">
        <v>0</v>
      </c>
      <c r="N273">
        <v>0</v>
      </c>
    </row>
    <row r="274" spans="1:14">
      <c r="A274" t="s">
        <v>726</v>
      </c>
      <c r="B274" t="s">
        <v>8099</v>
      </c>
      <c r="C274" t="s">
        <v>8100</v>
      </c>
      <c r="D274" t="s">
        <v>11</v>
      </c>
      <c r="E274" t="s">
        <v>13</v>
      </c>
      <c r="F274" t="s">
        <v>729</v>
      </c>
      <c r="G274" t="s">
        <v>12</v>
      </c>
      <c r="I274" t="s">
        <v>8099</v>
      </c>
      <c r="J274" t="s">
        <v>8864</v>
      </c>
      <c r="K274">
        <v>124.01625</v>
      </c>
      <c r="L274">
        <v>0.37976564518936862</v>
      </c>
      <c r="M274">
        <v>277.05471905675358</v>
      </c>
      <c r="N274">
        <v>304.76019096242896</v>
      </c>
    </row>
    <row r="275" spans="1:14">
      <c r="A275" t="s">
        <v>726</v>
      </c>
      <c r="B275" t="s">
        <v>8101</v>
      </c>
      <c r="C275" t="s">
        <v>8102</v>
      </c>
      <c r="D275" t="s">
        <v>11</v>
      </c>
      <c r="E275" t="s">
        <v>13</v>
      </c>
      <c r="F275" t="s">
        <v>729</v>
      </c>
      <c r="G275" t="s">
        <v>12</v>
      </c>
      <c r="I275" t="s">
        <v>8101</v>
      </c>
      <c r="J275" t="s">
        <v>8865</v>
      </c>
      <c r="K275">
        <v>80.204999999999998</v>
      </c>
      <c r="L275">
        <v>0.43817498355306889</v>
      </c>
      <c r="M275">
        <v>274.61235445311831</v>
      </c>
      <c r="N275">
        <v>302.07358989843016</v>
      </c>
    </row>
    <row r="276" spans="1:14">
      <c r="A276" t="s">
        <v>726</v>
      </c>
      <c r="B276" t="s">
        <v>8103</v>
      </c>
      <c r="C276" t="s">
        <v>8102</v>
      </c>
      <c r="D276" t="s">
        <v>11</v>
      </c>
      <c r="E276" t="s">
        <v>13</v>
      </c>
      <c r="F276" t="s">
        <v>729</v>
      </c>
      <c r="G276" t="s">
        <v>12</v>
      </c>
      <c r="I276" t="s">
        <v>8103</v>
      </c>
      <c r="J276" t="s">
        <v>8866</v>
      </c>
      <c r="K276">
        <v>152.44049999999999</v>
      </c>
      <c r="L276">
        <v>0.39721353158875689</v>
      </c>
      <c r="M276">
        <v>304.89183241531794</v>
      </c>
      <c r="N276">
        <v>335.38101565684974</v>
      </c>
    </row>
    <row r="277" spans="1:14">
      <c r="A277" t="s">
        <v>726</v>
      </c>
      <c r="B277" t="s">
        <v>8104</v>
      </c>
      <c r="C277" t="s">
        <v>8105</v>
      </c>
      <c r="D277" t="s">
        <v>11</v>
      </c>
      <c r="E277" t="s">
        <v>13</v>
      </c>
      <c r="F277" t="s">
        <v>729</v>
      </c>
      <c r="G277" t="s">
        <v>12</v>
      </c>
      <c r="I277" t="s">
        <v>8104</v>
      </c>
      <c r="J277" t="s">
        <v>8867</v>
      </c>
      <c r="K277">
        <v>98.061000000000007</v>
      </c>
      <c r="L277">
        <v>0.45460407663262248</v>
      </c>
      <c r="M277">
        <v>571.16668823544489</v>
      </c>
      <c r="N277">
        <v>628.2833570589894</v>
      </c>
    </row>
    <row r="278" spans="1:14">
      <c r="A278" t="s">
        <v>726</v>
      </c>
      <c r="B278" t="s">
        <v>8106</v>
      </c>
      <c r="C278" t="s">
        <v>8102</v>
      </c>
      <c r="D278" t="s">
        <v>11</v>
      </c>
      <c r="E278" t="s">
        <v>13</v>
      </c>
      <c r="F278" t="s">
        <v>729</v>
      </c>
      <c r="G278" t="s">
        <v>12</v>
      </c>
      <c r="I278" t="s">
        <v>8106</v>
      </c>
      <c r="J278" t="s">
        <v>8868</v>
      </c>
      <c r="K278">
        <v>245.99475000000001</v>
      </c>
      <c r="L278">
        <v>0.42882919932939417</v>
      </c>
      <c r="M278">
        <v>322.82932964093624</v>
      </c>
      <c r="N278">
        <v>355.11226260502991</v>
      </c>
    </row>
    <row r="279" spans="1:14">
      <c r="A279" t="s">
        <v>726</v>
      </c>
      <c r="B279" t="s">
        <v>8107</v>
      </c>
      <c r="C279" t="s">
        <v>8105</v>
      </c>
      <c r="D279" t="s">
        <v>11</v>
      </c>
      <c r="E279" t="s">
        <v>13</v>
      </c>
      <c r="F279" t="s">
        <v>729</v>
      </c>
      <c r="G279" t="s">
        <v>12</v>
      </c>
      <c r="I279" t="s">
        <v>8107</v>
      </c>
      <c r="J279" t="s">
        <v>8869</v>
      </c>
      <c r="K279">
        <v>63.135750000000002</v>
      </c>
      <c r="L279">
        <v>0.4144334283320269</v>
      </c>
      <c r="M279">
        <v>104.468003700132</v>
      </c>
      <c r="N279">
        <v>114.91480407014521</v>
      </c>
    </row>
    <row r="280" spans="1:14">
      <c r="A280" t="s">
        <v>726</v>
      </c>
      <c r="B280" t="s">
        <v>8108</v>
      </c>
      <c r="C280" t="s">
        <v>8109</v>
      </c>
      <c r="D280" t="s">
        <v>11</v>
      </c>
      <c r="E280" t="s">
        <v>13</v>
      </c>
      <c r="F280" t="s">
        <v>729</v>
      </c>
      <c r="G280" t="s">
        <v>12</v>
      </c>
      <c r="I280" t="s">
        <v>8108</v>
      </c>
      <c r="J280" t="s">
        <v>8870</v>
      </c>
      <c r="K280">
        <v>12.42825</v>
      </c>
      <c r="L280">
        <v>0.4088469336339578</v>
      </c>
      <c r="M280">
        <v>401.20050444327381</v>
      </c>
      <c r="N280">
        <v>441.32055488760125</v>
      </c>
    </row>
    <row r="281" spans="1:14">
      <c r="A281" t="s">
        <v>726</v>
      </c>
      <c r="B281" t="s">
        <v>8110</v>
      </c>
      <c r="C281" t="s">
        <v>8111</v>
      </c>
      <c r="D281" t="s">
        <v>11</v>
      </c>
      <c r="E281" t="s">
        <v>13</v>
      </c>
      <c r="F281" t="s">
        <v>729</v>
      </c>
      <c r="G281" t="s">
        <v>12</v>
      </c>
      <c r="I281" t="s">
        <v>8110</v>
      </c>
      <c r="J281" t="s">
        <v>8871</v>
      </c>
      <c r="K281">
        <v>38.274749999999997</v>
      </c>
      <c r="L281">
        <v>0.31005187587449667</v>
      </c>
      <c r="M281">
        <v>168.88162728543193</v>
      </c>
      <c r="N281">
        <v>185.76979001397515</v>
      </c>
    </row>
    <row r="282" spans="1:14">
      <c r="A282" t="s">
        <v>726</v>
      </c>
      <c r="B282" t="s">
        <v>8112</v>
      </c>
      <c r="C282" t="s">
        <v>8113</v>
      </c>
      <c r="D282" t="s">
        <v>11</v>
      </c>
      <c r="E282" t="s">
        <v>13</v>
      </c>
      <c r="F282" t="s">
        <v>729</v>
      </c>
      <c r="G282" t="s">
        <v>12</v>
      </c>
      <c r="I282" t="s">
        <v>8112</v>
      </c>
      <c r="J282" t="s">
        <v>8872</v>
      </c>
      <c r="K282">
        <v>0</v>
      </c>
      <c r="L282">
        <v>0.34673330009313841</v>
      </c>
      <c r="M282">
        <v>0</v>
      </c>
      <c r="N282">
        <v>0</v>
      </c>
    </row>
    <row r="283" spans="1:14">
      <c r="A283" t="s">
        <v>726</v>
      </c>
      <c r="B283" t="s">
        <v>8114</v>
      </c>
      <c r="C283" t="s">
        <v>8115</v>
      </c>
      <c r="D283" t="s">
        <v>11</v>
      </c>
      <c r="E283" t="s">
        <v>13</v>
      </c>
      <c r="F283" t="s">
        <v>729</v>
      </c>
      <c r="G283" t="s">
        <v>12</v>
      </c>
      <c r="I283" t="s">
        <v>8114</v>
      </c>
      <c r="J283" t="s">
        <v>8873</v>
      </c>
      <c r="K283">
        <v>0</v>
      </c>
      <c r="L283">
        <v>0.33558274306491681</v>
      </c>
      <c r="M283">
        <v>0</v>
      </c>
      <c r="N283">
        <v>0</v>
      </c>
    </row>
    <row r="284" spans="1:14">
      <c r="A284" t="s">
        <v>726</v>
      </c>
      <c r="B284" t="s">
        <v>8116</v>
      </c>
      <c r="C284" t="s">
        <v>8117</v>
      </c>
      <c r="D284" t="s">
        <v>11</v>
      </c>
      <c r="E284" t="s">
        <v>13</v>
      </c>
      <c r="F284" t="s">
        <v>729</v>
      </c>
      <c r="G284" t="s">
        <v>12</v>
      </c>
      <c r="I284" t="s">
        <v>8116</v>
      </c>
      <c r="J284" t="s">
        <v>8874</v>
      </c>
      <c r="K284">
        <v>0</v>
      </c>
      <c r="L284">
        <v>0.1018191153633269</v>
      </c>
      <c r="M284">
        <v>0</v>
      </c>
      <c r="N284">
        <v>0</v>
      </c>
    </row>
    <row r="285" spans="1:14">
      <c r="A285" t="s">
        <v>726</v>
      </c>
      <c r="B285" t="s">
        <v>8118</v>
      </c>
      <c r="C285" t="s">
        <v>8119</v>
      </c>
      <c r="D285" t="s">
        <v>11</v>
      </c>
      <c r="E285" t="s">
        <v>13</v>
      </c>
      <c r="F285" t="s">
        <v>729</v>
      </c>
      <c r="G285" t="s">
        <v>12</v>
      </c>
      <c r="I285" t="s">
        <v>8118</v>
      </c>
      <c r="J285" t="s">
        <v>8875</v>
      </c>
      <c r="K285">
        <v>0</v>
      </c>
      <c r="L285">
        <v>0.1384396493631333</v>
      </c>
      <c r="M285">
        <v>0</v>
      </c>
      <c r="N285">
        <v>0</v>
      </c>
    </row>
    <row r="286" spans="1:14">
      <c r="A286" t="s">
        <v>726</v>
      </c>
      <c r="B286" t="s">
        <v>8120</v>
      </c>
      <c r="C286" t="s">
        <v>8121</v>
      </c>
      <c r="D286" t="s">
        <v>11</v>
      </c>
      <c r="E286" t="s">
        <v>13</v>
      </c>
      <c r="F286" t="s">
        <v>729</v>
      </c>
      <c r="G286" t="s">
        <v>12</v>
      </c>
      <c r="I286" t="s">
        <v>8120</v>
      </c>
      <c r="J286" t="s">
        <v>8876</v>
      </c>
      <c r="K286">
        <v>0</v>
      </c>
      <c r="L286">
        <v>5.94612513474536E-2</v>
      </c>
      <c r="M286">
        <v>0</v>
      </c>
      <c r="N286">
        <v>0</v>
      </c>
    </row>
    <row r="287" spans="1:14">
      <c r="A287" t="s">
        <v>726</v>
      </c>
      <c r="B287" t="s">
        <v>8122</v>
      </c>
      <c r="C287" t="s">
        <v>8123</v>
      </c>
      <c r="D287" t="s">
        <v>11</v>
      </c>
      <c r="E287" t="s">
        <v>13</v>
      </c>
      <c r="F287" t="s">
        <v>729</v>
      </c>
      <c r="G287" t="s">
        <v>12</v>
      </c>
      <c r="I287" t="s">
        <v>8122</v>
      </c>
      <c r="J287" t="s">
        <v>8877</v>
      </c>
      <c r="K287">
        <v>0</v>
      </c>
      <c r="L287">
        <v>0.142913495439602</v>
      </c>
      <c r="M287">
        <v>0</v>
      </c>
      <c r="N287">
        <v>0</v>
      </c>
    </row>
    <row r="288" spans="1:14">
      <c r="A288" t="s">
        <v>726</v>
      </c>
      <c r="B288" t="s">
        <v>8124</v>
      </c>
      <c r="C288" t="s">
        <v>8125</v>
      </c>
      <c r="D288" t="s">
        <v>11</v>
      </c>
      <c r="E288" t="s">
        <v>13</v>
      </c>
      <c r="F288" t="s">
        <v>729</v>
      </c>
      <c r="G288" t="s">
        <v>12</v>
      </c>
      <c r="I288" t="s">
        <v>8124</v>
      </c>
      <c r="J288" t="s">
        <v>8878</v>
      </c>
      <c r="K288">
        <v>19.1355</v>
      </c>
      <c r="L288">
        <v>7.8742089792190204E-2</v>
      </c>
      <c r="M288">
        <v>136.2639728181785</v>
      </c>
      <c r="N288">
        <v>149.89037009999637</v>
      </c>
    </row>
    <row r="289" spans="1:14">
      <c r="A289" t="s">
        <v>726</v>
      </c>
      <c r="B289" t="s">
        <v>8126</v>
      </c>
      <c r="C289" t="s">
        <v>8127</v>
      </c>
      <c r="D289" t="s">
        <v>11</v>
      </c>
      <c r="E289" t="s">
        <v>13</v>
      </c>
      <c r="F289" t="s">
        <v>729</v>
      </c>
      <c r="G289" t="s">
        <v>12</v>
      </c>
      <c r="I289" t="s">
        <v>8126</v>
      </c>
      <c r="J289" t="s">
        <v>8879</v>
      </c>
      <c r="K289">
        <v>13.2705</v>
      </c>
      <c r="L289">
        <v>7.2744849459915301E-2</v>
      </c>
      <c r="M289">
        <v>153.94008726835148</v>
      </c>
      <c r="N289">
        <v>169.33409599518663</v>
      </c>
    </row>
    <row r="290" spans="1:14">
      <c r="A290" t="s">
        <v>726</v>
      </c>
      <c r="B290" t="s">
        <v>8128</v>
      </c>
      <c r="C290" t="s">
        <v>8127</v>
      </c>
      <c r="D290" t="s">
        <v>11</v>
      </c>
      <c r="E290" t="s">
        <v>13</v>
      </c>
      <c r="F290" t="s">
        <v>729</v>
      </c>
      <c r="G290" t="s">
        <v>12</v>
      </c>
      <c r="I290" t="s">
        <v>8128</v>
      </c>
      <c r="J290" t="s">
        <v>8880</v>
      </c>
      <c r="K290">
        <v>15.14625</v>
      </c>
      <c r="L290">
        <v>6.6005518234944396E-2</v>
      </c>
      <c r="M290">
        <v>67.841799583819267</v>
      </c>
      <c r="N290">
        <v>74.625979542201193</v>
      </c>
    </row>
    <row r="291" spans="1:14">
      <c r="A291" t="s">
        <v>726</v>
      </c>
      <c r="B291" t="s">
        <v>8129</v>
      </c>
      <c r="C291" t="s">
        <v>8130</v>
      </c>
      <c r="D291" t="s">
        <v>11</v>
      </c>
      <c r="E291" t="s">
        <v>13</v>
      </c>
      <c r="F291" t="s">
        <v>729</v>
      </c>
      <c r="G291" t="s">
        <v>12</v>
      </c>
      <c r="I291" t="s">
        <v>8129</v>
      </c>
      <c r="J291" t="s">
        <v>8881</v>
      </c>
      <c r="K291">
        <v>102.03525</v>
      </c>
      <c r="L291">
        <v>0.36348561865111539</v>
      </c>
      <c r="M291">
        <v>109.51345092974924</v>
      </c>
      <c r="N291">
        <v>120.46479602272417</v>
      </c>
    </row>
    <row r="292" spans="1:14">
      <c r="A292" t="s">
        <v>726</v>
      </c>
      <c r="B292" t="s">
        <v>8131</v>
      </c>
      <c r="C292" t="s">
        <v>8132</v>
      </c>
      <c r="D292" t="s">
        <v>11</v>
      </c>
      <c r="E292" t="s">
        <v>13</v>
      </c>
      <c r="F292" t="s">
        <v>729</v>
      </c>
      <c r="G292" t="s">
        <v>12</v>
      </c>
      <c r="I292" t="s">
        <v>8131</v>
      </c>
      <c r="J292" t="s">
        <v>8882</v>
      </c>
      <c r="K292">
        <v>84.561750000000004</v>
      </c>
      <c r="L292">
        <v>0.35604950125346141</v>
      </c>
      <c r="M292">
        <v>194.16073369347487</v>
      </c>
      <c r="N292">
        <v>213.57680706282238</v>
      </c>
    </row>
    <row r="293" spans="1:14">
      <c r="A293" t="s">
        <v>726</v>
      </c>
      <c r="B293" t="s">
        <v>8133</v>
      </c>
      <c r="C293" t="s">
        <v>8134</v>
      </c>
      <c r="D293" t="s">
        <v>11</v>
      </c>
      <c r="E293" t="s">
        <v>13</v>
      </c>
      <c r="F293" t="s">
        <v>729</v>
      </c>
      <c r="G293" t="s">
        <v>12</v>
      </c>
      <c r="I293" t="s">
        <v>8133</v>
      </c>
      <c r="J293" t="s">
        <v>8883</v>
      </c>
      <c r="K293">
        <v>99.10275</v>
      </c>
      <c r="L293">
        <v>0.33577429907118</v>
      </c>
      <c r="M293">
        <v>131.49511820324059</v>
      </c>
      <c r="N293">
        <v>144.64463002356467</v>
      </c>
    </row>
    <row r="294" spans="1:14">
      <c r="A294" t="s">
        <v>726</v>
      </c>
      <c r="B294" t="s">
        <v>8135</v>
      </c>
      <c r="C294" t="s">
        <v>8136</v>
      </c>
      <c r="D294" t="s">
        <v>11</v>
      </c>
      <c r="E294" t="s">
        <v>13</v>
      </c>
      <c r="F294" t="s">
        <v>729</v>
      </c>
      <c r="G294" t="s">
        <v>12</v>
      </c>
      <c r="I294" t="s">
        <v>8135</v>
      </c>
      <c r="J294" t="s">
        <v>8884</v>
      </c>
      <c r="K294">
        <v>34.553249999999998</v>
      </c>
      <c r="L294">
        <v>0.3743481307427311</v>
      </c>
      <c r="M294">
        <v>95.504690110590886</v>
      </c>
      <c r="N294">
        <v>105.05515912164998</v>
      </c>
    </row>
    <row r="295" spans="1:14">
      <c r="A295" t="s">
        <v>726</v>
      </c>
      <c r="B295" t="s">
        <v>8137</v>
      </c>
      <c r="C295" t="s">
        <v>8138</v>
      </c>
      <c r="D295" t="s">
        <v>11</v>
      </c>
      <c r="E295" t="s">
        <v>13</v>
      </c>
      <c r="F295" t="s">
        <v>729</v>
      </c>
      <c r="G295" t="s">
        <v>12</v>
      </c>
      <c r="I295" t="s">
        <v>8137</v>
      </c>
      <c r="J295" t="s">
        <v>8885</v>
      </c>
      <c r="K295">
        <v>46.842750000000002</v>
      </c>
      <c r="L295">
        <v>0.33915906354821979</v>
      </c>
      <c r="M295">
        <v>130.1916843021493</v>
      </c>
      <c r="N295">
        <v>143.21085273236423</v>
      </c>
    </row>
    <row r="296" spans="1:14">
      <c r="A296" t="s">
        <v>726</v>
      </c>
      <c r="B296" t="s">
        <v>8139</v>
      </c>
      <c r="C296" t="s">
        <v>8140</v>
      </c>
      <c r="D296" t="s">
        <v>11</v>
      </c>
      <c r="E296" t="s">
        <v>13</v>
      </c>
      <c r="F296" t="s">
        <v>729</v>
      </c>
      <c r="G296" t="s">
        <v>12</v>
      </c>
      <c r="I296" t="s">
        <v>8139</v>
      </c>
      <c r="J296" t="s">
        <v>8886</v>
      </c>
      <c r="K296">
        <v>31.760999999999999</v>
      </c>
      <c r="L296">
        <v>0.31042478941995549</v>
      </c>
      <c r="M296">
        <v>59.920548621409424</v>
      </c>
      <c r="N296">
        <v>65.91260348355037</v>
      </c>
    </row>
    <row r="297" spans="1:14">
      <c r="A297" t="s">
        <v>726</v>
      </c>
      <c r="B297" t="s">
        <v>8141</v>
      </c>
      <c r="C297" t="s">
        <v>8142</v>
      </c>
      <c r="D297" t="s">
        <v>11</v>
      </c>
      <c r="E297" t="s">
        <v>13</v>
      </c>
      <c r="F297" t="s">
        <v>729</v>
      </c>
      <c r="G297" t="s">
        <v>12</v>
      </c>
      <c r="I297" t="s">
        <v>8141</v>
      </c>
      <c r="J297" t="s">
        <v>8887</v>
      </c>
      <c r="K297">
        <v>9.70275</v>
      </c>
      <c r="L297">
        <v>0.37872281672924551</v>
      </c>
      <c r="M297">
        <v>36.651388034761567</v>
      </c>
      <c r="N297">
        <v>40.316526838237728</v>
      </c>
    </row>
    <row r="298" spans="1:14">
      <c r="A298" t="s">
        <v>726</v>
      </c>
      <c r="B298" t="s">
        <v>8143</v>
      </c>
      <c r="C298" t="s">
        <v>8144</v>
      </c>
      <c r="D298" t="s">
        <v>11</v>
      </c>
      <c r="E298" t="s">
        <v>13</v>
      </c>
      <c r="F298" t="s">
        <v>729</v>
      </c>
      <c r="G298" t="s">
        <v>12</v>
      </c>
      <c r="I298" t="s">
        <v>8143</v>
      </c>
      <c r="J298" t="s">
        <v>8888</v>
      </c>
      <c r="K298">
        <v>12.5625</v>
      </c>
      <c r="L298">
        <v>0.3886533728712066</v>
      </c>
      <c r="M298">
        <v>90.993821889793736</v>
      </c>
      <c r="N298">
        <v>100.09320407877311</v>
      </c>
    </row>
    <row r="299" spans="1:14">
      <c r="A299" t="s">
        <v>726</v>
      </c>
      <c r="B299" t="s">
        <v>8145</v>
      </c>
      <c r="C299" t="s">
        <v>8146</v>
      </c>
      <c r="D299" t="s">
        <v>11</v>
      </c>
      <c r="E299" t="s">
        <v>13</v>
      </c>
      <c r="F299" t="s">
        <v>729</v>
      </c>
      <c r="G299" t="s">
        <v>12</v>
      </c>
      <c r="I299" t="s">
        <v>8145</v>
      </c>
      <c r="J299" t="s">
        <v>8889</v>
      </c>
      <c r="K299">
        <v>3.6269999999999998</v>
      </c>
      <c r="L299">
        <v>0.3012356168482706</v>
      </c>
      <c r="M299">
        <v>44.244469360384166</v>
      </c>
      <c r="N299">
        <v>48.668916296422587</v>
      </c>
    </row>
    <row r="300" spans="1:14">
      <c r="A300" t="s">
        <v>726</v>
      </c>
      <c r="B300" t="s">
        <v>8147</v>
      </c>
      <c r="C300" t="s">
        <v>8148</v>
      </c>
      <c r="D300" t="s">
        <v>11</v>
      </c>
      <c r="E300" t="s">
        <v>13</v>
      </c>
      <c r="F300" t="s">
        <v>729</v>
      </c>
      <c r="G300" t="s">
        <v>12</v>
      </c>
      <c r="I300" t="s">
        <v>8147</v>
      </c>
      <c r="J300" t="s">
        <v>8890</v>
      </c>
      <c r="K300">
        <v>11.882999999999999</v>
      </c>
      <c r="L300">
        <v>0.47140783802758252</v>
      </c>
      <c r="M300">
        <v>67.320891779702436</v>
      </c>
      <c r="N300">
        <v>74.052980957672688</v>
      </c>
    </row>
    <row r="301" spans="1:14">
      <c r="A301" t="s">
        <v>726</v>
      </c>
      <c r="B301" t="s">
        <v>8149</v>
      </c>
      <c r="C301" t="s">
        <v>8150</v>
      </c>
      <c r="D301" t="s">
        <v>11</v>
      </c>
      <c r="E301" t="s">
        <v>13</v>
      </c>
      <c r="F301" t="s">
        <v>729</v>
      </c>
      <c r="G301" t="s">
        <v>12</v>
      </c>
      <c r="I301" t="s">
        <v>8149</v>
      </c>
      <c r="J301" t="s">
        <v>8891</v>
      </c>
      <c r="K301">
        <v>2.3235000000000001</v>
      </c>
      <c r="L301">
        <v>0.38297867862928803</v>
      </c>
      <c r="M301">
        <v>92.670453202139313</v>
      </c>
      <c r="N301">
        <v>101.93749852235325</v>
      </c>
    </row>
    <row r="302" spans="1:14">
      <c r="A302" t="s">
        <v>726</v>
      </c>
      <c r="B302" t="s">
        <v>8151</v>
      </c>
      <c r="C302" t="s">
        <v>8150</v>
      </c>
      <c r="D302" t="s">
        <v>11</v>
      </c>
      <c r="E302" t="s">
        <v>13</v>
      </c>
      <c r="F302" t="s">
        <v>729</v>
      </c>
      <c r="G302" t="s">
        <v>12</v>
      </c>
      <c r="I302" t="s">
        <v>8151</v>
      </c>
      <c r="J302" t="s">
        <v>8892</v>
      </c>
      <c r="K302">
        <v>29.90475</v>
      </c>
      <c r="L302">
        <v>0.48816950967027722</v>
      </c>
      <c r="M302">
        <v>151.27076765120748</v>
      </c>
      <c r="N302">
        <v>166.39784441632824</v>
      </c>
    </row>
    <row r="303" spans="1:14">
      <c r="A303" t="s">
        <v>726</v>
      </c>
      <c r="B303" t="s">
        <v>8152</v>
      </c>
      <c r="C303" t="s">
        <v>8153</v>
      </c>
      <c r="D303" t="s">
        <v>11</v>
      </c>
      <c r="E303" t="s">
        <v>13</v>
      </c>
      <c r="F303" t="s">
        <v>729</v>
      </c>
      <c r="G303" t="s">
        <v>12</v>
      </c>
      <c r="I303" t="s">
        <v>8152</v>
      </c>
      <c r="J303" t="s">
        <v>8893</v>
      </c>
      <c r="K303">
        <v>1.2705</v>
      </c>
      <c r="L303">
        <v>0.43189472016250408</v>
      </c>
      <c r="M303">
        <v>85.135041961351973</v>
      </c>
      <c r="N303">
        <v>93.648546157487175</v>
      </c>
    </row>
    <row r="304" spans="1:14">
      <c r="A304" t="s">
        <v>726</v>
      </c>
      <c r="B304" t="s">
        <v>8154</v>
      </c>
      <c r="C304" t="s">
        <v>8155</v>
      </c>
      <c r="D304" t="s">
        <v>11</v>
      </c>
      <c r="E304" t="s">
        <v>13</v>
      </c>
      <c r="F304" t="s">
        <v>729</v>
      </c>
      <c r="G304" t="s">
        <v>12</v>
      </c>
      <c r="I304" t="s">
        <v>8154</v>
      </c>
      <c r="J304" t="s">
        <v>8894</v>
      </c>
      <c r="K304">
        <v>90.595500000000001</v>
      </c>
      <c r="L304">
        <v>0.48000314123202942</v>
      </c>
      <c r="M304">
        <v>130.98553700088348</v>
      </c>
      <c r="N304">
        <v>144.08409070097184</v>
      </c>
    </row>
    <row r="305" spans="1:14">
      <c r="A305" t="s">
        <v>726</v>
      </c>
      <c r="B305" t="s">
        <v>8156</v>
      </c>
      <c r="C305" t="s">
        <v>8157</v>
      </c>
      <c r="D305" t="s">
        <v>11</v>
      </c>
      <c r="E305" t="s">
        <v>13</v>
      </c>
      <c r="F305" t="s">
        <v>729</v>
      </c>
      <c r="G305" t="s">
        <v>12</v>
      </c>
      <c r="I305" t="s">
        <v>8156</v>
      </c>
      <c r="J305" t="s">
        <v>8895</v>
      </c>
      <c r="K305">
        <v>34.909500000000001</v>
      </c>
      <c r="L305">
        <v>0.46152411030971929</v>
      </c>
      <c r="M305">
        <v>62.991304056470547</v>
      </c>
      <c r="N305">
        <v>69.290434462117602</v>
      </c>
    </row>
    <row r="306" spans="1:14">
      <c r="A306" t="s">
        <v>726</v>
      </c>
      <c r="B306" t="s">
        <v>8158</v>
      </c>
      <c r="C306" t="s">
        <v>8159</v>
      </c>
      <c r="D306" t="s">
        <v>11</v>
      </c>
      <c r="E306" t="s">
        <v>13</v>
      </c>
      <c r="F306" t="s">
        <v>729</v>
      </c>
      <c r="G306" t="s">
        <v>12</v>
      </c>
      <c r="I306" t="s">
        <v>8158</v>
      </c>
      <c r="J306" t="s">
        <v>8896</v>
      </c>
      <c r="K306">
        <v>73.629000000000005</v>
      </c>
      <c r="L306">
        <v>0.37720565920735161</v>
      </c>
      <c r="M306">
        <v>98.950919343628897</v>
      </c>
      <c r="N306">
        <v>108.84601127799179</v>
      </c>
    </row>
    <row r="307" spans="1:14">
      <c r="A307" t="s">
        <v>726</v>
      </c>
      <c r="B307" t="s">
        <v>8160</v>
      </c>
      <c r="C307" t="s">
        <v>8161</v>
      </c>
      <c r="D307" t="s">
        <v>11</v>
      </c>
      <c r="E307" t="s">
        <v>13</v>
      </c>
      <c r="F307" t="s">
        <v>729</v>
      </c>
      <c r="G307" t="s">
        <v>12</v>
      </c>
      <c r="I307" t="s">
        <v>8160</v>
      </c>
      <c r="J307" t="s">
        <v>8897</v>
      </c>
      <c r="K307">
        <v>25.101749999999999</v>
      </c>
      <c r="L307">
        <v>0.34540414412613168</v>
      </c>
      <c r="M307">
        <v>66.390635388670205</v>
      </c>
      <c r="N307">
        <v>73.029698927537225</v>
      </c>
    </row>
    <row r="308" spans="1:14">
      <c r="A308" t="s">
        <v>726</v>
      </c>
      <c r="B308" t="s">
        <v>8162</v>
      </c>
      <c r="C308" t="s">
        <v>8163</v>
      </c>
      <c r="D308" t="s">
        <v>11</v>
      </c>
      <c r="E308" t="s">
        <v>13</v>
      </c>
      <c r="F308" t="s">
        <v>729</v>
      </c>
      <c r="G308" t="s">
        <v>12</v>
      </c>
      <c r="I308" t="s">
        <v>8162</v>
      </c>
      <c r="J308" t="s">
        <v>8898</v>
      </c>
      <c r="K308">
        <v>25.731750000000002</v>
      </c>
      <c r="L308">
        <v>0.3175092841296781</v>
      </c>
      <c r="M308">
        <v>63.138566072886853</v>
      </c>
      <c r="N308">
        <v>69.452422680175545</v>
      </c>
    </row>
    <row r="309" spans="1:14">
      <c r="A309" t="s">
        <v>726</v>
      </c>
      <c r="B309" t="s">
        <v>8164</v>
      </c>
      <c r="C309" t="s">
        <v>8165</v>
      </c>
      <c r="D309" t="s">
        <v>11</v>
      </c>
      <c r="E309" t="s">
        <v>13</v>
      </c>
      <c r="F309" t="s">
        <v>729</v>
      </c>
      <c r="G309" t="s">
        <v>12</v>
      </c>
      <c r="I309" t="s">
        <v>8164</v>
      </c>
      <c r="J309" t="s">
        <v>8899</v>
      </c>
      <c r="K309">
        <v>24.402000000000001</v>
      </c>
      <c r="L309">
        <v>0.27480262403811889</v>
      </c>
      <c r="M309">
        <v>57.915572959413318</v>
      </c>
      <c r="N309">
        <v>63.707130255354656</v>
      </c>
    </row>
    <row r="310" spans="1:14">
      <c r="A310" t="s">
        <v>726</v>
      </c>
      <c r="B310" t="s">
        <v>8166</v>
      </c>
      <c r="C310" t="s">
        <v>8167</v>
      </c>
      <c r="D310" t="s">
        <v>11</v>
      </c>
      <c r="E310" t="s">
        <v>13</v>
      </c>
      <c r="F310" t="s">
        <v>729</v>
      </c>
      <c r="G310" t="s">
        <v>12</v>
      </c>
      <c r="I310" t="s">
        <v>8166</v>
      </c>
      <c r="J310" t="s">
        <v>8900</v>
      </c>
      <c r="K310">
        <v>11.892749999999999</v>
      </c>
      <c r="L310">
        <v>0.246223162034165</v>
      </c>
      <c r="M310">
        <v>53.527514568422426</v>
      </c>
      <c r="N310">
        <v>58.880266025264675</v>
      </c>
    </row>
    <row r="311" spans="1:14">
      <c r="A311" t="s">
        <v>726</v>
      </c>
      <c r="B311" t="s">
        <v>8168</v>
      </c>
      <c r="C311" t="s">
        <v>8169</v>
      </c>
      <c r="D311" t="s">
        <v>11</v>
      </c>
      <c r="E311" t="s">
        <v>13</v>
      </c>
      <c r="F311" t="s">
        <v>729</v>
      </c>
      <c r="G311" t="s">
        <v>12</v>
      </c>
      <c r="I311" t="s">
        <v>8168</v>
      </c>
      <c r="J311" t="s">
        <v>8901</v>
      </c>
      <c r="K311">
        <v>8.7022499999999994</v>
      </c>
      <c r="L311">
        <v>0.22603807549619029</v>
      </c>
      <c r="M311">
        <v>55.171715274660883</v>
      </c>
      <c r="N311">
        <v>60.688886802126973</v>
      </c>
    </row>
    <row r="312" spans="1:14">
      <c r="A312" t="s">
        <v>726</v>
      </c>
      <c r="B312" t="s">
        <v>8170</v>
      </c>
      <c r="C312" t="s">
        <v>8171</v>
      </c>
      <c r="D312" t="s">
        <v>11</v>
      </c>
      <c r="E312" t="s">
        <v>13</v>
      </c>
      <c r="F312" t="s">
        <v>729</v>
      </c>
      <c r="G312" t="s">
        <v>12</v>
      </c>
      <c r="I312" t="s">
        <v>8170</v>
      </c>
      <c r="J312" t="s">
        <v>8902</v>
      </c>
      <c r="K312">
        <v>19.710750000000001</v>
      </c>
      <c r="L312">
        <v>0.43718535090565919</v>
      </c>
      <c r="M312">
        <v>48.220693884119299</v>
      </c>
      <c r="N312">
        <v>53.042763272531232</v>
      </c>
    </row>
    <row r="313" spans="1:14">
      <c r="A313" t="s">
        <v>726</v>
      </c>
      <c r="B313" t="s">
        <v>8172</v>
      </c>
      <c r="C313" t="s">
        <v>8173</v>
      </c>
      <c r="D313" t="s">
        <v>11</v>
      </c>
      <c r="E313" t="s">
        <v>13</v>
      </c>
      <c r="F313" t="s">
        <v>729</v>
      </c>
      <c r="G313" t="s">
        <v>12</v>
      </c>
      <c r="I313" t="s">
        <v>8172</v>
      </c>
      <c r="J313" t="s">
        <v>8903</v>
      </c>
      <c r="K313">
        <v>7.524</v>
      </c>
      <c r="L313">
        <v>0.27264782768541218</v>
      </c>
      <c r="M313">
        <v>36.724382457200598</v>
      </c>
      <c r="N313">
        <v>40.396820702920664</v>
      </c>
    </row>
    <row r="314" spans="1:14">
      <c r="A314" t="s">
        <v>726</v>
      </c>
      <c r="B314" t="s">
        <v>8174</v>
      </c>
      <c r="C314" t="s">
        <v>8175</v>
      </c>
      <c r="D314" t="s">
        <v>11</v>
      </c>
      <c r="E314" t="s">
        <v>13</v>
      </c>
      <c r="F314" t="s">
        <v>729</v>
      </c>
      <c r="G314" t="s">
        <v>12</v>
      </c>
      <c r="I314" t="s">
        <v>8174</v>
      </c>
      <c r="J314" t="s">
        <v>8904</v>
      </c>
      <c r="K314">
        <v>48.156750000000002</v>
      </c>
      <c r="L314">
        <v>0.51593132794370711</v>
      </c>
      <c r="M314">
        <v>55.794735186266216</v>
      </c>
      <c r="N314">
        <v>61.374208704892844</v>
      </c>
    </row>
    <row r="315" spans="1:14">
      <c r="A315" t="s">
        <v>726</v>
      </c>
      <c r="B315" t="s">
        <v>8176</v>
      </c>
      <c r="C315" t="s">
        <v>8177</v>
      </c>
      <c r="D315" t="s">
        <v>11</v>
      </c>
      <c r="E315" t="s">
        <v>13</v>
      </c>
      <c r="F315" t="s">
        <v>729</v>
      </c>
      <c r="G315" t="s">
        <v>12</v>
      </c>
      <c r="I315" t="s">
        <v>8176</v>
      </c>
      <c r="J315" t="s">
        <v>8905</v>
      </c>
      <c r="K315">
        <v>12.039</v>
      </c>
      <c r="L315">
        <v>0.2751771150941581</v>
      </c>
      <c r="M315">
        <v>257.86546997468315</v>
      </c>
      <c r="N315">
        <v>283.6520169721515</v>
      </c>
    </row>
    <row r="316" spans="1:14">
      <c r="A316" t="s">
        <v>726</v>
      </c>
      <c r="B316" t="s">
        <v>8178</v>
      </c>
      <c r="C316" t="s">
        <v>8179</v>
      </c>
      <c r="D316" t="s">
        <v>11</v>
      </c>
      <c r="E316" t="s">
        <v>13</v>
      </c>
      <c r="F316" t="s">
        <v>729</v>
      </c>
      <c r="G316" t="s">
        <v>12</v>
      </c>
      <c r="I316" t="s">
        <v>8178</v>
      </c>
      <c r="J316" t="s">
        <v>8906</v>
      </c>
      <c r="K316">
        <v>139.81800000000001</v>
      </c>
      <c r="L316">
        <v>0.27905405780389247</v>
      </c>
      <c r="M316">
        <v>310.45637062522496</v>
      </c>
      <c r="N316">
        <v>341.50200768774749</v>
      </c>
    </row>
    <row r="317" spans="1:14">
      <c r="A317" t="s">
        <v>726</v>
      </c>
      <c r="B317" t="s">
        <v>8180</v>
      </c>
      <c r="C317" t="s">
        <v>8181</v>
      </c>
      <c r="D317" t="s">
        <v>11</v>
      </c>
      <c r="E317" t="s">
        <v>13</v>
      </c>
      <c r="F317" t="s">
        <v>729</v>
      </c>
      <c r="G317" t="s">
        <v>12</v>
      </c>
      <c r="I317" t="s">
        <v>8180</v>
      </c>
      <c r="J317" t="s">
        <v>8907</v>
      </c>
      <c r="K317">
        <v>67.412999999999997</v>
      </c>
      <c r="L317">
        <v>0.26465175584502271</v>
      </c>
      <c r="M317">
        <v>246.74912265706371</v>
      </c>
      <c r="N317">
        <v>271.42403492277009</v>
      </c>
    </row>
    <row r="318" spans="1:14">
      <c r="A318" t="s">
        <v>726</v>
      </c>
      <c r="B318" t="s">
        <v>8182</v>
      </c>
      <c r="C318" t="s">
        <v>8179</v>
      </c>
      <c r="D318" t="s">
        <v>11</v>
      </c>
      <c r="E318" t="s">
        <v>13</v>
      </c>
      <c r="F318" t="s">
        <v>729</v>
      </c>
      <c r="G318" t="s">
        <v>12</v>
      </c>
      <c r="I318" t="s">
        <v>8182</v>
      </c>
      <c r="J318" t="s">
        <v>8908</v>
      </c>
      <c r="K318">
        <v>46.83</v>
      </c>
      <c r="L318">
        <v>0.23934334135840049</v>
      </c>
      <c r="M318">
        <v>139.96637393138292</v>
      </c>
      <c r="N318">
        <v>153.96301132452123</v>
      </c>
    </row>
    <row r="319" spans="1:14">
      <c r="A319" t="s">
        <v>726</v>
      </c>
      <c r="B319" t="s">
        <v>8183</v>
      </c>
      <c r="C319" t="s">
        <v>8184</v>
      </c>
      <c r="D319" t="s">
        <v>11</v>
      </c>
      <c r="E319" t="s">
        <v>13</v>
      </c>
      <c r="F319" t="s">
        <v>729</v>
      </c>
      <c r="G319" t="s">
        <v>12</v>
      </c>
      <c r="I319" t="s">
        <v>8183</v>
      </c>
      <c r="J319" t="s">
        <v>8909</v>
      </c>
      <c r="K319">
        <v>81.983249999999998</v>
      </c>
      <c r="L319">
        <v>0.31197912693839369</v>
      </c>
      <c r="M319">
        <v>141.95307643512859</v>
      </c>
      <c r="N319">
        <v>156.14838407864147</v>
      </c>
    </row>
    <row r="320" spans="1:14">
      <c r="A320" t="s">
        <v>726</v>
      </c>
      <c r="B320" t="s">
        <v>8185</v>
      </c>
      <c r="C320" t="s">
        <v>8186</v>
      </c>
      <c r="D320" t="s">
        <v>11</v>
      </c>
      <c r="E320" t="s">
        <v>13</v>
      </c>
      <c r="F320" t="s">
        <v>729</v>
      </c>
      <c r="G320" t="s">
        <v>12</v>
      </c>
      <c r="I320" t="s">
        <v>8185</v>
      </c>
      <c r="J320" t="s">
        <v>8910</v>
      </c>
      <c r="K320">
        <v>182.51249999999999</v>
      </c>
      <c r="L320">
        <v>0.36757361645525988</v>
      </c>
      <c r="M320">
        <v>210.26315436694412</v>
      </c>
      <c r="N320">
        <v>231.28946980363855</v>
      </c>
    </row>
    <row r="321" spans="1:14">
      <c r="A321" t="s">
        <v>726</v>
      </c>
      <c r="B321" t="s">
        <v>8187</v>
      </c>
      <c r="C321" t="s">
        <v>8188</v>
      </c>
      <c r="D321" t="s">
        <v>11</v>
      </c>
      <c r="E321" t="s">
        <v>13</v>
      </c>
      <c r="F321" t="s">
        <v>729</v>
      </c>
      <c r="G321" t="s">
        <v>12</v>
      </c>
      <c r="I321" t="s">
        <v>8187</v>
      </c>
      <c r="J321" t="s">
        <v>8911</v>
      </c>
      <c r="K321">
        <v>99.298500000000004</v>
      </c>
      <c r="L321">
        <v>0.34697151082884609</v>
      </c>
      <c r="M321">
        <v>133.05773051070383</v>
      </c>
      <c r="N321">
        <v>146.36350356177422</v>
      </c>
    </row>
    <row r="322" spans="1:14">
      <c r="A322" t="s">
        <v>726</v>
      </c>
      <c r="B322" t="s">
        <v>8189</v>
      </c>
      <c r="C322" t="s">
        <v>8190</v>
      </c>
      <c r="D322" t="s">
        <v>11</v>
      </c>
      <c r="E322" t="s">
        <v>13</v>
      </c>
      <c r="F322" t="s">
        <v>729</v>
      </c>
      <c r="G322" t="s">
        <v>12</v>
      </c>
      <c r="I322" t="s">
        <v>8189</v>
      </c>
      <c r="J322" t="s">
        <v>8912</v>
      </c>
      <c r="K322">
        <v>33.877499999999998</v>
      </c>
      <c r="L322">
        <v>0.32041405454048538</v>
      </c>
      <c r="M322">
        <v>207.53286514016199</v>
      </c>
      <c r="N322">
        <v>228.28615165417821</v>
      </c>
    </row>
    <row r="323" spans="1:14">
      <c r="A323" t="s">
        <v>726</v>
      </c>
      <c r="B323" t="s">
        <v>8191</v>
      </c>
      <c r="C323" t="s">
        <v>8192</v>
      </c>
      <c r="D323" t="s">
        <v>11</v>
      </c>
      <c r="E323" t="s">
        <v>13</v>
      </c>
      <c r="F323" t="s">
        <v>729</v>
      </c>
      <c r="G323" t="s">
        <v>12</v>
      </c>
      <c r="I323" t="s">
        <v>8191</v>
      </c>
      <c r="J323" t="s">
        <v>8913</v>
      </c>
      <c r="K323">
        <v>34.21575</v>
      </c>
      <c r="L323">
        <v>0.2415176265061669</v>
      </c>
      <c r="M323">
        <v>71.416075692947373</v>
      </c>
      <c r="N323">
        <v>78.557683262242122</v>
      </c>
    </row>
    <row r="324" spans="1:14">
      <c r="A324" t="s">
        <v>726</v>
      </c>
      <c r="B324" t="s">
        <v>8193</v>
      </c>
      <c r="C324" t="s">
        <v>8194</v>
      </c>
      <c r="D324" t="s">
        <v>11</v>
      </c>
      <c r="E324" t="s">
        <v>13</v>
      </c>
      <c r="F324" t="s">
        <v>729</v>
      </c>
      <c r="G324" t="s">
        <v>12</v>
      </c>
      <c r="I324" t="s">
        <v>8193</v>
      </c>
      <c r="J324" t="s">
        <v>8914</v>
      </c>
      <c r="K324">
        <v>45.600749999999998</v>
      </c>
      <c r="L324">
        <v>0.34764779840497251</v>
      </c>
      <c r="M324">
        <v>98.856109775673715</v>
      </c>
      <c r="N324">
        <v>108.7417207532411</v>
      </c>
    </row>
    <row r="325" spans="1:14">
      <c r="A325" t="s">
        <v>726</v>
      </c>
      <c r="B325" t="s">
        <v>8195</v>
      </c>
      <c r="C325" t="s">
        <v>8196</v>
      </c>
      <c r="D325" t="s">
        <v>11</v>
      </c>
      <c r="E325" t="s">
        <v>13</v>
      </c>
      <c r="F325" t="s">
        <v>729</v>
      </c>
      <c r="G325" t="s">
        <v>12</v>
      </c>
      <c r="I325" t="s">
        <v>8195</v>
      </c>
      <c r="J325" t="s">
        <v>8915</v>
      </c>
      <c r="K325">
        <v>22.839749999999999</v>
      </c>
      <c r="L325">
        <v>0.36757255777944892</v>
      </c>
      <c r="M325">
        <v>46.454724360079531</v>
      </c>
      <c r="N325">
        <v>51.100196796087488</v>
      </c>
    </row>
    <row r="326" spans="1:14">
      <c r="A326" t="s">
        <v>726</v>
      </c>
      <c r="B326" t="s">
        <v>8197</v>
      </c>
      <c r="C326" t="s">
        <v>8194</v>
      </c>
      <c r="D326" t="s">
        <v>11</v>
      </c>
      <c r="E326" t="s">
        <v>13</v>
      </c>
      <c r="F326" t="s">
        <v>729</v>
      </c>
      <c r="G326" t="s">
        <v>12</v>
      </c>
      <c r="I326" t="s">
        <v>8197</v>
      </c>
      <c r="J326" t="s">
        <v>8916</v>
      </c>
      <c r="K326">
        <v>61.503749999999997</v>
      </c>
      <c r="L326">
        <v>0.35745177531374062</v>
      </c>
      <c r="M326">
        <v>125.29250203878831</v>
      </c>
      <c r="N326">
        <v>137.82175224266715</v>
      </c>
    </row>
    <row r="327" spans="1:14">
      <c r="A327" t="s">
        <v>726</v>
      </c>
      <c r="B327" t="s">
        <v>8198</v>
      </c>
      <c r="C327" t="s">
        <v>8199</v>
      </c>
      <c r="D327" t="s">
        <v>11</v>
      </c>
      <c r="E327" t="s">
        <v>13</v>
      </c>
      <c r="F327" t="s">
        <v>729</v>
      </c>
      <c r="G327" t="s">
        <v>12</v>
      </c>
      <c r="I327" t="s">
        <v>8198</v>
      </c>
      <c r="J327" t="s">
        <v>8917</v>
      </c>
      <c r="K327">
        <v>76.390500000000003</v>
      </c>
      <c r="L327">
        <v>0.22136667941634899</v>
      </c>
      <c r="M327">
        <v>293.02035299542695</v>
      </c>
      <c r="N327">
        <v>322.32238829496964</v>
      </c>
    </row>
    <row r="328" spans="1:14">
      <c r="A328" t="s">
        <v>726</v>
      </c>
      <c r="B328" t="s">
        <v>8200</v>
      </c>
      <c r="C328" t="s">
        <v>8201</v>
      </c>
      <c r="D328" t="s">
        <v>11</v>
      </c>
      <c r="E328" t="s">
        <v>13</v>
      </c>
      <c r="F328" t="s">
        <v>729</v>
      </c>
      <c r="G328" t="s">
        <v>12</v>
      </c>
      <c r="I328" t="s">
        <v>8200</v>
      </c>
      <c r="J328" t="s">
        <v>8918</v>
      </c>
      <c r="K328">
        <v>18.889500000000002</v>
      </c>
      <c r="L328">
        <v>0.22265757677209999</v>
      </c>
      <c r="M328">
        <v>103.99650492311888</v>
      </c>
      <c r="N328">
        <v>114.39615541543077</v>
      </c>
    </row>
    <row r="329" spans="1:14">
      <c r="A329" t="s">
        <v>726</v>
      </c>
      <c r="B329" t="s">
        <v>8202</v>
      </c>
      <c r="C329" t="s">
        <v>8203</v>
      </c>
      <c r="D329" t="s">
        <v>11</v>
      </c>
      <c r="E329" t="s">
        <v>13</v>
      </c>
      <c r="F329" t="s">
        <v>729</v>
      </c>
      <c r="G329" t="s">
        <v>12</v>
      </c>
      <c r="I329" t="s">
        <v>8202</v>
      </c>
      <c r="J329" t="s">
        <v>8919</v>
      </c>
      <c r="K329">
        <v>21.95025</v>
      </c>
      <c r="L329">
        <v>0.22574309272636661</v>
      </c>
      <c r="M329">
        <v>195.82720980365036</v>
      </c>
      <c r="N329">
        <v>215.40993078401542</v>
      </c>
    </row>
    <row r="330" spans="1:14">
      <c r="A330" t="s">
        <v>726</v>
      </c>
      <c r="B330" t="s">
        <v>8204</v>
      </c>
      <c r="C330" t="s">
        <v>8203</v>
      </c>
      <c r="D330" t="s">
        <v>11</v>
      </c>
      <c r="E330" t="s">
        <v>13</v>
      </c>
      <c r="F330" t="s">
        <v>729</v>
      </c>
      <c r="G330" t="s">
        <v>12</v>
      </c>
      <c r="I330" t="s">
        <v>8204</v>
      </c>
      <c r="J330" t="s">
        <v>8920</v>
      </c>
      <c r="K330">
        <v>57.878250000000001</v>
      </c>
      <c r="L330">
        <v>0.24217477482718039</v>
      </c>
      <c r="M330">
        <v>304.75673937328048</v>
      </c>
      <c r="N330">
        <v>335.23241331060854</v>
      </c>
    </row>
    <row r="331" spans="1:14">
      <c r="A331" t="s">
        <v>726</v>
      </c>
      <c r="B331" t="s">
        <v>8205</v>
      </c>
      <c r="C331" t="s">
        <v>8206</v>
      </c>
      <c r="D331" t="s">
        <v>11</v>
      </c>
      <c r="E331" t="s">
        <v>13</v>
      </c>
      <c r="F331" t="s">
        <v>729</v>
      </c>
      <c r="G331" t="s">
        <v>12</v>
      </c>
      <c r="I331" t="s">
        <v>8205</v>
      </c>
      <c r="J331" t="s">
        <v>8921</v>
      </c>
      <c r="K331">
        <v>12.392250000000001</v>
      </c>
      <c r="L331">
        <v>0.185104055828583</v>
      </c>
      <c r="M331">
        <v>39.922248108770233</v>
      </c>
      <c r="N331">
        <v>43.91447291964726</v>
      </c>
    </row>
    <row r="332" spans="1:14">
      <c r="A332" t="s">
        <v>726</v>
      </c>
      <c r="B332" t="s">
        <v>8207</v>
      </c>
      <c r="C332" t="s">
        <v>8208</v>
      </c>
      <c r="D332" t="s">
        <v>11</v>
      </c>
      <c r="E332" t="s">
        <v>13</v>
      </c>
      <c r="F332" t="s">
        <v>729</v>
      </c>
      <c r="G332" t="s">
        <v>12</v>
      </c>
      <c r="I332" t="s">
        <v>8207</v>
      </c>
      <c r="J332" t="s">
        <v>8922</v>
      </c>
      <c r="K332">
        <v>8.9999999999999993E-3</v>
      </c>
      <c r="L332">
        <v>4.2634661428900301E-2</v>
      </c>
      <c r="M332">
        <v>20.315610614281411</v>
      </c>
      <c r="N332">
        <v>22.347171675709554</v>
      </c>
    </row>
    <row r="333" spans="1:14">
      <c r="A333" t="s">
        <v>726</v>
      </c>
      <c r="B333" t="s">
        <v>8209</v>
      </c>
      <c r="C333" t="s">
        <v>8210</v>
      </c>
      <c r="D333" t="s">
        <v>11</v>
      </c>
      <c r="E333" t="s">
        <v>13</v>
      </c>
      <c r="F333" t="s">
        <v>729</v>
      </c>
      <c r="G333" t="s">
        <v>12</v>
      </c>
      <c r="I333" t="s">
        <v>8209</v>
      </c>
      <c r="J333" t="s">
        <v>8923</v>
      </c>
      <c r="K333">
        <v>65.866500000000002</v>
      </c>
      <c r="L333">
        <v>0.39394935668215181</v>
      </c>
      <c r="M333">
        <v>138.45709477244998</v>
      </c>
      <c r="N333">
        <v>152.30280424969499</v>
      </c>
    </row>
    <row r="334" spans="1:14">
      <c r="A334" t="s">
        <v>726</v>
      </c>
      <c r="B334" t="s">
        <v>8211</v>
      </c>
      <c r="C334" t="s">
        <v>8210</v>
      </c>
      <c r="D334" t="s">
        <v>11</v>
      </c>
      <c r="E334" t="s">
        <v>13</v>
      </c>
      <c r="F334" t="s">
        <v>729</v>
      </c>
      <c r="G334" t="s">
        <v>12</v>
      </c>
      <c r="I334" t="s">
        <v>8211</v>
      </c>
      <c r="J334" t="s">
        <v>8924</v>
      </c>
      <c r="K334">
        <v>67.254000000000005</v>
      </c>
      <c r="L334">
        <v>0.3316406586848108</v>
      </c>
      <c r="M334">
        <v>319.80377314057733</v>
      </c>
      <c r="N334">
        <v>351.7841504546351</v>
      </c>
    </row>
    <row r="335" spans="1:14">
      <c r="A335" t="s">
        <v>726</v>
      </c>
      <c r="B335" t="s">
        <v>8212</v>
      </c>
      <c r="C335" t="s">
        <v>8213</v>
      </c>
      <c r="D335" t="s">
        <v>11</v>
      </c>
      <c r="E335" t="s">
        <v>13</v>
      </c>
      <c r="F335" t="s">
        <v>729</v>
      </c>
      <c r="G335" t="s">
        <v>12</v>
      </c>
      <c r="I335" t="s">
        <v>8212</v>
      </c>
      <c r="J335" t="s">
        <v>8925</v>
      </c>
      <c r="K335">
        <v>11.52675</v>
      </c>
      <c r="L335">
        <v>0.2460603703305573</v>
      </c>
      <c r="M335">
        <v>361.31826582037991</v>
      </c>
      <c r="N335">
        <v>397.45009240241791</v>
      </c>
    </row>
    <row r="336" spans="1:14">
      <c r="A336" t="s">
        <v>726</v>
      </c>
      <c r="B336" t="s">
        <v>8214</v>
      </c>
      <c r="C336" t="s">
        <v>8215</v>
      </c>
      <c r="D336" t="s">
        <v>11</v>
      </c>
      <c r="E336" t="s">
        <v>13</v>
      </c>
      <c r="F336" t="s">
        <v>729</v>
      </c>
      <c r="G336" t="s">
        <v>12</v>
      </c>
      <c r="I336" t="s">
        <v>8214</v>
      </c>
      <c r="J336" t="s">
        <v>8926</v>
      </c>
      <c r="K336">
        <v>14.66925</v>
      </c>
      <c r="L336">
        <v>0.25479240436199968</v>
      </c>
      <c r="M336">
        <v>108.54552007781332</v>
      </c>
      <c r="N336">
        <v>119.40007208559466</v>
      </c>
    </row>
    <row r="337" spans="1:14">
      <c r="A337" t="s">
        <v>726</v>
      </c>
      <c r="B337" t="s">
        <v>8216</v>
      </c>
      <c r="C337" t="s">
        <v>8217</v>
      </c>
      <c r="D337" t="s">
        <v>11</v>
      </c>
      <c r="E337" t="s">
        <v>13</v>
      </c>
      <c r="F337" t="s">
        <v>729</v>
      </c>
      <c r="G337" t="s">
        <v>12</v>
      </c>
      <c r="I337" t="s">
        <v>8216</v>
      </c>
      <c r="J337" t="s">
        <v>8927</v>
      </c>
      <c r="K337">
        <v>60.48075</v>
      </c>
      <c r="L337">
        <v>0.3177795569924613</v>
      </c>
      <c r="M337">
        <v>188.11137710767608</v>
      </c>
      <c r="N337">
        <v>206.92251481844369</v>
      </c>
    </row>
    <row r="338" spans="1:14">
      <c r="A338" t="s">
        <v>726</v>
      </c>
      <c r="B338" t="s">
        <v>8218</v>
      </c>
      <c r="C338" t="s">
        <v>8219</v>
      </c>
      <c r="D338" t="s">
        <v>11</v>
      </c>
      <c r="E338" t="s">
        <v>13</v>
      </c>
      <c r="F338" t="s">
        <v>729</v>
      </c>
      <c r="G338" t="s">
        <v>12</v>
      </c>
      <c r="I338" t="s">
        <v>8218</v>
      </c>
      <c r="J338" t="s">
        <v>8928</v>
      </c>
      <c r="K338">
        <v>16.951499999999999</v>
      </c>
      <c r="L338">
        <v>0.65315950463890005</v>
      </c>
      <c r="M338">
        <v>97.8751797814338</v>
      </c>
      <c r="N338">
        <v>107.66269775957718</v>
      </c>
    </row>
    <row r="339" spans="1:14">
      <c r="A339" t="s">
        <v>726</v>
      </c>
      <c r="B339" t="s">
        <v>8220</v>
      </c>
      <c r="C339" t="s">
        <v>8221</v>
      </c>
      <c r="D339" t="s">
        <v>11</v>
      </c>
      <c r="E339" t="s">
        <v>13</v>
      </c>
      <c r="F339" t="s">
        <v>729</v>
      </c>
      <c r="G339" t="s">
        <v>12</v>
      </c>
      <c r="I339" t="s">
        <v>8220</v>
      </c>
      <c r="J339" t="s">
        <v>8929</v>
      </c>
      <c r="K339">
        <v>16.424250000000001</v>
      </c>
      <c r="L339">
        <v>0.52990852695639412</v>
      </c>
      <c r="M339">
        <v>123.43998173060814</v>
      </c>
      <c r="N339">
        <v>135.78397990366895</v>
      </c>
    </row>
    <row r="340" spans="1:14">
      <c r="A340" t="s">
        <v>726</v>
      </c>
      <c r="B340" t="s">
        <v>8222</v>
      </c>
      <c r="C340" t="s">
        <v>8223</v>
      </c>
      <c r="D340" t="s">
        <v>11</v>
      </c>
      <c r="E340" t="s">
        <v>13</v>
      </c>
      <c r="F340" t="s">
        <v>729</v>
      </c>
      <c r="G340" t="s">
        <v>12</v>
      </c>
      <c r="I340" t="s">
        <v>8222</v>
      </c>
      <c r="J340" t="s">
        <v>8930</v>
      </c>
      <c r="K340">
        <v>8.6992499999999993</v>
      </c>
      <c r="L340">
        <v>0.37592736558951823</v>
      </c>
      <c r="M340">
        <v>220.24074789847015</v>
      </c>
      <c r="N340">
        <v>242.26482268831717</v>
      </c>
    </row>
    <row r="341" spans="1:14">
      <c r="A341" t="s">
        <v>726</v>
      </c>
      <c r="B341" t="s">
        <v>8224</v>
      </c>
      <c r="C341" t="s">
        <v>8223</v>
      </c>
      <c r="D341" t="s">
        <v>11</v>
      </c>
      <c r="E341" t="s">
        <v>13</v>
      </c>
      <c r="F341" t="s">
        <v>729</v>
      </c>
      <c r="G341" t="s">
        <v>12</v>
      </c>
      <c r="I341" t="s">
        <v>8224</v>
      </c>
      <c r="J341" t="s">
        <v>8931</v>
      </c>
      <c r="K341">
        <v>24.210750000000001</v>
      </c>
      <c r="L341">
        <v>0.46489651993426939</v>
      </c>
      <c r="M341">
        <v>93.342713719132874</v>
      </c>
      <c r="N341">
        <v>102.67698509104616</v>
      </c>
    </row>
    <row r="342" spans="1:14">
      <c r="A342" t="s">
        <v>726</v>
      </c>
      <c r="B342" t="s">
        <v>8225</v>
      </c>
      <c r="C342" t="s">
        <v>8226</v>
      </c>
      <c r="D342" t="s">
        <v>11</v>
      </c>
      <c r="E342" t="s">
        <v>13</v>
      </c>
      <c r="F342" t="s">
        <v>729</v>
      </c>
      <c r="G342" t="s">
        <v>12</v>
      </c>
      <c r="I342" t="s">
        <v>8225</v>
      </c>
      <c r="J342" t="s">
        <v>8932</v>
      </c>
      <c r="K342">
        <v>1.9035</v>
      </c>
      <c r="L342">
        <v>0.25074419358649203</v>
      </c>
      <c r="M342">
        <v>462.02151627842346</v>
      </c>
      <c r="N342">
        <v>508.22366790626586</v>
      </c>
    </row>
    <row r="343" spans="1:14">
      <c r="A343" t="s">
        <v>726</v>
      </c>
      <c r="B343" t="s">
        <v>8227</v>
      </c>
      <c r="C343" t="s">
        <v>8228</v>
      </c>
      <c r="D343" t="s">
        <v>11</v>
      </c>
      <c r="E343" t="s">
        <v>13</v>
      </c>
      <c r="F343" t="s">
        <v>729</v>
      </c>
      <c r="G343" t="s">
        <v>12</v>
      </c>
      <c r="I343" t="s">
        <v>8227</v>
      </c>
      <c r="J343" t="s">
        <v>8933</v>
      </c>
      <c r="K343">
        <v>4.1745000000000001</v>
      </c>
      <c r="L343">
        <v>0.2145000857922435</v>
      </c>
      <c r="M343">
        <v>306.65377543278481</v>
      </c>
      <c r="N343">
        <v>337.31915297606332</v>
      </c>
    </row>
    <row r="344" spans="1:14">
      <c r="A344" t="s">
        <v>726</v>
      </c>
      <c r="B344" t="s">
        <v>8229</v>
      </c>
      <c r="C344" t="s">
        <v>8230</v>
      </c>
      <c r="D344" t="s">
        <v>11</v>
      </c>
      <c r="E344" t="s">
        <v>13</v>
      </c>
      <c r="F344" t="s">
        <v>729</v>
      </c>
      <c r="G344" t="s">
        <v>12</v>
      </c>
      <c r="I344" t="s">
        <v>8229</v>
      </c>
      <c r="J344" t="s">
        <v>8934</v>
      </c>
      <c r="K344">
        <v>17.721</v>
      </c>
      <c r="L344">
        <v>0.2036673079836544</v>
      </c>
      <c r="M344">
        <v>148.88448843449899</v>
      </c>
      <c r="N344">
        <v>163.7729372779489</v>
      </c>
    </row>
    <row r="345" spans="1:14">
      <c r="A345" t="s">
        <v>726</v>
      </c>
      <c r="B345" t="s">
        <v>8231</v>
      </c>
      <c r="C345" t="s">
        <v>8230</v>
      </c>
      <c r="D345" t="s">
        <v>11</v>
      </c>
      <c r="E345" t="s">
        <v>13</v>
      </c>
      <c r="F345" t="s">
        <v>729</v>
      </c>
      <c r="G345" t="s">
        <v>12</v>
      </c>
      <c r="I345" t="s">
        <v>8231</v>
      </c>
      <c r="J345" t="s">
        <v>8935</v>
      </c>
      <c r="K345">
        <v>17.358750000000001</v>
      </c>
      <c r="L345">
        <v>0.27209575611597397</v>
      </c>
      <c r="M345">
        <v>333.70429880645759</v>
      </c>
      <c r="N345">
        <v>367.0747286871034</v>
      </c>
    </row>
    <row r="346" spans="1:14">
      <c r="A346" t="s">
        <v>726</v>
      </c>
      <c r="B346" t="s">
        <v>8232</v>
      </c>
      <c r="C346" t="s">
        <v>8233</v>
      </c>
      <c r="D346" t="s">
        <v>11</v>
      </c>
      <c r="E346" t="s">
        <v>13</v>
      </c>
      <c r="F346" t="s">
        <v>729</v>
      </c>
      <c r="G346" t="s">
        <v>12</v>
      </c>
      <c r="I346" t="s">
        <v>8232</v>
      </c>
      <c r="J346" t="s">
        <v>8936</v>
      </c>
      <c r="K346">
        <v>58.376249999999999</v>
      </c>
      <c r="L346">
        <v>0.47254414183363042</v>
      </c>
      <c r="M346">
        <v>466.56361854613289</v>
      </c>
      <c r="N346">
        <v>513.21998040074618</v>
      </c>
    </row>
    <row r="347" spans="1:14">
      <c r="A347" t="s">
        <v>726</v>
      </c>
      <c r="B347" t="s">
        <v>8234</v>
      </c>
      <c r="C347" t="s">
        <v>8235</v>
      </c>
      <c r="D347" t="s">
        <v>11</v>
      </c>
      <c r="E347" t="s">
        <v>13</v>
      </c>
      <c r="F347" t="s">
        <v>729</v>
      </c>
      <c r="G347" t="s">
        <v>12</v>
      </c>
      <c r="I347" t="s">
        <v>8234</v>
      </c>
      <c r="J347" t="s">
        <v>8937</v>
      </c>
      <c r="K347">
        <v>82.149749999999997</v>
      </c>
      <c r="L347">
        <v>0.41903327741409979</v>
      </c>
      <c r="M347">
        <v>129.86496050356754</v>
      </c>
      <c r="N347">
        <v>142.85145655392432</v>
      </c>
    </row>
    <row r="348" spans="1:14">
      <c r="A348" t="s">
        <v>726</v>
      </c>
      <c r="B348" t="s">
        <v>8236</v>
      </c>
      <c r="C348" t="s">
        <v>8237</v>
      </c>
      <c r="D348" t="s">
        <v>11</v>
      </c>
      <c r="E348" t="s">
        <v>13</v>
      </c>
      <c r="F348" t="s">
        <v>729</v>
      </c>
      <c r="G348" t="s">
        <v>12</v>
      </c>
      <c r="I348" t="s">
        <v>8236</v>
      </c>
      <c r="J348" t="s">
        <v>8938</v>
      </c>
      <c r="K348">
        <v>102.16800000000001</v>
      </c>
      <c r="L348">
        <v>0.39000616352688122</v>
      </c>
      <c r="M348">
        <v>303.9032118555977</v>
      </c>
      <c r="N348">
        <v>334.2935330411575</v>
      </c>
    </row>
    <row r="349" spans="1:14">
      <c r="A349" t="s">
        <v>726</v>
      </c>
      <c r="B349" t="s">
        <v>8238</v>
      </c>
      <c r="C349" t="s">
        <v>8239</v>
      </c>
      <c r="D349" t="s">
        <v>11</v>
      </c>
      <c r="E349" t="s">
        <v>13</v>
      </c>
      <c r="F349" t="s">
        <v>729</v>
      </c>
      <c r="G349" t="s">
        <v>12</v>
      </c>
      <c r="I349" t="s">
        <v>8238</v>
      </c>
      <c r="J349" t="s">
        <v>8939</v>
      </c>
      <c r="K349">
        <v>108.99299999999999</v>
      </c>
      <c r="L349">
        <v>0.54214539605004097</v>
      </c>
      <c r="M349">
        <v>633.64454141527995</v>
      </c>
      <c r="N349">
        <v>697.00899555680803</v>
      </c>
    </row>
    <row r="350" spans="1:14">
      <c r="A350" t="s">
        <v>726</v>
      </c>
      <c r="B350" t="s">
        <v>8240</v>
      </c>
      <c r="C350" t="s">
        <v>8235</v>
      </c>
      <c r="D350" t="s">
        <v>11</v>
      </c>
      <c r="E350" t="s">
        <v>13</v>
      </c>
      <c r="F350" t="s">
        <v>729</v>
      </c>
      <c r="G350" t="s">
        <v>12</v>
      </c>
      <c r="I350" t="s">
        <v>8240</v>
      </c>
      <c r="J350" t="s">
        <v>8940</v>
      </c>
      <c r="K350">
        <v>76.022999999999996</v>
      </c>
      <c r="L350">
        <v>0.63918970842080491</v>
      </c>
      <c r="M350">
        <v>409.71026750490131</v>
      </c>
      <c r="N350">
        <v>450.68129425539149</v>
      </c>
    </row>
    <row r="351" spans="1:14">
      <c r="A351" t="s">
        <v>726</v>
      </c>
      <c r="B351" t="s">
        <v>8241</v>
      </c>
      <c r="C351" t="s">
        <v>8235</v>
      </c>
      <c r="D351" t="s">
        <v>11</v>
      </c>
      <c r="E351" t="s">
        <v>13</v>
      </c>
      <c r="F351" t="s">
        <v>729</v>
      </c>
      <c r="G351" t="s">
        <v>12</v>
      </c>
      <c r="I351" t="s">
        <v>8241</v>
      </c>
      <c r="J351" t="s">
        <v>8941</v>
      </c>
      <c r="K351">
        <v>70.902000000000001</v>
      </c>
      <c r="L351">
        <v>0.55619839469945154</v>
      </c>
      <c r="M351">
        <v>231.60120439704289</v>
      </c>
      <c r="N351">
        <v>254.76132483674721</v>
      </c>
    </row>
    <row r="352" spans="1:14">
      <c r="A352" t="s">
        <v>726</v>
      </c>
      <c r="B352" t="s">
        <v>8242</v>
      </c>
      <c r="C352" t="s">
        <v>8243</v>
      </c>
      <c r="D352" t="s">
        <v>11</v>
      </c>
      <c r="E352" t="s">
        <v>13</v>
      </c>
      <c r="F352" t="s">
        <v>729</v>
      </c>
      <c r="G352" t="s">
        <v>12</v>
      </c>
      <c r="I352" t="s">
        <v>8242</v>
      </c>
      <c r="J352" t="s">
        <v>8942</v>
      </c>
      <c r="K352">
        <v>0.63</v>
      </c>
      <c r="L352">
        <v>0.27561532744841971</v>
      </c>
      <c r="M352">
        <v>198.32304311333252</v>
      </c>
      <c r="N352">
        <v>218.15534742466579</v>
      </c>
    </row>
    <row r="353" spans="1:14">
      <c r="A353" t="s">
        <v>726</v>
      </c>
      <c r="B353" t="s">
        <v>8244</v>
      </c>
      <c r="C353" t="s">
        <v>8245</v>
      </c>
      <c r="D353" t="s">
        <v>11</v>
      </c>
      <c r="E353" t="s">
        <v>13</v>
      </c>
      <c r="F353" t="s">
        <v>729</v>
      </c>
      <c r="G353" t="s">
        <v>12</v>
      </c>
      <c r="I353" t="s">
        <v>8244</v>
      </c>
      <c r="J353" t="s">
        <v>8943</v>
      </c>
      <c r="K353">
        <v>1.0177499999999999</v>
      </c>
      <c r="L353">
        <v>0.3268125486395474</v>
      </c>
      <c r="M353">
        <v>33.409511515207363</v>
      </c>
      <c r="N353">
        <v>36.750462666728104</v>
      </c>
    </row>
    <row r="354" spans="1:14">
      <c r="A354" t="s">
        <v>726</v>
      </c>
      <c r="B354" t="s">
        <v>8246</v>
      </c>
      <c r="C354" t="s">
        <v>8243</v>
      </c>
      <c r="D354" t="s">
        <v>11</v>
      </c>
      <c r="E354" t="s">
        <v>13</v>
      </c>
      <c r="F354" t="s">
        <v>729</v>
      </c>
      <c r="G354" t="s">
        <v>12</v>
      </c>
      <c r="I354" t="s">
        <v>8246</v>
      </c>
      <c r="J354" t="s">
        <v>8944</v>
      </c>
      <c r="K354">
        <v>2.3932500000000001</v>
      </c>
      <c r="L354">
        <v>0.27322890949559042</v>
      </c>
      <c r="M354">
        <v>102.80689870548927</v>
      </c>
      <c r="N354">
        <v>113.08758857603821</v>
      </c>
    </row>
    <row r="355" spans="1:14">
      <c r="A355" t="s">
        <v>726</v>
      </c>
      <c r="B355" t="s">
        <v>8247</v>
      </c>
      <c r="C355" t="s">
        <v>8248</v>
      </c>
      <c r="D355" t="s">
        <v>11</v>
      </c>
      <c r="E355" t="s">
        <v>13</v>
      </c>
      <c r="F355" t="s">
        <v>729</v>
      </c>
      <c r="G355" t="s">
        <v>12</v>
      </c>
      <c r="I355" t="s">
        <v>8247</v>
      </c>
      <c r="J355" t="s">
        <v>8945</v>
      </c>
      <c r="K355">
        <v>13.563750000000001</v>
      </c>
      <c r="L355">
        <v>0.1059411808732022</v>
      </c>
      <c r="M355">
        <v>76.891025530846704</v>
      </c>
      <c r="N355">
        <v>84.580128083931385</v>
      </c>
    </row>
    <row r="356" spans="1:14">
      <c r="A356" t="s">
        <v>726</v>
      </c>
      <c r="B356" t="s">
        <v>8249</v>
      </c>
      <c r="C356" t="s">
        <v>8250</v>
      </c>
      <c r="D356" t="s">
        <v>11</v>
      </c>
      <c r="E356" t="s">
        <v>13</v>
      </c>
      <c r="F356" t="s">
        <v>729</v>
      </c>
      <c r="G356" t="s">
        <v>12</v>
      </c>
      <c r="I356" t="s">
        <v>8249</v>
      </c>
      <c r="J356" t="s">
        <v>8946</v>
      </c>
      <c r="K356">
        <v>22.7685</v>
      </c>
      <c r="L356">
        <v>9.86285232378947E-2</v>
      </c>
      <c r="M356">
        <v>181.16842527840279</v>
      </c>
      <c r="N356">
        <v>199.2852678062431</v>
      </c>
    </row>
    <row r="357" spans="1:14">
      <c r="A357" t="s">
        <v>726</v>
      </c>
      <c r="B357" t="s">
        <v>8251</v>
      </c>
      <c r="C357" t="s">
        <v>8252</v>
      </c>
      <c r="D357" t="s">
        <v>11</v>
      </c>
      <c r="E357" t="s">
        <v>13</v>
      </c>
      <c r="F357" t="s">
        <v>729</v>
      </c>
      <c r="G357" t="s">
        <v>12</v>
      </c>
      <c r="I357" t="s">
        <v>8251</v>
      </c>
      <c r="J357" t="s">
        <v>8947</v>
      </c>
      <c r="K357">
        <v>37.59075</v>
      </c>
      <c r="L357">
        <v>9.8484564419149601E-2</v>
      </c>
      <c r="M357">
        <v>171.23560474839121</v>
      </c>
      <c r="N357">
        <v>188.35916522323035</v>
      </c>
    </row>
    <row r="358" spans="1:14">
      <c r="A358" t="s">
        <v>726</v>
      </c>
      <c r="B358" t="s">
        <v>8253</v>
      </c>
      <c r="C358" t="s">
        <v>8252</v>
      </c>
      <c r="D358" t="s">
        <v>11</v>
      </c>
      <c r="E358" t="s">
        <v>13</v>
      </c>
      <c r="F358" t="s">
        <v>729</v>
      </c>
      <c r="G358" t="s">
        <v>12</v>
      </c>
      <c r="I358" t="s">
        <v>8253</v>
      </c>
      <c r="J358" t="s">
        <v>8948</v>
      </c>
      <c r="K358">
        <v>18.955500000000001</v>
      </c>
      <c r="L358">
        <v>7.9011012258508095E-2</v>
      </c>
      <c r="M358">
        <v>116.67460828377772</v>
      </c>
      <c r="N358">
        <v>128.34206911215549</v>
      </c>
    </row>
    <row r="359" spans="1:14">
      <c r="A359" t="s">
        <v>726</v>
      </c>
      <c r="B359" t="s">
        <v>8254</v>
      </c>
      <c r="C359" t="s">
        <v>8255</v>
      </c>
      <c r="D359" t="s">
        <v>11</v>
      </c>
      <c r="E359" t="s">
        <v>13</v>
      </c>
      <c r="F359" t="s">
        <v>729</v>
      </c>
      <c r="G359" t="s">
        <v>12</v>
      </c>
      <c r="I359" t="s">
        <v>8254</v>
      </c>
      <c r="J359" t="s">
        <v>8949</v>
      </c>
      <c r="K359">
        <v>17.126249999999999</v>
      </c>
      <c r="L359">
        <v>0.4786512773901862</v>
      </c>
      <c r="M359">
        <v>67.021136310545401</v>
      </c>
      <c r="N359">
        <v>73.723249941599946</v>
      </c>
    </row>
    <row r="360" spans="1:14">
      <c r="A360" t="s">
        <v>726</v>
      </c>
      <c r="B360" t="s">
        <v>8256</v>
      </c>
      <c r="C360" t="s">
        <v>8257</v>
      </c>
      <c r="D360" t="s">
        <v>11</v>
      </c>
      <c r="E360" t="s">
        <v>13</v>
      </c>
      <c r="F360" t="s">
        <v>729</v>
      </c>
      <c r="G360" t="s">
        <v>12</v>
      </c>
      <c r="I360" t="s">
        <v>8256</v>
      </c>
      <c r="J360" t="s">
        <v>8950</v>
      </c>
      <c r="K360">
        <v>9.7035</v>
      </c>
      <c r="L360">
        <v>0.29348882732382903</v>
      </c>
      <c r="M360">
        <v>76.151703116777895</v>
      </c>
      <c r="N360">
        <v>83.766873428455696</v>
      </c>
    </row>
    <row r="361" spans="1:14">
      <c r="A361" t="s">
        <v>726</v>
      </c>
      <c r="B361" t="s">
        <v>8258</v>
      </c>
      <c r="C361" t="s">
        <v>8259</v>
      </c>
      <c r="D361" t="s">
        <v>11</v>
      </c>
      <c r="E361" t="s">
        <v>13</v>
      </c>
      <c r="F361" t="s">
        <v>729</v>
      </c>
      <c r="G361" t="s">
        <v>12</v>
      </c>
      <c r="I361" t="s">
        <v>8258</v>
      </c>
      <c r="J361" t="s">
        <v>8951</v>
      </c>
      <c r="K361">
        <v>28.054500000000001</v>
      </c>
      <c r="L361">
        <v>0.28526717422124909</v>
      </c>
      <c r="M361">
        <v>176.85345978304778</v>
      </c>
      <c r="N361">
        <v>194.53880576135256</v>
      </c>
    </row>
    <row r="362" spans="1:14">
      <c r="A362" t="s">
        <v>726</v>
      </c>
      <c r="B362" t="s">
        <v>8260</v>
      </c>
      <c r="C362" t="s">
        <v>8261</v>
      </c>
      <c r="D362" t="s">
        <v>11</v>
      </c>
      <c r="E362" t="s">
        <v>13</v>
      </c>
      <c r="F362" t="s">
        <v>729</v>
      </c>
      <c r="G362" t="s">
        <v>12</v>
      </c>
      <c r="I362" t="s">
        <v>8260</v>
      </c>
      <c r="J362" t="s">
        <v>8952</v>
      </c>
      <c r="K362">
        <v>15.84075</v>
      </c>
      <c r="L362">
        <v>0.4202307744337902</v>
      </c>
      <c r="M362">
        <v>318.70524756341695</v>
      </c>
      <c r="N362">
        <v>350.57577231975864</v>
      </c>
    </row>
    <row r="363" spans="1:14">
      <c r="A363" t="s">
        <v>726</v>
      </c>
      <c r="B363" t="s">
        <v>8262</v>
      </c>
      <c r="C363" t="s">
        <v>8261</v>
      </c>
      <c r="D363" t="s">
        <v>11</v>
      </c>
      <c r="E363" t="s">
        <v>13</v>
      </c>
      <c r="F363" t="s">
        <v>729</v>
      </c>
      <c r="G363" t="s">
        <v>12</v>
      </c>
      <c r="I363" t="s">
        <v>8262</v>
      </c>
      <c r="J363" t="s">
        <v>8953</v>
      </c>
      <c r="K363">
        <v>36.51</v>
      </c>
      <c r="L363">
        <v>0.36402361390086529</v>
      </c>
      <c r="M363">
        <v>212.69868788003257</v>
      </c>
      <c r="N363">
        <v>233.96855666803583</v>
      </c>
    </row>
    <row r="364" spans="1:14">
      <c r="A364" t="s">
        <v>726</v>
      </c>
      <c r="B364" t="s">
        <v>8263</v>
      </c>
      <c r="C364" t="s">
        <v>8264</v>
      </c>
      <c r="D364" t="s">
        <v>11</v>
      </c>
      <c r="E364" t="s">
        <v>13</v>
      </c>
      <c r="F364" t="s">
        <v>729</v>
      </c>
      <c r="G364" t="s">
        <v>12</v>
      </c>
      <c r="I364" t="s">
        <v>8263</v>
      </c>
      <c r="J364" t="s">
        <v>8954</v>
      </c>
      <c r="K364">
        <v>1.3492500000000001</v>
      </c>
      <c r="L364">
        <v>0.56390392311073978</v>
      </c>
      <c r="M364">
        <v>220.71119759975451</v>
      </c>
      <c r="N364">
        <v>242.78231735972997</v>
      </c>
    </row>
    <row r="365" spans="1:14">
      <c r="A365" t="s">
        <v>726</v>
      </c>
      <c r="B365" t="s">
        <v>8265</v>
      </c>
      <c r="C365" t="s">
        <v>8266</v>
      </c>
      <c r="D365" t="s">
        <v>11</v>
      </c>
      <c r="E365" t="s">
        <v>13</v>
      </c>
      <c r="F365" t="s">
        <v>729</v>
      </c>
      <c r="G365" t="s">
        <v>12</v>
      </c>
      <c r="I365" t="s">
        <v>8265</v>
      </c>
      <c r="J365" t="s">
        <v>8955</v>
      </c>
      <c r="K365">
        <v>3.4500000000000003E-2</v>
      </c>
      <c r="L365">
        <v>0.53687328758565322</v>
      </c>
      <c r="M365">
        <v>109.6818916797596</v>
      </c>
      <c r="N365">
        <v>120.65008084773557</v>
      </c>
    </row>
    <row r="366" spans="1:14">
      <c r="A366" t="s">
        <v>726</v>
      </c>
      <c r="B366" t="s">
        <v>8267</v>
      </c>
      <c r="C366" t="s">
        <v>8268</v>
      </c>
      <c r="D366" t="s">
        <v>11</v>
      </c>
      <c r="E366" t="s">
        <v>13</v>
      </c>
      <c r="F366" t="s">
        <v>729</v>
      </c>
      <c r="G366" t="s">
        <v>12</v>
      </c>
      <c r="I366" t="s">
        <v>8267</v>
      </c>
      <c r="J366" t="s">
        <v>8956</v>
      </c>
      <c r="K366">
        <v>378.279</v>
      </c>
      <c r="L366">
        <v>0.4952670303072691</v>
      </c>
      <c r="M366">
        <v>1278.8832766572211</v>
      </c>
      <c r="N366">
        <v>1406.7716043229434</v>
      </c>
    </row>
    <row r="367" spans="1:14">
      <c r="A367" t="s">
        <v>726</v>
      </c>
      <c r="B367" t="s">
        <v>8269</v>
      </c>
      <c r="C367" t="s">
        <v>8270</v>
      </c>
      <c r="D367" t="s">
        <v>11</v>
      </c>
      <c r="E367" t="s">
        <v>13</v>
      </c>
      <c r="F367" t="s">
        <v>729</v>
      </c>
      <c r="G367" t="s">
        <v>12</v>
      </c>
      <c r="I367" t="s">
        <v>8269</v>
      </c>
      <c r="J367" t="s">
        <v>8957</v>
      </c>
      <c r="K367">
        <v>38.405250000000002</v>
      </c>
      <c r="L367">
        <v>0.32015787581285221</v>
      </c>
      <c r="M367">
        <v>1184.3596809050844</v>
      </c>
      <c r="N367">
        <v>1302.795648995593</v>
      </c>
    </row>
    <row r="368" spans="1:14">
      <c r="A368" t="s">
        <v>726</v>
      </c>
      <c r="B368" t="s">
        <v>8271</v>
      </c>
      <c r="C368" t="s">
        <v>8268</v>
      </c>
      <c r="D368" t="s">
        <v>11</v>
      </c>
      <c r="E368" t="s">
        <v>13</v>
      </c>
      <c r="F368" t="s">
        <v>729</v>
      </c>
      <c r="G368" t="s">
        <v>12</v>
      </c>
      <c r="I368" t="s">
        <v>8271</v>
      </c>
      <c r="J368" t="s">
        <v>8958</v>
      </c>
      <c r="K368">
        <v>474.40800000000002</v>
      </c>
      <c r="L368">
        <v>0.4869324121052756</v>
      </c>
      <c r="M368">
        <v>384.15900228467535</v>
      </c>
      <c r="N368">
        <v>422.57490251314294</v>
      </c>
    </row>
    <row r="369" spans="1:14">
      <c r="A369" t="s">
        <v>726</v>
      </c>
      <c r="B369" t="s">
        <v>8272</v>
      </c>
      <c r="C369" t="s">
        <v>8268</v>
      </c>
      <c r="D369" t="s">
        <v>11</v>
      </c>
      <c r="E369" t="s">
        <v>13</v>
      </c>
      <c r="F369" t="s">
        <v>729</v>
      </c>
      <c r="G369" t="s">
        <v>12</v>
      </c>
      <c r="I369" t="s">
        <v>8272</v>
      </c>
      <c r="J369" t="s">
        <v>8959</v>
      </c>
      <c r="K369">
        <v>501.23399999999998</v>
      </c>
      <c r="L369">
        <v>0.53493020703175742</v>
      </c>
      <c r="M369">
        <v>554.68199399235402</v>
      </c>
      <c r="N369">
        <v>610.15019339158948</v>
      </c>
    </row>
    <row r="370" spans="1:14">
      <c r="A370" t="s">
        <v>726</v>
      </c>
      <c r="B370" t="s">
        <v>8273</v>
      </c>
      <c r="C370" t="s">
        <v>8274</v>
      </c>
      <c r="D370" t="s">
        <v>11</v>
      </c>
      <c r="E370" t="s">
        <v>13</v>
      </c>
      <c r="F370" t="s">
        <v>729</v>
      </c>
      <c r="G370" t="s">
        <v>12</v>
      </c>
      <c r="I370" t="s">
        <v>8273</v>
      </c>
      <c r="J370" t="s">
        <v>8960</v>
      </c>
      <c r="K370">
        <v>274.91550000000001</v>
      </c>
      <c r="L370">
        <v>0.53760815089134728</v>
      </c>
      <c r="M370">
        <v>314.09272241126666</v>
      </c>
      <c r="N370">
        <v>345.50199465239336</v>
      </c>
    </row>
    <row r="371" spans="1:14">
      <c r="A371" t="s">
        <v>726</v>
      </c>
      <c r="B371" t="s">
        <v>8275</v>
      </c>
      <c r="C371" t="s">
        <v>8276</v>
      </c>
      <c r="D371" t="s">
        <v>11</v>
      </c>
      <c r="E371" t="s">
        <v>13</v>
      </c>
      <c r="F371" t="s">
        <v>729</v>
      </c>
      <c r="G371" t="s">
        <v>12</v>
      </c>
      <c r="I371" t="s">
        <v>8275</v>
      </c>
      <c r="J371" t="s">
        <v>8961</v>
      </c>
      <c r="K371">
        <v>94.076999999999998</v>
      </c>
      <c r="L371">
        <v>0.47997276257288218</v>
      </c>
      <c r="M371">
        <v>72.201281024313843</v>
      </c>
      <c r="N371">
        <v>79.421409126745232</v>
      </c>
    </row>
    <row r="372" spans="1:14">
      <c r="A372" t="s">
        <v>726</v>
      </c>
      <c r="B372" t="s">
        <v>8277</v>
      </c>
      <c r="C372" t="s">
        <v>8278</v>
      </c>
      <c r="D372" t="s">
        <v>11</v>
      </c>
      <c r="E372" t="s">
        <v>13</v>
      </c>
      <c r="F372" t="s">
        <v>729</v>
      </c>
      <c r="G372" t="s">
        <v>12</v>
      </c>
      <c r="I372" t="s">
        <v>8277</v>
      </c>
      <c r="J372" t="s">
        <v>8962</v>
      </c>
      <c r="K372">
        <v>400.04700000000003</v>
      </c>
      <c r="L372">
        <v>0.55448499727698553</v>
      </c>
      <c r="M372">
        <v>203.11369238874869</v>
      </c>
      <c r="N372">
        <v>223.42506162762356</v>
      </c>
    </row>
    <row r="373" spans="1:14">
      <c r="A373" t="s">
        <v>726</v>
      </c>
      <c r="B373" t="s">
        <v>8279</v>
      </c>
      <c r="C373" t="s">
        <v>8280</v>
      </c>
      <c r="D373" t="s">
        <v>11</v>
      </c>
      <c r="E373" t="s">
        <v>13</v>
      </c>
      <c r="F373" t="s">
        <v>729</v>
      </c>
      <c r="G373" t="s">
        <v>12</v>
      </c>
      <c r="I373" t="s">
        <v>8279</v>
      </c>
      <c r="J373" t="s">
        <v>8963</v>
      </c>
      <c r="K373">
        <v>242.19374999999999</v>
      </c>
      <c r="L373">
        <v>0.40833139995303208</v>
      </c>
      <c r="M373">
        <v>183.44454376629241</v>
      </c>
      <c r="N373">
        <v>201.78899814292166</v>
      </c>
    </row>
    <row r="374" spans="1:14">
      <c r="A374" t="s">
        <v>726</v>
      </c>
      <c r="B374" t="s">
        <v>8281</v>
      </c>
      <c r="C374" t="s">
        <v>8282</v>
      </c>
      <c r="D374" t="s">
        <v>11</v>
      </c>
      <c r="E374" t="s">
        <v>13</v>
      </c>
      <c r="F374" t="s">
        <v>729</v>
      </c>
      <c r="G374" t="s">
        <v>12</v>
      </c>
      <c r="I374" t="s">
        <v>8281</v>
      </c>
      <c r="J374" t="s">
        <v>8964</v>
      </c>
      <c r="K374">
        <v>286.959</v>
      </c>
      <c r="L374">
        <v>0.48013859990507141</v>
      </c>
      <c r="M374">
        <v>336.77026236602842</v>
      </c>
      <c r="N374">
        <v>370.44728860263132</v>
      </c>
    </row>
    <row r="375" spans="1:14">
      <c r="A375" t="s">
        <v>726</v>
      </c>
      <c r="B375" t="s">
        <v>8283</v>
      </c>
      <c r="C375" t="s">
        <v>8284</v>
      </c>
      <c r="D375" t="s">
        <v>11</v>
      </c>
      <c r="E375" t="s">
        <v>13</v>
      </c>
      <c r="F375" t="s">
        <v>729</v>
      </c>
      <c r="G375" t="s">
        <v>12</v>
      </c>
      <c r="I375" t="s">
        <v>8283</v>
      </c>
      <c r="J375" t="s">
        <v>8965</v>
      </c>
      <c r="K375">
        <v>372.71699999999998</v>
      </c>
      <c r="L375">
        <v>0.48523506831109231</v>
      </c>
      <c r="M375">
        <v>196.74428258462191</v>
      </c>
      <c r="N375">
        <v>216.41871084308411</v>
      </c>
    </row>
    <row r="376" spans="1:14">
      <c r="A376" t="s">
        <v>726</v>
      </c>
      <c r="B376" t="s">
        <v>8285</v>
      </c>
      <c r="C376" t="s">
        <v>8286</v>
      </c>
      <c r="D376" t="s">
        <v>11</v>
      </c>
      <c r="E376" t="s">
        <v>13</v>
      </c>
      <c r="F376" t="s">
        <v>729</v>
      </c>
      <c r="G376" t="s">
        <v>12</v>
      </c>
      <c r="I376" t="s">
        <v>8285</v>
      </c>
      <c r="J376" t="s">
        <v>8966</v>
      </c>
      <c r="K376">
        <v>172.34100000000001</v>
      </c>
      <c r="L376">
        <v>0.4142188019892929</v>
      </c>
      <c r="M376">
        <v>287.45291431100497</v>
      </c>
      <c r="N376">
        <v>316.19820574210547</v>
      </c>
    </row>
    <row r="377" spans="1:14">
      <c r="A377" t="s">
        <v>726</v>
      </c>
      <c r="B377" t="s">
        <v>8287</v>
      </c>
      <c r="C377" t="s">
        <v>8288</v>
      </c>
      <c r="D377" t="s">
        <v>11</v>
      </c>
      <c r="E377" t="s">
        <v>13</v>
      </c>
      <c r="F377" t="s">
        <v>729</v>
      </c>
      <c r="G377" t="s">
        <v>12</v>
      </c>
      <c r="I377" t="s">
        <v>8287</v>
      </c>
      <c r="J377" t="s">
        <v>8967</v>
      </c>
      <c r="K377">
        <v>70.394000000000005</v>
      </c>
      <c r="L377">
        <v>0.39884052036393058</v>
      </c>
      <c r="M377">
        <v>255.7497538609577</v>
      </c>
      <c r="N377">
        <v>281.32472924705348</v>
      </c>
    </row>
    <row r="378" spans="1:14">
      <c r="A378" t="s">
        <v>726</v>
      </c>
      <c r="B378" t="s">
        <v>8289</v>
      </c>
      <c r="C378" t="s">
        <v>8288</v>
      </c>
      <c r="D378" t="s">
        <v>11</v>
      </c>
      <c r="E378" t="s">
        <v>13</v>
      </c>
      <c r="F378" t="s">
        <v>729</v>
      </c>
      <c r="G378" t="s">
        <v>12</v>
      </c>
      <c r="I378" t="s">
        <v>8289</v>
      </c>
      <c r="J378" t="s">
        <v>8968</v>
      </c>
      <c r="K378">
        <v>84.489000000000004</v>
      </c>
      <c r="L378">
        <v>0.40009174016609861</v>
      </c>
      <c r="M378">
        <v>130.93989834585904</v>
      </c>
      <c r="N378">
        <v>144.03388818044496</v>
      </c>
    </row>
    <row r="379" spans="1:14">
      <c r="A379" t="s">
        <v>726</v>
      </c>
      <c r="B379" t="s">
        <v>8290</v>
      </c>
      <c r="C379" t="s">
        <v>8291</v>
      </c>
      <c r="D379" t="s">
        <v>11</v>
      </c>
      <c r="E379" t="s">
        <v>13</v>
      </c>
      <c r="F379" t="s">
        <v>729</v>
      </c>
      <c r="G379" t="s">
        <v>12</v>
      </c>
      <c r="I379" t="s">
        <v>8290</v>
      </c>
      <c r="J379" t="s">
        <v>8969</v>
      </c>
      <c r="K379">
        <v>109.145</v>
      </c>
      <c r="L379">
        <v>0.40470100812299042</v>
      </c>
      <c r="M379">
        <v>171.17267407729432</v>
      </c>
      <c r="N379">
        <v>188.28994148502377</v>
      </c>
    </row>
    <row r="380" spans="1:14">
      <c r="A380" t="s">
        <v>726</v>
      </c>
      <c r="B380" t="s">
        <v>8292</v>
      </c>
      <c r="C380" t="s">
        <v>8293</v>
      </c>
      <c r="D380" t="s">
        <v>11</v>
      </c>
      <c r="E380" t="s">
        <v>13</v>
      </c>
      <c r="F380" t="s">
        <v>729</v>
      </c>
      <c r="G380" t="s">
        <v>12</v>
      </c>
      <c r="I380" t="s">
        <v>8292</v>
      </c>
      <c r="J380" t="s">
        <v>8970</v>
      </c>
      <c r="K380">
        <v>344.90499999999997</v>
      </c>
      <c r="L380">
        <v>0.66694911975054583</v>
      </c>
      <c r="M380">
        <v>704.41613098583059</v>
      </c>
      <c r="N380">
        <v>774.85774408441375</v>
      </c>
    </row>
    <row r="381" spans="1:14">
      <c r="A381" t="s">
        <v>726</v>
      </c>
      <c r="B381" t="s">
        <v>8294</v>
      </c>
      <c r="C381" t="s">
        <v>8293</v>
      </c>
      <c r="D381" t="s">
        <v>11</v>
      </c>
      <c r="E381" t="s">
        <v>13</v>
      </c>
      <c r="F381" t="s">
        <v>729</v>
      </c>
      <c r="G381" t="s">
        <v>12</v>
      </c>
      <c r="I381" t="s">
        <v>8294</v>
      </c>
      <c r="J381" t="s">
        <v>8971</v>
      </c>
      <c r="K381">
        <v>177.54</v>
      </c>
      <c r="L381">
        <v>0.68803916449510105</v>
      </c>
      <c r="M381">
        <v>844.81600326487501</v>
      </c>
      <c r="N381">
        <v>929.29760359136253</v>
      </c>
    </row>
    <row r="382" spans="1:14">
      <c r="A382" t="s">
        <v>726</v>
      </c>
      <c r="B382" t="s">
        <v>8295</v>
      </c>
      <c r="C382" t="s">
        <v>8293</v>
      </c>
      <c r="D382" t="s">
        <v>11</v>
      </c>
      <c r="E382" t="s">
        <v>13</v>
      </c>
      <c r="F382" t="s">
        <v>729</v>
      </c>
      <c r="G382" t="s">
        <v>12</v>
      </c>
      <c r="I382" t="s">
        <v>8295</v>
      </c>
      <c r="J382" t="s">
        <v>8972</v>
      </c>
      <c r="K382">
        <v>577.13599999999997</v>
      </c>
      <c r="L382">
        <v>0.78747205439337653</v>
      </c>
      <c r="M382">
        <v>982.79681103190956</v>
      </c>
      <c r="N382">
        <v>1081.0764921351006</v>
      </c>
    </row>
    <row r="383" spans="1:14">
      <c r="A383" t="s">
        <v>726</v>
      </c>
      <c r="B383" t="s">
        <v>8296</v>
      </c>
      <c r="C383" t="s">
        <v>8293</v>
      </c>
      <c r="D383" t="s">
        <v>11</v>
      </c>
      <c r="E383" t="s">
        <v>13</v>
      </c>
      <c r="F383" t="s">
        <v>729</v>
      </c>
      <c r="G383" t="s">
        <v>12</v>
      </c>
      <c r="I383" t="s">
        <v>8296</v>
      </c>
      <c r="J383" t="s">
        <v>8973</v>
      </c>
      <c r="K383">
        <v>303.17500000000001</v>
      </c>
      <c r="L383">
        <v>0.46292559152209378</v>
      </c>
      <c r="M383">
        <v>220.55733930713947</v>
      </c>
      <c r="N383">
        <v>242.61307323785343</v>
      </c>
    </row>
    <row r="384" spans="1:14">
      <c r="A384" t="s">
        <v>726</v>
      </c>
      <c r="B384" t="s">
        <v>8297</v>
      </c>
      <c r="C384" t="s">
        <v>8293</v>
      </c>
      <c r="D384" t="s">
        <v>11</v>
      </c>
      <c r="E384" t="s">
        <v>13</v>
      </c>
      <c r="F384" t="s">
        <v>729</v>
      </c>
      <c r="G384" t="s">
        <v>12</v>
      </c>
      <c r="I384" t="s">
        <v>8297</v>
      </c>
      <c r="J384" t="s">
        <v>8974</v>
      </c>
      <c r="K384">
        <v>231.22200000000001</v>
      </c>
      <c r="L384">
        <v>0.3919496766746734</v>
      </c>
      <c r="M384">
        <v>362.39070073193705</v>
      </c>
      <c r="N384">
        <v>398.62977080513076</v>
      </c>
    </row>
    <row r="385" spans="1:14">
      <c r="A385" t="s">
        <v>726</v>
      </c>
      <c r="B385" t="s">
        <v>8298</v>
      </c>
      <c r="C385" t="s">
        <v>8299</v>
      </c>
      <c r="D385" t="s">
        <v>11</v>
      </c>
      <c r="E385" t="s">
        <v>13</v>
      </c>
      <c r="F385" t="s">
        <v>729</v>
      </c>
      <c r="G385" t="s">
        <v>12</v>
      </c>
      <c r="I385" t="s">
        <v>8298</v>
      </c>
      <c r="J385" t="s">
        <v>8975</v>
      </c>
      <c r="K385">
        <v>261.03399999999999</v>
      </c>
      <c r="L385">
        <v>0.49930528737139662</v>
      </c>
      <c r="M385">
        <v>235.88835901644671</v>
      </c>
      <c r="N385">
        <v>259.47719491809141</v>
      </c>
    </row>
    <row r="386" spans="1:14">
      <c r="A386" t="s">
        <v>726</v>
      </c>
      <c r="B386" t="s">
        <v>8300</v>
      </c>
      <c r="C386" t="s">
        <v>8301</v>
      </c>
      <c r="D386" t="s">
        <v>11</v>
      </c>
      <c r="E386" t="s">
        <v>13</v>
      </c>
      <c r="F386" t="s">
        <v>729</v>
      </c>
      <c r="G386" t="s">
        <v>12</v>
      </c>
      <c r="I386" t="s">
        <v>8300</v>
      </c>
      <c r="J386" t="s">
        <v>8976</v>
      </c>
      <c r="K386">
        <v>48.875250000000001</v>
      </c>
      <c r="L386">
        <v>0.3999847537649065</v>
      </c>
      <c r="M386">
        <v>342.29892322852328</v>
      </c>
      <c r="N386">
        <v>376.52881555137566</v>
      </c>
    </row>
    <row r="387" spans="1:14">
      <c r="A387" t="s">
        <v>726</v>
      </c>
      <c r="B387" t="s">
        <v>8302</v>
      </c>
      <c r="C387" t="s">
        <v>8303</v>
      </c>
      <c r="D387" t="s">
        <v>11</v>
      </c>
      <c r="E387" t="s">
        <v>13</v>
      </c>
      <c r="F387" t="s">
        <v>729</v>
      </c>
      <c r="G387" t="s">
        <v>12</v>
      </c>
      <c r="I387" t="s">
        <v>8302</v>
      </c>
      <c r="J387" t="s">
        <v>8977</v>
      </c>
      <c r="K387">
        <v>10.468500000000001</v>
      </c>
      <c r="L387">
        <v>0.38802587930877569</v>
      </c>
      <c r="M387">
        <v>444.05401807736808</v>
      </c>
      <c r="N387">
        <v>488.45941988510492</v>
      </c>
    </row>
    <row r="388" spans="1:14">
      <c r="A388" t="s">
        <v>726</v>
      </c>
      <c r="B388" t="s">
        <v>8304</v>
      </c>
      <c r="C388" t="s">
        <v>8305</v>
      </c>
      <c r="D388" t="s">
        <v>11</v>
      </c>
      <c r="E388" t="s">
        <v>13</v>
      </c>
      <c r="F388" t="s">
        <v>729</v>
      </c>
      <c r="G388" t="s">
        <v>12</v>
      </c>
      <c r="I388" t="s">
        <v>8304</v>
      </c>
      <c r="J388" t="s">
        <v>8978</v>
      </c>
      <c r="K388">
        <v>4.1459999999999999</v>
      </c>
      <c r="L388">
        <v>0.25866476169639308</v>
      </c>
      <c r="M388">
        <v>225.06391665318239</v>
      </c>
      <c r="N388">
        <v>247.57030831850065</v>
      </c>
    </row>
    <row r="389" spans="1:14">
      <c r="A389" t="s">
        <v>726</v>
      </c>
      <c r="B389" t="s">
        <v>8306</v>
      </c>
      <c r="C389" t="s">
        <v>8305</v>
      </c>
      <c r="D389" t="s">
        <v>11</v>
      </c>
      <c r="E389" t="s">
        <v>13</v>
      </c>
      <c r="F389" t="s">
        <v>729</v>
      </c>
      <c r="G389" t="s">
        <v>12</v>
      </c>
      <c r="I389" t="s">
        <v>8306</v>
      </c>
      <c r="J389" t="s">
        <v>8979</v>
      </c>
      <c r="K389">
        <v>13.6395</v>
      </c>
      <c r="L389">
        <v>0.30605415023048338</v>
      </c>
      <c r="M389">
        <v>309.14922844975302</v>
      </c>
      <c r="N389">
        <v>340.06415129472833</v>
      </c>
    </row>
    <row r="390" spans="1:14">
      <c r="A390" t="s">
        <v>726</v>
      </c>
      <c r="B390" t="s">
        <v>8307</v>
      </c>
      <c r="C390" t="s">
        <v>8308</v>
      </c>
      <c r="D390" t="s">
        <v>11</v>
      </c>
      <c r="E390" t="s">
        <v>13</v>
      </c>
      <c r="F390" t="s">
        <v>729</v>
      </c>
      <c r="G390" t="s">
        <v>12</v>
      </c>
      <c r="I390" t="s">
        <v>8307</v>
      </c>
      <c r="J390" t="s">
        <v>8980</v>
      </c>
      <c r="K390">
        <v>26.126249999999999</v>
      </c>
      <c r="L390">
        <v>0.25802170205877728</v>
      </c>
      <c r="M390">
        <v>215.00637671970105</v>
      </c>
      <c r="N390">
        <v>236.50701439167116</v>
      </c>
    </row>
    <row r="391" spans="1:14">
      <c r="A391" t="s">
        <v>726</v>
      </c>
      <c r="B391" t="s">
        <v>8309</v>
      </c>
      <c r="C391" t="s">
        <v>8308</v>
      </c>
      <c r="D391" t="s">
        <v>11</v>
      </c>
      <c r="E391" t="s">
        <v>13</v>
      </c>
      <c r="F391" t="s">
        <v>729</v>
      </c>
      <c r="G391" t="s">
        <v>12</v>
      </c>
      <c r="I391" t="s">
        <v>8309</v>
      </c>
      <c r="J391" t="s">
        <v>8981</v>
      </c>
      <c r="K391">
        <v>16.670999999999999</v>
      </c>
      <c r="L391">
        <v>0.23273593071354609</v>
      </c>
      <c r="M391">
        <v>131.08449273628855</v>
      </c>
      <c r="N391">
        <v>144.19294200991743</v>
      </c>
    </row>
    <row r="392" spans="1:14">
      <c r="A392" t="s">
        <v>726</v>
      </c>
      <c r="B392" t="s">
        <v>8310</v>
      </c>
      <c r="C392" t="s">
        <v>8308</v>
      </c>
      <c r="D392" t="s">
        <v>11</v>
      </c>
      <c r="E392" t="s">
        <v>13</v>
      </c>
      <c r="F392" t="s">
        <v>729</v>
      </c>
      <c r="G392" t="s">
        <v>12</v>
      </c>
      <c r="I392" t="s">
        <v>8310</v>
      </c>
      <c r="J392" t="s">
        <v>8982</v>
      </c>
      <c r="K392">
        <v>39.793500000000002</v>
      </c>
      <c r="L392">
        <v>0.2380851257029187</v>
      </c>
      <c r="M392">
        <v>123.9616300005286</v>
      </c>
      <c r="N392">
        <v>136.35779300058147</v>
      </c>
    </row>
    <row r="393" spans="1:14">
      <c r="A393" t="s">
        <v>726</v>
      </c>
      <c r="B393" t="s">
        <v>8311</v>
      </c>
      <c r="C393" t="s">
        <v>8312</v>
      </c>
      <c r="D393" t="s">
        <v>11</v>
      </c>
      <c r="E393" t="s">
        <v>13</v>
      </c>
      <c r="F393" t="s">
        <v>729</v>
      </c>
      <c r="G393" t="s">
        <v>12</v>
      </c>
      <c r="I393" t="s">
        <v>8311</v>
      </c>
      <c r="J393" t="s">
        <v>8983</v>
      </c>
      <c r="K393">
        <v>8.0407499999999992</v>
      </c>
      <c r="L393">
        <v>0.20481973154496169</v>
      </c>
      <c r="M393">
        <v>158.0090223195966</v>
      </c>
      <c r="N393">
        <v>173.80992455155626</v>
      </c>
    </row>
    <row r="394" spans="1:14">
      <c r="A394" t="s">
        <v>726</v>
      </c>
      <c r="B394" t="s">
        <v>8313</v>
      </c>
      <c r="C394" t="s">
        <v>8314</v>
      </c>
      <c r="D394" t="s">
        <v>11</v>
      </c>
      <c r="E394" t="s">
        <v>13</v>
      </c>
      <c r="F394" t="s">
        <v>729</v>
      </c>
      <c r="G394" t="s">
        <v>12</v>
      </c>
      <c r="I394" t="s">
        <v>8313</v>
      </c>
      <c r="J394" t="s">
        <v>8984</v>
      </c>
      <c r="K394">
        <v>1.4692499999999999</v>
      </c>
      <c r="L394">
        <v>0.22086983639644389</v>
      </c>
      <c r="M394">
        <v>130.10775866041666</v>
      </c>
      <c r="N394">
        <v>143.11853452645835</v>
      </c>
    </row>
    <row r="395" spans="1:14">
      <c r="A395" t="s">
        <v>726</v>
      </c>
      <c r="B395" t="s">
        <v>8315</v>
      </c>
      <c r="C395" t="s">
        <v>8316</v>
      </c>
      <c r="D395" t="s">
        <v>11</v>
      </c>
      <c r="E395" t="s">
        <v>13</v>
      </c>
      <c r="F395" t="s">
        <v>729</v>
      </c>
      <c r="G395" t="s">
        <v>12</v>
      </c>
      <c r="I395" t="s">
        <v>8315</v>
      </c>
      <c r="J395" t="s">
        <v>8985</v>
      </c>
      <c r="K395">
        <v>9.9749999999999996</v>
      </c>
      <c r="L395">
        <v>0.29846142950918542</v>
      </c>
      <c r="M395">
        <v>172.91200242165817</v>
      </c>
      <c r="N395">
        <v>190.20320266382402</v>
      </c>
    </row>
    <row r="396" spans="1:14">
      <c r="A396" t="s">
        <v>726</v>
      </c>
      <c r="B396" t="s">
        <v>8317</v>
      </c>
      <c r="C396" t="s">
        <v>8316</v>
      </c>
      <c r="D396" t="s">
        <v>11</v>
      </c>
      <c r="E396" t="s">
        <v>13</v>
      </c>
      <c r="F396" t="s">
        <v>729</v>
      </c>
      <c r="G396" t="s">
        <v>12</v>
      </c>
      <c r="I396" t="s">
        <v>8317</v>
      </c>
      <c r="J396" t="s">
        <v>8986</v>
      </c>
      <c r="K396">
        <v>14.712</v>
      </c>
      <c r="L396">
        <v>0.24252194506934871</v>
      </c>
      <c r="M396">
        <v>110.4535467417175</v>
      </c>
      <c r="N396">
        <v>121.49890141588926</v>
      </c>
    </row>
    <row r="397" spans="1:14">
      <c r="A397" t="s">
        <v>726</v>
      </c>
      <c r="B397" t="s">
        <v>8318</v>
      </c>
      <c r="C397" t="s">
        <v>8319</v>
      </c>
      <c r="D397" t="s">
        <v>11</v>
      </c>
      <c r="E397" t="s">
        <v>13</v>
      </c>
      <c r="F397" t="s">
        <v>729</v>
      </c>
      <c r="G397" t="s">
        <v>12</v>
      </c>
      <c r="I397" t="s">
        <v>8318</v>
      </c>
      <c r="J397" t="s">
        <v>8987</v>
      </c>
      <c r="K397">
        <v>65.944500000000005</v>
      </c>
      <c r="L397">
        <v>0.24464085559175161</v>
      </c>
      <c r="M397">
        <v>95.005693960834677</v>
      </c>
      <c r="N397">
        <v>104.50626335691815</v>
      </c>
    </row>
    <row r="398" spans="1:14">
      <c r="A398" t="s">
        <v>726</v>
      </c>
      <c r="B398" t="s">
        <v>8320</v>
      </c>
      <c r="C398" t="s">
        <v>8321</v>
      </c>
      <c r="D398" t="s">
        <v>11</v>
      </c>
      <c r="E398" t="s">
        <v>13</v>
      </c>
      <c r="F398" t="s">
        <v>729</v>
      </c>
      <c r="G398" t="s">
        <v>12</v>
      </c>
      <c r="I398" t="s">
        <v>8320</v>
      </c>
      <c r="J398" t="s">
        <v>8988</v>
      </c>
      <c r="K398">
        <v>35.244750000000003</v>
      </c>
      <c r="L398">
        <v>0.37341597089314388</v>
      </c>
      <c r="M398">
        <v>128.97897633217505</v>
      </c>
      <c r="N398">
        <v>141.87687396539258</v>
      </c>
    </row>
    <row r="399" spans="1:14">
      <c r="A399" t="s">
        <v>726</v>
      </c>
      <c r="B399" t="s">
        <v>8322</v>
      </c>
      <c r="C399" t="s">
        <v>8323</v>
      </c>
      <c r="D399" t="s">
        <v>11</v>
      </c>
      <c r="E399" t="s">
        <v>13</v>
      </c>
      <c r="F399" t="s">
        <v>729</v>
      </c>
      <c r="G399" t="s">
        <v>12</v>
      </c>
      <c r="I399" t="s">
        <v>8322</v>
      </c>
      <c r="J399" t="s">
        <v>8989</v>
      </c>
      <c r="K399">
        <v>73.500749999999996</v>
      </c>
      <c r="L399">
        <v>0.27480279461977808</v>
      </c>
      <c r="M399">
        <v>106.62364067337511</v>
      </c>
      <c r="N399">
        <v>117.28600474071263</v>
      </c>
    </row>
    <row r="400" spans="1:14">
      <c r="A400" t="s">
        <v>726</v>
      </c>
      <c r="B400" t="s">
        <v>8324</v>
      </c>
      <c r="C400" t="s">
        <v>8325</v>
      </c>
      <c r="D400" t="s">
        <v>11</v>
      </c>
      <c r="E400" t="s">
        <v>13</v>
      </c>
      <c r="F400" t="s">
        <v>729</v>
      </c>
      <c r="G400" t="s">
        <v>12</v>
      </c>
      <c r="I400" t="s">
        <v>8324</v>
      </c>
      <c r="J400" t="s">
        <v>8990</v>
      </c>
      <c r="K400">
        <v>29.117999999999999</v>
      </c>
      <c r="L400">
        <v>0.23472815798564239</v>
      </c>
      <c r="M400">
        <v>192.93536134569885</v>
      </c>
      <c r="N400">
        <v>212.22889748026876</v>
      </c>
    </row>
    <row r="401" spans="1:14">
      <c r="A401" t="s">
        <v>726</v>
      </c>
      <c r="B401" t="s">
        <v>8326</v>
      </c>
      <c r="C401" t="s">
        <v>8327</v>
      </c>
      <c r="D401" t="s">
        <v>11</v>
      </c>
      <c r="E401" t="s">
        <v>13</v>
      </c>
      <c r="F401" t="s">
        <v>729</v>
      </c>
      <c r="G401" t="s">
        <v>12</v>
      </c>
      <c r="I401" t="s">
        <v>8326</v>
      </c>
      <c r="J401" t="s">
        <v>8991</v>
      </c>
      <c r="K401">
        <v>50.049750000000003</v>
      </c>
      <c r="L401">
        <v>0.32761920893831259</v>
      </c>
      <c r="M401">
        <v>285.45909000590831</v>
      </c>
      <c r="N401">
        <v>314.00499900649919</v>
      </c>
    </row>
    <row r="402" spans="1:14">
      <c r="A402" t="s">
        <v>726</v>
      </c>
      <c r="B402" t="s">
        <v>8328</v>
      </c>
      <c r="C402" t="s">
        <v>8329</v>
      </c>
      <c r="D402" t="s">
        <v>11</v>
      </c>
      <c r="E402" t="s">
        <v>13</v>
      </c>
      <c r="F402" t="s">
        <v>729</v>
      </c>
      <c r="G402" t="s">
        <v>12</v>
      </c>
      <c r="I402" t="s">
        <v>8328</v>
      </c>
      <c r="J402" t="s">
        <v>8992</v>
      </c>
      <c r="K402">
        <v>34.004249999999999</v>
      </c>
      <c r="L402">
        <v>0.24547424544812479</v>
      </c>
      <c r="M402">
        <v>116.97360197673676</v>
      </c>
      <c r="N402">
        <v>128.67096217441045</v>
      </c>
    </row>
    <row r="403" spans="1:14">
      <c r="A403" t="s">
        <v>726</v>
      </c>
      <c r="B403" t="s">
        <v>8330</v>
      </c>
      <c r="C403" t="s">
        <v>8331</v>
      </c>
      <c r="D403" t="s">
        <v>11</v>
      </c>
      <c r="E403" t="s">
        <v>13</v>
      </c>
      <c r="F403" t="s">
        <v>729</v>
      </c>
      <c r="G403" t="s">
        <v>12</v>
      </c>
      <c r="I403" t="s">
        <v>8330</v>
      </c>
      <c r="J403" t="s">
        <v>8993</v>
      </c>
      <c r="K403">
        <v>2.6160000000000001</v>
      </c>
      <c r="L403">
        <v>0.2473508832014612</v>
      </c>
      <c r="M403">
        <v>74.044754948102579</v>
      </c>
      <c r="N403">
        <v>81.44923044291285</v>
      </c>
    </row>
    <row r="404" spans="1:14">
      <c r="A404" t="s">
        <v>726</v>
      </c>
      <c r="B404" t="s">
        <v>8332</v>
      </c>
      <c r="C404" t="s">
        <v>8333</v>
      </c>
      <c r="D404" t="s">
        <v>11</v>
      </c>
      <c r="E404" t="s">
        <v>13</v>
      </c>
      <c r="F404" t="s">
        <v>729</v>
      </c>
      <c r="G404" t="s">
        <v>12</v>
      </c>
      <c r="I404" t="s">
        <v>8332</v>
      </c>
      <c r="J404" t="s">
        <v>8994</v>
      </c>
      <c r="K404">
        <v>39.617249999999999</v>
      </c>
      <c r="L404">
        <v>0.4309295062993404</v>
      </c>
      <c r="M404">
        <v>132.38137098674815</v>
      </c>
      <c r="N404">
        <v>145.61950808542298</v>
      </c>
    </row>
    <row r="405" spans="1:14">
      <c r="A405" t="s">
        <v>726</v>
      </c>
      <c r="B405" t="s">
        <v>8334</v>
      </c>
      <c r="C405" t="s">
        <v>8335</v>
      </c>
      <c r="D405" t="s">
        <v>11</v>
      </c>
      <c r="E405" t="s">
        <v>13</v>
      </c>
      <c r="F405" t="s">
        <v>729</v>
      </c>
      <c r="G405" t="s">
        <v>12</v>
      </c>
      <c r="I405" t="s">
        <v>8334</v>
      </c>
      <c r="J405" t="s">
        <v>8995</v>
      </c>
      <c r="K405">
        <v>45.926250000000003</v>
      </c>
      <c r="L405">
        <v>0.2998042109441621</v>
      </c>
      <c r="M405">
        <v>63.523154572677711</v>
      </c>
      <c r="N405">
        <v>69.87547002994549</v>
      </c>
    </row>
    <row r="406" spans="1:14">
      <c r="A406" t="s">
        <v>726</v>
      </c>
      <c r="B406" t="s">
        <v>8336</v>
      </c>
      <c r="C406" t="s">
        <v>8337</v>
      </c>
      <c r="D406" t="s">
        <v>11</v>
      </c>
      <c r="E406" t="s">
        <v>13</v>
      </c>
      <c r="F406" t="s">
        <v>729</v>
      </c>
      <c r="G406" t="s">
        <v>12</v>
      </c>
      <c r="I406" t="s">
        <v>8336</v>
      </c>
      <c r="J406" t="s">
        <v>8996</v>
      </c>
      <c r="K406">
        <v>45.808500000000002</v>
      </c>
      <c r="L406">
        <v>0.25528499508276797</v>
      </c>
      <c r="M406">
        <v>42.644926350281445</v>
      </c>
      <c r="N406">
        <v>46.909418985309593</v>
      </c>
    </row>
    <row r="407" spans="1:14">
      <c r="A407" t="s">
        <v>726</v>
      </c>
      <c r="B407" t="s">
        <v>8338</v>
      </c>
      <c r="C407" t="s">
        <v>8339</v>
      </c>
      <c r="D407" t="s">
        <v>11</v>
      </c>
      <c r="E407" t="s">
        <v>13</v>
      </c>
      <c r="F407" t="s">
        <v>729</v>
      </c>
      <c r="G407" t="s">
        <v>12</v>
      </c>
      <c r="I407" t="s">
        <v>8338</v>
      </c>
      <c r="J407" t="s">
        <v>8997</v>
      </c>
      <c r="K407">
        <v>100.34775</v>
      </c>
      <c r="L407">
        <v>0.3156630940007456</v>
      </c>
      <c r="M407">
        <v>70.963179876985365</v>
      </c>
      <c r="N407">
        <v>78.059497864683905</v>
      </c>
    </row>
    <row r="408" spans="1:14">
      <c r="A408" t="s">
        <v>726</v>
      </c>
      <c r="B408" t="s">
        <v>8340</v>
      </c>
      <c r="C408" t="s">
        <v>8341</v>
      </c>
      <c r="D408" t="s">
        <v>11</v>
      </c>
      <c r="E408" t="s">
        <v>13</v>
      </c>
      <c r="F408" t="s">
        <v>729</v>
      </c>
      <c r="G408" t="s">
        <v>12</v>
      </c>
      <c r="I408" t="s">
        <v>8340</v>
      </c>
      <c r="J408" t="s">
        <v>8998</v>
      </c>
      <c r="K408">
        <v>13.46475</v>
      </c>
      <c r="L408">
        <v>0.29555554264582268</v>
      </c>
      <c r="M408">
        <v>166.12903662706847</v>
      </c>
      <c r="N408">
        <v>182.74194028977533</v>
      </c>
    </row>
    <row r="409" spans="1:14">
      <c r="A409" t="s">
        <v>726</v>
      </c>
      <c r="B409" t="s">
        <v>8342</v>
      </c>
      <c r="C409" t="s">
        <v>8343</v>
      </c>
      <c r="D409" t="s">
        <v>11</v>
      </c>
      <c r="E409" t="s">
        <v>13</v>
      </c>
      <c r="F409" t="s">
        <v>729</v>
      </c>
      <c r="G409" t="s">
        <v>12</v>
      </c>
      <c r="I409" t="s">
        <v>8342</v>
      </c>
      <c r="J409" t="s">
        <v>8999</v>
      </c>
      <c r="K409">
        <v>6.5002500000000003</v>
      </c>
      <c r="L409">
        <v>0.28199095573832261</v>
      </c>
      <c r="M409">
        <v>427.93598803128481</v>
      </c>
      <c r="N409">
        <v>470.72958683441334</v>
      </c>
    </row>
    <row r="410" spans="1:14">
      <c r="A410" t="s">
        <v>726</v>
      </c>
      <c r="B410" t="s">
        <v>8344</v>
      </c>
      <c r="C410" t="s">
        <v>8345</v>
      </c>
      <c r="D410" t="s">
        <v>11</v>
      </c>
      <c r="E410" t="s">
        <v>13</v>
      </c>
      <c r="F410" t="s">
        <v>729</v>
      </c>
      <c r="G410" t="s">
        <v>12</v>
      </c>
      <c r="I410" t="s">
        <v>8344</v>
      </c>
      <c r="J410" t="s">
        <v>9000</v>
      </c>
      <c r="K410">
        <v>37.789499999999997</v>
      </c>
      <c r="L410">
        <v>0.27374431221105228</v>
      </c>
      <c r="M410">
        <v>350.23033551698938</v>
      </c>
      <c r="N410">
        <v>385.25336906868836</v>
      </c>
    </row>
    <row r="411" spans="1:14">
      <c r="A411" t="s">
        <v>726</v>
      </c>
      <c r="B411" t="s">
        <v>8346</v>
      </c>
      <c r="C411" t="s">
        <v>8345</v>
      </c>
      <c r="D411" t="s">
        <v>11</v>
      </c>
      <c r="E411" t="s">
        <v>13</v>
      </c>
      <c r="F411" t="s">
        <v>729</v>
      </c>
      <c r="G411" t="s">
        <v>12</v>
      </c>
      <c r="I411" t="s">
        <v>8346</v>
      </c>
      <c r="J411" t="s">
        <v>9001</v>
      </c>
      <c r="K411">
        <v>48.544499999999999</v>
      </c>
      <c r="L411">
        <v>0.36457685420687552</v>
      </c>
      <c r="M411">
        <v>482.69320468673391</v>
      </c>
      <c r="N411">
        <v>530.96252515540732</v>
      </c>
    </row>
    <row r="412" spans="1:14">
      <c r="A412" t="s">
        <v>726</v>
      </c>
      <c r="B412" t="s">
        <v>8347</v>
      </c>
      <c r="C412" t="s">
        <v>8348</v>
      </c>
      <c r="D412" t="s">
        <v>11</v>
      </c>
      <c r="E412" t="s">
        <v>13</v>
      </c>
      <c r="F412" t="s">
        <v>729</v>
      </c>
      <c r="G412" t="s">
        <v>12</v>
      </c>
      <c r="I412" t="s">
        <v>8347</v>
      </c>
      <c r="J412" t="s">
        <v>9002</v>
      </c>
      <c r="K412">
        <v>19.154250000000001</v>
      </c>
      <c r="L412">
        <v>0.394444951041656</v>
      </c>
      <c r="M412">
        <v>639.62865089993352</v>
      </c>
      <c r="N412">
        <v>703.59151598992696</v>
      </c>
    </row>
    <row r="413" spans="1:14">
      <c r="A413" t="s">
        <v>726</v>
      </c>
      <c r="B413" t="s">
        <v>8349</v>
      </c>
      <c r="C413" t="s">
        <v>8350</v>
      </c>
      <c r="D413" t="s">
        <v>11</v>
      </c>
      <c r="E413" t="s">
        <v>13</v>
      </c>
      <c r="F413" t="s">
        <v>729</v>
      </c>
      <c r="G413" t="s">
        <v>12</v>
      </c>
      <c r="I413" t="s">
        <v>8349</v>
      </c>
      <c r="J413" t="s">
        <v>9003</v>
      </c>
      <c r="K413">
        <v>59.599499999999999</v>
      </c>
      <c r="L413">
        <v>0.4140371804654065</v>
      </c>
      <c r="M413">
        <v>249.64486953487324</v>
      </c>
      <c r="N413">
        <v>274.60935648836056</v>
      </c>
    </row>
    <row r="414" spans="1:14">
      <c r="A414" t="s">
        <v>726</v>
      </c>
      <c r="B414" t="s">
        <v>8351</v>
      </c>
      <c r="C414" t="s">
        <v>8352</v>
      </c>
      <c r="D414" t="s">
        <v>11</v>
      </c>
      <c r="E414" t="s">
        <v>13</v>
      </c>
      <c r="F414" t="s">
        <v>729</v>
      </c>
      <c r="G414" t="s">
        <v>12</v>
      </c>
      <c r="I414" t="s">
        <v>8351</v>
      </c>
      <c r="J414" t="s">
        <v>9004</v>
      </c>
      <c r="K414">
        <v>29.022749999999998</v>
      </c>
      <c r="L414">
        <v>0.44118483779960987</v>
      </c>
      <c r="M414">
        <v>74.502339192185872</v>
      </c>
      <c r="N414">
        <v>81.952573111404462</v>
      </c>
    </row>
    <row r="415" spans="1:14">
      <c r="A415" t="s">
        <v>726</v>
      </c>
      <c r="B415" t="s">
        <v>8353</v>
      </c>
      <c r="C415" t="s">
        <v>8354</v>
      </c>
      <c r="D415" t="s">
        <v>11</v>
      </c>
      <c r="E415" t="s">
        <v>13</v>
      </c>
      <c r="F415" t="s">
        <v>729</v>
      </c>
      <c r="G415" t="s">
        <v>12</v>
      </c>
      <c r="I415" t="s">
        <v>8353</v>
      </c>
      <c r="J415" t="s">
        <v>9005</v>
      </c>
      <c r="K415">
        <v>33.770249999999997</v>
      </c>
      <c r="L415">
        <v>0.49929149024876479</v>
      </c>
      <c r="M415">
        <v>106.30923632033084</v>
      </c>
      <c r="N415">
        <v>116.94015995236393</v>
      </c>
    </row>
    <row r="416" spans="1:14">
      <c r="A416" t="s">
        <v>726</v>
      </c>
      <c r="B416" t="s">
        <v>8355</v>
      </c>
      <c r="C416" t="s">
        <v>8356</v>
      </c>
      <c r="D416" t="s">
        <v>11</v>
      </c>
      <c r="E416" t="s">
        <v>13</v>
      </c>
      <c r="F416" t="s">
        <v>729</v>
      </c>
      <c r="G416" t="s">
        <v>12</v>
      </c>
      <c r="I416" t="s">
        <v>8355</v>
      </c>
      <c r="J416" t="s">
        <v>9006</v>
      </c>
      <c r="K416">
        <v>27.047249999999998</v>
      </c>
      <c r="L416">
        <v>0.49848367364315799</v>
      </c>
      <c r="M416">
        <v>82.641244134293572</v>
      </c>
      <c r="N416">
        <v>90.905368547722944</v>
      </c>
    </row>
    <row r="417" spans="1:14">
      <c r="A417" t="s">
        <v>726</v>
      </c>
      <c r="B417" t="s">
        <v>8357</v>
      </c>
      <c r="C417" t="s">
        <v>8358</v>
      </c>
      <c r="D417" t="s">
        <v>11</v>
      </c>
      <c r="E417" t="s">
        <v>13</v>
      </c>
      <c r="F417" t="s">
        <v>729</v>
      </c>
      <c r="G417" t="s">
        <v>12</v>
      </c>
      <c r="I417" t="s">
        <v>8357</v>
      </c>
      <c r="J417" t="s">
        <v>9007</v>
      </c>
      <c r="K417">
        <v>0.51875000000000004</v>
      </c>
      <c r="L417">
        <v>0.35386971633513731</v>
      </c>
      <c r="M417">
        <v>80.914503864274366</v>
      </c>
      <c r="N417">
        <v>89.005954250701805</v>
      </c>
    </row>
    <row r="418" spans="1:14">
      <c r="A418" t="s">
        <v>726</v>
      </c>
      <c r="B418" t="s">
        <v>8359</v>
      </c>
      <c r="C418" t="s">
        <v>8360</v>
      </c>
      <c r="D418" t="s">
        <v>11</v>
      </c>
      <c r="E418" t="s">
        <v>13</v>
      </c>
      <c r="F418" t="s">
        <v>729</v>
      </c>
      <c r="G418" t="s">
        <v>12</v>
      </c>
      <c r="I418" t="s">
        <v>8359</v>
      </c>
      <c r="J418" t="s">
        <v>9008</v>
      </c>
      <c r="K418">
        <v>11.65375</v>
      </c>
      <c r="L418">
        <v>0.3099648129037319</v>
      </c>
      <c r="M418">
        <v>52.906060377962326</v>
      </c>
      <c r="N418">
        <v>58.196666415758564</v>
      </c>
    </row>
    <row r="419" spans="1:14">
      <c r="A419" t="s">
        <v>726</v>
      </c>
      <c r="B419" t="s">
        <v>8361</v>
      </c>
      <c r="C419" t="s">
        <v>8362</v>
      </c>
      <c r="D419" t="s">
        <v>11</v>
      </c>
      <c r="E419" t="s">
        <v>13</v>
      </c>
      <c r="F419" t="s">
        <v>729</v>
      </c>
      <c r="G419" t="s">
        <v>12</v>
      </c>
      <c r="I419" t="s">
        <v>8361</v>
      </c>
      <c r="J419" t="s">
        <v>9009</v>
      </c>
      <c r="K419">
        <v>8.17</v>
      </c>
      <c r="L419">
        <v>0.286754178191644</v>
      </c>
      <c r="M419">
        <v>57.968647573675923</v>
      </c>
      <c r="N419">
        <v>63.765512331043524</v>
      </c>
    </row>
    <row r="420" spans="1:14">
      <c r="A420" t="s">
        <v>726</v>
      </c>
      <c r="B420" t="s">
        <v>8363</v>
      </c>
      <c r="C420" t="s">
        <v>8362</v>
      </c>
      <c r="D420" t="s">
        <v>11</v>
      </c>
      <c r="E420" t="s">
        <v>13</v>
      </c>
      <c r="F420" t="s">
        <v>729</v>
      </c>
      <c r="G420" t="s">
        <v>12</v>
      </c>
      <c r="I420" t="s">
        <v>8363</v>
      </c>
      <c r="J420" t="s">
        <v>9010</v>
      </c>
      <c r="K420">
        <v>7.0650000000000004</v>
      </c>
      <c r="L420">
        <v>0.22177947666368911</v>
      </c>
      <c r="M420">
        <v>83.591815134186007</v>
      </c>
      <c r="N420">
        <v>91.950996647604612</v>
      </c>
    </row>
    <row r="421" spans="1:14">
      <c r="A421" t="s">
        <v>726</v>
      </c>
      <c r="B421" t="s">
        <v>8364</v>
      </c>
      <c r="C421" t="s">
        <v>8365</v>
      </c>
      <c r="D421" t="s">
        <v>11</v>
      </c>
      <c r="E421" t="s">
        <v>13</v>
      </c>
      <c r="F421" t="s">
        <v>729</v>
      </c>
      <c r="G421" t="s">
        <v>12</v>
      </c>
      <c r="I421" t="s">
        <v>8364</v>
      </c>
      <c r="J421" t="s">
        <v>9011</v>
      </c>
      <c r="K421">
        <v>33.158250000000002</v>
      </c>
      <c r="L421">
        <v>0.38369495749373778</v>
      </c>
      <c r="M421">
        <v>162.96923790014387</v>
      </c>
      <c r="N421">
        <v>179.26616169015827</v>
      </c>
    </row>
    <row r="422" spans="1:14">
      <c r="A422" t="s">
        <v>726</v>
      </c>
      <c r="B422" t="s">
        <v>8366</v>
      </c>
      <c r="C422" t="s">
        <v>8367</v>
      </c>
      <c r="D422" t="s">
        <v>11</v>
      </c>
      <c r="E422" t="s">
        <v>13</v>
      </c>
      <c r="F422" t="s">
        <v>729</v>
      </c>
      <c r="G422" t="s">
        <v>12</v>
      </c>
      <c r="I422" t="s">
        <v>8366</v>
      </c>
      <c r="J422" t="s">
        <v>9012</v>
      </c>
      <c r="K422">
        <v>14.599500000000001</v>
      </c>
      <c r="L422">
        <v>0.33111742912439152</v>
      </c>
      <c r="M422">
        <v>119.48338112289773</v>
      </c>
      <c r="N422">
        <v>131.4317192351875</v>
      </c>
    </row>
    <row r="423" spans="1:14">
      <c r="A423" t="s">
        <v>726</v>
      </c>
      <c r="B423" t="s">
        <v>8368</v>
      </c>
      <c r="C423" t="s">
        <v>8369</v>
      </c>
      <c r="D423" t="s">
        <v>11</v>
      </c>
      <c r="E423" t="s">
        <v>13</v>
      </c>
      <c r="F423" t="s">
        <v>729</v>
      </c>
      <c r="G423" t="s">
        <v>12</v>
      </c>
      <c r="I423" t="s">
        <v>8368</v>
      </c>
      <c r="J423" t="s">
        <v>9013</v>
      </c>
      <c r="K423">
        <v>11.6145</v>
      </c>
      <c r="L423">
        <v>0.2611166786580903</v>
      </c>
      <c r="M423">
        <v>75.051106805498961</v>
      </c>
      <c r="N423">
        <v>82.556217486048865</v>
      </c>
    </row>
    <row r="424" spans="1:14">
      <c r="A424" t="s">
        <v>726</v>
      </c>
      <c r="B424" t="s">
        <v>8370</v>
      </c>
      <c r="C424" t="s">
        <v>8371</v>
      </c>
      <c r="D424" t="s">
        <v>11</v>
      </c>
      <c r="E424" t="s">
        <v>13</v>
      </c>
      <c r="F424" t="s">
        <v>729</v>
      </c>
      <c r="G424" t="s">
        <v>12</v>
      </c>
      <c r="I424" t="s">
        <v>8370</v>
      </c>
      <c r="J424" t="s">
        <v>9014</v>
      </c>
      <c r="K424">
        <v>18.765750000000001</v>
      </c>
      <c r="L424">
        <v>0.37717063723198319</v>
      </c>
      <c r="M424">
        <v>91.960665313586802</v>
      </c>
      <c r="N424">
        <v>101.15673184494548</v>
      </c>
    </row>
    <row r="425" spans="1:14">
      <c r="A425" t="s">
        <v>726</v>
      </c>
      <c r="B425" t="s">
        <v>8372</v>
      </c>
      <c r="C425" t="s">
        <v>8373</v>
      </c>
      <c r="D425" t="s">
        <v>11</v>
      </c>
      <c r="E425" t="s">
        <v>13</v>
      </c>
      <c r="F425" t="s">
        <v>729</v>
      </c>
      <c r="G425" t="s">
        <v>12</v>
      </c>
      <c r="I425" t="s">
        <v>8372</v>
      </c>
      <c r="J425" t="s">
        <v>9015</v>
      </c>
      <c r="K425">
        <v>13.715249999999999</v>
      </c>
      <c r="L425">
        <v>0.51144656046517978</v>
      </c>
      <c r="M425">
        <v>72.958239503363416</v>
      </c>
      <c r="N425">
        <v>80.254063453699757</v>
      </c>
    </row>
    <row r="426" spans="1:14">
      <c r="A426" t="s">
        <v>726</v>
      </c>
      <c r="B426" t="s">
        <v>8374</v>
      </c>
      <c r="C426" t="s">
        <v>8375</v>
      </c>
      <c r="D426" t="s">
        <v>11</v>
      </c>
      <c r="E426" t="s">
        <v>13</v>
      </c>
      <c r="F426" t="s">
        <v>729</v>
      </c>
      <c r="G426" t="s">
        <v>12</v>
      </c>
      <c r="I426" t="s">
        <v>8374</v>
      </c>
      <c r="J426" t="s">
        <v>9016</v>
      </c>
      <c r="K426">
        <v>7.9545000000000003</v>
      </c>
      <c r="L426">
        <v>0.49912231458317929</v>
      </c>
      <c r="M426">
        <v>100.66959900475052</v>
      </c>
      <c r="N426">
        <v>110.73655890522558</v>
      </c>
    </row>
    <row r="427" spans="1:14">
      <c r="A427" t="s">
        <v>726</v>
      </c>
      <c r="B427" t="s">
        <v>8376</v>
      </c>
      <c r="C427" t="s">
        <v>8377</v>
      </c>
      <c r="D427" t="s">
        <v>11</v>
      </c>
      <c r="E427" t="s">
        <v>13</v>
      </c>
      <c r="F427" t="s">
        <v>729</v>
      </c>
      <c r="G427" t="s">
        <v>12</v>
      </c>
      <c r="I427" t="s">
        <v>8376</v>
      </c>
      <c r="J427" t="s">
        <v>9017</v>
      </c>
      <c r="K427">
        <v>3.4432499999999999</v>
      </c>
      <c r="L427">
        <v>0.40257110516915612</v>
      </c>
      <c r="M427">
        <v>55.954448535080559</v>
      </c>
      <c r="N427">
        <v>61.549893388588622</v>
      </c>
    </row>
    <row r="428" spans="1:14">
      <c r="A428" t="s">
        <v>726</v>
      </c>
      <c r="B428" t="s">
        <v>8378</v>
      </c>
      <c r="C428" t="s">
        <v>8379</v>
      </c>
      <c r="D428" t="s">
        <v>11</v>
      </c>
      <c r="E428" t="s">
        <v>13</v>
      </c>
      <c r="F428" t="s">
        <v>729</v>
      </c>
      <c r="G428" t="s">
        <v>12</v>
      </c>
      <c r="I428" t="s">
        <v>8378</v>
      </c>
      <c r="J428" t="s">
        <v>9018</v>
      </c>
      <c r="K428">
        <v>21.488250000000001</v>
      </c>
      <c r="L428">
        <v>0.28200590280275573</v>
      </c>
      <c r="M428">
        <v>152.35171204300775</v>
      </c>
      <c r="N428">
        <v>167.58688324730855</v>
      </c>
    </row>
    <row r="429" spans="1:14">
      <c r="A429" t="s">
        <v>726</v>
      </c>
      <c r="B429" t="s">
        <v>8380</v>
      </c>
      <c r="C429" t="s">
        <v>8379</v>
      </c>
      <c r="D429" t="s">
        <v>11</v>
      </c>
      <c r="E429" t="s">
        <v>13</v>
      </c>
      <c r="F429" t="s">
        <v>729</v>
      </c>
      <c r="G429" t="s">
        <v>12</v>
      </c>
      <c r="I429" t="s">
        <v>8380</v>
      </c>
      <c r="J429" t="s">
        <v>9019</v>
      </c>
      <c r="K429">
        <v>1.0042500000000001</v>
      </c>
      <c r="L429">
        <v>0.28415044162979519</v>
      </c>
      <c r="M429">
        <v>118.63739788858121</v>
      </c>
      <c r="N429">
        <v>130.50113767743935</v>
      </c>
    </row>
    <row r="430" spans="1:14">
      <c r="A430" t="s">
        <v>726</v>
      </c>
      <c r="B430" t="s">
        <v>8381</v>
      </c>
      <c r="C430" t="s">
        <v>8382</v>
      </c>
      <c r="D430" t="s">
        <v>11</v>
      </c>
      <c r="E430" t="s">
        <v>13</v>
      </c>
      <c r="F430" t="s">
        <v>729</v>
      </c>
      <c r="G430" t="s">
        <v>12</v>
      </c>
      <c r="I430" t="s">
        <v>8381</v>
      </c>
      <c r="J430" t="s">
        <v>9020</v>
      </c>
      <c r="K430">
        <v>1080.171</v>
      </c>
      <c r="L430">
        <v>0.46618896107118007</v>
      </c>
      <c r="M430">
        <v>800.70851337923023</v>
      </c>
      <c r="N430">
        <v>880.77936471715327</v>
      </c>
    </row>
    <row r="431" spans="1:14">
      <c r="A431" t="s">
        <v>726</v>
      </c>
      <c r="B431" t="s">
        <v>8383</v>
      </c>
      <c r="C431" t="s">
        <v>8382</v>
      </c>
      <c r="D431" t="s">
        <v>11</v>
      </c>
      <c r="E431" t="s">
        <v>13</v>
      </c>
      <c r="F431" t="s">
        <v>729</v>
      </c>
      <c r="G431" t="s">
        <v>12</v>
      </c>
      <c r="I431" t="s">
        <v>8383</v>
      </c>
      <c r="J431" t="s">
        <v>9021</v>
      </c>
      <c r="K431">
        <v>1076.7104999999999</v>
      </c>
      <c r="L431">
        <v>0.4741327017243343</v>
      </c>
      <c r="M431">
        <v>825.22056696286131</v>
      </c>
      <c r="N431">
        <v>907.74262365914751</v>
      </c>
    </row>
    <row r="432" spans="1:14">
      <c r="A432" t="s">
        <v>726</v>
      </c>
      <c r="B432" t="s">
        <v>8384</v>
      </c>
      <c r="C432" t="s">
        <v>8385</v>
      </c>
      <c r="D432" t="s">
        <v>11</v>
      </c>
      <c r="E432" t="s">
        <v>13</v>
      </c>
      <c r="F432" t="s">
        <v>729</v>
      </c>
      <c r="G432" t="s">
        <v>12</v>
      </c>
      <c r="I432" t="s">
        <v>8384</v>
      </c>
      <c r="J432" t="s">
        <v>9022</v>
      </c>
      <c r="K432">
        <v>1184.1990000000001</v>
      </c>
      <c r="L432">
        <v>0.40398608338254283</v>
      </c>
      <c r="M432">
        <v>977.68419798020216</v>
      </c>
      <c r="N432">
        <v>1075.4526177782225</v>
      </c>
    </row>
    <row r="433" spans="1:14">
      <c r="A433" t="s">
        <v>726</v>
      </c>
      <c r="B433" t="s">
        <v>8386</v>
      </c>
      <c r="C433" t="s">
        <v>8385</v>
      </c>
      <c r="D433" t="s">
        <v>11</v>
      </c>
      <c r="E433" t="s">
        <v>13</v>
      </c>
      <c r="F433" t="s">
        <v>729</v>
      </c>
      <c r="G433" t="s">
        <v>12</v>
      </c>
      <c r="I433" t="s">
        <v>8386</v>
      </c>
      <c r="J433" t="s">
        <v>9023</v>
      </c>
      <c r="K433">
        <v>1290.4860000000001</v>
      </c>
      <c r="L433">
        <v>0.41902684866979051</v>
      </c>
      <c r="M433">
        <v>947.71327855955019</v>
      </c>
      <c r="N433">
        <v>1042.4846064155054</v>
      </c>
    </row>
    <row r="434" spans="1:14">
      <c r="A434" t="s">
        <v>726</v>
      </c>
      <c r="B434" t="s">
        <v>8387</v>
      </c>
      <c r="C434" t="s">
        <v>8388</v>
      </c>
      <c r="D434" t="s">
        <v>11</v>
      </c>
      <c r="E434" t="s">
        <v>13</v>
      </c>
      <c r="F434" t="s">
        <v>729</v>
      </c>
      <c r="G434" t="s">
        <v>12</v>
      </c>
      <c r="I434" t="s">
        <v>8387</v>
      </c>
      <c r="J434" t="s">
        <v>9024</v>
      </c>
      <c r="K434">
        <v>758.29575</v>
      </c>
      <c r="L434">
        <v>0.4226093152356637</v>
      </c>
      <c r="M434">
        <v>305.11646529644287</v>
      </c>
      <c r="N434">
        <v>335.62811182608721</v>
      </c>
    </row>
    <row r="435" spans="1:14">
      <c r="A435" t="s">
        <v>726</v>
      </c>
      <c r="B435" t="s">
        <v>8389</v>
      </c>
      <c r="C435" t="s">
        <v>8388</v>
      </c>
      <c r="D435" t="s">
        <v>11</v>
      </c>
      <c r="E435" t="s">
        <v>13</v>
      </c>
      <c r="F435" t="s">
        <v>729</v>
      </c>
      <c r="G435" t="s">
        <v>12</v>
      </c>
      <c r="I435" t="s">
        <v>8389</v>
      </c>
      <c r="J435" t="s">
        <v>9025</v>
      </c>
      <c r="K435">
        <v>662.55899999999997</v>
      </c>
      <c r="L435">
        <v>0.46115170465724392</v>
      </c>
      <c r="M435">
        <v>382.4173387876607</v>
      </c>
      <c r="N435">
        <v>420.65907266642682</v>
      </c>
    </row>
    <row r="436" spans="1:14">
      <c r="A436" t="s">
        <v>726</v>
      </c>
      <c r="B436" t="s">
        <v>8390</v>
      </c>
      <c r="C436" t="s">
        <v>8382</v>
      </c>
      <c r="D436" t="s">
        <v>11</v>
      </c>
      <c r="E436" t="s">
        <v>13</v>
      </c>
      <c r="F436" t="s">
        <v>729</v>
      </c>
      <c r="G436" t="s">
        <v>12</v>
      </c>
      <c r="I436" t="s">
        <v>8390</v>
      </c>
      <c r="J436" t="s">
        <v>9026</v>
      </c>
      <c r="K436">
        <v>625.96950000000004</v>
      </c>
      <c r="L436">
        <v>0.4644266479263035</v>
      </c>
      <c r="M436">
        <v>485.85056205784952</v>
      </c>
      <c r="N436">
        <v>534.43561826363452</v>
      </c>
    </row>
    <row r="437" spans="1:14">
      <c r="A437" t="s">
        <v>726</v>
      </c>
      <c r="B437" t="s">
        <v>8391</v>
      </c>
      <c r="C437" t="s">
        <v>8392</v>
      </c>
      <c r="D437" t="s">
        <v>11</v>
      </c>
      <c r="E437" t="s">
        <v>13</v>
      </c>
      <c r="F437" t="s">
        <v>729</v>
      </c>
      <c r="G437" t="s">
        <v>12</v>
      </c>
      <c r="I437" t="s">
        <v>8391</v>
      </c>
      <c r="J437" t="s">
        <v>9027</v>
      </c>
      <c r="K437">
        <v>810.28200000000004</v>
      </c>
      <c r="L437">
        <v>0.4655517958205983</v>
      </c>
      <c r="M437">
        <v>456.01469094146421</v>
      </c>
      <c r="N437">
        <v>501.61616003561068</v>
      </c>
    </row>
    <row r="438" spans="1:14">
      <c r="A438" t="s">
        <v>726</v>
      </c>
      <c r="B438" t="s">
        <v>8393</v>
      </c>
      <c r="C438" t="s">
        <v>8394</v>
      </c>
      <c r="D438" t="s">
        <v>11</v>
      </c>
      <c r="E438" t="s">
        <v>13</v>
      </c>
      <c r="F438" t="s">
        <v>729</v>
      </c>
      <c r="G438" t="s">
        <v>12</v>
      </c>
      <c r="I438" t="s">
        <v>8393</v>
      </c>
      <c r="J438" t="s">
        <v>9028</v>
      </c>
      <c r="K438">
        <v>1276.818</v>
      </c>
      <c r="L438">
        <v>0.4040337861851071</v>
      </c>
      <c r="M438">
        <v>1511.873353999121</v>
      </c>
      <c r="N438">
        <v>1663.0606893990332</v>
      </c>
    </row>
    <row r="439" spans="1:14">
      <c r="A439" t="s">
        <v>726</v>
      </c>
      <c r="B439" t="s">
        <v>8395</v>
      </c>
      <c r="C439" t="s">
        <v>8394</v>
      </c>
      <c r="D439" t="s">
        <v>11</v>
      </c>
      <c r="E439" t="s">
        <v>13</v>
      </c>
      <c r="F439" t="s">
        <v>729</v>
      </c>
      <c r="G439" t="s">
        <v>12</v>
      </c>
      <c r="I439" t="s">
        <v>8395</v>
      </c>
      <c r="J439" t="s">
        <v>9029</v>
      </c>
      <c r="K439">
        <v>1311.11475</v>
      </c>
      <c r="L439">
        <v>0.40367044945839109</v>
      </c>
      <c r="M439">
        <v>1514.0227474874616</v>
      </c>
      <c r="N439">
        <v>1665.425022236208</v>
      </c>
    </row>
    <row r="440" spans="1:14">
      <c r="A440" t="s">
        <v>726</v>
      </c>
      <c r="B440" t="s">
        <v>8396</v>
      </c>
      <c r="C440" t="s">
        <v>8397</v>
      </c>
      <c r="D440" t="s">
        <v>11</v>
      </c>
      <c r="E440" t="s">
        <v>13</v>
      </c>
      <c r="F440" t="s">
        <v>729</v>
      </c>
      <c r="G440" t="s">
        <v>12</v>
      </c>
      <c r="I440" t="s">
        <v>8396</v>
      </c>
      <c r="J440" t="s">
        <v>9030</v>
      </c>
      <c r="K440">
        <v>704.75850000000003</v>
      </c>
      <c r="L440">
        <v>0.5090382794208973</v>
      </c>
      <c r="M440">
        <v>13499.014163866539</v>
      </c>
      <c r="N440">
        <v>14848.915580253195</v>
      </c>
    </row>
    <row r="441" spans="1:14">
      <c r="A441" t="s">
        <v>726</v>
      </c>
      <c r="B441" t="s">
        <v>8398</v>
      </c>
      <c r="C441" t="s">
        <v>8382</v>
      </c>
      <c r="D441" t="s">
        <v>11</v>
      </c>
      <c r="E441" t="s">
        <v>13</v>
      </c>
      <c r="F441" t="s">
        <v>729</v>
      </c>
      <c r="G441" t="s">
        <v>12</v>
      </c>
      <c r="I441" t="s">
        <v>8398</v>
      </c>
      <c r="J441" t="s">
        <v>9031</v>
      </c>
      <c r="K441">
        <v>767.4</v>
      </c>
      <c r="L441">
        <v>0.4717510669766013</v>
      </c>
      <c r="M441">
        <v>19388.438345009599</v>
      </c>
      <c r="N441">
        <v>21327.282179510559</v>
      </c>
    </row>
    <row r="442" spans="1:14">
      <c r="A442" t="s">
        <v>726</v>
      </c>
      <c r="B442" t="s">
        <v>8399</v>
      </c>
      <c r="C442" t="s">
        <v>8397</v>
      </c>
      <c r="D442" t="s">
        <v>11</v>
      </c>
      <c r="E442" t="s">
        <v>13</v>
      </c>
      <c r="F442" t="s">
        <v>729</v>
      </c>
      <c r="G442" t="s">
        <v>12</v>
      </c>
      <c r="I442" t="s">
        <v>8399</v>
      </c>
      <c r="J442" t="s">
        <v>9032</v>
      </c>
      <c r="K442">
        <v>742.27125000000001</v>
      </c>
      <c r="L442">
        <v>0.4786346167679375</v>
      </c>
      <c r="M442">
        <v>1262.4583611525388</v>
      </c>
      <c r="N442">
        <v>1388.7041972677928</v>
      </c>
    </row>
    <row r="443" spans="1:14">
      <c r="A443" t="s">
        <v>726</v>
      </c>
      <c r="B443" t="s">
        <v>8400</v>
      </c>
      <c r="C443" t="s">
        <v>8397</v>
      </c>
      <c r="D443" t="s">
        <v>11</v>
      </c>
      <c r="E443" t="s">
        <v>13</v>
      </c>
      <c r="F443" t="s">
        <v>729</v>
      </c>
      <c r="G443" t="s">
        <v>12</v>
      </c>
      <c r="I443" t="s">
        <v>8400</v>
      </c>
      <c r="J443" t="s">
        <v>9033</v>
      </c>
      <c r="K443">
        <v>1341.2745</v>
      </c>
      <c r="L443">
        <v>0.47738771521348727</v>
      </c>
      <c r="M443">
        <v>607.26182784647915</v>
      </c>
      <c r="N443">
        <v>667.98801063112717</v>
      </c>
    </row>
    <row r="444" spans="1:14">
      <c r="A444" t="s">
        <v>726</v>
      </c>
      <c r="B444" t="s">
        <v>8401</v>
      </c>
      <c r="C444" t="s">
        <v>8397</v>
      </c>
      <c r="D444" t="s">
        <v>11</v>
      </c>
      <c r="E444" t="s">
        <v>13</v>
      </c>
      <c r="F444" t="s">
        <v>729</v>
      </c>
      <c r="G444" t="s">
        <v>12</v>
      </c>
      <c r="I444" t="s">
        <v>8401</v>
      </c>
      <c r="J444" t="s">
        <v>9034</v>
      </c>
      <c r="K444">
        <v>641.05724999999995</v>
      </c>
      <c r="L444">
        <v>0.4735491282242037</v>
      </c>
      <c r="M444">
        <v>1295.7900852191017</v>
      </c>
      <c r="N444">
        <v>1425.369093741012</v>
      </c>
    </row>
    <row r="445" spans="1:14">
      <c r="A445" t="s">
        <v>726</v>
      </c>
      <c r="B445" t="s">
        <v>8402</v>
      </c>
      <c r="C445" t="s">
        <v>8397</v>
      </c>
      <c r="D445" t="s">
        <v>11</v>
      </c>
      <c r="E445" t="s">
        <v>13</v>
      </c>
      <c r="F445" t="s">
        <v>729</v>
      </c>
      <c r="G445" t="s">
        <v>12</v>
      </c>
      <c r="I445" t="s">
        <v>8402</v>
      </c>
      <c r="J445" t="s">
        <v>9035</v>
      </c>
      <c r="K445">
        <v>1468.3125</v>
      </c>
      <c r="L445">
        <v>0.47794931366470728</v>
      </c>
      <c r="M445">
        <v>641.3475675397591</v>
      </c>
      <c r="N445">
        <v>705.48232429373502</v>
      </c>
    </row>
    <row r="446" spans="1:14">
      <c r="A446" t="s">
        <v>726</v>
      </c>
      <c r="B446" t="s">
        <v>8403</v>
      </c>
      <c r="C446" t="s">
        <v>8404</v>
      </c>
      <c r="D446" t="s">
        <v>11</v>
      </c>
      <c r="E446" t="s">
        <v>13</v>
      </c>
      <c r="F446" t="s">
        <v>729</v>
      </c>
      <c r="G446" t="s">
        <v>12</v>
      </c>
      <c r="I446" t="s">
        <v>8403</v>
      </c>
      <c r="J446" t="s">
        <v>9036</v>
      </c>
      <c r="K446">
        <v>28.390499999999999</v>
      </c>
      <c r="L446">
        <v>0.2545854517713394</v>
      </c>
      <c r="M446">
        <v>264.46435831331576</v>
      </c>
      <c r="N446">
        <v>290.91079414464735</v>
      </c>
    </row>
    <row r="447" spans="1:14">
      <c r="A447" t="s">
        <v>726</v>
      </c>
      <c r="B447" t="s">
        <v>8405</v>
      </c>
      <c r="C447" t="s">
        <v>8404</v>
      </c>
      <c r="D447" t="s">
        <v>11</v>
      </c>
      <c r="E447" t="s">
        <v>13</v>
      </c>
      <c r="F447" t="s">
        <v>729</v>
      </c>
      <c r="G447" t="s">
        <v>12</v>
      </c>
      <c r="I447" t="s">
        <v>8405</v>
      </c>
      <c r="J447" t="s">
        <v>9037</v>
      </c>
      <c r="K447">
        <v>33.101999999999997</v>
      </c>
      <c r="L447">
        <v>0.2127053242510428</v>
      </c>
      <c r="M447">
        <v>436.4570090271061</v>
      </c>
      <c r="N447">
        <v>480.10270992981674</v>
      </c>
    </row>
    <row r="448" spans="1:14">
      <c r="A448" t="s">
        <v>726</v>
      </c>
      <c r="B448" t="s">
        <v>8406</v>
      </c>
      <c r="C448" t="s">
        <v>8407</v>
      </c>
      <c r="D448" t="s">
        <v>11</v>
      </c>
      <c r="E448" t="s">
        <v>13</v>
      </c>
      <c r="F448" t="s">
        <v>729</v>
      </c>
      <c r="G448" t="s">
        <v>12</v>
      </c>
      <c r="I448" t="s">
        <v>8406</v>
      </c>
      <c r="J448" t="s">
        <v>9038</v>
      </c>
      <c r="K448">
        <v>32.232750000000003</v>
      </c>
      <c r="L448">
        <v>0.32549644043577342</v>
      </c>
      <c r="M448">
        <v>151.64527444477224</v>
      </c>
      <c r="N448">
        <v>166.80980188924948</v>
      </c>
    </row>
    <row r="449" spans="1:14">
      <c r="A449" t="s">
        <v>726</v>
      </c>
      <c r="B449" t="s">
        <v>8408</v>
      </c>
      <c r="C449" t="s">
        <v>8409</v>
      </c>
      <c r="D449" t="s">
        <v>11</v>
      </c>
      <c r="E449" t="s">
        <v>13</v>
      </c>
      <c r="F449" t="s">
        <v>729</v>
      </c>
      <c r="G449" t="s">
        <v>12</v>
      </c>
      <c r="I449" t="s">
        <v>8408</v>
      </c>
      <c r="J449" t="s">
        <v>9039</v>
      </c>
      <c r="K449">
        <v>59.423250000000003</v>
      </c>
      <c r="L449">
        <v>0.25618599470973091</v>
      </c>
      <c r="M449">
        <v>128.15465091068597</v>
      </c>
      <c r="N449">
        <v>140.97011600175458</v>
      </c>
    </row>
    <row r="450" spans="1:14">
      <c r="A450" t="s">
        <v>726</v>
      </c>
      <c r="B450" t="s">
        <v>8410</v>
      </c>
      <c r="C450" t="s">
        <v>8409</v>
      </c>
      <c r="D450" t="s">
        <v>11</v>
      </c>
      <c r="E450" t="s">
        <v>13</v>
      </c>
      <c r="F450" t="s">
        <v>729</v>
      </c>
      <c r="G450" t="s">
        <v>12</v>
      </c>
      <c r="I450" t="s">
        <v>8410</v>
      </c>
      <c r="J450" t="s">
        <v>9040</v>
      </c>
      <c r="K450">
        <v>56.865000000000002</v>
      </c>
      <c r="L450">
        <v>0.31666422998713728</v>
      </c>
      <c r="M450">
        <v>186.5601703282903</v>
      </c>
      <c r="N450">
        <v>205.21618736111935</v>
      </c>
    </row>
    <row r="451" spans="1:14">
      <c r="A451" t="s">
        <v>726</v>
      </c>
      <c r="B451" t="s">
        <v>8411</v>
      </c>
      <c r="C451" t="s">
        <v>8412</v>
      </c>
      <c r="D451" t="s">
        <v>11</v>
      </c>
      <c r="E451" t="s">
        <v>13</v>
      </c>
      <c r="F451" t="s">
        <v>729</v>
      </c>
      <c r="G451" t="s">
        <v>12</v>
      </c>
      <c r="I451" t="s">
        <v>8411</v>
      </c>
      <c r="J451" t="s">
        <v>9041</v>
      </c>
      <c r="K451">
        <v>87.99</v>
      </c>
      <c r="L451">
        <v>0.34406755006783762</v>
      </c>
      <c r="M451">
        <v>273.22291409511968</v>
      </c>
      <c r="N451">
        <v>300.54520550463167</v>
      </c>
    </row>
    <row r="452" spans="1:14">
      <c r="A452" t="s">
        <v>726</v>
      </c>
      <c r="B452" t="s">
        <v>8413</v>
      </c>
      <c r="C452" t="s">
        <v>8414</v>
      </c>
      <c r="D452" t="s">
        <v>11</v>
      </c>
      <c r="E452" t="s">
        <v>13</v>
      </c>
      <c r="F452" t="s">
        <v>729</v>
      </c>
      <c r="G452" t="s">
        <v>12</v>
      </c>
      <c r="I452" t="s">
        <v>8413</v>
      </c>
      <c r="J452" t="s">
        <v>9042</v>
      </c>
      <c r="K452">
        <v>34.839750000000002</v>
      </c>
      <c r="L452">
        <v>0.31773383635241781</v>
      </c>
      <c r="M452">
        <v>335.33545833644234</v>
      </c>
      <c r="N452">
        <v>368.86900417008661</v>
      </c>
    </row>
    <row r="453" spans="1:14">
      <c r="A453" t="s">
        <v>726</v>
      </c>
      <c r="B453" t="s">
        <v>8415</v>
      </c>
      <c r="C453" t="s">
        <v>8414</v>
      </c>
      <c r="D453" t="s">
        <v>11</v>
      </c>
      <c r="E453" t="s">
        <v>13</v>
      </c>
      <c r="F453" t="s">
        <v>729</v>
      </c>
      <c r="G453" t="s">
        <v>12</v>
      </c>
      <c r="I453" t="s">
        <v>8415</v>
      </c>
      <c r="J453" t="s">
        <v>9043</v>
      </c>
      <c r="K453">
        <v>38.031750000000002</v>
      </c>
      <c r="L453">
        <v>0.28062203509344069</v>
      </c>
      <c r="M453">
        <v>144.60082445149536</v>
      </c>
      <c r="N453">
        <v>159.06090689664489</v>
      </c>
    </row>
    <row r="454" spans="1:14">
      <c r="A454" t="s">
        <v>726</v>
      </c>
      <c r="B454" t="s">
        <v>8416</v>
      </c>
      <c r="C454" t="s">
        <v>8414</v>
      </c>
      <c r="D454" t="s">
        <v>11</v>
      </c>
      <c r="E454" t="s">
        <v>13</v>
      </c>
      <c r="F454" t="s">
        <v>729</v>
      </c>
      <c r="G454" t="s">
        <v>12</v>
      </c>
      <c r="I454" t="s">
        <v>8416</v>
      </c>
      <c r="J454" t="s">
        <v>9044</v>
      </c>
      <c r="K454">
        <v>29.360250000000001</v>
      </c>
      <c r="L454">
        <v>0.24672042793650509</v>
      </c>
      <c r="M454">
        <v>155.22775917313251</v>
      </c>
      <c r="N454">
        <v>170.75053509044577</v>
      </c>
    </row>
    <row r="455" spans="1:14">
      <c r="A455" t="s">
        <v>726</v>
      </c>
      <c r="B455" t="s">
        <v>8417</v>
      </c>
      <c r="C455" t="s">
        <v>8414</v>
      </c>
      <c r="D455" t="s">
        <v>11</v>
      </c>
      <c r="E455" t="s">
        <v>13</v>
      </c>
      <c r="F455" t="s">
        <v>729</v>
      </c>
      <c r="G455" t="s">
        <v>12</v>
      </c>
      <c r="I455" t="s">
        <v>8417</v>
      </c>
      <c r="J455" t="s">
        <v>9045</v>
      </c>
      <c r="K455">
        <v>42.237749999999998</v>
      </c>
      <c r="L455">
        <v>0.2699376545695803</v>
      </c>
      <c r="M455">
        <v>225.23294457925508</v>
      </c>
      <c r="N455">
        <v>247.75623903718059</v>
      </c>
    </row>
    <row r="456" spans="1:14">
      <c r="A456" t="s">
        <v>726</v>
      </c>
      <c r="B456" t="s">
        <v>8418</v>
      </c>
      <c r="C456" t="s">
        <v>8419</v>
      </c>
      <c r="D456" t="s">
        <v>11</v>
      </c>
      <c r="E456" t="s">
        <v>13</v>
      </c>
      <c r="F456" t="s">
        <v>729</v>
      </c>
      <c r="G456" t="s">
        <v>12</v>
      </c>
      <c r="I456" t="s">
        <v>8418</v>
      </c>
      <c r="J456" t="s">
        <v>9046</v>
      </c>
      <c r="K456">
        <v>17.928000000000001</v>
      </c>
      <c r="L456">
        <v>0.32826279962269173</v>
      </c>
      <c r="M456">
        <v>55.216574977282974</v>
      </c>
      <c r="N456">
        <v>60.738232475011273</v>
      </c>
    </row>
    <row r="457" spans="1:14">
      <c r="A457" t="s">
        <v>726</v>
      </c>
      <c r="B457" t="s">
        <v>8420</v>
      </c>
      <c r="C457" t="s">
        <v>8421</v>
      </c>
      <c r="D457" t="s">
        <v>11</v>
      </c>
      <c r="E457" t="s">
        <v>13</v>
      </c>
      <c r="F457" t="s">
        <v>729</v>
      </c>
      <c r="G457" t="s">
        <v>12</v>
      </c>
      <c r="I457" t="s">
        <v>8420</v>
      </c>
      <c r="J457" t="s">
        <v>9047</v>
      </c>
      <c r="K457">
        <v>6.7605000000000004</v>
      </c>
      <c r="L457">
        <v>0.30855209937397549</v>
      </c>
      <c r="M457">
        <v>41.808377149704178</v>
      </c>
      <c r="N457">
        <v>45.989214864674601</v>
      </c>
    </row>
    <row r="458" spans="1:14">
      <c r="A458" t="s">
        <v>726</v>
      </c>
      <c r="B458" t="s">
        <v>8422</v>
      </c>
      <c r="C458" t="s">
        <v>8423</v>
      </c>
      <c r="D458" t="s">
        <v>11</v>
      </c>
      <c r="E458" t="s">
        <v>13</v>
      </c>
      <c r="F458" t="s">
        <v>729</v>
      </c>
      <c r="G458" t="s">
        <v>12</v>
      </c>
      <c r="I458" t="s">
        <v>8422</v>
      </c>
      <c r="J458" t="s">
        <v>9048</v>
      </c>
      <c r="K458">
        <v>14.3925</v>
      </c>
      <c r="L458">
        <v>0.25017111370276029</v>
      </c>
      <c r="M458">
        <v>142.37277872280225</v>
      </c>
      <c r="N458">
        <v>156.61005659508248</v>
      </c>
    </row>
    <row r="459" spans="1:14">
      <c r="A459" t="s">
        <v>726</v>
      </c>
      <c r="B459" t="s">
        <v>8424</v>
      </c>
      <c r="C459" t="s">
        <v>8425</v>
      </c>
      <c r="D459" t="s">
        <v>11</v>
      </c>
      <c r="E459" t="s">
        <v>13</v>
      </c>
      <c r="F459" t="s">
        <v>729</v>
      </c>
      <c r="G459" t="s">
        <v>12</v>
      </c>
      <c r="I459" t="s">
        <v>8424</v>
      </c>
      <c r="J459" t="s">
        <v>9049</v>
      </c>
      <c r="K459">
        <v>0</v>
      </c>
      <c r="L459">
        <v>5.54785548089827E-2</v>
      </c>
      <c r="M459">
        <v>0</v>
      </c>
      <c r="N459">
        <v>0</v>
      </c>
    </row>
    <row r="460" spans="1:14">
      <c r="A460" t="s">
        <v>726</v>
      </c>
      <c r="B460" t="s">
        <v>8426</v>
      </c>
      <c r="C460" t="s">
        <v>8425</v>
      </c>
      <c r="D460" t="s">
        <v>11</v>
      </c>
      <c r="E460" t="s">
        <v>13</v>
      </c>
      <c r="F460" t="s">
        <v>729</v>
      </c>
      <c r="G460" t="s">
        <v>12</v>
      </c>
      <c r="I460" t="s">
        <v>8426</v>
      </c>
      <c r="J460" t="s">
        <v>9050</v>
      </c>
      <c r="K460">
        <v>0</v>
      </c>
      <c r="L460">
        <v>6.2563184181944106E-2</v>
      </c>
      <c r="M460">
        <v>0</v>
      </c>
      <c r="N460">
        <v>0</v>
      </c>
    </row>
    <row r="461" spans="1:14">
      <c r="A461" t="s">
        <v>726</v>
      </c>
      <c r="B461" t="s">
        <v>8427</v>
      </c>
      <c r="C461" t="s">
        <v>8428</v>
      </c>
      <c r="D461" t="s">
        <v>11</v>
      </c>
      <c r="E461" t="s">
        <v>13</v>
      </c>
      <c r="F461" t="s">
        <v>729</v>
      </c>
      <c r="G461" t="s">
        <v>12</v>
      </c>
      <c r="I461" t="s">
        <v>8427</v>
      </c>
      <c r="J461" t="s">
        <v>9051</v>
      </c>
      <c r="K461">
        <v>12.251250000000001</v>
      </c>
      <c r="L461">
        <v>6.9206059086751703E-2</v>
      </c>
      <c r="M461">
        <v>126.38086547597835</v>
      </c>
      <c r="N461">
        <v>139.01895202357619</v>
      </c>
    </row>
    <row r="462" spans="1:14">
      <c r="A462" t="s">
        <v>726</v>
      </c>
      <c r="B462" t="s">
        <v>8429</v>
      </c>
      <c r="C462" t="s">
        <v>8430</v>
      </c>
      <c r="D462" t="s">
        <v>11</v>
      </c>
      <c r="E462" t="s">
        <v>13</v>
      </c>
      <c r="F462" t="s">
        <v>729</v>
      </c>
      <c r="G462" t="s">
        <v>12</v>
      </c>
      <c r="I462" t="s">
        <v>8429</v>
      </c>
      <c r="J462" t="s">
        <v>9052</v>
      </c>
      <c r="K462">
        <v>9.2917500000000004</v>
      </c>
      <c r="L462">
        <v>8.7479503318321994E-2</v>
      </c>
      <c r="M462">
        <v>125.5522149867716</v>
      </c>
      <c r="N462">
        <v>138.10743648544877</v>
      </c>
    </row>
    <row r="463" spans="1:14">
      <c r="A463" t="s">
        <v>726</v>
      </c>
      <c r="B463" t="s">
        <v>8431</v>
      </c>
      <c r="C463" t="s">
        <v>8430</v>
      </c>
      <c r="D463" t="s">
        <v>11</v>
      </c>
      <c r="E463" t="s">
        <v>13</v>
      </c>
      <c r="F463" t="s">
        <v>729</v>
      </c>
      <c r="G463" t="s">
        <v>12</v>
      </c>
      <c r="I463" t="s">
        <v>8431</v>
      </c>
      <c r="J463" t="s">
        <v>9053</v>
      </c>
      <c r="K463">
        <v>4.5060000000000002</v>
      </c>
      <c r="L463">
        <v>8.3136765344760194E-2</v>
      </c>
      <c r="M463">
        <v>121.92921660073162</v>
      </c>
      <c r="N463">
        <v>134.1221382608048</v>
      </c>
    </row>
    <row r="464" spans="1:14">
      <c r="A464" t="s">
        <v>726</v>
      </c>
      <c r="B464" t="s">
        <v>8432</v>
      </c>
      <c r="C464" t="s">
        <v>8433</v>
      </c>
      <c r="D464" t="s">
        <v>11</v>
      </c>
      <c r="E464" t="s">
        <v>13</v>
      </c>
      <c r="F464" t="s">
        <v>729</v>
      </c>
      <c r="G464" t="s">
        <v>12</v>
      </c>
      <c r="I464" t="s">
        <v>8432</v>
      </c>
      <c r="J464" t="s">
        <v>9054</v>
      </c>
      <c r="K464">
        <v>1.27125</v>
      </c>
      <c r="L464">
        <v>3.9710241934506597E-2</v>
      </c>
      <c r="M464">
        <v>24.071103988169249</v>
      </c>
      <c r="N464">
        <v>26.478214386986174</v>
      </c>
    </row>
    <row r="465" spans="1:14">
      <c r="A465" t="s">
        <v>726</v>
      </c>
      <c r="B465" t="s">
        <v>8434</v>
      </c>
      <c r="C465" t="s">
        <v>8435</v>
      </c>
      <c r="D465" t="s">
        <v>11</v>
      </c>
      <c r="E465" t="s">
        <v>13</v>
      </c>
      <c r="F465" t="s">
        <v>729</v>
      </c>
      <c r="G465" t="s">
        <v>12</v>
      </c>
      <c r="I465" t="s">
        <v>8434</v>
      </c>
      <c r="J465" t="s">
        <v>9055</v>
      </c>
      <c r="K465">
        <v>3.0217499999999999</v>
      </c>
      <c r="L465">
        <v>8.0404849518809704E-2</v>
      </c>
      <c r="M465">
        <v>50.01796260888397</v>
      </c>
      <c r="N465">
        <v>55.019758869772375</v>
      </c>
    </row>
    <row r="466" spans="1:14">
      <c r="A466" t="s">
        <v>726</v>
      </c>
      <c r="B466" t="s">
        <v>8436</v>
      </c>
      <c r="C466" t="s">
        <v>8437</v>
      </c>
      <c r="D466" t="s">
        <v>11</v>
      </c>
      <c r="E466" t="s">
        <v>13</v>
      </c>
      <c r="F466" t="s">
        <v>729</v>
      </c>
      <c r="G466" t="s">
        <v>12</v>
      </c>
      <c r="I466" t="s">
        <v>8436</v>
      </c>
      <c r="J466" t="s">
        <v>9056</v>
      </c>
      <c r="K466">
        <v>17.735250000000001</v>
      </c>
      <c r="L466">
        <v>0.2820887802013986</v>
      </c>
      <c r="M466">
        <v>161.78351372730498</v>
      </c>
      <c r="N466">
        <v>177.96186510003548</v>
      </c>
    </row>
    <row r="467" spans="1:14">
      <c r="A467" t="s">
        <v>726</v>
      </c>
      <c r="B467" t="s">
        <v>8438</v>
      </c>
      <c r="C467" t="s">
        <v>8437</v>
      </c>
      <c r="D467" t="s">
        <v>11</v>
      </c>
      <c r="E467" t="s">
        <v>13</v>
      </c>
      <c r="F467" t="s">
        <v>729</v>
      </c>
      <c r="G467" t="s">
        <v>12</v>
      </c>
      <c r="I467" t="s">
        <v>8438</v>
      </c>
      <c r="J467" t="s">
        <v>9057</v>
      </c>
      <c r="K467">
        <v>3.0825</v>
      </c>
      <c r="L467">
        <v>0.22315865281743291</v>
      </c>
      <c r="M467">
        <v>23.238009363157438</v>
      </c>
      <c r="N467">
        <v>25.561810299473184</v>
      </c>
    </row>
    <row r="468" spans="1:14">
      <c r="A468" t="s">
        <v>726</v>
      </c>
      <c r="B468" t="s">
        <v>8439</v>
      </c>
      <c r="C468" t="s">
        <v>8437</v>
      </c>
      <c r="D468" t="s">
        <v>11</v>
      </c>
      <c r="E468" t="s">
        <v>13</v>
      </c>
      <c r="F468" t="s">
        <v>729</v>
      </c>
      <c r="G468" t="s">
        <v>12</v>
      </c>
      <c r="I468" t="s">
        <v>8439</v>
      </c>
      <c r="J468" t="s">
        <v>9058</v>
      </c>
      <c r="K468">
        <v>8.3977500000000003</v>
      </c>
      <c r="L468">
        <v>0.26117233712644478</v>
      </c>
      <c r="M468">
        <v>123.1762440531586</v>
      </c>
      <c r="N468">
        <v>135.49386845847448</v>
      </c>
    </row>
    <row r="469" spans="1:14">
      <c r="A469" t="s">
        <v>726</v>
      </c>
      <c r="B469" t="s">
        <v>8440</v>
      </c>
      <c r="C469" t="s">
        <v>8441</v>
      </c>
      <c r="D469" t="s">
        <v>11</v>
      </c>
      <c r="E469" t="s">
        <v>13</v>
      </c>
      <c r="F469" t="s">
        <v>729</v>
      </c>
      <c r="G469" t="s">
        <v>12</v>
      </c>
      <c r="I469" t="s">
        <v>8440</v>
      </c>
      <c r="J469" t="s">
        <v>9059</v>
      </c>
      <c r="K469">
        <v>62.435250000000003</v>
      </c>
      <c r="L469">
        <v>0.49544306358093793</v>
      </c>
      <c r="M469">
        <v>254.57871542297249</v>
      </c>
      <c r="N469">
        <v>280.03658696526975</v>
      </c>
    </row>
    <row r="470" spans="1:14">
      <c r="A470" t="s">
        <v>726</v>
      </c>
      <c r="B470" t="s">
        <v>8442</v>
      </c>
      <c r="C470" t="s">
        <v>8443</v>
      </c>
      <c r="D470" t="s">
        <v>11</v>
      </c>
      <c r="E470" t="s">
        <v>13</v>
      </c>
      <c r="F470" t="s">
        <v>729</v>
      </c>
      <c r="G470" t="s">
        <v>12</v>
      </c>
      <c r="I470" t="s">
        <v>8442</v>
      </c>
      <c r="J470" t="s">
        <v>9060</v>
      </c>
      <c r="K470">
        <v>57.575249999999997</v>
      </c>
      <c r="L470">
        <v>0.6257046889756892</v>
      </c>
      <c r="M470">
        <v>221.81481400108447</v>
      </c>
      <c r="N470">
        <v>243.99629540119292</v>
      </c>
    </row>
    <row r="471" spans="1:14">
      <c r="A471" t="s">
        <v>726</v>
      </c>
      <c r="B471" t="s">
        <v>8444</v>
      </c>
      <c r="C471" t="s">
        <v>8445</v>
      </c>
      <c r="D471" t="s">
        <v>11</v>
      </c>
      <c r="E471" t="s">
        <v>13</v>
      </c>
      <c r="F471" t="s">
        <v>729</v>
      </c>
      <c r="G471" t="s">
        <v>12</v>
      </c>
      <c r="I471" t="s">
        <v>8444</v>
      </c>
      <c r="J471" t="s">
        <v>9061</v>
      </c>
      <c r="K471">
        <v>39.431249999999999</v>
      </c>
      <c r="L471">
        <v>0.39378356349443772</v>
      </c>
      <c r="M471">
        <v>193.82358016396236</v>
      </c>
      <c r="N471">
        <v>213.20593818035863</v>
      </c>
    </row>
    <row r="472" spans="1:14">
      <c r="A472" t="s">
        <v>726</v>
      </c>
      <c r="B472" t="s">
        <v>8446</v>
      </c>
      <c r="C472" t="s">
        <v>8447</v>
      </c>
      <c r="D472" t="s">
        <v>11</v>
      </c>
      <c r="E472" t="s">
        <v>13</v>
      </c>
      <c r="F472" t="s">
        <v>729</v>
      </c>
      <c r="G472" t="s">
        <v>12</v>
      </c>
      <c r="I472" t="s">
        <v>8446</v>
      </c>
      <c r="J472" t="s">
        <v>9062</v>
      </c>
      <c r="K472">
        <v>33.097499999999997</v>
      </c>
      <c r="L472">
        <v>0.32549117535520689</v>
      </c>
      <c r="M472">
        <v>169.9811132153371</v>
      </c>
      <c r="N472">
        <v>186.97922453687082</v>
      </c>
    </row>
    <row r="473" spans="1:14">
      <c r="A473" t="s">
        <v>726</v>
      </c>
      <c r="B473" t="s">
        <v>8448</v>
      </c>
      <c r="C473" t="s">
        <v>8447</v>
      </c>
      <c r="D473" t="s">
        <v>11</v>
      </c>
      <c r="E473" t="s">
        <v>13</v>
      </c>
      <c r="F473" t="s">
        <v>729</v>
      </c>
      <c r="G473" t="s">
        <v>12</v>
      </c>
      <c r="I473" t="s">
        <v>8448</v>
      </c>
      <c r="J473" t="s">
        <v>9063</v>
      </c>
      <c r="K473">
        <v>6.4252500000000001</v>
      </c>
      <c r="L473">
        <v>0.31628634250130699</v>
      </c>
      <c r="M473">
        <v>121.41183349747988</v>
      </c>
      <c r="N473">
        <v>133.55301684722787</v>
      </c>
    </row>
    <row r="474" spans="1:14">
      <c r="A474" t="s">
        <v>726</v>
      </c>
      <c r="B474" t="s">
        <v>8449</v>
      </c>
      <c r="C474" t="s">
        <v>8447</v>
      </c>
      <c r="D474" t="s">
        <v>11</v>
      </c>
      <c r="E474" t="s">
        <v>13</v>
      </c>
      <c r="F474" t="s">
        <v>729</v>
      </c>
      <c r="G474" t="s">
        <v>12</v>
      </c>
      <c r="I474" t="s">
        <v>8449</v>
      </c>
      <c r="J474" t="s">
        <v>9064</v>
      </c>
      <c r="K474">
        <v>44.871749999999999</v>
      </c>
      <c r="L474">
        <v>0.36109836170944282</v>
      </c>
      <c r="M474">
        <v>216.3070159926796</v>
      </c>
      <c r="N474">
        <v>237.93771759194757</v>
      </c>
    </row>
    <row r="475" spans="1:14">
      <c r="A475" t="s">
        <v>726</v>
      </c>
      <c r="B475" t="s">
        <v>8450</v>
      </c>
      <c r="C475" t="s">
        <v>8451</v>
      </c>
      <c r="D475" t="s">
        <v>11</v>
      </c>
      <c r="E475" t="s">
        <v>13</v>
      </c>
      <c r="F475" t="s">
        <v>729</v>
      </c>
      <c r="G475" t="s">
        <v>12</v>
      </c>
      <c r="I475" t="s">
        <v>8450</v>
      </c>
      <c r="J475" t="s">
        <v>9065</v>
      </c>
      <c r="K475">
        <v>64.074749999999995</v>
      </c>
      <c r="L475">
        <v>0.46532679419582818</v>
      </c>
      <c r="M475">
        <v>119.66353029589456</v>
      </c>
      <c r="N475">
        <v>131.62988332548403</v>
      </c>
    </row>
    <row r="476" spans="1:14">
      <c r="A476" t="s">
        <v>726</v>
      </c>
      <c r="B476" t="s">
        <v>8452</v>
      </c>
      <c r="C476" t="s">
        <v>8453</v>
      </c>
      <c r="D476" t="s">
        <v>11</v>
      </c>
      <c r="E476" t="s">
        <v>13</v>
      </c>
      <c r="F476" t="s">
        <v>729</v>
      </c>
      <c r="G476" t="s">
        <v>12</v>
      </c>
      <c r="I476" t="s">
        <v>8452</v>
      </c>
      <c r="J476" t="s">
        <v>9066</v>
      </c>
      <c r="K476">
        <v>129.67425</v>
      </c>
      <c r="L476">
        <v>0.46926871792657121</v>
      </c>
      <c r="M476">
        <v>145.58464231118575</v>
      </c>
      <c r="N476">
        <v>160.14310654230434</v>
      </c>
    </row>
    <row r="477" spans="1:14">
      <c r="A477" t="s">
        <v>726</v>
      </c>
      <c r="B477" t="s">
        <v>8454</v>
      </c>
      <c r="C477" t="s">
        <v>8455</v>
      </c>
      <c r="D477" t="s">
        <v>11</v>
      </c>
      <c r="E477" t="s">
        <v>13</v>
      </c>
      <c r="F477" t="s">
        <v>729</v>
      </c>
      <c r="G477" t="s">
        <v>12</v>
      </c>
      <c r="I477" t="s">
        <v>8454</v>
      </c>
      <c r="J477" t="s">
        <v>9067</v>
      </c>
      <c r="K477">
        <v>45.516750000000002</v>
      </c>
      <c r="L477">
        <v>0.46796175987635741</v>
      </c>
      <c r="M477">
        <v>134.12047664903648</v>
      </c>
      <c r="N477">
        <v>147.53252431394014</v>
      </c>
    </row>
    <row r="478" spans="1:14">
      <c r="A478" t="s">
        <v>726</v>
      </c>
      <c r="B478" t="s">
        <v>8456</v>
      </c>
      <c r="C478" t="s">
        <v>8457</v>
      </c>
      <c r="D478" t="s">
        <v>11</v>
      </c>
      <c r="E478" t="s">
        <v>13</v>
      </c>
      <c r="F478" t="s">
        <v>729</v>
      </c>
      <c r="G478" t="s">
        <v>12</v>
      </c>
      <c r="I478" t="s">
        <v>8456</v>
      </c>
      <c r="J478" t="s">
        <v>9068</v>
      </c>
      <c r="K478">
        <v>102.5835</v>
      </c>
      <c r="L478">
        <v>0.46579259726205779</v>
      </c>
      <c r="M478">
        <v>156.18768370560784</v>
      </c>
      <c r="N478">
        <v>171.80645207616863</v>
      </c>
    </row>
    <row r="479" spans="1:14">
      <c r="A479" t="s">
        <v>726</v>
      </c>
      <c r="B479" t="s">
        <v>8458</v>
      </c>
      <c r="C479" t="s">
        <v>8459</v>
      </c>
      <c r="D479" t="s">
        <v>11</v>
      </c>
      <c r="E479" t="s">
        <v>13</v>
      </c>
      <c r="F479" t="s">
        <v>729</v>
      </c>
      <c r="G479" t="s">
        <v>12</v>
      </c>
      <c r="I479" t="s">
        <v>8458</v>
      </c>
      <c r="J479" t="s">
        <v>9069</v>
      </c>
      <c r="K479">
        <v>41.822249999999997</v>
      </c>
      <c r="L479">
        <v>0.50453000997762776</v>
      </c>
      <c r="M479">
        <v>102.3397282622486</v>
      </c>
      <c r="N479">
        <v>112.57370108847347</v>
      </c>
    </row>
    <row r="480" spans="1:14">
      <c r="A480" t="s">
        <v>726</v>
      </c>
      <c r="B480" t="s">
        <v>8460</v>
      </c>
      <c r="C480" t="s">
        <v>8461</v>
      </c>
      <c r="D480" t="s">
        <v>11</v>
      </c>
      <c r="E480" t="s">
        <v>13</v>
      </c>
      <c r="F480" t="s">
        <v>729</v>
      </c>
      <c r="G480" t="s">
        <v>12</v>
      </c>
      <c r="I480" t="s">
        <v>8460</v>
      </c>
      <c r="J480" t="s">
        <v>9070</v>
      </c>
      <c r="K480">
        <v>177.73724999999999</v>
      </c>
      <c r="L480">
        <v>0.48382918795419688</v>
      </c>
      <c r="M480">
        <v>239.92783280809323</v>
      </c>
      <c r="N480">
        <v>263.92061608890259</v>
      </c>
    </row>
    <row r="481" spans="1:14">
      <c r="A481" t="s">
        <v>726</v>
      </c>
      <c r="B481" t="s">
        <v>8462</v>
      </c>
      <c r="C481" t="s">
        <v>8463</v>
      </c>
      <c r="D481" t="s">
        <v>11</v>
      </c>
      <c r="E481" t="s">
        <v>13</v>
      </c>
      <c r="F481" t="s">
        <v>729</v>
      </c>
      <c r="G481" t="s">
        <v>12</v>
      </c>
      <c r="I481" t="s">
        <v>8462</v>
      </c>
      <c r="J481" t="s">
        <v>9071</v>
      </c>
      <c r="K481">
        <v>6.9337499999999999</v>
      </c>
      <c r="L481">
        <v>0.212661356686281</v>
      </c>
      <c r="M481">
        <v>64.187530263683058</v>
      </c>
      <c r="N481">
        <v>70.606283290051365</v>
      </c>
    </row>
    <row r="482" spans="1:14">
      <c r="A482" t="s">
        <v>726</v>
      </c>
      <c r="B482" t="s">
        <v>8464</v>
      </c>
      <c r="C482" t="s">
        <v>8465</v>
      </c>
      <c r="D482" t="s">
        <v>11</v>
      </c>
      <c r="E482" t="s">
        <v>13</v>
      </c>
      <c r="F482" t="s">
        <v>729</v>
      </c>
      <c r="G482" t="s">
        <v>12</v>
      </c>
      <c r="I482" t="s">
        <v>8464</v>
      </c>
      <c r="J482" t="s">
        <v>9072</v>
      </c>
      <c r="K482">
        <v>4.2089999999999996</v>
      </c>
      <c r="L482">
        <v>0.10469115719555951</v>
      </c>
      <c r="M482">
        <v>35.608953899716738</v>
      </c>
      <c r="N482">
        <v>39.169849289688415</v>
      </c>
    </row>
    <row r="483" spans="1:14">
      <c r="A483" t="s">
        <v>726</v>
      </c>
      <c r="B483" t="s">
        <v>8466</v>
      </c>
      <c r="C483" t="s">
        <v>8467</v>
      </c>
      <c r="D483" t="s">
        <v>11</v>
      </c>
      <c r="E483" t="s">
        <v>13</v>
      </c>
      <c r="F483" t="s">
        <v>729</v>
      </c>
      <c r="G483" t="s">
        <v>12</v>
      </c>
      <c r="I483" t="s">
        <v>8466</v>
      </c>
      <c r="J483" t="s">
        <v>9073</v>
      </c>
      <c r="K483">
        <v>0</v>
      </c>
      <c r="L483">
        <v>0.17637722396134239</v>
      </c>
      <c r="M483">
        <v>0</v>
      </c>
      <c r="N483">
        <v>0</v>
      </c>
    </row>
    <row r="484" spans="1:14">
      <c r="A484" t="s">
        <v>726</v>
      </c>
      <c r="B484" t="s">
        <v>8468</v>
      </c>
      <c r="C484" t="s">
        <v>8467</v>
      </c>
      <c r="D484" t="s">
        <v>11</v>
      </c>
      <c r="E484" t="s">
        <v>13</v>
      </c>
      <c r="F484" t="s">
        <v>729</v>
      </c>
      <c r="G484" t="s">
        <v>12</v>
      </c>
      <c r="I484" t="s">
        <v>8468</v>
      </c>
      <c r="J484" t="s">
        <v>9074</v>
      </c>
      <c r="K484">
        <v>0</v>
      </c>
      <c r="L484">
        <v>0.1530342878666815</v>
      </c>
      <c r="M484">
        <v>0</v>
      </c>
      <c r="N484">
        <v>0</v>
      </c>
    </row>
    <row r="485" spans="1:14">
      <c r="A485" t="s">
        <v>726</v>
      </c>
      <c r="B485" t="s">
        <v>8469</v>
      </c>
      <c r="C485" t="s">
        <v>8467</v>
      </c>
      <c r="D485" t="s">
        <v>11</v>
      </c>
      <c r="E485" t="s">
        <v>13</v>
      </c>
      <c r="F485" t="s">
        <v>729</v>
      </c>
      <c r="G485" t="s">
        <v>12</v>
      </c>
      <c r="I485" t="s">
        <v>8469</v>
      </c>
      <c r="J485" t="s">
        <v>9075</v>
      </c>
      <c r="K485">
        <v>0</v>
      </c>
      <c r="L485">
        <v>0.18524793950760171</v>
      </c>
      <c r="M485">
        <v>0</v>
      </c>
      <c r="N485">
        <v>0</v>
      </c>
    </row>
    <row r="486" spans="1:14">
      <c r="A486" t="s">
        <v>726</v>
      </c>
      <c r="B486" t="s">
        <v>8470</v>
      </c>
      <c r="C486" t="s">
        <v>8471</v>
      </c>
      <c r="D486" t="s">
        <v>11</v>
      </c>
      <c r="E486" t="s">
        <v>13</v>
      </c>
      <c r="F486" t="s">
        <v>729</v>
      </c>
      <c r="G486" t="s">
        <v>12</v>
      </c>
      <c r="I486" t="s">
        <v>8470</v>
      </c>
      <c r="J486" t="s">
        <v>9076</v>
      </c>
      <c r="K486">
        <v>0</v>
      </c>
      <c r="L486">
        <v>9.2945161609204505E-2</v>
      </c>
      <c r="M486">
        <v>0</v>
      </c>
      <c r="N486">
        <v>0</v>
      </c>
    </row>
    <row r="487" spans="1:14">
      <c r="A487" t="s">
        <v>726</v>
      </c>
      <c r="B487" t="s">
        <v>8472</v>
      </c>
      <c r="C487" t="s">
        <v>8473</v>
      </c>
      <c r="D487" t="s">
        <v>11</v>
      </c>
      <c r="E487" t="s">
        <v>13</v>
      </c>
      <c r="F487" t="s">
        <v>729</v>
      </c>
      <c r="G487" t="s">
        <v>12</v>
      </c>
      <c r="I487" t="s">
        <v>8472</v>
      </c>
      <c r="J487" t="s">
        <v>9077</v>
      </c>
      <c r="K487">
        <v>50.672249999999998</v>
      </c>
      <c r="L487">
        <v>0.21844335745544979</v>
      </c>
      <c r="M487">
        <v>199.19420637001568</v>
      </c>
      <c r="N487">
        <v>219.11362700701727</v>
      </c>
    </row>
    <row r="488" spans="1:14">
      <c r="A488" t="s">
        <v>726</v>
      </c>
      <c r="B488" t="s">
        <v>8474</v>
      </c>
      <c r="C488" t="s">
        <v>8475</v>
      </c>
      <c r="D488" t="s">
        <v>11</v>
      </c>
      <c r="E488" t="s">
        <v>13</v>
      </c>
      <c r="F488" t="s">
        <v>729</v>
      </c>
      <c r="G488" t="s">
        <v>12</v>
      </c>
      <c r="I488" t="s">
        <v>8474</v>
      </c>
      <c r="J488" t="s">
        <v>9078</v>
      </c>
      <c r="K488">
        <v>21.069749999999999</v>
      </c>
      <c r="L488">
        <v>0.23273824530146209</v>
      </c>
      <c r="M488">
        <v>380.70528750985608</v>
      </c>
      <c r="N488">
        <v>418.77581626084174</v>
      </c>
    </row>
    <row r="489" spans="1:14">
      <c r="A489" t="s">
        <v>726</v>
      </c>
      <c r="B489" t="s">
        <v>8476</v>
      </c>
      <c r="C489" t="s">
        <v>8475</v>
      </c>
      <c r="D489" t="s">
        <v>11</v>
      </c>
      <c r="E489" t="s">
        <v>13</v>
      </c>
      <c r="F489" t="s">
        <v>729</v>
      </c>
      <c r="G489" t="s">
        <v>12</v>
      </c>
      <c r="I489" t="s">
        <v>8476</v>
      </c>
      <c r="J489" t="s">
        <v>9079</v>
      </c>
      <c r="K489">
        <v>32.015999999999998</v>
      </c>
      <c r="L489">
        <v>0.22556573990903331</v>
      </c>
      <c r="M489">
        <v>267.97536713633707</v>
      </c>
      <c r="N489">
        <v>294.77290384997082</v>
      </c>
    </row>
    <row r="490" spans="1:14">
      <c r="A490" t="s">
        <v>726</v>
      </c>
      <c r="B490" t="s">
        <v>8477</v>
      </c>
      <c r="C490" t="s">
        <v>8475</v>
      </c>
      <c r="D490" t="s">
        <v>11</v>
      </c>
      <c r="E490" t="s">
        <v>13</v>
      </c>
      <c r="F490" t="s">
        <v>729</v>
      </c>
      <c r="G490" t="s">
        <v>12</v>
      </c>
      <c r="I490" t="s">
        <v>8477</v>
      </c>
      <c r="J490" t="s">
        <v>9080</v>
      </c>
      <c r="K490">
        <v>25.232250000000001</v>
      </c>
      <c r="L490">
        <v>0.22836073647074229</v>
      </c>
      <c r="M490">
        <v>332.73113296155555</v>
      </c>
      <c r="N490">
        <v>366.00424625771115</v>
      </c>
    </row>
    <row r="491" spans="1:14">
      <c r="A491" t="s">
        <v>726</v>
      </c>
      <c r="B491" t="s">
        <v>8478</v>
      </c>
      <c r="C491" t="s">
        <v>8479</v>
      </c>
      <c r="D491" t="s">
        <v>11</v>
      </c>
      <c r="E491" t="s">
        <v>13</v>
      </c>
      <c r="F491" t="s">
        <v>729</v>
      </c>
      <c r="G491" t="s">
        <v>12</v>
      </c>
      <c r="I491" t="s">
        <v>8478</v>
      </c>
      <c r="J491" t="s">
        <v>9081</v>
      </c>
      <c r="K491">
        <v>37.408499999999997</v>
      </c>
      <c r="L491">
        <v>0.42241772739911509</v>
      </c>
      <c r="M491">
        <v>162.96678438285812</v>
      </c>
      <c r="N491">
        <v>179.26346282114395</v>
      </c>
    </row>
    <row r="492" spans="1:14">
      <c r="A492" t="s">
        <v>726</v>
      </c>
      <c r="B492" t="s">
        <v>8480</v>
      </c>
      <c r="C492" t="s">
        <v>8479</v>
      </c>
      <c r="D492" t="s">
        <v>11</v>
      </c>
      <c r="E492" t="s">
        <v>13</v>
      </c>
      <c r="F492" t="s">
        <v>729</v>
      </c>
      <c r="G492" t="s">
        <v>12</v>
      </c>
      <c r="I492" t="s">
        <v>8480</v>
      </c>
      <c r="J492" t="s">
        <v>9082</v>
      </c>
      <c r="K492">
        <v>8.2110000000000003</v>
      </c>
      <c r="L492">
        <v>0.20240088344189069</v>
      </c>
      <c r="M492">
        <v>176.17988478915763</v>
      </c>
      <c r="N492">
        <v>193.7978732680734</v>
      </c>
    </row>
    <row r="493" spans="1:14">
      <c r="A493" t="s">
        <v>726</v>
      </c>
      <c r="B493" t="s">
        <v>8481</v>
      </c>
      <c r="C493" t="s">
        <v>8479</v>
      </c>
      <c r="D493" t="s">
        <v>11</v>
      </c>
      <c r="E493" t="s">
        <v>13</v>
      </c>
      <c r="F493" t="s">
        <v>729</v>
      </c>
      <c r="G493" t="s">
        <v>12</v>
      </c>
      <c r="I493" t="s">
        <v>8481</v>
      </c>
      <c r="J493" t="s">
        <v>9083</v>
      </c>
      <c r="K493">
        <v>60.325499999999998</v>
      </c>
      <c r="L493">
        <v>0.3097786565282874</v>
      </c>
      <c r="M493">
        <v>110.5663025309558</v>
      </c>
      <c r="N493">
        <v>121.62293278405139</v>
      </c>
    </row>
    <row r="494" spans="1:14">
      <c r="A494" t="s">
        <v>726</v>
      </c>
      <c r="B494" t="s">
        <v>8482</v>
      </c>
      <c r="C494" t="s">
        <v>8483</v>
      </c>
      <c r="D494" t="s">
        <v>11</v>
      </c>
      <c r="E494" t="s">
        <v>13</v>
      </c>
      <c r="F494" t="s">
        <v>729</v>
      </c>
      <c r="G494" t="s">
        <v>12</v>
      </c>
      <c r="I494" t="s">
        <v>8482</v>
      </c>
      <c r="J494" t="s">
        <v>9084</v>
      </c>
      <c r="K494">
        <v>25.946249999999999</v>
      </c>
      <c r="L494">
        <v>0.33842491074878478</v>
      </c>
      <c r="M494">
        <v>71.690765873215284</v>
      </c>
      <c r="N494">
        <v>78.859842460536825</v>
      </c>
    </row>
    <row r="495" spans="1:14">
      <c r="A495" t="s">
        <v>726</v>
      </c>
      <c r="B495" t="s">
        <v>8484</v>
      </c>
      <c r="C495" t="s">
        <v>8485</v>
      </c>
      <c r="D495" t="s">
        <v>11</v>
      </c>
      <c r="E495" t="s">
        <v>13</v>
      </c>
      <c r="F495" t="s">
        <v>729</v>
      </c>
      <c r="G495" t="s">
        <v>12</v>
      </c>
      <c r="I495" t="s">
        <v>8484</v>
      </c>
      <c r="J495" t="s">
        <v>9085</v>
      </c>
      <c r="K495">
        <v>14.94225</v>
      </c>
      <c r="L495">
        <v>0.37635382007876889</v>
      </c>
      <c r="M495">
        <v>105.85275512418568</v>
      </c>
      <c r="N495">
        <v>116.43803063660425</v>
      </c>
    </row>
    <row r="496" spans="1:14">
      <c r="A496" t="s">
        <v>726</v>
      </c>
      <c r="B496" t="s">
        <v>8486</v>
      </c>
      <c r="C496" t="s">
        <v>8483</v>
      </c>
      <c r="D496" t="s">
        <v>11</v>
      </c>
      <c r="E496" t="s">
        <v>13</v>
      </c>
      <c r="F496" t="s">
        <v>729</v>
      </c>
      <c r="G496" t="s">
        <v>12</v>
      </c>
      <c r="I496" t="s">
        <v>8486</v>
      </c>
      <c r="J496" t="s">
        <v>9086</v>
      </c>
      <c r="K496">
        <v>14.171250000000001</v>
      </c>
      <c r="L496">
        <v>0.3535608135639362</v>
      </c>
      <c r="M496">
        <v>139.90651017017012</v>
      </c>
      <c r="N496">
        <v>153.89716118718715</v>
      </c>
    </row>
    <row r="497" spans="1:14">
      <c r="A497" t="s">
        <v>726</v>
      </c>
      <c r="B497" t="s">
        <v>8487</v>
      </c>
      <c r="C497" t="s">
        <v>8488</v>
      </c>
      <c r="D497" t="s">
        <v>11</v>
      </c>
      <c r="E497" t="s">
        <v>13</v>
      </c>
      <c r="F497" t="s">
        <v>729</v>
      </c>
      <c r="G497" t="s">
        <v>12</v>
      </c>
      <c r="I497" t="s">
        <v>8487</v>
      </c>
      <c r="J497" t="s">
        <v>9087</v>
      </c>
      <c r="K497">
        <v>17.279250000000001</v>
      </c>
      <c r="L497">
        <v>0.3563999641300179</v>
      </c>
      <c r="M497">
        <v>86.536712448342811</v>
      </c>
      <c r="N497">
        <v>95.190383693177097</v>
      </c>
    </row>
    <row r="498" spans="1:14">
      <c r="A498" t="s">
        <v>726</v>
      </c>
      <c r="B498" t="s">
        <v>8489</v>
      </c>
      <c r="C498" t="s">
        <v>8490</v>
      </c>
      <c r="D498" t="s">
        <v>11</v>
      </c>
      <c r="E498" t="s">
        <v>13</v>
      </c>
      <c r="F498" t="s">
        <v>729</v>
      </c>
      <c r="G498" t="s">
        <v>12</v>
      </c>
      <c r="I498" t="s">
        <v>8489</v>
      </c>
      <c r="J498" t="s">
        <v>9088</v>
      </c>
      <c r="K498">
        <v>69.786749999999998</v>
      </c>
      <c r="L498">
        <v>0.40478589767210649</v>
      </c>
      <c r="M498">
        <v>77.543958379437427</v>
      </c>
      <c r="N498">
        <v>85.298354217381174</v>
      </c>
    </row>
    <row r="499" spans="1:14">
      <c r="A499" t="s">
        <v>726</v>
      </c>
      <c r="B499" t="s">
        <v>8491</v>
      </c>
      <c r="C499" t="s">
        <v>8492</v>
      </c>
      <c r="D499" t="s">
        <v>11</v>
      </c>
      <c r="E499" t="s">
        <v>13</v>
      </c>
      <c r="F499" t="s">
        <v>729</v>
      </c>
      <c r="G499" t="s">
        <v>12</v>
      </c>
      <c r="I499" t="s">
        <v>8491</v>
      </c>
      <c r="J499" t="s">
        <v>9089</v>
      </c>
      <c r="K499">
        <v>30.124500000000001</v>
      </c>
      <c r="L499">
        <v>0.37769478128602252</v>
      </c>
      <c r="M499">
        <v>104.8653643537006</v>
      </c>
      <c r="N499">
        <v>115.35190078907067</v>
      </c>
    </row>
    <row r="500" spans="1:14">
      <c r="A500" t="s">
        <v>726</v>
      </c>
      <c r="B500" t="s">
        <v>8493</v>
      </c>
      <c r="C500" t="s">
        <v>8494</v>
      </c>
      <c r="D500" t="s">
        <v>11</v>
      </c>
      <c r="E500" t="s">
        <v>13</v>
      </c>
      <c r="F500" t="s">
        <v>729</v>
      </c>
      <c r="G500" t="s">
        <v>12</v>
      </c>
      <c r="I500" t="s">
        <v>8493</v>
      </c>
      <c r="J500" t="s">
        <v>9090</v>
      </c>
      <c r="K500">
        <v>14.6145</v>
      </c>
      <c r="L500">
        <v>0.3093469518506039</v>
      </c>
      <c r="M500">
        <v>26.625944909587982</v>
      </c>
      <c r="N500">
        <v>29.288539400546782</v>
      </c>
    </row>
    <row r="501" spans="1:14">
      <c r="A501" t="s">
        <v>726</v>
      </c>
      <c r="B501" t="s">
        <v>8495</v>
      </c>
      <c r="C501" t="s">
        <v>8496</v>
      </c>
      <c r="D501" t="s">
        <v>11</v>
      </c>
      <c r="E501" t="s">
        <v>13</v>
      </c>
      <c r="F501" t="s">
        <v>729</v>
      </c>
      <c r="G501" t="s">
        <v>12</v>
      </c>
      <c r="I501" t="s">
        <v>8495</v>
      </c>
      <c r="J501" t="s">
        <v>9091</v>
      </c>
      <c r="K501">
        <v>116.14575000000001</v>
      </c>
      <c r="L501">
        <v>0.38387419483155738</v>
      </c>
      <c r="M501">
        <v>151.88271615104935</v>
      </c>
      <c r="N501">
        <v>167.0709877661543</v>
      </c>
    </row>
    <row r="502" spans="1:14">
      <c r="A502" t="s">
        <v>726</v>
      </c>
      <c r="B502" t="s">
        <v>8497</v>
      </c>
      <c r="C502" t="s">
        <v>8498</v>
      </c>
      <c r="D502" t="s">
        <v>11</v>
      </c>
      <c r="E502" t="s">
        <v>13</v>
      </c>
      <c r="F502" t="s">
        <v>729</v>
      </c>
      <c r="G502" t="s">
        <v>12</v>
      </c>
      <c r="I502" t="s">
        <v>8497</v>
      </c>
      <c r="J502" t="s">
        <v>9092</v>
      </c>
      <c r="K502">
        <v>54.348750000000003</v>
      </c>
      <c r="L502">
        <v>0.29294161817246539</v>
      </c>
      <c r="M502">
        <v>84.141374928332041</v>
      </c>
      <c r="N502">
        <v>92.555512421165247</v>
      </c>
    </row>
    <row r="503" spans="1:14">
      <c r="A503" t="s">
        <v>726</v>
      </c>
      <c r="B503" t="s">
        <v>8499</v>
      </c>
      <c r="C503" t="s">
        <v>8500</v>
      </c>
      <c r="D503" t="s">
        <v>11</v>
      </c>
      <c r="E503" t="s">
        <v>13</v>
      </c>
      <c r="F503" t="s">
        <v>729</v>
      </c>
      <c r="G503" t="s">
        <v>12</v>
      </c>
      <c r="I503" t="s">
        <v>8499</v>
      </c>
      <c r="J503" t="s">
        <v>9093</v>
      </c>
      <c r="K503">
        <v>17.988</v>
      </c>
      <c r="L503">
        <v>0.36854930542551922</v>
      </c>
      <c r="M503">
        <v>66.006518778501672</v>
      </c>
      <c r="N503">
        <v>72.60717065635184</v>
      </c>
    </row>
    <row r="504" spans="1:14">
      <c r="A504" t="s">
        <v>726</v>
      </c>
      <c r="B504" t="s">
        <v>8501</v>
      </c>
      <c r="C504" t="s">
        <v>8502</v>
      </c>
      <c r="D504" t="s">
        <v>11</v>
      </c>
      <c r="E504" t="s">
        <v>13</v>
      </c>
      <c r="F504" t="s">
        <v>729</v>
      </c>
      <c r="G504" t="s">
        <v>12</v>
      </c>
      <c r="I504" t="s">
        <v>8501</v>
      </c>
      <c r="J504" t="s">
        <v>9094</v>
      </c>
      <c r="K504">
        <v>44.259749999999997</v>
      </c>
      <c r="L504">
        <v>0.40841775219549359</v>
      </c>
      <c r="M504">
        <v>92.436110985272606</v>
      </c>
      <c r="N504">
        <v>101.67972208379987</v>
      </c>
    </row>
    <row r="505" spans="1:14">
      <c r="A505" t="s">
        <v>726</v>
      </c>
      <c r="B505" t="s">
        <v>8503</v>
      </c>
      <c r="C505" t="s">
        <v>8504</v>
      </c>
      <c r="D505" t="s">
        <v>11</v>
      </c>
      <c r="E505" t="s">
        <v>13</v>
      </c>
      <c r="F505" t="s">
        <v>729</v>
      </c>
      <c r="G505" t="s">
        <v>12</v>
      </c>
      <c r="I505" t="s">
        <v>8503</v>
      </c>
      <c r="J505" t="s">
        <v>9095</v>
      </c>
      <c r="K505">
        <v>19.766249999999999</v>
      </c>
      <c r="L505">
        <v>0.23263300069908249</v>
      </c>
      <c r="M505">
        <v>112.1420049415408</v>
      </c>
      <c r="N505">
        <v>123.35620543569489</v>
      </c>
    </row>
    <row r="506" spans="1:14">
      <c r="A506" t="s">
        <v>726</v>
      </c>
      <c r="B506" t="s">
        <v>8505</v>
      </c>
      <c r="C506" t="s">
        <v>8506</v>
      </c>
      <c r="D506" t="s">
        <v>11</v>
      </c>
      <c r="E506" t="s">
        <v>13</v>
      </c>
      <c r="F506" t="s">
        <v>729</v>
      </c>
      <c r="G506" t="s">
        <v>12</v>
      </c>
      <c r="I506" t="s">
        <v>8505</v>
      </c>
      <c r="J506" t="s">
        <v>9096</v>
      </c>
      <c r="K506">
        <v>24.734999999999999</v>
      </c>
      <c r="L506">
        <v>0.22216479497550301</v>
      </c>
      <c r="M506">
        <v>155.85186451277534</v>
      </c>
      <c r="N506">
        <v>171.43705096405287</v>
      </c>
    </row>
    <row r="507" spans="1:14">
      <c r="A507" t="s">
        <v>726</v>
      </c>
      <c r="B507" t="s">
        <v>8507</v>
      </c>
      <c r="C507" t="s">
        <v>8508</v>
      </c>
      <c r="D507" t="s">
        <v>11</v>
      </c>
      <c r="E507" t="s">
        <v>13</v>
      </c>
      <c r="F507" t="s">
        <v>729</v>
      </c>
      <c r="G507" t="s">
        <v>12</v>
      </c>
      <c r="I507" t="s">
        <v>8507</v>
      </c>
      <c r="J507" t="s">
        <v>9097</v>
      </c>
      <c r="K507">
        <v>147.49950000000001</v>
      </c>
      <c r="L507">
        <v>0.53084635177635564</v>
      </c>
      <c r="M507">
        <v>476.18410495429191</v>
      </c>
      <c r="N507">
        <v>523.80251544972111</v>
      </c>
    </row>
    <row r="508" spans="1:14">
      <c r="A508" t="s">
        <v>726</v>
      </c>
      <c r="B508" t="s">
        <v>8509</v>
      </c>
      <c r="C508" t="s">
        <v>8510</v>
      </c>
      <c r="D508" t="s">
        <v>11</v>
      </c>
      <c r="E508" t="s">
        <v>13</v>
      </c>
      <c r="F508" t="s">
        <v>729</v>
      </c>
      <c r="G508" t="s">
        <v>12</v>
      </c>
      <c r="I508" t="s">
        <v>8509</v>
      </c>
      <c r="J508" t="s">
        <v>9098</v>
      </c>
      <c r="K508">
        <v>18.211500000000001</v>
      </c>
      <c r="L508">
        <v>0.51559205104836459</v>
      </c>
      <c r="M508">
        <v>124.3065743278561</v>
      </c>
      <c r="N508">
        <v>136.73723176064172</v>
      </c>
    </row>
    <row r="509" spans="1:14">
      <c r="A509" t="s">
        <v>726</v>
      </c>
      <c r="B509" t="s">
        <v>8511</v>
      </c>
      <c r="C509" t="s">
        <v>8512</v>
      </c>
      <c r="D509" t="s">
        <v>11</v>
      </c>
      <c r="E509" t="s">
        <v>13</v>
      </c>
      <c r="F509" t="s">
        <v>729</v>
      </c>
      <c r="G509" t="s">
        <v>12</v>
      </c>
      <c r="I509" t="s">
        <v>8511</v>
      </c>
      <c r="J509" t="s">
        <v>9099</v>
      </c>
      <c r="K509">
        <v>3.4335</v>
      </c>
      <c r="L509">
        <v>0.28980829517131562</v>
      </c>
      <c r="M509">
        <v>38.256747937141832</v>
      </c>
      <c r="N509">
        <v>42.082422730856017</v>
      </c>
    </row>
    <row r="510" spans="1:14">
      <c r="A510" t="s">
        <v>726</v>
      </c>
      <c r="B510" t="s">
        <v>8513</v>
      </c>
      <c r="C510" t="s">
        <v>8514</v>
      </c>
      <c r="D510" t="s">
        <v>11</v>
      </c>
      <c r="E510" t="s">
        <v>13</v>
      </c>
      <c r="F510" t="s">
        <v>729</v>
      </c>
      <c r="G510" t="s">
        <v>12</v>
      </c>
      <c r="I510" t="s">
        <v>8513</v>
      </c>
      <c r="J510" t="s">
        <v>9100</v>
      </c>
      <c r="K510">
        <v>63.491999999999997</v>
      </c>
      <c r="L510">
        <v>0.57295825644409926</v>
      </c>
      <c r="M510">
        <v>111.63559169450362</v>
      </c>
      <c r="N510">
        <v>122.79915086395398</v>
      </c>
    </row>
    <row r="511" spans="1:14">
      <c r="A511" t="s">
        <v>726</v>
      </c>
      <c r="B511" t="s">
        <v>8515</v>
      </c>
      <c r="C511" t="s">
        <v>8516</v>
      </c>
      <c r="D511" t="s">
        <v>11</v>
      </c>
      <c r="E511" t="s">
        <v>13</v>
      </c>
      <c r="F511" t="s">
        <v>729</v>
      </c>
      <c r="G511" t="s">
        <v>12</v>
      </c>
      <c r="I511" t="s">
        <v>8515</v>
      </c>
      <c r="J511" t="s">
        <v>9101</v>
      </c>
      <c r="K511">
        <v>100.56825000000001</v>
      </c>
      <c r="L511">
        <v>0.48924600054586448</v>
      </c>
      <c r="M511">
        <v>107.38348296410882</v>
      </c>
      <c r="N511">
        <v>118.12183126051971</v>
      </c>
    </row>
    <row r="512" spans="1:14">
      <c r="A512" t="s">
        <v>726</v>
      </c>
      <c r="B512" t="s">
        <v>8517</v>
      </c>
      <c r="C512" t="s">
        <v>8518</v>
      </c>
      <c r="D512" t="s">
        <v>11</v>
      </c>
      <c r="E512" t="s">
        <v>13</v>
      </c>
      <c r="F512" t="s">
        <v>729</v>
      </c>
      <c r="G512" t="s">
        <v>12</v>
      </c>
      <c r="I512" t="s">
        <v>8517</v>
      </c>
      <c r="J512" t="s">
        <v>9102</v>
      </c>
      <c r="K512">
        <v>36.701250000000002</v>
      </c>
      <c r="L512">
        <v>0.4011220139218668</v>
      </c>
      <c r="M512">
        <v>100.60713931794668</v>
      </c>
      <c r="N512">
        <v>110.66785324974136</v>
      </c>
    </row>
    <row r="513" spans="1:14">
      <c r="A513" t="s">
        <v>726</v>
      </c>
      <c r="B513" t="s">
        <v>8519</v>
      </c>
      <c r="C513" t="s">
        <v>8520</v>
      </c>
      <c r="D513" t="s">
        <v>11</v>
      </c>
      <c r="E513" t="s">
        <v>13</v>
      </c>
      <c r="F513" t="s">
        <v>729</v>
      </c>
      <c r="G513" t="s">
        <v>12</v>
      </c>
      <c r="I513" t="s">
        <v>8519</v>
      </c>
      <c r="J513" t="s">
        <v>9103</v>
      </c>
      <c r="K513">
        <v>7.1992500000000001</v>
      </c>
      <c r="L513">
        <v>0.2401629396583122</v>
      </c>
      <c r="M513">
        <v>374.71987951603847</v>
      </c>
      <c r="N513">
        <v>412.19186746764234</v>
      </c>
    </row>
    <row r="514" spans="1:14">
      <c r="A514" t="s">
        <v>726</v>
      </c>
      <c r="B514" t="s">
        <v>8521</v>
      </c>
      <c r="C514" t="s">
        <v>8522</v>
      </c>
      <c r="D514" t="s">
        <v>11</v>
      </c>
      <c r="E514" t="s">
        <v>13</v>
      </c>
      <c r="F514" t="s">
        <v>729</v>
      </c>
      <c r="G514" t="s">
        <v>12</v>
      </c>
      <c r="I514" t="s">
        <v>8521</v>
      </c>
      <c r="J514" t="s">
        <v>9104</v>
      </c>
      <c r="K514">
        <v>16.844249999999999</v>
      </c>
      <c r="L514">
        <v>0.25782469426216847</v>
      </c>
      <c r="M514">
        <v>97.915252011469875</v>
      </c>
      <c r="N514">
        <v>107.70677721261687</v>
      </c>
    </row>
    <row r="515" spans="1:14">
      <c r="A515" t="s">
        <v>726</v>
      </c>
      <c r="B515" t="s">
        <v>8523</v>
      </c>
      <c r="C515" t="s">
        <v>8520</v>
      </c>
      <c r="D515" t="s">
        <v>11</v>
      </c>
      <c r="E515" t="s">
        <v>13</v>
      </c>
      <c r="F515" t="s">
        <v>729</v>
      </c>
      <c r="G515" t="s">
        <v>12</v>
      </c>
      <c r="I515" t="s">
        <v>8523</v>
      </c>
      <c r="J515" t="s">
        <v>9105</v>
      </c>
      <c r="K515">
        <v>23.755500000000001</v>
      </c>
      <c r="L515">
        <v>0.25794277198933069</v>
      </c>
      <c r="M515">
        <v>103.33064687196692</v>
      </c>
      <c r="N515">
        <v>113.66371155916362</v>
      </c>
    </row>
    <row r="516" spans="1:14">
      <c r="A516" t="s">
        <v>726</v>
      </c>
      <c r="B516" t="s">
        <v>8524</v>
      </c>
      <c r="C516" t="s">
        <v>8525</v>
      </c>
      <c r="D516" t="s">
        <v>11</v>
      </c>
      <c r="E516" t="s">
        <v>13</v>
      </c>
      <c r="F516" t="s">
        <v>729</v>
      </c>
      <c r="G516" t="s">
        <v>12</v>
      </c>
      <c r="I516" t="s">
        <v>8524</v>
      </c>
      <c r="J516" t="s">
        <v>9106</v>
      </c>
      <c r="K516">
        <v>69.618750000000006</v>
      </c>
      <c r="L516">
        <v>0.35535403793657089</v>
      </c>
      <c r="M516">
        <v>152.92238487508743</v>
      </c>
      <c r="N516">
        <v>168.2146233625962</v>
      </c>
    </row>
    <row r="517" spans="1:14">
      <c r="A517" t="s">
        <v>726</v>
      </c>
      <c r="B517" t="s">
        <v>8526</v>
      </c>
      <c r="C517" t="s">
        <v>8527</v>
      </c>
      <c r="D517" t="s">
        <v>11</v>
      </c>
      <c r="E517" t="s">
        <v>13</v>
      </c>
      <c r="F517" t="s">
        <v>729</v>
      </c>
      <c r="G517" t="s">
        <v>12</v>
      </c>
      <c r="I517" t="s">
        <v>8526</v>
      </c>
      <c r="J517" t="s">
        <v>9107</v>
      </c>
      <c r="K517">
        <v>1.3245</v>
      </c>
      <c r="L517">
        <v>0.30850392554356942</v>
      </c>
      <c r="M517">
        <v>71.518136856724766</v>
      </c>
      <c r="N517">
        <v>78.669950542397245</v>
      </c>
    </row>
    <row r="518" spans="1:14">
      <c r="A518" t="s">
        <v>726</v>
      </c>
      <c r="B518" t="s">
        <v>8528</v>
      </c>
      <c r="C518" t="s">
        <v>8529</v>
      </c>
      <c r="D518" t="s">
        <v>11</v>
      </c>
      <c r="E518" t="s">
        <v>13</v>
      </c>
      <c r="F518" t="s">
        <v>729</v>
      </c>
      <c r="G518" t="s">
        <v>12</v>
      </c>
      <c r="I518" t="s">
        <v>8528</v>
      </c>
      <c r="J518" t="s">
        <v>9108</v>
      </c>
      <c r="K518">
        <v>17.204999999999998</v>
      </c>
      <c r="L518">
        <v>0.29483635360024502</v>
      </c>
      <c r="M518">
        <v>67.561278150354028</v>
      </c>
      <c r="N518">
        <v>74.31740596538944</v>
      </c>
    </row>
    <row r="519" spans="1:14">
      <c r="A519" t="s">
        <v>726</v>
      </c>
      <c r="B519" t="s">
        <v>8530</v>
      </c>
      <c r="C519" t="s">
        <v>8531</v>
      </c>
      <c r="D519" t="s">
        <v>11</v>
      </c>
      <c r="E519" t="s">
        <v>13</v>
      </c>
      <c r="F519" t="s">
        <v>729</v>
      </c>
      <c r="G519" t="s">
        <v>12</v>
      </c>
      <c r="I519" t="s">
        <v>8530</v>
      </c>
      <c r="J519" t="s">
        <v>9109</v>
      </c>
      <c r="K519">
        <v>29.876999999999999</v>
      </c>
      <c r="L519">
        <v>0.50377637486655091</v>
      </c>
      <c r="M519">
        <v>267.30583784478227</v>
      </c>
      <c r="N519">
        <v>294.03642162926053</v>
      </c>
    </row>
    <row r="520" spans="1:14">
      <c r="A520" t="s">
        <v>726</v>
      </c>
      <c r="B520" t="s">
        <v>8532</v>
      </c>
      <c r="C520" t="s">
        <v>8531</v>
      </c>
      <c r="D520" t="s">
        <v>11</v>
      </c>
      <c r="E520" t="s">
        <v>13</v>
      </c>
      <c r="F520" t="s">
        <v>729</v>
      </c>
      <c r="G520" t="s">
        <v>12</v>
      </c>
      <c r="I520" t="s">
        <v>8532</v>
      </c>
      <c r="J520" t="s">
        <v>9110</v>
      </c>
      <c r="K520">
        <v>28.78575</v>
      </c>
      <c r="L520">
        <v>0.4793363231495183</v>
      </c>
      <c r="M520">
        <v>169.21121553317252</v>
      </c>
      <c r="N520">
        <v>186.1323370864898</v>
      </c>
    </row>
    <row r="521" spans="1:14">
      <c r="A521" t="s">
        <v>726</v>
      </c>
      <c r="B521" t="s">
        <v>8533</v>
      </c>
      <c r="C521" t="s">
        <v>8531</v>
      </c>
      <c r="D521" t="s">
        <v>11</v>
      </c>
      <c r="E521" t="s">
        <v>13</v>
      </c>
      <c r="F521" t="s">
        <v>729</v>
      </c>
      <c r="G521" t="s">
        <v>12</v>
      </c>
      <c r="I521" t="s">
        <v>8533</v>
      </c>
      <c r="J521" t="s">
        <v>9111</v>
      </c>
      <c r="K521">
        <v>49.477499999999999</v>
      </c>
      <c r="L521">
        <v>0.4800073168571774</v>
      </c>
      <c r="M521">
        <v>269.11835017470361</v>
      </c>
      <c r="N521">
        <v>296.03018519217397</v>
      </c>
    </row>
    <row r="522" spans="1:14">
      <c r="A522" t="s">
        <v>726</v>
      </c>
      <c r="B522" t="s">
        <v>8534</v>
      </c>
      <c r="C522" t="s">
        <v>8535</v>
      </c>
      <c r="D522" t="s">
        <v>11</v>
      </c>
      <c r="E522" t="s">
        <v>13</v>
      </c>
      <c r="F522" t="s">
        <v>729</v>
      </c>
      <c r="G522" t="s">
        <v>12</v>
      </c>
      <c r="I522" t="s">
        <v>8534</v>
      </c>
      <c r="J522" t="s">
        <v>9112</v>
      </c>
      <c r="K522">
        <v>75.741749999999996</v>
      </c>
      <c r="L522">
        <v>0.379112584916655</v>
      </c>
      <c r="M522">
        <v>284.29097682675695</v>
      </c>
      <c r="N522">
        <v>312.72007450943266</v>
      </c>
    </row>
    <row r="523" spans="1:14">
      <c r="A523" t="s">
        <v>726</v>
      </c>
      <c r="B523" t="s">
        <v>8536</v>
      </c>
      <c r="C523" t="s">
        <v>8537</v>
      </c>
      <c r="D523" t="s">
        <v>11</v>
      </c>
      <c r="E523" t="s">
        <v>13</v>
      </c>
      <c r="F523" t="s">
        <v>729</v>
      </c>
      <c r="G523" t="s">
        <v>12</v>
      </c>
      <c r="I523" t="s">
        <v>8536</v>
      </c>
      <c r="J523" t="s">
        <v>9113</v>
      </c>
      <c r="K523">
        <v>113.13575</v>
      </c>
      <c r="L523">
        <v>0.4799817741327167</v>
      </c>
      <c r="M523">
        <v>277.26897717718128</v>
      </c>
      <c r="N523">
        <v>304.99587489489943</v>
      </c>
    </row>
    <row r="524" spans="1:14">
      <c r="A524" t="s">
        <v>726</v>
      </c>
      <c r="B524" t="s">
        <v>8538</v>
      </c>
      <c r="C524" t="s">
        <v>8539</v>
      </c>
      <c r="D524" t="s">
        <v>11</v>
      </c>
      <c r="E524" t="s">
        <v>13</v>
      </c>
      <c r="F524" t="s">
        <v>729</v>
      </c>
      <c r="G524" t="s">
        <v>12</v>
      </c>
      <c r="I524" t="s">
        <v>8538</v>
      </c>
      <c r="J524" t="s">
        <v>9114</v>
      </c>
      <c r="K524">
        <v>42.432250000000003</v>
      </c>
      <c r="L524">
        <v>0.2567066199708658</v>
      </c>
      <c r="M524">
        <v>43.507871425220557</v>
      </c>
      <c r="N524">
        <v>47.858658567742616</v>
      </c>
    </row>
    <row r="525" spans="1:14">
      <c r="A525" t="s">
        <v>726</v>
      </c>
      <c r="B525" t="s">
        <v>8540</v>
      </c>
      <c r="C525" t="s">
        <v>8541</v>
      </c>
      <c r="D525" t="s">
        <v>11</v>
      </c>
      <c r="E525" t="s">
        <v>13</v>
      </c>
      <c r="F525" t="s">
        <v>729</v>
      </c>
      <c r="G525" t="s">
        <v>12</v>
      </c>
      <c r="I525" t="s">
        <v>8540</v>
      </c>
      <c r="J525" t="s">
        <v>9115</v>
      </c>
      <c r="K525">
        <v>69.392750000000007</v>
      </c>
      <c r="L525">
        <v>0.25805669296497202</v>
      </c>
      <c r="M525">
        <v>68.869560913162999</v>
      </c>
      <c r="N525">
        <v>75.756517004479306</v>
      </c>
    </row>
    <row r="526" spans="1:14">
      <c r="A526" t="s">
        <v>726</v>
      </c>
      <c r="B526" t="s">
        <v>8542</v>
      </c>
      <c r="C526" t="s">
        <v>8543</v>
      </c>
      <c r="D526" t="s">
        <v>11</v>
      </c>
      <c r="E526" t="s">
        <v>13</v>
      </c>
      <c r="F526" t="s">
        <v>729</v>
      </c>
      <c r="G526" t="s">
        <v>12</v>
      </c>
      <c r="I526" t="s">
        <v>8542</v>
      </c>
      <c r="J526" t="s">
        <v>9116</v>
      </c>
      <c r="K526">
        <v>38.265500000000003</v>
      </c>
      <c r="L526">
        <v>0.35591090485574312</v>
      </c>
      <c r="M526">
        <v>52.1675947859042</v>
      </c>
      <c r="N526">
        <v>57.384354264494625</v>
      </c>
    </row>
    <row r="527" spans="1:14">
      <c r="A527" t="s">
        <v>726</v>
      </c>
      <c r="B527" t="s">
        <v>8544</v>
      </c>
      <c r="C527" t="s">
        <v>8545</v>
      </c>
      <c r="D527" t="s">
        <v>11</v>
      </c>
      <c r="E527" t="s">
        <v>13</v>
      </c>
      <c r="F527" t="s">
        <v>729</v>
      </c>
      <c r="G527" t="s">
        <v>12</v>
      </c>
      <c r="I527" t="s">
        <v>8544</v>
      </c>
      <c r="J527" t="s">
        <v>9117</v>
      </c>
      <c r="K527">
        <v>32.730249999999998</v>
      </c>
      <c r="L527">
        <v>0.30309422160298999</v>
      </c>
      <c r="M527">
        <v>67.078443587203807</v>
      </c>
      <c r="N527">
        <v>73.786287945924201</v>
      </c>
    </row>
    <row r="528" spans="1:14">
      <c r="A528" t="s">
        <v>726</v>
      </c>
      <c r="B528" t="s">
        <v>8546</v>
      </c>
      <c r="C528" t="s">
        <v>8547</v>
      </c>
      <c r="D528" t="s">
        <v>11</v>
      </c>
      <c r="E528" t="s">
        <v>13</v>
      </c>
      <c r="F528" t="s">
        <v>729</v>
      </c>
      <c r="G528" t="s">
        <v>12</v>
      </c>
      <c r="I528" t="s">
        <v>8546</v>
      </c>
      <c r="J528" t="s">
        <v>9118</v>
      </c>
      <c r="K528">
        <v>38.942250000000001</v>
      </c>
      <c r="L528">
        <v>0.73237816565944613</v>
      </c>
      <c r="M528">
        <v>142.87147191860402</v>
      </c>
      <c r="N528">
        <v>157.15861911046443</v>
      </c>
    </row>
    <row r="529" spans="1:14">
      <c r="A529" t="s">
        <v>726</v>
      </c>
      <c r="B529" t="s">
        <v>8548</v>
      </c>
      <c r="C529" t="s">
        <v>8549</v>
      </c>
      <c r="D529" t="s">
        <v>11</v>
      </c>
      <c r="E529" t="s">
        <v>13</v>
      </c>
      <c r="F529" t="s">
        <v>729</v>
      </c>
      <c r="G529" t="s">
        <v>12</v>
      </c>
      <c r="I529" t="s">
        <v>8548</v>
      </c>
      <c r="J529" t="s">
        <v>9119</v>
      </c>
      <c r="K529">
        <v>41.319000000000003</v>
      </c>
      <c r="L529">
        <v>0.4462528923382072</v>
      </c>
      <c r="M529">
        <v>111.41687255318556</v>
      </c>
      <c r="N529">
        <v>122.55855980850411</v>
      </c>
    </row>
    <row r="530" spans="1:14">
      <c r="A530" t="s">
        <v>726</v>
      </c>
      <c r="B530" t="s">
        <v>8550</v>
      </c>
      <c r="C530" t="s">
        <v>8551</v>
      </c>
      <c r="D530" t="s">
        <v>11</v>
      </c>
      <c r="E530" t="s">
        <v>13</v>
      </c>
      <c r="F530" t="s">
        <v>729</v>
      </c>
      <c r="G530" t="s">
        <v>12</v>
      </c>
      <c r="I530" t="s">
        <v>8550</v>
      </c>
      <c r="J530" t="s">
        <v>9120</v>
      </c>
      <c r="K530">
        <v>56.081249999999997</v>
      </c>
      <c r="L530">
        <v>0.42740621752066271</v>
      </c>
      <c r="M530">
        <v>87.87324375411923</v>
      </c>
      <c r="N530">
        <v>96.660568129531157</v>
      </c>
    </row>
    <row r="531" spans="1:14">
      <c r="A531" t="s">
        <v>726</v>
      </c>
      <c r="B531" t="s">
        <v>8552</v>
      </c>
      <c r="C531" t="s">
        <v>8553</v>
      </c>
      <c r="D531" t="s">
        <v>11</v>
      </c>
      <c r="E531" t="s">
        <v>13</v>
      </c>
      <c r="F531" t="s">
        <v>729</v>
      </c>
      <c r="G531" t="s">
        <v>12</v>
      </c>
      <c r="I531" t="s">
        <v>8552</v>
      </c>
      <c r="J531" t="s">
        <v>9121</v>
      </c>
      <c r="K531">
        <v>2.9392499999999999</v>
      </c>
      <c r="L531">
        <v>0.41692338006140461</v>
      </c>
      <c r="M531">
        <v>500.68983188796858</v>
      </c>
      <c r="N531">
        <v>550.75881507676547</v>
      </c>
    </row>
    <row r="532" spans="1:14">
      <c r="A532" t="s">
        <v>726</v>
      </c>
      <c r="B532" t="s">
        <v>8554</v>
      </c>
      <c r="C532" t="s">
        <v>8555</v>
      </c>
      <c r="D532" t="s">
        <v>11</v>
      </c>
      <c r="E532" t="s">
        <v>13</v>
      </c>
      <c r="F532" t="s">
        <v>729</v>
      </c>
      <c r="G532" t="s">
        <v>12</v>
      </c>
      <c r="I532" t="s">
        <v>8554</v>
      </c>
      <c r="J532" t="s">
        <v>9122</v>
      </c>
      <c r="K532">
        <v>47.823</v>
      </c>
      <c r="L532">
        <v>0.309814692750359</v>
      </c>
      <c r="M532">
        <v>335.52532277098959</v>
      </c>
      <c r="N532">
        <v>369.07785504808857</v>
      </c>
    </row>
    <row r="533" spans="1:14">
      <c r="A533" t="s">
        <v>726</v>
      </c>
      <c r="B533" t="s">
        <v>8556</v>
      </c>
      <c r="C533" t="s">
        <v>8553</v>
      </c>
      <c r="D533" t="s">
        <v>11</v>
      </c>
      <c r="E533" t="s">
        <v>13</v>
      </c>
      <c r="F533" t="s">
        <v>729</v>
      </c>
      <c r="G533" t="s">
        <v>12</v>
      </c>
      <c r="I533" t="s">
        <v>8556</v>
      </c>
      <c r="J533" t="s">
        <v>9123</v>
      </c>
      <c r="K533">
        <v>58.550249999999998</v>
      </c>
      <c r="L533">
        <v>0.3856526989901008</v>
      </c>
      <c r="M533">
        <v>132.89888357526877</v>
      </c>
      <c r="N533">
        <v>146.18877193279565</v>
      </c>
    </row>
    <row r="534" spans="1:14">
      <c r="A534" t="s">
        <v>726</v>
      </c>
      <c r="B534" t="s">
        <v>8557</v>
      </c>
      <c r="C534" t="s">
        <v>8558</v>
      </c>
      <c r="D534" t="s">
        <v>11</v>
      </c>
      <c r="E534" t="s">
        <v>13</v>
      </c>
      <c r="F534" t="s">
        <v>729</v>
      </c>
      <c r="G534" t="s">
        <v>12</v>
      </c>
      <c r="I534" t="s">
        <v>8557</v>
      </c>
      <c r="J534" t="s">
        <v>9124</v>
      </c>
      <c r="K534">
        <v>9.6795000000000009</v>
      </c>
      <c r="L534">
        <v>0.23811575248971209</v>
      </c>
      <c r="M534">
        <v>328.35698482754447</v>
      </c>
      <c r="N534">
        <v>361.19268331029895</v>
      </c>
    </row>
    <row r="535" spans="1:14">
      <c r="A535" t="s">
        <v>726</v>
      </c>
      <c r="B535" t="s">
        <v>8559</v>
      </c>
      <c r="C535" t="s">
        <v>8560</v>
      </c>
      <c r="D535" t="s">
        <v>11</v>
      </c>
      <c r="E535" t="s">
        <v>13</v>
      </c>
      <c r="F535" t="s">
        <v>729</v>
      </c>
      <c r="G535" t="s">
        <v>12</v>
      </c>
      <c r="I535" t="s">
        <v>8559</v>
      </c>
      <c r="J535" t="s">
        <v>9125</v>
      </c>
      <c r="K535">
        <v>92.920500000000004</v>
      </c>
      <c r="L535">
        <v>0.5460225792619543</v>
      </c>
      <c r="M535">
        <v>183.69238045603845</v>
      </c>
      <c r="N535">
        <v>202.0616185016423</v>
      </c>
    </row>
    <row r="536" spans="1:14">
      <c r="A536" t="s">
        <v>726</v>
      </c>
      <c r="B536" t="s">
        <v>8561</v>
      </c>
      <c r="C536" t="s">
        <v>8562</v>
      </c>
      <c r="D536" t="s">
        <v>11</v>
      </c>
      <c r="E536" t="s">
        <v>13</v>
      </c>
      <c r="F536" t="s">
        <v>729</v>
      </c>
      <c r="G536" t="s">
        <v>12</v>
      </c>
      <c r="I536" t="s">
        <v>8561</v>
      </c>
      <c r="J536" t="s">
        <v>9126</v>
      </c>
      <c r="K536">
        <v>105.03449999999999</v>
      </c>
      <c r="L536">
        <v>0.40766372760698338</v>
      </c>
      <c r="M536">
        <v>336.55506655102499</v>
      </c>
      <c r="N536">
        <v>370.21057320612755</v>
      </c>
    </row>
    <row r="537" spans="1:14">
      <c r="A537" t="s">
        <v>726</v>
      </c>
      <c r="B537" t="s">
        <v>8563</v>
      </c>
      <c r="C537" t="s">
        <v>8564</v>
      </c>
      <c r="D537" t="s">
        <v>11</v>
      </c>
      <c r="E537" t="s">
        <v>13</v>
      </c>
      <c r="F537" t="s">
        <v>729</v>
      </c>
      <c r="G537" t="s">
        <v>12</v>
      </c>
      <c r="I537" t="s">
        <v>8563</v>
      </c>
      <c r="J537" t="s">
        <v>9127</v>
      </c>
      <c r="K537">
        <v>32.474249999999998</v>
      </c>
      <c r="L537">
        <v>0.32906881370818047</v>
      </c>
      <c r="M537">
        <v>50.75920621574565</v>
      </c>
      <c r="N537">
        <v>55.835126837320217</v>
      </c>
    </row>
    <row r="538" spans="1:14">
      <c r="A538" t="s">
        <v>726</v>
      </c>
      <c r="B538" t="s">
        <v>8565</v>
      </c>
      <c r="C538" t="s">
        <v>8566</v>
      </c>
      <c r="D538" t="s">
        <v>11</v>
      </c>
      <c r="E538" t="s">
        <v>13</v>
      </c>
      <c r="F538" t="s">
        <v>729</v>
      </c>
      <c r="G538" t="s">
        <v>12</v>
      </c>
      <c r="I538" t="s">
        <v>8565</v>
      </c>
      <c r="J538" t="s">
        <v>9128</v>
      </c>
      <c r="K538">
        <v>111.10275</v>
      </c>
      <c r="L538">
        <v>0.38058360526490959</v>
      </c>
      <c r="M538">
        <v>188.41713697767921</v>
      </c>
      <c r="N538">
        <v>207.25885067544715</v>
      </c>
    </row>
    <row r="539" spans="1:14">
      <c r="A539" t="s">
        <v>726</v>
      </c>
      <c r="B539" t="s">
        <v>8567</v>
      </c>
      <c r="C539" t="s">
        <v>8568</v>
      </c>
      <c r="D539" t="s">
        <v>11</v>
      </c>
      <c r="E539" t="s">
        <v>13</v>
      </c>
      <c r="F539" t="s">
        <v>729</v>
      </c>
      <c r="G539" t="s">
        <v>12</v>
      </c>
      <c r="I539" t="s">
        <v>8567</v>
      </c>
      <c r="J539" t="s">
        <v>9129</v>
      </c>
      <c r="K539">
        <v>64.439250000000001</v>
      </c>
      <c r="L539">
        <v>0.28746446002028819</v>
      </c>
      <c r="M539">
        <v>131.88175277075771</v>
      </c>
      <c r="N539">
        <v>145.06992804783349</v>
      </c>
    </row>
    <row r="540" spans="1:14">
      <c r="A540" t="s">
        <v>726</v>
      </c>
      <c r="B540" t="s">
        <v>8569</v>
      </c>
      <c r="C540" t="s">
        <v>8570</v>
      </c>
      <c r="D540" t="s">
        <v>11</v>
      </c>
      <c r="E540" t="s">
        <v>13</v>
      </c>
      <c r="F540" t="s">
        <v>729</v>
      </c>
      <c r="G540" t="s">
        <v>12</v>
      </c>
      <c r="I540" t="s">
        <v>8569</v>
      </c>
      <c r="J540" t="s">
        <v>9130</v>
      </c>
      <c r="K540">
        <v>37.289250000000003</v>
      </c>
      <c r="L540">
        <v>0.40481141951344207</v>
      </c>
      <c r="M540">
        <v>154.75589322836666</v>
      </c>
      <c r="N540">
        <v>170.23148255120333</v>
      </c>
    </row>
    <row r="541" spans="1:14">
      <c r="A541" t="s">
        <v>726</v>
      </c>
      <c r="B541" t="s">
        <v>8571</v>
      </c>
      <c r="C541" t="s">
        <v>8568</v>
      </c>
      <c r="D541" t="s">
        <v>11</v>
      </c>
      <c r="E541" t="s">
        <v>13</v>
      </c>
      <c r="F541" t="s">
        <v>729</v>
      </c>
      <c r="G541" t="s">
        <v>12</v>
      </c>
      <c r="I541" t="s">
        <v>8571</v>
      </c>
      <c r="J541" t="s">
        <v>9131</v>
      </c>
      <c r="K541">
        <v>48.152999999999999</v>
      </c>
      <c r="L541">
        <v>0.3152494917393141</v>
      </c>
      <c r="M541">
        <v>140.18740808214164</v>
      </c>
      <c r="N541">
        <v>154.20614889035582</v>
      </c>
    </row>
    <row r="542" spans="1:14">
      <c r="A542" t="s">
        <v>726</v>
      </c>
      <c r="B542" t="s">
        <v>8572</v>
      </c>
      <c r="C542" t="s">
        <v>8573</v>
      </c>
      <c r="D542" t="s">
        <v>11</v>
      </c>
      <c r="E542" t="s">
        <v>13</v>
      </c>
      <c r="F542" t="s">
        <v>729</v>
      </c>
      <c r="G542" t="s">
        <v>12</v>
      </c>
      <c r="I542" t="s">
        <v>8572</v>
      </c>
      <c r="J542" t="s">
        <v>9132</v>
      </c>
      <c r="K542">
        <v>22.149000000000001</v>
      </c>
      <c r="L542">
        <v>0.25785543651217968</v>
      </c>
      <c r="M542">
        <v>191.91022719908119</v>
      </c>
      <c r="N542">
        <v>211.10124991898934</v>
      </c>
    </row>
    <row r="543" spans="1:14">
      <c r="A543" t="s">
        <v>726</v>
      </c>
      <c r="B543" t="s">
        <v>8574</v>
      </c>
      <c r="C543" t="s">
        <v>8573</v>
      </c>
      <c r="D543" t="s">
        <v>11</v>
      </c>
      <c r="E543" t="s">
        <v>13</v>
      </c>
      <c r="F543" t="s">
        <v>729</v>
      </c>
      <c r="G543" t="s">
        <v>12</v>
      </c>
      <c r="I543" t="s">
        <v>8574</v>
      </c>
      <c r="J543" t="s">
        <v>9133</v>
      </c>
      <c r="K543">
        <v>51.896999999999998</v>
      </c>
      <c r="L543">
        <v>0.413838952332726</v>
      </c>
      <c r="M543">
        <v>106.33988326530203</v>
      </c>
      <c r="N543">
        <v>116.97387159183225</v>
      </c>
    </row>
    <row r="544" spans="1:14">
      <c r="A544" t="s">
        <v>726</v>
      </c>
      <c r="B544" t="s">
        <v>8575</v>
      </c>
      <c r="C544" t="s">
        <v>8576</v>
      </c>
      <c r="D544" t="s">
        <v>11</v>
      </c>
      <c r="E544" t="s">
        <v>13</v>
      </c>
      <c r="F544" t="s">
        <v>729</v>
      </c>
      <c r="G544" t="s">
        <v>12</v>
      </c>
      <c r="I544" t="s">
        <v>8575</v>
      </c>
      <c r="J544" t="s">
        <v>9134</v>
      </c>
      <c r="K544">
        <v>35.490749999999998</v>
      </c>
      <c r="L544">
        <v>0.28834890406959779</v>
      </c>
      <c r="M544">
        <v>104.85927429174644</v>
      </c>
      <c r="N544">
        <v>115.3452017209211</v>
      </c>
    </row>
    <row r="545" spans="1:14">
      <c r="A545" t="s">
        <v>726</v>
      </c>
      <c r="B545" t="s">
        <v>8577</v>
      </c>
      <c r="C545" t="s">
        <v>8578</v>
      </c>
      <c r="D545" t="s">
        <v>11</v>
      </c>
      <c r="E545" t="s">
        <v>13</v>
      </c>
      <c r="F545" t="s">
        <v>729</v>
      </c>
      <c r="G545" t="s">
        <v>12</v>
      </c>
      <c r="I545" t="s">
        <v>8577</v>
      </c>
      <c r="J545" t="s">
        <v>9135</v>
      </c>
      <c r="K545">
        <v>58.954500000000003</v>
      </c>
      <c r="L545">
        <v>0.45186002256459268</v>
      </c>
      <c r="M545">
        <v>495.5205068690214</v>
      </c>
      <c r="N545">
        <v>545.07255755592359</v>
      </c>
    </row>
    <row r="546" spans="1:14">
      <c r="A546" t="s">
        <v>726</v>
      </c>
      <c r="B546" t="s">
        <v>8579</v>
      </c>
      <c r="C546" t="s">
        <v>8578</v>
      </c>
      <c r="D546" t="s">
        <v>11</v>
      </c>
      <c r="E546" t="s">
        <v>13</v>
      </c>
      <c r="F546" t="s">
        <v>729</v>
      </c>
      <c r="G546" t="s">
        <v>12</v>
      </c>
      <c r="I546" t="s">
        <v>8579</v>
      </c>
      <c r="J546" t="s">
        <v>9136</v>
      </c>
      <c r="K546">
        <v>16.005749999999999</v>
      </c>
      <c r="L546">
        <v>0.23605855493820779</v>
      </c>
      <c r="M546">
        <v>279.1437871511103</v>
      </c>
      <c r="N546">
        <v>307.05816586622137</v>
      </c>
    </row>
    <row r="547" spans="1:14">
      <c r="A547" t="s">
        <v>726</v>
      </c>
      <c r="B547" t="s">
        <v>8580</v>
      </c>
      <c r="C547" t="s">
        <v>8581</v>
      </c>
      <c r="D547" t="s">
        <v>11</v>
      </c>
      <c r="E547" t="s">
        <v>13</v>
      </c>
      <c r="F547" t="s">
        <v>729</v>
      </c>
      <c r="G547" t="s">
        <v>12</v>
      </c>
      <c r="I547" t="s">
        <v>8580</v>
      </c>
      <c r="J547" t="s">
        <v>9137</v>
      </c>
      <c r="K547">
        <v>93.501000000000005</v>
      </c>
      <c r="L547">
        <v>0.52328529514877775</v>
      </c>
      <c r="M547">
        <v>177.52466521298425</v>
      </c>
      <c r="N547">
        <v>195.27713173428268</v>
      </c>
    </row>
    <row r="548" spans="1:14">
      <c r="A548" t="s">
        <v>726</v>
      </c>
      <c r="B548" t="s">
        <v>8582</v>
      </c>
      <c r="C548" t="s">
        <v>8581</v>
      </c>
      <c r="D548" t="s">
        <v>11</v>
      </c>
      <c r="E548" t="s">
        <v>13</v>
      </c>
      <c r="F548" t="s">
        <v>729</v>
      </c>
      <c r="G548" t="s">
        <v>12</v>
      </c>
      <c r="I548" t="s">
        <v>8582</v>
      </c>
      <c r="J548" t="s">
        <v>9138</v>
      </c>
      <c r="K548">
        <v>188.13675000000001</v>
      </c>
      <c r="L548">
        <v>0.49531887222819199</v>
      </c>
      <c r="M548">
        <v>446.31003875683808</v>
      </c>
      <c r="N548">
        <v>490.94104263252194</v>
      </c>
    </row>
    <row r="549" spans="1:14">
      <c r="A549" t="s">
        <v>726</v>
      </c>
      <c r="B549" t="s">
        <v>8583</v>
      </c>
      <c r="C549" t="s">
        <v>8584</v>
      </c>
      <c r="D549" t="s">
        <v>11</v>
      </c>
      <c r="E549" t="s">
        <v>13</v>
      </c>
      <c r="F549" t="s">
        <v>729</v>
      </c>
      <c r="G549" t="s">
        <v>12</v>
      </c>
      <c r="I549" t="s">
        <v>8583</v>
      </c>
      <c r="J549" t="s">
        <v>9139</v>
      </c>
      <c r="K549">
        <v>31.827000000000002</v>
      </c>
      <c r="L549">
        <v>0.3993331154645221</v>
      </c>
      <c r="M549">
        <v>96.970438842307161</v>
      </c>
      <c r="N549">
        <v>106.66748272653788</v>
      </c>
    </row>
    <row r="550" spans="1:14">
      <c r="A550" t="s">
        <v>726</v>
      </c>
      <c r="B550" t="s">
        <v>8585</v>
      </c>
      <c r="C550" t="s">
        <v>8586</v>
      </c>
      <c r="D550" t="s">
        <v>11</v>
      </c>
      <c r="E550" t="s">
        <v>13</v>
      </c>
      <c r="F550" t="s">
        <v>729</v>
      </c>
      <c r="G550" t="s">
        <v>12</v>
      </c>
      <c r="I550" t="s">
        <v>8585</v>
      </c>
      <c r="J550" t="s">
        <v>9140</v>
      </c>
      <c r="K550">
        <v>40.985250000000001</v>
      </c>
      <c r="L550">
        <v>0.4709874829232486</v>
      </c>
      <c r="M550">
        <v>185.98201596619441</v>
      </c>
      <c r="N550">
        <v>204.58021756281386</v>
      </c>
    </row>
    <row r="551" spans="1:14">
      <c r="A551" t="s">
        <v>726</v>
      </c>
      <c r="B551" t="s">
        <v>8587</v>
      </c>
      <c r="C551" t="s">
        <v>8588</v>
      </c>
      <c r="D551" t="s">
        <v>11</v>
      </c>
      <c r="E551" t="s">
        <v>13</v>
      </c>
      <c r="F551" t="s">
        <v>729</v>
      </c>
      <c r="G551" t="s">
        <v>12</v>
      </c>
      <c r="I551" t="s">
        <v>8587</v>
      </c>
      <c r="J551" t="s">
        <v>9141</v>
      </c>
      <c r="K551">
        <v>155.08349999999999</v>
      </c>
      <c r="L551">
        <v>0.51445928007396102</v>
      </c>
      <c r="M551">
        <v>250.07376416878327</v>
      </c>
      <c r="N551">
        <v>275.08114058566161</v>
      </c>
    </row>
    <row r="552" spans="1:14">
      <c r="A552" t="s">
        <v>726</v>
      </c>
      <c r="B552" t="s">
        <v>8589</v>
      </c>
      <c r="C552" t="s">
        <v>8590</v>
      </c>
      <c r="D552" t="s">
        <v>11</v>
      </c>
      <c r="E552" t="s">
        <v>13</v>
      </c>
      <c r="F552" t="s">
        <v>729</v>
      </c>
      <c r="G552" t="s">
        <v>12</v>
      </c>
      <c r="I552" t="s">
        <v>8589</v>
      </c>
      <c r="J552" t="s">
        <v>9142</v>
      </c>
      <c r="K552">
        <v>55.255499999999998</v>
      </c>
      <c r="L552">
        <v>0.46041556087122121</v>
      </c>
      <c r="M552">
        <v>109.08412806844947</v>
      </c>
      <c r="N552">
        <v>119.99254087529442</v>
      </c>
    </row>
    <row r="553" spans="1:14">
      <c r="A553" t="s">
        <v>726</v>
      </c>
      <c r="B553" t="s">
        <v>8591</v>
      </c>
      <c r="C553" t="s">
        <v>8592</v>
      </c>
      <c r="D553" t="s">
        <v>11</v>
      </c>
      <c r="E553" t="s">
        <v>13</v>
      </c>
      <c r="F553" t="s">
        <v>729</v>
      </c>
      <c r="G553" t="s">
        <v>12</v>
      </c>
      <c r="I553" t="s">
        <v>8591</v>
      </c>
      <c r="J553" t="s">
        <v>9143</v>
      </c>
      <c r="K553">
        <v>93.256500000000003</v>
      </c>
      <c r="L553">
        <v>0.40983103709510998</v>
      </c>
      <c r="M553">
        <v>290.48823421438021</v>
      </c>
      <c r="N553">
        <v>319.53705763581826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67B4-70D8-4F9F-992B-C362C620B848}">
  <dimension ref="A1:Q263"/>
  <sheetViews>
    <sheetView tabSelected="1" zoomScaleNormal="100" workbookViewId="0"/>
  </sheetViews>
  <sheetFormatPr defaultColWidth="9" defaultRowHeight="14.25"/>
  <cols>
    <col min="1" max="1" width="9" style="6"/>
    <col min="2" max="2" width="27.1328125" style="6" customWidth="1"/>
    <col min="3" max="3" width="9.3984375" style="6" customWidth="1"/>
    <col min="4" max="4" width="11.265625" style="6" customWidth="1"/>
    <col min="5" max="5" width="7" style="6" customWidth="1"/>
    <col min="6" max="6" width="4.3984375" style="6" customWidth="1"/>
    <col min="7" max="7" width="12.86328125" style="6" customWidth="1"/>
    <col min="8" max="8" width="6" style="6" customWidth="1"/>
    <col min="9" max="9" width="8.73046875" style="6" customWidth="1"/>
    <col min="10" max="10" width="5" style="6" customWidth="1"/>
    <col min="11" max="11" width="2" style="6" customWidth="1"/>
    <col min="12" max="12" width="13.1328125" style="6" customWidth="1"/>
    <col min="13" max="13" width="27.1328125" style="6" customWidth="1"/>
    <col min="14" max="14" width="59" style="6" customWidth="1"/>
    <col min="15" max="15" width="5.59765625" style="6" customWidth="1"/>
    <col min="16" max="16" width="4.86328125" style="6" customWidth="1"/>
    <col min="17" max="17" width="8.1328125" style="6" customWidth="1"/>
    <col min="18" max="18" width="12.265625" style="6" customWidth="1"/>
    <col min="19" max="19" width="13.73046875" style="6" customWidth="1"/>
    <col min="20" max="16384" width="9" style="6"/>
  </cols>
  <sheetData>
    <row r="1" spans="1:17">
      <c r="A1" s="6" t="s">
        <v>9376</v>
      </c>
    </row>
    <row r="2" spans="1:17">
      <c r="A2" s="6" t="s">
        <v>9377</v>
      </c>
    </row>
    <row r="4" spans="1:17" ht="17.25" thickBot="1">
      <c r="D4" s="7" t="s">
        <v>9378</v>
      </c>
      <c r="L4" s="7" t="s">
        <v>455</v>
      </c>
    </row>
    <row r="5" spans="1:17" ht="15" thickTop="1" thickBot="1">
      <c r="B5" s="8" t="s">
        <v>77</v>
      </c>
      <c r="C5" s="8" t="s">
        <v>9379</v>
      </c>
      <c r="D5" s="8" t="s">
        <v>9380</v>
      </c>
      <c r="E5" s="8" t="s">
        <v>4426</v>
      </c>
      <c r="F5" s="8" t="s">
        <v>9381</v>
      </c>
      <c r="G5" s="8" t="s">
        <v>9382</v>
      </c>
      <c r="H5" s="8" t="s">
        <v>9383</v>
      </c>
      <c r="I5" s="8" t="s">
        <v>9384</v>
      </c>
      <c r="J5" s="8" t="s">
        <v>9385</v>
      </c>
      <c r="L5" s="8" t="s">
        <v>458</v>
      </c>
      <c r="M5" s="8" t="s">
        <v>77</v>
      </c>
      <c r="N5" s="8" t="s">
        <v>459</v>
      </c>
      <c r="O5" s="8" t="s">
        <v>9386</v>
      </c>
      <c r="P5" s="8" t="s">
        <v>9387</v>
      </c>
      <c r="Q5" s="8" t="s">
        <v>9388</v>
      </c>
    </row>
    <row r="6" spans="1:17">
      <c r="B6" s="6" t="s">
        <v>9389</v>
      </c>
      <c r="C6" s="6" t="s">
        <v>9390</v>
      </c>
      <c r="D6" s="6" t="s">
        <v>9391</v>
      </c>
      <c r="E6" s="6">
        <v>0.9</v>
      </c>
      <c r="F6" s="6">
        <v>200</v>
      </c>
      <c r="G6" s="6">
        <v>2</v>
      </c>
      <c r="H6" s="9">
        <v>3.6</v>
      </c>
      <c r="I6" s="6">
        <v>54</v>
      </c>
      <c r="J6" s="6">
        <v>2019</v>
      </c>
      <c r="L6" s="6" t="s">
        <v>463</v>
      </c>
      <c r="M6" s="6" t="s">
        <v>9389</v>
      </c>
      <c r="N6" s="6" t="s">
        <v>9392</v>
      </c>
      <c r="O6" s="6" t="s">
        <v>9393</v>
      </c>
      <c r="P6" s="6" t="s">
        <v>13</v>
      </c>
    </row>
    <row r="7" spans="1:17">
      <c r="B7" s="6" t="s">
        <v>9394</v>
      </c>
      <c r="C7" s="6" t="s">
        <v>9390</v>
      </c>
      <c r="D7" s="6" t="s">
        <v>9391</v>
      </c>
      <c r="E7" s="6">
        <v>0.9</v>
      </c>
      <c r="F7" s="6">
        <v>200</v>
      </c>
      <c r="G7" s="6">
        <v>2</v>
      </c>
      <c r="H7" s="9">
        <v>2.4</v>
      </c>
      <c r="I7" s="6">
        <v>54</v>
      </c>
      <c r="J7" s="6">
        <v>2018</v>
      </c>
      <c r="L7" s="6" t="s">
        <v>463</v>
      </c>
      <c r="M7" s="6" t="s">
        <v>9394</v>
      </c>
      <c r="N7" s="6" t="s">
        <v>9395</v>
      </c>
      <c r="O7" s="6" t="s">
        <v>9393</v>
      </c>
      <c r="P7" s="6" t="s">
        <v>13</v>
      </c>
    </row>
    <row r="8" spans="1:17">
      <c r="B8" s="6" t="s">
        <v>9396</v>
      </c>
      <c r="C8" s="6" t="s">
        <v>9390</v>
      </c>
      <c r="D8" s="6" t="s">
        <v>9391</v>
      </c>
      <c r="E8" s="6">
        <v>0.9</v>
      </c>
      <c r="F8" s="6">
        <v>200</v>
      </c>
      <c r="G8" s="6">
        <v>2</v>
      </c>
      <c r="H8" s="9">
        <v>3</v>
      </c>
      <c r="I8" s="6">
        <v>54</v>
      </c>
      <c r="J8" s="6">
        <v>2023</v>
      </c>
      <c r="L8" s="6" t="s">
        <v>463</v>
      </c>
      <c r="M8" s="6" t="s">
        <v>9396</v>
      </c>
      <c r="N8" s="6" t="s">
        <v>9397</v>
      </c>
      <c r="O8" s="6" t="s">
        <v>9393</v>
      </c>
      <c r="P8" s="6" t="s">
        <v>13</v>
      </c>
    </row>
    <row r="9" spans="1:17">
      <c r="B9" s="6" t="s">
        <v>9398</v>
      </c>
      <c r="C9" s="6" t="s">
        <v>9390</v>
      </c>
      <c r="D9" s="6" t="s">
        <v>9391</v>
      </c>
      <c r="E9" s="6">
        <v>0.9</v>
      </c>
      <c r="F9" s="6">
        <v>200</v>
      </c>
      <c r="G9" s="6">
        <v>2</v>
      </c>
      <c r="H9" s="9">
        <v>0.7</v>
      </c>
      <c r="I9" s="6">
        <v>54</v>
      </c>
      <c r="J9" s="6">
        <v>2026</v>
      </c>
      <c r="L9" s="6" t="s">
        <v>463</v>
      </c>
      <c r="M9" s="6" t="s">
        <v>9398</v>
      </c>
      <c r="N9" s="6" t="s">
        <v>9399</v>
      </c>
      <c r="O9" s="6" t="s">
        <v>9393</v>
      </c>
      <c r="P9" s="6" t="s">
        <v>13</v>
      </c>
    </row>
    <row r="10" spans="1:17">
      <c r="B10" s="6" t="s">
        <v>9400</v>
      </c>
      <c r="C10" s="6" t="s">
        <v>9390</v>
      </c>
      <c r="D10" s="6" t="s">
        <v>9391</v>
      </c>
      <c r="E10" s="6">
        <v>0.9</v>
      </c>
      <c r="F10" s="6">
        <v>200</v>
      </c>
      <c r="G10" s="6">
        <v>2</v>
      </c>
      <c r="H10" s="9">
        <v>3.4</v>
      </c>
      <c r="I10" s="6">
        <v>54</v>
      </c>
      <c r="J10" s="6">
        <v>2022</v>
      </c>
      <c r="L10" s="6" t="s">
        <v>463</v>
      </c>
      <c r="M10" s="6" t="s">
        <v>9400</v>
      </c>
      <c r="N10" s="6" t="s">
        <v>9401</v>
      </c>
      <c r="O10" s="6" t="s">
        <v>9393</v>
      </c>
      <c r="P10" s="6" t="s">
        <v>13</v>
      </c>
    </row>
    <row r="11" spans="1:17">
      <c r="B11" s="6" t="s">
        <v>9402</v>
      </c>
      <c r="C11" s="6" t="s">
        <v>9390</v>
      </c>
      <c r="D11" s="6" t="s">
        <v>9391</v>
      </c>
      <c r="E11" s="6">
        <v>0.9</v>
      </c>
      <c r="F11" s="6">
        <v>200</v>
      </c>
      <c r="G11" s="6">
        <v>2</v>
      </c>
      <c r="H11" s="9">
        <v>1.2</v>
      </c>
      <c r="I11" s="6">
        <v>54</v>
      </c>
      <c r="J11" s="6">
        <v>2017</v>
      </c>
      <c r="L11" s="6" t="s">
        <v>463</v>
      </c>
      <c r="M11" s="6" t="s">
        <v>9402</v>
      </c>
      <c r="N11" s="6" t="s">
        <v>9403</v>
      </c>
      <c r="O11" s="6" t="s">
        <v>9393</v>
      </c>
      <c r="P11" s="6" t="s">
        <v>13</v>
      </c>
    </row>
    <row r="12" spans="1:17">
      <c r="B12" s="6" t="s">
        <v>9402</v>
      </c>
      <c r="C12" s="6" t="s">
        <v>9390</v>
      </c>
      <c r="D12" s="6" t="s">
        <v>9391</v>
      </c>
      <c r="E12" s="6">
        <v>0.9</v>
      </c>
      <c r="F12" s="6">
        <v>200</v>
      </c>
      <c r="G12" s="6">
        <v>2</v>
      </c>
      <c r="H12" s="9">
        <v>1.5</v>
      </c>
      <c r="I12" s="6">
        <v>54</v>
      </c>
      <c r="J12" s="6">
        <v>2020</v>
      </c>
      <c r="L12" s="6" t="s">
        <v>463</v>
      </c>
      <c r="M12" s="6" t="s">
        <v>9402</v>
      </c>
      <c r="N12" s="6" t="s">
        <v>9403</v>
      </c>
      <c r="O12" s="6" t="s">
        <v>9393</v>
      </c>
      <c r="P12" s="6" t="s">
        <v>13</v>
      </c>
    </row>
    <row r="13" spans="1:17">
      <c r="B13" s="6" t="s">
        <v>9402</v>
      </c>
      <c r="C13" s="6" t="s">
        <v>9390</v>
      </c>
      <c r="D13" s="6" t="s">
        <v>9391</v>
      </c>
      <c r="E13" s="6">
        <v>0.9</v>
      </c>
      <c r="F13" s="6">
        <v>200</v>
      </c>
      <c r="G13" s="6">
        <v>2</v>
      </c>
      <c r="H13" s="9">
        <v>2</v>
      </c>
      <c r="I13" s="6">
        <v>54</v>
      </c>
      <c r="J13" s="6">
        <v>2027</v>
      </c>
      <c r="L13" s="6" t="s">
        <v>463</v>
      </c>
      <c r="M13" s="6" t="s">
        <v>9402</v>
      </c>
      <c r="N13" s="6" t="s">
        <v>9403</v>
      </c>
      <c r="O13" s="6" t="s">
        <v>9393</v>
      </c>
      <c r="P13" s="6" t="s">
        <v>13</v>
      </c>
    </row>
    <row r="14" spans="1:17">
      <c r="B14" s="6" t="s">
        <v>9404</v>
      </c>
      <c r="C14" s="6" t="s">
        <v>9390</v>
      </c>
      <c r="D14" s="6" t="s">
        <v>9391</v>
      </c>
      <c r="E14" s="6">
        <v>0.9</v>
      </c>
      <c r="F14" s="6">
        <v>200</v>
      </c>
      <c r="G14" s="6">
        <v>2</v>
      </c>
      <c r="H14" s="9">
        <v>2.5</v>
      </c>
      <c r="I14" s="6">
        <v>54</v>
      </c>
      <c r="J14" s="6">
        <v>2023</v>
      </c>
      <c r="L14" s="6" t="s">
        <v>463</v>
      </c>
      <c r="M14" s="6" t="s">
        <v>9404</v>
      </c>
      <c r="N14" s="6" t="s">
        <v>9405</v>
      </c>
      <c r="O14" s="6" t="s">
        <v>9393</v>
      </c>
      <c r="P14" s="6" t="s">
        <v>13</v>
      </c>
    </row>
    <row r="15" spans="1:17">
      <c r="B15" s="6" t="s">
        <v>9406</v>
      </c>
      <c r="C15" s="6" t="s">
        <v>9390</v>
      </c>
      <c r="D15" s="6" t="s">
        <v>9391</v>
      </c>
      <c r="E15" s="6">
        <v>0.9</v>
      </c>
      <c r="F15" s="6">
        <v>200</v>
      </c>
      <c r="G15" s="6">
        <v>2</v>
      </c>
      <c r="H15" s="9">
        <v>5.2</v>
      </c>
      <c r="I15" s="6">
        <v>54</v>
      </c>
      <c r="J15" s="6">
        <v>2013</v>
      </c>
      <c r="L15" s="6" t="s">
        <v>463</v>
      </c>
      <c r="M15" s="6" t="s">
        <v>9406</v>
      </c>
      <c r="N15" s="6" t="s">
        <v>9407</v>
      </c>
      <c r="O15" s="6" t="s">
        <v>9393</v>
      </c>
      <c r="P15" s="6" t="s">
        <v>13</v>
      </c>
    </row>
    <row r="16" spans="1:17">
      <c r="B16" s="6" t="s">
        <v>9408</v>
      </c>
      <c r="C16" s="6" t="s">
        <v>9390</v>
      </c>
      <c r="D16" s="6" t="s">
        <v>9391</v>
      </c>
      <c r="E16" s="6">
        <v>0.9</v>
      </c>
      <c r="F16" s="6">
        <v>200</v>
      </c>
      <c r="G16" s="6">
        <v>2</v>
      </c>
      <c r="H16" s="9">
        <v>2.6</v>
      </c>
      <c r="I16" s="6">
        <v>54</v>
      </c>
      <c r="J16" s="6">
        <v>1977</v>
      </c>
      <c r="L16" s="6" t="s">
        <v>463</v>
      </c>
      <c r="M16" s="6" t="s">
        <v>9408</v>
      </c>
      <c r="N16" s="6" t="s">
        <v>9409</v>
      </c>
      <c r="O16" s="6" t="s">
        <v>9393</v>
      </c>
      <c r="P16" s="6" t="s">
        <v>13</v>
      </c>
    </row>
    <row r="17" spans="2:16">
      <c r="B17" s="6" t="s">
        <v>9408</v>
      </c>
      <c r="C17" s="6" t="s">
        <v>9390</v>
      </c>
      <c r="D17" s="6" t="s">
        <v>9391</v>
      </c>
      <c r="E17" s="6">
        <v>0.9</v>
      </c>
      <c r="F17" s="6">
        <v>200</v>
      </c>
      <c r="G17" s="6">
        <v>2</v>
      </c>
      <c r="H17" s="9">
        <v>3.2</v>
      </c>
      <c r="I17" s="6">
        <v>54</v>
      </c>
      <c r="J17" s="6">
        <v>1994</v>
      </c>
      <c r="L17" s="6" t="s">
        <v>463</v>
      </c>
      <c r="M17" s="6" t="s">
        <v>9408</v>
      </c>
      <c r="N17" s="6" t="s">
        <v>9409</v>
      </c>
      <c r="O17" s="6" t="s">
        <v>9393</v>
      </c>
      <c r="P17" s="6" t="s">
        <v>13</v>
      </c>
    </row>
    <row r="18" spans="2:16">
      <c r="B18" s="6" t="s">
        <v>9410</v>
      </c>
      <c r="C18" s="6" t="s">
        <v>9390</v>
      </c>
      <c r="D18" s="6" t="s">
        <v>9391</v>
      </c>
      <c r="E18" s="6">
        <v>0.9</v>
      </c>
      <c r="F18" s="6">
        <v>200</v>
      </c>
      <c r="G18" s="6">
        <v>2</v>
      </c>
      <c r="H18" s="9">
        <v>2.5</v>
      </c>
      <c r="I18" s="6">
        <v>54</v>
      </c>
      <c r="J18" s="6">
        <v>1992</v>
      </c>
      <c r="L18" s="6" t="s">
        <v>463</v>
      </c>
      <c r="M18" s="6" t="s">
        <v>9410</v>
      </c>
      <c r="N18" s="6" t="s">
        <v>9411</v>
      </c>
      <c r="O18" s="6" t="s">
        <v>9393</v>
      </c>
      <c r="P18" s="6" t="s">
        <v>13</v>
      </c>
    </row>
    <row r="19" spans="2:16">
      <c r="B19" s="6" t="s">
        <v>9410</v>
      </c>
      <c r="C19" s="6" t="s">
        <v>9390</v>
      </c>
      <c r="D19" s="6" t="s">
        <v>9391</v>
      </c>
      <c r="E19" s="6">
        <v>0.9</v>
      </c>
      <c r="F19" s="6">
        <v>200</v>
      </c>
      <c r="G19" s="6">
        <v>2</v>
      </c>
      <c r="H19" s="9">
        <v>3.7</v>
      </c>
      <c r="I19" s="6">
        <v>54</v>
      </c>
      <c r="J19" s="6">
        <v>2006</v>
      </c>
      <c r="L19" s="6" t="s">
        <v>463</v>
      </c>
      <c r="M19" s="6" t="s">
        <v>9410</v>
      </c>
      <c r="N19" s="6" t="s">
        <v>9411</v>
      </c>
      <c r="O19" s="6" t="s">
        <v>9393</v>
      </c>
      <c r="P19" s="6" t="s">
        <v>13</v>
      </c>
    </row>
    <row r="20" spans="2:16">
      <c r="B20" s="6" t="s">
        <v>9410</v>
      </c>
      <c r="C20" s="6" t="s">
        <v>9390</v>
      </c>
      <c r="D20" s="6" t="s">
        <v>9391</v>
      </c>
      <c r="E20" s="6">
        <v>0.9</v>
      </c>
      <c r="F20" s="6">
        <v>200</v>
      </c>
      <c r="G20" s="6">
        <v>2</v>
      </c>
      <c r="H20" s="9">
        <v>4.4000000000000004</v>
      </c>
      <c r="I20" s="6">
        <v>54</v>
      </c>
      <c r="J20" s="6">
        <v>2004</v>
      </c>
      <c r="L20" s="6" t="s">
        <v>463</v>
      </c>
      <c r="M20" s="6" t="s">
        <v>9410</v>
      </c>
      <c r="N20" s="6" t="s">
        <v>9411</v>
      </c>
      <c r="O20" s="6" t="s">
        <v>9393</v>
      </c>
      <c r="P20" s="6" t="s">
        <v>13</v>
      </c>
    </row>
    <row r="21" spans="2:16">
      <c r="B21" s="6" t="s">
        <v>9410</v>
      </c>
      <c r="C21" s="6" t="s">
        <v>9390</v>
      </c>
      <c r="D21" s="6" t="s">
        <v>9391</v>
      </c>
      <c r="E21" s="6">
        <v>0.9</v>
      </c>
      <c r="F21" s="6">
        <v>200</v>
      </c>
      <c r="G21" s="6">
        <v>2</v>
      </c>
      <c r="H21" s="9">
        <v>4.4000000000000004</v>
      </c>
      <c r="I21" s="6">
        <v>54</v>
      </c>
      <c r="J21" s="6">
        <v>2008</v>
      </c>
      <c r="L21" s="6" t="s">
        <v>463</v>
      </c>
      <c r="M21" s="6" t="s">
        <v>9410</v>
      </c>
      <c r="N21" s="6" t="s">
        <v>9411</v>
      </c>
      <c r="O21" s="6" t="s">
        <v>9393</v>
      </c>
      <c r="P21" s="6" t="s">
        <v>13</v>
      </c>
    </row>
    <row r="22" spans="2:16">
      <c r="B22" s="6" t="s">
        <v>9410</v>
      </c>
      <c r="C22" s="6" t="s">
        <v>9390</v>
      </c>
      <c r="D22" s="6" t="s">
        <v>9391</v>
      </c>
      <c r="E22" s="6">
        <v>0.9</v>
      </c>
      <c r="F22" s="6">
        <v>200</v>
      </c>
      <c r="G22" s="6">
        <v>2</v>
      </c>
      <c r="H22" s="9">
        <v>4.9000000000000004</v>
      </c>
      <c r="I22" s="6">
        <v>54</v>
      </c>
      <c r="J22" s="6">
        <v>2012</v>
      </c>
      <c r="L22" s="6" t="s">
        <v>463</v>
      </c>
      <c r="M22" s="6" t="s">
        <v>9410</v>
      </c>
      <c r="N22" s="6" t="s">
        <v>9411</v>
      </c>
      <c r="O22" s="6" t="s">
        <v>9393</v>
      </c>
      <c r="P22" s="6" t="s">
        <v>13</v>
      </c>
    </row>
    <row r="23" spans="2:16">
      <c r="B23" s="6" t="s">
        <v>9410</v>
      </c>
      <c r="C23" s="6" t="s">
        <v>9390</v>
      </c>
      <c r="D23" s="6" t="s">
        <v>9391</v>
      </c>
      <c r="E23" s="6">
        <v>0.9</v>
      </c>
      <c r="F23" s="6">
        <v>200</v>
      </c>
      <c r="G23" s="6">
        <v>2</v>
      </c>
      <c r="H23" s="9">
        <v>5</v>
      </c>
      <c r="I23" s="6">
        <v>54</v>
      </c>
      <c r="J23" s="6">
        <v>1989</v>
      </c>
      <c r="L23" s="6" t="s">
        <v>463</v>
      </c>
      <c r="M23" s="6" t="s">
        <v>9410</v>
      </c>
      <c r="N23" s="6" t="s">
        <v>9411</v>
      </c>
      <c r="O23" s="6" t="s">
        <v>9393</v>
      </c>
      <c r="P23" s="6" t="s">
        <v>13</v>
      </c>
    </row>
    <row r="24" spans="2:16">
      <c r="B24" s="6" t="s">
        <v>9410</v>
      </c>
      <c r="C24" s="6" t="s">
        <v>9390</v>
      </c>
      <c r="D24" s="6" t="s">
        <v>9391</v>
      </c>
      <c r="E24" s="6">
        <v>0.9</v>
      </c>
      <c r="F24" s="6">
        <v>200</v>
      </c>
      <c r="G24" s="6">
        <v>2</v>
      </c>
      <c r="H24" s="9">
        <v>8.15</v>
      </c>
      <c r="I24" s="6">
        <v>54</v>
      </c>
      <c r="J24" s="6">
        <v>2015</v>
      </c>
      <c r="L24" s="6" t="s">
        <v>463</v>
      </c>
      <c r="M24" s="6" t="s">
        <v>9410</v>
      </c>
      <c r="N24" s="6" t="s">
        <v>9411</v>
      </c>
      <c r="O24" s="6" t="s">
        <v>9393</v>
      </c>
      <c r="P24" s="6" t="s">
        <v>13</v>
      </c>
    </row>
    <row r="25" spans="2:16">
      <c r="B25" s="6" t="s">
        <v>9410</v>
      </c>
      <c r="C25" s="6" t="s">
        <v>9390</v>
      </c>
      <c r="D25" s="6" t="s">
        <v>9391</v>
      </c>
      <c r="E25" s="6">
        <v>0.9</v>
      </c>
      <c r="F25" s="6">
        <v>200</v>
      </c>
      <c r="G25" s="6">
        <v>2</v>
      </c>
      <c r="H25" s="9">
        <v>9.65</v>
      </c>
      <c r="I25" s="6">
        <v>54</v>
      </c>
      <c r="J25" s="6">
        <v>2017</v>
      </c>
      <c r="L25" s="6" t="s">
        <v>463</v>
      </c>
      <c r="M25" s="6" t="s">
        <v>9410</v>
      </c>
      <c r="N25" s="6" t="s">
        <v>9411</v>
      </c>
      <c r="O25" s="6" t="s">
        <v>9393</v>
      </c>
      <c r="P25" s="6" t="s">
        <v>13</v>
      </c>
    </row>
    <row r="26" spans="2:16">
      <c r="B26" s="6" t="s">
        <v>9410</v>
      </c>
      <c r="C26" s="6" t="s">
        <v>9390</v>
      </c>
      <c r="D26" s="6" t="s">
        <v>9391</v>
      </c>
      <c r="E26" s="6">
        <v>0.9</v>
      </c>
      <c r="F26" s="6">
        <v>200</v>
      </c>
      <c r="G26" s="6">
        <v>2</v>
      </c>
      <c r="H26" s="9">
        <v>13.35</v>
      </c>
      <c r="I26" s="6">
        <v>54</v>
      </c>
      <c r="J26" s="6">
        <v>2018</v>
      </c>
      <c r="L26" s="6" t="s">
        <v>463</v>
      </c>
      <c r="M26" s="6" t="s">
        <v>9410</v>
      </c>
      <c r="N26" s="6" t="s">
        <v>9411</v>
      </c>
      <c r="O26" s="6" t="s">
        <v>9393</v>
      </c>
      <c r="P26" s="6" t="s">
        <v>13</v>
      </c>
    </row>
    <row r="27" spans="2:16">
      <c r="B27" s="6" t="s">
        <v>9410</v>
      </c>
      <c r="C27" s="6" t="s">
        <v>9390</v>
      </c>
      <c r="D27" s="6" t="s">
        <v>9391</v>
      </c>
      <c r="E27" s="6">
        <v>0.9</v>
      </c>
      <c r="F27" s="6">
        <v>200</v>
      </c>
      <c r="G27" s="6">
        <v>2</v>
      </c>
      <c r="H27" s="9">
        <v>27.55</v>
      </c>
      <c r="I27" s="6">
        <v>54</v>
      </c>
      <c r="J27" s="6">
        <v>2016</v>
      </c>
      <c r="L27" s="6" t="s">
        <v>463</v>
      </c>
      <c r="M27" s="6" t="s">
        <v>9410</v>
      </c>
      <c r="N27" s="6" t="s">
        <v>9411</v>
      </c>
      <c r="O27" s="6" t="s">
        <v>9393</v>
      </c>
      <c r="P27" s="6" t="s">
        <v>13</v>
      </c>
    </row>
    <row r="28" spans="2:16">
      <c r="B28" s="6" t="s">
        <v>9412</v>
      </c>
      <c r="C28" s="6" t="s">
        <v>9390</v>
      </c>
      <c r="D28" s="6" t="s">
        <v>9391</v>
      </c>
      <c r="E28" s="6">
        <v>0.9</v>
      </c>
      <c r="F28" s="6">
        <v>200</v>
      </c>
      <c r="G28" s="6">
        <v>2</v>
      </c>
      <c r="H28" s="9">
        <v>7.2</v>
      </c>
      <c r="I28" s="6">
        <v>54</v>
      </c>
      <c r="J28" s="6">
        <v>1972</v>
      </c>
      <c r="L28" s="6" t="s">
        <v>463</v>
      </c>
      <c r="M28" s="6" t="s">
        <v>9412</v>
      </c>
      <c r="N28" s="6" t="s">
        <v>9413</v>
      </c>
      <c r="O28" s="6" t="s">
        <v>9393</v>
      </c>
      <c r="P28" s="6" t="s">
        <v>13</v>
      </c>
    </row>
    <row r="29" spans="2:16">
      <c r="B29" s="6" t="s">
        <v>9414</v>
      </c>
      <c r="C29" s="6" t="s">
        <v>9390</v>
      </c>
      <c r="D29" s="6" t="s">
        <v>9391</v>
      </c>
      <c r="E29" s="6">
        <v>0.9</v>
      </c>
      <c r="F29" s="6">
        <v>200</v>
      </c>
      <c r="G29" s="6">
        <v>2</v>
      </c>
      <c r="H29" s="9">
        <v>7</v>
      </c>
      <c r="I29" s="6">
        <v>54</v>
      </c>
      <c r="J29" s="6">
        <v>2024</v>
      </c>
      <c r="L29" s="6" t="s">
        <v>463</v>
      </c>
      <c r="M29" s="6" t="s">
        <v>9414</v>
      </c>
      <c r="N29" s="6" t="s">
        <v>9415</v>
      </c>
      <c r="O29" s="6" t="s">
        <v>9393</v>
      </c>
      <c r="P29" s="6" t="s">
        <v>13</v>
      </c>
    </row>
    <row r="30" spans="2:16">
      <c r="B30" s="6" t="s">
        <v>9414</v>
      </c>
      <c r="C30" s="6" t="s">
        <v>9390</v>
      </c>
      <c r="D30" s="6" t="s">
        <v>9391</v>
      </c>
      <c r="E30" s="6">
        <v>0.9</v>
      </c>
      <c r="F30" s="6">
        <v>200</v>
      </c>
      <c r="G30" s="6">
        <v>2</v>
      </c>
      <c r="H30" s="9">
        <v>7</v>
      </c>
      <c r="I30" s="6">
        <v>54</v>
      </c>
      <c r="J30" s="6">
        <v>2025</v>
      </c>
      <c r="L30" s="6" t="s">
        <v>463</v>
      </c>
      <c r="M30" s="6" t="s">
        <v>9414</v>
      </c>
      <c r="N30" s="6" t="s">
        <v>9415</v>
      </c>
      <c r="O30" s="6" t="s">
        <v>9393</v>
      </c>
      <c r="P30" s="6" t="s">
        <v>13</v>
      </c>
    </row>
    <row r="31" spans="2:16">
      <c r="B31" s="6" t="s">
        <v>9416</v>
      </c>
      <c r="C31" s="6" t="s">
        <v>9390</v>
      </c>
      <c r="D31" s="6" t="s">
        <v>9391</v>
      </c>
      <c r="E31" s="6">
        <v>0.9</v>
      </c>
      <c r="F31" s="6">
        <v>200</v>
      </c>
      <c r="G31" s="6">
        <v>2</v>
      </c>
      <c r="H31" s="9">
        <v>4.5</v>
      </c>
      <c r="I31" s="6">
        <v>54</v>
      </c>
      <c r="J31" s="6">
        <v>2013</v>
      </c>
      <c r="L31" s="6" t="s">
        <v>463</v>
      </c>
      <c r="M31" s="6" t="s">
        <v>9416</v>
      </c>
      <c r="N31" s="6" t="s">
        <v>9417</v>
      </c>
      <c r="O31" s="6" t="s">
        <v>9393</v>
      </c>
      <c r="P31" s="6" t="s">
        <v>13</v>
      </c>
    </row>
    <row r="32" spans="2:16">
      <c r="B32" s="6" t="s">
        <v>9416</v>
      </c>
      <c r="C32" s="6" t="s">
        <v>9390</v>
      </c>
      <c r="D32" s="6" t="s">
        <v>9391</v>
      </c>
      <c r="E32" s="6">
        <v>0.9</v>
      </c>
      <c r="F32" s="6">
        <v>200</v>
      </c>
      <c r="G32" s="6">
        <v>2</v>
      </c>
      <c r="H32" s="9">
        <v>4.7</v>
      </c>
      <c r="I32" s="6">
        <v>54</v>
      </c>
      <c r="J32" s="6">
        <v>2014</v>
      </c>
      <c r="L32" s="6" t="s">
        <v>463</v>
      </c>
      <c r="M32" s="6" t="s">
        <v>9416</v>
      </c>
      <c r="N32" s="6" t="s">
        <v>9417</v>
      </c>
      <c r="O32" s="6" t="s">
        <v>9393</v>
      </c>
      <c r="P32" s="6" t="s">
        <v>13</v>
      </c>
    </row>
    <row r="33" spans="2:16">
      <c r="B33" s="6" t="s">
        <v>9416</v>
      </c>
      <c r="C33" s="6" t="s">
        <v>9390</v>
      </c>
      <c r="D33" s="6" t="s">
        <v>9391</v>
      </c>
      <c r="E33" s="6">
        <v>0.9</v>
      </c>
      <c r="F33" s="6">
        <v>200</v>
      </c>
      <c r="G33" s="6">
        <v>2</v>
      </c>
      <c r="H33" s="9">
        <v>7.8676470588235299</v>
      </c>
      <c r="I33" s="6">
        <v>54</v>
      </c>
      <c r="J33" s="6">
        <v>1978</v>
      </c>
      <c r="L33" s="6" t="s">
        <v>463</v>
      </c>
      <c r="M33" s="6" t="s">
        <v>9416</v>
      </c>
      <c r="N33" s="6" t="s">
        <v>9417</v>
      </c>
      <c r="O33" s="6" t="s">
        <v>9393</v>
      </c>
      <c r="P33" s="6" t="s">
        <v>13</v>
      </c>
    </row>
    <row r="34" spans="2:16">
      <c r="B34" s="6" t="s">
        <v>9416</v>
      </c>
      <c r="C34" s="6" t="s">
        <v>9390</v>
      </c>
      <c r="D34" s="6" t="s">
        <v>9391</v>
      </c>
      <c r="E34" s="6">
        <v>0.9</v>
      </c>
      <c r="F34" s="6">
        <v>200</v>
      </c>
      <c r="G34" s="6">
        <v>2</v>
      </c>
      <c r="H34" s="9">
        <v>8.1999999999999993</v>
      </c>
      <c r="I34" s="6">
        <v>54</v>
      </c>
      <c r="J34" s="6">
        <v>1981</v>
      </c>
      <c r="L34" s="6" t="s">
        <v>463</v>
      </c>
      <c r="M34" s="6" t="s">
        <v>9416</v>
      </c>
      <c r="N34" s="6" t="s">
        <v>9417</v>
      </c>
      <c r="O34" s="6" t="s">
        <v>9393</v>
      </c>
      <c r="P34" s="6" t="s">
        <v>13</v>
      </c>
    </row>
    <row r="35" spans="2:16">
      <c r="B35" s="6" t="s">
        <v>9418</v>
      </c>
      <c r="C35" s="6" t="s">
        <v>9390</v>
      </c>
      <c r="D35" s="6" t="s">
        <v>9391</v>
      </c>
      <c r="E35" s="6">
        <v>0.9</v>
      </c>
      <c r="F35" s="6">
        <v>200</v>
      </c>
      <c r="G35" s="6">
        <v>2</v>
      </c>
      <c r="H35" s="9">
        <v>12.2</v>
      </c>
      <c r="I35" s="6">
        <v>54</v>
      </c>
      <c r="J35" s="6">
        <v>2005</v>
      </c>
      <c r="L35" s="6" t="s">
        <v>463</v>
      </c>
      <c r="M35" s="6" t="s">
        <v>9418</v>
      </c>
      <c r="N35" s="6" t="s">
        <v>9419</v>
      </c>
      <c r="O35" s="6" t="s">
        <v>9393</v>
      </c>
      <c r="P35" s="6" t="s">
        <v>13</v>
      </c>
    </row>
    <row r="36" spans="2:16">
      <c r="B36" s="6" t="s">
        <v>9420</v>
      </c>
      <c r="C36" s="6" t="s">
        <v>9390</v>
      </c>
      <c r="D36" s="6" t="s">
        <v>9391</v>
      </c>
      <c r="E36" s="6">
        <v>0.9</v>
      </c>
      <c r="F36" s="6">
        <v>200</v>
      </c>
      <c r="G36" s="6">
        <v>2</v>
      </c>
      <c r="H36" s="9">
        <v>3.7</v>
      </c>
      <c r="I36" s="6">
        <v>54</v>
      </c>
      <c r="J36" s="6">
        <v>2007</v>
      </c>
      <c r="L36" s="6" t="s">
        <v>463</v>
      </c>
      <c r="M36" s="6" t="s">
        <v>9420</v>
      </c>
      <c r="N36" s="6" t="s">
        <v>9421</v>
      </c>
      <c r="O36" s="6" t="s">
        <v>9393</v>
      </c>
      <c r="P36" s="6" t="s">
        <v>13</v>
      </c>
    </row>
    <row r="37" spans="2:16">
      <c r="B37" s="6" t="s">
        <v>9422</v>
      </c>
      <c r="C37" s="6" t="s">
        <v>9390</v>
      </c>
      <c r="D37" s="6" t="s">
        <v>9391</v>
      </c>
      <c r="E37" s="6">
        <v>0.9</v>
      </c>
      <c r="F37" s="6">
        <v>200</v>
      </c>
      <c r="G37" s="6">
        <v>2</v>
      </c>
      <c r="H37" s="9">
        <v>0.5</v>
      </c>
      <c r="I37" s="6">
        <v>54</v>
      </c>
      <c r="J37" s="6">
        <v>2025</v>
      </c>
      <c r="L37" s="6" t="s">
        <v>463</v>
      </c>
      <c r="M37" s="6" t="s">
        <v>9422</v>
      </c>
      <c r="N37" s="6" t="s">
        <v>9423</v>
      </c>
      <c r="O37" s="6" t="s">
        <v>9393</v>
      </c>
      <c r="P37" s="6" t="s">
        <v>13</v>
      </c>
    </row>
    <row r="38" spans="2:16">
      <c r="B38" s="6" t="s">
        <v>9422</v>
      </c>
      <c r="C38" s="6" t="s">
        <v>9390</v>
      </c>
      <c r="D38" s="6" t="s">
        <v>9391</v>
      </c>
      <c r="E38" s="6">
        <v>0.9</v>
      </c>
      <c r="F38" s="6">
        <v>200</v>
      </c>
      <c r="G38" s="6">
        <v>2</v>
      </c>
      <c r="H38" s="9">
        <v>2</v>
      </c>
      <c r="I38" s="6">
        <v>54</v>
      </c>
      <c r="J38" s="6">
        <v>2015</v>
      </c>
      <c r="L38" s="6" t="s">
        <v>463</v>
      </c>
      <c r="M38" s="6" t="s">
        <v>9422</v>
      </c>
      <c r="N38" s="6" t="s">
        <v>9423</v>
      </c>
      <c r="O38" s="6" t="s">
        <v>9393</v>
      </c>
      <c r="P38" s="6" t="s">
        <v>13</v>
      </c>
    </row>
    <row r="39" spans="2:16">
      <c r="B39" s="6" t="s">
        <v>9422</v>
      </c>
      <c r="C39" s="6" t="s">
        <v>9390</v>
      </c>
      <c r="D39" s="6" t="s">
        <v>9391</v>
      </c>
      <c r="E39" s="6">
        <v>0.9</v>
      </c>
      <c r="F39" s="6">
        <v>200</v>
      </c>
      <c r="G39" s="6">
        <v>2</v>
      </c>
      <c r="H39" s="9">
        <v>2.6</v>
      </c>
      <c r="I39" s="6">
        <v>54</v>
      </c>
      <c r="J39" s="6">
        <v>1990</v>
      </c>
      <c r="L39" s="6" t="s">
        <v>463</v>
      </c>
      <c r="M39" s="6" t="s">
        <v>9422</v>
      </c>
      <c r="N39" s="6" t="s">
        <v>9423</v>
      </c>
      <c r="O39" s="6" t="s">
        <v>9393</v>
      </c>
      <c r="P39" s="6" t="s">
        <v>13</v>
      </c>
    </row>
    <row r="40" spans="2:16">
      <c r="B40" s="6" t="s">
        <v>9422</v>
      </c>
      <c r="C40" s="6" t="s">
        <v>9390</v>
      </c>
      <c r="D40" s="6" t="s">
        <v>9391</v>
      </c>
      <c r="E40" s="6">
        <v>0.9</v>
      </c>
      <c r="F40" s="6">
        <v>200</v>
      </c>
      <c r="G40" s="6">
        <v>2</v>
      </c>
      <c r="H40" s="9">
        <v>3.8</v>
      </c>
      <c r="I40" s="6">
        <v>54</v>
      </c>
      <c r="J40" s="6">
        <v>2023</v>
      </c>
      <c r="L40" s="6" t="s">
        <v>463</v>
      </c>
      <c r="M40" s="6" t="s">
        <v>9422</v>
      </c>
      <c r="N40" s="6" t="s">
        <v>9423</v>
      </c>
      <c r="O40" s="6" t="s">
        <v>9393</v>
      </c>
      <c r="P40" s="6" t="s">
        <v>13</v>
      </c>
    </row>
    <row r="41" spans="2:16">
      <c r="B41" s="6" t="s">
        <v>9422</v>
      </c>
      <c r="C41" s="6" t="s">
        <v>9390</v>
      </c>
      <c r="D41" s="6" t="s">
        <v>9391</v>
      </c>
      <c r="E41" s="6">
        <v>0.9</v>
      </c>
      <c r="F41" s="6">
        <v>200</v>
      </c>
      <c r="G41" s="6">
        <v>2</v>
      </c>
      <c r="H41" s="9">
        <v>4.4000000000000004</v>
      </c>
      <c r="I41" s="6">
        <v>54</v>
      </c>
      <c r="J41" s="6">
        <v>1994</v>
      </c>
      <c r="L41" s="6" t="s">
        <v>463</v>
      </c>
      <c r="M41" s="6" t="s">
        <v>9422</v>
      </c>
      <c r="N41" s="6" t="s">
        <v>9423</v>
      </c>
      <c r="O41" s="6" t="s">
        <v>9393</v>
      </c>
      <c r="P41" s="6" t="s">
        <v>13</v>
      </c>
    </row>
    <row r="42" spans="2:16">
      <c r="B42" s="6" t="s">
        <v>9422</v>
      </c>
      <c r="C42" s="6" t="s">
        <v>9390</v>
      </c>
      <c r="D42" s="6" t="s">
        <v>9391</v>
      </c>
      <c r="E42" s="6">
        <v>0.9</v>
      </c>
      <c r="F42" s="6">
        <v>200</v>
      </c>
      <c r="G42" s="6">
        <v>2</v>
      </c>
      <c r="H42" s="9">
        <v>6.3</v>
      </c>
      <c r="I42" s="6">
        <v>54</v>
      </c>
      <c r="J42" s="6">
        <v>1998</v>
      </c>
      <c r="L42" s="6" t="s">
        <v>463</v>
      </c>
      <c r="M42" s="6" t="s">
        <v>9422</v>
      </c>
      <c r="N42" s="6" t="s">
        <v>9423</v>
      </c>
      <c r="O42" s="6" t="s">
        <v>9393</v>
      </c>
      <c r="P42" s="6" t="s">
        <v>13</v>
      </c>
    </row>
    <row r="43" spans="2:16">
      <c r="B43" s="6" t="s">
        <v>9422</v>
      </c>
      <c r="C43" s="6" t="s">
        <v>9390</v>
      </c>
      <c r="D43" s="6" t="s">
        <v>9391</v>
      </c>
      <c r="E43" s="6">
        <v>0.9</v>
      </c>
      <c r="F43" s="6">
        <v>200</v>
      </c>
      <c r="G43" s="6">
        <v>2</v>
      </c>
      <c r="H43" s="9">
        <v>7.6</v>
      </c>
      <c r="I43" s="6">
        <v>54</v>
      </c>
      <c r="J43" s="6">
        <v>2009</v>
      </c>
      <c r="L43" s="6" t="s">
        <v>463</v>
      </c>
      <c r="M43" s="6" t="s">
        <v>9422</v>
      </c>
      <c r="N43" s="6" t="s">
        <v>9423</v>
      </c>
      <c r="O43" s="6" t="s">
        <v>9393</v>
      </c>
      <c r="P43" s="6" t="s">
        <v>13</v>
      </c>
    </row>
    <row r="44" spans="2:16">
      <c r="B44" s="6" t="s">
        <v>9424</v>
      </c>
      <c r="C44" s="6" t="s">
        <v>9390</v>
      </c>
      <c r="D44" s="6" t="s">
        <v>9391</v>
      </c>
      <c r="E44" s="6">
        <v>0.9</v>
      </c>
      <c r="F44" s="6">
        <v>200</v>
      </c>
      <c r="G44" s="6">
        <v>2</v>
      </c>
      <c r="H44" s="9">
        <v>2.4</v>
      </c>
      <c r="I44" s="6">
        <v>54</v>
      </c>
      <c r="J44" s="6">
        <v>2025</v>
      </c>
      <c r="L44" s="6" t="s">
        <v>463</v>
      </c>
      <c r="M44" s="6" t="s">
        <v>9424</v>
      </c>
      <c r="N44" s="6" t="s">
        <v>9425</v>
      </c>
      <c r="O44" s="6" t="s">
        <v>9393</v>
      </c>
      <c r="P44" s="6" t="s">
        <v>13</v>
      </c>
    </row>
    <row r="45" spans="2:16">
      <c r="B45" s="6" t="s">
        <v>9426</v>
      </c>
      <c r="C45" s="6" t="s">
        <v>9390</v>
      </c>
      <c r="D45" s="6" t="s">
        <v>9391</v>
      </c>
      <c r="E45" s="6">
        <v>0.9</v>
      </c>
      <c r="F45" s="6">
        <v>200</v>
      </c>
      <c r="G45" s="6">
        <v>2</v>
      </c>
      <c r="H45" s="9">
        <v>3.6</v>
      </c>
      <c r="I45" s="6">
        <v>54</v>
      </c>
      <c r="J45" s="6">
        <v>2017</v>
      </c>
      <c r="L45" s="6" t="s">
        <v>463</v>
      </c>
      <c r="M45" s="6" t="s">
        <v>9426</v>
      </c>
      <c r="N45" s="6" t="s">
        <v>9427</v>
      </c>
      <c r="O45" s="6" t="s">
        <v>9393</v>
      </c>
      <c r="P45" s="6" t="s">
        <v>13</v>
      </c>
    </row>
    <row r="46" spans="2:16">
      <c r="B46" s="6" t="s">
        <v>9426</v>
      </c>
      <c r="C46" s="6" t="s">
        <v>9390</v>
      </c>
      <c r="D46" s="6" t="s">
        <v>9391</v>
      </c>
      <c r="E46" s="6">
        <v>0.9</v>
      </c>
      <c r="F46" s="6">
        <v>200</v>
      </c>
      <c r="G46" s="6">
        <v>2</v>
      </c>
      <c r="H46" s="9">
        <v>7.7</v>
      </c>
      <c r="I46" s="6">
        <v>54</v>
      </c>
      <c r="J46" s="6">
        <v>2003</v>
      </c>
      <c r="L46" s="6" t="s">
        <v>463</v>
      </c>
      <c r="M46" s="6" t="s">
        <v>9426</v>
      </c>
      <c r="N46" s="6" t="s">
        <v>9427</v>
      </c>
      <c r="O46" s="6" t="s">
        <v>9393</v>
      </c>
      <c r="P46" s="6" t="s">
        <v>13</v>
      </c>
    </row>
    <row r="47" spans="2:16">
      <c r="B47" s="6" t="s">
        <v>9426</v>
      </c>
      <c r="C47" s="6" t="s">
        <v>9390</v>
      </c>
      <c r="D47" s="6" t="s">
        <v>9391</v>
      </c>
      <c r="E47" s="6">
        <v>0.9</v>
      </c>
      <c r="F47" s="6">
        <v>200</v>
      </c>
      <c r="G47" s="6">
        <v>2</v>
      </c>
      <c r="H47" s="9">
        <v>8.4</v>
      </c>
      <c r="I47" s="6">
        <v>54</v>
      </c>
      <c r="J47" s="6">
        <v>1983</v>
      </c>
      <c r="L47" s="6" t="s">
        <v>463</v>
      </c>
      <c r="M47" s="6" t="s">
        <v>9426</v>
      </c>
      <c r="N47" s="6" t="s">
        <v>9427</v>
      </c>
      <c r="O47" s="6" t="s">
        <v>9393</v>
      </c>
      <c r="P47" s="6" t="s">
        <v>13</v>
      </c>
    </row>
    <row r="48" spans="2:16">
      <c r="B48" s="6" t="s">
        <v>9426</v>
      </c>
      <c r="C48" s="6" t="s">
        <v>9390</v>
      </c>
      <c r="D48" s="6" t="s">
        <v>9391</v>
      </c>
      <c r="E48" s="6">
        <v>0.9</v>
      </c>
      <c r="F48" s="6">
        <v>200</v>
      </c>
      <c r="G48" s="6">
        <v>2</v>
      </c>
      <c r="H48" s="9">
        <v>9.6</v>
      </c>
      <c r="I48" s="6">
        <v>54</v>
      </c>
      <c r="J48" s="6">
        <v>1995</v>
      </c>
      <c r="L48" s="6" t="s">
        <v>463</v>
      </c>
      <c r="M48" s="6" t="s">
        <v>9426</v>
      </c>
      <c r="N48" s="6" t="s">
        <v>9427</v>
      </c>
      <c r="O48" s="6" t="s">
        <v>9393</v>
      </c>
      <c r="P48" s="6" t="s">
        <v>13</v>
      </c>
    </row>
    <row r="49" spans="2:16">
      <c r="B49" s="6" t="s">
        <v>9428</v>
      </c>
      <c r="C49" s="6" t="s">
        <v>9390</v>
      </c>
      <c r="D49" s="6" t="s">
        <v>9391</v>
      </c>
      <c r="E49" s="6">
        <v>0.9</v>
      </c>
      <c r="F49" s="6">
        <v>200</v>
      </c>
      <c r="G49" s="6">
        <v>2</v>
      </c>
      <c r="H49" s="9">
        <v>3.3</v>
      </c>
      <c r="I49" s="6">
        <v>54</v>
      </c>
      <c r="J49" s="6">
        <v>2002</v>
      </c>
      <c r="L49" s="6" t="s">
        <v>463</v>
      </c>
      <c r="M49" s="6" t="s">
        <v>9428</v>
      </c>
      <c r="N49" s="6" t="s">
        <v>9429</v>
      </c>
      <c r="O49" s="6" t="s">
        <v>9393</v>
      </c>
      <c r="P49" s="6" t="s">
        <v>13</v>
      </c>
    </row>
    <row r="50" spans="2:16">
      <c r="B50" s="6" t="s">
        <v>9428</v>
      </c>
      <c r="C50" s="6" t="s">
        <v>9390</v>
      </c>
      <c r="D50" s="6" t="s">
        <v>9391</v>
      </c>
      <c r="E50" s="6">
        <v>0.9</v>
      </c>
      <c r="F50" s="6">
        <v>200</v>
      </c>
      <c r="G50" s="6">
        <v>2</v>
      </c>
      <c r="H50" s="9">
        <v>4.0999999999999996</v>
      </c>
      <c r="I50" s="6">
        <v>54</v>
      </c>
      <c r="J50" s="6">
        <v>2008</v>
      </c>
      <c r="L50" s="6" t="s">
        <v>463</v>
      </c>
      <c r="M50" s="6" t="s">
        <v>9428</v>
      </c>
      <c r="N50" s="6" t="s">
        <v>9429</v>
      </c>
      <c r="O50" s="6" t="s">
        <v>9393</v>
      </c>
      <c r="P50" s="6" t="s">
        <v>13</v>
      </c>
    </row>
    <row r="51" spans="2:16">
      <c r="B51" s="6" t="s">
        <v>9428</v>
      </c>
      <c r="C51" s="6" t="s">
        <v>9390</v>
      </c>
      <c r="D51" s="6" t="s">
        <v>9391</v>
      </c>
      <c r="E51" s="6">
        <v>0.9</v>
      </c>
      <c r="F51" s="6">
        <v>200</v>
      </c>
      <c r="G51" s="6">
        <v>2</v>
      </c>
      <c r="H51" s="9">
        <v>6.6</v>
      </c>
      <c r="I51" s="6">
        <v>54</v>
      </c>
      <c r="J51" s="6">
        <v>1999</v>
      </c>
      <c r="L51" s="6" t="s">
        <v>463</v>
      </c>
      <c r="M51" s="6" t="s">
        <v>9428</v>
      </c>
      <c r="N51" s="6" t="s">
        <v>9429</v>
      </c>
      <c r="O51" s="6" t="s">
        <v>9393</v>
      </c>
      <c r="P51" s="6" t="s">
        <v>13</v>
      </c>
    </row>
    <row r="52" spans="2:16">
      <c r="B52" s="6" t="s">
        <v>9428</v>
      </c>
      <c r="C52" s="6" t="s">
        <v>9390</v>
      </c>
      <c r="D52" s="6" t="s">
        <v>9391</v>
      </c>
      <c r="E52" s="6">
        <v>0.9</v>
      </c>
      <c r="F52" s="6">
        <v>200</v>
      </c>
      <c r="G52" s="6">
        <v>2</v>
      </c>
      <c r="H52" s="9">
        <v>7.6</v>
      </c>
      <c r="I52" s="6">
        <v>54</v>
      </c>
      <c r="J52" s="6">
        <v>2025</v>
      </c>
      <c r="L52" s="6" t="s">
        <v>463</v>
      </c>
      <c r="M52" s="6" t="s">
        <v>9428</v>
      </c>
      <c r="N52" s="6" t="s">
        <v>9429</v>
      </c>
      <c r="O52" s="6" t="s">
        <v>9393</v>
      </c>
      <c r="P52" s="6" t="s">
        <v>13</v>
      </c>
    </row>
    <row r="53" spans="2:16">
      <c r="B53" s="6" t="s">
        <v>9428</v>
      </c>
      <c r="C53" s="6" t="s">
        <v>9390</v>
      </c>
      <c r="D53" s="6" t="s">
        <v>9391</v>
      </c>
      <c r="E53" s="6">
        <v>0.9</v>
      </c>
      <c r="F53" s="6">
        <v>200</v>
      </c>
      <c r="G53" s="6">
        <v>2</v>
      </c>
      <c r="H53" s="9">
        <v>8.1999999999999993</v>
      </c>
      <c r="I53" s="6">
        <v>54</v>
      </c>
      <c r="J53" s="6">
        <v>2006</v>
      </c>
      <c r="L53" s="6" t="s">
        <v>463</v>
      </c>
      <c r="M53" s="6" t="s">
        <v>9428</v>
      </c>
      <c r="N53" s="6" t="s">
        <v>9429</v>
      </c>
      <c r="O53" s="6" t="s">
        <v>9393</v>
      </c>
      <c r="P53" s="6" t="s">
        <v>13</v>
      </c>
    </row>
    <row r="54" spans="2:16">
      <c r="B54" s="6" t="s">
        <v>9430</v>
      </c>
      <c r="C54" s="6" t="s">
        <v>9390</v>
      </c>
      <c r="D54" s="6" t="s">
        <v>9391</v>
      </c>
      <c r="E54" s="6">
        <v>0.9</v>
      </c>
      <c r="F54" s="6">
        <v>200</v>
      </c>
      <c r="G54" s="6">
        <v>2</v>
      </c>
      <c r="H54" s="9">
        <v>0.3</v>
      </c>
      <c r="I54" s="6">
        <v>54</v>
      </c>
      <c r="J54" s="6">
        <v>2011</v>
      </c>
      <c r="L54" s="6" t="s">
        <v>463</v>
      </c>
      <c r="M54" s="6" t="s">
        <v>9430</v>
      </c>
      <c r="N54" s="6" t="s">
        <v>9431</v>
      </c>
      <c r="O54" s="6" t="s">
        <v>9393</v>
      </c>
      <c r="P54" s="6" t="s">
        <v>13</v>
      </c>
    </row>
    <row r="55" spans="2:16">
      <c r="B55" s="6" t="s">
        <v>9430</v>
      </c>
      <c r="C55" s="6" t="s">
        <v>9390</v>
      </c>
      <c r="D55" s="6" t="s">
        <v>9391</v>
      </c>
      <c r="E55" s="6">
        <v>0.9</v>
      </c>
      <c r="F55" s="6">
        <v>200</v>
      </c>
      <c r="G55" s="6">
        <v>2</v>
      </c>
      <c r="H55" s="9">
        <v>4.2</v>
      </c>
      <c r="I55" s="6">
        <v>54</v>
      </c>
      <c r="J55" s="6">
        <v>2007</v>
      </c>
      <c r="L55" s="6" t="s">
        <v>463</v>
      </c>
      <c r="M55" s="6" t="s">
        <v>9430</v>
      </c>
      <c r="N55" s="6" t="s">
        <v>9431</v>
      </c>
      <c r="O55" s="6" t="s">
        <v>9393</v>
      </c>
      <c r="P55" s="6" t="s">
        <v>13</v>
      </c>
    </row>
    <row r="56" spans="2:16">
      <c r="B56" s="6" t="s">
        <v>9432</v>
      </c>
      <c r="C56" s="6" t="s">
        <v>9390</v>
      </c>
      <c r="D56" s="6" t="s">
        <v>9391</v>
      </c>
      <c r="E56" s="6">
        <v>0.9</v>
      </c>
      <c r="F56" s="6">
        <v>200</v>
      </c>
      <c r="G56" s="6">
        <v>2</v>
      </c>
      <c r="H56" s="9">
        <v>3.7</v>
      </c>
      <c r="I56" s="6">
        <v>54</v>
      </c>
      <c r="J56" s="6">
        <v>2005</v>
      </c>
      <c r="L56" s="6" t="s">
        <v>463</v>
      </c>
      <c r="M56" s="6" t="s">
        <v>9432</v>
      </c>
      <c r="N56" s="6" t="s">
        <v>9433</v>
      </c>
      <c r="O56" s="6" t="s">
        <v>9393</v>
      </c>
      <c r="P56" s="6" t="s">
        <v>13</v>
      </c>
    </row>
    <row r="57" spans="2:16">
      <c r="B57" s="6" t="s">
        <v>9432</v>
      </c>
      <c r="C57" s="6" t="s">
        <v>9390</v>
      </c>
      <c r="D57" s="6" t="s">
        <v>9391</v>
      </c>
      <c r="E57" s="6">
        <v>0.9</v>
      </c>
      <c r="F57" s="6">
        <v>200</v>
      </c>
      <c r="G57" s="6">
        <v>2</v>
      </c>
      <c r="H57" s="9">
        <v>7.1</v>
      </c>
      <c r="I57" s="6">
        <v>54</v>
      </c>
      <c r="J57" s="6">
        <v>2000</v>
      </c>
      <c r="L57" s="6" t="s">
        <v>463</v>
      </c>
      <c r="M57" s="6" t="s">
        <v>9432</v>
      </c>
      <c r="N57" s="6" t="s">
        <v>9433</v>
      </c>
      <c r="O57" s="6" t="s">
        <v>9393</v>
      </c>
      <c r="P57" s="6" t="s">
        <v>13</v>
      </c>
    </row>
    <row r="58" spans="2:16">
      <c r="B58" s="6" t="s">
        <v>9434</v>
      </c>
      <c r="C58" s="6" t="s">
        <v>9390</v>
      </c>
      <c r="D58" s="6" t="s">
        <v>9391</v>
      </c>
      <c r="E58" s="6">
        <v>0.9</v>
      </c>
      <c r="F58" s="6">
        <v>200</v>
      </c>
      <c r="G58" s="6">
        <v>2</v>
      </c>
      <c r="H58" s="9">
        <v>4.45</v>
      </c>
      <c r="I58" s="6">
        <v>54</v>
      </c>
      <c r="J58" s="6">
        <v>2010</v>
      </c>
      <c r="L58" s="6" t="s">
        <v>463</v>
      </c>
      <c r="M58" s="6" t="s">
        <v>9434</v>
      </c>
      <c r="N58" s="6" t="s">
        <v>9435</v>
      </c>
      <c r="O58" s="6" t="s">
        <v>9393</v>
      </c>
      <c r="P58" s="6" t="s">
        <v>13</v>
      </c>
    </row>
    <row r="59" spans="2:16">
      <c r="B59" s="6" t="s">
        <v>9436</v>
      </c>
      <c r="C59" s="6" t="s">
        <v>9390</v>
      </c>
      <c r="D59" s="6" t="s">
        <v>9391</v>
      </c>
      <c r="E59" s="6">
        <v>0.9</v>
      </c>
      <c r="F59" s="6">
        <v>200</v>
      </c>
      <c r="G59" s="6">
        <v>2</v>
      </c>
      <c r="H59" s="9">
        <v>6.9</v>
      </c>
      <c r="I59" s="6">
        <v>54</v>
      </c>
      <c r="J59" s="6">
        <v>2014</v>
      </c>
      <c r="L59" s="6" t="s">
        <v>463</v>
      </c>
      <c r="M59" s="6" t="s">
        <v>9436</v>
      </c>
      <c r="N59" s="6" t="s">
        <v>9437</v>
      </c>
      <c r="O59" s="6" t="s">
        <v>9393</v>
      </c>
      <c r="P59" s="6" t="s">
        <v>13</v>
      </c>
    </row>
    <row r="60" spans="2:16">
      <c r="B60" s="6" t="s">
        <v>9438</v>
      </c>
      <c r="C60" s="6" t="s">
        <v>9390</v>
      </c>
      <c r="D60" s="6" t="s">
        <v>9391</v>
      </c>
      <c r="E60" s="6">
        <v>0.9</v>
      </c>
      <c r="F60" s="6">
        <v>200</v>
      </c>
      <c r="G60" s="6">
        <v>2</v>
      </c>
      <c r="H60" s="9">
        <v>4.7</v>
      </c>
      <c r="I60" s="6">
        <v>54</v>
      </c>
      <c r="J60" s="6">
        <v>2004</v>
      </c>
      <c r="L60" s="6" t="s">
        <v>463</v>
      </c>
      <c r="M60" s="6" t="s">
        <v>9438</v>
      </c>
      <c r="N60" s="6" t="s">
        <v>9439</v>
      </c>
      <c r="O60" s="6" t="s">
        <v>9393</v>
      </c>
      <c r="P60" s="6" t="s">
        <v>13</v>
      </c>
    </row>
    <row r="61" spans="2:16">
      <c r="B61" s="6" t="s">
        <v>9438</v>
      </c>
      <c r="C61" s="6" t="s">
        <v>9390</v>
      </c>
      <c r="D61" s="6" t="s">
        <v>9391</v>
      </c>
      <c r="E61" s="6">
        <v>0.9</v>
      </c>
      <c r="F61" s="6">
        <v>200</v>
      </c>
      <c r="G61" s="6">
        <v>2</v>
      </c>
      <c r="H61" s="9">
        <v>4.7</v>
      </c>
      <c r="I61" s="6">
        <v>54</v>
      </c>
      <c r="J61" s="6">
        <v>2005</v>
      </c>
      <c r="L61" s="6" t="s">
        <v>463</v>
      </c>
      <c r="M61" s="6" t="s">
        <v>9438</v>
      </c>
      <c r="N61" s="6" t="s">
        <v>9439</v>
      </c>
      <c r="O61" s="6" t="s">
        <v>9393</v>
      </c>
      <c r="P61" s="6" t="s">
        <v>13</v>
      </c>
    </row>
    <row r="62" spans="2:16">
      <c r="B62" s="6" t="s">
        <v>9438</v>
      </c>
      <c r="C62" s="6" t="s">
        <v>9390</v>
      </c>
      <c r="D62" s="6" t="s">
        <v>9391</v>
      </c>
      <c r="E62" s="6">
        <v>0.9</v>
      </c>
      <c r="F62" s="6">
        <v>200</v>
      </c>
      <c r="G62" s="6">
        <v>2</v>
      </c>
      <c r="H62" s="9">
        <v>4.7</v>
      </c>
      <c r="I62" s="6">
        <v>54</v>
      </c>
      <c r="J62" s="6">
        <v>2006</v>
      </c>
      <c r="L62" s="6" t="s">
        <v>463</v>
      </c>
      <c r="M62" s="6" t="s">
        <v>9438</v>
      </c>
      <c r="N62" s="6" t="s">
        <v>9439</v>
      </c>
      <c r="O62" s="6" t="s">
        <v>9393</v>
      </c>
      <c r="P62" s="6" t="s">
        <v>13</v>
      </c>
    </row>
    <row r="63" spans="2:16">
      <c r="B63" s="6" t="s">
        <v>9438</v>
      </c>
      <c r="C63" s="6" t="s">
        <v>9390</v>
      </c>
      <c r="D63" s="6" t="s">
        <v>9391</v>
      </c>
      <c r="E63" s="6">
        <v>0.9</v>
      </c>
      <c r="F63" s="6">
        <v>200</v>
      </c>
      <c r="G63" s="6">
        <v>2</v>
      </c>
      <c r="H63" s="9">
        <v>6.6</v>
      </c>
      <c r="I63" s="6">
        <v>54</v>
      </c>
      <c r="J63" s="6">
        <v>1999</v>
      </c>
      <c r="L63" s="6" t="s">
        <v>463</v>
      </c>
      <c r="M63" s="6" t="s">
        <v>9438</v>
      </c>
      <c r="N63" s="6" t="s">
        <v>9439</v>
      </c>
      <c r="O63" s="6" t="s">
        <v>9393</v>
      </c>
      <c r="P63" s="6" t="s">
        <v>13</v>
      </c>
    </row>
    <row r="64" spans="2:16">
      <c r="B64" s="6" t="s">
        <v>9438</v>
      </c>
      <c r="C64" s="6" t="s">
        <v>9390</v>
      </c>
      <c r="D64" s="6" t="s">
        <v>9391</v>
      </c>
      <c r="E64" s="6">
        <v>0.9</v>
      </c>
      <c r="F64" s="6">
        <v>200</v>
      </c>
      <c r="G64" s="6">
        <v>2</v>
      </c>
      <c r="H64" s="9">
        <v>7.8</v>
      </c>
      <c r="I64" s="6">
        <v>54</v>
      </c>
      <c r="J64" s="6">
        <v>2011</v>
      </c>
      <c r="L64" s="6" t="s">
        <v>463</v>
      </c>
      <c r="M64" s="6" t="s">
        <v>9438</v>
      </c>
      <c r="N64" s="6" t="s">
        <v>9439</v>
      </c>
      <c r="O64" s="6" t="s">
        <v>9393</v>
      </c>
      <c r="P64" s="6" t="s">
        <v>13</v>
      </c>
    </row>
    <row r="65" spans="2:16">
      <c r="B65" s="6" t="s">
        <v>9438</v>
      </c>
      <c r="C65" s="6" t="s">
        <v>9390</v>
      </c>
      <c r="D65" s="6" t="s">
        <v>9391</v>
      </c>
      <c r="E65" s="6">
        <v>0.9</v>
      </c>
      <c r="F65" s="6">
        <v>200</v>
      </c>
      <c r="G65" s="6">
        <v>2</v>
      </c>
      <c r="H65" s="9">
        <v>9.6</v>
      </c>
      <c r="I65" s="6">
        <v>54</v>
      </c>
      <c r="J65" s="6">
        <v>1996</v>
      </c>
      <c r="L65" s="6" t="s">
        <v>463</v>
      </c>
      <c r="M65" s="6" t="s">
        <v>9438</v>
      </c>
      <c r="N65" s="6" t="s">
        <v>9439</v>
      </c>
      <c r="O65" s="6" t="s">
        <v>9393</v>
      </c>
      <c r="P65" s="6" t="s">
        <v>13</v>
      </c>
    </row>
    <row r="66" spans="2:16">
      <c r="B66" s="6" t="s">
        <v>9438</v>
      </c>
      <c r="C66" s="6" t="s">
        <v>9390</v>
      </c>
      <c r="D66" s="6" t="s">
        <v>9391</v>
      </c>
      <c r="E66" s="6">
        <v>0.9</v>
      </c>
      <c r="F66" s="6">
        <v>200</v>
      </c>
      <c r="G66" s="6">
        <v>2</v>
      </c>
      <c r="H66" s="9">
        <v>15.6</v>
      </c>
      <c r="I66" s="6">
        <v>54</v>
      </c>
      <c r="J66" s="6">
        <v>2010</v>
      </c>
      <c r="L66" s="6" t="s">
        <v>463</v>
      </c>
      <c r="M66" s="6" t="s">
        <v>9438</v>
      </c>
      <c r="N66" s="6" t="s">
        <v>9439</v>
      </c>
      <c r="O66" s="6" t="s">
        <v>9393</v>
      </c>
      <c r="P66" s="6" t="s">
        <v>13</v>
      </c>
    </row>
    <row r="67" spans="2:16">
      <c r="B67" s="6" t="s">
        <v>9438</v>
      </c>
      <c r="C67" s="6" t="s">
        <v>9390</v>
      </c>
      <c r="D67" s="6" t="s">
        <v>9391</v>
      </c>
      <c r="E67" s="6">
        <v>0.9</v>
      </c>
      <c r="F67" s="6">
        <v>200</v>
      </c>
      <c r="G67" s="6">
        <v>2</v>
      </c>
      <c r="H67" s="9">
        <v>23.4</v>
      </c>
      <c r="I67" s="6">
        <v>54</v>
      </c>
      <c r="J67" s="6">
        <v>2009</v>
      </c>
      <c r="L67" s="6" t="s">
        <v>463</v>
      </c>
      <c r="M67" s="6" t="s">
        <v>9438</v>
      </c>
      <c r="N67" s="6" t="s">
        <v>9439</v>
      </c>
      <c r="O67" s="6" t="s">
        <v>9393</v>
      </c>
      <c r="P67" s="6" t="s">
        <v>13</v>
      </c>
    </row>
    <row r="68" spans="2:16">
      <c r="B68" s="6" t="s">
        <v>9438</v>
      </c>
      <c r="C68" s="6" t="s">
        <v>9390</v>
      </c>
      <c r="D68" s="6" t="s">
        <v>9391</v>
      </c>
      <c r="E68" s="6">
        <v>0.9</v>
      </c>
      <c r="F68" s="6">
        <v>200</v>
      </c>
      <c r="G68" s="6">
        <v>2</v>
      </c>
      <c r="H68" s="9">
        <v>33</v>
      </c>
      <c r="I68" s="6">
        <v>54</v>
      </c>
      <c r="J68" s="6">
        <v>2025</v>
      </c>
      <c r="L68" s="6" t="s">
        <v>463</v>
      </c>
      <c r="M68" s="6" t="s">
        <v>9438</v>
      </c>
      <c r="N68" s="6" t="s">
        <v>9439</v>
      </c>
      <c r="O68" s="6" t="s">
        <v>9393</v>
      </c>
      <c r="P68" s="6" t="s">
        <v>13</v>
      </c>
    </row>
    <row r="69" spans="2:16">
      <c r="B69" s="6" t="s">
        <v>9440</v>
      </c>
      <c r="C69" s="6" t="s">
        <v>9390</v>
      </c>
      <c r="D69" s="6" t="s">
        <v>9391</v>
      </c>
      <c r="E69" s="6">
        <v>0.9</v>
      </c>
      <c r="F69" s="6">
        <v>200</v>
      </c>
      <c r="G69" s="6">
        <v>2</v>
      </c>
      <c r="H69" s="9">
        <v>0.94</v>
      </c>
      <c r="I69" s="6">
        <v>54</v>
      </c>
      <c r="J69" s="6">
        <v>2021</v>
      </c>
      <c r="L69" s="6" t="s">
        <v>463</v>
      </c>
      <c r="M69" s="6" t="s">
        <v>9440</v>
      </c>
      <c r="N69" s="6" t="s">
        <v>9441</v>
      </c>
      <c r="O69" s="6" t="s">
        <v>9393</v>
      </c>
      <c r="P69" s="6" t="s">
        <v>13</v>
      </c>
    </row>
    <row r="70" spans="2:16">
      <c r="B70" s="6" t="s">
        <v>9440</v>
      </c>
      <c r="C70" s="6" t="s">
        <v>9390</v>
      </c>
      <c r="D70" s="6" t="s">
        <v>9391</v>
      </c>
      <c r="E70" s="6">
        <v>0.9</v>
      </c>
      <c r="F70" s="6">
        <v>200</v>
      </c>
      <c r="G70" s="6">
        <v>2</v>
      </c>
      <c r="H70" s="9">
        <v>1.5</v>
      </c>
      <c r="I70" s="6">
        <v>54</v>
      </c>
      <c r="J70" s="6">
        <v>2022</v>
      </c>
      <c r="L70" s="6" t="s">
        <v>463</v>
      </c>
      <c r="M70" s="6" t="s">
        <v>9440</v>
      </c>
      <c r="N70" s="6" t="s">
        <v>9441</v>
      </c>
      <c r="O70" s="6" t="s">
        <v>9393</v>
      </c>
      <c r="P70" s="6" t="s">
        <v>13</v>
      </c>
    </row>
    <row r="71" spans="2:16">
      <c r="B71" s="6" t="s">
        <v>9440</v>
      </c>
      <c r="C71" s="6" t="s">
        <v>9390</v>
      </c>
      <c r="D71" s="6" t="s">
        <v>9391</v>
      </c>
      <c r="E71" s="6">
        <v>0.9</v>
      </c>
      <c r="F71" s="6">
        <v>200</v>
      </c>
      <c r="G71" s="6">
        <v>2</v>
      </c>
      <c r="H71" s="9">
        <v>6.6</v>
      </c>
      <c r="I71" s="6">
        <v>54</v>
      </c>
      <c r="J71" s="6">
        <v>2024</v>
      </c>
      <c r="L71" s="6" t="s">
        <v>463</v>
      </c>
      <c r="M71" s="6" t="s">
        <v>9440</v>
      </c>
      <c r="N71" s="6" t="s">
        <v>9441</v>
      </c>
      <c r="O71" s="6" t="s">
        <v>9393</v>
      </c>
      <c r="P71" s="6" t="s">
        <v>13</v>
      </c>
    </row>
    <row r="72" spans="2:16">
      <c r="B72" s="6" t="s">
        <v>9440</v>
      </c>
      <c r="C72" s="6" t="s">
        <v>9390</v>
      </c>
      <c r="D72" s="6" t="s">
        <v>9391</v>
      </c>
      <c r="E72" s="6">
        <v>0.9</v>
      </c>
      <c r="F72" s="6">
        <v>200</v>
      </c>
      <c r="G72" s="6">
        <v>2</v>
      </c>
      <c r="H72" s="9">
        <v>9.6</v>
      </c>
      <c r="I72" s="6">
        <v>54</v>
      </c>
      <c r="J72" s="6">
        <v>2009</v>
      </c>
      <c r="L72" s="6" t="s">
        <v>463</v>
      </c>
      <c r="M72" s="6" t="s">
        <v>9440</v>
      </c>
      <c r="N72" s="6" t="s">
        <v>9441</v>
      </c>
      <c r="O72" s="6" t="s">
        <v>9393</v>
      </c>
      <c r="P72" s="6" t="s">
        <v>13</v>
      </c>
    </row>
    <row r="73" spans="2:16">
      <c r="B73" s="6" t="s">
        <v>9440</v>
      </c>
      <c r="C73" s="6" t="s">
        <v>9390</v>
      </c>
      <c r="D73" s="6" t="s">
        <v>9391</v>
      </c>
      <c r="E73" s="6">
        <v>0.9</v>
      </c>
      <c r="F73" s="6">
        <v>200</v>
      </c>
      <c r="G73" s="6">
        <v>2</v>
      </c>
      <c r="H73" s="9">
        <v>16.5</v>
      </c>
      <c r="I73" s="6">
        <v>54</v>
      </c>
      <c r="J73" s="6">
        <v>2015</v>
      </c>
      <c r="L73" s="6" t="s">
        <v>463</v>
      </c>
      <c r="M73" s="6" t="s">
        <v>9440</v>
      </c>
      <c r="N73" s="6" t="s">
        <v>9441</v>
      </c>
      <c r="O73" s="6" t="s">
        <v>9393</v>
      </c>
      <c r="P73" s="6" t="s">
        <v>13</v>
      </c>
    </row>
    <row r="74" spans="2:16">
      <c r="B74" s="6" t="s">
        <v>9442</v>
      </c>
      <c r="C74" s="6" t="s">
        <v>9390</v>
      </c>
      <c r="D74" s="6" t="s">
        <v>9391</v>
      </c>
      <c r="E74" s="6">
        <v>0.9</v>
      </c>
      <c r="F74" s="6">
        <v>200</v>
      </c>
      <c r="G74" s="6">
        <v>2</v>
      </c>
      <c r="H74" s="9">
        <v>3.3</v>
      </c>
      <c r="I74" s="6">
        <v>54</v>
      </c>
      <c r="J74" s="6">
        <v>1999</v>
      </c>
      <c r="L74" s="6" t="s">
        <v>463</v>
      </c>
      <c r="M74" s="6" t="s">
        <v>9442</v>
      </c>
      <c r="N74" s="6" t="s">
        <v>9443</v>
      </c>
      <c r="O74" s="6" t="s">
        <v>9393</v>
      </c>
      <c r="P74" s="6" t="s">
        <v>13</v>
      </c>
    </row>
    <row r="75" spans="2:16">
      <c r="B75" s="6" t="s">
        <v>9442</v>
      </c>
      <c r="C75" s="6" t="s">
        <v>9390</v>
      </c>
      <c r="D75" s="6" t="s">
        <v>9391</v>
      </c>
      <c r="E75" s="6">
        <v>0.9</v>
      </c>
      <c r="F75" s="6">
        <v>200</v>
      </c>
      <c r="G75" s="6">
        <v>2</v>
      </c>
      <c r="H75" s="9">
        <v>3.5</v>
      </c>
      <c r="I75" s="6">
        <v>54</v>
      </c>
      <c r="J75" s="6">
        <v>2002</v>
      </c>
      <c r="L75" s="6" t="s">
        <v>463</v>
      </c>
      <c r="M75" s="6" t="s">
        <v>9442</v>
      </c>
      <c r="N75" s="6" t="s">
        <v>9443</v>
      </c>
      <c r="O75" s="6" t="s">
        <v>9393</v>
      </c>
      <c r="P75" s="6" t="s">
        <v>13</v>
      </c>
    </row>
    <row r="76" spans="2:16">
      <c r="B76" s="6" t="s">
        <v>9442</v>
      </c>
      <c r="C76" s="6" t="s">
        <v>9390</v>
      </c>
      <c r="D76" s="6" t="s">
        <v>9391</v>
      </c>
      <c r="E76" s="6">
        <v>0.9</v>
      </c>
      <c r="F76" s="6">
        <v>200</v>
      </c>
      <c r="G76" s="6">
        <v>2</v>
      </c>
      <c r="H76" s="9">
        <v>3.5</v>
      </c>
      <c r="I76" s="6">
        <v>54</v>
      </c>
      <c r="J76" s="6">
        <v>2003</v>
      </c>
      <c r="L76" s="6" t="s">
        <v>463</v>
      </c>
      <c r="M76" s="6" t="s">
        <v>9442</v>
      </c>
      <c r="N76" s="6" t="s">
        <v>9443</v>
      </c>
      <c r="O76" s="6" t="s">
        <v>9393</v>
      </c>
      <c r="P76" s="6" t="s">
        <v>13</v>
      </c>
    </row>
    <row r="77" spans="2:16">
      <c r="B77" s="6" t="s">
        <v>9442</v>
      </c>
      <c r="C77" s="6" t="s">
        <v>9390</v>
      </c>
      <c r="D77" s="6" t="s">
        <v>9391</v>
      </c>
      <c r="E77" s="6">
        <v>0.9</v>
      </c>
      <c r="F77" s="6">
        <v>200</v>
      </c>
      <c r="G77" s="6">
        <v>2</v>
      </c>
      <c r="H77" s="9">
        <v>5.2</v>
      </c>
      <c r="I77" s="6">
        <v>54</v>
      </c>
      <c r="J77" s="6">
        <v>2005</v>
      </c>
      <c r="L77" s="6" t="s">
        <v>463</v>
      </c>
      <c r="M77" s="6" t="s">
        <v>9442</v>
      </c>
      <c r="N77" s="6" t="s">
        <v>9443</v>
      </c>
      <c r="O77" s="6" t="s">
        <v>9393</v>
      </c>
      <c r="P77" s="6" t="s">
        <v>13</v>
      </c>
    </row>
    <row r="78" spans="2:16">
      <c r="B78" s="6" t="s">
        <v>9444</v>
      </c>
      <c r="C78" s="6" t="s">
        <v>9390</v>
      </c>
      <c r="D78" s="6" t="s">
        <v>9391</v>
      </c>
      <c r="E78" s="6">
        <v>0.9</v>
      </c>
      <c r="F78" s="6">
        <v>200</v>
      </c>
      <c r="G78" s="6">
        <v>2</v>
      </c>
      <c r="H78" s="9">
        <v>2.8</v>
      </c>
      <c r="I78" s="6">
        <v>54</v>
      </c>
      <c r="J78" s="6">
        <v>2023</v>
      </c>
      <c r="L78" s="6" t="s">
        <v>463</v>
      </c>
      <c r="M78" s="6" t="s">
        <v>9444</v>
      </c>
      <c r="N78" s="6" t="s">
        <v>9445</v>
      </c>
      <c r="O78" s="6" t="s">
        <v>9393</v>
      </c>
      <c r="P78" s="6" t="s">
        <v>13</v>
      </c>
    </row>
    <row r="79" spans="2:16">
      <c r="B79" s="6" t="s">
        <v>9444</v>
      </c>
      <c r="C79" s="6" t="s">
        <v>9390</v>
      </c>
      <c r="D79" s="6" t="s">
        <v>9391</v>
      </c>
      <c r="E79" s="6">
        <v>0.9</v>
      </c>
      <c r="F79" s="6">
        <v>200</v>
      </c>
      <c r="G79" s="6">
        <v>2</v>
      </c>
      <c r="H79" s="9">
        <v>5.2</v>
      </c>
      <c r="I79" s="6">
        <v>54</v>
      </c>
      <c r="J79" s="6">
        <v>2021</v>
      </c>
      <c r="L79" s="6" t="s">
        <v>463</v>
      </c>
      <c r="M79" s="6" t="s">
        <v>9444</v>
      </c>
      <c r="N79" s="6" t="s">
        <v>9445</v>
      </c>
      <c r="O79" s="6" t="s">
        <v>9393</v>
      </c>
      <c r="P79" s="6" t="s">
        <v>13</v>
      </c>
    </row>
    <row r="80" spans="2:16">
      <c r="B80" s="6" t="s">
        <v>9444</v>
      </c>
      <c r="C80" s="6" t="s">
        <v>9390</v>
      </c>
      <c r="D80" s="6" t="s">
        <v>9391</v>
      </c>
      <c r="E80" s="6">
        <v>0.9</v>
      </c>
      <c r="F80" s="6">
        <v>200</v>
      </c>
      <c r="G80" s="6">
        <v>2</v>
      </c>
      <c r="H80" s="9">
        <v>6</v>
      </c>
      <c r="I80" s="6">
        <v>54</v>
      </c>
      <c r="J80" s="6">
        <v>2024</v>
      </c>
      <c r="L80" s="6" t="s">
        <v>463</v>
      </c>
      <c r="M80" s="6" t="s">
        <v>9444</v>
      </c>
      <c r="N80" s="6" t="s">
        <v>9445</v>
      </c>
      <c r="O80" s="6" t="s">
        <v>9393</v>
      </c>
      <c r="P80" s="6" t="s">
        <v>13</v>
      </c>
    </row>
    <row r="81" spans="2:17">
      <c r="B81" s="6" t="s">
        <v>9444</v>
      </c>
      <c r="C81" s="6" t="s">
        <v>9390</v>
      </c>
      <c r="D81" s="6" t="s">
        <v>9391</v>
      </c>
      <c r="E81" s="6">
        <v>0.9</v>
      </c>
      <c r="F81" s="6">
        <v>200</v>
      </c>
      <c r="G81" s="6">
        <v>2</v>
      </c>
      <c r="H81" s="9">
        <v>9</v>
      </c>
      <c r="I81" s="6">
        <v>54</v>
      </c>
      <c r="J81" s="6">
        <v>2016</v>
      </c>
      <c r="L81" s="6" t="s">
        <v>463</v>
      </c>
      <c r="M81" s="6" t="s">
        <v>9444</v>
      </c>
      <c r="N81" s="6" t="s">
        <v>9445</v>
      </c>
      <c r="O81" s="6" t="s">
        <v>9393</v>
      </c>
      <c r="P81" s="6" t="s">
        <v>13</v>
      </c>
    </row>
    <row r="82" spans="2:17">
      <c r="B82" s="6" t="s">
        <v>9444</v>
      </c>
      <c r="C82" s="6" t="s">
        <v>9390</v>
      </c>
      <c r="D82" s="6" t="s">
        <v>9391</v>
      </c>
      <c r="E82" s="6">
        <v>0.9</v>
      </c>
      <c r="F82" s="6">
        <v>200</v>
      </c>
      <c r="G82" s="6">
        <v>2</v>
      </c>
      <c r="H82" s="9">
        <v>9</v>
      </c>
      <c r="I82" s="6">
        <v>54</v>
      </c>
      <c r="J82" s="6">
        <v>2017</v>
      </c>
      <c r="L82" s="6" t="s">
        <v>463</v>
      </c>
      <c r="M82" s="6" t="s">
        <v>9444</v>
      </c>
      <c r="N82" s="6" t="s">
        <v>9445</v>
      </c>
      <c r="O82" s="6" t="s">
        <v>9393</v>
      </c>
      <c r="P82" s="6" t="s">
        <v>13</v>
      </c>
    </row>
    <row r="83" spans="2:17">
      <c r="B83" s="6" t="s">
        <v>9444</v>
      </c>
      <c r="C83" s="6" t="s">
        <v>9390</v>
      </c>
      <c r="D83" s="6" t="s">
        <v>9391</v>
      </c>
      <c r="E83" s="6">
        <v>0.9</v>
      </c>
      <c r="F83" s="6">
        <v>200</v>
      </c>
      <c r="G83" s="6">
        <v>2</v>
      </c>
      <c r="H83" s="9">
        <v>10</v>
      </c>
      <c r="I83" s="6">
        <v>54</v>
      </c>
      <c r="J83" s="6">
        <v>2022</v>
      </c>
      <c r="L83" s="6" t="s">
        <v>463</v>
      </c>
      <c r="M83" s="6" t="s">
        <v>9444</v>
      </c>
      <c r="N83" s="6" t="s">
        <v>9445</v>
      </c>
      <c r="O83" s="6" t="s">
        <v>9393</v>
      </c>
      <c r="P83" s="6" t="s">
        <v>13</v>
      </c>
    </row>
    <row r="84" spans="2:17">
      <c r="B84" s="6" t="s">
        <v>9444</v>
      </c>
      <c r="C84" s="6" t="s">
        <v>9390</v>
      </c>
      <c r="D84" s="6" t="s">
        <v>9391</v>
      </c>
      <c r="E84" s="6">
        <v>0.9</v>
      </c>
      <c r="F84" s="6">
        <v>200</v>
      </c>
      <c r="G84" s="6">
        <v>2</v>
      </c>
      <c r="H84" s="9">
        <v>10</v>
      </c>
      <c r="I84" s="6">
        <v>54</v>
      </c>
      <c r="J84" s="6">
        <v>2026</v>
      </c>
      <c r="L84" s="6" t="s">
        <v>463</v>
      </c>
      <c r="M84" s="6" t="s">
        <v>9444</v>
      </c>
      <c r="N84" s="6" t="s">
        <v>9445</v>
      </c>
      <c r="O84" s="6" t="s">
        <v>9393</v>
      </c>
      <c r="P84" s="6" t="s">
        <v>13</v>
      </c>
    </row>
    <row r="85" spans="2:17">
      <c r="B85" s="6" t="s">
        <v>9444</v>
      </c>
      <c r="C85" s="6" t="s">
        <v>9390</v>
      </c>
      <c r="D85" s="6" t="s">
        <v>9391</v>
      </c>
      <c r="E85" s="6">
        <v>0.9</v>
      </c>
      <c r="F85" s="6">
        <v>200</v>
      </c>
      <c r="G85" s="6">
        <v>2</v>
      </c>
      <c r="H85" s="9">
        <v>13</v>
      </c>
      <c r="I85" s="6">
        <v>54</v>
      </c>
      <c r="J85" s="6">
        <v>2027</v>
      </c>
      <c r="L85" s="6" t="s">
        <v>463</v>
      </c>
      <c r="M85" s="6" t="s">
        <v>9444</v>
      </c>
      <c r="N85" s="6" t="s">
        <v>9445</v>
      </c>
      <c r="O85" s="6" t="s">
        <v>9393</v>
      </c>
      <c r="P85" s="6" t="s">
        <v>13</v>
      </c>
    </row>
    <row r="86" spans="2:17">
      <c r="B86" s="6" t="s">
        <v>9444</v>
      </c>
      <c r="C86" s="6" t="s">
        <v>9390</v>
      </c>
      <c r="D86" s="6" t="s">
        <v>9391</v>
      </c>
      <c r="E86" s="6">
        <v>0.9</v>
      </c>
      <c r="F86" s="6">
        <v>200</v>
      </c>
      <c r="G86" s="6">
        <v>2</v>
      </c>
      <c r="H86" s="9">
        <v>14.75</v>
      </c>
      <c r="I86" s="6">
        <v>54</v>
      </c>
      <c r="J86" s="6">
        <v>2018</v>
      </c>
      <c r="L86" s="6" t="s">
        <v>463</v>
      </c>
      <c r="M86" s="6" t="s">
        <v>9444</v>
      </c>
      <c r="N86" s="6" t="s">
        <v>9445</v>
      </c>
      <c r="O86" s="6" t="s">
        <v>9393</v>
      </c>
      <c r="P86" s="6" t="s">
        <v>13</v>
      </c>
    </row>
    <row r="87" spans="2:17">
      <c r="B87" s="6" t="s">
        <v>9444</v>
      </c>
      <c r="C87" s="6" t="s">
        <v>9390</v>
      </c>
      <c r="D87" s="6" t="s">
        <v>9391</v>
      </c>
      <c r="E87" s="6">
        <v>0.9</v>
      </c>
      <c r="F87" s="6">
        <v>200</v>
      </c>
      <c r="G87" s="6">
        <v>2</v>
      </c>
      <c r="H87" s="9">
        <v>20.149999999999999</v>
      </c>
      <c r="I87" s="6">
        <v>54</v>
      </c>
      <c r="J87" s="6">
        <v>2020</v>
      </c>
      <c r="L87" s="6" t="s">
        <v>463</v>
      </c>
      <c r="M87" s="6" t="s">
        <v>9444</v>
      </c>
      <c r="N87" s="6" t="s">
        <v>9445</v>
      </c>
      <c r="O87" s="6" t="s">
        <v>9393</v>
      </c>
      <c r="P87" s="6" t="s">
        <v>13</v>
      </c>
    </row>
    <row r="88" spans="2:17">
      <c r="B88" s="6" t="s">
        <v>9444</v>
      </c>
      <c r="C88" s="6" t="s">
        <v>9390</v>
      </c>
      <c r="D88" s="6" t="s">
        <v>9391</v>
      </c>
      <c r="E88" s="6">
        <v>0.9</v>
      </c>
      <c r="F88" s="6">
        <v>200</v>
      </c>
      <c r="G88" s="6">
        <v>2</v>
      </c>
      <c r="H88" s="9">
        <v>20.55</v>
      </c>
      <c r="I88" s="6">
        <v>54</v>
      </c>
      <c r="J88" s="6">
        <v>2019</v>
      </c>
      <c r="L88" s="6" t="s">
        <v>463</v>
      </c>
      <c r="M88" s="6" t="s">
        <v>9444</v>
      </c>
      <c r="N88" s="6" t="s">
        <v>9445</v>
      </c>
      <c r="O88" s="6" t="s">
        <v>9393</v>
      </c>
      <c r="P88" s="6" t="s">
        <v>13</v>
      </c>
    </row>
    <row r="89" spans="2:17">
      <c r="B89" s="6" t="s">
        <v>9444</v>
      </c>
      <c r="C89" s="6" t="s">
        <v>9390</v>
      </c>
      <c r="D89" s="6" t="s">
        <v>9391</v>
      </c>
      <c r="E89" s="6">
        <v>0.9</v>
      </c>
      <c r="F89" s="6">
        <v>200</v>
      </c>
      <c r="G89" s="6">
        <v>2</v>
      </c>
      <c r="H89" s="9">
        <v>32</v>
      </c>
      <c r="I89" s="6">
        <v>54</v>
      </c>
      <c r="J89" s="6">
        <v>2025</v>
      </c>
      <c r="L89" s="6" t="s">
        <v>463</v>
      </c>
      <c r="M89" s="6" t="s">
        <v>9444</v>
      </c>
      <c r="N89" s="6" t="s">
        <v>9445</v>
      </c>
      <c r="O89" s="6" t="s">
        <v>9393</v>
      </c>
      <c r="P89" s="6" t="s">
        <v>13</v>
      </c>
    </row>
    <row r="90" spans="2:17">
      <c r="B90" s="6" t="s">
        <v>9446</v>
      </c>
      <c r="C90" s="6" t="s">
        <v>9391</v>
      </c>
      <c r="D90" s="6" t="s">
        <v>9390</v>
      </c>
      <c r="E90" s="6">
        <v>0.97550000000000003</v>
      </c>
      <c r="F90" s="6">
        <v>200</v>
      </c>
      <c r="G90" s="6">
        <v>2</v>
      </c>
      <c r="H90" s="9">
        <v>9.8294117647058794</v>
      </c>
      <c r="I90" s="6">
        <v>54</v>
      </c>
      <c r="J90" s="6">
        <v>2009</v>
      </c>
      <c r="L90" s="6" t="s">
        <v>463</v>
      </c>
      <c r="M90" s="6" t="s">
        <v>9446</v>
      </c>
      <c r="N90" s="6" t="s">
        <v>9447</v>
      </c>
      <c r="O90" s="6" t="s">
        <v>9393</v>
      </c>
      <c r="P90" s="6" t="s">
        <v>13</v>
      </c>
      <c r="Q90" s="6" t="s">
        <v>9391</v>
      </c>
    </row>
    <row r="91" spans="2:17">
      <c r="B91" s="6" t="s">
        <v>9448</v>
      </c>
      <c r="C91" s="6" t="s">
        <v>9391</v>
      </c>
      <c r="D91" s="6" t="s">
        <v>9390</v>
      </c>
      <c r="E91" s="6">
        <v>0.97550000000000003</v>
      </c>
      <c r="F91" s="6">
        <v>200</v>
      </c>
      <c r="G91" s="6">
        <v>2</v>
      </c>
      <c r="H91" s="9">
        <v>3.8</v>
      </c>
      <c r="I91" s="6">
        <v>54</v>
      </c>
      <c r="J91" s="6">
        <v>2016</v>
      </c>
      <c r="L91" s="6" t="s">
        <v>463</v>
      </c>
      <c r="M91" s="6" t="s">
        <v>9448</v>
      </c>
      <c r="N91" s="6" t="s">
        <v>9449</v>
      </c>
      <c r="O91" s="6" t="s">
        <v>9393</v>
      </c>
      <c r="P91" s="6" t="s">
        <v>13</v>
      </c>
      <c r="Q91" s="6" t="s">
        <v>9391</v>
      </c>
    </row>
    <row r="92" spans="2:17">
      <c r="B92" s="6" t="s">
        <v>9448</v>
      </c>
      <c r="C92" s="6" t="s">
        <v>9391</v>
      </c>
      <c r="D92" s="6" t="s">
        <v>9390</v>
      </c>
      <c r="E92" s="6">
        <v>0.97550000000000003</v>
      </c>
      <c r="F92" s="6">
        <v>200</v>
      </c>
      <c r="G92" s="6">
        <v>2</v>
      </c>
      <c r="H92" s="9">
        <v>6.0294117647058796</v>
      </c>
      <c r="I92" s="6">
        <v>54</v>
      </c>
      <c r="J92" s="6">
        <v>2010</v>
      </c>
      <c r="L92" s="6" t="s">
        <v>463</v>
      </c>
      <c r="M92" s="6" t="s">
        <v>9448</v>
      </c>
      <c r="N92" s="6" t="s">
        <v>9449</v>
      </c>
      <c r="O92" s="6" t="s">
        <v>9393</v>
      </c>
      <c r="P92" s="6" t="s">
        <v>13</v>
      </c>
      <c r="Q92" s="6" t="s">
        <v>9391</v>
      </c>
    </row>
    <row r="93" spans="2:17">
      <c r="B93" s="6" t="s">
        <v>9450</v>
      </c>
      <c r="C93" s="6" t="s">
        <v>9391</v>
      </c>
      <c r="D93" s="6" t="s">
        <v>9390</v>
      </c>
      <c r="E93" s="6">
        <v>0.97550000000000003</v>
      </c>
      <c r="F93" s="6">
        <v>200</v>
      </c>
      <c r="G93" s="6">
        <v>2</v>
      </c>
      <c r="H93" s="9">
        <v>6.1</v>
      </c>
      <c r="I93" s="6">
        <v>54</v>
      </c>
      <c r="J93" s="6">
        <v>2011</v>
      </c>
      <c r="L93" s="6" t="s">
        <v>463</v>
      </c>
      <c r="M93" s="6" t="s">
        <v>9450</v>
      </c>
      <c r="N93" s="6" t="s">
        <v>9451</v>
      </c>
      <c r="O93" s="6" t="s">
        <v>9393</v>
      </c>
      <c r="P93" s="6" t="s">
        <v>13</v>
      </c>
      <c r="Q93" s="6" t="s">
        <v>9391</v>
      </c>
    </row>
    <row r="94" spans="2:17">
      <c r="B94" s="6" t="s">
        <v>9452</v>
      </c>
      <c r="C94" s="6" t="s">
        <v>9391</v>
      </c>
      <c r="D94" s="6" t="s">
        <v>9390</v>
      </c>
      <c r="E94" s="6">
        <v>0.97550000000000003</v>
      </c>
      <c r="F94" s="6">
        <v>200</v>
      </c>
      <c r="G94" s="6">
        <v>2</v>
      </c>
      <c r="H94" s="9">
        <v>2</v>
      </c>
      <c r="I94" s="6">
        <v>54</v>
      </c>
      <c r="J94" s="6">
        <v>2023</v>
      </c>
      <c r="L94" s="6" t="s">
        <v>463</v>
      </c>
      <c r="M94" s="6" t="s">
        <v>9452</v>
      </c>
      <c r="N94" s="6" t="s">
        <v>9453</v>
      </c>
      <c r="O94" s="6" t="s">
        <v>9393</v>
      </c>
      <c r="P94" s="6" t="s">
        <v>13</v>
      </c>
      <c r="Q94" s="6" t="s">
        <v>9391</v>
      </c>
    </row>
    <row r="95" spans="2:17">
      <c r="B95" s="6" t="s">
        <v>9454</v>
      </c>
      <c r="C95" s="6" t="s">
        <v>9391</v>
      </c>
      <c r="D95" s="6" t="s">
        <v>9390</v>
      </c>
      <c r="E95" s="6">
        <v>0.97550000000000003</v>
      </c>
      <c r="F95" s="6">
        <v>200</v>
      </c>
      <c r="G95" s="6">
        <v>2</v>
      </c>
      <c r="H95" s="9">
        <v>3.8</v>
      </c>
      <c r="I95" s="6">
        <v>54</v>
      </c>
      <c r="J95" s="6">
        <v>2018</v>
      </c>
      <c r="L95" s="6" t="s">
        <v>463</v>
      </c>
      <c r="M95" s="6" t="s">
        <v>9454</v>
      </c>
      <c r="N95" s="6" t="s">
        <v>9455</v>
      </c>
      <c r="O95" s="6" t="s">
        <v>9393</v>
      </c>
      <c r="P95" s="6" t="s">
        <v>13</v>
      </c>
      <c r="Q95" s="6" t="s">
        <v>9391</v>
      </c>
    </row>
    <row r="96" spans="2:17">
      <c r="B96" s="6" t="s">
        <v>9454</v>
      </c>
      <c r="C96" s="6" t="s">
        <v>9391</v>
      </c>
      <c r="D96" s="6" t="s">
        <v>9390</v>
      </c>
      <c r="E96" s="6">
        <v>0.97550000000000003</v>
      </c>
      <c r="F96" s="6">
        <v>200</v>
      </c>
      <c r="G96" s="6">
        <v>2</v>
      </c>
      <c r="H96" s="9">
        <v>3.8</v>
      </c>
      <c r="I96" s="6">
        <v>54</v>
      </c>
      <c r="J96" s="6">
        <v>2019</v>
      </c>
      <c r="L96" s="6" t="s">
        <v>463</v>
      </c>
      <c r="M96" s="6" t="s">
        <v>9454</v>
      </c>
      <c r="N96" s="6" t="s">
        <v>9455</v>
      </c>
      <c r="O96" s="6" t="s">
        <v>9393</v>
      </c>
      <c r="P96" s="6" t="s">
        <v>13</v>
      </c>
      <c r="Q96" s="6" t="s">
        <v>9391</v>
      </c>
    </row>
    <row r="97" spans="2:17">
      <c r="B97" s="6" t="s">
        <v>9456</v>
      </c>
      <c r="C97" s="6" t="s">
        <v>9391</v>
      </c>
      <c r="D97" s="6" t="s">
        <v>9390</v>
      </c>
      <c r="E97" s="6">
        <v>0.97550000000000003</v>
      </c>
      <c r="F97" s="6">
        <v>200</v>
      </c>
      <c r="G97" s="6">
        <v>2</v>
      </c>
      <c r="H97" s="9">
        <v>5.6</v>
      </c>
      <c r="I97" s="6">
        <v>54</v>
      </c>
      <c r="J97" s="6">
        <v>2013</v>
      </c>
      <c r="L97" s="6" t="s">
        <v>463</v>
      </c>
      <c r="M97" s="6" t="s">
        <v>9456</v>
      </c>
      <c r="N97" s="6" t="s">
        <v>9457</v>
      </c>
      <c r="O97" s="6" t="s">
        <v>9393</v>
      </c>
      <c r="P97" s="6" t="s">
        <v>13</v>
      </c>
      <c r="Q97" s="6" t="s">
        <v>9391</v>
      </c>
    </row>
    <row r="98" spans="2:17">
      <c r="B98" s="6" t="s">
        <v>9456</v>
      </c>
      <c r="C98" s="6" t="s">
        <v>9391</v>
      </c>
      <c r="D98" s="6" t="s">
        <v>9390</v>
      </c>
      <c r="E98" s="6">
        <v>0.97550000000000003</v>
      </c>
      <c r="F98" s="6">
        <v>200</v>
      </c>
      <c r="G98" s="6">
        <v>2</v>
      </c>
      <c r="H98" s="9">
        <v>11.2</v>
      </c>
      <c r="I98" s="6">
        <v>54</v>
      </c>
      <c r="J98" s="6">
        <v>2020</v>
      </c>
      <c r="L98" s="6" t="s">
        <v>463</v>
      </c>
      <c r="M98" s="6" t="s">
        <v>9456</v>
      </c>
      <c r="N98" s="6" t="s">
        <v>9457</v>
      </c>
      <c r="O98" s="6" t="s">
        <v>9393</v>
      </c>
      <c r="P98" s="6" t="s">
        <v>13</v>
      </c>
      <c r="Q98" s="6" t="s">
        <v>9391</v>
      </c>
    </row>
    <row r="99" spans="2:17">
      <c r="B99" s="6" t="s">
        <v>9456</v>
      </c>
      <c r="C99" s="6" t="s">
        <v>9391</v>
      </c>
      <c r="D99" s="6" t="s">
        <v>9390</v>
      </c>
      <c r="E99" s="6">
        <v>0.97550000000000003</v>
      </c>
      <c r="F99" s="6">
        <v>200</v>
      </c>
      <c r="G99" s="6">
        <v>2</v>
      </c>
      <c r="H99" s="9">
        <v>11.3</v>
      </c>
      <c r="I99" s="6">
        <v>54</v>
      </c>
      <c r="J99" s="6">
        <v>2023</v>
      </c>
      <c r="L99" s="6" t="s">
        <v>463</v>
      </c>
      <c r="M99" s="6" t="s">
        <v>9456</v>
      </c>
      <c r="N99" s="6" t="s">
        <v>9457</v>
      </c>
      <c r="O99" s="6" t="s">
        <v>9393</v>
      </c>
      <c r="P99" s="6" t="s">
        <v>13</v>
      </c>
      <c r="Q99" s="6" t="s">
        <v>9391</v>
      </c>
    </row>
    <row r="100" spans="2:17">
      <c r="B100" s="6" t="s">
        <v>9458</v>
      </c>
      <c r="C100" s="6" t="s">
        <v>9391</v>
      </c>
      <c r="D100" s="6" t="s">
        <v>9390</v>
      </c>
      <c r="E100" s="6">
        <v>0.97550000000000003</v>
      </c>
      <c r="F100" s="6">
        <v>200</v>
      </c>
      <c r="G100" s="6">
        <v>2</v>
      </c>
      <c r="H100" s="9">
        <v>6</v>
      </c>
      <c r="I100" s="6">
        <v>54</v>
      </c>
      <c r="J100" s="6">
        <v>2013</v>
      </c>
      <c r="L100" s="6" t="s">
        <v>463</v>
      </c>
      <c r="M100" s="6" t="s">
        <v>9458</v>
      </c>
      <c r="N100" s="6" t="s">
        <v>9459</v>
      </c>
      <c r="O100" s="6" t="s">
        <v>9393</v>
      </c>
      <c r="P100" s="6" t="s">
        <v>13</v>
      </c>
      <c r="Q100" s="6" t="s">
        <v>9391</v>
      </c>
    </row>
    <row r="101" spans="2:17">
      <c r="B101" s="6" t="s">
        <v>9460</v>
      </c>
      <c r="C101" s="6" t="s">
        <v>9391</v>
      </c>
      <c r="D101" s="6" t="s">
        <v>9390</v>
      </c>
      <c r="E101" s="6">
        <v>0.97550000000000003</v>
      </c>
      <c r="F101" s="6">
        <v>200</v>
      </c>
      <c r="G101" s="6">
        <v>2</v>
      </c>
      <c r="H101" s="9">
        <v>4</v>
      </c>
      <c r="I101" s="6">
        <v>54</v>
      </c>
      <c r="J101" s="6">
        <v>2016</v>
      </c>
      <c r="L101" s="6" t="s">
        <v>463</v>
      </c>
      <c r="M101" s="6" t="s">
        <v>9460</v>
      </c>
      <c r="N101" s="6" t="s">
        <v>9461</v>
      </c>
      <c r="O101" s="6" t="s">
        <v>9393</v>
      </c>
      <c r="P101" s="6" t="s">
        <v>13</v>
      </c>
      <c r="Q101" s="6" t="s">
        <v>9391</v>
      </c>
    </row>
    <row r="102" spans="2:17">
      <c r="B102" s="6" t="s">
        <v>9462</v>
      </c>
      <c r="C102" s="6" t="s">
        <v>9391</v>
      </c>
      <c r="D102" s="6" t="s">
        <v>9390</v>
      </c>
      <c r="E102" s="6">
        <v>0.97550000000000003</v>
      </c>
      <c r="F102" s="6">
        <v>200</v>
      </c>
      <c r="G102" s="6">
        <v>2</v>
      </c>
      <c r="H102" s="9">
        <v>1.3</v>
      </c>
      <c r="I102" s="6">
        <v>54</v>
      </c>
      <c r="J102" s="6">
        <v>2022</v>
      </c>
      <c r="L102" s="6" t="s">
        <v>463</v>
      </c>
      <c r="M102" s="6" t="s">
        <v>9462</v>
      </c>
      <c r="N102" s="6" t="s">
        <v>9463</v>
      </c>
      <c r="O102" s="6" t="s">
        <v>9393</v>
      </c>
      <c r="P102" s="6" t="s">
        <v>13</v>
      </c>
      <c r="Q102" s="6" t="s">
        <v>9391</v>
      </c>
    </row>
    <row r="103" spans="2:17">
      <c r="B103" s="6" t="s">
        <v>9464</v>
      </c>
      <c r="C103" s="6" t="s">
        <v>9391</v>
      </c>
      <c r="D103" s="6" t="s">
        <v>9390</v>
      </c>
      <c r="E103" s="6">
        <v>0.97550000000000003</v>
      </c>
      <c r="F103" s="6">
        <v>200</v>
      </c>
      <c r="G103" s="6">
        <v>2</v>
      </c>
      <c r="H103" s="9">
        <v>5.4824999999999999</v>
      </c>
      <c r="I103" s="6">
        <v>54</v>
      </c>
      <c r="J103" s="6">
        <v>2022</v>
      </c>
      <c r="L103" s="6" t="s">
        <v>463</v>
      </c>
      <c r="M103" s="6" t="s">
        <v>9464</v>
      </c>
      <c r="N103" s="6" t="s">
        <v>9465</v>
      </c>
      <c r="O103" s="6" t="s">
        <v>9393</v>
      </c>
      <c r="P103" s="6" t="s">
        <v>13</v>
      </c>
      <c r="Q103" s="6" t="s">
        <v>9391</v>
      </c>
    </row>
    <row r="104" spans="2:17">
      <c r="B104" s="6" t="s">
        <v>9464</v>
      </c>
      <c r="C104" s="6" t="s">
        <v>9391</v>
      </c>
      <c r="D104" s="6" t="s">
        <v>9390</v>
      </c>
      <c r="E104" s="6">
        <v>0.97550000000000003</v>
      </c>
      <c r="F104" s="6">
        <v>200</v>
      </c>
      <c r="G104" s="6">
        <v>2</v>
      </c>
      <c r="H104" s="9">
        <v>8.7720000000000002</v>
      </c>
      <c r="I104" s="6">
        <v>54</v>
      </c>
      <c r="J104" s="6">
        <v>2023</v>
      </c>
      <c r="L104" s="6" t="s">
        <v>463</v>
      </c>
      <c r="M104" s="6" t="s">
        <v>9464</v>
      </c>
      <c r="N104" s="6" t="s">
        <v>9465</v>
      </c>
      <c r="O104" s="6" t="s">
        <v>9393</v>
      </c>
      <c r="P104" s="6" t="s">
        <v>13</v>
      </c>
      <c r="Q104" s="6" t="s">
        <v>9391</v>
      </c>
    </row>
    <row r="105" spans="2:17">
      <c r="B105" s="6" t="s">
        <v>9466</v>
      </c>
      <c r="C105" s="6" t="s">
        <v>9391</v>
      </c>
      <c r="D105" s="6" t="s">
        <v>9390</v>
      </c>
      <c r="E105" s="6">
        <v>0.97550000000000003</v>
      </c>
      <c r="F105" s="6">
        <v>200</v>
      </c>
      <c r="G105" s="6">
        <v>2</v>
      </c>
      <c r="H105" s="9">
        <v>5.7</v>
      </c>
      <c r="I105" s="6">
        <v>54</v>
      </c>
      <c r="J105" s="6">
        <v>2015</v>
      </c>
      <c r="L105" s="6" t="s">
        <v>463</v>
      </c>
      <c r="M105" s="6" t="s">
        <v>9466</v>
      </c>
      <c r="N105" s="6" t="s">
        <v>9467</v>
      </c>
      <c r="O105" s="6" t="s">
        <v>9393</v>
      </c>
      <c r="P105" s="6" t="s">
        <v>13</v>
      </c>
      <c r="Q105" s="6" t="s">
        <v>9391</v>
      </c>
    </row>
    <row r="106" spans="2:17">
      <c r="B106" s="6" t="s">
        <v>9468</v>
      </c>
      <c r="C106" s="6" t="s">
        <v>9391</v>
      </c>
      <c r="D106" s="6" t="s">
        <v>9390</v>
      </c>
      <c r="E106" s="6">
        <v>0.97550000000000003</v>
      </c>
      <c r="F106" s="6">
        <v>200</v>
      </c>
      <c r="G106" s="6">
        <v>2</v>
      </c>
      <c r="H106" s="9">
        <v>4.4852941176470598</v>
      </c>
      <c r="I106" s="6">
        <v>54</v>
      </c>
      <c r="J106" s="6">
        <v>2023</v>
      </c>
      <c r="L106" s="6" t="s">
        <v>463</v>
      </c>
      <c r="M106" s="6" t="s">
        <v>9468</v>
      </c>
      <c r="N106" s="6" t="s">
        <v>9469</v>
      </c>
      <c r="O106" s="6" t="s">
        <v>9393</v>
      </c>
      <c r="P106" s="6" t="s">
        <v>13</v>
      </c>
      <c r="Q106" s="6" t="s">
        <v>9391</v>
      </c>
    </row>
    <row r="107" spans="2:17">
      <c r="B107" s="6" t="s">
        <v>9470</v>
      </c>
      <c r="C107" s="6" t="s">
        <v>9391</v>
      </c>
      <c r="D107" s="6" t="s">
        <v>9390</v>
      </c>
      <c r="E107" s="6">
        <v>0.97550000000000003</v>
      </c>
      <c r="F107" s="6">
        <v>200</v>
      </c>
      <c r="G107" s="6">
        <v>2</v>
      </c>
      <c r="H107" s="9">
        <v>2.1198999999999999</v>
      </c>
      <c r="I107" s="6">
        <v>54</v>
      </c>
      <c r="J107" s="6">
        <v>2021</v>
      </c>
      <c r="L107" s="6" t="s">
        <v>463</v>
      </c>
      <c r="M107" s="6" t="s">
        <v>9470</v>
      </c>
      <c r="N107" s="6" t="s">
        <v>9471</v>
      </c>
      <c r="O107" s="6" t="s">
        <v>9393</v>
      </c>
      <c r="P107" s="6" t="s">
        <v>13</v>
      </c>
      <c r="Q107" s="6" t="s">
        <v>9391</v>
      </c>
    </row>
    <row r="108" spans="2:17">
      <c r="B108" s="6" t="s">
        <v>9472</v>
      </c>
      <c r="C108" s="6" t="s">
        <v>9391</v>
      </c>
      <c r="D108" s="6" t="s">
        <v>9390</v>
      </c>
      <c r="E108" s="6">
        <v>0.97550000000000003</v>
      </c>
      <c r="F108" s="6">
        <v>200</v>
      </c>
      <c r="G108" s="6">
        <v>2</v>
      </c>
      <c r="H108" s="9">
        <v>0.3</v>
      </c>
      <c r="I108" s="6">
        <v>54</v>
      </c>
      <c r="J108" s="6">
        <v>2016</v>
      </c>
      <c r="L108" s="6" t="s">
        <v>463</v>
      </c>
      <c r="M108" s="6" t="s">
        <v>9472</v>
      </c>
      <c r="N108" s="6" t="s">
        <v>9473</v>
      </c>
      <c r="O108" s="6" t="s">
        <v>9393</v>
      </c>
      <c r="P108" s="6" t="s">
        <v>13</v>
      </c>
      <c r="Q108" s="6" t="s">
        <v>9391</v>
      </c>
    </row>
    <row r="109" spans="2:17">
      <c r="B109" s="6" t="s">
        <v>9472</v>
      </c>
      <c r="C109" s="6" t="s">
        <v>9391</v>
      </c>
      <c r="D109" s="6" t="s">
        <v>9390</v>
      </c>
      <c r="E109" s="6">
        <v>0.97550000000000003</v>
      </c>
      <c r="F109" s="6">
        <v>200</v>
      </c>
      <c r="G109" s="6">
        <v>2</v>
      </c>
      <c r="H109" s="9">
        <v>2.1</v>
      </c>
      <c r="I109" s="6">
        <v>54</v>
      </c>
      <c r="J109" s="6">
        <v>2022</v>
      </c>
      <c r="L109" s="6" t="s">
        <v>463</v>
      </c>
      <c r="M109" s="6" t="s">
        <v>9472</v>
      </c>
      <c r="N109" s="6" t="s">
        <v>9473</v>
      </c>
      <c r="O109" s="6" t="s">
        <v>9393</v>
      </c>
      <c r="P109" s="6" t="s">
        <v>13</v>
      </c>
      <c r="Q109" s="6" t="s">
        <v>9391</v>
      </c>
    </row>
    <row r="110" spans="2:17">
      <c r="B110" s="6" t="s">
        <v>9472</v>
      </c>
      <c r="C110" s="6" t="s">
        <v>9391</v>
      </c>
      <c r="D110" s="6" t="s">
        <v>9390</v>
      </c>
      <c r="E110" s="6">
        <v>0.97550000000000003</v>
      </c>
      <c r="F110" s="6">
        <v>200</v>
      </c>
      <c r="G110" s="6">
        <v>2</v>
      </c>
      <c r="H110" s="9">
        <v>2.9</v>
      </c>
      <c r="I110" s="6">
        <v>54</v>
      </c>
      <c r="J110" s="6">
        <v>2014</v>
      </c>
      <c r="L110" s="6" t="s">
        <v>463</v>
      </c>
      <c r="M110" s="6" t="s">
        <v>9472</v>
      </c>
      <c r="N110" s="6" t="s">
        <v>9473</v>
      </c>
      <c r="O110" s="6" t="s">
        <v>9393</v>
      </c>
      <c r="P110" s="6" t="s">
        <v>13</v>
      </c>
      <c r="Q110" s="6" t="s">
        <v>9391</v>
      </c>
    </row>
    <row r="111" spans="2:17">
      <c r="B111" s="6" t="s">
        <v>9472</v>
      </c>
      <c r="C111" s="6" t="s">
        <v>9391</v>
      </c>
      <c r="D111" s="6" t="s">
        <v>9390</v>
      </c>
      <c r="E111" s="6">
        <v>0.97550000000000003</v>
      </c>
      <c r="F111" s="6">
        <v>200</v>
      </c>
      <c r="G111" s="6">
        <v>2</v>
      </c>
      <c r="H111" s="9">
        <v>3</v>
      </c>
      <c r="I111" s="6">
        <v>54</v>
      </c>
      <c r="J111" s="6">
        <v>2012</v>
      </c>
      <c r="L111" s="6" t="s">
        <v>463</v>
      </c>
      <c r="M111" s="6" t="s">
        <v>9472</v>
      </c>
      <c r="N111" s="6" t="s">
        <v>9473</v>
      </c>
      <c r="O111" s="6" t="s">
        <v>9393</v>
      </c>
      <c r="P111" s="6" t="s">
        <v>13</v>
      </c>
      <c r="Q111" s="6" t="s">
        <v>9391</v>
      </c>
    </row>
    <row r="112" spans="2:17">
      <c r="B112" s="6" t="s">
        <v>9474</v>
      </c>
      <c r="C112" s="6" t="s">
        <v>9391</v>
      </c>
      <c r="D112" s="6" t="s">
        <v>9390</v>
      </c>
      <c r="E112" s="6">
        <v>0.97550000000000003</v>
      </c>
      <c r="F112" s="6">
        <v>200</v>
      </c>
      <c r="G112" s="6">
        <v>2</v>
      </c>
      <c r="H112" s="9">
        <v>11</v>
      </c>
      <c r="I112" s="6">
        <v>54</v>
      </c>
      <c r="J112" s="6">
        <v>2022</v>
      </c>
      <c r="L112" s="6" t="s">
        <v>463</v>
      </c>
      <c r="M112" s="6" t="s">
        <v>9474</v>
      </c>
      <c r="N112" s="6" t="s">
        <v>9475</v>
      </c>
      <c r="O112" s="6" t="s">
        <v>9393</v>
      </c>
      <c r="P112" s="6" t="s">
        <v>13</v>
      </c>
      <c r="Q112" s="6" t="s">
        <v>9391</v>
      </c>
    </row>
    <row r="113" spans="2:17">
      <c r="B113" s="6" t="s">
        <v>9476</v>
      </c>
      <c r="C113" s="6" t="s">
        <v>9391</v>
      </c>
      <c r="D113" s="6" t="s">
        <v>9390</v>
      </c>
      <c r="E113" s="6">
        <v>0.97550000000000003</v>
      </c>
      <c r="F113" s="6">
        <v>200</v>
      </c>
      <c r="G113" s="6">
        <v>2</v>
      </c>
      <c r="H113" s="9">
        <v>3.5</v>
      </c>
      <c r="I113" s="6">
        <v>54</v>
      </c>
      <c r="J113" s="6">
        <v>2013</v>
      </c>
      <c r="L113" s="6" t="s">
        <v>463</v>
      </c>
      <c r="M113" s="6" t="s">
        <v>9476</v>
      </c>
      <c r="N113" s="6" t="s">
        <v>9477</v>
      </c>
      <c r="O113" s="6" t="s">
        <v>9393</v>
      </c>
      <c r="P113" s="6" t="s">
        <v>13</v>
      </c>
      <c r="Q113" s="6" t="s">
        <v>9391</v>
      </c>
    </row>
    <row r="114" spans="2:17">
      <c r="B114" s="6" t="s">
        <v>9478</v>
      </c>
      <c r="C114" s="6" t="s">
        <v>9391</v>
      </c>
      <c r="D114" s="6" t="s">
        <v>9390</v>
      </c>
      <c r="E114" s="6">
        <v>0.97550000000000003</v>
      </c>
      <c r="F114" s="6">
        <v>200</v>
      </c>
      <c r="G114" s="6">
        <v>2</v>
      </c>
      <c r="H114" s="9">
        <v>2.79852520588235</v>
      </c>
      <c r="I114" s="6">
        <v>54</v>
      </c>
      <c r="J114" s="6">
        <v>2013</v>
      </c>
      <c r="L114" s="6" t="s">
        <v>463</v>
      </c>
      <c r="M114" s="6" t="s">
        <v>9478</v>
      </c>
      <c r="N114" s="6" t="s">
        <v>9479</v>
      </c>
      <c r="O114" s="6" t="s">
        <v>9393</v>
      </c>
      <c r="P114" s="6" t="s">
        <v>13</v>
      </c>
      <c r="Q114" s="6" t="s">
        <v>9391</v>
      </c>
    </row>
    <row r="115" spans="2:17">
      <c r="B115" s="6" t="s">
        <v>9480</v>
      </c>
      <c r="C115" s="6" t="s">
        <v>9391</v>
      </c>
      <c r="D115" s="6" t="s">
        <v>9390</v>
      </c>
      <c r="E115" s="6">
        <v>0.97550000000000003</v>
      </c>
      <c r="F115" s="6">
        <v>200</v>
      </c>
      <c r="G115" s="6">
        <v>2</v>
      </c>
      <c r="H115" s="9">
        <v>3.6029411764705901</v>
      </c>
      <c r="I115" s="6">
        <v>54</v>
      </c>
      <c r="J115" s="6">
        <v>2019</v>
      </c>
      <c r="L115" s="6" t="s">
        <v>463</v>
      </c>
      <c r="M115" s="6" t="s">
        <v>9480</v>
      </c>
      <c r="N115" s="6" t="s">
        <v>9481</v>
      </c>
      <c r="O115" s="6" t="s">
        <v>9393</v>
      </c>
      <c r="P115" s="6" t="s">
        <v>13</v>
      </c>
      <c r="Q115" s="6" t="s">
        <v>9391</v>
      </c>
    </row>
    <row r="116" spans="2:17">
      <c r="B116" s="6" t="s">
        <v>9482</v>
      </c>
      <c r="C116" s="6" t="s">
        <v>9391</v>
      </c>
      <c r="D116" s="6" t="s">
        <v>9390</v>
      </c>
      <c r="E116" s="6">
        <v>0.97550000000000003</v>
      </c>
      <c r="F116" s="6">
        <v>200</v>
      </c>
      <c r="G116" s="6">
        <v>2</v>
      </c>
      <c r="H116" s="9">
        <v>3.8</v>
      </c>
      <c r="I116" s="6">
        <v>54</v>
      </c>
      <c r="J116" s="6">
        <v>2015</v>
      </c>
      <c r="L116" s="6" t="s">
        <v>463</v>
      </c>
      <c r="M116" s="6" t="s">
        <v>9482</v>
      </c>
      <c r="N116" s="6" t="s">
        <v>9483</v>
      </c>
      <c r="O116" s="6" t="s">
        <v>9393</v>
      </c>
      <c r="P116" s="6" t="s">
        <v>13</v>
      </c>
      <c r="Q116" s="6" t="s">
        <v>9391</v>
      </c>
    </row>
    <row r="117" spans="2:17">
      <c r="B117" s="6" t="s">
        <v>9484</v>
      </c>
      <c r="C117" s="6" t="s">
        <v>9391</v>
      </c>
      <c r="D117" s="6" t="s">
        <v>9390</v>
      </c>
      <c r="E117" s="6">
        <v>0.97550000000000003</v>
      </c>
      <c r="F117" s="6">
        <v>200</v>
      </c>
      <c r="G117" s="6">
        <v>2</v>
      </c>
      <c r="H117" s="9">
        <v>2.9411764705882399</v>
      </c>
      <c r="I117" s="6">
        <v>54</v>
      </c>
      <c r="J117" s="6">
        <v>2014</v>
      </c>
      <c r="L117" s="6" t="s">
        <v>463</v>
      </c>
      <c r="M117" s="6" t="s">
        <v>9484</v>
      </c>
      <c r="N117" s="6" t="s">
        <v>9485</v>
      </c>
      <c r="O117" s="6" t="s">
        <v>9393</v>
      </c>
      <c r="P117" s="6" t="s">
        <v>13</v>
      </c>
      <c r="Q117" s="6" t="s">
        <v>9391</v>
      </c>
    </row>
    <row r="118" spans="2:17">
      <c r="B118" s="6" t="s">
        <v>9486</v>
      </c>
      <c r="C118" s="6" t="s">
        <v>9391</v>
      </c>
      <c r="D118" s="6" t="s">
        <v>9390</v>
      </c>
      <c r="E118" s="6">
        <v>0.97550000000000003</v>
      </c>
      <c r="F118" s="6">
        <v>200</v>
      </c>
      <c r="G118" s="6">
        <v>2</v>
      </c>
      <c r="H118" s="9">
        <v>6.7088235294117604</v>
      </c>
      <c r="I118" s="6">
        <v>54</v>
      </c>
      <c r="J118" s="6">
        <v>2022</v>
      </c>
      <c r="L118" s="6" t="s">
        <v>463</v>
      </c>
      <c r="M118" s="6" t="s">
        <v>9486</v>
      </c>
      <c r="N118" s="6" t="s">
        <v>9487</v>
      </c>
      <c r="O118" s="6" t="s">
        <v>9393</v>
      </c>
      <c r="P118" s="6" t="s">
        <v>13</v>
      </c>
      <c r="Q118" s="6" t="s">
        <v>9391</v>
      </c>
    </row>
    <row r="119" spans="2:17">
      <c r="B119" s="6" t="s">
        <v>9488</v>
      </c>
      <c r="C119" s="6" t="s">
        <v>9391</v>
      </c>
      <c r="D119" s="6" t="s">
        <v>9390</v>
      </c>
      <c r="E119" s="6">
        <v>0.97550000000000003</v>
      </c>
      <c r="F119" s="6">
        <v>200</v>
      </c>
      <c r="G119" s="6">
        <v>2</v>
      </c>
      <c r="H119" s="9">
        <v>4.8</v>
      </c>
      <c r="I119" s="6">
        <v>54</v>
      </c>
      <c r="J119" s="6">
        <v>2015</v>
      </c>
      <c r="L119" s="6" t="s">
        <v>463</v>
      </c>
      <c r="M119" s="6" t="s">
        <v>9488</v>
      </c>
      <c r="N119" s="6" t="s">
        <v>9489</v>
      </c>
      <c r="O119" s="6" t="s">
        <v>9393</v>
      </c>
      <c r="P119" s="6" t="s">
        <v>13</v>
      </c>
      <c r="Q119" s="6" t="s">
        <v>9391</v>
      </c>
    </row>
    <row r="120" spans="2:17">
      <c r="B120" s="6" t="s">
        <v>9488</v>
      </c>
      <c r="C120" s="6" t="s">
        <v>9391</v>
      </c>
      <c r="D120" s="6" t="s">
        <v>9390</v>
      </c>
      <c r="E120" s="6">
        <v>0.97550000000000003</v>
      </c>
      <c r="F120" s="6">
        <v>200</v>
      </c>
      <c r="G120" s="6">
        <v>2</v>
      </c>
      <c r="H120" s="9">
        <v>5</v>
      </c>
      <c r="I120" s="6">
        <v>54</v>
      </c>
      <c r="J120" s="6">
        <v>2017</v>
      </c>
      <c r="L120" s="6" t="s">
        <v>463</v>
      </c>
      <c r="M120" s="6" t="s">
        <v>9488</v>
      </c>
      <c r="N120" s="6" t="s">
        <v>9489</v>
      </c>
      <c r="O120" s="6" t="s">
        <v>9393</v>
      </c>
      <c r="P120" s="6" t="s">
        <v>13</v>
      </c>
      <c r="Q120" s="6" t="s">
        <v>9391</v>
      </c>
    </row>
    <row r="121" spans="2:17">
      <c r="B121" s="6" t="s">
        <v>9490</v>
      </c>
      <c r="C121" s="6" t="s">
        <v>9391</v>
      </c>
      <c r="D121" s="6" t="s">
        <v>9390</v>
      </c>
      <c r="E121" s="6">
        <v>0.97550000000000003</v>
      </c>
      <c r="F121" s="6">
        <v>200</v>
      </c>
      <c r="G121" s="6">
        <v>2</v>
      </c>
      <c r="H121" s="9">
        <v>5.26</v>
      </c>
      <c r="I121" s="6">
        <v>54</v>
      </c>
      <c r="J121" s="6">
        <v>2023</v>
      </c>
      <c r="L121" s="6" t="s">
        <v>463</v>
      </c>
      <c r="M121" s="6" t="s">
        <v>9490</v>
      </c>
      <c r="N121" s="6" t="s">
        <v>9491</v>
      </c>
      <c r="O121" s="6" t="s">
        <v>9393</v>
      </c>
      <c r="P121" s="6" t="s">
        <v>13</v>
      </c>
      <c r="Q121" s="6" t="s">
        <v>9391</v>
      </c>
    </row>
    <row r="122" spans="2:17">
      <c r="B122" s="6" t="s">
        <v>9492</v>
      </c>
      <c r="C122" s="6" t="s">
        <v>9391</v>
      </c>
      <c r="D122" s="6" t="s">
        <v>9390</v>
      </c>
      <c r="E122" s="6">
        <v>0.97550000000000003</v>
      </c>
      <c r="F122" s="6">
        <v>200</v>
      </c>
      <c r="G122" s="6">
        <v>2</v>
      </c>
      <c r="H122" s="9">
        <v>0</v>
      </c>
      <c r="I122" s="6">
        <v>54</v>
      </c>
      <c r="J122" s="6">
        <v>2021</v>
      </c>
      <c r="L122" s="6" t="s">
        <v>463</v>
      </c>
      <c r="M122" s="6" t="s">
        <v>9492</v>
      </c>
      <c r="N122" s="6" t="s">
        <v>9493</v>
      </c>
      <c r="O122" s="6" t="s">
        <v>9393</v>
      </c>
      <c r="P122" s="6" t="s">
        <v>13</v>
      </c>
      <c r="Q122" s="6" t="s">
        <v>9391</v>
      </c>
    </row>
    <row r="123" spans="2:17">
      <c r="B123" s="6" t="s">
        <v>9494</v>
      </c>
      <c r="C123" s="6" t="s">
        <v>9391</v>
      </c>
      <c r="D123" s="6" t="s">
        <v>9390</v>
      </c>
      <c r="E123" s="6">
        <v>0.97550000000000003</v>
      </c>
      <c r="F123" s="6">
        <v>200</v>
      </c>
      <c r="G123" s="6">
        <v>2</v>
      </c>
      <c r="H123" s="9">
        <v>0.5</v>
      </c>
      <c r="I123" s="6">
        <v>54</v>
      </c>
      <c r="J123" s="6">
        <v>2022</v>
      </c>
      <c r="L123" s="6" t="s">
        <v>463</v>
      </c>
      <c r="M123" s="6" t="s">
        <v>9494</v>
      </c>
      <c r="N123" s="6" t="s">
        <v>9495</v>
      </c>
      <c r="O123" s="6" t="s">
        <v>9393</v>
      </c>
      <c r="P123" s="6" t="s">
        <v>13</v>
      </c>
      <c r="Q123" s="6" t="s">
        <v>9391</v>
      </c>
    </row>
    <row r="124" spans="2:17">
      <c r="B124" s="6" t="s">
        <v>9496</v>
      </c>
      <c r="C124" s="6" t="s">
        <v>9391</v>
      </c>
      <c r="D124" s="6" t="s">
        <v>9390</v>
      </c>
      <c r="E124" s="6">
        <v>0.97550000000000003</v>
      </c>
      <c r="F124" s="6">
        <v>200</v>
      </c>
      <c r="G124" s="6">
        <v>2</v>
      </c>
      <c r="H124" s="9">
        <v>4.0999999999999996</v>
      </c>
      <c r="I124" s="6">
        <v>54</v>
      </c>
      <c r="J124" s="6">
        <v>2018</v>
      </c>
      <c r="L124" s="6" t="s">
        <v>463</v>
      </c>
      <c r="M124" s="6" t="s">
        <v>9496</v>
      </c>
      <c r="N124" s="6" t="s">
        <v>9497</v>
      </c>
      <c r="O124" s="6" t="s">
        <v>9393</v>
      </c>
      <c r="P124" s="6" t="s">
        <v>13</v>
      </c>
      <c r="Q124" s="6" t="s">
        <v>9391</v>
      </c>
    </row>
    <row r="125" spans="2:17">
      <c r="B125" s="6" t="s">
        <v>9496</v>
      </c>
      <c r="C125" s="6" t="s">
        <v>9391</v>
      </c>
      <c r="D125" s="6" t="s">
        <v>9390</v>
      </c>
      <c r="E125" s="6">
        <v>0.97550000000000003</v>
      </c>
      <c r="F125" s="6">
        <v>200</v>
      </c>
      <c r="G125" s="6">
        <v>2</v>
      </c>
      <c r="H125" s="9">
        <v>4.8529411764705896</v>
      </c>
      <c r="I125" s="6">
        <v>54</v>
      </c>
      <c r="J125" s="6">
        <v>2015</v>
      </c>
      <c r="L125" s="6" t="s">
        <v>463</v>
      </c>
      <c r="M125" s="6" t="s">
        <v>9496</v>
      </c>
      <c r="N125" s="6" t="s">
        <v>9497</v>
      </c>
      <c r="O125" s="6" t="s">
        <v>9393</v>
      </c>
      <c r="P125" s="6" t="s">
        <v>13</v>
      </c>
      <c r="Q125" s="6" t="s">
        <v>9391</v>
      </c>
    </row>
    <row r="126" spans="2:17">
      <c r="B126" s="6" t="s">
        <v>9496</v>
      </c>
      <c r="C126" s="6" t="s">
        <v>9391</v>
      </c>
      <c r="D126" s="6" t="s">
        <v>9390</v>
      </c>
      <c r="E126" s="6">
        <v>0.97550000000000003</v>
      </c>
      <c r="F126" s="6">
        <v>200</v>
      </c>
      <c r="G126" s="6">
        <v>2</v>
      </c>
      <c r="H126" s="9">
        <v>5.7</v>
      </c>
      <c r="I126" s="6">
        <v>54</v>
      </c>
      <c r="J126" s="6">
        <v>2016</v>
      </c>
      <c r="L126" s="6" t="s">
        <v>463</v>
      </c>
      <c r="M126" s="6" t="s">
        <v>9496</v>
      </c>
      <c r="N126" s="6" t="s">
        <v>9497</v>
      </c>
      <c r="O126" s="6" t="s">
        <v>9393</v>
      </c>
      <c r="P126" s="6" t="s">
        <v>13</v>
      </c>
      <c r="Q126" s="6" t="s">
        <v>9391</v>
      </c>
    </row>
    <row r="127" spans="2:17">
      <c r="B127" s="6" t="s">
        <v>9498</v>
      </c>
      <c r="C127" s="6" t="s">
        <v>9391</v>
      </c>
      <c r="D127" s="6" t="s">
        <v>9390</v>
      </c>
      <c r="E127" s="6">
        <v>0.97550000000000003</v>
      </c>
      <c r="F127" s="6">
        <v>200</v>
      </c>
      <c r="G127" s="6">
        <v>2</v>
      </c>
      <c r="H127" s="9">
        <v>3.0147058823529398</v>
      </c>
      <c r="I127" s="6">
        <v>54</v>
      </c>
      <c r="J127" s="6">
        <v>2008</v>
      </c>
      <c r="L127" s="6" t="s">
        <v>463</v>
      </c>
      <c r="M127" s="6" t="s">
        <v>9498</v>
      </c>
      <c r="N127" s="6" t="s">
        <v>9499</v>
      </c>
      <c r="O127" s="6" t="s">
        <v>9393</v>
      </c>
      <c r="P127" s="6" t="s">
        <v>13</v>
      </c>
      <c r="Q127" s="6" t="s">
        <v>9391</v>
      </c>
    </row>
    <row r="128" spans="2:17">
      <c r="B128" s="6" t="s">
        <v>9500</v>
      </c>
      <c r="C128" s="6" t="s">
        <v>9391</v>
      </c>
      <c r="D128" s="6" t="s">
        <v>9390</v>
      </c>
      <c r="E128" s="6">
        <v>0.97550000000000003</v>
      </c>
      <c r="F128" s="6">
        <v>200</v>
      </c>
      <c r="G128" s="6">
        <v>2</v>
      </c>
      <c r="H128" s="9">
        <v>3.4</v>
      </c>
      <c r="I128" s="6">
        <v>54</v>
      </c>
      <c r="J128" s="6">
        <v>2021</v>
      </c>
      <c r="L128" s="6" t="s">
        <v>463</v>
      </c>
      <c r="M128" s="6" t="s">
        <v>9500</v>
      </c>
      <c r="N128" s="6" t="s">
        <v>9501</v>
      </c>
      <c r="O128" s="6" t="s">
        <v>9393</v>
      </c>
      <c r="P128" s="6" t="s">
        <v>13</v>
      </c>
      <c r="Q128" s="6" t="s">
        <v>9391</v>
      </c>
    </row>
    <row r="129" spans="2:17">
      <c r="B129" s="6" t="s">
        <v>9502</v>
      </c>
      <c r="C129" s="6" t="s">
        <v>9391</v>
      </c>
      <c r="D129" s="6" t="s">
        <v>9390</v>
      </c>
      <c r="E129" s="6">
        <v>0.97550000000000003</v>
      </c>
      <c r="F129" s="6">
        <v>200</v>
      </c>
      <c r="G129" s="6">
        <v>2</v>
      </c>
      <c r="H129" s="9">
        <v>6.1</v>
      </c>
      <c r="I129" s="6">
        <v>54</v>
      </c>
      <c r="J129" s="6">
        <v>2020</v>
      </c>
      <c r="L129" s="6" t="s">
        <v>463</v>
      </c>
      <c r="M129" s="6" t="s">
        <v>9502</v>
      </c>
      <c r="N129" s="6" t="s">
        <v>9503</v>
      </c>
      <c r="O129" s="6" t="s">
        <v>9393</v>
      </c>
      <c r="P129" s="6" t="s">
        <v>13</v>
      </c>
      <c r="Q129" s="6" t="s">
        <v>9391</v>
      </c>
    </row>
    <row r="130" spans="2:17">
      <c r="B130" s="6" t="s">
        <v>9504</v>
      </c>
      <c r="C130" s="6" t="s">
        <v>9391</v>
      </c>
      <c r="D130" s="6" t="s">
        <v>9390</v>
      </c>
      <c r="E130" s="6">
        <v>0.97550000000000003</v>
      </c>
      <c r="F130" s="6">
        <v>200</v>
      </c>
      <c r="G130" s="6">
        <v>2</v>
      </c>
      <c r="H130" s="9">
        <v>0.5</v>
      </c>
      <c r="I130" s="6">
        <v>54</v>
      </c>
      <c r="J130" s="6">
        <v>2017</v>
      </c>
      <c r="L130" s="6" t="s">
        <v>463</v>
      </c>
      <c r="M130" s="6" t="s">
        <v>9504</v>
      </c>
      <c r="N130" s="6" t="s">
        <v>9505</v>
      </c>
      <c r="O130" s="6" t="s">
        <v>9393</v>
      </c>
      <c r="P130" s="6" t="s">
        <v>13</v>
      </c>
      <c r="Q130" s="6" t="s">
        <v>9391</v>
      </c>
    </row>
    <row r="131" spans="2:17">
      <c r="B131" s="6" t="s">
        <v>9506</v>
      </c>
      <c r="C131" s="6" t="s">
        <v>9391</v>
      </c>
      <c r="D131" s="6" t="s">
        <v>9390</v>
      </c>
      <c r="E131" s="6">
        <v>0.97550000000000003</v>
      </c>
      <c r="F131" s="6">
        <v>200</v>
      </c>
      <c r="G131" s="6">
        <v>2</v>
      </c>
      <c r="H131" s="9">
        <v>5.8</v>
      </c>
      <c r="I131" s="6">
        <v>54</v>
      </c>
      <c r="J131" s="6">
        <v>2009</v>
      </c>
      <c r="L131" s="6" t="s">
        <v>463</v>
      </c>
      <c r="M131" s="6" t="s">
        <v>9506</v>
      </c>
      <c r="N131" s="6" t="s">
        <v>9507</v>
      </c>
      <c r="O131" s="6" t="s">
        <v>9393</v>
      </c>
      <c r="P131" s="6" t="s">
        <v>13</v>
      </c>
      <c r="Q131" s="6" t="s">
        <v>9391</v>
      </c>
    </row>
    <row r="132" spans="2:17">
      <c r="B132" s="6" t="s">
        <v>9508</v>
      </c>
      <c r="C132" s="6" t="s">
        <v>9391</v>
      </c>
      <c r="D132" s="6" t="s">
        <v>9390</v>
      </c>
      <c r="E132" s="6">
        <v>0.97550000000000003</v>
      </c>
      <c r="F132" s="6">
        <v>200</v>
      </c>
      <c r="G132" s="6">
        <v>2</v>
      </c>
      <c r="H132" s="9">
        <v>3.8</v>
      </c>
      <c r="I132" s="6">
        <v>54</v>
      </c>
      <c r="J132" s="6">
        <v>2013</v>
      </c>
      <c r="L132" s="6" t="s">
        <v>463</v>
      </c>
      <c r="M132" s="6" t="s">
        <v>9508</v>
      </c>
      <c r="N132" s="6" t="s">
        <v>9509</v>
      </c>
      <c r="O132" s="6" t="s">
        <v>9393</v>
      </c>
      <c r="P132" s="6" t="s">
        <v>13</v>
      </c>
      <c r="Q132" s="6" t="s">
        <v>9391</v>
      </c>
    </row>
    <row r="133" spans="2:17">
      <c r="B133" s="6" t="s">
        <v>9510</v>
      </c>
      <c r="C133" s="6" t="s">
        <v>9391</v>
      </c>
      <c r="D133" s="6" t="s">
        <v>9390</v>
      </c>
      <c r="E133" s="6">
        <v>0.97550000000000003</v>
      </c>
      <c r="F133" s="6">
        <v>200</v>
      </c>
      <c r="G133" s="6">
        <v>2</v>
      </c>
      <c r="H133" s="9">
        <v>6.6</v>
      </c>
      <c r="I133" s="6">
        <v>54</v>
      </c>
      <c r="J133" s="6">
        <v>1987</v>
      </c>
      <c r="L133" s="6" t="s">
        <v>463</v>
      </c>
      <c r="M133" s="6" t="s">
        <v>9510</v>
      </c>
      <c r="N133" s="6" t="s">
        <v>9511</v>
      </c>
      <c r="O133" s="6" t="s">
        <v>9393</v>
      </c>
      <c r="P133" s="6" t="s">
        <v>13</v>
      </c>
      <c r="Q133" s="6" t="s">
        <v>9391</v>
      </c>
    </row>
    <row r="134" spans="2:17">
      <c r="B134" s="6" t="s">
        <v>9512</v>
      </c>
      <c r="C134" s="6" t="s">
        <v>9391</v>
      </c>
      <c r="D134" s="6" t="s">
        <v>9390</v>
      </c>
      <c r="E134" s="6">
        <v>0.97550000000000003</v>
      </c>
      <c r="F134" s="6">
        <v>200</v>
      </c>
      <c r="G134" s="6">
        <v>2</v>
      </c>
      <c r="H134" s="9">
        <v>7.4</v>
      </c>
      <c r="I134" s="6">
        <v>54</v>
      </c>
      <c r="J134" s="6">
        <v>2009</v>
      </c>
      <c r="L134" s="6" t="s">
        <v>463</v>
      </c>
      <c r="M134" s="6" t="s">
        <v>9512</v>
      </c>
      <c r="N134" s="6" t="s">
        <v>9513</v>
      </c>
      <c r="O134" s="6" t="s">
        <v>9393</v>
      </c>
      <c r="P134" s="6" t="s">
        <v>13</v>
      </c>
      <c r="Q134" s="6" t="s">
        <v>9391</v>
      </c>
    </row>
    <row r="135" spans="2:17">
      <c r="B135" s="6" t="s">
        <v>9514</v>
      </c>
      <c r="C135" s="6" t="s">
        <v>9391</v>
      </c>
      <c r="D135" s="6" t="s">
        <v>9390</v>
      </c>
      <c r="E135" s="6">
        <v>0.97550000000000003</v>
      </c>
      <c r="F135" s="6">
        <v>200</v>
      </c>
      <c r="G135" s="6">
        <v>2</v>
      </c>
      <c r="H135" s="9">
        <v>1.5</v>
      </c>
      <c r="I135" s="6">
        <v>54</v>
      </c>
      <c r="J135" s="6">
        <v>2010</v>
      </c>
      <c r="L135" s="6" t="s">
        <v>463</v>
      </c>
      <c r="M135" s="6" t="s">
        <v>9514</v>
      </c>
      <c r="N135" s="6" t="s">
        <v>9515</v>
      </c>
      <c r="O135" s="6" t="s">
        <v>9393</v>
      </c>
      <c r="P135" s="6" t="s">
        <v>13</v>
      </c>
      <c r="Q135" s="6" t="s">
        <v>9391</v>
      </c>
    </row>
    <row r="136" spans="2:17">
      <c r="B136" s="6" t="s">
        <v>9514</v>
      </c>
      <c r="C136" s="6" t="s">
        <v>9391</v>
      </c>
      <c r="D136" s="6" t="s">
        <v>9390</v>
      </c>
      <c r="E136" s="6">
        <v>0.97550000000000003</v>
      </c>
      <c r="F136" s="6">
        <v>200</v>
      </c>
      <c r="G136" s="6">
        <v>2</v>
      </c>
      <c r="H136" s="9">
        <v>4</v>
      </c>
      <c r="I136" s="6">
        <v>54</v>
      </c>
      <c r="J136" s="6">
        <v>2009</v>
      </c>
      <c r="L136" s="6" t="s">
        <v>463</v>
      </c>
      <c r="M136" s="6" t="s">
        <v>9514</v>
      </c>
      <c r="N136" s="6" t="s">
        <v>9515</v>
      </c>
      <c r="O136" s="6" t="s">
        <v>9393</v>
      </c>
      <c r="P136" s="6" t="s">
        <v>13</v>
      </c>
      <c r="Q136" s="6" t="s">
        <v>9391</v>
      </c>
    </row>
    <row r="137" spans="2:17">
      <c r="B137" s="6" t="s">
        <v>9516</v>
      </c>
      <c r="C137" s="6" t="s">
        <v>9391</v>
      </c>
      <c r="D137" s="6" t="s">
        <v>9390</v>
      </c>
      <c r="E137" s="6">
        <v>0.97550000000000003</v>
      </c>
      <c r="F137" s="6">
        <v>200</v>
      </c>
      <c r="G137" s="6">
        <v>2</v>
      </c>
      <c r="H137" s="9">
        <v>2.9995101979411798</v>
      </c>
      <c r="I137" s="6">
        <v>54</v>
      </c>
      <c r="J137" s="6">
        <v>2012</v>
      </c>
      <c r="L137" s="6" t="s">
        <v>463</v>
      </c>
      <c r="M137" s="6" t="s">
        <v>9516</v>
      </c>
      <c r="N137" s="6" t="s">
        <v>9517</v>
      </c>
      <c r="O137" s="6" t="s">
        <v>9393</v>
      </c>
      <c r="P137" s="6" t="s">
        <v>13</v>
      </c>
      <c r="Q137" s="6" t="s">
        <v>9391</v>
      </c>
    </row>
    <row r="138" spans="2:17">
      <c r="B138" s="6" t="s">
        <v>9516</v>
      </c>
      <c r="C138" s="6" t="s">
        <v>9391</v>
      </c>
      <c r="D138" s="6" t="s">
        <v>9390</v>
      </c>
      <c r="E138" s="6">
        <v>0.97550000000000003</v>
      </c>
      <c r="F138" s="6">
        <v>200</v>
      </c>
      <c r="G138" s="6">
        <v>2</v>
      </c>
      <c r="H138" s="9">
        <v>3</v>
      </c>
      <c r="I138" s="6">
        <v>54</v>
      </c>
      <c r="J138" s="6">
        <v>2009</v>
      </c>
      <c r="L138" s="6" t="s">
        <v>463</v>
      </c>
      <c r="M138" s="6" t="s">
        <v>9516</v>
      </c>
      <c r="N138" s="6" t="s">
        <v>9517</v>
      </c>
      <c r="O138" s="6" t="s">
        <v>9393</v>
      </c>
      <c r="P138" s="6" t="s">
        <v>13</v>
      </c>
      <c r="Q138" s="6" t="s">
        <v>9391</v>
      </c>
    </row>
    <row r="139" spans="2:17">
      <c r="B139" s="6" t="s">
        <v>9516</v>
      </c>
      <c r="C139" s="6" t="s">
        <v>9391</v>
      </c>
      <c r="D139" s="6" t="s">
        <v>9390</v>
      </c>
      <c r="E139" s="6">
        <v>0.97550000000000003</v>
      </c>
      <c r="F139" s="6">
        <v>200</v>
      </c>
      <c r="G139" s="6">
        <v>2</v>
      </c>
      <c r="H139" s="9">
        <v>3</v>
      </c>
      <c r="I139" s="6">
        <v>54</v>
      </c>
      <c r="J139" s="6">
        <v>2020</v>
      </c>
      <c r="L139" s="6" t="s">
        <v>463</v>
      </c>
      <c r="M139" s="6" t="s">
        <v>9516</v>
      </c>
      <c r="N139" s="6" t="s">
        <v>9517</v>
      </c>
      <c r="O139" s="6" t="s">
        <v>9393</v>
      </c>
      <c r="P139" s="6" t="s">
        <v>13</v>
      </c>
      <c r="Q139" s="6" t="s">
        <v>9391</v>
      </c>
    </row>
    <row r="140" spans="2:17">
      <c r="B140" s="6" t="s">
        <v>9516</v>
      </c>
      <c r="C140" s="6" t="s">
        <v>9391</v>
      </c>
      <c r="D140" s="6" t="s">
        <v>9390</v>
      </c>
      <c r="E140" s="6">
        <v>0.97550000000000003</v>
      </c>
      <c r="F140" s="6">
        <v>200</v>
      </c>
      <c r="G140" s="6">
        <v>2</v>
      </c>
      <c r="H140" s="9">
        <v>3.6</v>
      </c>
      <c r="I140" s="6">
        <v>54</v>
      </c>
      <c r="J140" s="6">
        <v>2017</v>
      </c>
      <c r="L140" s="6" t="s">
        <v>463</v>
      </c>
      <c r="M140" s="6" t="s">
        <v>9516</v>
      </c>
      <c r="N140" s="6" t="s">
        <v>9517</v>
      </c>
      <c r="O140" s="6" t="s">
        <v>9393</v>
      </c>
      <c r="P140" s="6" t="s">
        <v>13</v>
      </c>
      <c r="Q140" s="6" t="s">
        <v>9391</v>
      </c>
    </row>
    <row r="141" spans="2:17">
      <c r="B141" s="6" t="s">
        <v>9516</v>
      </c>
      <c r="C141" s="6" t="s">
        <v>9391</v>
      </c>
      <c r="D141" s="6" t="s">
        <v>9390</v>
      </c>
      <c r="E141" s="6">
        <v>0.97550000000000003</v>
      </c>
      <c r="F141" s="6">
        <v>200</v>
      </c>
      <c r="G141" s="6">
        <v>2</v>
      </c>
      <c r="H141" s="9">
        <v>3.8</v>
      </c>
      <c r="I141" s="6">
        <v>54</v>
      </c>
      <c r="J141" s="6">
        <v>2019</v>
      </c>
      <c r="L141" s="6" t="s">
        <v>463</v>
      </c>
      <c r="M141" s="6" t="s">
        <v>9516</v>
      </c>
      <c r="N141" s="6" t="s">
        <v>9517</v>
      </c>
      <c r="O141" s="6" t="s">
        <v>9393</v>
      </c>
      <c r="P141" s="6" t="s">
        <v>13</v>
      </c>
      <c r="Q141" s="6" t="s">
        <v>9391</v>
      </c>
    </row>
    <row r="142" spans="2:17">
      <c r="B142" s="6" t="s">
        <v>9516</v>
      </c>
      <c r="C142" s="6" t="s">
        <v>9391</v>
      </c>
      <c r="D142" s="6" t="s">
        <v>9390</v>
      </c>
      <c r="E142" s="6">
        <v>0.97550000000000003</v>
      </c>
      <c r="F142" s="6">
        <v>200</v>
      </c>
      <c r="G142" s="6">
        <v>2</v>
      </c>
      <c r="H142" s="9">
        <v>4.7</v>
      </c>
      <c r="I142" s="6">
        <v>54</v>
      </c>
      <c r="J142" s="6">
        <v>2008</v>
      </c>
      <c r="L142" s="6" t="s">
        <v>463</v>
      </c>
      <c r="M142" s="6" t="s">
        <v>9516</v>
      </c>
      <c r="N142" s="6" t="s">
        <v>9517</v>
      </c>
      <c r="O142" s="6" t="s">
        <v>9393</v>
      </c>
      <c r="P142" s="6" t="s">
        <v>13</v>
      </c>
      <c r="Q142" s="6" t="s">
        <v>9391</v>
      </c>
    </row>
    <row r="143" spans="2:17">
      <c r="B143" s="6" t="s">
        <v>9516</v>
      </c>
      <c r="C143" s="6" t="s">
        <v>9391</v>
      </c>
      <c r="D143" s="6" t="s">
        <v>9390</v>
      </c>
      <c r="E143" s="6">
        <v>0.97550000000000003</v>
      </c>
      <c r="F143" s="6">
        <v>200</v>
      </c>
      <c r="G143" s="6">
        <v>2</v>
      </c>
      <c r="H143" s="9">
        <v>5.5</v>
      </c>
      <c r="I143" s="6">
        <v>54</v>
      </c>
      <c r="J143" s="6">
        <v>2021</v>
      </c>
      <c r="L143" s="6" t="s">
        <v>463</v>
      </c>
      <c r="M143" s="6" t="s">
        <v>9516</v>
      </c>
      <c r="N143" s="6" t="s">
        <v>9517</v>
      </c>
      <c r="O143" s="6" t="s">
        <v>9393</v>
      </c>
      <c r="P143" s="6" t="s">
        <v>13</v>
      </c>
      <c r="Q143" s="6" t="s">
        <v>9391</v>
      </c>
    </row>
    <row r="144" spans="2:17">
      <c r="B144" s="6" t="s">
        <v>9516</v>
      </c>
      <c r="C144" s="6" t="s">
        <v>9391</v>
      </c>
      <c r="D144" s="6" t="s">
        <v>9390</v>
      </c>
      <c r="E144" s="6">
        <v>0.97550000000000003</v>
      </c>
      <c r="F144" s="6">
        <v>200</v>
      </c>
      <c r="G144" s="6">
        <v>2</v>
      </c>
      <c r="H144" s="9">
        <v>5.6</v>
      </c>
      <c r="I144" s="6">
        <v>54</v>
      </c>
      <c r="J144" s="6">
        <v>2014</v>
      </c>
      <c r="L144" s="6" t="s">
        <v>463</v>
      </c>
      <c r="M144" s="6" t="s">
        <v>9516</v>
      </c>
      <c r="N144" s="6" t="s">
        <v>9517</v>
      </c>
      <c r="O144" s="6" t="s">
        <v>9393</v>
      </c>
      <c r="P144" s="6" t="s">
        <v>13</v>
      </c>
      <c r="Q144" s="6" t="s">
        <v>9391</v>
      </c>
    </row>
    <row r="145" spans="2:17">
      <c r="B145" s="6" t="s">
        <v>9516</v>
      </c>
      <c r="C145" s="6" t="s">
        <v>9391</v>
      </c>
      <c r="D145" s="6" t="s">
        <v>9390</v>
      </c>
      <c r="E145" s="6">
        <v>0.97550000000000003</v>
      </c>
      <c r="F145" s="6">
        <v>200</v>
      </c>
      <c r="G145" s="6">
        <v>2</v>
      </c>
      <c r="H145" s="9">
        <v>6.7927839088235302</v>
      </c>
      <c r="I145" s="6">
        <v>54</v>
      </c>
      <c r="J145" s="6">
        <v>2006</v>
      </c>
      <c r="L145" s="6" t="s">
        <v>463</v>
      </c>
      <c r="M145" s="6" t="s">
        <v>9516</v>
      </c>
      <c r="N145" s="6" t="s">
        <v>9517</v>
      </c>
      <c r="O145" s="6" t="s">
        <v>9393</v>
      </c>
      <c r="P145" s="6" t="s">
        <v>13</v>
      </c>
      <c r="Q145" s="6" t="s">
        <v>9391</v>
      </c>
    </row>
    <row r="146" spans="2:17">
      <c r="B146" s="6" t="s">
        <v>9516</v>
      </c>
      <c r="C146" s="6" t="s">
        <v>9391</v>
      </c>
      <c r="D146" s="6" t="s">
        <v>9390</v>
      </c>
      <c r="E146" s="6">
        <v>0.97550000000000003</v>
      </c>
      <c r="F146" s="6">
        <v>200</v>
      </c>
      <c r="G146" s="6">
        <v>2</v>
      </c>
      <c r="H146" s="9">
        <v>9.1231921711764699</v>
      </c>
      <c r="I146" s="6">
        <v>54</v>
      </c>
      <c r="J146" s="6">
        <v>2011</v>
      </c>
      <c r="L146" s="6" t="s">
        <v>463</v>
      </c>
      <c r="M146" s="6" t="s">
        <v>9516</v>
      </c>
      <c r="N146" s="6" t="s">
        <v>9517</v>
      </c>
      <c r="O146" s="6" t="s">
        <v>9393</v>
      </c>
      <c r="P146" s="6" t="s">
        <v>13</v>
      </c>
      <c r="Q146" s="6" t="s">
        <v>9391</v>
      </c>
    </row>
    <row r="147" spans="2:17">
      <c r="B147" s="6" t="s">
        <v>9516</v>
      </c>
      <c r="C147" s="6" t="s">
        <v>9391</v>
      </c>
      <c r="D147" s="6" t="s">
        <v>9390</v>
      </c>
      <c r="E147" s="6">
        <v>0.97550000000000003</v>
      </c>
      <c r="F147" s="6">
        <v>200</v>
      </c>
      <c r="G147" s="6">
        <v>2</v>
      </c>
      <c r="H147" s="9">
        <v>10.998156507352901</v>
      </c>
      <c r="I147" s="6">
        <v>54</v>
      </c>
      <c r="J147" s="6">
        <v>2013</v>
      </c>
      <c r="L147" s="6" t="s">
        <v>463</v>
      </c>
      <c r="M147" s="6" t="s">
        <v>9516</v>
      </c>
      <c r="N147" s="6" t="s">
        <v>9517</v>
      </c>
      <c r="O147" s="6" t="s">
        <v>9393</v>
      </c>
      <c r="P147" s="6" t="s">
        <v>13</v>
      </c>
      <c r="Q147" s="6" t="s">
        <v>9391</v>
      </c>
    </row>
    <row r="148" spans="2:17">
      <c r="B148" s="6" t="s">
        <v>9516</v>
      </c>
      <c r="C148" s="6" t="s">
        <v>9391</v>
      </c>
      <c r="D148" s="6" t="s">
        <v>9390</v>
      </c>
      <c r="E148" s="6">
        <v>0.97550000000000003</v>
      </c>
      <c r="F148" s="6">
        <v>200</v>
      </c>
      <c r="G148" s="6">
        <v>2</v>
      </c>
      <c r="H148" s="9">
        <v>11.2</v>
      </c>
      <c r="I148" s="6">
        <v>54</v>
      </c>
      <c r="J148" s="6">
        <v>2024</v>
      </c>
      <c r="L148" s="6" t="s">
        <v>463</v>
      </c>
      <c r="M148" s="6" t="s">
        <v>9516</v>
      </c>
      <c r="N148" s="6" t="s">
        <v>9517</v>
      </c>
      <c r="O148" s="6" t="s">
        <v>9393</v>
      </c>
      <c r="P148" s="6" t="s">
        <v>13</v>
      </c>
      <c r="Q148" s="6" t="s">
        <v>9391</v>
      </c>
    </row>
    <row r="149" spans="2:17">
      <c r="B149" s="6" t="s">
        <v>9516</v>
      </c>
      <c r="C149" s="6" t="s">
        <v>9391</v>
      </c>
      <c r="D149" s="6" t="s">
        <v>9390</v>
      </c>
      <c r="E149" s="6">
        <v>0.97550000000000003</v>
      </c>
      <c r="F149" s="6">
        <v>200</v>
      </c>
      <c r="G149" s="6">
        <v>2</v>
      </c>
      <c r="H149" s="9">
        <v>11.7</v>
      </c>
      <c r="I149" s="6">
        <v>54</v>
      </c>
      <c r="J149" s="6">
        <v>2016</v>
      </c>
      <c r="L149" s="6" t="s">
        <v>463</v>
      </c>
      <c r="M149" s="6" t="s">
        <v>9516</v>
      </c>
      <c r="N149" s="6" t="s">
        <v>9517</v>
      </c>
      <c r="O149" s="6" t="s">
        <v>9393</v>
      </c>
      <c r="P149" s="6" t="s">
        <v>13</v>
      </c>
      <c r="Q149" s="6" t="s">
        <v>9391</v>
      </c>
    </row>
    <row r="150" spans="2:17">
      <c r="B150" s="6" t="s">
        <v>9516</v>
      </c>
      <c r="C150" s="6" t="s">
        <v>9391</v>
      </c>
      <c r="D150" s="6" t="s">
        <v>9390</v>
      </c>
      <c r="E150" s="6">
        <v>0.97550000000000003</v>
      </c>
      <c r="F150" s="6">
        <v>200</v>
      </c>
      <c r="G150" s="6">
        <v>2</v>
      </c>
      <c r="H150" s="9">
        <v>13.6</v>
      </c>
      <c r="I150" s="6">
        <v>54</v>
      </c>
      <c r="J150" s="6">
        <v>2018</v>
      </c>
      <c r="L150" s="6" t="s">
        <v>463</v>
      </c>
      <c r="M150" s="6" t="s">
        <v>9516</v>
      </c>
      <c r="N150" s="6" t="s">
        <v>9517</v>
      </c>
      <c r="O150" s="6" t="s">
        <v>9393</v>
      </c>
      <c r="P150" s="6" t="s">
        <v>13</v>
      </c>
      <c r="Q150" s="6" t="s">
        <v>9391</v>
      </c>
    </row>
    <row r="151" spans="2:17">
      <c r="B151" s="6" t="s">
        <v>9516</v>
      </c>
      <c r="C151" s="6" t="s">
        <v>9391</v>
      </c>
      <c r="D151" s="6" t="s">
        <v>9390</v>
      </c>
      <c r="E151" s="6">
        <v>0.97550000000000003</v>
      </c>
      <c r="F151" s="6">
        <v>200</v>
      </c>
      <c r="G151" s="6">
        <v>2</v>
      </c>
      <c r="H151" s="9">
        <v>14</v>
      </c>
      <c r="I151" s="6">
        <v>54</v>
      </c>
      <c r="J151" s="6">
        <v>2022</v>
      </c>
      <c r="L151" s="6" t="s">
        <v>463</v>
      </c>
      <c r="M151" s="6" t="s">
        <v>9516</v>
      </c>
      <c r="N151" s="6" t="s">
        <v>9517</v>
      </c>
      <c r="O151" s="6" t="s">
        <v>9393</v>
      </c>
      <c r="P151" s="6" t="s">
        <v>13</v>
      </c>
      <c r="Q151" s="6" t="s">
        <v>9391</v>
      </c>
    </row>
    <row r="152" spans="2:17">
      <c r="B152" s="6" t="s">
        <v>9516</v>
      </c>
      <c r="C152" s="6" t="s">
        <v>9391</v>
      </c>
      <c r="D152" s="6" t="s">
        <v>9390</v>
      </c>
      <c r="E152" s="6">
        <v>0.97550000000000003</v>
      </c>
      <c r="F152" s="6">
        <v>200</v>
      </c>
      <c r="G152" s="6">
        <v>2</v>
      </c>
      <c r="H152" s="9">
        <v>16.908635721470599</v>
      </c>
      <c r="I152" s="6">
        <v>54</v>
      </c>
      <c r="J152" s="6">
        <v>2025</v>
      </c>
      <c r="L152" s="6" t="s">
        <v>463</v>
      </c>
      <c r="M152" s="6" t="s">
        <v>9516</v>
      </c>
      <c r="N152" s="6" t="s">
        <v>9517</v>
      </c>
      <c r="O152" s="6" t="s">
        <v>9393</v>
      </c>
      <c r="P152" s="6" t="s">
        <v>13</v>
      </c>
      <c r="Q152" s="6" t="s">
        <v>9391</v>
      </c>
    </row>
    <row r="153" spans="2:17">
      <c r="B153" s="6" t="s">
        <v>9516</v>
      </c>
      <c r="C153" s="6" t="s">
        <v>9391</v>
      </c>
      <c r="D153" s="6" t="s">
        <v>9390</v>
      </c>
      <c r="E153" s="6">
        <v>0.97550000000000003</v>
      </c>
      <c r="F153" s="6">
        <v>200</v>
      </c>
      <c r="G153" s="6">
        <v>2</v>
      </c>
      <c r="H153" s="9">
        <v>28.3</v>
      </c>
      <c r="I153" s="6">
        <v>54</v>
      </c>
      <c r="J153" s="6">
        <v>2023</v>
      </c>
      <c r="L153" s="6" t="s">
        <v>463</v>
      </c>
      <c r="M153" s="6" t="s">
        <v>9516</v>
      </c>
      <c r="N153" s="6" t="s">
        <v>9517</v>
      </c>
      <c r="O153" s="6" t="s">
        <v>9393</v>
      </c>
      <c r="P153" s="6" t="s">
        <v>13</v>
      </c>
      <c r="Q153" s="6" t="s">
        <v>9391</v>
      </c>
    </row>
    <row r="154" spans="2:17">
      <c r="B154" s="6" t="s">
        <v>9518</v>
      </c>
      <c r="C154" s="6" t="s">
        <v>9391</v>
      </c>
      <c r="D154" s="6" t="s">
        <v>9390</v>
      </c>
      <c r="E154" s="6">
        <v>0.97550000000000003</v>
      </c>
      <c r="F154" s="6">
        <v>200</v>
      </c>
      <c r="G154" s="6">
        <v>2</v>
      </c>
      <c r="H154" s="9">
        <v>0</v>
      </c>
      <c r="I154" s="6">
        <v>54</v>
      </c>
      <c r="J154" s="6">
        <v>2023</v>
      </c>
      <c r="L154" s="6" t="s">
        <v>463</v>
      </c>
      <c r="M154" s="6" t="s">
        <v>9518</v>
      </c>
      <c r="N154" s="6" t="s">
        <v>9519</v>
      </c>
      <c r="O154" s="6" t="s">
        <v>9393</v>
      </c>
      <c r="P154" s="6" t="s">
        <v>13</v>
      </c>
      <c r="Q154" s="6" t="s">
        <v>9391</v>
      </c>
    </row>
    <row r="155" spans="2:17">
      <c r="B155" s="6" t="s">
        <v>9518</v>
      </c>
      <c r="C155" s="6" t="s">
        <v>9391</v>
      </c>
      <c r="D155" s="6" t="s">
        <v>9390</v>
      </c>
      <c r="E155" s="6">
        <v>0.97550000000000003</v>
      </c>
      <c r="F155" s="6">
        <v>200</v>
      </c>
      <c r="G155" s="6">
        <v>2</v>
      </c>
      <c r="H155" s="9">
        <v>1.66893866823529</v>
      </c>
      <c r="I155" s="6">
        <v>54</v>
      </c>
      <c r="J155" s="6">
        <v>2003</v>
      </c>
      <c r="L155" s="6" t="s">
        <v>463</v>
      </c>
      <c r="M155" s="6" t="s">
        <v>9518</v>
      </c>
      <c r="N155" s="6" t="s">
        <v>9519</v>
      </c>
      <c r="O155" s="6" t="s">
        <v>9393</v>
      </c>
      <c r="P155" s="6" t="s">
        <v>13</v>
      </c>
      <c r="Q155" s="6" t="s">
        <v>9391</v>
      </c>
    </row>
    <row r="156" spans="2:17">
      <c r="B156" s="6" t="s">
        <v>9520</v>
      </c>
      <c r="C156" s="6" t="s">
        <v>9391</v>
      </c>
      <c r="D156" s="6" t="s">
        <v>9390</v>
      </c>
      <c r="E156" s="6">
        <v>0.97550000000000003</v>
      </c>
      <c r="F156" s="6">
        <v>200</v>
      </c>
      <c r="G156" s="6">
        <v>2</v>
      </c>
      <c r="H156" s="9">
        <v>2.6470588235294099</v>
      </c>
      <c r="I156" s="6">
        <v>54</v>
      </c>
      <c r="J156" s="6">
        <v>2007</v>
      </c>
      <c r="L156" s="6" t="s">
        <v>463</v>
      </c>
      <c r="M156" s="6" t="s">
        <v>9520</v>
      </c>
      <c r="N156" s="6" t="s">
        <v>9521</v>
      </c>
      <c r="O156" s="6" t="s">
        <v>9393</v>
      </c>
      <c r="P156" s="6" t="s">
        <v>13</v>
      </c>
      <c r="Q156" s="6" t="s">
        <v>9391</v>
      </c>
    </row>
    <row r="157" spans="2:17">
      <c r="B157" s="6" t="s">
        <v>9520</v>
      </c>
      <c r="C157" s="6" t="s">
        <v>9391</v>
      </c>
      <c r="D157" s="6" t="s">
        <v>9390</v>
      </c>
      <c r="E157" s="6">
        <v>0.97550000000000003</v>
      </c>
      <c r="F157" s="6">
        <v>200</v>
      </c>
      <c r="G157" s="6">
        <v>2</v>
      </c>
      <c r="H157" s="9">
        <v>6.4</v>
      </c>
      <c r="I157" s="6">
        <v>54</v>
      </c>
      <c r="J157" s="6">
        <v>2006</v>
      </c>
      <c r="L157" s="6" t="s">
        <v>463</v>
      </c>
      <c r="M157" s="6" t="s">
        <v>9520</v>
      </c>
      <c r="N157" s="6" t="s">
        <v>9521</v>
      </c>
      <c r="O157" s="6" t="s">
        <v>9393</v>
      </c>
      <c r="P157" s="6" t="s">
        <v>13</v>
      </c>
      <c r="Q157" s="6" t="s">
        <v>9391</v>
      </c>
    </row>
    <row r="158" spans="2:17">
      <c r="B158" s="6" t="s">
        <v>9520</v>
      </c>
      <c r="C158" s="6" t="s">
        <v>9391</v>
      </c>
      <c r="D158" s="6" t="s">
        <v>9390</v>
      </c>
      <c r="E158" s="6">
        <v>0.97550000000000003</v>
      </c>
      <c r="F158" s="6">
        <v>200</v>
      </c>
      <c r="G158" s="6">
        <v>2</v>
      </c>
      <c r="H158" s="9">
        <v>7</v>
      </c>
      <c r="I158" s="6">
        <v>54</v>
      </c>
      <c r="J158" s="6">
        <v>2003</v>
      </c>
      <c r="L158" s="6" t="s">
        <v>463</v>
      </c>
      <c r="M158" s="6" t="s">
        <v>9520</v>
      </c>
      <c r="N158" s="6" t="s">
        <v>9521</v>
      </c>
      <c r="O158" s="6" t="s">
        <v>9393</v>
      </c>
      <c r="P158" s="6" t="s">
        <v>13</v>
      </c>
      <c r="Q158" s="6" t="s">
        <v>9391</v>
      </c>
    </row>
    <row r="159" spans="2:17">
      <c r="B159" s="6" t="s">
        <v>9520</v>
      </c>
      <c r="C159" s="6" t="s">
        <v>9391</v>
      </c>
      <c r="D159" s="6" t="s">
        <v>9390</v>
      </c>
      <c r="E159" s="6">
        <v>0.97550000000000003</v>
      </c>
      <c r="F159" s="6">
        <v>200</v>
      </c>
      <c r="G159" s="6">
        <v>2</v>
      </c>
      <c r="H159" s="9">
        <v>8.6764705882352899</v>
      </c>
      <c r="I159" s="6">
        <v>54</v>
      </c>
      <c r="J159" s="6">
        <v>1988</v>
      </c>
      <c r="L159" s="6" t="s">
        <v>463</v>
      </c>
      <c r="M159" s="6" t="s">
        <v>9520</v>
      </c>
      <c r="N159" s="6" t="s">
        <v>9521</v>
      </c>
      <c r="O159" s="6" t="s">
        <v>9393</v>
      </c>
      <c r="P159" s="6" t="s">
        <v>13</v>
      </c>
      <c r="Q159" s="6" t="s">
        <v>9391</v>
      </c>
    </row>
    <row r="160" spans="2:17">
      <c r="B160" s="6" t="s">
        <v>9520</v>
      </c>
      <c r="C160" s="6" t="s">
        <v>9391</v>
      </c>
      <c r="D160" s="6" t="s">
        <v>9390</v>
      </c>
      <c r="E160" s="6">
        <v>0.97550000000000003</v>
      </c>
      <c r="F160" s="6">
        <v>200</v>
      </c>
      <c r="G160" s="6">
        <v>2</v>
      </c>
      <c r="H160" s="9">
        <v>8.6764705882352899</v>
      </c>
      <c r="I160" s="6">
        <v>54</v>
      </c>
      <c r="J160" s="6">
        <v>1989</v>
      </c>
      <c r="L160" s="6" t="s">
        <v>463</v>
      </c>
      <c r="M160" s="6" t="s">
        <v>9520</v>
      </c>
      <c r="N160" s="6" t="s">
        <v>9521</v>
      </c>
      <c r="O160" s="6" t="s">
        <v>9393</v>
      </c>
      <c r="P160" s="6" t="s">
        <v>13</v>
      </c>
      <c r="Q160" s="6" t="s">
        <v>9391</v>
      </c>
    </row>
    <row r="161" spans="2:17">
      <c r="B161" s="6" t="s">
        <v>9520</v>
      </c>
      <c r="C161" s="6" t="s">
        <v>9391</v>
      </c>
      <c r="D161" s="6" t="s">
        <v>9390</v>
      </c>
      <c r="E161" s="6">
        <v>0.97550000000000003</v>
      </c>
      <c r="F161" s="6">
        <v>200</v>
      </c>
      <c r="G161" s="6">
        <v>2</v>
      </c>
      <c r="H161" s="9">
        <v>12.573529411764699</v>
      </c>
      <c r="I161" s="6">
        <v>54</v>
      </c>
      <c r="J161" s="6">
        <v>1968</v>
      </c>
      <c r="L161" s="6" t="s">
        <v>463</v>
      </c>
      <c r="M161" s="6" t="s">
        <v>9520</v>
      </c>
      <c r="N161" s="6" t="s">
        <v>9521</v>
      </c>
      <c r="O161" s="6" t="s">
        <v>9393</v>
      </c>
      <c r="P161" s="6" t="s">
        <v>13</v>
      </c>
      <c r="Q161" s="6" t="s">
        <v>9391</v>
      </c>
    </row>
    <row r="162" spans="2:17">
      <c r="B162" s="6" t="s">
        <v>9522</v>
      </c>
      <c r="C162" s="6" t="s">
        <v>9391</v>
      </c>
      <c r="D162" s="6" t="s">
        <v>9390</v>
      </c>
      <c r="E162" s="6">
        <v>0.97550000000000003</v>
      </c>
      <c r="F162" s="6">
        <v>200</v>
      </c>
      <c r="G162" s="6">
        <v>2</v>
      </c>
      <c r="H162" s="9">
        <v>3</v>
      </c>
      <c r="I162" s="6">
        <v>54</v>
      </c>
      <c r="J162" s="6">
        <v>2019</v>
      </c>
      <c r="L162" s="6" t="s">
        <v>463</v>
      </c>
      <c r="M162" s="6" t="s">
        <v>9522</v>
      </c>
      <c r="N162" s="6" t="s">
        <v>9523</v>
      </c>
      <c r="O162" s="6" t="s">
        <v>9393</v>
      </c>
      <c r="P162" s="6" t="s">
        <v>13</v>
      </c>
      <c r="Q162" s="6" t="s">
        <v>9391</v>
      </c>
    </row>
    <row r="163" spans="2:17">
      <c r="B163" s="6" t="s">
        <v>9524</v>
      </c>
      <c r="C163" s="6" t="s">
        <v>9391</v>
      </c>
      <c r="D163" s="6" t="s">
        <v>9390</v>
      </c>
      <c r="E163" s="6">
        <v>0.97550000000000003</v>
      </c>
      <c r="F163" s="6">
        <v>200</v>
      </c>
      <c r="G163" s="6">
        <v>2</v>
      </c>
      <c r="H163" s="9">
        <v>0</v>
      </c>
      <c r="I163" s="6">
        <v>54</v>
      </c>
      <c r="J163" s="6">
        <v>2022</v>
      </c>
      <c r="L163" s="6" t="s">
        <v>463</v>
      </c>
      <c r="M163" s="6" t="s">
        <v>9524</v>
      </c>
      <c r="N163" s="6" t="s">
        <v>9525</v>
      </c>
      <c r="O163" s="6" t="s">
        <v>9393</v>
      </c>
      <c r="P163" s="6" t="s">
        <v>13</v>
      </c>
      <c r="Q163" s="6" t="s">
        <v>9391</v>
      </c>
    </row>
    <row r="164" spans="2:17">
      <c r="B164" s="6" t="s">
        <v>9524</v>
      </c>
      <c r="C164" s="6" t="s">
        <v>9391</v>
      </c>
      <c r="D164" s="6" t="s">
        <v>9390</v>
      </c>
      <c r="E164" s="6">
        <v>0.97550000000000003</v>
      </c>
      <c r="F164" s="6">
        <v>200</v>
      </c>
      <c r="G164" s="6">
        <v>2</v>
      </c>
      <c r="H164" s="9">
        <v>7.4999999999999997E-2</v>
      </c>
      <c r="I164" s="6">
        <v>54</v>
      </c>
      <c r="J164" s="6">
        <v>2016</v>
      </c>
      <c r="L164" s="6" t="s">
        <v>463</v>
      </c>
      <c r="M164" s="6" t="s">
        <v>9524</v>
      </c>
      <c r="N164" s="6" t="s">
        <v>9525</v>
      </c>
      <c r="O164" s="6" t="s">
        <v>9393</v>
      </c>
      <c r="P164" s="6" t="s">
        <v>13</v>
      </c>
      <c r="Q164" s="6" t="s">
        <v>9391</v>
      </c>
    </row>
    <row r="165" spans="2:17">
      <c r="B165" s="6" t="s">
        <v>9524</v>
      </c>
      <c r="C165" s="6" t="s">
        <v>9391</v>
      </c>
      <c r="D165" s="6" t="s">
        <v>9390</v>
      </c>
      <c r="E165" s="6">
        <v>0.97550000000000003</v>
      </c>
      <c r="F165" s="6">
        <v>200</v>
      </c>
      <c r="G165" s="6">
        <v>2</v>
      </c>
      <c r="H165" s="9">
        <v>0.4</v>
      </c>
      <c r="I165" s="6">
        <v>54</v>
      </c>
      <c r="J165" s="6">
        <v>2018</v>
      </c>
      <c r="L165" s="6" t="s">
        <v>463</v>
      </c>
      <c r="M165" s="6" t="s">
        <v>9524</v>
      </c>
      <c r="N165" s="6" t="s">
        <v>9525</v>
      </c>
      <c r="O165" s="6" t="s">
        <v>9393</v>
      </c>
      <c r="P165" s="6" t="s">
        <v>13</v>
      </c>
      <c r="Q165" s="6" t="s">
        <v>9391</v>
      </c>
    </row>
    <row r="166" spans="2:17">
      <c r="B166" s="6" t="s">
        <v>9526</v>
      </c>
      <c r="C166" s="6" t="s">
        <v>9391</v>
      </c>
      <c r="D166" s="6" t="s">
        <v>9390</v>
      </c>
      <c r="E166" s="6">
        <v>0.97550000000000003</v>
      </c>
      <c r="F166" s="6">
        <v>200</v>
      </c>
      <c r="G166" s="6">
        <v>2</v>
      </c>
      <c r="H166" s="9">
        <v>2.4</v>
      </c>
      <c r="I166" s="6">
        <v>54</v>
      </c>
      <c r="J166" s="6">
        <v>1972</v>
      </c>
      <c r="L166" s="6" t="s">
        <v>463</v>
      </c>
      <c r="M166" s="6" t="s">
        <v>9526</v>
      </c>
      <c r="N166" s="6" t="s">
        <v>9527</v>
      </c>
      <c r="O166" s="6" t="s">
        <v>9393</v>
      </c>
      <c r="P166" s="6" t="s">
        <v>13</v>
      </c>
      <c r="Q166" s="6" t="s">
        <v>9391</v>
      </c>
    </row>
    <row r="167" spans="2:17">
      <c r="B167" s="6" t="s">
        <v>9526</v>
      </c>
      <c r="C167" s="6" t="s">
        <v>9391</v>
      </c>
      <c r="D167" s="6" t="s">
        <v>9390</v>
      </c>
      <c r="E167" s="6">
        <v>0.97550000000000003</v>
      </c>
      <c r="F167" s="6">
        <v>200</v>
      </c>
      <c r="G167" s="6">
        <v>2</v>
      </c>
      <c r="H167" s="9">
        <v>6.6</v>
      </c>
      <c r="I167" s="6">
        <v>54</v>
      </c>
      <c r="J167" s="6">
        <v>2009</v>
      </c>
      <c r="L167" s="6" t="s">
        <v>463</v>
      </c>
      <c r="M167" s="6" t="s">
        <v>9526</v>
      </c>
      <c r="N167" s="6" t="s">
        <v>9527</v>
      </c>
      <c r="O167" s="6" t="s">
        <v>9393</v>
      </c>
      <c r="P167" s="6" t="s">
        <v>13</v>
      </c>
      <c r="Q167" s="6" t="s">
        <v>9391</v>
      </c>
    </row>
    <row r="168" spans="2:17">
      <c r="B168" s="6" t="s">
        <v>9526</v>
      </c>
      <c r="C168" s="6" t="s">
        <v>9391</v>
      </c>
      <c r="D168" s="6" t="s">
        <v>9390</v>
      </c>
      <c r="E168" s="6">
        <v>0.97550000000000003</v>
      </c>
      <c r="F168" s="6">
        <v>200</v>
      </c>
      <c r="G168" s="6">
        <v>2</v>
      </c>
      <c r="H168" s="9">
        <v>8</v>
      </c>
      <c r="I168" s="6">
        <v>54</v>
      </c>
      <c r="J168" s="6">
        <v>1980</v>
      </c>
      <c r="L168" s="6" t="s">
        <v>463</v>
      </c>
      <c r="M168" s="6" t="s">
        <v>9526</v>
      </c>
      <c r="N168" s="6" t="s">
        <v>9527</v>
      </c>
      <c r="O168" s="6" t="s">
        <v>9393</v>
      </c>
      <c r="P168" s="6" t="s">
        <v>13</v>
      </c>
      <c r="Q168" s="6" t="s">
        <v>9391</v>
      </c>
    </row>
    <row r="169" spans="2:17">
      <c r="B169" s="6" t="s">
        <v>9526</v>
      </c>
      <c r="C169" s="6" t="s">
        <v>9391</v>
      </c>
      <c r="D169" s="6" t="s">
        <v>9390</v>
      </c>
      <c r="E169" s="6">
        <v>0.97550000000000003</v>
      </c>
      <c r="F169" s="6">
        <v>200</v>
      </c>
      <c r="G169" s="6">
        <v>2</v>
      </c>
      <c r="H169" s="9">
        <v>9.6</v>
      </c>
      <c r="I169" s="6">
        <v>54</v>
      </c>
      <c r="J169" s="6">
        <v>2016</v>
      </c>
      <c r="L169" s="6" t="s">
        <v>463</v>
      </c>
      <c r="M169" s="6" t="s">
        <v>9526</v>
      </c>
      <c r="N169" s="6" t="s">
        <v>9527</v>
      </c>
      <c r="O169" s="6" t="s">
        <v>9393</v>
      </c>
      <c r="P169" s="6" t="s">
        <v>13</v>
      </c>
      <c r="Q169" s="6" t="s">
        <v>9391</v>
      </c>
    </row>
    <row r="170" spans="2:17">
      <c r="B170" s="6" t="s">
        <v>9528</v>
      </c>
      <c r="C170" s="6" t="s">
        <v>9391</v>
      </c>
      <c r="D170" s="6" t="s">
        <v>9390</v>
      </c>
      <c r="E170" s="6">
        <v>0.97550000000000003</v>
      </c>
      <c r="F170" s="6">
        <v>200</v>
      </c>
      <c r="G170" s="6">
        <v>2</v>
      </c>
      <c r="H170" s="9">
        <v>14.3</v>
      </c>
      <c r="I170" s="6">
        <v>54</v>
      </c>
      <c r="J170" s="6">
        <v>2005</v>
      </c>
      <c r="L170" s="6" t="s">
        <v>463</v>
      </c>
      <c r="M170" s="6" t="s">
        <v>9528</v>
      </c>
      <c r="N170" s="6" t="s">
        <v>9529</v>
      </c>
      <c r="O170" s="6" t="s">
        <v>9393</v>
      </c>
      <c r="P170" s="6" t="s">
        <v>13</v>
      </c>
      <c r="Q170" s="6" t="s">
        <v>9391</v>
      </c>
    </row>
    <row r="171" spans="2:17">
      <c r="B171" s="6" t="s">
        <v>9528</v>
      </c>
      <c r="C171" s="6" t="s">
        <v>9391</v>
      </c>
      <c r="D171" s="6" t="s">
        <v>9390</v>
      </c>
      <c r="E171" s="6">
        <v>0.97550000000000003</v>
      </c>
      <c r="F171" s="6">
        <v>200</v>
      </c>
      <c r="G171" s="6">
        <v>2</v>
      </c>
      <c r="H171" s="9">
        <v>20.988235294117601</v>
      </c>
      <c r="I171" s="6">
        <v>54</v>
      </c>
      <c r="J171" s="6">
        <v>2009</v>
      </c>
      <c r="L171" s="6" t="s">
        <v>463</v>
      </c>
      <c r="M171" s="6" t="s">
        <v>9528</v>
      </c>
      <c r="N171" s="6" t="s">
        <v>9529</v>
      </c>
      <c r="O171" s="6" t="s">
        <v>9393</v>
      </c>
      <c r="P171" s="6" t="s">
        <v>13</v>
      </c>
      <c r="Q171" s="6" t="s">
        <v>9391</v>
      </c>
    </row>
    <row r="172" spans="2:17">
      <c r="B172" s="6" t="s">
        <v>9530</v>
      </c>
      <c r="C172" s="6" t="s">
        <v>9391</v>
      </c>
      <c r="D172" s="6" t="s">
        <v>9390</v>
      </c>
      <c r="E172" s="6">
        <v>0.97550000000000003</v>
      </c>
      <c r="F172" s="6">
        <v>200</v>
      </c>
      <c r="G172" s="6">
        <v>2</v>
      </c>
      <c r="H172" s="9">
        <v>0.1</v>
      </c>
      <c r="I172" s="6">
        <v>54</v>
      </c>
      <c r="J172" s="6">
        <v>2019</v>
      </c>
      <c r="L172" s="6" t="s">
        <v>463</v>
      </c>
      <c r="M172" s="6" t="s">
        <v>9530</v>
      </c>
      <c r="N172" s="6" t="s">
        <v>9531</v>
      </c>
      <c r="O172" s="6" t="s">
        <v>9393</v>
      </c>
      <c r="P172" s="6" t="s">
        <v>13</v>
      </c>
      <c r="Q172" s="6" t="s">
        <v>9391</v>
      </c>
    </row>
    <row r="173" spans="2:17">
      <c r="B173" s="6" t="s">
        <v>9532</v>
      </c>
      <c r="C173" s="6" t="s">
        <v>9391</v>
      </c>
      <c r="D173" s="6" t="s">
        <v>9390</v>
      </c>
      <c r="E173" s="6">
        <v>0.97550000000000003</v>
      </c>
      <c r="F173" s="6">
        <v>200</v>
      </c>
      <c r="G173" s="6">
        <v>2</v>
      </c>
      <c r="H173" s="9">
        <v>5.0999999999999996</v>
      </c>
      <c r="I173" s="6">
        <v>54</v>
      </c>
      <c r="J173" s="6">
        <v>2000</v>
      </c>
      <c r="L173" s="6" t="s">
        <v>463</v>
      </c>
      <c r="M173" s="6" t="s">
        <v>9532</v>
      </c>
      <c r="N173" s="6" t="s">
        <v>9533</v>
      </c>
      <c r="O173" s="6" t="s">
        <v>9393</v>
      </c>
      <c r="P173" s="6" t="s">
        <v>13</v>
      </c>
      <c r="Q173" s="6" t="s">
        <v>9391</v>
      </c>
    </row>
    <row r="174" spans="2:17">
      <c r="B174" s="6" t="s">
        <v>9534</v>
      </c>
      <c r="C174" s="6" t="s">
        <v>9391</v>
      </c>
      <c r="D174" s="6" t="s">
        <v>9390</v>
      </c>
      <c r="E174" s="6">
        <v>0.97550000000000003</v>
      </c>
      <c r="F174" s="6">
        <v>200</v>
      </c>
      <c r="G174" s="6">
        <v>2</v>
      </c>
      <c r="H174" s="9">
        <v>0.21</v>
      </c>
      <c r="I174" s="6">
        <v>54</v>
      </c>
      <c r="J174" s="6">
        <v>2022</v>
      </c>
      <c r="L174" s="6" t="s">
        <v>463</v>
      </c>
      <c r="M174" s="6" t="s">
        <v>9534</v>
      </c>
      <c r="N174" s="6" t="s">
        <v>9535</v>
      </c>
      <c r="O174" s="6" t="s">
        <v>9393</v>
      </c>
      <c r="P174" s="6" t="s">
        <v>13</v>
      </c>
      <c r="Q174" s="6" t="s">
        <v>9391</v>
      </c>
    </row>
    <row r="175" spans="2:17">
      <c r="B175" s="6" t="s">
        <v>9534</v>
      </c>
      <c r="C175" s="6" t="s">
        <v>9391</v>
      </c>
      <c r="D175" s="6" t="s">
        <v>9390</v>
      </c>
      <c r="E175" s="6">
        <v>0.97550000000000003</v>
      </c>
      <c r="F175" s="6">
        <v>200</v>
      </c>
      <c r="G175" s="6">
        <v>2</v>
      </c>
      <c r="H175" s="9">
        <v>3</v>
      </c>
      <c r="I175" s="6">
        <v>54</v>
      </c>
      <c r="J175" s="6">
        <v>2015</v>
      </c>
      <c r="L175" s="6" t="s">
        <v>463</v>
      </c>
      <c r="M175" s="6" t="s">
        <v>9534</v>
      </c>
      <c r="N175" s="6" t="s">
        <v>9535</v>
      </c>
      <c r="O175" s="6" t="s">
        <v>9393</v>
      </c>
      <c r="P175" s="6" t="s">
        <v>13</v>
      </c>
      <c r="Q175" s="6" t="s">
        <v>9391</v>
      </c>
    </row>
    <row r="176" spans="2:17">
      <c r="B176" s="6" t="s">
        <v>9536</v>
      </c>
      <c r="C176" s="6" t="s">
        <v>9391</v>
      </c>
      <c r="D176" s="6" t="s">
        <v>9390</v>
      </c>
      <c r="E176" s="6">
        <v>0.97550000000000003</v>
      </c>
      <c r="F176" s="6">
        <v>200</v>
      </c>
      <c r="G176" s="6">
        <v>2</v>
      </c>
      <c r="H176" s="9">
        <v>4.9000000000000004</v>
      </c>
      <c r="I176" s="6">
        <v>54</v>
      </c>
      <c r="J176" s="6">
        <v>2005</v>
      </c>
      <c r="L176" s="6" t="s">
        <v>463</v>
      </c>
      <c r="M176" s="6" t="s">
        <v>9536</v>
      </c>
      <c r="N176" s="6" t="s">
        <v>9537</v>
      </c>
      <c r="O176" s="6" t="s">
        <v>9393</v>
      </c>
      <c r="P176" s="6" t="s">
        <v>13</v>
      </c>
      <c r="Q176" s="6" t="s">
        <v>9391</v>
      </c>
    </row>
    <row r="177" spans="2:17">
      <c r="B177" s="6" t="s">
        <v>9536</v>
      </c>
      <c r="C177" s="6" t="s">
        <v>9391</v>
      </c>
      <c r="D177" s="6" t="s">
        <v>9390</v>
      </c>
      <c r="E177" s="6">
        <v>0.97550000000000003</v>
      </c>
      <c r="F177" s="6">
        <v>200</v>
      </c>
      <c r="G177" s="6">
        <v>2</v>
      </c>
      <c r="H177" s="9">
        <v>5</v>
      </c>
      <c r="I177" s="6">
        <v>54</v>
      </c>
      <c r="J177" s="6">
        <v>2019</v>
      </c>
      <c r="L177" s="6" t="s">
        <v>463</v>
      </c>
      <c r="M177" s="6" t="s">
        <v>9536</v>
      </c>
      <c r="N177" s="6" t="s">
        <v>9537</v>
      </c>
      <c r="O177" s="6" t="s">
        <v>9393</v>
      </c>
      <c r="P177" s="6" t="s">
        <v>13</v>
      </c>
      <c r="Q177" s="6" t="s">
        <v>9391</v>
      </c>
    </row>
    <row r="178" spans="2:17">
      <c r="B178" s="6" t="s">
        <v>9536</v>
      </c>
      <c r="C178" s="6" t="s">
        <v>9391</v>
      </c>
      <c r="D178" s="6" t="s">
        <v>9390</v>
      </c>
      <c r="E178" s="6">
        <v>0.97550000000000003</v>
      </c>
      <c r="F178" s="6">
        <v>200</v>
      </c>
      <c r="G178" s="6">
        <v>2</v>
      </c>
      <c r="H178" s="9">
        <v>5</v>
      </c>
      <c r="I178" s="6">
        <v>54</v>
      </c>
      <c r="J178" s="6">
        <v>2020</v>
      </c>
      <c r="L178" s="6" t="s">
        <v>463</v>
      </c>
      <c r="M178" s="6" t="s">
        <v>9536</v>
      </c>
      <c r="N178" s="6" t="s">
        <v>9537</v>
      </c>
      <c r="O178" s="6" t="s">
        <v>9393</v>
      </c>
      <c r="P178" s="6" t="s">
        <v>13</v>
      </c>
      <c r="Q178" s="6" t="s">
        <v>9391</v>
      </c>
    </row>
    <row r="179" spans="2:17">
      <c r="B179" s="6" t="s">
        <v>9536</v>
      </c>
      <c r="C179" s="6" t="s">
        <v>9391</v>
      </c>
      <c r="D179" s="6" t="s">
        <v>9390</v>
      </c>
      <c r="E179" s="6">
        <v>0.97550000000000003</v>
      </c>
      <c r="F179" s="6">
        <v>200</v>
      </c>
      <c r="G179" s="6">
        <v>2</v>
      </c>
      <c r="H179" s="9">
        <v>5</v>
      </c>
      <c r="I179" s="6">
        <v>54</v>
      </c>
      <c r="J179" s="6">
        <v>2022</v>
      </c>
      <c r="L179" s="6" t="s">
        <v>463</v>
      </c>
      <c r="M179" s="6" t="s">
        <v>9536</v>
      </c>
      <c r="N179" s="6" t="s">
        <v>9537</v>
      </c>
      <c r="O179" s="6" t="s">
        <v>9393</v>
      </c>
      <c r="P179" s="6" t="s">
        <v>13</v>
      </c>
      <c r="Q179" s="6" t="s">
        <v>9391</v>
      </c>
    </row>
    <row r="180" spans="2:17">
      <c r="B180" s="6" t="s">
        <v>9536</v>
      </c>
      <c r="C180" s="6" t="s">
        <v>9391</v>
      </c>
      <c r="D180" s="6" t="s">
        <v>9390</v>
      </c>
      <c r="E180" s="6">
        <v>0.97550000000000003</v>
      </c>
      <c r="F180" s="6">
        <v>200</v>
      </c>
      <c r="G180" s="6">
        <v>2</v>
      </c>
      <c r="H180" s="9">
        <v>6.9</v>
      </c>
      <c r="I180" s="6">
        <v>54</v>
      </c>
      <c r="J180" s="6">
        <v>2013</v>
      </c>
      <c r="L180" s="6" t="s">
        <v>463</v>
      </c>
      <c r="M180" s="6" t="s">
        <v>9536</v>
      </c>
      <c r="N180" s="6" t="s">
        <v>9537</v>
      </c>
      <c r="O180" s="6" t="s">
        <v>9393</v>
      </c>
      <c r="P180" s="6" t="s">
        <v>13</v>
      </c>
      <c r="Q180" s="6" t="s">
        <v>9391</v>
      </c>
    </row>
    <row r="181" spans="2:17">
      <c r="B181" s="6" t="s">
        <v>9536</v>
      </c>
      <c r="C181" s="6" t="s">
        <v>9391</v>
      </c>
      <c r="D181" s="6" t="s">
        <v>9390</v>
      </c>
      <c r="E181" s="6">
        <v>0.97550000000000003</v>
      </c>
      <c r="F181" s="6">
        <v>200</v>
      </c>
      <c r="G181" s="6">
        <v>2</v>
      </c>
      <c r="H181" s="9">
        <v>17.5</v>
      </c>
      <c r="I181" s="6">
        <v>54</v>
      </c>
      <c r="J181" s="6">
        <v>2004</v>
      </c>
      <c r="L181" s="6" t="s">
        <v>463</v>
      </c>
      <c r="M181" s="6" t="s">
        <v>9536</v>
      </c>
      <c r="N181" s="6" t="s">
        <v>9537</v>
      </c>
      <c r="O181" s="6" t="s">
        <v>9393</v>
      </c>
      <c r="P181" s="6" t="s">
        <v>13</v>
      </c>
      <c r="Q181" s="6" t="s">
        <v>9391</v>
      </c>
    </row>
    <row r="182" spans="2:17">
      <c r="B182" s="6" t="s">
        <v>9538</v>
      </c>
      <c r="C182" s="6" t="s">
        <v>9391</v>
      </c>
      <c r="D182" s="6" t="s">
        <v>9390</v>
      </c>
      <c r="E182" s="6">
        <v>0.97550000000000003</v>
      </c>
      <c r="F182" s="6">
        <v>200</v>
      </c>
      <c r="G182" s="6">
        <v>2</v>
      </c>
      <c r="H182" s="9">
        <v>2.5</v>
      </c>
      <c r="I182" s="6">
        <v>54</v>
      </c>
      <c r="J182" s="6">
        <v>1971</v>
      </c>
      <c r="L182" s="6" t="s">
        <v>463</v>
      </c>
      <c r="M182" s="6" t="s">
        <v>9538</v>
      </c>
      <c r="N182" s="6" t="s">
        <v>9539</v>
      </c>
      <c r="O182" s="6" t="s">
        <v>9393</v>
      </c>
      <c r="P182" s="6" t="s">
        <v>13</v>
      </c>
      <c r="Q182" s="6" t="s">
        <v>9391</v>
      </c>
    </row>
    <row r="183" spans="2:17">
      <c r="B183" s="6" t="s">
        <v>9540</v>
      </c>
      <c r="C183" s="6" t="s">
        <v>9391</v>
      </c>
      <c r="D183" s="6" t="s">
        <v>9390</v>
      </c>
      <c r="E183" s="6">
        <v>0.97550000000000003</v>
      </c>
      <c r="F183" s="6">
        <v>200</v>
      </c>
      <c r="G183" s="6">
        <v>2</v>
      </c>
      <c r="H183" s="9">
        <v>0.5</v>
      </c>
      <c r="I183" s="6">
        <v>54</v>
      </c>
      <c r="J183" s="6">
        <v>2016</v>
      </c>
      <c r="L183" s="6" t="s">
        <v>463</v>
      </c>
      <c r="M183" s="6" t="s">
        <v>9540</v>
      </c>
      <c r="N183" s="6" t="s">
        <v>9541</v>
      </c>
      <c r="O183" s="6" t="s">
        <v>9393</v>
      </c>
      <c r="P183" s="6" t="s">
        <v>13</v>
      </c>
      <c r="Q183" s="6" t="s">
        <v>9391</v>
      </c>
    </row>
    <row r="184" spans="2:17">
      <c r="B184" s="6" t="s">
        <v>9542</v>
      </c>
      <c r="C184" s="6" t="s">
        <v>9391</v>
      </c>
      <c r="D184" s="6" t="s">
        <v>9390</v>
      </c>
      <c r="E184" s="6">
        <v>0.97550000000000003</v>
      </c>
      <c r="F184" s="6">
        <v>200</v>
      </c>
      <c r="G184" s="6">
        <v>2</v>
      </c>
      <c r="H184" s="9">
        <v>0</v>
      </c>
      <c r="I184" s="6">
        <v>54</v>
      </c>
      <c r="J184" s="6">
        <v>2019</v>
      </c>
      <c r="L184" s="6" t="s">
        <v>463</v>
      </c>
      <c r="M184" s="6" t="s">
        <v>9542</v>
      </c>
      <c r="N184" s="6" t="s">
        <v>9543</v>
      </c>
      <c r="O184" s="6" t="s">
        <v>9393</v>
      </c>
      <c r="P184" s="6" t="s">
        <v>13</v>
      </c>
      <c r="Q184" s="6" t="s">
        <v>9391</v>
      </c>
    </row>
    <row r="185" spans="2:17">
      <c r="B185" s="6" t="s">
        <v>9542</v>
      </c>
      <c r="C185" s="6" t="s">
        <v>9391</v>
      </c>
      <c r="D185" s="6" t="s">
        <v>9390</v>
      </c>
      <c r="E185" s="6">
        <v>0.97550000000000003</v>
      </c>
      <c r="F185" s="6">
        <v>200</v>
      </c>
      <c r="G185" s="6">
        <v>2</v>
      </c>
      <c r="H185" s="9">
        <v>0</v>
      </c>
      <c r="I185" s="6">
        <v>54</v>
      </c>
      <c r="J185" s="6">
        <v>2020</v>
      </c>
      <c r="L185" s="6" t="s">
        <v>463</v>
      </c>
      <c r="M185" s="6" t="s">
        <v>9542</v>
      </c>
      <c r="N185" s="6" t="s">
        <v>9543</v>
      </c>
      <c r="O185" s="6" t="s">
        <v>9393</v>
      </c>
      <c r="P185" s="6" t="s">
        <v>13</v>
      </c>
      <c r="Q185" s="6" t="s">
        <v>9391</v>
      </c>
    </row>
    <row r="186" spans="2:17">
      <c r="B186" s="6" t="s">
        <v>9542</v>
      </c>
      <c r="C186" s="6" t="s">
        <v>9391</v>
      </c>
      <c r="D186" s="6" t="s">
        <v>9390</v>
      </c>
      <c r="E186" s="6">
        <v>0.97550000000000003</v>
      </c>
      <c r="F186" s="6">
        <v>200</v>
      </c>
      <c r="G186" s="6">
        <v>2</v>
      </c>
      <c r="H186" s="9">
        <v>0</v>
      </c>
      <c r="I186" s="6">
        <v>54</v>
      </c>
      <c r="J186" s="6">
        <v>2025</v>
      </c>
      <c r="L186" s="6" t="s">
        <v>463</v>
      </c>
      <c r="M186" s="6" t="s">
        <v>9542</v>
      </c>
      <c r="N186" s="6" t="s">
        <v>9543</v>
      </c>
      <c r="O186" s="6" t="s">
        <v>9393</v>
      </c>
      <c r="P186" s="6" t="s">
        <v>13</v>
      </c>
      <c r="Q186" s="6" t="s">
        <v>9391</v>
      </c>
    </row>
    <row r="187" spans="2:17">
      <c r="B187" s="6" t="s">
        <v>9542</v>
      </c>
      <c r="C187" s="6" t="s">
        <v>9391</v>
      </c>
      <c r="D187" s="6" t="s">
        <v>9390</v>
      </c>
      <c r="E187" s="6">
        <v>0.97550000000000003</v>
      </c>
      <c r="F187" s="6">
        <v>200</v>
      </c>
      <c r="G187" s="6">
        <v>2</v>
      </c>
      <c r="H187" s="9">
        <v>0.1</v>
      </c>
      <c r="I187" s="6">
        <v>54</v>
      </c>
      <c r="J187" s="6">
        <v>2003</v>
      </c>
      <c r="L187" s="6" t="s">
        <v>463</v>
      </c>
      <c r="M187" s="6" t="s">
        <v>9542</v>
      </c>
      <c r="N187" s="6" t="s">
        <v>9543</v>
      </c>
      <c r="O187" s="6" t="s">
        <v>9393</v>
      </c>
      <c r="P187" s="6" t="s">
        <v>13</v>
      </c>
      <c r="Q187" s="6" t="s">
        <v>9391</v>
      </c>
    </row>
    <row r="188" spans="2:17">
      <c r="B188" s="6" t="s">
        <v>9542</v>
      </c>
      <c r="C188" s="6" t="s">
        <v>9391</v>
      </c>
      <c r="D188" s="6" t="s">
        <v>9390</v>
      </c>
      <c r="E188" s="6">
        <v>0.97550000000000003</v>
      </c>
      <c r="F188" s="6">
        <v>200</v>
      </c>
      <c r="G188" s="6">
        <v>2</v>
      </c>
      <c r="H188" s="9">
        <v>0.76323414705882298</v>
      </c>
      <c r="I188" s="6">
        <v>54</v>
      </c>
      <c r="J188" s="6">
        <v>1993</v>
      </c>
      <c r="L188" s="6" t="s">
        <v>463</v>
      </c>
      <c r="M188" s="6" t="s">
        <v>9542</v>
      </c>
      <c r="N188" s="6" t="s">
        <v>9543</v>
      </c>
      <c r="O188" s="6" t="s">
        <v>9393</v>
      </c>
      <c r="P188" s="6" t="s">
        <v>13</v>
      </c>
      <c r="Q188" s="6" t="s">
        <v>9391</v>
      </c>
    </row>
    <row r="189" spans="2:17">
      <c r="B189" s="6" t="s">
        <v>9542</v>
      </c>
      <c r="C189" s="6" t="s">
        <v>9391</v>
      </c>
      <c r="D189" s="6" t="s">
        <v>9390</v>
      </c>
      <c r="E189" s="6">
        <v>0.97550000000000003</v>
      </c>
      <c r="F189" s="6">
        <v>200</v>
      </c>
      <c r="G189" s="6">
        <v>2</v>
      </c>
      <c r="H189" s="9">
        <v>1</v>
      </c>
      <c r="I189" s="6">
        <v>54</v>
      </c>
      <c r="J189" s="6">
        <v>2022</v>
      </c>
      <c r="L189" s="6" t="s">
        <v>463</v>
      </c>
      <c r="M189" s="6" t="s">
        <v>9542</v>
      </c>
      <c r="N189" s="6" t="s">
        <v>9543</v>
      </c>
      <c r="O189" s="6" t="s">
        <v>9393</v>
      </c>
      <c r="P189" s="6" t="s">
        <v>13</v>
      </c>
      <c r="Q189" s="6" t="s">
        <v>9391</v>
      </c>
    </row>
    <row r="190" spans="2:17">
      <c r="B190" s="6" t="s">
        <v>9542</v>
      </c>
      <c r="C190" s="6" t="s">
        <v>9391</v>
      </c>
      <c r="D190" s="6" t="s">
        <v>9390</v>
      </c>
      <c r="E190" s="6">
        <v>0.97550000000000003</v>
      </c>
      <c r="F190" s="6">
        <v>200</v>
      </c>
      <c r="G190" s="6">
        <v>2</v>
      </c>
      <c r="H190" s="9">
        <v>1.7</v>
      </c>
      <c r="I190" s="6">
        <v>54</v>
      </c>
      <c r="J190" s="6">
        <v>2016</v>
      </c>
      <c r="L190" s="6" t="s">
        <v>463</v>
      </c>
      <c r="M190" s="6" t="s">
        <v>9542</v>
      </c>
      <c r="N190" s="6" t="s">
        <v>9543</v>
      </c>
      <c r="O190" s="6" t="s">
        <v>9393</v>
      </c>
      <c r="P190" s="6" t="s">
        <v>13</v>
      </c>
      <c r="Q190" s="6" t="s">
        <v>9391</v>
      </c>
    </row>
    <row r="191" spans="2:17">
      <c r="B191" s="6" t="s">
        <v>9542</v>
      </c>
      <c r="C191" s="6" t="s">
        <v>9391</v>
      </c>
      <c r="D191" s="6" t="s">
        <v>9390</v>
      </c>
      <c r="E191" s="6">
        <v>0.97550000000000003</v>
      </c>
      <c r="F191" s="6">
        <v>200</v>
      </c>
      <c r="G191" s="6">
        <v>2</v>
      </c>
      <c r="H191" s="9">
        <v>2.1</v>
      </c>
      <c r="I191" s="6">
        <v>54</v>
      </c>
      <c r="J191" s="6">
        <v>2013</v>
      </c>
      <c r="L191" s="6" t="s">
        <v>463</v>
      </c>
      <c r="M191" s="6" t="s">
        <v>9542</v>
      </c>
      <c r="N191" s="6" t="s">
        <v>9543</v>
      </c>
      <c r="O191" s="6" t="s">
        <v>9393</v>
      </c>
      <c r="P191" s="6" t="s">
        <v>13</v>
      </c>
      <c r="Q191" s="6" t="s">
        <v>9391</v>
      </c>
    </row>
    <row r="192" spans="2:17">
      <c r="B192" s="6" t="s">
        <v>9542</v>
      </c>
      <c r="C192" s="6" t="s">
        <v>9391</v>
      </c>
      <c r="D192" s="6" t="s">
        <v>9390</v>
      </c>
      <c r="E192" s="6">
        <v>0.97550000000000003</v>
      </c>
      <c r="F192" s="6">
        <v>200</v>
      </c>
      <c r="G192" s="6">
        <v>2</v>
      </c>
      <c r="H192" s="9">
        <v>2.1323529411764701</v>
      </c>
      <c r="I192" s="6">
        <v>54</v>
      </c>
      <c r="J192" s="6">
        <v>1991</v>
      </c>
      <c r="L192" s="6" t="s">
        <v>463</v>
      </c>
      <c r="M192" s="6" t="s">
        <v>9542</v>
      </c>
      <c r="N192" s="6" t="s">
        <v>9543</v>
      </c>
      <c r="O192" s="6" t="s">
        <v>9393</v>
      </c>
      <c r="P192" s="6" t="s">
        <v>13</v>
      </c>
      <c r="Q192" s="6" t="s">
        <v>9391</v>
      </c>
    </row>
    <row r="193" spans="2:17">
      <c r="B193" s="6" t="s">
        <v>9542</v>
      </c>
      <c r="C193" s="6" t="s">
        <v>9391</v>
      </c>
      <c r="D193" s="6" t="s">
        <v>9390</v>
      </c>
      <c r="E193" s="6">
        <v>0.97550000000000003</v>
      </c>
      <c r="F193" s="6">
        <v>200</v>
      </c>
      <c r="G193" s="6">
        <v>2</v>
      </c>
      <c r="H193" s="9">
        <v>2.2000000000000002</v>
      </c>
      <c r="I193" s="6">
        <v>54</v>
      </c>
      <c r="J193" s="6">
        <v>1972</v>
      </c>
      <c r="L193" s="6" t="s">
        <v>463</v>
      </c>
      <c r="M193" s="6" t="s">
        <v>9542</v>
      </c>
      <c r="N193" s="6" t="s">
        <v>9543</v>
      </c>
      <c r="O193" s="6" t="s">
        <v>9393</v>
      </c>
      <c r="P193" s="6" t="s">
        <v>13</v>
      </c>
      <c r="Q193" s="6" t="s">
        <v>9391</v>
      </c>
    </row>
    <row r="194" spans="2:17">
      <c r="B194" s="6" t="s">
        <v>9542</v>
      </c>
      <c r="C194" s="6" t="s">
        <v>9391</v>
      </c>
      <c r="D194" s="6" t="s">
        <v>9390</v>
      </c>
      <c r="E194" s="6">
        <v>0.97550000000000003</v>
      </c>
      <c r="F194" s="6">
        <v>200</v>
      </c>
      <c r="G194" s="6">
        <v>2</v>
      </c>
      <c r="H194" s="9">
        <v>2.3088235294117601</v>
      </c>
      <c r="I194" s="6">
        <v>54</v>
      </c>
      <c r="J194" s="6">
        <v>2015</v>
      </c>
      <c r="L194" s="6" t="s">
        <v>463</v>
      </c>
      <c r="M194" s="6" t="s">
        <v>9542</v>
      </c>
      <c r="N194" s="6" t="s">
        <v>9543</v>
      </c>
      <c r="O194" s="6" t="s">
        <v>9393</v>
      </c>
      <c r="P194" s="6" t="s">
        <v>13</v>
      </c>
      <c r="Q194" s="6" t="s">
        <v>9391</v>
      </c>
    </row>
    <row r="195" spans="2:17">
      <c r="B195" s="6" t="s">
        <v>9542</v>
      </c>
      <c r="C195" s="6" t="s">
        <v>9391</v>
      </c>
      <c r="D195" s="6" t="s">
        <v>9390</v>
      </c>
      <c r="E195" s="6">
        <v>0.97550000000000003</v>
      </c>
      <c r="F195" s="6">
        <v>200</v>
      </c>
      <c r="G195" s="6">
        <v>2</v>
      </c>
      <c r="H195" s="9">
        <v>2.4</v>
      </c>
      <c r="I195" s="6">
        <v>54</v>
      </c>
      <c r="J195" s="6">
        <v>2014</v>
      </c>
      <c r="L195" s="6" t="s">
        <v>463</v>
      </c>
      <c r="M195" s="6" t="s">
        <v>9542</v>
      </c>
      <c r="N195" s="6" t="s">
        <v>9543</v>
      </c>
      <c r="O195" s="6" t="s">
        <v>9393</v>
      </c>
      <c r="P195" s="6" t="s">
        <v>13</v>
      </c>
      <c r="Q195" s="6" t="s">
        <v>9391</v>
      </c>
    </row>
    <row r="196" spans="2:17">
      <c r="B196" s="6" t="s">
        <v>9542</v>
      </c>
      <c r="C196" s="6" t="s">
        <v>9391</v>
      </c>
      <c r="D196" s="6" t="s">
        <v>9390</v>
      </c>
      <c r="E196" s="6">
        <v>0.97550000000000003</v>
      </c>
      <c r="F196" s="6">
        <v>200</v>
      </c>
      <c r="G196" s="6">
        <v>2</v>
      </c>
      <c r="H196" s="9">
        <v>2.6</v>
      </c>
      <c r="I196" s="6">
        <v>54</v>
      </c>
      <c r="J196" s="6">
        <v>2021</v>
      </c>
      <c r="L196" s="6" t="s">
        <v>463</v>
      </c>
      <c r="M196" s="6" t="s">
        <v>9542</v>
      </c>
      <c r="N196" s="6" t="s">
        <v>9543</v>
      </c>
      <c r="O196" s="6" t="s">
        <v>9393</v>
      </c>
      <c r="P196" s="6" t="s">
        <v>13</v>
      </c>
      <c r="Q196" s="6" t="s">
        <v>9391</v>
      </c>
    </row>
    <row r="197" spans="2:17">
      <c r="B197" s="6" t="s">
        <v>9542</v>
      </c>
      <c r="C197" s="6" t="s">
        <v>9391</v>
      </c>
      <c r="D197" s="6" t="s">
        <v>9390</v>
      </c>
      <c r="E197" s="6">
        <v>0.97550000000000003</v>
      </c>
      <c r="F197" s="6">
        <v>200</v>
      </c>
      <c r="G197" s="6">
        <v>2</v>
      </c>
      <c r="H197" s="9">
        <v>3.5205882352941198</v>
      </c>
      <c r="I197" s="6">
        <v>54</v>
      </c>
      <c r="J197" s="6">
        <v>2012</v>
      </c>
      <c r="L197" s="6" t="s">
        <v>463</v>
      </c>
      <c r="M197" s="6" t="s">
        <v>9542</v>
      </c>
      <c r="N197" s="6" t="s">
        <v>9543</v>
      </c>
      <c r="O197" s="6" t="s">
        <v>9393</v>
      </c>
      <c r="P197" s="6" t="s">
        <v>13</v>
      </c>
      <c r="Q197" s="6" t="s">
        <v>9391</v>
      </c>
    </row>
    <row r="198" spans="2:17">
      <c r="B198" s="6" t="s">
        <v>9542</v>
      </c>
      <c r="C198" s="6" t="s">
        <v>9391</v>
      </c>
      <c r="D198" s="6" t="s">
        <v>9390</v>
      </c>
      <c r="E198" s="6">
        <v>0.97550000000000003</v>
      </c>
      <c r="F198" s="6">
        <v>200</v>
      </c>
      <c r="G198" s="6">
        <v>2</v>
      </c>
      <c r="H198" s="9">
        <v>3.54294117647059</v>
      </c>
      <c r="I198" s="6">
        <v>54</v>
      </c>
      <c r="J198" s="6">
        <v>2011</v>
      </c>
      <c r="L198" s="6" t="s">
        <v>463</v>
      </c>
      <c r="M198" s="6" t="s">
        <v>9542</v>
      </c>
      <c r="N198" s="6" t="s">
        <v>9543</v>
      </c>
      <c r="O198" s="6" t="s">
        <v>9393</v>
      </c>
      <c r="P198" s="6" t="s">
        <v>13</v>
      </c>
      <c r="Q198" s="6" t="s">
        <v>9391</v>
      </c>
    </row>
    <row r="199" spans="2:17">
      <c r="B199" s="6" t="s">
        <v>9542</v>
      </c>
      <c r="C199" s="6" t="s">
        <v>9391</v>
      </c>
      <c r="D199" s="6" t="s">
        <v>9390</v>
      </c>
      <c r="E199" s="6">
        <v>0.97550000000000003</v>
      </c>
      <c r="F199" s="6">
        <v>200</v>
      </c>
      <c r="G199" s="6">
        <v>2</v>
      </c>
      <c r="H199" s="9">
        <v>3.92</v>
      </c>
      <c r="I199" s="6">
        <v>54</v>
      </c>
      <c r="J199" s="6">
        <v>1996</v>
      </c>
      <c r="L199" s="6" t="s">
        <v>463</v>
      </c>
      <c r="M199" s="6" t="s">
        <v>9542</v>
      </c>
      <c r="N199" s="6" t="s">
        <v>9543</v>
      </c>
      <c r="O199" s="6" t="s">
        <v>9393</v>
      </c>
      <c r="P199" s="6" t="s">
        <v>13</v>
      </c>
      <c r="Q199" s="6" t="s">
        <v>9391</v>
      </c>
    </row>
    <row r="200" spans="2:17">
      <c r="B200" s="6" t="s">
        <v>9542</v>
      </c>
      <c r="C200" s="6" t="s">
        <v>9391</v>
      </c>
      <c r="D200" s="6" t="s">
        <v>9390</v>
      </c>
      <c r="E200" s="6">
        <v>0.97550000000000003</v>
      </c>
      <c r="F200" s="6">
        <v>200</v>
      </c>
      <c r="G200" s="6">
        <v>2</v>
      </c>
      <c r="H200" s="9">
        <v>5.17</v>
      </c>
      <c r="I200" s="6">
        <v>54</v>
      </c>
      <c r="J200" s="6">
        <v>1997</v>
      </c>
      <c r="L200" s="6" t="s">
        <v>463</v>
      </c>
      <c r="M200" s="6" t="s">
        <v>9542</v>
      </c>
      <c r="N200" s="6" t="s">
        <v>9543</v>
      </c>
      <c r="O200" s="6" t="s">
        <v>9393</v>
      </c>
      <c r="P200" s="6" t="s">
        <v>13</v>
      </c>
      <c r="Q200" s="6" t="s">
        <v>9391</v>
      </c>
    </row>
    <row r="201" spans="2:17">
      <c r="B201" s="6" t="s">
        <v>9542</v>
      </c>
      <c r="C201" s="6" t="s">
        <v>9391</v>
      </c>
      <c r="D201" s="6" t="s">
        <v>9390</v>
      </c>
      <c r="E201" s="6">
        <v>0.97550000000000003</v>
      </c>
      <c r="F201" s="6">
        <v>200</v>
      </c>
      <c r="G201" s="6">
        <v>2</v>
      </c>
      <c r="H201" s="9">
        <v>6.3970588235294104</v>
      </c>
      <c r="I201" s="6">
        <v>54</v>
      </c>
      <c r="J201" s="6">
        <v>1987</v>
      </c>
      <c r="L201" s="6" t="s">
        <v>463</v>
      </c>
      <c r="M201" s="6" t="s">
        <v>9542</v>
      </c>
      <c r="N201" s="6" t="s">
        <v>9543</v>
      </c>
      <c r="O201" s="6" t="s">
        <v>9393</v>
      </c>
      <c r="P201" s="6" t="s">
        <v>13</v>
      </c>
      <c r="Q201" s="6" t="s">
        <v>9391</v>
      </c>
    </row>
    <row r="202" spans="2:17">
      <c r="B202" s="6" t="s">
        <v>9542</v>
      </c>
      <c r="C202" s="6" t="s">
        <v>9391</v>
      </c>
      <c r="D202" s="6" t="s">
        <v>9390</v>
      </c>
      <c r="E202" s="6">
        <v>0.97550000000000003</v>
      </c>
      <c r="F202" s="6">
        <v>200</v>
      </c>
      <c r="G202" s="6">
        <v>2</v>
      </c>
      <c r="H202" s="9">
        <v>6.5</v>
      </c>
      <c r="I202" s="6">
        <v>54</v>
      </c>
      <c r="J202" s="6">
        <v>2018</v>
      </c>
      <c r="L202" s="6" t="s">
        <v>463</v>
      </c>
      <c r="M202" s="6" t="s">
        <v>9542</v>
      </c>
      <c r="N202" s="6" t="s">
        <v>9543</v>
      </c>
      <c r="O202" s="6" t="s">
        <v>9393</v>
      </c>
      <c r="P202" s="6" t="s">
        <v>13</v>
      </c>
      <c r="Q202" s="6" t="s">
        <v>9391</v>
      </c>
    </row>
    <row r="203" spans="2:17">
      <c r="B203" s="6" t="s">
        <v>9542</v>
      </c>
      <c r="C203" s="6" t="s">
        <v>9391</v>
      </c>
      <c r="D203" s="6" t="s">
        <v>9390</v>
      </c>
      <c r="E203" s="6">
        <v>0.97550000000000003</v>
      </c>
      <c r="F203" s="6">
        <v>200</v>
      </c>
      <c r="G203" s="6">
        <v>2</v>
      </c>
      <c r="H203" s="9">
        <v>7.5</v>
      </c>
      <c r="I203" s="6">
        <v>54</v>
      </c>
      <c r="J203" s="6">
        <v>1978</v>
      </c>
      <c r="L203" s="6" t="s">
        <v>463</v>
      </c>
      <c r="M203" s="6" t="s">
        <v>9542</v>
      </c>
      <c r="N203" s="6" t="s">
        <v>9543</v>
      </c>
      <c r="O203" s="6" t="s">
        <v>9393</v>
      </c>
      <c r="P203" s="6" t="s">
        <v>13</v>
      </c>
      <c r="Q203" s="6" t="s">
        <v>9391</v>
      </c>
    </row>
    <row r="204" spans="2:17">
      <c r="B204" s="6" t="s">
        <v>9542</v>
      </c>
      <c r="C204" s="6" t="s">
        <v>9391</v>
      </c>
      <c r="D204" s="6" t="s">
        <v>9390</v>
      </c>
      <c r="E204" s="6">
        <v>0.97550000000000003</v>
      </c>
      <c r="F204" s="6">
        <v>200</v>
      </c>
      <c r="G204" s="6">
        <v>2</v>
      </c>
      <c r="H204" s="9">
        <v>7.6276470588235297</v>
      </c>
      <c r="I204" s="6">
        <v>54</v>
      </c>
      <c r="J204" s="6">
        <v>1990</v>
      </c>
      <c r="L204" s="6" t="s">
        <v>463</v>
      </c>
      <c r="M204" s="6" t="s">
        <v>9542</v>
      </c>
      <c r="N204" s="6" t="s">
        <v>9543</v>
      </c>
      <c r="O204" s="6" t="s">
        <v>9393</v>
      </c>
      <c r="P204" s="6" t="s">
        <v>13</v>
      </c>
      <c r="Q204" s="6" t="s">
        <v>9391</v>
      </c>
    </row>
    <row r="205" spans="2:17">
      <c r="B205" s="6" t="s">
        <v>9542</v>
      </c>
      <c r="C205" s="6" t="s">
        <v>9391</v>
      </c>
      <c r="D205" s="6" t="s">
        <v>9390</v>
      </c>
      <c r="E205" s="6">
        <v>0.97550000000000003</v>
      </c>
      <c r="F205" s="6">
        <v>200</v>
      </c>
      <c r="G205" s="6">
        <v>2</v>
      </c>
      <c r="H205" s="9">
        <v>7.7</v>
      </c>
      <c r="I205" s="6">
        <v>54</v>
      </c>
      <c r="J205" s="6">
        <v>2001</v>
      </c>
      <c r="L205" s="6" t="s">
        <v>463</v>
      </c>
      <c r="M205" s="6" t="s">
        <v>9542</v>
      </c>
      <c r="N205" s="6" t="s">
        <v>9543</v>
      </c>
      <c r="O205" s="6" t="s">
        <v>9393</v>
      </c>
      <c r="P205" s="6" t="s">
        <v>13</v>
      </c>
      <c r="Q205" s="6" t="s">
        <v>9391</v>
      </c>
    </row>
    <row r="206" spans="2:17">
      <c r="B206" s="6" t="s">
        <v>9542</v>
      </c>
      <c r="C206" s="6" t="s">
        <v>9391</v>
      </c>
      <c r="D206" s="6" t="s">
        <v>9390</v>
      </c>
      <c r="E206" s="6">
        <v>0.97550000000000003</v>
      </c>
      <c r="F206" s="6">
        <v>200</v>
      </c>
      <c r="G206" s="6">
        <v>2</v>
      </c>
      <c r="H206" s="9">
        <v>10.4</v>
      </c>
      <c r="I206" s="6">
        <v>54</v>
      </c>
      <c r="J206" s="6">
        <v>1998</v>
      </c>
      <c r="L206" s="6" t="s">
        <v>463</v>
      </c>
      <c r="M206" s="6" t="s">
        <v>9542</v>
      </c>
      <c r="N206" s="6" t="s">
        <v>9543</v>
      </c>
      <c r="O206" s="6" t="s">
        <v>9393</v>
      </c>
      <c r="P206" s="6" t="s">
        <v>13</v>
      </c>
      <c r="Q206" s="6" t="s">
        <v>9391</v>
      </c>
    </row>
    <row r="207" spans="2:17">
      <c r="B207" s="6" t="s">
        <v>9542</v>
      </c>
      <c r="C207" s="6" t="s">
        <v>9391</v>
      </c>
      <c r="D207" s="6" t="s">
        <v>9390</v>
      </c>
      <c r="E207" s="6">
        <v>0.97550000000000003</v>
      </c>
      <c r="F207" s="6">
        <v>200</v>
      </c>
      <c r="G207" s="6">
        <v>2</v>
      </c>
      <c r="H207" s="9">
        <v>10.661764705882399</v>
      </c>
      <c r="I207" s="6">
        <v>54</v>
      </c>
      <c r="J207" s="6">
        <v>2006</v>
      </c>
      <c r="L207" s="6" t="s">
        <v>463</v>
      </c>
      <c r="M207" s="6" t="s">
        <v>9542</v>
      </c>
      <c r="N207" s="6" t="s">
        <v>9543</v>
      </c>
      <c r="O207" s="6" t="s">
        <v>9393</v>
      </c>
      <c r="P207" s="6" t="s">
        <v>13</v>
      </c>
      <c r="Q207" s="6" t="s">
        <v>9391</v>
      </c>
    </row>
    <row r="208" spans="2:17">
      <c r="B208" s="6" t="s">
        <v>9542</v>
      </c>
      <c r="C208" s="6" t="s">
        <v>9391</v>
      </c>
      <c r="D208" s="6" t="s">
        <v>9390</v>
      </c>
      <c r="E208" s="6">
        <v>0.97550000000000003</v>
      </c>
      <c r="F208" s="6">
        <v>200</v>
      </c>
      <c r="G208" s="6">
        <v>2</v>
      </c>
      <c r="H208" s="9">
        <v>10.9</v>
      </c>
      <c r="I208" s="6">
        <v>54</v>
      </c>
      <c r="J208" s="6">
        <v>1983</v>
      </c>
      <c r="L208" s="6" t="s">
        <v>463</v>
      </c>
      <c r="M208" s="6" t="s">
        <v>9542</v>
      </c>
      <c r="N208" s="6" t="s">
        <v>9543</v>
      </c>
      <c r="O208" s="6" t="s">
        <v>9393</v>
      </c>
      <c r="P208" s="6" t="s">
        <v>13</v>
      </c>
      <c r="Q208" s="6" t="s">
        <v>9391</v>
      </c>
    </row>
    <row r="209" spans="2:17">
      <c r="B209" s="6" t="s">
        <v>9542</v>
      </c>
      <c r="C209" s="6" t="s">
        <v>9391</v>
      </c>
      <c r="D209" s="6" t="s">
        <v>9390</v>
      </c>
      <c r="E209" s="6">
        <v>0.97550000000000003</v>
      </c>
      <c r="F209" s="6">
        <v>200</v>
      </c>
      <c r="G209" s="6">
        <v>2</v>
      </c>
      <c r="H209" s="9">
        <v>12</v>
      </c>
      <c r="I209" s="6">
        <v>54</v>
      </c>
      <c r="J209" s="6">
        <v>1969</v>
      </c>
      <c r="L209" s="6" t="s">
        <v>463</v>
      </c>
      <c r="M209" s="6" t="s">
        <v>9542</v>
      </c>
      <c r="N209" s="6" t="s">
        <v>9543</v>
      </c>
      <c r="O209" s="6" t="s">
        <v>9393</v>
      </c>
      <c r="P209" s="6" t="s">
        <v>13</v>
      </c>
      <c r="Q209" s="6" t="s">
        <v>9391</v>
      </c>
    </row>
    <row r="210" spans="2:17">
      <c r="B210" s="6" t="s">
        <v>9542</v>
      </c>
      <c r="C210" s="6" t="s">
        <v>9391</v>
      </c>
      <c r="D210" s="6" t="s">
        <v>9390</v>
      </c>
      <c r="E210" s="6">
        <v>0.97550000000000003</v>
      </c>
      <c r="F210" s="6">
        <v>200</v>
      </c>
      <c r="G210" s="6">
        <v>2</v>
      </c>
      <c r="H210" s="9">
        <v>13.988235294117599</v>
      </c>
      <c r="I210" s="6">
        <v>54</v>
      </c>
      <c r="J210" s="6">
        <v>1979</v>
      </c>
      <c r="L210" s="6" t="s">
        <v>463</v>
      </c>
      <c r="M210" s="6" t="s">
        <v>9542</v>
      </c>
      <c r="N210" s="6" t="s">
        <v>9543</v>
      </c>
      <c r="O210" s="6" t="s">
        <v>9393</v>
      </c>
      <c r="P210" s="6" t="s">
        <v>13</v>
      </c>
      <c r="Q210" s="6" t="s">
        <v>9391</v>
      </c>
    </row>
    <row r="211" spans="2:17">
      <c r="B211" s="6" t="s">
        <v>9542</v>
      </c>
      <c r="C211" s="6" t="s">
        <v>9391</v>
      </c>
      <c r="D211" s="6" t="s">
        <v>9390</v>
      </c>
      <c r="E211" s="6">
        <v>0.97550000000000003</v>
      </c>
      <c r="F211" s="6">
        <v>200</v>
      </c>
      <c r="G211" s="6">
        <v>2</v>
      </c>
      <c r="H211" s="9">
        <v>19.117647058823501</v>
      </c>
      <c r="I211" s="6">
        <v>54</v>
      </c>
      <c r="J211" s="6">
        <v>1977</v>
      </c>
      <c r="L211" s="6" t="s">
        <v>463</v>
      </c>
      <c r="M211" s="6" t="s">
        <v>9542</v>
      </c>
      <c r="N211" s="6" t="s">
        <v>9543</v>
      </c>
      <c r="O211" s="6" t="s">
        <v>9393</v>
      </c>
      <c r="P211" s="6" t="s">
        <v>13</v>
      </c>
      <c r="Q211" s="6" t="s">
        <v>9391</v>
      </c>
    </row>
    <row r="212" spans="2:17">
      <c r="B212" s="6" t="s">
        <v>9542</v>
      </c>
      <c r="C212" s="6" t="s">
        <v>9391</v>
      </c>
      <c r="D212" s="6" t="s">
        <v>9390</v>
      </c>
      <c r="E212" s="6">
        <v>0.97550000000000003</v>
      </c>
      <c r="F212" s="6">
        <v>200</v>
      </c>
      <c r="G212" s="6">
        <v>2</v>
      </c>
      <c r="H212" s="9">
        <v>19.117647058823501</v>
      </c>
      <c r="I212" s="6">
        <v>54</v>
      </c>
      <c r="J212" s="6">
        <v>1985</v>
      </c>
      <c r="L212" s="6" t="s">
        <v>463</v>
      </c>
      <c r="M212" s="6" t="s">
        <v>9542</v>
      </c>
      <c r="N212" s="6" t="s">
        <v>9543</v>
      </c>
      <c r="O212" s="6" t="s">
        <v>9393</v>
      </c>
      <c r="P212" s="6" t="s">
        <v>13</v>
      </c>
      <c r="Q212" s="6" t="s">
        <v>9391</v>
      </c>
    </row>
    <row r="213" spans="2:17">
      <c r="B213" s="6" t="s">
        <v>9542</v>
      </c>
      <c r="C213" s="6" t="s">
        <v>9391</v>
      </c>
      <c r="D213" s="6" t="s">
        <v>9390</v>
      </c>
      <c r="E213" s="6">
        <v>0.97550000000000003</v>
      </c>
      <c r="F213" s="6">
        <v>200</v>
      </c>
      <c r="G213" s="6">
        <v>2</v>
      </c>
      <c r="H213" s="9">
        <v>21.764705882352899</v>
      </c>
      <c r="I213" s="6">
        <v>54</v>
      </c>
      <c r="J213" s="6">
        <v>1984</v>
      </c>
      <c r="L213" s="6" t="s">
        <v>463</v>
      </c>
      <c r="M213" s="6" t="s">
        <v>9542</v>
      </c>
      <c r="N213" s="6" t="s">
        <v>9543</v>
      </c>
      <c r="O213" s="6" t="s">
        <v>9393</v>
      </c>
      <c r="P213" s="6" t="s">
        <v>13</v>
      </c>
      <c r="Q213" s="6" t="s">
        <v>9391</v>
      </c>
    </row>
    <row r="214" spans="2:17">
      <c r="B214" s="6" t="s">
        <v>9542</v>
      </c>
      <c r="C214" s="6" t="s">
        <v>9391</v>
      </c>
      <c r="D214" s="6" t="s">
        <v>9390</v>
      </c>
      <c r="E214" s="6">
        <v>0.97550000000000003</v>
      </c>
      <c r="F214" s="6">
        <v>200</v>
      </c>
      <c r="G214" s="6">
        <v>2</v>
      </c>
      <c r="H214" s="9">
        <v>35.5</v>
      </c>
      <c r="I214" s="6">
        <v>54</v>
      </c>
      <c r="J214" s="6">
        <v>1973</v>
      </c>
      <c r="L214" s="6" t="s">
        <v>463</v>
      </c>
      <c r="M214" s="6" t="s">
        <v>9542</v>
      </c>
      <c r="N214" s="6" t="s">
        <v>9543</v>
      </c>
      <c r="O214" s="6" t="s">
        <v>9393</v>
      </c>
      <c r="P214" s="6" t="s">
        <v>13</v>
      </c>
      <c r="Q214" s="6" t="s">
        <v>9391</v>
      </c>
    </row>
    <row r="215" spans="2:17">
      <c r="B215" s="6" t="s">
        <v>9544</v>
      </c>
      <c r="C215" s="6" t="s">
        <v>9391</v>
      </c>
      <c r="D215" s="6" t="s">
        <v>9390</v>
      </c>
      <c r="E215" s="6">
        <v>0.97550000000000003</v>
      </c>
      <c r="F215" s="6">
        <v>200</v>
      </c>
      <c r="G215" s="6">
        <v>2</v>
      </c>
      <c r="H215" s="9">
        <v>0.4</v>
      </c>
      <c r="I215" s="6">
        <v>54</v>
      </c>
      <c r="J215" s="6">
        <v>2019</v>
      </c>
      <c r="L215" s="6" t="s">
        <v>463</v>
      </c>
      <c r="M215" s="6" t="s">
        <v>9544</v>
      </c>
      <c r="N215" s="6" t="s">
        <v>9545</v>
      </c>
      <c r="O215" s="6" t="s">
        <v>9393</v>
      </c>
      <c r="P215" s="6" t="s">
        <v>13</v>
      </c>
      <c r="Q215" s="6" t="s">
        <v>9391</v>
      </c>
    </row>
    <row r="216" spans="2:17">
      <c r="B216" s="6" t="s">
        <v>9544</v>
      </c>
      <c r="C216" s="6" t="s">
        <v>9391</v>
      </c>
      <c r="D216" s="6" t="s">
        <v>9390</v>
      </c>
      <c r="E216" s="6">
        <v>0.97550000000000003</v>
      </c>
      <c r="F216" s="6">
        <v>200</v>
      </c>
      <c r="G216" s="6">
        <v>2</v>
      </c>
      <c r="H216" s="9">
        <v>2.2999999999999998</v>
      </c>
      <c r="I216" s="6">
        <v>54</v>
      </c>
      <c r="J216" s="6">
        <v>2005</v>
      </c>
      <c r="L216" s="6" t="s">
        <v>463</v>
      </c>
      <c r="M216" s="6" t="s">
        <v>9544</v>
      </c>
      <c r="N216" s="6" t="s">
        <v>9545</v>
      </c>
      <c r="O216" s="6" t="s">
        <v>9393</v>
      </c>
      <c r="P216" s="6" t="s">
        <v>13</v>
      </c>
      <c r="Q216" s="6" t="s">
        <v>9391</v>
      </c>
    </row>
    <row r="217" spans="2:17">
      <c r="B217" s="6" t="s">
        <v>9544</v>
      </c>
      <c r="C217" s="6" t="s">
        <v>9391</v>
      </c>
      <c r="D217" s="6" t="s">
        <v>9390</v>
      </c>
      <c r="E217" s="6">
        <v>0.97550000000000003</v>
      </c>
      <c r="F217" s="6">
        <v>200</v>
      </c>
      <c r="G217" s="6">
        <v>2</v>
      </c>
      <c r="H217" s="9">
        <v>3</v>
      </c>
      <c r="I217" s="6">
        <v>54</v>
      </c>
      <c r="J217" s="6">
        <v>2016</v>
      </c>
      <c r="L217" s="6" t="s">
        <v>463</v>
      </c>
      <c r="M217" s="6" t="s">
        <v>9544</v>
      </c>
      <c r="N217" s="6" t="s">
        <v>9545</v>
      </c>
      <c r="O217" s="6" t="s">
        <v>9393</v>
      </c>
      <c r="P217" s="6" t="s">
        <v>13</v>
      </c>
      <c r="Q217" s="6" t="s">
        <v>9391</v>
      </c>
    </row>
    <row r="218" spans="2:17">
      <c r="B218" s="6" t="s">
        <v>9544</v>
      </c>
      <c r="C218" s="6" t="s">
        <v>9391</v>
      </c>
      <c r="D218" s="6" t="s">
        <v>9390</v>
      </c>
      <c r="E218" s="6">
        <v>0.97550000000000003</v>
      </c>
      <c r="F218" s="6">
        <v>200</v>
      </c>
      <c r="G218" s="6">
        <v>2</v>
      </c>
      <c r="H218" s="9">
        <v>4.7</v>
      </c>
      <c r="I218" s="6">
        <v>54</v>
      </c>
      <c r="J218" s="6">
        <v>2017</v>
      </c>
      <c r="L218" s="6" t="s">
        <v>463</v>
      </c>
      <c r="M218" s="6" t="s">
        <v>9544</v>
      </c>
      <c r="N218" s="6" t="s">
        <v>9545</v>
      </c>
      <c r="O218" s="6" t="s">
        <v>9393</v>
      </c>
      <c r="P218" s="6" t="s">
        <v>13</v>
      </c>
      <c r="Q218" s="6" t="s">
        <v>9391</v>
      </c>
    </row>
    <row r="219" spans="2:17">
      <c r="B219" s="6" t="s">
        <v>9544</v>
      </c>
      <c r="C219" s="6" t="s">
        <v>9391</v>
      </c>
      <c r="D219" s="6" t="s">
        <v>9390</v>
      </c>
      <c r="E219" s="6">
        <v>0.97550000000000003</v>
      </c>
      <c r="F219" s="6">
        <v>200</v>
      </c>
      <c r="G219" s="6">
        <v>2</v>
      </c>
      <c r="H219" s="9">
        <v>6.6176470588235299</v>
      </c>
      <c r="I219" s="6">
        <v>54</v>
      </c>
      <c r="J219" s="6">
        <v>2014</v>
      </c>
      <c r="L219" s="6" t="s">
        <v>463</v>
      </c>
      <c r="M219" s="6" t="s">
        <v>9544</v>
      </c>
      <c r="N219" s="6" t="s">
        <v>9545</v>
      </c>
      <c r="O219" s="6" t="s">
        <v>9393</v>
      </c>
      <c r="P219" s="6" t="s">
        <v>13</v>
      </c>
      <c r="Q219" s="6" t="s">
        <v>9391</v>
      </c>
    </row>
    <row r="220" spans="2:17">
      <c r="B220" s="6" t="s">
        <v>9544</v>
      </c>
      <c r="C220" s="6" t="s">
        <v>9391</v>
      </c>
      <c r="D220" s="6" t="s">
        <v>9390</v>
      </c>
      <c r="E220" s="6">
        <v>0.97550000000000003</v>
      </c>
      <c r="F220" s="6">
        <v>200</v>
      </c>
      <c r="G220" s="6">
        <v>2</v>
      </c>
      <c r="H220" s="9">
        <v>24.9</v>
      </c>
      <c r="I220" s="6">
        <v>54</v>
      </c>
      <c r="J220" s="6">
        <v>2002</v>
      </c>
      <c r="L220" s="6" t="s">
        <v>463</v>
      </c>
      <c r="M220" s="6" t="s">
        <v>9544</v>
      </c>
      <c r="N220" s="6" t="s">
        <v>9545</v>
      </c>
      <c r="O220" s="6" t="s">
        <v>9393</v>
      </c>
      <c r="P220" s="6" t="s">
        <v>13</v>
      </c>
      <c r="Q220" s="6" t="s">
        <v>9391</v>
      </c>
    </row>
    <row r="221" spans="2:17">
      <c r="B221" s="6" t="s">
        <v>9544</v>
      </c>
      <c r="C221" s="6" t="s">
        <v>9391</v>
      </c>
      <c r="D221" s="6" t="s">
        <v>9390</v>
      </c>
      <c r="E221" s="6">
        <v>0.97550000000000003</v>
      </c>
      <c r="F221" s="6">
        <v>200</v>
      </c>
      <c r="G221" s="6">
        <v>2</v>
      </c>
      <c r="H221" s="9">
        <v>38.1</v>
      </c>
      <c r="I221" s="6">
        <v>54</v>
      </c>
      <c r="J221" s="6">
        <v>1986</v>
      </c>
      <c r="L221" s="6" t="s">
        <v>463</v>
      </c>
      <c r="M221" s="6" t="s">
        <v>9544</v>
      </c>
      <c r="N221" s="6" t="s">
        <v>9545</v>
      </c>
      <c r="O221" s="6" t="s">
        <v>9393</v>
      </c>
      <c r="P221" s="6" t="s">
        <v>13</v>
      </c>
      <c r="Q221" s="6" t="s">
        <v>9391</v>
      </c>
    </row>
    <row r="222" spans="2:17">
      <c r="B222" s="6" t="s">
        <v>9544</v>
      </c>
      <c r="C222" s="6" t="s">
        <v>9391</v>
      </c>
      <c r="D222" s="6" t="s">
        <v>9390</v>
      </c>
      <c r="E222" s="6">
        <v>0.97550000000000003</v>
      </c>
      <c r="F222" s="6">
        <v>200</v>
      </c>
      <c r="G222" s="6">
        <v>2</v>
      </c>
      <c r="H222" s="9">
        <v>41.7</v>
      </c>
      <c r="I222" s="6">
        <v>54</v>
      </c>
      <c r="J222" s="6">
        <v>1996</v>
      </c>
      <c r="L222" s="6" t="s">
        <v>463</v>
      </c>
      <c r="M222" s="6" t="s">
        <v>9544</v>
      </c>
      <c r="N222" s="6" t="s">
        <v>9545</v>
      </c>
      <c r="O222" s="6" t="s">
        <v>9393</v>
      </c>
      <c r="P222" s="6" t="s">
        <v>13</v>
      </c>
      <c r="Q222" s="6" t="s">
        <v>9391</v>
      </c>
    </row>
    <row r="223" spans="2:17">
      <c r="B223" s="6" t="s">
        <v>9546</v>
      </c>
      <c r="C223" s="6" t="s">
        <v>9391</v>
      </c>
      <c r="D223" s="6" t="s">
        <v>9390</v>
      </c>
      <c r="E223" s="6">
        <v>0.97550000000000003</v>
      </c>
      <c r="F223" s="6">
        <v>200</v>
      </c>
      <c r="G223" s="6">
        <v>2</v>
      </c>
      <c r="H223" s="9">
        <v>5.8088235294117601</v>
      </c>
      <c r="I223" s="6">
        <v>54</v>
      </c>
      <c r="J223" s="6">
        <v>2014</v>
      </c>
      <c r="L223" s="6" t="s">
        <v>463</v>
      </c>
      <c r="M223" s="6" t="s">
        <v>9546</v>
      </c>
      <c r="N223" s="6" t="s">
        <v>9547</v>
      </c>
      <c r="O223" s="6" t="s">
        <v>9393</v>
      </c>
      <c r="P223" s="6" t="s">
        <v>13</v>
      </c>
      <c r="Q223" s="6" t="s">
        <v>9391</v>
      </c>
    </row>
    <row r="224" spans="2:17">
      <c r="B224" s="6" t="s">
        <v>9546</v>
      </c>
      <c r="C224" s="6" t="s">
        <v>9391</v>
      </c>
      <c r="D224" s="6" t="s">
        <v>9390</v>
      </c>
      <c r="E224" s="6">
        <v>0.97550000000000003</v>
      </c>
      <c r="F224" s="6">
        <v>200</v>
      </c>
      <c r="G224" s="6">
        <v>2</v>
      </c>
      <c r="H224" s="9">
        <v>22</v>
      </c>
      <c r="I224" s="6">
        <v>54</v>
      </c>
      <c r="J224" s="6">
        <v>2021</v>
      </c>
      <c r="L224" s="6" t="s">
        <v>463</v>
      </c>
      <c r="M224" s="6" t="s">
        <v>9546</v>
      </c>
      <c r="N224" s="6" t="s">
        <v>9547</v>
      </c>
      <c r="O224" s="6" t="s">
        <v>9393</v>
      </c>
      <c r="P224" s="6" t="s">
        <v>13</v>
      </c>
      <c r="Q224" s="6" t="s">
        <v>9391</v>
      </c>
    </row>
    <row r="225" spans="2:17">
      <c r="B225" s="6" t="s">
        <v>9548</v>
      </c>
      <c r="C225" s="6" t="s">
        <v>9391</v>
      </c>
      <c r="D225" s="6" t="s">
        <v>9390</v>
      </c>
      <c r="E225" s="6">
        <v>0.97550000000000003</v>
      </c>
      <c r="F225" s="6">
        <v>200</v>
      </c>
      <c r="G225" s="6">
        <v>2</v>
      </c>
      <c r="H225" s="9">
        <v>0.8</v>
      </c>
      <c r="I225" s="6">
        <v>54</v>
      </c>
      <c r="J225" s="6">
        <v>2021</v>
      </c>
      <c r="L225" s="6" t="s">
        <v>463</v>
      </c>
      <c r="M225" s="6" t="s">
        <v>9548</v>
      </c>
      <c r="N225" s="6" t="s">
        <v>9549</v>
      </c>
      <c r="O225" s="6" t="s">
        <v>9393</v>
      </c>
      <c r="P225" s="6" t="s">
        <v>13</v>
      </c>
      <c r="Q225" s="6" t="s">
        <v>9391</v>
      </c>
    </row>
    <row r="226" spans="2:17">
      <c r="B226" s="6" t="s">
        <v>9548</v>
      </c>
      <c r="C226" s="6" t="s">
        <v>9391</v>
      </c>
      <c r="D226" s="6" t="s">
        <v>9390</v>
      </c>
      <c r="E226" s="6">
        <v>0.97550000000000003</v>
      </c>
      <c r="F226" s="6">
        <v>200</v>
      </c>
      <c r="G226" s="6">
        <v>2</v>
      </c>
      <c r="H226" s="9">
        <v>3.8</v>
      </c>
      <c r="I226" s="6">
        <v>54</v>
      </c>
      <c r="J226" s="6">
        <v>2012</v>
      </c>
      <c r="L226" s="6" t="s">
        <v>463</v>
      </c>
      <c r="M226" s="6" t="s">
        <v>9548</v>
      </c>
      <c r="N226" s="6" t="s">
        <v>9549</v>
      </c>
      <c r="O226" s="6" t="s">
        <v>9393</v>
      </c>
      <c r="P226" s="6" t="s">
        <v>13</v>
      </c>
      <c r="Q226" s="6" t="s">
        <v>9391</v>
      </c>
    </row>
    <row r="227" spans="2:17">
      <c r="B227" s="6" t="s">
        <v>9548</v>
      </c>
      <c r="C227" s="6" t="s">
        <v>9391</v>
      </c>
      <c r="D227" s="6" t="s">
        <v>9390</v>
      </c>
      <c r="E227" s="6">
        <v>0.97550000000000003</v>
      </c>
      <c r="F227" s="6">
        <v>200</v>
      </c>
      <c r="G227" s="6">
        <v>2</v>
      </c>
      <c r="H227" s="9">
        <v>5.4411764705882399</v>
      </c>
      <c r="I227" s="6">
        <v>54</v>
      </c>
      <c r="J227" s="6">
        <v>2006</v>
      </c>
      <c r="L227" s="6" t="s">
        <v>463</v>
      </c>
      <c r="M227" s="6" t="s">
        <v>9548</v>
      </c>
      <c r="N227" s="6" t="s">
        <v>9549</v>
      </c>
      <c r="O227" s="6" t="s">
        <v>9393</v>
      </c>
      <c r="P227" s="6" t="s">
        <v>13</v>
      </c>
      <c r="Q227" s="6" t="s">
        <v>9391</v>
      </c>
    </row>
    <row r="228" spans="2:17">
      <c r="B228" s="6" t="s">
        <v>9548</v>
      </c>
      <c r="C228" s="6" t="s">
        <v>9391</v>
      </c>
      <c r="D228" s="6" t="s">
        <v>9390</v>
      </c>
      <c r="E228" s="6">
        <v>0.97550000000000003</v>
      </c>
      <c r="F228" s="6">
        <v>200</v>
      </c>
      <c r="G228" s="6">
        <v>2</v>
      </c>
      <c r="H228" s="9">
        <v>7.5</v>
      </c>
      <c r="I228" s="6">
        <v>54</v>
      </c>
      <c r="J228" s="6">
        <v>2008</v>
      </c>
      <c r="L228" s="6" t="s">
        <v>463</v>
      </c>
      <c r="M228" s="6" t="s">
        <v>9548</v>
      </c>
      <c r="N228" s="6" t="s">
        <v>9549</v>
      </c>
      <c r="O228" s="6" t="s">
        <v>9393</v>
      </c>
      <c r="P228" s="6" t="s">
        <v>13</v>
      </c>
      <c r="Q228" s="6" t="s">
        <v>9391</v>
      </c>
    </row>
    <row r="229" spans="2:17">
      <c r="B229" s="6" t="s">
        <v>9550</v>
      </c>
      <c r="C229" s="6" t="s">
        <v>9391</v>
      </c>
      <c r="D229" s="6" t="s">
        <v>9390</v>
      </c>
      <c r="E229" s="6">
        <v>0.97550000000000003</v>
      </c>
      <c r="F229" s="6">
        <v>200</v>
      </c>
      <c r="G229" s="6">
        <v>2</v>
      </c>
      <c r="H229" s="9">
        <v>3.5</v>
      </c>
      <c r="I229" s="6">
        <v>54</v>
      </c>
      <c r="J229" s="6">
        <v>2017</v>
      </c>
      <c r="L229" s="6" t="s">
        <v>463</v>
      </c>
      <c r="M229" s="6" t="s">
        <v>9550</v>
      </c>
      <c r="N229" s="6" t="s">
        <v>9551</v>
      </c>
      <c r="O229" s="6" t="s">
        <v>9393</v>
      </c>
      <c r="P229" s="6" t="s">
        <v>13</v>
      </c>
      <c r="Q229" s="6" t="s">
        <v>9391</v>
      </c>
    </row>
    <row r="230" spans="2:17">
      <c r="B230" s="6" t="s">
        <v>9552</v>
      </c>
      <c r="C230" s="6" t="s">
        <v>9391</v>
      </c>
      <c r="D230" s="6" t="s">
        <v>9390</v>
      </c>
      <c r="E230" s="6">
        <v>0.97550000000000003</v>
      </c>
      <c r="F230" s="6">
        <v>200</v>
      </c>
      <c r="G230" s="6">
        <v>2</v>
      </c>
      <c r="H230" s="9">
        <v>8.82</v>
      </c>
      <c r="I230" s="6">
        <v>54</v>
      </c>
      <c r="J230" s="6">
        <v>2011</v>
      </c>
      <c r="L230" s="6" t="s">
        <v>463</v>
      </c>
      <c r="M230" s="6" t="s">
        <v>9552</v>
      </c>
      <c r="N230" s="6" t="s">
        <v>9553</v>
      </c>
      <c r="O230" s="6" t="s">
        <v>9393</v>
      </c>
      <c r="P230" s="6" t="s">
        <v>13</v>
      </c>
      <c r="Q230" s="6" t="s">
        <v>9391</v>
      </c>
    </row>
    <row r="231" spans="2:17">
      <c r="B231" s="6" t="s">
        <v>9554</v>
      </c>
      <c r="C231" s="6" t="s">
        <v>9391</v>
      </c>
      <c r="D231" s="6" t="s">
        <v>9390</v>
      </c>
      <c r="E231" s="6">
        <v>0.97550000000000003</v>
      </c>
      <c r="F231" s="6">
        <v>200</v>
      </c>
      <c r="G231" s="6">
        <v>2</v>
      </c>
      <c r="H231" s="9">
        <v>0</v>
      </c>
      <c r="I231" s="6">
        <v>54</v>
      </c>
      <c r="J231" s="6">
        <v>2007</v>
      </c>
      <c r="L231" s="6" t="s">
        <v>463</v>
      </c>
      <c r="M231" s="6" t="s">
        <v>9554</v>
      </c>
      <c r="N231" s="6" t="s">
        <v>9555</v>
      </c>
      <c r="O231" s="6" t="s">
        <v>9393</v>
      </c>
      <c r="P231" s="6" t="s">
        <v>13</v>
      </c>
      <c r="Q231" s="6" t="s">
        <v>9391</v>
      </c>
    </row>
    <row r="232" spans="2:17">
      <c r="B232" s="6" t="s">
        <v>9554</v>
      </c>
      <c r="C232" s="6" t="s">
        <v>9391</v>
      </c>
      <c r="D232" s="6" t="s">
        <v>9390</v>
      </c>
      <c r="E232" s="6">
        <v>0.97550000000000003</v>
      </c>
      <c r="F232" s="6">
        <v>200</v>
      </c>
      <c r="G232" s="6">
        <v>2</v>
      </c>
      <c r="H232" s="9">
        <v>0.1</v>
      </c>
      <c r="I232" s="6">
        <v>54</v>
      </c>
      <c r="J232" s="6">
        <v>2011</v>
      </c>
      <c r="L232" s="6" t="s">
        <v>463</v>
      </c>
      <c r="M232" s="6" t="s">
        <v>9554</v>
      </c>
      <c r="N232" s="6" t="s">
        <v>9555</v>
      </c>
      <c r="O232" s="6" t="s">
        <v>9393</v>
      </c>
      <c r="P232" s="6" t="s">
        <v>13</v>
      </c>
      <c r="Q232" s="6" t="s">
        <v>9391</v>
      </c>
    </row>
    <row r="233" spans="2:17">
      <c r="B233" s="6" t="s">
        <v>9556</v>
      </c>
      <c r="C233" s="6" t="s">
        <v>9391</v>
      </c>
      <c r="D233" s="6" t="s">
        <v>9390</v>
      </c>
      <c r="E233" s="6">
        <v>0.97550000000000003</v>
      </c>
      <c r="F233" s="6">
        <v>200</v>
      </c>
      <c r="G233" s="6">
        <v>2</v>
      </c>
      <c r="H233" s="9">
        <v>1.5</v>
      </c>
      <c r="I233" s="6">
        <v>54</v>
      </c>
      <c r="J233" s="6">
        <v>2018</v>
      </c>
      <c r="L233" s="6" t="s">
        <v>463</v>
      </c>
      <c r="M233" s="6" t="s">
        <v>9556</v>
      </c>
      <c r="N233" s="6" t="s">
        <v>9557</v>
      </c>
      <c r="O233" s="6" t="s">
        <v>9393</v>
      </c>
      <c r="P233" s="6" t="s">
        <v>13</v>
      </c>
      <c r="Q233" s="6" t="s">
        <v>9391</v>
      </c>
    </row>
    <row r="234" spans="2:17">
      <c r="B234" s="6" t="s">
        <v>9558</v>
      </c>
      <c r="C234" s="6" t="s">
        <v>9391</v>
      </c>
      <c r="D234" s="6" t="s">
        <v>9390</v>
      </c>
      <c r="E234" s="6">
        <v>0.97550000000000003</v>
      </c>
      <c r="F234" s="6">
        <v>200</v>
      </c>
      <c r="G234" s="6">
        <v>2</v>
      </c>
      <c r="H234" s="9">
        <v>8</v>
      </c>
      <c r="I234" s="6">
        <v>54</v>
      </c>
      <c r="J234" s="6">
        <v>2023</v>
      </c>
      <c r="L234" s="6" t="s">
        <v>463</v>
      </c>
      <c r="M234" s="6" t="s">
        <v>9558</v>
      </c>
      <c r="N234" s="6" t="s">
        <v>9559</v>
      </c>
      <c r="O234" s="6" t="s">
        <v>9393</v>
      </c>
      <c r="P234" s="6" t="s">
        <v>13</v>
      </c>
      <c r="Q234" s="6" t="s">
        <v>9391</v>
      </c>
    </row>
    <row r="235" spans="2:17">
      <c r="B235" s="6" t="s">
        <v>9560</v>
      </c>
      <c r="C235" s="6" t="s">
        <v>9391</v>
      </c>
      <c r="D235" s="6" t="s">
        <v>9390</v>
      </c>
      <c r="E235" s="6">
        <v>0.97550000000000003</v>
      </c>
      <c r="F235" s="6">
        <v>200</v>
      </c>
      <c r="G235" s="6">
        <v>2</v>
      </c>
      <c r="H235" s="9">
        <v>0</v>
      </c>
      <c r="I235" s="6">
        <v>54</v>
      </c>
      <c r="J235" s="6">
        <v>2021</v>
      </c>
      <c r="L235" s="6" t="s">
        <v>463</v>
      </c>
      <c r="M235" s="6" t="s">
        <v>9560</v>
      </c>
      <c r="N235" s="6" t="s">
        <v>9561</v>
      </c>
      <c r="O235" s="6" t="s">
        <v>9393</v>
      </c>
      <c r="P235" s="6" t="s">
        <v>13</v>
      </c>
      <c r="Q235" s="6" t="s">
        <v>9391</v>
      </c>
    </row>
    <row r="236" spans="2:17">
      <c r="B236" s="6" t="s">
        <v>9560</v>
      </c>
      <c r="C236" s="6" t="s">
        <v>9391</v>
      </c>
      <c r="D236" s="6" t="s">
        <v>9390</v>
      </c>
      <c r="E236" s="6">
        <v>0.97550000000000003</v>
      </c>
      <c r="F236" s="6">
        <v>200</v>
      </c>
      <c r="G236" s="6">
        <v>2</v>
      </c>
      <c r="H236" s="9">
        <v>3.7</v>
      </c>
      <c r="I236" s="6">
        <v>54</v>
      </c>
      <c r="J236" s="6">
        <v>2016</v>
      </c>
      <c r="L236" s="6" t="s">
        <v>463</v>
      </c>
      <c r="M236" s="6" t="s">
        <v>9560</v>
      </c>
      <c r="N236" s="6" t="s">
        <v>9561</v>
      </c>
      <c r="O236" s="6" t="s">
        <v>9393</v>
      </c>
      <c r="P236" s="6" t="s">
        <v>13</v>
      </c>
      <c r="Q236" s="6" t="s">
        <v>9391</v>
      </c>
    </row>
    <row r="237" spans="2:17">
      <c r="B237" s="6" t="s">
        <v>9562</v>
      </c>
      <c r="C237" s="6" t="s">
        <v>9391</v>
      </c>
      <c r="D237" s="6" t="s">
        <v>9390</v>
      </c>
      <c r="E237" s="6">
        <v>0.97550000000000003</v>
      </c>
      <c r="F237" s="6">
        <v>200</v>
      </c>
      <c r="G237" s="6">
        <v>2</v>
      </c>
      <c r="H237" s="9">
        <v>1.1000000000000001</v>
      </c>
      <c r="I237" s="6">
        <v>54</v>
      </c>
      <c r="J237" s="6">
        <v>2020</v>
      </c>
      <c r="L237" s="6" t="s">
        <v>463</v>
      </c>
      <c r="M237" s="6" t="s">
        <v>9562</v>
      </c>
      <c r="N237" s="6" t="s">
        <v>9563</v>
      </c>
      <c r="O237" s="6" t="s">
        <v>9393</v>
      </c>
      <c r="P237" s="6" t="s">
        <v>13</v>
      </c>
      <c r="Q237" s="6" t="s">
        <v>9391</v>
      </c>
    </row>
    <row r="238" spans="2:17">
      <c r="B238" s="6" t="s">
        <v>9562</v>
      </c>
      <c r="C238" s="6" t="s">
        <v>9391</v>
      </c>
      <c r="D238" s="6" t="s">
        <v>9390</v>
      </c>
      <c r="E238" s="6">
        <v>0.97550000000000003</v>
      </c>
      <c r="F238" s="6">
        <v>200</v>
      </c>
      <c r="G238" s="6">
        <v>2</v>
      </c>
      <c r="H238" s="9">
        <v>1.5</v>
      </c>
      <c r="I238" s="6">
        <v>54</v>
      </c>
      <c r="J238" s="6">
        <v>2000</v>
      </c>
      <c r="L238" s="6" t="s">
        <v>463</v>
      </c>
      <c r="M238" s="6" t="s">
        <v>9562</v>
      </c>
      <c r="N238" s="6" t="s">
        <v>9563</v>
      </c>
      <c r="O238" s="6" t="s">
        <v>9393</v>
      </c>
      <c r="P238" s="6" t="s">
        <v>13</v>
      </c>
      <c r="Q238" s="6" t="s">
        <v>9391</v>
      </c>
    </row>
    <row r="239" spans="2:17">
      <c r="B239" s="6" t="s">
        <v>9564</v>
      </c>
      <c r="C239" s="6" t="s">
        <v>9391</v>
      </c>
      <c r="D239" s="6" t="s">
        <v>9390</v>
      </c>
      <c r="E239" s="6">
        <v>0.97550000000000003</v>
      </c>
      <c r="F239" s="6">
        <v>200</v>
      </c>
      <c r="G239" s="6">
        <v>2</v>
      </c>
      <c r="H239" s="9">
        <v>5.5882352941176503</v>
      </c>
      <c r="I239" s="6">
        <v>54</v>
      </c>
      <c r="J239" s="6">
        <v>2003</v>
      </c>
      <c r="L239" s="6" t="s">
        <v>463</v>
      </c>
      <c r="M239" s="6" t="s">
        <v>9564</v>
      </c>
      <c r="N239" s="6" t="s">
        <v>9565</v>
      </c>
      <c r="O239" s="6" t="s">
        <v>9393</v>
      </c>
      <c r="P239" s="6" t="s">
        <v>13</v>
      </c>
      <c r="Q239" s="6" t="s">
        <v>9391</v>
      </c>
    </row>
    <row r="240" spans="2:17">
      <c r="B240" s="6" t="s">
        <v>9566</v>
      </c>
      <c r="C240" s="6" t="s">
        <v>9391</v>
      </c>
      <c r="D240" s="6" t="s">
        <v>9390</v>
      </c>
      <c r="E240" s="6">
        <v>0.97550000000000003</v>
      </c>
      <c r="F240" s="6">
        <v>200</v>
      </c>
      <c r="G240" s="6">
        <v>2</v>
      </c>
      <c r="H240" s="9">
        <v>5</v>
      </c>
      <c r="I240" s="6">
        <v>54</v>
      </c>
      <c r="J240" s="6">
        <v>2018</v>
      </c>
      <c r="L240" s="6" t="s">
        <v>463</v>
      </c>
      <c r="M240" s="6" t="s">
        <v>9566</v>
      </c>
      <c r="N240" s="6" t="s">
        <v>9567</v>
      </c>
      <c r="O240" s="6" t="s">
        <v>9393</v>
      </c>
      <c r="P240" s="6" t="s">
        <v>13</v>
      </c>
      <c r="Q240" s="6" t="s">
        <v>9391</v>
      </c>
    </row>
    <row r="241" spans="2:17">
      <c r="B241" s="6" t="s">
        <v>9566</v>
      </c>
      <c r="C241" s="6" t="s">
        <v>9391</v>
      </c>
      <c r="D241" s="6" t="s">
        <v>9390</v>
      </c>
      <c r="E241" s="6">
        <v>0.97550000000000003</v>
      </c>
      <c r="F241" s="6">
        <v>200</v>
      </c>
      <c r="G241" s="6">
        <v>2</v>
      </c>
      <c r="H241" s="9">
        <v>6</v>
      </c>
      <c r="I241" s="6">
        <v>54</v>
      </c>
      <c r="J241" s="6">
        <v>2013</v>
      </c>
      <c r="L241" s="6" t="s">
        <v>463</v>
      </c>
      <c r="M241" s="6" t="s">
        <v>9566</v>
      </c>
      <c r="N241" s="6" t="s">
        <v>9567</v>
      </c>
      <c r="O241" s="6" t="s">
        <v>9393</v>
      </c>
      <c r="P241" s="6" t="s">
        <v>13</v>
      </c>
      <c r="Q241" s="6" t="s">
        <v>9391</v>
      </c>
    </row>
    <row r="242" spans="2:17">
      <c r="B242" s="6" t="s">
        <v>9568</v>
      </c>
      <c r="C242" s="6" t="s">
        <v>9391</v>
      </c>
      <c r="D242" s="6" t="s">
        <v>9390</v>
      </c>
      <c r="E242" s="6">
        <v>0.97550000000000003</v>
      </c>
      <c r="F242" s="6">
        <v>200</v>
      </c>
      <c r="G242" s="6">
        <v>2</v>
      </c>
      <c r="H242" s="9">
        <v>0.2</v>
      </c>
      <c r="I242" s="6">
        <v>54</v>
      </c>
      <c r="J242" s="6">
        <v>2014</v>
      </c>
      <c r="L242" s="6" t="s">
        <v>463</v>
      </c>
      <c r="M242" s="6" t="s">
        <v>9568</v>
      </c>
      <c r="N242" s="6" t="s">
        <v>9569</v>
      </c>
      <c r="O242" s="6" t="s">
        <v>9393</v>
      </c>
      <c r="P242" s="6" t="s">
        <v>13</v>
      </c>
      <c r="Q242" s="6" t="s">
        <v>9391</v>
      </c>
    </row>
    <row r="243" spans="2:17">
      <c r="B243" s="6" t="s">
        <v>9568</v>
      </c>
      <c r="C243" s="6" t="s">
        <v>9391</v>
      </c>
      <c r="D243" s="6" t="s">
        <v>9390</v>
      </c>
      <c r="E243" s="6">
        <v>0.97550000000000003</v>
      </c>
      <c r="F243" s="6">
        <v>200</v>
      </c>
      <c r="G243" s="6">
        <v>2</v>
      </c>
      <c r="H243" s="9">
        <v>0.4</v>
      </c>
      <c r="I243" s="6">
        <v>54</v>
      </c>
      <c r="J243" s="6">
        <v>2011</v>
      </c>
      <c r="L243" s="6" t="s">
        <v>463</v>
      </c>
      <c r="M243" s="6" t="s">
        <v>9568</v>
      </c>
      <c r="N243" s="6" t="s">
        <v>9569</v>
      </c>
      <c r="O243" s="6" t="s">
        <v>9393</v>
      </c>
      <c r="P243" s="6" t="s">
        <v>13</v>
      </c>
      <c r="Q243" s="6" t="s">
        <v>9391</v>
      </c>
    </row>
    <row r="244" spans="2:17">
      <c r="B244" s="6" t="s">
        <v>9570</v>
      </c>
      <c r="C244" s="6" t="s">
        <v>9391</v>
      </c>
      <c r="D244" s="6" t="s">
        <v>9390</v>
      </c>
      <c r="E244" s="6">
        <v>0.97550000000000003</v>
      </c>
      <c r="F244" s="6">
        <v>200</v>
      </c>
      <c r="G244" s="6">
        <v>2</v>
      </c>
      <c r="H244" s="9">
        <v>1.5</v>
      </c>
      <c r="I244" s="6">
        <v>54</v>
      </c>
      <c r="J244" s="6">
        <v>2019</v>
      </c>
      <c r="L244" s="6" t="s">
        <v>463</v>
      </c>
      <c r="M244" s="6" t="s">
        <v>9570</v>
      </c>
      <c r="N244" s="6" t="s">
        <v>9571</v>
      </c>
      <c r="O244" s="6" t="s">
        <v>9393</v>
      </c>
      <c r="P244" s="6" t="s">
        <v>13</v>
      </c>
      <c r="Q244" s="6" t="s">
        <v>9391</v>
      </c>
    </row>
    <row r="245" spans="2:17">
      <c r="B245" s="6" t="s">
        <v>9570</v>
      </c>
      <c r="C245" s="6" t="s">
        <v>9391</v>
      </c>
      <c r="D245" s="6" t="s">
        <v>9390</v>
      </c>
      <c r="E245" s="6">
        <v>0.97550000000000003</v>
      </c>
      <c r="F245" s="6">
        <v>200</v>
      </c>
      <c r="G245" s="6">
        <v>2</v>
      </c>
      <c r="H245" s="9">
        <v>5</v>
      </c>
      <c r="I245" s="6">
        <v>54</v>
      </c>
      <c r="J245" s="6">
        <v>2011</v>
      </c>
      <c r="L245" s="6" t="s">
        <v>463</v>
      </c>
      <c r="M245" s="6" t="s">
        <v>9570</v>
      </c>
      <c r="N245" s="6" t="s">
        <v>9571</v>
      </c>
      <c r="O245" s="6" t="s">
        <v>9393</v>
      </c>
      <c r="P245" s="6" t="s">
        <v>13</v>
      </c>
      <c r="Q245" s="6" t="s">
        <v>9391</v>
      </c>
    </row>
    <row r="246" spans="2:17">
      <c r="B246" s="6" t="s">
        <v>9570</v>
      </c>
      <c r="C246" s="6" t="s">
        <v>9391</v>
      </c>
      <c r="D246" s="6" t="s">
        <v>9390</v>
      </c>
      <c r="E246" s="6">
        <v>0.97550000000000003</v>
      </c>
      <c r="F246" s="6">
        <v>200</v>
      </c>
      <c r="G246" s="6">
        <v>2</v>
      </c>
      <c r="H246" s="9">
        <v>5</v>
      </c>
      <c r="I246" s="6">
        <v>54</v>
      </c>
      <c r="J246" s="6">
        <v>2017</v>
      </c>
      <c r="L246" s="6" t="s">
        <v>463</v>
      </c>
      <c r="M246" s="6" t="s">
        <v>9570</v>
      </c>
      <c r="N246" s="6" t="s">
        <v>9571</v>
      </c>
      <c r="O246" s="6" t="s">
        <v>9393</v>
      </c>
      <c r="P246" s="6" t="s">
        <v>13</v>
      </c>
      <c r="Q246" s="6" t="s">
        <v>9391</v>
      </c>
    </row>
    <row r="247" spans="2:17">
      <c r="B247" s="6" t="s">
        <v>9570</v>
      </c>
      <c r="C247" s="6" t="s">
        <v>9391</v>
      </c>
      <c r="D247" s="6" t="s">
        <v>9390</v>
      </c>
      <c r="E247" s="6">
        <v>0.97550000000000003</v>
      </c>
      <c r="F247" s="6">
        <v>200</v>
      </c>
      <c r="G247" s="6">
        <v>2</v>
      </c>
      <c r="H247" s="9">
        <v>7.5</v>
      </c>
      <c r="I247" s="6">
        <v>54</v>
      </c>
      <c r="J247" s="6">
        <v>2022</v>
      </c>
      <c r="L247" s="6" t="s">
        <v>463</v>
      </c>
      <c r="M247" s="6" t="s">
        <v>9570</v>
      </c>
      <c r="N247" s="6" t="s">
        <v>9571</v>
      </c>
      <c r="O247" s="6" t="s">
        <v>9393</v>
      </c>
      <c r="P247" s="6" t="s">
        <v>13</v>
      </c>
      <c r="Q247" s="6" t="s">
        <v>9391</v>
      </c>
    </row>
    <row r="248" spans="2:17">
      <c r="B248" s="6" t="s">
        <v>9572</v>
      </c>
      <c r="C248" s="6" t="s">
        <v>9391</v>
      </c>
      <c r="D248" s="6" t="s">
        <v>9390</v>
      </c>
      <c r="E248" s="6">
        <v>0.97550000000000003</v>
      </c>
      <c r="F248" s="6">
        <v>200</v>
      </c>
      <c r="G248" s="6">
        <v>2</v>
      </c>
      <c r="H248" s="9">
        <v>4.4117647058823497</v>
      </c>
      <c r="I248" s="6">
        <v>54</v>
      </c>
      <c r="J248" s="6">
        <v>2006</v>
      </c>
      <c r="L248" s="6" t="s">
        <v>463</v>
      </c>
      <c r="M248" s="6" t="s">
        <v>9572</v>
      </c>
      <c r="N248" s="6" t="s">
        <v>9573</v>
      </c>
      <c r="O248" s="6" t="s">
        <v>9393</v>
      </c>
      <c r="P248" s="6" t="s">
        <v>13</v>
      </c>
      <c r="Q248" s="6" t="s">
        <v>9391</v>
      </c>
    </row>
    <row r="249" spans="2:17">
      <c r="B249" s="6" t="s">
        <v>9572</v>
      </c>
      <c r="C249" s="6" t="s">
        <v>9391</v>
      </c>
      <c r="D249" s="6" t="s">
        <v>9390</v>
      </c>
      <c r="E249" s="6">
        <v>0.97550000000000003</v>
      </c>
      <c r="F249" s="6">
        <v>200</v>
      </c>
      <c r="G249" s="6">
        <v>2</v>
      </c>
      <c r="H249" s="9">
        <v>4.5588235294117601</v>
      </c>
      <c r="I249" s="6">
        <v>54</v>
      </c>
      <c r="J249" s="6">
        <v>1994</v>
      </c>
      <c r="L249" s="6" t="s">
        <v>463</v>
      </c>
      <c r="M249" s="6" t="s">
        <v>9572</v>
      </c>
      <c r="N249" s="6" t="s">
        <v>9573</v>
      </c>
      <c r="O249" s="6" t="s">
        <v>9393</v>
      </c>
      <c r="P249" s="6" t="s">
        <v>13</v>
      </c>
      <c r="Q249" s="6" t="s">
        <v>9391</v>
      </c>
    </row>
    <row r="250" spans="2:17">
      <c r="B250" s="6" t="s">
        <v>9574</v>
      </c>
      <c r="C250" s="6" t="s">
        <v>9391</v>
      </c>
      <c r="D250" s="6" t="s">
        <v>9390</v>
      </c>
      <c r="E250" s="6">
        <v>0.97550000000000003</v>
      </c>
      <c r="F250" s="6">
        <v>200</v>
      </c>
      <c r="G250" s="6">
        <v>2</v>
      </c>
      <c r="H250" s="9">
        <v>3</v>
      </c>
      <c r="I250" s="6">
        <v>54</v>
      </c>
      <c r="J250" s="6">
        <v>2009</v>
      </c>
      <c r="L250" s="6" t="s">
        <v>463</v>
      </c>
      <c r="M250" s="6" t="s">
        <v>9574</v>
      </c>
      <c r="N250" s="6" t="s">
        <v>9575</v>
      </c>
      <c r="O250" s="6" t="s">
        <v>9393</v>
      </c>
      <c r="P250" s="6" t="s">
        <v>13</v>
      </c>
      <c r="Q250" s="6" t="s">
        <v>9391</v>
      </c>
    </row>
    <row r="251" spans="2:17">
      <c r="B251" s="6" t="s">
        <v>9574</v>
      </c>
      <c r="C251" s="6" t="s">
        <v>9391</v>
      </c>
      <c r="D251" s="6" t="s">
        <v>9390</v>
      </c>
      <c r="E251" s="6">
        <v>0.97550000000000003</v>
      </c>
      <c r="F251" s="6">
        <v>200</v>
      </c>
      <c r="G251" s="6">
        <v>2</v>
      </c>
      <c r="H251" s="9">
        <v>3</v>
      </c>
      <c r="I251" s="6">
        <v>54</v>
      </c>
      <c r="J251" s="6">
        <v>2019</v>
      </c>
      <c r="L251" s="6" t="s">
        <v>463</v>
      </c>
      <c r="M251" s="6" t="s">
        <v>9574</v>
      </c>
      <c r="N251" s="6" t="s">
        <v>9575</v>
      </c>
      <c r="O251" s="6" t="s">
        <v>9393</v>
      </c>
      <c r="P251" s="6" t="s">
        <v>13</v>
      </c>
      <c r="Q251" s="6" t="s">
        <v>9391</v>
      </c>
    </row>
    <row r="252" spans="2:17">
      <c r="B252" s="6" t="s">
        <v>9574</v>
      </c>
      <c r="C252" s="6" t="s">
        <v>9391</v>
      </c>
      <c r="D252" s="6" t="s">
        <v>9390</v>
      </c>
      <c r="E252" s="6">
        <v>0.97550000000000003</v>
      </c>
      <c r="F252" s="6">
        <v>200</v>
      </c>
      <c r="G252" s="6">
        <v>2</v>
      </c>
      <c r="H252" s="9">
        <v>3</v>
      </c>
      <c r="I252" s="6">
        <v>54</v>
      </c>
      <c r="J252" s="6">
        <v>2023</v>
      </c>
      <c r="L252" s="6" t="s">
        <v>463</v>
      </c>
      <c r="M252" s="6" t="s">
        <v>9574</v>
      </c>
      <c r="N252" s="6" t="s">
        <v>9575</v>
      </c>
      <c r="O252" s="6" t="s">
        <v>9393</v>
      </c>
      <c r="P252" s="6" t="s">
        <v>13</v>
      </c>
      <c r="Q252" s="6" t="s">
        <v>9391</v>
      </c>
    </row>
    <row r="253" spans="2:17">
      <c r="B253" s="6" t="s">
        <v>9574</v>
      </c>
      <c r="C253" s="6" t="s">
        <v>9391</v>
      </c>
      <c r="D253" s="6" t="s">
        <v>9390</v>
      </c>
      <c r="E253" s="6">
        <v>0.97550000000000003</v>
      </c>
      <c r="F253" s="6">
        <v>200</v>
      </c>
      <c r="G253" s="6">
        <v>2</v>
      </c>
      <c r="H253" s="9">
        <v>4</v>
      </c>
      <c r="I253" s="6">
        <v>54</v>
      </c>
      <c r="J253" s="6">
        <v>2026</v>
      </c>
      <c r="L253" s="6" t="s">
        <v>463</v>
      </c>
      <c r="M253" s="6" t="s">
        <v>9574</v>
      </c>
      <c r="N253" s="6" t="s">
        <v>9575</v>
      </c>
      <c r="O253" s="6" t="s">
        <v>9393</v>
      </c>
      <c r="P253" s="6" t="s">
        <v>13</v>
      </c>
      <c r="Q253" s="6" t="s">
        <v>9391</v>
      </c>
    </row>
    <row r="254" spans="2:17">
      <c r="B254" s="6" t="s">
        <v>9574</v>
      </c>
      <c r="C254" s="6" t="s">
        <v>9391</v>
      </c>
      <c r="D254" s="6" t="s">
        <v>9390</v>
      </c>
      <c r="E254" s="6">
        <v>0.97550000000000003</v>
      </c>
      <c r="F254" s="6">
        <v>200</v>
      </c>
      <c r="G254" s="6">
        <v>2</v>
      </c>
      <c r="H254" s="9">
        <v>10.5</v>
      </c>
      <c r="I254" s="6">
        <v>54</v>
      </c>
      <c r="J254" s="6">
        <v>1990</v>
      </c>
      <c r="L254" s="6" t="s">
        <v>463</v>
      </c>
      <c r="M254" s="6" t="s">
        <v>9574</v>
      </c>
      <c r="N254" s="6" t="s">
        <v>9575</v>
      </c>
      <c r="O254" s="6" t="s">
        <v>9393</v>
      </c>
      <c r="P254" s="6" t="s">
        <v>13</v>
      </c>
      <c r="Q254" s="6" t="s">
        <v>9391</v>
      </c>
    </row>
    <row r="255" spans="2:17">
      <c r="B255" s="6" t="s">
        <v>9576</v>
      </c>
      <c r="C255" s="6" t="s">
        <v>9391</v>
      </c>
      <c r="D255" s="6" t="s">
        <v>9390</v>
      </c>
      <c r="E255" s="6">
        <v>0.97550000000000003</v>
      </c>
      <c r="F255" s="6">
        <v>200</v>
      </c>
      <c r="G255" s="6">
        <v>2</v>
      </c>
      <c r="H255" s="9">
        <v>5.0735294117647101</v>
      </c>
      <c r="I255" s="6">
        <v>54</v>
      </c>
      <c r="J255" s="6">
        <v>1971</v>
      </c>
      <c r="L255" s="6" t="s">
        <v>463</v>
      </c>
      <c r="M255" s="6" t="s">
        <v>9576</v>
      </c>
      <c r="N255" s="6" t="s">
        <v>9577</v>
      </c>
      <c r="O255" s="6" t="s">
        <v>9393</v>
      </c>
      <c r="P255" s="6" t="s">
        <v>13</v>
      </c>
      <c r="Q255" s="6" t="s">
        <v>9391</v>
      </c>
    </row>
    <row r="256" spans="2:17">
      <c r="B256" s="6" t="s">
        <v>9576</v>
      </c>
      <c r="C256" s="6" t="s">
        <v>9391</v>
      </c>
      <c r="D256" s="6" t="s">
        <v>9390</v>
      </c>
      <c r="E256" s="6">
        <v>0.97550000000000003</v>
      </c>
      <c r="F256" s="6">
        <v>200</v>
      </c>
      <c r="G256" s="6">
        <v>2</v>
      </c>
      <c r="H256" s="9">
        <v>7.8676470588235299</v>
      </c>
      <c r="I256" s="6">
        <v>54</v>
      </c>
      <c r="J256" s="6">
        <v>2003</v>
      </c>
      <c r="L256" s="6" t="s">
        <v>463</v>
      </c>
      <c r="M256" s="6" t="s">
        <v>9576</v>
      </c>
      <c r="N256" s="6" t="s">
        <v>9577</v>
      </c>
      <c r="O256" s="6" t="s">
        <v>9393</v>
      </c>
      <c r="P256" s="6" t="s">
        <v>13</v>
      </c>
      <c r="Q256" s="6" t="s">
        <v>9391</v>
      </c>
    </row>
    <row r="257" spans="2:17">
      <c r="B257" s="6" t="s">
        <v>9576</v>
      </c>
      <c r="C257" s="6" t="s">
        <v>9391</v>
      </c>
      <c r="D257" s="6" t="s">
        <v>9390</v>
      </c>
      <c r="E257" s="6">
        <v>0.97550000000000003</v>
      </c>
      <c r="F257" s="6">
        <v>200</v>
      </c>
      <c r="G257" s="6">
        <v>2</v>
      </c>
      <c r="H257" s="9">
        <v>8.8235294117646994</v>
      </c>
      <c r="I257" s="6">
        <v>54</v>
      </c>
      <c r="J257" s="6">
        <v>2011</v>
      </c>
      <c r="L257" s="6" t="s">
        <v>463</v>
      </c>
      <c r="M257" s="6" t="s">
        <v>9576</v>
      </c>
      <c r="N257" s="6" t="s">
        <v>9577</v>
      </c>
      <c r="O257" s="6" t="s">
        <v>9393</v>
      </c>
      <c r="P257" s="6" t="s">
        <v>13</v>
      </c>
      <c r="Q257" s="6" t="s">
        <v>9391</v>
      </c>
    </row>
    <row r="258" spans="2:17">
      <c r="B258" s="6" t="s">
        <v>9576</v>
      </c>
      <c r="C258" s="6" t="s">
        <v>9391</v>
      </c>
      <c r="D258" s="6" t="s">
        <v>9390</v>
      </c>
      <c r="E258" s="6">
        <v>0.97550000000000003</v>
      </c>
      <c r="F258" s="6">
        <v>200</v>
      </c>
      <c r="G258" s="6">
        <v>2</v>
      </c>
      <c r="H258" s="9">
        <v>11.397058823529401</v>
      </c>
      <c r="I258" s="6">
        <v>54</v>
      </c>
      <c r="J258" s="6">
        <v>2009</v>
      </c>
      <c r="L258" s="6" t="s">
        <v>463</v>
      </c>
      <c r="M258" s="6" t="s">
        <v>9576</v>
      </c>
      <c r="N258" s="6" t="s">
        <v>9577</v>
      </c>
      <c r="O258" s="6" t="s">
        <v>9393</v>
      </c>
      <c r="P258" s="6" t="s">
        <v>13</v>
      </c>
      <c r="Q258" s="6" t="s">
        <v>9391</v>
      </c>
    </row>
    <row r="259" spans="2:17">
      <c r="B259" s="6" t="s">
        <v>9576</v>
      </c>
      <c r="C259" s="6" t="s">
        <v>9391</v>
      </c>
      <c r="D259" s="6" t="s">
        <v>9390</v>
      </c>
      <c r="E259" s="6">
        <v>0.97550000000000003</v>
      </c>
      <c r="F259" s="6">
        <v>200</v>
      </c>
      <c r="G259" s="6">
        <v>2</v>
      </c>
      <c r="H259" s="9">
        <v>11.985294117647101</v>
      </c>
      <c r="I259" s="6">
        <v>54</v>
      </c>
      <c r="J259" s="6">
        <v>1978</v>
      </c>
      <c r="L259" s="6" t="s">
        <v>463</v>
      </c>
      <c r="M259" s="6" t="s">
        <v>9576</v>
      </c>
      <c r="N259" s="6" t="s">
        <v>9577</v>
      </c>
      <c r="O259" s="6" t="s">
        <v>9393</v>
      </c>
      <c r="P259" s="6" t="s">
        <v>13</v>
      </c>
      <c r="Q259" s="6" t="s">
        <v>9391</v>
      </c>
    </row>
    <row r="260" spans="2:17">
      <c r="B260" s="6" t="s">
        <v>9576</v>
      </c>
      <c r="C260" s="6" t="s">
        <v>9391</v>
      </c>
      <c r="D260" s="6" t="s">
        <v>9390</v>
      </c>
      <c r="E260" s="6">
        <v>0.97550000000000003</v>
      </c>
      <c r="F260" s="6">
        <v>200</v>
      </c>
      <c r="G260" s="6">
        <v>2</v>
      </c>
      <c r="H260" s="9">
        <v>14.4073165826471</v>
      </c>
      <c r="I260" s="6">
        <v>54</v>
      </c>
      <c r="J260" s="6">
        <v>2010</v>
      </c>
      <c r="L260" s="6" t="s">
        <v>463</v>
      </c>
      <c r="M260" s="6" t="s">
        <v>9576</v>
      </c>
      <c r="N260" s="6" t="s">
        <v>9577</v>
      </c>
      <c r="O260" s="6" t="s">
        <v>9393</v>
      </c>
      <c r="P260" s="6" t="s">
        <v>13</v>
      </c>
      <c r="Q260" s="6" t="s">
        <v>9391</v>
      </c>
    </row>
    <row r="261" spans="2:17">
      <c r="B261" s="6" t="s">
        <v>9576</v>
      </c>
      <c r="C261" s="6" t="s">
        <v>9391</v>
      </c>
      <c r="D261" s="6" t="s">
        <v>9390</v>
      </c>
      <c r="E261" s="6">
        <v>0.97550000000000003</v>
      </c>
      <c r="F261" s="6">
        <v>200</v>
      </c>
      <c r="G261" s="6">
        <v>2</v>
      </c>
      <c r="H261" s="9">
        <v>17.867647058823501</v>
      </c>
      <c r="I261" s="6">
        <v>54</v>
      </c>
      <c r="J261" s="6">
        <v>1981</v>
      </c>
      <c r="L261" s="6" t="s">
        <v>463</v>
      </c>
      <c r="M261" s="6" t="s">
        <v>9576</v>
      </c>
      <c r="N261" s="6" t="s">
        <v>9577</v>
      </c>
      <c r="O261" s="6" t="s">
        <v>9393</v>
      </c>
      <c r="P261" s="6" t="s">
        <v>13</v>
      </c>
      <c r="Q261" s="6" t="s">
        <v>9391</v>
      </c>
    </row>
    <row r="262" spans="2:17">
      <c r="B262" s="6" t="s">
        <v>9576</v>
      </c>
      <c r="C262" s="6" t="s">
        <v>9391</v>
      </c>
      <c r="D262" s="6" t="s">
        <v>9390</v>
      </c>
      <c r="E262" s="6">
        <v>0.97550000000000003</v>
      </c>
      <c r="F262" s="6">
        <v>200</v>
      </c>
      <c r="G262" s="6">
        <v>2</v>
      </c>
      <c r="H262" s="9">
        <v>49.36</v>
      </c>
      <c r="I262" s="6">
        <v>54</v>
      </c>
      <c r="J262" s="6">
        <v>2008</v>
      </c>
      <c r="L262" s="6" t="s">
        <v>463</v>
      </c>
      <c r="M262" s="6" t="s">
        <v>9576</v>
      </c>
      <c r="N262" s="6" t="s">
        <v>9577</v>
      </c>
      <c r="O262" s="6" t="s">
        <v>9393</v>
      </c>
      <c r="P262" s="6" t="s">
        <v>13</v>
      </c>
      <c r="Q262" s="6" t="s">
        <v>9391</v>
      </c>
    </row>
    <row r="263" spans="2:17">
      <c r="B263" s="6" t="s">
        <v>9578</v>
      </c>
      <c r="C263" s="6" t="s">
        <v>9391</v>
      </c>
      <c r="D263" s="6" t="s">
        <v>9390</v>
      </c>
      <c r="E263" s="6">
        <v>0.97550000000000003</v>
      </c>
      <c r="F263" s="6">
        <v>200</v>
      </c>
      <c r="G263" s="6">
        <v>2</v>
      </c>
      <c r="H263" s="9">
        <v>5</v>
      </c>
      <c r="I263" s="6">
        <v>54</v>
      </c>
      <c r="J263" s="6">
        <v>2022</v>
      </c>
      <c r="L263" s="6" t="s">
        <v>463</v>
      </c>
      <c r="M263" s="6" t="s">
        <v>9578</v>
      </c>
      <c r="N263" s="6" t="s">
        <v>9579</v>
      </c>
      <c r="O263" s="6" t="s">
        <v>9393</v>
      </c>
      <c r="P263" s="6" t="s">
        <v>13</v>
      </c>
      <c r="Q263" s="6" t="s">
        <v>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ELC_GridExt</vt:lpstr>
      <vt:lpstr>Hydro Methodology</vt:lpstr>
      <vt:lpstr>Hydro</vt:lpstr>
      <vt:lpstr>SupplyCurves_Low</vt:lpstr>
      <vt:lpstr>SupplyCurves_High</vt:lpstr>
      <vt:lpstr>spv</vt:lpstr>
      <vt:lpstr>won</vt:lpstr>
      <vt:lpstr>wof</vt:lpstr>
      <vt:lpstr>LNG Terminals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Kanudia</cp:lastModifiedBy>
  <dcterms:created xsi:type="dcterms:W3CDTF">2026-01-10T18:55:58Z</dcterms:created>
  <dcterms:modified xsi:type="dcterms:W3CDTF">2026-06-29T05:06:27Z</dcterms:modified>
</cp:coreProperties>
</file>