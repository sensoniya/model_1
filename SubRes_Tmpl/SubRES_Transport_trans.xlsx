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SubRes_Tmpl\"/>
    </mc:Choice>
  </mc:AlternateContent>
  <xr:revisionPtr revIDLastSave="0" documentId="13_ncr:1_{BBF3F4CB-674A-482C-8340-67C66A7B6418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TechSelection" sheetId="21" r:id="rId1"/>
    <sheet name="Road transport" sheetId="25" r:id="rId2"/>
    <sheet name="RoadTra_BY" sheetId="26" r:id="rId3"/>
  </sheets>
  <externalReferences>
    <externalReference r:id="rId4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5" l="1"/>
  <c r="AJ34" i="25"/>
  <c r="AH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AJ33" i="25"/>
  <c r="AH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AJ32" i="25"/>
  <c r="AH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AJ31" i="25"/>
  <c r="AH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AJ30" i="25"/>
  <c r="AH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AJ29" i="25"/>
  <c r="AH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</calcChain>
</file>

<file path=xl/sharedStrings.xml><?xml version="1.0" encoding="utf-8"?>
<sst xmlns="http://schemas.openxmlformats.org/spreadsheetml/2006/main" count="919" uniqueCount="145">
  <si>
    <t>TRAGSL</t>
  </si>
  <si>
    <t>*1</t>
  </si>
  <si>
    <t>~TFM_UPD</t>
  </si>
  <si>
    <t>~TFM_INS</t>
  </si>
  <si>
    <t>Attribute</t>
  </si>
  <si>
    <t>AllRegions</t>
  </si>
  <si>
    <t>GBL</t>
  </si>
  <si>
    <t>*</t>
  </si>
  <si>
    <t>allregions</t>
  </si>
  <si>
    <t>TRABGS</t>
  </si>
  <si>
    <t>Scenario</t>
  </si>
  <si>
    <t>BASE</t>
  </si>
  <si>
    <t>PSET_CO</t>
  </si>
  <si>
    <t>Canada</t>
  </si>
  <si>
    <t>attribute</t>
  </si>
  <si>
    <t>process</t>
  </si>
  <si>
    <t>commodity</t>
  </si>
  <si>
    <t>Germany</t>
  </si>
  <si>
    <t>India</t>
  </si>
  <si>
    <t>year</t>
  </si>
  <si>
    <t>EU_northeast</t>
  </si>
  <si>
    <t>France</t>
  </si>
  <si>
    <t>EU_southeast</t>
  </si>
  <si>
    <t>MidEast_other</t>
  </si>
  <si>
    <t>Trd_car_dsl</t>
  </si>
  <si>
    <t>Trd_car_lpg</t>
  </si>
  <si>
    <t>PSET_PN</t>
  </si>
  <si>
    <t>PSET_CI</t>
  </si>
  <si>
    <t>SouthAfrica</t>
  </si>
  <si>
    <t>Asia_east</t>
  </si>
  <si>
    <t>scenario</t>
  </si>
  <si>
    <t>EU_southwest</t>
  </si>
  <si>
    <t>~TFM_TOPINS</t>
  </si>
  <si>
    <t>CSET_CN</t>
  </si>
  <si>
    <t>Trd[_]*</t>
  </si>
  <si>
    <t>IN</t>
  </si>
  <si>
    <t>CEFF</t>
  </si>
  <si>
    <t>~TFM_FILL-R:w=RoadTra_BY; hcol=region</t>
  </si>
  <si>
    <t>AF</t>
  </si>
  <si>
    <t>EFF</t>
  </si>
  <si>
    <t>Trd_2w_eth</t>
  </si>
  <si>
    <t>Trd_car_bdl</t>
  </si>
  <si>
    <t>Trd_lcv_gsl</t>
  </si>
  <si>
    <t>Trd_bus_eth</t>
  </si>
  <si>
    <t>UP</t>
  </si>
  <si>
    <t>Trd_car_gsl</t>
  </si>
  <si>
    <t>ANNUAL</t>
  </si>
  <si>
    <t>Trd_bus_nga</t>
  </si>
  <si>
    <t>Trd_lcv_nga</t>
  </si>
  <si>
    <t>Trd_bus_dsl</t>
  </si>
  <si>
    <t>Trd_hdt_bdl</t>
  </si>
  <si>
    <t>2019</t>
  </si>
  <si>
    <t>-</t>
  </si>
  <si>
    <t>Trd_lcv_bdl</t>
  </si>
  <si>
    <t>Trd_3w_eth</t>
  </si>
  <si>
    <t>Trd_3w_bdl</t>
  </si>
  <si>
    <t>Trd_hdt_dsl</t>
  </si>
  <si>
    <t>Trd_3w_dsl</t>
  </si>
  <si>
    <t>Trd_car_elc</t>
  </si>
  <si>
    <t>Trd_bus_bdl</t>
  </si>
  <si>
    <t>Trd_lcv_dsl</t>
  </si>
  <si>
    <t>Trd_bus_elc</t>
  </si>
  <si>
    <t>Trd_car_nga</t>
  </si>
  <si>
    <t>Trd_bus_gsl</t>
  </si>
  <si>
    <t>Trd_bus_lpg</t>
  </si>
  <si>
    <t>Trd_hdt_gsl</t>
  </si>
  <si>
    <t>Trd_lcv_elc</t>
  </si>
  <si>
    <t>Trd_2w_gsl</t>
  </si>
  <si>
    <t>Trd_lcv_eth</t>
  </si>
  <si>
    <t>Trd_car_eth</t>
  </si>
  <si>
    <t>Trd_lcv_lpg</t>
  </si>
  <si>
    <t>Trd_3w_gsl</t>
  </si>
  <si>
    <t>Trd_2w_*</t>
  </si>
  <si>
    <t>Trd_3w_*</t>
  </si>
  <si>
    <t>Trd_bus*</t>
  </si>
  <si>
    <t>Trd_car*</t>
  </si>
  <si>
    <t>Trd_hdt*</t>
  </si>
  <si>
    <t>Trd_lcv*</t>
  </si>
  <si>
    <t>sow</t>
  </si>
  <si>
    <t>Russia</t>
  </si>
  <si>
    <t>Africa_north</t>
  </si>
  <si>
    <t>Africa_other</t>
  </si>
  <si>
    <t>~TFM_AVA</t>
  </si>
  <si>
    <t>LIFE</t>
  </si>
  <si>
    <t>Trd[_]*gsl*</t>
  </si>
  <si>
    <t>IO</t>
  </si>
  <si>
    <t>TRAGSL,TRABGS</t>
  </si>
  <si>
    <t>Trd[_]*dsl*</t>
  </si>
  <si>
    <t>TRADST,TRABDS</t>
  </si>
  <si>
    <t>Trd[_]*hh2*</t>
  </si>
  <si>
    <t>TRAGH2</t>
  </si>
  <si>
    <t>Trd[_]*cng*</t>
  </si>
  <si>
    <t>TRANGA</t>
  </si>
  <si>
    <t>Trd[_]*elc*</t>
  </si>
  <si>
    <t>TRDELC</t>
  </si>
  <si>
    <t>Trd[_]*lng*</t>
  </si>
  <si>
    <t>Trd[_]*-pih*</t>
  </si>
  <si>
    <t>~TFM_MIG</t>
  </si>
  <si>
    <t>attribute2</t>
  </si>
  <si>
    <t>INVCOST</t>
  </si>
  <si>
    <t>FIXOM</t>
  </si>
  <si>
    <t>value</t>
  </si>
  <si>
    <t>pset_pn</t>
  </si>
  <si>
    <t>*.03</t>
  </si>
  <si>
    <t>*.02</t>
  </si>
  <si>
    <t>Share</t>
  </si>
  <si>
    <t>limtype</t>
  </si>
  <si>
    <t>FX</t>
  </si>
  <si>
    <t>-TRDELC</t>
  </si>
  <si>
    <t>~TFM_INS-TS: attribute=FLO_MARK</t>
  </si>
  <si>
    <t>pset_ci</t>
  </si>
  <si>
    <t>attrib_cond</t>
  </si>
  <si>
    <t>-FLO_MARK</t>
  </si>
  <si>
    <t>top_check</t>
  </si>
  <si>
    <t>OUT</t>
  </si>
  <si>
    <t>*START</t>
  </si>
  <si>
    <t>Nor-Ice</t>
  </si>
  <si>
    <t>Asia_central</t>
  </si>
  <si>
    <t>SaudiArabia</t>
  </si>
  <si>
    <t>Australia_NZ</t>
  </si>
  <si>
    <t>Brazil</t>
  </si>
  <si>
    <t>LatAm_other</t>
  </si>
  <si>
    <t>China</t>
  </si>
  <si>
    <t>EU_north</t>
  </si>
  <si>
    <t>commodity_group</t>
  </si>
  <si>
    <t>Asia_other</t>
  </si>
  <si>
    <t>USA</t>
  </si>
  <si>
    <t>EU_south</t>
  </si>
  <si>
    <t>UK</t>
  </si>
  <si>
    <t>Trd_hdt_eth</t>
  </si>
  <si>
    <t>*.5</t>
  </si>
  <si>
    <t>pset_co</t>
  </si>
  <si>
    <t>Trd_2w,Trd_3w</t>
  </si>
  <si>
    <t>Europe_other</t>
  </si>
  <si>
    <t>EU_northwest</t>
  </si>
  <si>
    <t>Arg-Chi</t>
  </si>
  <si>
    <t>stage</t>
  </si>
  <si>
    <t>currency</t>
  </si>
  <si>
    <t>Mexico</t>
  </si>
  <si>
    <t>time_slice</t>
  </si>
  <si>
    <t>lim_type</t>
  </si>
  <si>
    <t>year2</t>
  </si>
  <si>
    <t>-*150*</t>
  </si>
  <si>
    <t>Trd_2w</t>
  </si>
  <si>
    <t>Trd_hdt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</si>
</sst>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1" fillId="0" borderId="0" xfId="1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quotePrefix="1"/>
  </cellXfs>
  <cellStyles count="3">
    <cellStyle name="Normal" xfId="0" builtinId="0"/>
    <cellStyle name="Normal 3" xfId="1" xr:uid="{00000000-0005-0000-0000-000006000000}"/>
    <cellStyle name="Normal 3 2" xfId="2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A292"/>
  <sheetViews>
    <sheetView workbookViewId="0">
      <selection activeCell="A6" sqref="A6"/>
    </sheetView>
  </sheetViews>
  <sheetFormatPr defaultColWidth="9.1328125" defaultRowHeight="11.65" x14ac:dyDescent="0.35"/>
  <cols>
    <col min="1" max="1" width="10.73046875" style="2" bestFit="1" customWidth="1"/>
    <col min="2" max="2" width="8.86328125" style="2" bestFit="1" customWidth="1"/>
    <col min="3" max="3" width="4.73046875" style="2" bestFit="1" customWidth="1"/>
    <col min="4" max="4" width="8.86328125" style="2" bestFit="1" customWidth="1"/>
    <col min="5" max="5" width="4.3984375" style="2" bestFit="1" customWidth="1"/>
    <col min="6" max="6" width="4.265625" style="2" bestFit="1" customWidth="1"/>
    <col min="7" max="7" width="4.3984375" style="2" bestFit="1" customWidth="1"/>
    <col min="8" max="8" width="4.59765625" style="2" bestFit="1" customWidth="1"/>
    <col min="9" max="9" width="4" style="2" bestFit="1" customWidth="1"/>
    <col min="10" max="10" width="4.3984375" style="2" bestFit="1" customWidth="1"/>
    <col min="11" max="11" width="4.59765625" style="2" bestFit="1" customWidth="1"/>
    <col min="12" max="12" width="4.3984375" style="2" bestFit="1" customWidth="1"/>
    <col min="13" max="13" width="4" style="2" bestFit="1" customWidth="1"/>
    <col min="14" max="14" width="4.265625" style="2" bestFit="1" customWidth="1"/>
    <col min="15" max="16" width="4.3984375" style="2" bestFit="1" customWidth="1"/>
    <col min="17" max="18" width="4.59765625" style="2" bestFit="1" customWidth="1"/>
    <col min="19" max="19" width="4.3984375" style="2" bestFit="1" customWidth="1"/>
    <col min="20" max="20" width="5" style="2" bestFit="1" customWidth="1"/>
    <col min="21" max="21" width="11.73046875" style="2" customWidth="1"/>
    <col min="22" max="22" width="10.73046875" style="2" customWidth="1"/>
    <col min="23" max="23" width="13.1328125" style="2" bestFit="1" customWidth="1"/>
    <col min="24" max="259" width="11.3984375" style="2" customWidth="1"/>
    <col min="260" max="16384" width="9.1328125" style="2"/>
  </cols>
  <sheetData>
    <row r="1" spans="1:27" ht="12.75" x14ac:dyDescent="0.3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7" ht="12.75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27" ht="12.75" x14ac:dyDescent="0.35">
      <c r="A3" t="s">
        <v>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s="1"/>
      <c r="W3" s="1"/>
      <c r="X3" s="1"/>
      <c r="Y3" s="1"/>
      <c r="Z3" s="1"/>
      <c r="AA3" s="1"/>
    </row>
    <row r="4" spans="1:27" ht="12.75" x14ac:dyDescent="0.35">
      <c r="A4" t="s">
        <v>15</v>
      </c>
      <c r="B4" t="s">
        <v>8</v>
      </c>
      <c r="C4" t="s">
        <v>6</v>
      </c>
      <c r="D4" t="s">
        <v>131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s="1"/>
      <c r="W4" s="1"/>
      <c r="X4" s="1"/>
      <c r="Y4" s="1"/>
      <c r="Z4" s="1"/>
      <c r="AA4" s="1"/>
    </row>
    <row r="5" spans="1:27" ht="12.75" x14ac:dyDescent="0.35">
      <c r="A5" t="s">
        <v>7</v>
      </c>
      <c r="B5">
        <v>1</v>
      </c>
      <c r="C5">
        <v>0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1"/>
      <c r="W5" s="1"/>
      <c r="X5" s="1"/>
      <c r="Y5" s="1"/>
      <c r="Z5" s="1"/>
      <c r="AA5" s="1"/>
    </row>
    <row r="6" spans="1:27" ht="12.75" x14ac:dyDescent="0.35">
      <c r="A6" t="s">
        <v>142</v>
      </c>
      <c r="B6">
        <v>0</v>
      </c>
      <c r="C6"/>
      <c r="D6" t="s">
        <v>143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1"/>
      <c r="W6" s="1"/>
      <c r="X6" s="1"/>
      <c r="Y6" s="1"/>
      <c r="Z6" s="1"/>
      <c r="AA6" s="1"/>
    </row>
    <row r="7" spans="1:27" ht="12.7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1"/>
      <c r="W7" s="1"/>
      <c r="X7" s="1"/>
      <c r="Y7" s="1"/>
      <c r="Z7" s="1"/>
      <c r="AA7" s="1"/>
    </row>
    <row r="8" spans="1:27" ht="12.7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s="1"/>
      <c r="W8" s="1"/>
      <c r="X8" s="1"/>
      <c r="Y8" s="1"/>
      <c r="Z8" s="1"/>
      <c r="AA8" s="1"/>
    </row>
    <row r="9" spans="1:27" ht="12.75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s="1"/>
      <c r="W9" s="1"/>
      <c r="X9" s="1"/>
      <c r="Y9" s="1"/>
      <c r="Z9" s="1"/>
      <c r="AA9" s="1"/>
    </row>
    <row r="10" spans="1:27" ht="12.75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1"/>
      <c r="W10" s="1"/>
      <c r="X10" s="1"/>
      <c r="Y10" s="1"/>
      <c r="Z10" s="1"/>
      <c r="AA10" s="1"/>
    </row>
    <row r="11" spans="1:27" ht="12.7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1"/>
      <c r="W11" s="1"/>
      <c r="X11" s="1"/>
      <c r="Y11" s="1"/>
      <c r="Z11" s="1"/>
      <c r="AA11" s="1"/>
    </row>
    <row r="12" spans="1:27" ht="12.7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1"/>
      <c r="W12" s="1"/>
      <c r="X12" s="1"/>
      <c r="Y12" s="1"/>
      <c r="Z12" s="1"/>
      <c r="AA12" s="1"/>
    </row>
    <row r="13" spans="1:27" ht="12.7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1"/>
      <c r="W13" s="1"/>
      <c r="X13" s="1"/>
      <c r="Y13" s="1"/>
      <c r="Z13" s="1"/>
      <c r="AA13" s="1"/>
    </row>
    <row r="14" spans="1:27" ht="12.7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1"/>
      <c r="W14" s="1"/>
      <c r="X14" s="1"/>
      <c r="Y14" s="1"/>
      <c r="Z14" s="1"/>
      <c r="AA14" s="1"/>
    </row>
    <row r="15" spans="1:27" ht="12.7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1"/>
      <c r="W15" s="1"/>
      <c r="X15" s="1"/>
      <c r="Y15" s="1"/>
      <c r="Z15" s="1"/>
      <c r="AA15" s="1"/>
    </row>
    <row r="16" spans="1:27" ht="12.7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1"/>
      <c r="W16" s="1"/>
      <c r="X16" s="1"/>
      <c r="Y16" s="1"/>
      <c r="Z16" s="1"/>
      <c r="AA16" s="1"/>
    </row>
    <row r="17" spans="1:27" ht="12.7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1"/>
      <c r="W17" s="1"/>
      <c r="X17" s="1"/>
      <c r="Y17" s="1"/>
      <c r="Z17" s="1"/>
      <c r="AA17" s="1"/>
    </row>
    <row r="18" spans="1:27" ht="12.7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1"/>
      <c r="W18" s="1"/>
      <c r="X18" s="1"/>
      <c r="Y18" s="1"/>
      <c r="Z18" s="1"/>
      <c r="AA18" s="1"/>
    </row>
    <row r="19" spans="1:27" ht="12.7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s="1"/>
      <c r="W19" s="1"/>
      <c r="X19" s="1"/>
      <c r="Y19" s="1"/>
      <c r="Z19" s="1"/>
      <c r="AA19" s="1"/>
    </row>
    <row r="20" spans="1:27" ht="12.7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s="1"/>
      <c r="W20" s="1"/>
      <c r="X20" s="1"/>
      <c r="Y20" s="1"/>
      <c r="Z20" s="1"/>
      <c r="AA20" s="1"/>
    </row>
    <row r="21" spans="1:27" ht="12.75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s="1"/>
      <c r="W21" s="1"/>
      <c r="X21" s="1"/>
      <c r="Y21" s="1"/>
      <c r="Z21" s="1"/>
      <c r="AA21" s="1"/>
    </row>
    <row r="22" spans="1:27" ht="12.75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s="1"/>
      <c r="W22" s="1"/>
      <c r="X22" s="1"/>
      <c r="Y22" s="1"/>
      <c r="Z22" s="1"/>
      <c r="AA22" s="1"/>
    </row>
    <row r="23" spans="1:27" ht="12.75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s="1"/>
      <c r="W23" s="1"/>
      <c r="X23" s="1"/>
      <c r="Y23" s="1"/>
      <c r="Z23" s="1"/>
      <c r="AA23" s="1"/>
    </row>
    <row r="24" spans="1:27" ht="12.75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s="1"/>
      <c r="W24" s="1"/>
      <c r="X24" s="1"/>
      <c r="Y24" s="1"/>
      <c r="Z24" s="1"/>
      <c r="AA24" s="1"/>
    </row>
    <row r="25" spans="1:27" ht="12.75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1"/>
      <c r="W25" s="1"/>
      <c r="X25" s="1"/>
      <c r="Y25" s="1"/>
      <c r="Z25" s="1"/>
      <c r="AA25" s="1"/>
    </row>
    <row r="26" spans="1:27" ht="12.75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1"/>
      <c r="W26" s="1"/>
      <c r="X26" s="1"/>
      <c r="Y26" s="1"/>
      <c r="Z26" s="1"/>
      <c r="AA26" s="1"/>
    </row>
    <row r="27" spans="1:27" ht="12.7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1"/>
      <c r="W27" s="1"/>
      <c r="X27" s="1"/>
      <c r="Y27" s="1"/>
      <c r="Z27" s="1"/>
      <c r="AA27" s="1"/>
    </row>
    <row r="28" spans="1:27" ht="12.7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1"/>
      <c r="W28" s="1"/>
      <c r="X28" s="1"/>
      <c r="Y28" s="1"/>
      <c r="Z28" s="1"/>
      <c r="AA28" s="1"/>
    </row>
    <row r="29" spans="1:27" ht="12.7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1"/>
      <c r="W29" s="1"/>
      <c r="X29" s="1"/>
      <c r="Y29" s="1"/>
      <c r="Z29" s="1"/>
      <c r="AA29" s="1"/>
    </row>
    <row r="30" spans="1:27" x14ac:dyDescent="0.35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8:27" x14ac:dyDescent="0.3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8:27" x14ac:dyDescent="0.3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8:27" x14ac:dyDescent="0.3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8:27" x14ac:dyDescent="0.3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8:27" x14ac:dyDescent="0.3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8:27" x14ac:dyDescent="0.3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8:27" x14ac:dyDescent="0.3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8:27" x14ac:dyDescent="0.3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8:27" x14ac:dyDescent="0.3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8:27" x14ac:dyDescent="0.3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8:27" x14ac:dyDescent="0.3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8:27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8:27" x14ac:dyDescent="0.35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8:27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8:27" x14ac:dyDescent="0.35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8:27" x14ac:dyDescent="0.35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8:27" x14ac:dyDescent="0.35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8:27" x14ac:dyDescent="0.35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8:27" x14ac:dyDescent="0.35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8:27" x14ac:dyDescent="0.35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8:27" x14ac:dyDescent="0.35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8:27" x14ac:dyDescent="0.35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8:27" x14ac:dyDescent="0.35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8:27" x14ac:dyDescent="0.35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8:27" x14ac:dyDescent="0.35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8:27" x14ac:dyDescent="0.35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8:27" x14ac:dyDescent="0.35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8:27" x14ac:dyDescent="0.35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8:27" x14ac:dyDescent="0.35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8:27" x14ac:dyDescent="0.35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8:27" x14ac:dyDescent="0.35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8:27" x14ac:dyDescent="0.35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8:27" x14ac:dyDescent="0.3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8:27" x14ac:dyDescent="0.35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8:27" x14ac:dyDescent="0.35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8:27" x14ac:dyDescent="0.35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8:27" x14ac:dyDescent="0.35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8:27" x14ac:dyDescent="0.35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8:27" x14ac:dyDescent="0.35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8:27" x14ac:dyDescent="0.35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8:27" x14ac:dyDescent="0.35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8:27" x14ac:dyDescent="0.35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8:27" x14ac:dyDescent="0.35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8:27" x14ac:dyDescent="0.35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8:27" x14ac:dyDescent="0.35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8:27" x14ac:dyDescent="0.35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8:27" x14ac:dyDescent="0.35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8:27" x14ac:dyDescent="0.35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8:27" x14ac:dyDescent="0.35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8:27" x14ac:dyDescent="0.35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8:27" x14ac:dyDescent="0.35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8:27" x14ac:dyDescent="0.35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8:27" x14ac:dyDescent="0.35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8:27" x14ac:dyDescent="0.35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8:27" x14ac:dyDescent="0.35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8:27" x14ac:dyDescent="0.35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8:27" x14ac:dyDescent="0.35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8:27" x14ac:dyDescent="0.35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8:27" x14ac:dyDescent="0.35"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8:27" x14ac:dyDescent="0.35"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8:27" x14ac:dyDescent="0.35"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8:27" x14ac:dyDescent="0.35"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8:27" x14ac:dyDescent="0.35"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8:27" x14ac:dyDescent="0.35"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8:27" x14ac:dyDescent="0.35"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8:27" x14ac:dyDescent="0.35"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8:27" x14ac:dyDescent="0.35"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8:27" x14ac:dyDescent="0.35"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8:27" x14ac:dyDescent="0.35"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8:27" x14ac:dyDescent="0.35"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8:27" x14ac:dyDescent="0.35"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8:27" x14ac:dyDescent="0.35"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8:27" x14ac:dyDescent="0.35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8:27" x14ac:dyDescent="0.35"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8:27" x14ac:dyDescent="0.35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8:27" x14ac:dyDescent="0.35"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8:27" x14ac:dyDescent="0.35"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8:27" x14ac:dyDescent="0.35"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8:27" x14ac:dyDescent="0.35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8:27" x14ac:dyDescent="0.35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8:27" x14ac:dyDescent="0.35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8:27" x14ac:dyDescent="0.35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8:27" x14ac:dyDescent="0.35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8:27" x14ac:dyDescent="0.35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8:27" x14ac:dyDescent="0.35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8:27" x14ac:dyDescent="0.35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8:27" x14ac:dyDescent="0.35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8:27" x14ac:dyDescent="0.35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8:27" x14ac:dyDescent="0.35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8:27" x14ac:dyDescent="0.35"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8:27" x14ac:dyDescent="0.35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8:27" x14ac:dyDescent="0.35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8:27" x14ac:dyDescent="0.35"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8:27" x14ac:dyDescent="0.35"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8:27" x14ac:dyDescent="0.35"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8:27" x14ac:dyDescent="0.35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8:27" x14ac:dyDescent="0.35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8:27" x14ac:dyDescent="0.35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8:27" x14ac:dyDescent="0.35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8:27" x14ac:dyDescent="0.35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8:27" x14ac:dyDescent="0.35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8:27" x14ac:dyDescent="0.35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8:27" x14ac:dyDescent="0.35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8:27" x14ac:dyDescent="0.35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8:27" x14ac:dyDescent="0.35"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8:27" x14ac:dyDescent="0.35"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8:27" x14ac:dyDescent="0.35"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8:27" x14ac:dyDescent="0.35"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8:27" x14ac:dyDescent="0.35"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8:27" x14ac:dyDescent="0.35"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8:27" x14ac:dyDescent="0.35"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8:27" x14ac:dyDescent="0.35"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8:27" x14ac:dyDescent="0.35"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8:27" x14ac:dyDescent="0.35"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8:27" x14ac:dyDescent="0.35"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8:27" x14ac:dyDescent="0.35"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8:27" x14ac:dyDescent="0.35"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8:27" x14ac:dyDescent="0.35"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8:27" x14ac:dyDescent="0.35"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8:27" x14ac:dyDescent="0.35"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8:27" x14ac:dyDescent="0.35"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8:27" x14ac:dyDescent="0.35"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8:27" x14ac:dyDescent="0.35"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8:27" x14ac:dyDescent="0.35"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8:27" x14ac:dyDescent="0.35"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8:27" x14ac:dyDescent="0.35"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8:27" x14ac:dyDescent="0.35"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8:27" x14ac:dyDescent="0.35"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8:27" x14ac:dyDescent="0.35"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8:27" x14ac:dyDescent="0.35"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8:27" x14ac:dyDescent="0.35"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8:27" x14ac:dyDescent="0.35"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8:27" x14ac:dyDescent="0.35"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8:27" x14ac:dyDescent="0.35"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8:27" x14ac:dyDescent="0.35"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8:27" x14ac:dyDescent="0.35"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8:27" x14ac:dyDescent="0.35"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8:27" x14ac:dyDescent="0.35"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8:27" x14ac:dyDescent="0.35"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8:27" x14ac:dyDescent="0.35"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8:27" x14ac:dyDescent="0.35"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8:27" x14ac:dyDescent="0.35"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8:27" x14ac:dyDescent="0.35"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8:27" x14ac:dyDescent="0.35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8:27" x14ac:dyDescent="0.35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8:27" x14ac:dyDescent="0.35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8:27" x14ac:dyDescent="0.35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8:27" x14ac:dyDescent="0.35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8:27" x14ac:dyDescent="0.35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8:27" x14ac:dyDescent="0.35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8:27" x14ac:dyDescent="0.35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8:27" x14ac:dyDescent="0.35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8:27" x14ac:dyDescent="0.35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8:27" x14ac:dyDescent="0.35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8:27" x14ac:dyDescent="0.35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8:27" x14ac:dyDescent="0.35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8:27" x14ac:dyDescent="0.35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8:27" x14ac:dyDescent="0.35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8:27" x14ac:dyDescent="0.35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8:27" x14ac:dyDescent="0.35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8:27" x14ac:dyDescent="0.35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8:27" x14ac:dyDescent="0.35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8:27" x14ac:dyDescent="0.35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8:27" x14ac:dyDescent="0.35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8:27" x14ac:dyDescent="0.35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8:27" x14ac:dyDescent="0.35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8:27" x14ac:dyDescent="0.35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8:27" x14ac:dyDescent="0.35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8:27" x14ac:dyDescent="0.35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8:27" x14ac:dyDescent="0.35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8:27" x14ac:dyDescent="0.35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8:27" x14ac:dyDescent="0.35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8:27" x14ac:dyDescent="0.35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8:27" x14ac:dyDescent="0.35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8:27" x14ac:dyDescent="0.35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8:27" x14ac:dyDescent="0.35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8:27" x14ac:dyDescent="0.35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8:27" x14ac:dyDescent="0.35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8:27" x14ac:dyDescent="0.35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8:27" x14ac:dyDescent="0.35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8:27" x14ac:dyDescent="0.35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8:27" x14ac:dyDescent="0.35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8:27" x14ac:dyDescent="0.35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8:27" x14ac:dyDescent="0.35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8:27" x14ac:dyDescent="0.35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8:27" x14ac:dyDescent="0.35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8:27" x14ac:dyDescent="0.35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8:27" x14ac:dyDescent="0.35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8:27" x14ac:dyDescent="0.35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8:27" x14ac:dyDescent="0.35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8:27" x14ac:dyDescent="0.35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8:27" x14ac:dyDescent="0.35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8:27" x14ac:dyDescent="0.35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8:27" x14ac:dyDescent="0.35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8:27" x14ac:dyDescent="0.35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8:27" x14ac:dyDescent="0.35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8:27" x14ac:dyDescent="0.35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8:27" x14ac:dyDescent="0.35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8:27" x14ac:dyDescent="0.35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8:27" x14ac:dyDescent="0.35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8:27" x14ac:dyDescent="0.35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8:27" x14ac:dyDescent="0.35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8:27" x14ac:dyDescent="0.35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8:27" x14ac:dyDescent="0.35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8:27" x14ac:dyDescent="0.35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8:27" x14ac:dyDescent="0.35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8:27" x14ac:dyDescent="0.35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8:27" x14ac:dyDescent="0.35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8:27" x14ac:dyDescent="0.35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8:27" x14ac:dyDescent="0.35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8:27" x14ac:dyDescent="0.35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8:27" x14ac:dyDescent="0.35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8:27" x14ac:dyDescent="0.35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8:27" x14ac:dyDescent="0.35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8:27" x14ac:dyDescent="0.35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8:27" x14ac:dyDescent="0.35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8:27" x14ac:dyDescent="0.35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8:27" x14ac:dyDescent="0.35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8:27" x14ac:dyDescent="0.35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8:27" x14ac:dyDescent="0.35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8:27" x14ac:dyDescent="0.35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8:27" x14ac:dyDescent="0.35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8:27" x14ac:dyDescent="0.35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8:27" x14ac:dyDescent="0.35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8:27" x14ac:dyDescent="0.35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8:27" x14ac:dyDescent="0.35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8:27" x14ac:dyDescent="0.35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8:27" x14ac:dyDescent="0.35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8:27" x14ac:dyDescent="0.35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8:27" x14ac:dyDescent="0.35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8:27" x14ac:dyDescent="0.35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8:27" x14ac:dyDescent="0.35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8:27" x14ac:dyDescent="0.35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8:27" x14ac:dyDescent="0.35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8:27" x14ac:dyDescent="0.35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8:27" x14ac:dyDescent="0.35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8:27" x14ac:dyDescent="0.35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8:27" x14ac:dyDescent="0.35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8:27" x14ac:dyDescent="0.35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8:27" x14ac:dyDescent="0.35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8:27" x14ac:dyDescent="0.35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8:27" x14ac:dyDescent="0.35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8:27" x14ac:dyDescent="0.3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8:27" x14ac:dyDescent="0.35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8:27" x14ac:dyDescent="0.35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8:27" x14ac:dyDescent="0.35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8:27" x14ac:dyDescent="0.35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8:27" x14ac:dyDescent="0.35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8:27" x14ac:dyDescent="0.35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8:27" x14ac:dyDescent="0.35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8:27" x14ac:dyDescent="0.35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8:27" x14ac:dyDescent="0.35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8:27" x14ac:dyDescent="0.3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8:27" x14ac:dyDescent="0.35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8:27" x14ac:dyDescent="0.35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8:27" x14ac:dyDescent="0.35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8:27" x14ac:dyDescent="0.35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8:27" x14ac:dyDescent="0.35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8:27" x14ac:dyDescent="0.35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8:27" x14ac:dyDescent="0.35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8554-5576-4948-BE69-1938CEF24C8B}">
  <dimension ref="B1:AK34"/>
  <sheetViews>
    <sheetView tabSelected="1" workbookViewId="0">
      <selection activeCell="A40" sqref="A40"/>
    </sheetView>
  </sheetViews>
  <sheetFormatPr defaultRowHeight="12.75" x14ac:dyDescent="0.35"/>
  <cols>
    <col min="6" max="9" width="7.1328125" customWidth="1"/>
    <col min="10" max="10" width="10.59765625" customWidth="1"/>
    <col min="11" max="11" width="6" bestFit="1" customWidth="1"/>
    <col min="12" max="12" width="8" bestFit="1" customWidth="1"/>
    <col min="13" max="13" width="13.1328125" bestFit="1" customWidth="1"/>
    <col min="14" max="14" width="9.3984375" bestFit="1" customWidth="1"/>
    <col min="15" max="17" width="7.1328125" customWidth="1"/>
    <col min="18" max="32" width="6" customWidth="1"/>
    <col min="33" max="33" width="6.86328125" bestFit="1" customWidth="1"/>
    <col min="34" max="34" width="12.265625" bestFit="1" customWidth="1"/>
    <col min="35" max="35" width="5.1328125" bestFit="1" customWidth="1"/>
  </cols>
  <sheetData>
    <row r="1" spans="2:37" x14ac:dyDescent="0.35">
      <c r="AH1" t="s">
        <v>32</v>
      </c>
    </row>
    <row r="2" spans="2:37" x14ac:dyDescent="0.35">
      <c r="B2" s="1" t="s">
        <v>37</v>
      </c>
      <c r="C2" s="1"/>
      <c r="D2" s="1"/>
      <c r="E2" s="1"/>
      <c r="J2" t="s">
        <v>109</v>
      </c>
      <c r="AH2" t="s">
        <v>15</v>
      </c>
      <c r="AI2" t="s">
        <v>85</v>
      </c>
      <c r="AJ2" t="s">
        <v>16</v>
      </c>
    </row>
    <row r="3" spans="2:37" x14ac:dyDescent="0.35">
      <c r="B3" s="3" t="s">
        <v>10</v>
      </c>
      <c r="C3" s="3" t="s">
        <v>4</v>
      </c>
      <c r="D3" s="3" t="s">
        <v>12</v>
      </c>
      <c r="E3" s="3" t="s">
        <v>5</v>
      </c>
      <c r="J3" t="s">
        <v>110</v>
      </c>
      <c r="K3">
        <v>2020</v>
      </c>
      <c r="L3">
        <v>0</v>
      </c>
      <c r="M3" t="s">
        <v>111</v>
      </c>
      <c r="N3" t="s">
        <v>16</v>
      </c>
      <c r="O3" t="s">
        <v>113</v>
      </c>
      <c r="AH3" t="s">
        <v>84</v>
      </c>
      <c r="AI3" t="s">
        <v>35</v>
      </c>
      <c r="AJ3" t="s">
        <v>86</v>
      </c>
    </row>
    <row r="4" spans="2:37" x14ac:dyDescent="0.35">
      <c r="B4" s="1" t="s">
        <v>11</v>
      </c>
      <c r="C4" s="1" t="s">
        <v>38</v>
      </c>
      <c r="D4" s="1" t="s">
        <v>34</v>
      </c>
      <c r="E4" s="1" t="s">
        <v>1</v>
      </c>
      <c r="J4" s="6" t="s">
        <v>108</v>
      </c>
      <c r="K4">
        <v>0.2</v>
      </c>
      <c r="L4">
        <v>3</v>
      </c>
      <c r="M4" s="6" t="s">
        <v>112</v>
      </c>
      <c r="N4" t="s">
        <v>34</v>
      </c>
      <c r="O4" t="s">
        <v>114</v>
      </c>
      <c r="AH4" t="s">
        <v>87</v>
      </c>
      <c r="AI4" t="s">
        <v>35</v>
      </c>
      <c r="AJ4" t="s">
        <v>88</v>
      </c>
    </row>
    <row r="5" spans="2:37" x14ac:dyDescent="0.35">
      <c r="B5" s="1" t="s">
        <v>11</v>
      </c>
      <c r="C5" s="1" t="s">
        <v>39</v>
      </c>
      <c r="D5" s="1" t="s">
        <v>34</v>
      </c>
      <c r="E5" s="1" t="s">
        <v>1</v>
      </c>
      <c r="J5" s="6" t="s">
        <v>92</v>
      </c>
      <c r="K5">
        <v>7.4999999999999997E-2</v>
      </c>
      <c r="L5">
        <v>3</v>
      </c>
      <c r="M5" s="6"/>
      <c r="N5" t="s">
        <v>144</v>
      </c>
      <c r="O5" t="s">
        <v>114</v>
      </c>
      <c r="AH5" t="s">
        <v>89</v>
      </c>
      <c r="AI5" t="s">
        <v>35</v>
      </c>
      <c r="AJ5" t="s">
        <v>90</v>
      </c>
    </row>
    <row r="6" spans="2:37" x14ac:dyDescent="0.35">
      <c r="AH6" t="s">
        <v>91</v>
      </c>
      <c r="AI6" t="s">
        <v>35</v>
      </c>
      <c r="AJ6" t="s">
        <v>92</v>
      </c>
    </row>
    <row r="7" spans="2:37" x14ac:dyDescent="0.35">
      <c r="AH7" t="s">
        <v>93</v>
      </c>
      <c r="AI7" t="s">
        <v>35</v>
      </c>
      <c r="AJ7" t="s">
        <v>94</v>
      </c>
    </row>
    <row r="8" spans="2:37" x14ac:dyDescent="0.35">
      <c r="B8" t="s">
        <v>3</v>
      </c>
      <c r="J8" t="s">
        <v>2</v>
      </c>
      <c r="AH8" t="s">
        <v>95</v>
      </c>
      <c r="AI8" t="s">
        <v>35</v>
      </c>
      <c r="AJ8" t="s">
        <v>92</v>
      </c>
    </row>
    <row r="9" spans="2:37" x14ac:dyDescent="0.35">
      <c r="B9" t="s">
        <v>14</v>
      </c>
      <c r="C9" t="s">
        <v>26</v>
      </c>
      <c r="D9" t="s">
        <v>27</v>
      </c>
      <c r="E9" t="s">
        <v>33</v>
      </c>
      <c r="F9" t="s">
        <v>101</v>
      </c>
      <c r="G9" t="s">
        <v>106</v>
      </c>
      <c r="H9" t="s">
        <v>19</v>
      </c>
      <c r="J9" t="s">
        <v>14</v>
      </c>
      <c r="K9" t="s">
        <v>101</v>
      </c>
      <c r="L9" t="s">
        <v>110</v>
      </c>
      <c r="M9" t="s">
        <v>131</v>
      </c>
      <c r="AH9" t="s">
        <v>96</v>
      </c>
      <c r="AI9" t="s">
        <v>35</v>
      </c>
      <c r="AJ9" t="s">
        <v>94</v>
      </c>
    </row>
    <row r="10" spans="2:37" x14ac:dyDescent="0.35">
      <c r="B10" t="s">
        <v>105</v>
      </c>
      <c r="C10" t="s">
        <v>96</v>
      </c>
      <c r="E10" t="s">
        <v>94</v>
      </c>
      <c r="F10">
        <v>0.25</v>
      </c>
      <c r="G10" t="s">
        <v>107</v>
      </c>
      <c r="J10" t="s">
        <v>39</v>
      </c>
      <c r="K10" t="s">
        <v>130</v>
      </c>
      <c r="L10" t="s">
        <v>94</v>
      </c>
      <c r="M10" t="s">
        <v>132</v>
      </c>
    </row>
    <row r="11" spans="2:37" x14ac:dyDescent="0.35">
      <c r="B11" t="s">
        <v>105</v>
      </c>
      <c r="C11" t="s">
        <v>96</v>
      </c>
      <c r="E11" t="s">
        <v>94</v>
      </c>
      <c r="F11">
        <v>3</v>
      </c>
      <c r="G11" t="s">
        <v>107</v>
      </c>
      <c r="H11">
        <v>0</v>
      </c>
      <c r="AH11" t="s">
        <v>97</v>
      </c>
    </row>
    <row r="12" spans="2:37" x14ac:dyDescent="0.35">
      <c r="B12" t="s">
        <v>36</v>
      </c>
      <c r="D12" t="s">
        <v>0</v>
      </c>
      <c r="E12" t="s">
        <v>9</v>
      </c>
      <c r="F12">
        <v>0.93</v>
      </c>
      <c r="AH12" t="s">
        <v>14</v>
      </c>
      <c r="AI12" t="s">
        <v>101</v>
      </c>
      <c r="AJ12" t="s">
        <v>98</v>
      </c>
      <c r="AK12" t="s">
        <v>102</v>
      </c>
    </row>
    <row r="13" spans="2:37" x14ac:dyDescent="0.35">
      <c r="B13" t="s">
        <v>83</v>
      </c>
      <c r="C13" t="s">
        <v>34</v>
      </c>
      <c r="F13">
        <v>25</v>
      </c>
      <c r="AH13" t="s">
        <v>99</v>
      </c>
      <c r="AI13" t="s">
        <v>103</v>
      </c>
      <c r="AJ13" t="s">
        <v>100</v>
      </c>
      <c r="AK13" t="s">
        <v>34</v>
      </c>
    </row>
    <row r="14" spans="2:37" x14ac:dyDescent="0.35">
      <c r="B14" t="s">
        <v>115</v>
      </c>
      <c r="C14" t="s">
        <v>34</v>
      </c>
      <c r="E14" s="6" t="s">
        <v>108</v>
      </c>
      <c r="F14">
        <v>2020</v>
      </c>
      <c r="AH14" t="s">
        <v>99</v>
      </c>
      <c r="AI14" t="s">
        <v>104</v>
      </c>
      <c r="AJ14" t="s">
        <v>100</v>
      </c>
      <c r="AK14" t="s">
        <v>93</v>
      </c>
    </row>
    <row r="17" spans="3:37" x14ac:dyDescent="0.35">
      <c r="C17" t="s">
        <v>3</v>
      </c>
    </row>
    <row r="18" spans="3:37" x14ac:dyDescent="0.35">
      <c r="C18" t="s">
        <v>14</v>
      </c>
      <c r="D18" t="str">
        <f>IF(RoadTra_BY!L$1="","\I:",RoadTra_BY!L$1)</f>
        <v>Africa_north</v>
      </c>
      <c r="E18" t="str">
        <f>IF(RoadTra_BY!M$1="","\I:",RoadTra_BY!M$1)</f>
        <v>Africa_other</v>
      </c>
      <c r="F18" t="str">
        <f>IF(RoadTra_BY!N$1="","\I:",RoadTra_BY!N$1)</f>
        <v>Arg-Chi</v>
      </c>
      <c r="G18" t="str">
        <f>IF(RoadTra_BY!O$1="","\I:",RoadTra_BY!O$1)</f>
        <v>Asia_central</v>
      </c>
      <c r="H18" t="str">
        <f>IF(RoadTra_BY!P$1="","\I:",RoadTra_BY!P$1)</f>
        <v>Asia_east</v>
      </c>
      <c r="I18" t="str">
        <f>IF(RoadTra_BY!Q$1="","\I:",RoadTra_BY!Q$1)</f>
        <v>Asia_other</v>
      </c>
      <c r="J18" t="str">
        <f>IF(RoadTra_BY!R$1="","\I:",RoadTra_BY!R$1)</f>
        <v>Australia_NZ</v>
      </c>
      <c r="K18" t="str">
        <f>IF(RoadTra_BY!S$1="","\I:",RoadTra_BY!S$1)</f>
        <v>Brazil</v>
      </c>
      <c r="L18" t="str">
        <f>IF(RoadTra_BY!T$1="","\I:",RoadTra_BY!T$1)</f>
        <v>Canada</v>
      </c>
      <c r="M18" t="str">
        <f>IF(RoadTra_BY!U$1="","\I:",RoadTra_BY!U$1)</f>
        <v>China</v>
      </c>
      <c r="N18" t="str">
        <f>IF(RoadTra_BY!V$1="","\I:",RoadTra_BY!V$1)</f>
        <v>EU_north</v>
      </c>
      <c r="O18" t="str">
        <f>IF(RoadTra_BY!W$1="","\I:",RoadTra_BY!W$1)</f>
        <v>EU_northeast</v>
      </c>
      <c r="P18" t="str">
        <f>IF(RoadTra_BY!X$1="","\I:",RoadTra_BY!X$1)</f>
        <v>EU_northwest</v>
      </c>
      <c r="Q18" t="str">
        <f>IF(RoadTra_BY!Y$1="","\I:",RoadTra_BY!Y$1)</f>
        <v>EU_south</v>
      </c>
      <c r="R18" t="str">
        <f>IF(RoadTra_BY!Z$1="","\I:",RoadTra_BY!Z$1)</f>
        <v>EU_southeast</v>
      </c>
      <c r="S18" t="str">
        <f>IF(RoadTra_BY!AA$1="","\I:",RoadTra_BY!AA$1)</f>
        <v>EU_southwest</v>
      </c>
      <c r="T18" t="str">
        <f>IF(RoadTra_BY!AB$1="","\I:",RoadTra_BY!AB$1)</f>
        <v>Europe_other</v>
      </c>
      <c r="U18" t="str">
        <f>IF(RoadTra_BY!AC$1="","\I:",RoadTra_BY!AC$1)</f>
        <v>France</v>
      </c>
      <c r="V18" t="str">
        <f>IF(RoadTra_BY!AD$1="","\I:",RoadTra_BY!AD$1)</f>
        <v>Germany</v>
      </c>
      <c r="W18" t="str">
        <f>IF(RoadTra_BY!AE$1="","\I:",RoadTra_BY!AE$1)</f>
        <v>India</v>
      </c>
      <c r="X18" t="str">
        <f>IF(RoadTra_BY!AF$1="","\I:",RoadTra_BY!AF$1)</f>
        <v>LatAm_other</v>
      </c>
      <c r="Y18" t="str">
        <f>IF(RoadTra_BY!AG$1="","\I:",RoadTra_BY!AG$1)</f>
        <v>Mexico</v>
      </c>
      <c r="Z18" t="str">
        <f>IF(RoadTra_BY!AH$1="","\I:",RoadTra_BY!AH$1)</f>
        <v>MidEast_other</v>
      </c>
      <c r="AA18" t="str">
        <f>IF(RoadTra_BY!AI$1="","\I:",RoadTra_BY!AI$1)</f>
        <v>Nor-Ice</v>
      </c>
      <c r="AB18" t="str">
        <f>IF(RoadTra_BY!AJ$1="","\I:",RoadTra_BY!AJ$1)</f>
        <v>Russia</v>
      </c>
      <c r="AC18" t="str">
        <f>IF(RoadTra_BY!AK$1="","\I:",RoadTra_BY!AK$1)</f>
        <v>SaudiArabia</v>
      </c>
      <c r="AD18" t="str">
        <f>IF(RoadTra_BY!AL$1="","\I:",RoadTra_BY!AL$1)</f>
        <v>SouthAfrica</v>
      </c>
      <c r="AE18" t="str">
        <f>IF(RoadTra_BY!AM$1="","\I:",RoadTra_BY!AM$1)</f>
        <v>UK</v>
      </c>
      <c r="AF18" t="str">
        <f>IF(RoadTra_BY!AN$1="","\I:",RoadTra_BY!AN$1)</f>
        <v>USA</v>
      </c>
      <c r="AG18" t="str">
        <f>IF(RoadTra_BY!AO$1="","\I:",RoadTra_BY!AO$1)</f>
        <v>year2</v>
      </c>
      <c r="AH18" t="s">
        <v>15</v>
      </c>
    </row>
    <row r="19" spans="3:37" x14ac:dyDescent="0.35">
      <c r="C19" t="s">
        <v>38</v>
      </c>
      <c r="D19" s="5">
        <f>AVERAGEIFS(RoadTra_BY!L$2:L$999,RoadTra_BY!$B$2:$B$999,'Road transport'!$C19,RoadTra_BY!$C$2:$C$999,'Road transport'!$AH19)</f>
        <v>7</v>
      </c>
      <c r="E19" s="5">
        <f>AVERAGEIFS(RoadTra_BY!M$2:M$999,RoadTra_BY!$B$2:$B$999,'Road transport'!$C19,RoadTra_BY!$C$2:$C$999,'Road transport'!$AH19)</f>
        <v>7</v>
      </c>
      <c r="F19" s="5">
        <f>AVERAGEIFS(RoadTra_BY!N$2:N$999,RoadTra_BY!$B$2:$B$999,'Road transport'!$C19,RoadTra_BY!$C$2:$C$999,'Road transport'!$AH19)</f>
        <v>7</v>
      </c>
      <c r="G19" s="5">
        <f>AVERAGEIFS(RoadTra_BY!O$2:O$999,RoadTra_BY!$B$2:$B$999,'Road transport'!$C19,RoadTra_BY!$C$2:$C$999,'Road transport'!$AH19)</f>
        <v>7</v>
      </c>
      <c r="H19" s="5">
        <f>AVERAGEIFS(RoadTra_BY!P$2:P$999,RoadTra_BY!$B$2:$B$999,'Road transport'!$C19,RoadTra_BY!$C$2:$C$999,'Road transport'!$AH19)</f>
        <v>7</v>
      </c>
      <c r="I19" s="5">
        <f>AVERAGEIFS(RoadTra_BY!Q$2:Q$999,RoadTra_BY!$B$2:$B$999,'Road transport'!$C19,RoadTra_BY!$C$2:$C$999,'Road transport'!$AH19)</f>
        <v>7</v>
      </c>
      <c r="J19" s="5">
        <f>AVERAGEIFS(RoadTra_BY!R$2:R$999,RoadTra_BY!$B$2:$B$999,'Road transport'!$C19,RoadTra_BY!$C$2:$C$999,'Road transport'!$AH19)</f>
        <v>7</v>
      </c>
      <c r="K19" s="5">
        <f>AVERAGEIFS(RoadTra_BY!S$2:S$999,RoadTra_BY!$B$2:$B$999,'Road transport'!$C19,RoadTra_BY!$C$2:$C$999,'Road transport'!$AH19)</f>
        <v>7</v>
      </c>
      <c r="L19" s="5">
        <f>AVERAGEIFS(RoadTra_BY!T$2:T$999,RoadTra_BY!$B$2:$B$999,'Road transport'!$C19,RoadTra_BY!$C$2:$C$999,'Road transport'!$AH19)</f>
        <v>7</v>
      </c>
      <c r="M19" s="5">
        <f>AVERAGEIFS(RoadTra_BY!U$2:U$999,RoadTra_BY!$B$2:$B$999,'Road transport'!$C19,RoadTra_BY!$C$2:$C$999,'Road transport'!$AH19)</f>
        <v>7</v>
      </c>
      <c r="N19" s="5">
        <f>AVERAGEIFS(RoadTra_BY!V$2:V$999,RoadTra_BY!$B$2:$B$999,'Road transport'!$C19,RoadTra_BY!$C$2:$C$999,'Road transport'!$AH19)</f>
        <v>7</v>
      </c>
      <c r="O19" s="5">
        <f>AVERAGEIFS(RoadTra_BY!W$2:W$999,RoadTra_BY!$B$2:$B$999,'Road transport'!$C19,RoadTra_BY!$C$2:$C$999,'Road transport'!$AH19)</f>
        <v>7</v>
      </c>
      <c r="P19" s="5">
        <f>AVERAGEIFS(RoadTra_BY!X$2:X$999,RoadTra_BY!$B$2:$B$999,'Road transport'!$C19,RoadTra_BY!$C$2:$C$999,'Road transport'!$AH19)</f>
        <v>7</v>
      </c>
      <c r="Q19" s="5">
        <f>AVERAGEIFS(RoadTra_BY!Y$2:Y$999,RoadTra_BY!$B$2:$B$999,'Road transport'!$C19,RoadTra_BY!$C$2:$C$999,'Road transport'!$AH19)</f>
        <v>7</v>
      </c>
      <c r="R19" s="5">
        <f>AVERAGEIFS(RoadTra_BY!Z$2:Z$999,RoadTra_BY!$B$2:$B$999,'Road transport'!$C19,RoadTra_BY!$C$2:$C$999,'Road transport'!$AH19)</f>
        <v>7</v>
      </c>
      <c r="S19" s="5">
        <f>AVERAGEIFS(RoadTra_BY!AA$2:AA$999,RoadTra_BY!$B$2:$B$999,'Road transport'!$C19,RoadTra_BY!$C$2:$C$999,'Road transport'!$AH19)</f>
        <v>7</v>
      </c>
      <c r="T19" s="5">
        <f>AVERAGEIFS(RoadTra_BY!AB$2:AB$999,RoadTra_BY!$B$2:$B$999,'Road transport'!$C19,RoadTra_BY!$C$2:$C$999,'Road transport'!$AH19)</f>
        <v>7</v>
      </c>
      <c r="U19" s="5">
        <f>AVERAGEIFS(RoadTra_BY!AC$2:AC$999,RoadTra_BY!$B$2:$B$999,'Road transport'!$C19,RoadTra_BY!$C$2:$C$999,'Road transport'!$AH19)</f>
        <v>7</v>
      </c>
      <c r="V19" s="5">
        <f>AVERAGEIFS(RoadTra_BY!AD$2:AD$999,RoadTra_BY!$B$2:$B$999,'Road transport'!$C19,RoadTra_BY!$C$2:$C$999,'Road transport'!$AH19)</f>
        <v>7</v>
      </c>
      <c r="W19" s="5">
        <f>AVERAGEIFS(RoadTra_BY!AE$2:AE$999,RoadTra_BY!$B$2:$B$999,'Road transport'!$C19,RoadTra_BY!$C$2:$C$999,'Road transport'!$AH19)</f>
        <v>7</v>
      </c>
      <c r="X19" s="5">
        <f>AVERAGEIFS(RoadTra_BY!AF$2:AF$999,RoadTra_BY!$B$2:$B$999,'Road transport'!$C19,RoadTra_BY!$C$2:$C$999,'Road transport'!$AH19)</f>
        <v>7</v>
      </c>
      <c r="Y19" s="5">
        <f>AVERAGEIFS(RoadTra_BY!AG$2:AG$999,RoadTra_BY!$B$2:$B$999,'Road transport'!$C19,RoadTra_BY!$C$2:$C$999,'Road transport'!$AH19)</f>
        <v>7</v>
      </c>
      <c r="Z19" s="5">
        <f>AVERAGEIFS(RoadTra_BY!AH$2:AH$999,RoadTra_BY!$B$2:$B$999,'Road transport'!$C19,RoadTra_BY!$C$2:$C$999,'Road transport'!$AH19)</f>
        <v>7</v>
      </c>
      <c r="AA19" s="5">
        <f>AVERAGEIFS(RoadTra_BY!AI$2:AI$999,RoadTra_BY!$B$2:$B$999,'Road transport'!$C19,RoadTra_BY!$C$2:$C$999,'Road transport'!$AH19)</f>
        <v>7</v>
      </c>
      <c r="AB19" s="5">
        <f>AVERAGEIFS(RoadTra_BY!AJ$2:AJ$999,RoadTra_BY!$B$2:$B$999,'Road transport'!$C19,RoadTra_BY!$C$2:$C$999,'Road transport'!$AH19)</f>
        <v>7</v>
      </c>
      <c r="AC19" s="5">
        <f>AVERAGEIFS(RoadTra_BY!AK$2:AK$999,RoadTra_BY!$B$2:$B$999,'Road transport'!$C19,RoadTra_BY!$C$2:$C$999,'Road transport'!$AH19)</f>
        <v>7</v>
      </c>
      <c r="AD19" s="5">
        <f>AVERAGEIFS(RoadTra_BY!AL$2:AL$999,RoadTra_BY!$B$2:$B$999,'Road transport'!$C19,RoadTra_BY!$C$2:$C$999,'Road transport'!$AH19)</f>
        <v>7</v>
      </c>
      <c r="AE19" s="4">
        <f>AVERAGEIFS(RoadTra_BY!AM$2:AM$999,RoadTra_BY!$B$2:$B$999,'Road transport'!$C19,RoadTra_BY!$C$2:$C$999,'Road transport'!$AH19)</f>
        <v>7</v>
      </c>
      <c r="AF19" s="4">
        <f>AVERAGEIFS(RoadTra_BY!AN$2:AN$999,RoadTra_BY!$B$2:$B$999,'Road transport'!$C19,RoadTra_BY!$C$2:$C$999,'Road transport'!$AH19)</f>
        <v>7</v>
      </c>
      <c r="AG19" s="4"/>
      <c r="AH19" t="s">
        <v>72</v>
      </c>
    </row>
    <row r="20" spans="3:37" x14ac:dyDescent="0.35">
      <c r="C20" t="s">
        <v>38</v>
      </c>
      <c r="D20" s="5">
        <f>AVERAGEIFS(RoadTra_BY!L$2:L$999,RoadTra_BY!$B$2:$B$999,'Road transport'!$C20,RoadTra_BY!$C$2:$C$999,'Road transport'!$AH20)</f>
        <v>15</v>
      </c>
      <c r="E20" s="5">
        <f>AVERAGEIFS(RoadTra_BY!M$2:M$999,RoadTra_BY!$B$2:$B$999,'Road transport'!$C20,RoadTra_BY!$C$2:$C$999,'Road transport'!$AH20)</f>
        <v>15</v>
      </c>
      <c r="F20" s="5">
        <f>AVERAGEIFS(RoadTra_BY!N$2:N$999,RoadTra_BY!$B$2:$B$999,'Road transport'!$C20,RoadTra_BY!$C$2:$C$999,'Road transport'!$AH20)</f>
        <v>15</v>
      </c>
      <c r="G20" s="5">
        <f>AVERAGEIFS(RoadTra_BY!O$2:O$999,RoadTra_BY!$B$2:$B$999,'Road transport'!$C20,RoadTra_BY!$C$2:$C$999,'Road transport'!$AH20)</f>
        <v>15</v>
      </c>
      <c r="H20" s="5">
        <f>AVERAGEIFS(RoadTra_BY!P$2:P$999,RoadTra_BY!$B$2:$B$999,'Road transport'!$C20,RoadTra_BY!$C$2:$C$999,'Road transport'!$AH20)</f>
        <v>15</v>
      </c>
      <c r="I20" s="5">
        <f>AVERAGEIFS(RoadTra_BY!Q$2:Q$999,RoadTra_BY!$B$2:$B$999,'Road transport'!$C20,RoadTra_BY!$C$2:$C$999,'Road transport'!$AH20)</f>
        <v>15</v>
      </c>
      <c r="J20" s="5">
        <f>AVERAGEIFS(RoadTra_BY!R$2:R$999,RoadTra_BY!$B$2:$B$999,'Road transport'!$C20,RoadTra_BY!$C$2:$C$999,'Road transport'!$AH20)</f>
        <v>15</v>
      </c>
      <c r="K20" s="5">
        <f>AVERAGEIFS(RoadTra_BY!S$2:S$999,RoadTra_BY!$B$2:$B$999,'Road transport'!$C20,RoadTra_BY!$C$2:$C$999,'Road transport'!$AH20)</f>
        <v>15</v>
      </c>
      <c r="L20" s="5">
        <f>AVERAGEIFS(RoadTra_BY!T$2:T$999,RoadTra_BY!$B$2:$B$999,'Road transport'!$C20,RoadTra_BY!$C$2:$C$999,'Road transport'!$AH20)</f>
        <v>15</v>
      </c>
      <c r="M20" s="5">
        <f>AVERAGEIFS(RoadTra_BY!U$2:U$999,RoadTra_BY!$B$2:$B$999,'Road transport'!$C20,RoadTra_BY!$C$2:$C$999,'Road transport'!$AH20)</f>
        <v>15</v>
      </c>
      <c r="N20" s="5">
        <f>AVERAGEIFS(RoadTra_BY!V$2:V$999,RoadTra_BY!$B$2:$B$999,'Road transport'!$C20,RoadTra_BY!$C$2:$C$999,'Road transport'!$AH20)</f>
        <v>15</v>
      </c>
      <c r="O20" s="5">
        <f>AVERAGEIFS(RoadTra_BY!W$2:W$999,RoadTra_BY!$B$2:$B$999,'Road transport'!$C20,RoadTra_BY!$C$2:$C$999,'Road transport'!$AH20)</f>
        <v>15</v>
      </c>
      <c r="P20" s="5">
        <f>AVERAGEIFS(RoadTra_BY!X$2:X$999,RoadTra_BY!$B$2:$B$999,'Road transport'!$C20,RoadTra_BY!$C$2:$C$999,'Road transport'!$AH20)</f>
        <v>15</v>
      </c>
      <c r="Q20" s="5">
        <f>AVERAGEIFS(RoadTra_BY!Y$2:Y$999,RoadTra_BY!$B$2:$B$999,'Road transport'!$C20,RoadTra_BY!$C$2:$C$999,'Road transport'!$AH20)</f>
        <v>15</v>
      </c>
      <c r="R20" s="5">
        <f>AVERAGEIFS(RoadTra_BY!Z$2:Z$999,RoadTra_BY!$B$2:$B$999,'Road transport'!$C20,RoadTra_BY!$C$2:$C$999,'Road transport'!$AH20)</f>
        <v>15</v>
      </c>
      <c r="S20" s="5">
        <f>AVERAGEIFS(RoadTra_BY!AA$2:AA$999,RoadTra_BY!$B$2:$B$999,'Road transport'!$C20,RoadTra_BY!$C$2:$C$999,'Road transport'!$AH20)</f>
        <v>15</v>
      </c>
      <c r="T20" s="5">
        <f>AVERAGEIFS(RoadTra_BY!AB$2:AB$999,RoadTra_BY!$B$2:$B$999,'Road transport'!$C20,RoadTra_BY!$C$2:$C$999,'Road transport'!$AH20)</f>
        <v>15</v>
      </c>
      <c r="U20" s="5">
        <f>AVERAGEIFS(RoadTra_BY!AC$2:AC$999,RoadTra_BY!$B$2:$B$999,'Road transport'!$C20,RoadTra_BY!$C$2:$C$999,'Road transport'!$AH20)</f>
        <v>15</v>
      </c>
      <c r="V20" s="5">
        <f>AVERAGEIFS(RoadTra_BY!AD$2:AD$999,RoadTra_BY!$B$2:$B$999,'Road transport'!$C20,RoadTra_BY!$C$2:$C$999,'Road transport'!$AH20)</f>
        <v>15</v>
      </c>
      <c r="W20" s="5">
        <f>AVERAGEIFS(RoadTra_BY!AE$2:AE$999,RoadTra_BY!$B$2:$B$999,'Road transport'!$C20,RoadTra_BY!$C$2:$C$999,'Road transport'!$AH20)</f>
        <v>15</v>
      </c>
      <c r="X20" s="5">
        <f>AVERAGEIFS(RoadTra_BY!AF$2:AF$999,RoadTra_BY!$B$2:$B$999,'Road transport'!$C20,RoadTra_BY!$C$2:$C$999,'Road transport'!$AH20)</f>
        <v>15</v>
      </c>
      <c r="Y20" s="5">
        <f>AVERAGEIFS(RoadTra_BY!AG$2:AG$999,RoadTra_BY!$B$2:$B$999,'Road transport'!$C20,RoadTra_BY!$C$2:$C$999,'Road transport'!$AH20)</f>
        <v>15</v>
      </c>
      <c r="Z20" s="5">
        <f>AVERAGEIFS(RoadTra_BY!AH$2:AH$999,RoadTra_BY!$B$2:$B$999,'Road transport'!$C20,RoadTra_BY!$C$2:$C$999,'Road transport'!$AH20)</f>
        <v>15</v>
      </c>
      <c r="AA20" s="5">
        <f>AVERAGEIFS(RoadTra_BY!AI$2:AI$999,RoadTra_BY!$B$2:$B$999,'Road transport'!$C20,RoadTra_BY!$C$2:$C$999,'Road transport'!$AH20)</f>
        <v>15</v>
      </c>
      <c r="AB20" s="5">
        <f>AVERAGEIFS(RoadTra_BY!AJ$2:AJ$999,RoadTra_BY!$B$2:$B$999,'Road transport'!$C20,RoadTra_BY!$C$2:$C$999,'Road transport'!$AH20)</f>
        <v>15</v>
      </c>
      <c r="AC20" s="5">
        <f>AVERAGEIFS(RoadTra_BY!AK$2:AK$999,RoadTra_BY!$B$2:$B$999,'Road transport'!$C20,RoadTra_BY!$C$2:$C$999,'Road transport'!$AH20)</f>
        <v>15</v>
      </c>
      <c r="AD20" s="5">
        <f>AVERAGEIFS(RoadTra_BY!AL$2:AL$999,RoadTra_BY!$B$2:$B$999,'Road transport'!$C20,RoadTra_BY!$C$2:$C$999,'Road transport'!$AH20)</f>
        <v>15</v>
      </c>
      <c r="AE20" s="4">
        <f>AVERAGEIFS(RoadTra_BY!AM$2:AM$999,RoadTra_BY!$B$2:$B$999,'Road transport'!$C20,RoadTra_BY!$C$2:$C$999,'Road transport'!$AH20)</f>
        <v>15</v>
      </c>
      <c r="AF20" s="4">
        <f>AVERAGEIFS(RoadTra_BY!AN$2:AN$999,RoadTra_BY!$B$2:$B$999,'Road transport'!$C20,RoadTra_BY!$C$2:$C$999,'Road transport'!$AH20)</f>
        <v>15</v>
      </c>
      <c r="AG20" s="4"/>
      <c r="AH20" t="s">
        <v>73</v>
      </c>
    </row>
    <row r="21" spans="3:37" x14ac:dyDescent="0.35">
      <c r="C21" t="s">
        <v>38</v>
      </c>
      <c r="D21" s="5">
        <f>AVERAGEIFS(RoadTra_BY!L$2:L$999,RoadTra_BY!$B$2:$B$999,'Road transport'!$C21,RoadTra_BY!$C$2:$C$999,'Road transport'!$AH21)</f>
        <v>35</v>
      </c>
      <c r="E21" s="5">
        <f>AVERAGEIFS(RoadTra_BY!M$2:M$999,RoadTra_BY!$B$2:$B$999,'Road transport'!$C21,RoadTra_BY!$C$2:$C$999,'Road transport'!$AH21)</f>
        <v>35</v>
      </c>
      <c r="F21" s="5">
        <f>AVERAGEIFS(RoadTra_BY!N$2:N$999,RoadTra_BY!$B$2:$B$999,'Road transport'!$C21,RoadTra_BY!$C$2:$C$999,'Road transport'!$AH21)</f>
        <v>35</v>
      </c>
      <c r="G21" s="5">
        <f>AVERAGEIFS(RoadTra_BY!O$2:O$999,RoadTra_BY!$B$2:$B$999,'Road transport'!$C21,RoadTra_BY!$C$2:$C$999,'Road transport'!$AH21)</f>
        <v>35</v>
      </c>
      <c r="H21" s="5">
        <f>AVERAGEIFS(RoadTra_BY!P$2:P$999,RoadTra_BY!$B$2:$B$999,'Road transport'!$C21,RoadTra_BY!$C$2:$C$999,'Road transport'!$AH21)</f>
        <v>35</v>
      </c>
      <c r="I21" s="5">
        <f>AVERAGEIFS(RoadTra_BY!Q$2:Q$999,RoadTra_BY!$B$2:$B$999,'Road transport'!$C21,RoadTra_BY!$C$2:$C$999,'Road transport'!$AH21)</f>
        <v>35</v>
      </c>
      <c r="J21" s="5">
        <f>AVERAGEIFS(RoadTra_BY!R$2:R$999,RoadTra_BY!$B$2:$B$999,'Road transport'!$C21,RoadTra_BY!$C$2:$C$999,'Road transport'!$AH21)</f>
        <v>35</v>
      </c>
      <c r="K21" s="5">
        <f>AVERAGEIFS(RoadTra_BY!S$2:S$999,RoadTra_BY!$B$2:$B$999,'Road transport'!$C21,RoadTra_BY!$C$2:$C$999,'Road transport'!$AH21)</f>
        <v>35</v>
      </c>
      <c r="L21" s="5">
        <f>AVERAGEIFS(RoadTra_BY!T$2:T$999,RoadTra_BY!$B$2:$B$999,'Road transport'!$C21,RoadTra_BY!$C$2:$C$999,'Road transport'!$AH21)</f>
        <v>35</v>
      </c>
      <c r="M21" s="5">
        <f>AVERAGEIFS(RoadTra_BY!U$2:U$999,RoadTra_BY!$B$2:$B$999,'Road transport'!$C21,RoadTra_BY!$C$2:$C$999,'Road transport'!$AH21)</f>
        <v>35</v>
      </c>
      <c r="N21" s="5">
        <f>AVERAGEIFS(RoadTra_BY!V$2:V$999,RoadTra_BY!$B$2:$B$999,'Road transport'!$C21,RoadTra_BY!$C$2:$C$999,'Road transport'!$AH21)</f>
        <v>35</v>
      </c>
      <c r="O21" s="5">
        <f>AVERAGEIFS(RoadTra_BY!W$2:W$999,RoadTra_BY!$B$2:$B$999,'Road transport'!$C21,RoadTra_BY!$C$2:$C$999,'Road transport'!$AH21)</f>
        <v>35</v>
      </c>
      <c r="P21" s="5">
        <f>AVERAGEIFS(RoadTra_BY!X$2:X$999,RoadTra_BY!$B$2:$B$999,'Road transport'!$C21,RoadTra_BY!$C$2:$C$999,'Road transport'!$AH21)</f>
        <v>35</v>
      </c>
      <c r="Q21" s="5">
        <f>AVERAGEIFS(RoadTra_BY!Y$2:Y$999,RoadTra_BY!$B$2:$B$999,'Road transport'!$C21,RoadTra_BY!$C$2:$C$999,'Road transport'!$AH21)</f>
        <v>35</v>
      </c>
      <c r="R21" s="5">
        <f>AVERAGEIFS(RoadTra_BY!Z$2:Z$999,RoadTra_BY!$B$2:$B$999,'Road transport'!$C21,RoadTra_BY!$C$2:$C$999,'Road transport'!$AH21)</f>
        <v>35</v>
      </c>
      <c r="S21" s="5">
        <f>AVERAGEIFS(RoadTra_BY!AA$2:AA$999,RoadTra_BY!$B$2:$B$999,'Road transport'!$C21,RoadTra_BY!$C$2:$C$999,'Road transport'!$AH21)</f>
        <v>35</v>
      </c>
      <c r="T21" s="5">
        <f>AVERAGEIFS(RoadTra_BY!AB$2:AB$999,RoadTra_BY!$B$2:$B$999,'Road transport'!$C21,RoadTra_BY!$C$2:$C$999,'Road transport'!$AH21)</f>
        <v>35</v>
      </c>
      <c r="U21" s="5">
        <f>AVERAGEIFS(RoadTra_BY!AC$2:AC$999,RoadTra_BY!$B$2:$B$999,'Road transport'!$C21,RoadTra_BY!$C$2:$C$999,'Road transport'!$AH21)</f>
        <v>35</v>
      </c>
      <c r="V21" s="5">
        <f>AVERAGEIFS(RoadTra_BY!AD$2:AD$999,RoadTra_BY!$B$2:$B$999,'Road transport'!$C21,RoadTra_BY!$C$2:$C$999,'Road transport'!$AH21)</f>
        <v>35</v>
      </c>
      <c r="W21" s="5">
        <f>AVERAGEIFS(RoadTra_BY!AE$2:AE$999,RoadTra_BY!$B$2:$B$999,'Road transport'!$C21,RoadTra_BY!$C$2:$C$999,'Road transport'!$AH21)</f>
        <v>35</v>
      </c>
      <c r="X21" s="5">
        <f>AVERAGEIFS(RoadTra_BY!AF$2:AF$999,RoadTra_BY!$B$2:$B$999,'Road transport'!$C21,RoadTra_BY!$C$2:$C$999,'Road transport'!$AH21)</f>
        <v>35</v>
      </c>
      <c r="Y21" s="5">
        <f>AVERAGEIFS(RoadTra_BY!AG$2:AG$999,RoadTra_BY!$B$2:$B$999,'Road transport'!$C21,RoadTra_BY!$C$2:$C$999,'Road transport'!$AH21)</f>
        <v>35</v>
      </c>
      <c r="Z21" s="5">
        <f>AVERAGEIFS(RoadTra_BY!AH$2:AH$999,RoadTra_BY!$B$2:$B$999,'Road transport'!$C21,RoadTra_BY!$C$2:$C$999,'Road transport'!$AH21)</f>
        <v>35</v>
      </c>
      <c r="AA21" s="5">
        <f>AVERAGEIFS(RoadTra_BY!AI$2:AI$999,RoadTra_BY!$B$2:$B$999,'Road transport'!$C21,RoadTra_BY!$C$2:$C$999,'Road transport'!$AH21)</f>
        <v>35</v>
      </c>
      <c r="AB21" s="5">
        <f>AVERAGEIFS(RoadTra_BY!AJ$2:AJ$999,RoadTra_BY!$B$2:$B$999,'Road transport'!$C21,RoadTra_BY!$C$2:$C$999,'Road transport'!$AH21)</f>
        <v>35</v>
      </c>
      <c r="AC21" s="5">
        <f>AVERAGEIFS(RoadTra_BY!AK$2:AK$999,RoadTra_BY!$B$2:$B$999,'Road transport'!$C21,RoadTra_BY!$C$2:$C$999,'Road transport'!$AH21)</f>
        <v>35</v>
      </c>
      <c r="AD21" s="5">
        <f>AVERAGEIFS(RoadTra_BY!AL$2:AL$999,RoadTra_BY!$B$2:$B$999,'Road transport'!$C21,RoadTra_BY!$C$2:$C$999,'Road transport'!$AH21)</f>
        <v>35</v>
      </c>
      <c r="AE21" s="4">
        <f>AVERAGEIFS(RoadTra_BY!AM$2:AM$999,RoadTra_BY!$B$2:$B$999,'Road transport'!$C21,RoadTra_BY!$C$2:$C$999,'Road transport'!$AH21)</f>
        <v>35</v>
      </c>
      <c r="AF21" s="4">
        <f>AVERAGEIFS(RoadTra_BY!AN$2:AN$999,RoadTra_BY!$B$2:$B$999,'Road transport'!$C21,RoadTra_BY!$C$2:$C$999,'Road transport'!$AH21)</f>
        <v>35</v>
      </c>
      <c r="AG21" s="4"/>
      <c r="AH21" t="s">
        <v>74</v>
      </c>
    </row>
    <row r="22" spans="3:37" x14ac:dyDescent="0.35">
      <c r="C22" t="s">
        <v>38</v>
      </c>
      <c r="D22" s="5">
        <f>AVERAGEIFS(RoadTra_BY!L$2:L$999,RoadTra_BY!$B$2:$B$999,'Road transport'!$C22,RoadTra_BY!$C$2:$C$999,'Road transport'!$AH22)</f>
        <v>12</v>
      </c>
      <c r="E22" s="5">
        <f>AVERAGEIFS(RoadTra_BY!M$2:M$999,RoadTra_BY!$B$2:$B$999,'Road transport'!$C22,RoadTra_BY!$C$2:$C$999,'Road transport'!$AH22)</f>
        <v>12</v>
      </c>
      <c r="F22" s="5">
        <f>AVERAGEIFS(RoadTra_BY!N$2:N$999,RoadTra_BY!$B$2:$B$999,'Road transport'!$C22,RoadTra_BY!$C$2:$C$999,'Road transport'!$AH22)</f>
        <v>12</v>
      </c>
      <c r="G22" s="5">
        <f>AVERAGEIFS(RoadTra_BY!O$2:O$999,RoadTra_BY!$B$2:$B$999,'Road transport'!$C22,RoadTra_BY!$C$2:$C$999,'Road transport'!$AH22)</f>
        <v>12</v>
      </c>
      <c r="H22" s="5">
        <f>AVERAGEIFS(RoadTra_BY!P$2:P$999,RoadTra_BY!$B$2:$B$999,'Road transport'!$C22,RoadTra_BY!$C$2:$C$999,'Road transport'!$AH22)</f>
        <v>12</v>
      </c>
      <c r="I22" s="5">
        <f>AVERAGEIFS(RoadTra_BY!Q$2:Q$999,RoadTra_BY!$B$2:$B$999,'Road transport'!$C22,RoadTra_BY!$C$2:$C$999,'Road transport'!$AH22)</f>
        <v>12</v>
      </c>
      <c r="J22" s="5">
        <f>AVERAGEIFS(RoadTra_BY!R$2:R$999,RoadTra_BY!$B$2:$B$999,'Road transport'!$C22,RoadTra_BY!$C$2:$C$999,'Road transport'!$AH22)</f>
        <v>12</v>
      </c>
      <c r="K22" s="5">
        <f>AVERAGEIFS(RoadTra_BY!S$2:S$999,RoadTra_BY!$B$2:$B$999,'Road transport'!$C22,RoadTra_BY!$C$2:$C$999,'Road transport'!$AH22)</f>
        <v>12</v>
      </c>
      <c r="L22" s="5">
        <f>AVERAGEIFS(RoadTra_BY!T$2:T$999,RoadTra_BY!$B$2:$B$999,'Road transport'!$C22,RoadTra_BY!$C$2:$C$999,'Road transport'!$AH22)</f>
        <v>18</v>
      </c>
      <c r="M22" s="5">
        <f>AVERAGEIFS(RoadTra_BY!U$2:U$999,RoadTra_BY!$B$2:$B$999,'Road transport'!$C22,RoadTra_BY!$C$2:$C$999,'Road transport'!$AH22)</f>
        <v>8</v>
      </c>
      <c r="N22" s="5">
        <f>AVERAGEIFS(RoadTra_BY!V$2:V$999,RoadTra_BY!$B$2:$B$999,'Road transport'!$C22,RoadTra_BY!$C$2:$C$999,'Road transport'!$AH22)</f>
        <v>12</v>
      </c>
      <c r="O22" s="5">
        <f>AVERAGEIFS(RoadTra_BY!W$2:W$999,RoadTra_BY!$B$2:$B$999,'Road transport'!$C22,RoadTra_BY!$C$2:$C$999,'Road transport'!$AH22)</f>
        <v>12</v>
      </c>
      <c r="P22" s="5">
        <f>AVERAGEIFS(RoadTra_BY!X$2:X$999,RoadTra_BY!$B$2:$B$999,'Road transport'!$C22,RoadTra_BY!$C$2:$C$999,'Road transport'!$AH22)</f>
        <v>12</v>
      </c>
      <c r="Q22" s="5">
        <f>AVERAGEIFS(RoadTra_BY!Y$2:Y$999,RoadTra_BY!$B$2:$B$999,'Road transport'!$C22,RoadTra_BY!$C$2:$C$999,'Road transport'!$AH22)</f>
        <v>12</v>
      </c>
      <c r="R22" s="5">
        <f>AVERAGEIFS(RoadTra_BY!Z$2:Z$999,RoadTra_BY!$B$2:$B$999,'Road transport'!$C22,RoadTra_BY!$C$2:$C$999,'Road transport'!$AH22)</f>
        <v>12</v>
      </c>
      <c r="S22" s="5">
        <f>AVERAGEIFS(RoadTra_BY!AA$2:AA$999,RoadTra_BY!$B$2:$B$999,'Road transport'!$C22,RoadTra_BY!$C$2:$C$999,'Road transport'!$AH22)</f>
        <v>12</v>
      </c>
      <c r="T22" s="5">
        <f>AVERAGEIFS(RoadTra_BY!AB$2:AB$999,RoadTra_BY!$B$2:$B$999,'Road transport'!$C22,RoadTra_BY!$C$2:$C$999,'Road transport'!$AH22)</f>
        <v>12</v>
      </c>
      <c r="U22" s="5">
        <f>AVERAGEIFS(RoadTra_BY!AC$2:AC$999,RoadTra_BY!$B$2:$B$999,'Road transport'!$C22,RoadTra_BY!$C$2:$C$999,'Road transport'!$AH22)</f>
        <v>12</v>
      </c>
      <c r="V22" s="5">
        <f>AVERAGEIFS(RoadTra_BY!AD$2:AD$999,RoadTra_BY!$B$2:$B$999,'Road transport'!$C22,RoadTra_BY!$C$2:$C$999,'Road transport'!$AH22)</f>
        <v>12</v>
      </c>
      <c r="W22" s="5">
        <f>AVERAGEIFS(RoadTra_BY!AE$2:AE$999,RoadTra_BY!$B$2:$B$999,'Road transport'!$C22,RoadTra_BY!$C$2:$C$999,'Road transport'!$AH22)</f>
        <v>12</v>
      </c>
      <c r="X22" s="5">
        <f>AVERAGEIFS(RoadTra_BY!AF$2:AF$999,RoadTra_BY!$B$2:$B$999,'Road transport'!$C22,RoadTra_BY!$C$2:$C$999,'Road transport'!$AH22)</f>
        <v>12</v>
      </c>
      <c r="Y22" s="5">
        <f>AVERAGEIFS(RoadTra_BY!AG$2:AG$999,RoadTra_BY!$B$2:$B$999,'Road transport'!$C22,RoadTra_BY!$C$2:$C$999,'Road transport'!$AH22)</f>
        <v>12</v>
      </c>
      <c r="Z22" s="5">
        <f>AVERAGEIFS(RoadTra_BY!AH$2:AH$999,RoadTra_BY!$B$2:$B$999,'Road transport'!$C22,RoadTra_BY!$C$2:$C$999,'Road transport'!$AH22)</f>
        <v>12</v>
      </c>
      <c r="AA22" s="5">
        <f>AVERAGEIFS(RoadTra_BY!AI$2:AI$999,RoadTra_BY!$B$2:$B$999,'Road transport'!$C22,RoadTra_BY!$C$2:$C$999,'Road transport'!$AH22)</f>
        <v>12</v>
      </c>
      <c r="AB22" s="5">
        <f>AVERAGEIFS(RoadTra_BY!AJ$2:AJ$999,RoadTra_BY!$B$2:$B$999,'Road transport'!$C22,RoadTra_BY!$C$2:$C$999,'Road transport'!$AH22)</f>
        <v>12</v>
      </c>
      <c r="AC22" s="5">
        <f>AVERAGEIFS(RoadTra_BY!AK$2:AK$999,RoadTra_BY!$B$2:$B$999,'Road transport'!$C22,RoadTra_BY!$C$2:$C$999,'Road transport'!$AH22)</f>
        <v>12</v>
      </c>
      <c r="AD22" s="5">
        <f>AVERAGEIFS(RoadTra_BY!AL$2:AL$999,RoadTra_BY!$B$2:$B$999,'Road transport'!$C22,RoadTra_BY!$C$2:$C$999,'Road transport'!$AH22)</f>
        <v>12</v>
      </c>
      <c r="AE22" s="4">
        <f>AVERAGEIFS(RoadTra_BY!AM$2:AM$999,RoadTra_BY!$B$2:$B$999,'Road transport'!$C22,RoadTra_BY!$C$2:$C$999,'Road transport'!$AH22)</f>
        <v>12</v>
      </c>
      <c r="AF22" s="4">
        <f>AVERAGEIFS(RoadTra_BY!AN$2:AN$999,RoadTra_BY!$B$2:$B$999,'Road transport'!$C22,RoadTra_BY!$C$2:$C$999,'Road transport'!$AH22)</f>
        <v>18</v>
      </c>
      <c r="AG22" s="4"/>
      <c r="AH22" t="s">
        <v>75</v>
      </c>
    </row>
    <row r="23" spans="3:37" x14ac:dyDescent="0.35">
      <c r="C23" t="s">
        <v>38</v>
      </c>
      <c r="D23" s="5">
        <f>AVERAGEIFS(RoadTra_BY!L$2:L$999,RoadTra_BY!$B$2:$B$999,'Road transport'!$C23,RoadTra_BY!$C$2:$C$999,'Road transport'!$AH23)</f>
        <v>50</v>
      </c>
      <c r="E23" s="5">
        <f>AVERAGEIFS(RoadTra_BY!M$2:M$999,RoadTra_BY!$B$2:$B$999,'Road transport'!$C23,RoadTra_BY!$C$2:$C$999,'Road transport'!$AH23)</f>
        <v>50</v>
      </c>
      <c r="F23" s="5">
        <f>AVERAGEIFS(RoadTra_BY!N$2:N$999,RoadTra_BY!$B$2:$B$999,'Road transport'!$C23,RoadTra_BY!$C$2:$C$999,'Road transport'!$AH23)</f>
        <v>50</v>
      </c>
      <c r="G23" s="5">
        <f>AVERAGEIFS(RoadTra_BY!O$2:O$999,RoadTra_BY!$B$2:$B$999,'Road transport'!$C23,RoadTra_BY!$C$2:$C$999,'Road transport'!$AH23)</f>
        <v>50</v>
      </c>
      <c r="H23" s="5">
        <f>AVERAGEIFS(RoadTra_BY!P$2:P$999,RoadTra_BY!$B$2:$B$999,'Road transport'!$C23,RoadTra_BY!$C$2:$C$999,'Road transport'!$AH23)</f>
        <v>50</v>
      </c>
      <c r="I23" s="5">
        <f>AVERAGEIFS(RoadTra_BY!Q$2:Q$999,RoadTra_BY!$B$2:$B$999,'Road transport'!$C23,RoadTra_BY!$C$2:$C$999,'Road transport'!$AH23)</f>
        <v>50</v>
      </c>
      <c r="J23" s="5">
        <f>AVERAGEIFS(RoadTra_BY!R$2:R$999,RoadTra_BY!$B$2:$B$999,'Road transport'!$C23,RoadTra_BY!$C$2:$C$999,'Road transport'!$AH23)</f>
        <v>50</v>
      </c>
      <c r="K23" s="5">
        <f>AVERAGEIFS(RoadTra_BY!S$2:S$999,RoadTra_BY!$B$2:$B$999,'Road transport'!$C23,RoadTra_BY!$C$2:$C$999,'Road transport'!$AH23)</f>
        <v>50</v>
      </c>
      <c r="L23" s="5">
        <f>AVERAGEIFS(RoadTra_BY!T$2:T$999,RoadTra_BY!$B$2:$B$999,'Road transport'!$C23,RoadTra_BY!$C$2:$C$999,'Road transport'!$AH23)</f>
        <v>50</v>
      </c>
      <c r="M23" s="5">
        <f>AVERAGEIFS(RoadTra_BY!U$2:U$999,RoadTra_BY!$B$2:$B$999,'Road transport'!$C23,RoadTra_BY!$C$2:$C$999,'Road transport'!$AH23)</f>
        <v>50</v>
      </c>
      <c r="N23" s="5">
        <f>AVERAGEIFS(RoadTra_BY!V$2:V$999,RoadTra_BY!$B$2:$B$999,'Road transport'!$C23,RoadTra_BY!$C$2:$C$999,'Road transport'!$AH23)</f>
        <v>50</v>
      </c>
      <c r="O23" s="5">
        <f>AVERAGEIFS(RoadTra_BY!W$2:W$999,RoadTra_BY!$B$2:$B$999,'Road transport'!$C23,RoadTra_BY!$C$2:$C$999,'Road transport'!$AH23)</f>
        <v>50</v>
      </c>
      <c r="P23" s="5">
        <f>AVERAGEIFS(RoadTra_BY!X$2:X$999,RoadTra_BY!$B$2:$B$999,'Road transport'!$C23,RoadTra_BY!$C$2:$C$999,'Road transport'!$AH23)</f>
        <v>50</v>
      </c>
      <c r="Q23" s="5">
        <f>AVERAGEIFS(RoadTra_BY!Y$2:Y$999,RoadTra_BY!$B$2:$B$999,'Road transport'!$C23,RoadTra_BY!$C$2:$C$999,'Road transport'!$AH23)</f>
        <v>50</v>
      </c>
      <c r="R23" s="5">
        <f>AVERAGEIFS(RoadTra_BY!Z$2:Z$999,RoadTra_BY!$B$2:$B$999,'Road transport'!$C23,RoadTra_BY!$C$2:$C$999,'Road transport'!$AH23)</f>
        <v>50</v>
      </c>
      <c r="S23" s="5">
        <f>AVERAGEIFS(RoadTra_BY!AA$2:AA$999,RoadTra_BY!$B$2:$B$999,'Road transport'!$C23,RoadTra_BY!$C$2:$C$999,'Road transport'!$AH23)</f>
        <v>50</v>
      </c>
      <c r="T23" s="5">
        <f>AVERAGEIFS(RoadTra_BY!AB$2:AB$999,RoadTra_BY!$B$2:$B$999,'Road transport'!$C23,RoadTra_BY!$C$2:$C$999,'Road transport'!$AH23)</f>
        <v>50</v>
      </c>
      <c r="U23" s="5">
        <f>AVERAGEIFS(RoadTra_BY!AC$2:AC$999,RoadTra_BY!$B$2:$B$999,'Road transport'!$C23,RoadTra_BY!$C$2:$C$999,'Road transport'!$AH23)</f>
        <v>50</v>
      </c>
      <c r="V23" s="5">
        <f>AVERAGEIFS(RoadTra_BY!AD$2:AD$999,RoadTra_BY!$B$2:$B$999,'Road transport'!$C23,RoadTra_BY!$C$2:$C$999,'Road transport'!$AH23)</f>
        <v>50</v>
      </c>
      <c r="W23" s="5">
        <f>AVERAGEIFS(RoadTra_BY!AE$2:AE$999,RoadTra_BY!$B$2:$B$999,'Road transport'!$C23,RoadTra_BY!$C$2:$C$999,'Road transport'!$AH23)</f>
        <v>50</v>
      </c>
      <c r="X23" s="5">
        <f>AVERAGEIFS(RoadTra_BY!AF$2:AF$999,RoadTra_BY!$B$2:$B$999,'Road transport'!$C23,RoadTra_BY!$C$2:$C$999,'Road transport'!$AH23)</f>
        <v>50</v>
      </c>
      <c r="Y23" s="5">
        <f>AVERAGEIFS(RoadTra_BY!AG$2:AG$999,RoadTra_BY!$B$2:$B$999,'Road transport'!$C23,RoadTra_BY!$C$2:$C$999,'Road transport'!$AH23)</f>
        <v>50</v>
      </c>
      <c r="Z23" s="5">
        <f>AVERAGEIFS(RoadTra_BY!AH$2:AH$999,RoadTra_BY!$B$2:$B$999,'Road transport'!$C23,RoadTra_BY!$C$2:$C$999,'Road transport'!$AH23)</f>
        <v>50</v>
      </c>
      <c r="AA23" s="5">
        <f>AVERAGEIFS(RoadTra_BY!AI$2:AI$999,RoadTra_BY!$B$2:$B$999,'Road transport'!$C23,RoadTra_BY!$C$2:$C$999,'Road transport'!$AH23)</f>
        <v>50</v>
      </c>
      <c r="AB23" s="5">
        <f>AVERAGEIFS(RoadTra_BY!AJ$2:AJ$999,RoadTra_BY!$B$2:$B$999,'Road transport'!$C23,RoadTra_BY!$C$2:$C$999,'Road transport'!$AH23)</f>
        <v>50</v>
      </c>
      <c r="AC23" s="5">
        <f>AVERAGEIFS(RoadTra_BY!AK$2:AK$999,RoadTra_BY!$B$2:$B$999,'Road transport'!$C23,RoadTra_BY!$C$2:$C$999,'Road transport'!$AH23)</f>
        <v>50</v>
      </c>
      <c r="AD23" s="5">
        <f>AVERAGEIFS(RoadTra_BY!AL$2:AL$999,RoadTra_BY!$B$2:$B$999,'Road transport'!$C23,RoadTra_BY!$C$2:$C$999,'Road transport'!$AH23)</f>
        <v>50</v>
      </c>
      <c r="AE23" s="4">
        <f>AVERAGEIFS(RoadTra_BY!AM$2:AM$999,RoadTra_BY!$B$2:$B$999,'Road transport'!$C23,RoadTra_BY!$C$2:$C$999,'Road transport'!$AH23)</f>
        <v>50</v>
      </c>
      <c r="AF23" s="4">
        <f>AVERAGEIFS(RoadTra_BY!AN$2:AN$999,RoadTra_BY!$B$2:$B$999,'Road transport'!$C23,RoadTra_BY!$C$2:$C$999,'Road transport'!$AH23)</f>
        <v>50</v>
      </c>
      <c r="AG23" s="4"/>
      <c r="AH23" t="s">
        <v>76</v>
      </c>
    </row>
    <row r="24" spans="3:37" x14ac:dyDescent="0.35">
      <c r="C24" t="s">
        <v>38</v>
      </c>
      <c r="D24" s="5">
        <f>AVERAGEIFS(RoadTra_BY!L$2:L$999,RoadTra_BY!$B$2:$B$999,'Road transport'!$C24,RoadTra_BY!$C$2:$C$999,'Road transport'!$AH24)</f>
        <v>25</v>
      </c>
      <c r="E24" s="5">
        <f>AVERAGEIFS(RoadTra_BY!M$2:M$999,RoadTra_BY!$B$2:$B$999,'Road transport'!$C24,RoadTra_BY!$C$2:$C$999,'Road transport'!$AH24)</f>
        <v>25</v>
      </c>
      <c r="F24" s="5">
        <f>AVERAGEIFS(RoadTra_BY!N$2:N$999,RoadTra_BY!$B$2:$B$999,'Road transport'!$C24,RoadTra_BY!$C$2:$C$999,'Road transport'!$AH24)</f>
        <v>25</v>
      </c>
      <c r="G24" s="5">
        <f>AVERAGEIFS(RoadTra_BY!O$2:O$999,RoadTra_BY!$B$2:$B$999,'Road transport'!$C24,RoadTra_BY!$C$2:$C$999,'Road transport'!$AH24)</f>
        <v>25</v>
      </c>
      <c r="H24" s="5">
        <f>AVERAGEIFS(RoadTra_BY!P$2:P$999,RoadTra_BY!$B$2:$B$999,'Road transport'!$C24,RoadTra_BY!$C$2:$C$999,'Road transport'!$AH24)</f>
        <v>25</v>
      </c>
      <c r="I24" s="5">
        <f>AVERAGEIFS(RoadTra_BY!Q$2:Q$999,RoadTra_BY!$B$2:$B$999,'Road transport'!$C24,RoadTra_BY!$C$2:$C$999,'Road transport'!$AH24)</f>
        <v>25</v>
      </c>
      <c r="J24" s="5">
        <f>AVERAGEIFS(RoadTra_BY!R$2:R$999,RoadTra_BY!$B$2:$B$999,'Road transport'!$C24,RoadTra_BY!$C$2:$C$999,'Road transport'!$AH24)</f>
        <v>25</v>
      </c>
      <c r="K24" s="5">
        <f>AVERAGEIFS(RoadTra_BY!S$2:S$999,RoadTra_BY!$B$2:$B$999,'Road transport'!$C24,RoadTra_BY!$C$2:$C$999,'Road transport'!$AH24)</f>
        <v>25</v>
      </c>
      <c r="L24" s="5">
        <f>AVERAGEIFS(RoadTra_BY!T$2:T$999,RoadTra_BY!$B$2:$B$999,'Road transport'!$C24,RoadTra_BY!$C$2:$C$999,'Road transport'!$AH24)</f>
        <v>25</v>
      </c>
      <c r="M24" s="5">
        <f>AVERAGEIFS(RoadTra_BY!U$2:U$999,RoadTra_BY!$B$2:$B$999,'Road transport'!$C24,RoadTra_BY!$C$2:$C$999,'Road transport'!$AH24)</f>
        <v>25</v>
      </c>
      <c r="N24" s="5">
        <f>AVERAGEIFS(RoadTra_BY!V$2:V$999,RoadTra_BY!$B$2:$B$999,'Road transport'!$C24,RoadTra_BY!$C$2:$C$999,'Road transport'!$AH24)</f>
        <v>25</v>
      </c>
      <c r="O24" s="5">
        <f>AVERAGEIFS(RoadTra_BY!W$2:W$999,RoadTra_BY!$B$2:$B$999,'Road transport'!$C24,RoadTra_BY!$C$2:$C$999,'Road transport'!$AH24)</f>
        <v>25</v>
      </c>
      <c r="P24" s="5">
        <f>AVERAGEIFS(RoadTra_BY!X$2:X$999,RoadTra_BY!$B$2:$B$999,'Road transport'!$C24,RoadTra_BY!$C$2:$C$999,'Road transport'!$AH24)</f>
        <v>25</v>
      </c>
      <c r="Q24" s="5">
        <f>AVERAGEIFS(RoadTra_BY!Y$2:Y$999,RoadTra_BY!$B$2:$B$999,'Road transport'!$C24,RoadTra_BY!$C$2:$C$999,'Road transport'!$AH24)</f>
        <v>25</v>
      </c>
      <c r="R24" s="5">
        <f>AVERAGEIFS(RoadTra_BY!Z$2:Z$999,RoadTra_BY!$B$2:$B$999,'Road transport'!$C24,RoadTra_BY!$C$2:$C$999,'Road transport'!$AH24)</f>
        <v>25</v>
      </c>
      <c r="S24" s="5">
        <f>AVERAGEIFS(RoadTra_BY!AA$2:AA$999,RoadTra_BY!$B$2:$B$999,'Road transport'!$C24,RoadTra_BY!$C$2:$C$999,'Road transport'!$AH24)</f>
        <v>25</v>
      </c>
      <c r="T24" s="5">
        <f>AVERAGEIFS(RoadTra_BY!AB$2:AB$999,RoadTra_BY!$B$2:$B$999,'Road transport'!$C24,RoadTra_BY!$C$2:$C$999,'Road transport'!$AH24)</f>
        <v>25</v>
      </c>
      <c r="U24" s="5">
        <f>AVERAGEIFS(RoadTra_BY!AC$2:AC$999,RoadTra_BY!$B$2:$B$999,'Road transport'!$C24,RoadTra_BY!$C$2:$C$999,'Road transport'!$AH24)</f>
        <v>25</v>
      </c>
      <c r="V24" s="5">
        <f>AVERAGEIFS(RoadTra_BY!AD$2:AD$999,RoadTra_BY!$B$2:$B$999,'Road transport'!$C24,RoadTra_BY!$C$2:$C$999,'Road transport'!$AH24)</f>
        <v>25</v>
      </c>
      <c r="W24" s="5">
        <f>AVERAGEIFS(RoadTra_BY!AE$2:AE$999,RoadTra_BY!$B$2:$B$999,'Road transport'!$C24,RoadTra_BY!$C$2:$C$999,'Road transport'!$AH24)</f>
        <v>25</v>
      </c>
      <c r="X24" s="5">
        <f>AVERAGEIFS(RoadTra_BY!AF$2:AF$999,RoadTra_BY!$B$2:$B$999,'Road transport'!$C24,RoadTra_BY!$C$2:$C$999,'Road transport'!$AH24)</f>
        <v>25</v>
      </c>
      <c r="Y24" s="5">
        <f>AVERAGEIFS(RoadTra_BY!AG$2:AG$999,RoadTra_BY!$B$2:$B$999,'Road transport'!$C24,RoadTra_BY!$C$2:$C$999,'Road transport'!$AH24)</f>
        <v>25</v>
      </c>
      <c r="Z24" s="5">
        <f>AVERAGEIFS(RoadTra_BY!AH$2:AH$999,RoadTra_BY!$B$2:$B$999,'Road transport'!$C24,RoadTra_BY!$C$2:$C$999,'Road transport'!$AH24)</f>
        <v>25</v>
      </c>
      <c r="AA24" s="5">
        <f>AVERAGEIFS(RoadTra_BY!AI$2:AI$999,RoadTra_BY!$B$2:$B$999,'Road transport'!$C24,RoadTra_BY!$C$2:$C$999,'Road transport'!$AH24)</f>
        <v>25</v>
      </c>
      <c r="AB24" s="5">
        <f>AVERAGEIFS(RoadTra_BY!AJ$2:AJ$999,RoadTra_BY!$B$2:$B$999,'Road transport'!$C24,RoadTra_BY!$C$2:$C$999,'Road transport'!$AH24)</f>
        <v>25</v>
      </c>
      <c r="AC24" s="5">
        <f>AVERAGEIFS(RoadTra_BY!AK$2:AK$999,RoadTra_BY!$B$2:$B$999,'Road transport'!$C24,RoadTra_BY!$C$2:$C$999,'Road transport'!$AH24)</f>
        <v>25</v>
      </c>
      <c r="AD24" s="5">
        <f>AVERAGEIFS(RoadTra_BY!AL$2:AL$999,RoadTra_BY!$B$2:$B$999,'Road transport'!$C24,RoadTra_BY!$C$2:$C$999,'Road transport'!$AH24)</f>
        <v>25</v>
      </c>
      <c r="AE24" s="4">
        <f>AVERAGEIFS(RoadTra_BY!AM$2:AM$999,RoadTra_BY!$B$2:$B$999,'Road transport'!$C24,RoadTra_BY!$C$2:$C$999,'Road transport'!$AH24)</f>
        <v>25</v>
      </c>
      <c r="AF24" s="4">
        <f>AVERAGEIFS(RoadTra_BY!AN$2:AN$999,RoadTra_BY!$B$2:$B$999,'Road transport'!$C24,RoadTra_BY!$C$2:$C$999,'Road transport'!$AH24)</f>
        <v>25</v>
      </c>
      <c r="AG24" s="4"/>
      <c r="AH24" t="s">
        <v>77</v>
      </c>
    </row>
    <row r="27" spans="3:37" x14ac:dyDescent="0.35">
      <c r="C27" t="s">
        <v>2</v>
      </c>
    </row>
    <row r="28" spans="3:37" x14ac:dyDescent="0.35">
      <c r="C28" t="s">
        <v>14</v>
      </c>
      <c r="D28" t="str">
        <f>IF(RoadTra_BY!L$1="","\I:",RoadTra_BY!L$1)</f>
        <v>Africa_north</v>
      </c>
      <c r="E28" t="str">
        <f>IF(RoadTra_BY!M$1="","\I:",RoadTra_BY!M$1)</f>
        <v>Africa_other</v>
      </c>
      <c r="F28" t="str">
        <f>IF(RoadTra_BY!N$1="","\I:",RoadTra_BY!N$1)</f>
        <v>Arg-Chi</v>
      </c>
      <c r="G28" t="str">
        <f>IF(RoadTra_BY!O$1="","\I:",RoadTra_BY!O$1)</f>
        <v>Asia_central</v>
      </c>
      <c r="H28" t="str">
        <f>IF(RoadTra_BY!P$1="","\I:",RoadTra_BY!P$1)</f>
        <v>Asia_east</v>
      </c>
      <c r="I28" t="str">
        <f>IF(RoadTra_BY!Q$1="","\I:",RoadTra_BY!Q$1)</f>
        <v>Asia_other</v>
      </c>
      <c r="J28" t="str">
        <f>IF(RoadTra_BY!R$1="","\I:",RoadTra_BY!R$1)</f>
        <v>Australia_NZ</v>
      </c>
      <c r="K28" t="str">
        <f>IF(RoadTra_BY!S$1="","\I:",RoadTra_BY!S$1)</f>
        <v>Brazil</v>
      </c>
      <c r="L28" t="str">
        <f>IF(RoadTra_BY!T$1="","\I:",RoadTra_BY!T$1)</f>
        <v>Canada</v>
      </c>
      <c r="M28" t="str">
        <f>IF(RoadTra_BY!U$1="","\I:",RoadTra_BY!U$1)</f>
        <v>China</v>
      </c>
      <c r="N28" t="str">
        <f>IF(RoadTra_BY!V$1="","\I:",RoadTra_BY!V$1)</f>
        <v>EU_north</v>
      </c>
      <c r="O28" t="str">
        <f>IF(RoadTra_BY!W$1="","\I:",RoadTra_BY!W$1)</f>
        <v>EU_northeast</v>
      </c>
      <c r="P28" t="str">
        <f>IF(RoadTra_BY!X$1="","\I:",RoadTra_BY!X$1)</f>
        <v>EU_northwest</v>
      </c>
      <c r="Q28" t="str">
        <f>IF(RoadTra_BY!Y$1="","\I:",RoadTra_BY!Y$1)</f>
        <v>EU_south</v>
      </c>
      <c r="R28" t="str">
        <f>IF(RoadTra_BY!Z$1="","\I:",RoadTra_BY!Z$1)</f>
        <v>EU_southeast</v>
      </c>
      <c r="S28" t="str">
        <f>IF(RoadTra_BY!AA$1="","\I:",RoadTra_BY!AA$1)</f>
        <v>EU_southwest</v>
      </c>
      <c r="T28" t="str">
        <f>IF(RoadTra_BY!AB$1="","\I:",RoadTra_BY!AB$1)</f>
        <v>Europe_other</v>
      </c>
      <c r="U28" t="str">
        <f>IF(RoadTra_BY!AC$1="","\I:",RoadTra_BY!AC$1)</f>
        <v>France</v>
      </c>
      <c r="V28" t="str">
        <f>IF(RoadTra_BY!AD$1="","\I:",RoadTra_BY!AD$1)</f>
        <v>Germany</v>
      </c>
      <c r="W28" t="str">
        <f>IF(RoadTra_BY!AE$1="","\I:",RoadTra_BY!AE$1)</f>
        <v>India</v>
      </c>
      <c r="X28" t="str">
        <f>IF(RoadTra_BY!AF$1="","\I:",RoadTra_BY!AF$1)</f>
        <v>LatAm_other</v>
      </c>
      <c r="Y28" t="str">
        <f>IF(RoadTra_BY!AG$1="","\I:",RoadTra_BY!AG$1)</f>
        <v>Mexico</v>
      </c>
      <c r="Z28" t="str">
        <f>IF(RoadTra_BY!AH$1="","\I:",RoadTra_BY!AH$1)</f>
        <v>MidEast_other</v>
      </c>
      <c r="AA28" t="str">
        <f>IF(RoadTra_BY!AI$1="","\I:",RoadTra_BY!AI$1)</f>
        <v>Nor-Ice</v>
      </c>
      <c r="AB28" t="str">
        <f>IF(RoadTra_BY!AJ$1="","\I:",RoadTra_BY!AJ$1)</f>
        <v>Russia</v>
      </c>
      <c r="AC28" t="str">
        <f>IF(RoadTra_BY!AK$1="","\I:",RoadTra_BY!AK$1)</f>
        <v>SaudiArabia</v>
      </c>
      <c r="AD28" t="str">
        <f>IF(RoadTra_BY!AL$1="","\I:",RoadTra_BY!AL$1)</f>
        <v>SouthAfrica</v>
      </c>
      <c r="AE28" t="str">
        <f>IF(RoadTra_BY!AM$1="","\I:",RoadTra_BY!AM$1)</f>
        <v>UK</v>
      </c>
      <c r="AF28" t="str">
        <f>IF(RoadTra_BY!AN$1="","\I:",RoadTra_BY!AN$1)</f>
        <v>USA</v>
      </c>
      <c r="AG28" t="str">
        <f>IF(RoadTra_BY!AO$1="","\I:",RoadTra_BY!AO$1)</f>
        <v>year2</v>
      </c>
      <c r="AH28" t="s">
        <v>15</v>
      </c>
    </row>
    <row r="29" spans="3:37" x14ac:dyDescent="0.35">
      <c r="C29" t="s">
        <v>39</v>
      </c>
      <c r="D29" t="str">
        <f>"*"&amp;ROUND(SUMIFS(RoadTra_BY!L$2:L$79,RoadTra_BY!$B$2:$B$79,'Road transport'!$C29,RoadTra_BY!$C$2:$C$79,'Road transport'!$AK29),3)</f>
        <v>*0.99</v>
      </c>
      <c r="E29" t="str">
        <f>"*"&amp;ROUND(SUMIFS(RoadTra_BY!M$2:M$79,RoadTra_BY!$B$2:$B$79,'Road transport'!$C29,RoadTra_BY!$C$2:$C$79,'Road transport'!$AK29),3)</f>
        <v>*0.99</v>
      </c>
      <c r="F29" t="str">
        <f>"*"&amp;ROUND(SUMIFS(RoadTra_BY!N$2:N$79,RoadTra_BY!$B$2:$B$79,'Road transport'!$C29,RoadTra_BY!$C$2:$C$79,'Road transport'!$AK29),3)</f>
        <v>*0.99</v>
      </c>
      <c r="G29" t="str">
        <f>"*"&amp;ROUND(SUMIFS(RoadTra_BY!O$2:O$79,RoadTra_BY!$B$2:$B$79,'Road transport'!$C29,RoadTra_BY!$C$2:$C$79,'Road transport'!$AK29),3)</f>
        <v>*0.99</v>
      </c>
      <c r="H29" t="str">
        <f>"*"&amp;ROUND(SUMIFS(RoadTra_BY!P$2:P$79,RoadTra_BY!$B$2:$B$79,'Road transport'!$C29,RoadTra_BY!$C$2:$C$79,'Road transport'!$AK29),3)</f>
        <v>*0.99</v>
      </c>
      <c r="I29" t="str">
        <f>"*"&amp;ROUND(SUMIFS(RoadTra_BY!Q$2:Q$79,RoadTra_BY!$B$2:$B$79,'Road transport'!$C29,RoadTra_BY!$C$2:$C$79,'Road transport'!$AK29),3)</f>
        <v>*0.99</v>
      </c>
      <c r="J29" t="str">
        <f>"*"&amp;ROUND(SUMIFS(RoadTra_BY!R$2:R$79,RoadTra_BY!$B$2:$B$79,'Road transport'!$C29,RoadTra_BY!$C$2:$C$79,'Road transport'!$AK29),3)</f>
        <v>*0.99</v>
      </c>
      <c r="K29" t="str">
        <f>"*"&amp;ROUND(SUMIFS(RoadTra_BY!S$2:S$79,RoadTra_BY!$B$2:$B$79,'Road transport'!$C29,RoadTra_BY!$C$2:$C$79,'Road transport'!$AK29),3)</f>
        <v>*0.99</v>
      </c>
      <c r="L29" t="str">
        <f>"*"&amp;ROUND(SUMIFS(RoadTra_BY!T$2:T$79,RoadTra_BY!$B$2:$B$79,'Road transport'!$C29,RoadTra_BY!$C$2:$C$79,'Road transport'!$AK29),3)</f>
        <v>*0.99</v>
      </c>
      <c r="M29" t="str">
        <f>"*"&amp;ROUND(SUMIFS(RoadTra_BY!U$2:U$79,RoadTra_BY!$B$2:$B$79,'Road transport'!$C29,RoadTra_BY!$C$2:$C$79,'Road transport'!$AK29),3)</f>
        <v>*0.99</v>
      </c>
      <c r="N29" t="str">
        <f>"*"&amp;ROUND(SUMIFS(RoadTra_BY!V$2:V$79,RoadTra_BY!$B$2:$B$79,'Road transport'!$C29,RoadTra_BY!$C$2:$C$79,'Road transport'!$AK29),3)</f>
        <v>*0.99</v>
      </c>
      <c r="O29" t="str">
        <f>"*"&amp;ROUND(SUMIFS(RoadTra_BY!W$2:W$79,RoadTra_BY!$B$2:$B$79,'Road transport'!$C29,RoadTra_BY!$C$2:$C$79,'Road transport'!$AK29),3)</f>
        <v>*0.99</v>
      </c>
      <c r="P29" t="str">
        <f>"*"&amp;ROUND(SUMIFS(RoadTra_BY!X$2:X$79,RoadTra_BY!$B$2:$B$79,'Road transport'!$C29,RoadTra_BY!$C$2:$C$79,'Road transport'!$AK29),3)</f>
        <v>*0.99</v>
      </c>
      <c r="Q29" t="str">
        <f>"*"&amp;ROUND(SUMIFS(RoadTra_BY!Y$2:Y$79,RoadTra_BY!$B$2:$B$79,'Road transport'!$C29,RoadTra_BY!$C$2:$C$79,'Road transport'!$AK29),3)</f>
        <v>*0.99</v>
      </c>
      <c r="R29" t="str">
        <f>"*"&amp;ROUND(SUMIFS(RoadTra_BY!Z$2:Z$79,RoadTra_BY!$B$2:$B$79,'Road transport'!$C29,RoadTra_BY!$C$2:$C$79,'Road transport'!$AK29),3)</f>
        <v>*0.99</v>
      </c>
      <c r="S29" t="str">
        <f>"*"&amp;ROUND(SUMIFS(RoadTra_BY!AA$2:AA$79,RoadTra_BY!$B$2:$B$79,'Road transport'!$C29,RoadTra_BY!$C$2:$C$79,'Road transport'!$AK29),3)</f>
        <v>*0.99</v>
      </c>
      <c r="T29" t="str">
        <f>"*"&amp;ROUND(SUMIFS(RoadTra_BY!AB$2:AB$79,RoadTra_BY!$B$2:$B$79,'Road transport'!$C29,RoadTra_BY!$C$2:$C$79,'Road transport'!$AK29),3)</f>
        <v>*0.99</v>
      </c>
      <c r="U29" t="str">
        <f>"*"&amp;ROUND(SUMIFS(RoadTra_BY!AC$2:AC$79,RoadTra_BY!$B$2:$B$79,'Road transport'!$C29,RoadTra_BY!$C$2:$C$79,'Road transport'!$AK29),3)</f>
        <v>*0.99</v>
      </c>
      <c r="V29" t="str">
        <f>"*"&amp;ROUND(SUMIFS(RoadTra_BY!AD$2:AD$79,RoadTra_BY!$B$2:$B$79,'Road transport'!$C29,RoadTra_BY!$C$2:$C$79,'Road transport'!$AK29),3)</f>
        <v>*0.99</v>
      </c>
      <c r="W29" t="str">
        <f>"*"&amp;ROUND(SUMIFS(RoadTra_BY!AE$2:AE$79,RoadTra_BY!$B$2:$B$79,'Road transport'!$C29,RoadTra_BY!$C$2:$C$79,'Road transport'!$AK29),3)</f>
        <v>*0.99</v>
      </c>
      <c r="X29" t="str">
        <f>"*"&amp;ROUND(SUMIFS(RoadTra_BY!AF$2:AF$79,RoadTra_BY!$B$2:$B$79,'Road transport'!$C29,RoadTra_BY!$C$2:$C$79,'Road transport'!$AK29),3)</f>
        <v>*0.99</v>
      </c>
      <c r="Y29" t="str">
        <f>"*"&amp;ROUND(SUMIFS(RoadTra_BY!AG$2:AG$79,RoadTra_BY!$B$2:$B$79,'Road transport'!$C29,RoadTra_BY!$C$2:$C$79,'Road transport'!$AK29),3)</f>
        <v>*0.99</v>
      </c>
      <c r="Z29" t="str">
        <f>"*"&amp;ROUND(SUMIFS(RoadTra_BY!AH$2:AH$79,RoadTra_BY!$B$2:$B$79,'Road transport'!$C29,RoadTra_BY!$C$2:$C$79,'Road transport'!$AK29),3)</f>
        <v>*0.99</v>
      </c>
      <c r="AA29" t="str">
        <f>"*"&amp;ROUND(SUMIFS(RoadTra_BY!AI$2:AI$79,RoadTra_BY!$B$2:$B$79,'Road transport'!$C29,RoadTra_BY!$C$2:$C$79,'Road transport'!$AK29),3)</f>
        <v>*0.99</v>
      </c>
      <c r="AB29" t="str">
        <f>"*"&amp;ROUND(SUMIFS(RoadTra_BY!AJ$2:AJ$79,RoadTra_BY!$B$2:$B$79,'Road transport'!$C29,RoadTra_BY!$C$2:$C$79,'Road transport'!$AK29),3)</f>
        <v>*0.99</v>
      </c>
      <c r="AC29" t="str">
        <f>"*"&amp;ROUND(SUMIFS(RoadTra_BY!AK$2:AK$79,RoadTra_BY!$B$2:$B$79,'Road transport'!$C29,RoadTra_BY!$C$2:$C$79,'Road transport'!$AK29),3)</f>
        <v>*0.99</v>
      </c>
      <c r="AD29" t="str">
        <f>"*"&amp;ROUND(SUMIFS(RoadTra_BY!AL$2:AL$79,RoadTra_BY!$B$2:$B$79,'Road transport'!$C29,RoadTra_BY!$C$2:$C$79,'Road transport'!$AK29),3)</f>
        <v>*0.99</v>
      </c>
      <c r="AE29" t="str">
        <f>"*"&amp;ROUND(SUMIFS(RoadTra_BY!AM$2:AM$79,RoadTra_BY!$B$2:$B$79,'Road transport'!$C29,RoadTra_BY!$C$2:$C$79,'Road transport'!$AK29),3)</f>
        <v>*0.99</v>
      </c>
      <c r="AF29" t="str">
        <f>"*"&amp;ROUND(SUMIFS(RoadTra_BY!AN$2:AN$79,RoadTra_BY!$B$2:$B$79,'Road transport'!$C29,RoadTra_BY!$C$2:$C$79,'Road transport'!$AK29),3)</f>
        <v>*0.99</v>
      </c>
      <c r="AH29" t="str">
        <f>SUBSTITUTE(SUBSTITUTE(AK29,"gsl",""),"dsl","")&amp;"*"</f>
        <v>Trd_2w_*</v>
      </c>
      <c r="AJ29">
        <f t="shared" ref="AJ29:AJ34" si="0">IFERROR(IF(FIND("gsl",AK29)&gt;0,1,0),2)</f>
        <v>1</v>
      </c>
      <c r="AK29" t="s">
        <v>67</v>
      </c>
    </row>
    <row r="30" spans="3:37" x14ac:dyDescent="0.35">
      <c r="C30" t="s">
        <v>39</v>
      </c>
      <c r="D30" t="str">
        <f>"*"&amp;ROUND(SUMIFS(RoadTra_BY!L$2:L$79,RoadTra_BY!$B$2:$B$79,'Road transport'!$C30,RoadTra_BY!$C$2:$C$79,'Road transport'!$AK30),3)</f>
        <v>*0.587</v>
      </c>
      <c r="E30" t="str">
        <f>"*"&amp;ROUND(SUMIFS(RoadTra_BY!M$2:M$79,RoadTra_BY!$B$2:$B$79,'Road transport'!$C30,RoadTra_BY!$C$2:$C$79,'Road transport'!$AK30),3)</f>
        <v>*0.587</v>
      </c>
      <c r="F30" t="str">
        <f>"*"&amp;ROUND(SUMIFS(RoadTra_BY!N$2:N$79,RoadTra_BY!$B$2:$B$79,'Road transport'!$C30,RoadTra_BY!$C$2:$C$79,'Road transport'!$AK30),3)</f>
        <v>*0.587</v>
      </c>
      <c r="G30" t="str">
        <f>"*"&amp;ROUND(SUMIFS(RoadTra_BY!O$2:O$79,RoadTra_BY!$B$2:$B$79,'Road transport'!$C30,RoadTra_BY!$C$2:$C$79,'Road transport'!$AK30),3)</f>
        <v>*0.587</v>
      </c>
      <c r="H30" t="str">
        <f>"*"&amp;ROUND(SUMIFS(RoadTra_BY!P$2:P$79,RoadTra_BY!$B$2:$B$79,'Road transport'!$C30,RoadTra_BY!$C$2:$C$79,'Road transport'!$AK30),3)</f>
        <v>*0.587</v>
      </c>
      <c r="I30" t="str">
        <f>"*"&amp;ROUND(SUMIFS(RoadTra_BY!Q$2:Q$79,RoadTra_BY!$B$2:$B$79,'Road transport'!$C30,RoadTra_BY!$C$2:$C$79,'Road transport'!$AK30),3)</f>
        <v>*0.587</v>
      </c>
      <c r="J30" t="str">
        <f>"*"&amp;ROUND(SUMIFS(RoadTra_BY!R$2:R$79,RoadTra_BY!$B$2:$B$79,'Road transport'!$C30,RoadTra_BY!$C$2:$C$79,'Road transport'!$AK30),3)</f>
        <v>*0.587</v>
      </c>
      <c r="K30" t="str">
        <f>"*"&amp;ROUND(SUMIFS(RoadTra_BY!S$2:S$79,RoadTra_BY!$B$2:$B$79,'Road transport'!$C30,RoadTra_BY!$C$2:$C$79,'Road transport'!$AK30),3)</f>
        <v>*0.587</v>
      </c>
      <c r="L30" t="str">
        <f>"*"&amp;ROUND(SUMIFS(RoadTra_BY!T$2:T$79,RoadTra_BY!$B$2:$B$79,'Road transport'!$C30,RoadTra_BY!$C$2:$C$79,'Road transport'!$AK30),3)</f>
        <v>*0.587</v>
      </c>
      <c r="M30" t="str">
        <f>"*"&amp;ROUND(SUMIFS(RoadTra_BY!U$2:U$79,RoadTra_BY!$B$2:$B$79,'Road transport'!$C30,RoadTra_BY!$C$2:$C$79,'Road transport'!$AK30),3)</f>
        <v>*0.587</v>
      </c>
      <c r="N30" t="str">
        <f>"*"&amp;ROUND(SUMIFS(RoadTra_BY!V$2:V$79,RoadTra_BY!$B$2:$B$79,'Road transport'!$C30,RoadTra_BY!$C$2:$C$79,'Road transport'!$AK30),3)</f>
        <v>*0.587</v>
      </c>
      <c r="O30" t="str">
        <f>"*"&amp;ROUND(SUMIFS(RoadTra_BY!W$2:W$79,RoadTra_BY!$B$2:$B$79,'Road transport'!$C30,RoadTra_BY!$C$2:$C$79,'Road transport'!$AK30),3)</f>
        <v>*0.587</v>
      </c>
      <c r="P30" t="str">
        <f>"*"&amp;ROUND(SUMIFS(RoadTra_BY!X$2:X$79,RoadTra_BY!$B$2:$B$79,'Road transport'!$C30,RoadTra_BY!$C$2:$C$79,'Road transport'!$AK30),3)</f>
        <v>*0.587</v>
      </c>
      <c r="Q30" t="str">
        <f>"*"&amp;ROUND(SUMIFS(RoadTra_BY!Y$2:Y$79,RoadTra_BY!$B$2:$B$79,'Road transport'!$C30,RoadTra_BY!$C$2:$C$79,'Road transport'!$AK30),3)</f>
        <v>*0.587</v>
      </c>
      <c r="R30" t="str">
        <f>"*"&amp;ROUND(SUMIFS(RoadTra_BY!Z$2:Z$79,RoadTra_BY!$B$2:$B$79,'Road transport'!$C30,RoadTra_BY!$C$2:$C$79,'Road transport'!$AK30),3)</f>
        <v>*0.587</v>
      </c>
      <c r="S30" t="str">
        <f>"*"&amp;ROUND(SUMIFS(RoadTra_BY!AA$2:AA$79,RoadTra_BY!$B$2:$B$79,'Road transport'!$C30,RoadTra_BY!$C$2:$C$79,'Road transport'!$AK30),3)</f>
        <v>*0.587</v>
      </c>
      <c r="T30" t="str">
        <f>"*"&amp;ROUND(SUMIFS(RoadTra_BY!AB$2:AB$79,RoadTra_BY!$B$2:$B$79,'Road transport'!$C30,RoadTra_BY!$C$2:$C$79,'Road transport'!$AK30),3)</f>
        <v>*0.587</v>
      </c>
      <c r="U30" t="str">
        <f>"*"&amp;ROUND(SUMIFS(RoadTra_BY!AC$2:AC$79,RoadTra_BY!$B$2:$B$79,'Road transport'!$C30,RoadTra_BY!$C$2:$C$79,'Road transport'!$AK30),3)</f>
        <v>*0.587</v>
      </c>
      <c r="V30" t="str">
        <f>"*"&amp;ROUND(SUMIFS(RoadTra_BY!AD$2:AD$79,RoadTra_BY!$B$2:$B$79,'Road transport'!$C30,RoadTra_BY!$C$2:$C$79,'Road transport'!$AK30),3)</f>
        <v>*0.587</v>
      </c>
      <c r="W30" t="str">
        <f>"*"&amp;ROUND(SUMIFS(RoadTra_BY!AE$2:AE$79,RoadTra_BY!$B$2:$B$79,'Road transport'!$C30,RoadTra_BY!$C$2:$C$79,'Road transport'!$AK30),3)</f>
        <v>*0.587</v>
      </c>
      <c r="X30" t="str">
        <f>"*"&amp;ROUND(SUMIFS(RoadTra_BY!AF$2:AF$79,RoadTra_BY!$B$2:$B$79,'Road transport'!$C30,RoadTra_BY!$C$2:$C$79,'Road transport'!$AK30),3)</f>
        <v>*0.587</v>
      </c>
      <c r="Y30" t="str">
        <f>"*"&amp;ROUND(SUMIFS(RoadTra_BY!AG$2:AG$79,RoadTra_BY!$B$2:$B$79,'Road transport'!$C30,RoadTra_BY!$C$2:$C$79,'Road transport'!$AK30),3)</f>
        <v>*0.587</v>
      </c>
      <c r="Z30" t="str">
        <f>"*"&amp;ROUND(SUMIFS(RoadTra_BY!AH$2:AH$79,RoadTra_BY!$B$2:$B$79,'Road transport'!$C30,RoadTra_BY!$C$2:$C$79,'Road transport'!$AK30),3)</f>
        <v>*0.587</v>
      </c>
      <c r="AA30" t="str">
        <f>"*"&amp;ROUND(SUMIFS(RoadTra_BY!AI$2:AI$79,RoadTra_BY!$B$2:$B$79,'Road transport'!$C30,RoadTra_BY!$C$2:$C$79,'Road transport'!$AK30),3)</f>
        <v>*0.587</v>
      </c>
      <c r="AB30" t="str">
        <f>"*"&amp;ROUND(SUMIFS(RoadTra_BY!AJ$2:AJ$79,RoadTra_BY!$B$2:$B$79,'Road transport'!$C30,RoadTra_BY!$C$2:$C$79,'Road transport'!$AK30),3)</f>
        <v>*0.587</v>
      </c>
      <c r="AC30" t="str">
        <f>"*"&amp;ROUND(SUMIFS(RoadTra_BY!AK$2:AK$79,RoadTra_BY!$B$2:$B$79,'Road transport'!$C30,RoadTra_BY!$C$2:$C$79,'Road transport'!$AK30),3)</f>
        <v>*0.587</v>
      </c>
      <c r="AD30" t="str">
        <f>"*"&amp;ROUND(SUMIFS(RoadTra_BY!AL$2:AL$79,RoadTra_BY!$B$2:$B$79,'Road transport'!$C30,RoadTra_BY!$C$2:$C$79,'Road transport'!$AK30),3)</f>
        <v>*0.587</v>
      </c>
      <c r="AE30" t="str">
        <f>"*"&amp;ROUND(SUMIFS(RoadTra_BY!AM$2:AM$79,RoadTra_BY!$B$2:$B$79,'Road transport'!$C30,RoadTra_BY!$C$2:$C$79,'Road transport'!$AK30),3)</f>
        <v>*0.587</v>
      </c>
      <c r="AF30" t="str">
        <f>"*"&amp;ROUND(SUMIFS(RoadTra_BY!AN$2:AN$79,RoadTra_BY!$B$2:$B$79,'Road transport'!$C30,RoadTra_BY!$C$2:$C$79,'Road transport'!$AK30),3)</f>
        <v>*0.587</v>
      </c>
      <c r="AH30" t="str">
        <f t="shared" ref="AH30:AH34" si="1">SUBSTITUTE(SUBSTITUTE(AK30,"gsl",""),"dsl","")&amp;"*"</f>
        <v>Trd_3w_*</v>
      </c>
      <c r="AJ30">
        <f t="shared" si="0"/>
        <v>1</v>
      </c>
      <c r="AK30" t="s">
        <v>71</v>
      </c>
    </row>
    <row r="31" spans="3:37" x14ac:dyDescent="0.35">
      <c r="C31" t="s">
        <v>39</v>
      </c>
      <c r="D31" t="str">
        <f>"*"&amp;ROUND(SUMIFS(RoadTra_BY!L$2:L$79,RoadTra_BY!$B$2:$B$79,'Road transport'!$C31,RoadTra_BY!$C$2:$C$79,'Road transport'!$AK31),3)</f>
        <v>*0.072</v>
      </c>
      <c r="E31" t="str">
        <f>"*"&amp;ROUND(SUMIFS(RoadTra_BY!M$2:M$79,RoadTra_BY!$B$2:$B$79,'Road transport'!$C31,RoadTra_BY!$C$2:$C$79,'Road transport'!$AK31),3)</f>
        <v>*0.072</v>
      </c>
      <c r="F31" t="str">
        <f>"*"&amp;ROUND(SUMIFS(RoadTra_BY!N$2:N$79,RoadTra_BY!$B$2:$B$79,'Road transport'!$C31,RoadTra_BY!$C$2:$C$79,'Road transport'!$AK31),3)</f>
        <v>*0.072</v>
      </c>
      <c r="G31" t="str">
        <f>"*"&amp;ROUND(SUMIFS(RoadTra_BY!O$2:O$79,RoadTra_BY!$B$2:$B$79,'Road transport'!$C31,RoadTra_BY!$C$2:$C$79,'Road transport'!$AK31),3)</f>
        <v>*0.072</v>
      </c>
      <c r="H31" t="str">
        <f>"*"&amp;ROUND(SUMIFS(RoadTra_BY!P$2:P$79,RoadTra_BY!$B$2:$B$79,'Road transport'!$C31,RoadTra_BY!$C$2:$C$79,'Road transport'!$AK31),3)</f>
        <v>*0.072</v>
      </c>
      <c r="I31" t="str">
        <f>"*"&amp;ROUND(SUMIFS(RoadTra_BY!Q$2:Q$79,RoadTra_BY!$B$2:$B$79,'Road transport'!$C31,RoadTra_BY!$C$2:$C$79,'Road transport'!$AK31),3)</f>
        <v>*0.072</v>
      </c>
      <c r="J31" t="str">
        <f>"*"&amp;ROUND(SUMIFS(RoadTra_BY!R$2:R$79,RoadTra_BY!$B$2:$B$79,'Road transport'!$C31,RoadTra_BY!$C$2:$C$79,'Road transport'!$AK31),3)</f>
        <v>*0.072</v>
      </c>
      <c r="K31" t="str">
        <f>"*"&amp;ROUND(SUMIFS(RoadTra_BY!S$2:S$79,RoadTra_BY!$B$2:$B$79,'Road transport'!$C31,RoadTra_BY!$C$2:$C$79,'Road transport'!$AK31),3)</f>
        <v>*0.072</v>
      </c>
      <c r="L31" t="str">
        <f>"*"&amp;ROUND(SUMIFS(RoadTra_BY!T$2:T$79,RoadTra_BY!$B$2:$B$79,'Road transport'!$C31,RoadTra_BY!$C$2:$C$79,'Road transport'!$AK31),3)</f>
        <v>*0.072</v>
      </c>
      <c r="M31" t="str">
        <f>"*"&amp;ROUND(SUMIFS(RoadTra_BY!U$2:U$79,RoadTra_BY!$B$2:$B$79,'Road transport'!$C31,RoadTra_BY!$C$2:$C$79,'Road transport'!$AK31),3)</f>
        <v>*0.072</v>
      </c>
      <c r="N31" t="str">
        <f>"*"&amp;ROUND(SUMIFS(RoadTra_BY!V$2:V$79,RoadTra_BY!$B$2:$B$79,'Road transport'!$C31,RoadTra_BY!$C$2:$C$79,'Road transport'!$AK31),3)</f>
        <v>*0.072</v>
      </c>
      <c r="O31" t="str">
        <f>"*"&amp;ROUND(SUMIFS(RoadTra_BY!W$2:W$79,RoadTra_BY!$B$2:$B$79,'Road transport'!$C31,RoadTra_BY!$C$2:$C$79,'Road transport'!$AK31),3)</f>
        <v>*0.072</v>
      </c>
      <c r="P31" t="str">
        <f>"*"&amp;ROUND(SUMIFS(RoadTra_BY!X$2:X$79,RoadTra_BY!$B$2:$B$79,'Road transport'!$C31,RoadTra_BY!$C$2:$C$79,'Road transport'!$AK31),3)</f>
        <v>*0.072</v>
      </c>
      <c r="Q31" t="str">
        <f>"*"&amp;ROUND(SUMIFS(RoadTra_BY!Y$2:Y$79,RoadTra_BY!$B$2:$B$79,'Road transport'!$C31,RoadTra_BY!$C$2:$C$79,'Road transport'!$AK31),3)</f>
        <v>*0.072</v>
      </c>
      <c r="R31" t="str">
        <f>"*"&amp;ROUND(SUMIFS(RoadTra_BY!Z$2:Z$79,RoadTra_BY!$B$2:$B$79,'Road transport'!$C31,RoadTra_BY!$C$2:$C$79,'Road transport'!$AK31),3)</f>
        <v>*0.072</v>
      </c>
      <c r="S31" t="str">
        <f>"*"&amp;ROUND(SUMIFS(RoadTra_BY!AA$2:AA$79,RoadTra_BY!$B$2:$B$79,'Road transport'!$C31,RoadTra_BY!$C$2:$C$79,'Road transport'!$AK31),3)</f>
        <v>*0.072</v>
      </c>
      <c r="T31" t="str">
        <f>"*"&amp;ROUND(SUMIFS(RoadTra_BY!AB$2:AB$79,RoadTra_BY!$B$2:$B$79,'Road transport'!$C31,RoadTra_BY!$C$2:$C$79,'Road transport'!$AK31),3)</f>
        <v>*0.072</v>
      </c>
      <c r="U31" t="str">
        <f>"*"&amp;ROUND(SUMIFS(RoadTra_BY!AC$2:AC$79,RoadTra_BY!$B$2:$B$79,'Road transport'!$C31,RoadTra_BY!$C$2:$C$79,'Road transport'!$AK31),3)</f>
        <v>*0.072</v>
      </c>
      <c r="V31" t="str">
        <f>"*"&amp;ROUND(SUMIFS(RoadTra_BY!AD$2:AD$79,RoadTra_BY!$B$2:$B$79,'Road transport'!$C31,RoadTra_BY!$C$2:$C$79,'Road transport'!$AK31),3)</f>
        <v>*0.072</v>
      </c>
      <c r="W31" t="str">
        <f>"*"&amp;ROUND(SUMIFS(RoadTra_BY!AE$2:AE$79,RoadTra_BY!$B$2:$B$79,'Road transport'!$C31,RoadTra_BY!$C$2:$C$79,'Road transport'!$AK31),3)</f>
        <v>*0.072</v>
      </c>
      <c r="X31" t="str">
        <f>"*"&amp;ROUND(SUMIFS(RoadTra_BY!AF$2:AF$79,RoadTra_BY!$B$2:$B$79,'Road transport'!$C31,RoadTra_BY!$C$2:$C$79,'Road transport'!$AK31),3)</f>
        <v>*0.072</v>
      </c>
      <c r="Y31" t="str">
        <f>"*"&amp;ROUND(SUMIFS(RoadTra_BY!AG$2:AG$79,RoadTra_BY!$B$2:$B$79,'Road transport'!$C31,RoadTra_BY!$C$2:$C$79,'Road transport'!$AK31),3)</f>
        <v>*0.072</v>
      </c>
      <c r="Z31" t="str">
        <f>"*"&amp;ROUND(SUMIFS(RoadTra_BY!AH$2:AH$79,RoadTra_BY!$B$2:$B$79,'Road transport'!$C31,RoadTra_BY!$C$2:$C$79,'Road transport'!$AK31),3)</f>
        <v>*0.072</v>
      </c>
      <c r="AA31" t="str">
        <f>"*"&amp;ROUND(SUMIFS(RoadTra_BY!AI$2:AI$79,RoadTra_BY!$B$2:$B$79,'Road transport'!$C31,RoadTra_BY!$C$2:$C$79,'Road transport'!$AK31),3)</f>
        <v>*0.072</v>
      </c>
      <c r="AB31" t="str">
        <f>"*"&amp;ROUND(SUMIFS(RoadTra_BY!AJ$2:AJ$79,RoadTra_BY!$B$2:$B$79,'Road transport'!$C31,RoadTra_BY!$C$2:$C$79,'Road transport'!$AK31),3)</f>
        <v>*0.072</v>
      </c>
      <c r="AC31" t="str">
        <f>"*"&amp;ROUND(SUMIFS(RoadTra_BY!AK$2:AK$79,RoadTra_BY!$B$2:$B$79,'Road transport'!$C31,RoadTra_BY!$C$2:$C$79,'Road transport'!$AK31),3)</f>
        <v>*0.072</v>
      </c>
      <c r="AD31" t="str">
        <f>"*"&amp;ROUND(SUMIFS(RoadTra_BY!AL$2:AL$79,RoadTra_BY!$B$2:$B$79,'Road transport'!$C31,RoadTra_BY!$C$2:$C$79,'Road transport'!$AK31),3)</f>
        <v>*0.072</v>
      </c>
      <c r="AE31" t="str">
        <f>"*"&amp;ROUND(SUMIFS(RoadTra_BY!AM$2:AM$79,RoadTra_BY!$B$2:$B$79,'Road transport'!$C31,RoadTra_BY!$C$2:$C$79,'Road transport'!$AK31),3)</f>
        <v>*0.072</v>
      </c>
      <c r="AF31" t="str">
        <f>"*"&amp;ROUND(SUMIFS(RoadTra_BY!AN$2:AN$79,RoadTra_BY!$B$2:$B$79,'Road transport'!$C31,RoadTra_BY!$C$2:$C$79,'Road transport'!$AK31),3)</f>
        <v>*0.072</v>
      </c>
      <c r="AH31" t="str">
        <f t="shared" si="1"/>
        <v>Trd_bus_*</v>
      </c>
      <c r="AJ31">
        <f t="shared" si="0"/>
        <v>2</v>
      </c>
      <c r="AK31" t="s">
        <v>49</v>
      </c>
    </row>
    <row r="32" spans="3:37" x14ac:dyDescent="0.35">
      <c r="C32" t="s">
        <v>39</v>
      </c>
      <c r="D32" t="str">
        <f>"*"&amp;ROUND(SUMIFS(RoadTra_BY!L$2:L$79,RoadTra_BY!$B$2:$B$79,'Road transport'!$C32,RoadTra_BY!$C$2:$C$79,'Road transport'!$AK32),3)</f>
        <v>*0.466</v>
      </c>
      <c r="E32" t="str">
        <f>"*"&amp;ROUND(SUMIFS(RoadTra_BY!M$2:M$79,RoadTra_BY!$B$2:$B$79,'Road transport'!$C32,RoadTra_BY!$C$2:$C$79,'Road transport'!$AK32),3)</f>
        <v>*0.466</v>
      </c>
      <c r="F32" t="str">
        <f>"*"&amp;ROUND(SUMIFS(RoadTra_BY!N$2:N$79,RoadTra_BY!$B$2:$B$79,'Road transport'!$C32,RoadTra_BY!$C$2:$C$79,'Road transport'!$AK32),3)</f>
        <v>*0.466</v>
      </c>
      <c r="G32" t="str">
        <f>"*"&amp;ROUND(SUMIFS(RoadTra_BY!O$2:O$79,RoadTra_BY!$B$2:$B$79,'Road transport'!$C32,RoadTra_BY!$C$2:$C$79,'Road transport'!$AK32),3)</f>
        <v>*0.466</v>
      </c>
      <c r="H32" t="str">
        <f>"*"&amp;ROUND(SUMIFS(RoadTra_BY!P$2:P$79,RoadTra_BY!$B$2:$B$79,'Road transport'!$C32,RoadTra_BY!$C$2:$C$79,'Road transport'!$AK32),3)</f>
        <v>*0.466</v>
      </c>
      <c r="I32" t="str">
        <f>"*"&amp;ROUND(SUMIFS(RoadTra_BY!Q$2:Q$79,RoadTra_BY!$B$2:$B$79,'Road transport'!$C32,RoadTra_BY!$C$2:$C$79,'Road transport'!$AK32),3)</f>
        <v>*0.466</v>
      </c>
      <c r="J32" t="str">
        <f>"*"&amp;ROUND(SUMIFS(RoadTra_BY!R$2:R$79,RoadTra_BY!$B$2:$B$79,'Road transport'!$C32,RoadTra_BY!$C$2:$C$79,'Road transport'!$AK32),3)</f>
        <v>*0.466</v>
      </c>
      <c r="K32" t="str">
        <f>"*"&amp;ROUND(SUMIFS(RoadTra_BY!S$2:S$79,RoadTra_BY!$B$2:$B$79,'Road transport'!$C32,RoadTra_BY!$C$2:$C$79,'Road transport'!$AK32),3)</f>
        <v>*0.466</v>
      </c>
      <c r="L32" t="str">
        <f>"*"&amp;ROUND(SUMIFS(RoadTra_BY!T$2:T$79,RoadTra_BY!$B$2:$B$79,'Road transport'!$C32,RoadTra_BY!$C$2:$C$79,'Road transport'!$AK32),3)</f>
        <v>*0.373</v>
      </c>
      <c r="M32" t="str">
        <f>"*"&amp;ROUND(SUMIFS(RoadTra_BY!U$2:U$79,RoadTra_BY!$B$2:$B$79,'Road transport'!$C32,RoadTra_BY!$C$2:$C$79,'Road transport'!$AK32),3)</f>
        <v>*0.699</v>
      </c>
      <c r="N32" t="str">
        <f>"*"&amp;ROUND(SUMIFS(RoadTra_BY!V$2:V$79,RoadTra_BY!$B$2:$B$79,'Road transport'!$C32,RoadTra_BY!$C$2:$C$79,'Road transport'!$AK32),3)</f>
        <v>*0.466</v>
      </c>
      <c r="O32" t="str">
        <f>"*"&amp;ROUND(SUMIFS(RoadTra_BY!W$2:W$79,RoadTra_BY!$B$2:$B$79,'Road transport'!$C32,RoadTra_BY!$C$2:$C$79,'Road transport'!$AK32),3)</f>
        <v>*0.466</v>
      </c>
      <c r="P32" t="str">
        <f>"*"&amp;ROUND(SUMIFS(RoadTra_BY!X$2:X$79,RoadTra_BY!$B$2:$B$79,'Road transport'!$C32,RoadTra_BY!$C$2:$C$79,'Road transport'!$AK32),3)</f>
        <v>*0.466</v>
      </c>
      <c r="Q32" t="str">
        <f>"*"&amp;ROUND(SUMIFS(RoadTra_BY!Y$2:Y$79,RoadTra_BY!$B$2:$B$79,'Road transport'!$C32,RoadTra_BY!$C$2:$C$79,'Road transport'!$AK32),3)</f>
        <v>*0.466</v>
      </c>
      <c r="R32" t="str">
        <f>"*"&amp;ROUND(SUMIFS(RoadTra_BY!Z$2:Z$79,RoadTra_BY!$B$2:$B$79,'Road transport'!$C32,RoadTra_BY!$C$2:$C$79,'Road transport'!$AK32),3)</f>
        <v>*0.466</v>
      </c>
      <c r="S32" t="str">
        <f>"*"&amp;ROUND(SUMIFS(RoadTra_BY!AA$2:AA$79,RoadTra_BY!$B$2:$B$79,'Road transport'!$C32,RoadTra_BY!$C$2:$C$79,'Road transport'!$AK32),3)</f>
        <v>*0.466</v>
      </c>
      <c r="T32" t="str">
        <f>"*"&amp;ROUND(SUMIFS(RoadTra_BY!AB$2:AB$79,RoadTra_BY!$B$2:$B$79,'Road transport'!$C32,RoadTra_BY!$C$2:$C$79,'Road transport'!$AK32),3)</f>
        <v>*0.466</v>
      </c>
      <c r="U32" t="str">
        <f>"*"&amp;ROUND(SUMIFS(RoadTra_BY!AC$2:AC$79,RoadTra_BY!$B$2:$B$79,'Road transport'!$C32,RoadTra_BY!$C$2:$C$79,'Road transport'!$AK32),3)</f>
        <v>*0.466</v>
      </c>
      <c r="V32" t="str">
        <f>"*"&amp;ROUND(SUMIFS(RoadTra_BY!AD$2:AD$79,RoadTra_BY!$B$2:$B$79,'Road transport'!$C32,RoadTra_BY!$C$2:$C$79,'Road transport'!$AK32),3)</f>
        <v>*0.419</v>
      </c>
      <c r="W32" t="str">
        <f>"*"&amp;ROUND(SUMIFS(RoadTra_BY!AE$2:AE$79,RoadTra_BY!$B$2:$B$79,'Road transport'!$C32,RoadTra_BY!$C$2:$C$79,'Road transport'!$AK32),3)</f>
        <v>*0.466</v>
      </c>
      <c r="X32" t="str">
        <f>"*"&amp;ROUND(SUMIFS(RoadTra_BY!AF$2:AF$79,RoadTra_BY!$B$2:$B$79,'Road transport'!$C32,RoadTra_BY!$C$2:$C$79,'Road transport'!$AK32),3)</f>
        <v>*0.466</v>
      </c>
      <c r="Y32" t="str">
        <f>"*"&amp;ROUND(SUMIFS(RoadTra_BY!AG$2:AG$79,RoadTra_BY!$B$2:$B$79,'Road transport'!$C32,RoadTra_BY!$C$2:$C$79,'Road transport'!$AK32),3)</f>
        <v>*0.466</v>
      </c>
      <c r="Z32" t="str">
        <f>"*"&amp;ROUND(SUMIFS(RoadTra_BY!AH$2:AH$79,RoadTra_BY!$B$2:$B$79,'Road transport'!$C32,RoadTra_BY!$C$2:$C$79,'Road transport'!$AK32),3)</f>
        <v>*0.466</v>
      </c>
      <c r="AA32" t="str">
        <f>"*"&amp;ROUND(SUMIFS(RoadTra_BY!AI$2:AI$79,RoadTra_BY!$B$2:$B$79,'Road transport'!$C32,RoadTra_BY!$C$2:$C$79,'Road transport'!$AK32),3)</f>
        <v>*0.466</v>
      </c>
      <c r="AB32" t="str">
        <f>"*"&amp;ROUND(SUMIFS(RoadTra_BY!AJ$2:AJ$79,RoadTra_BY!$B$2:$B$79,'Road transport'!$C32,RoadTra_BY!$C$2:$C$79,'Road transport'!$AK32),3)</f>
        <v>*0.466</v>
      </c>
      <c r="AC32" t="str">
        <f>"*"&amp;ROUND(SUMIFS(RoadTra_BY!AK$2:AK$79,RoadTra_BY!$B$2:$B$79,'Road transport'!$C32,RoadTra_BY!$C$2:$C$79,'Road transport'!$AK32),3)</f>
        <v>*0.326</v>
      </c>
      <c r="AD32" t="str">
        <f>"*"&amp;ROUND(SUMIFS(RoadTra_BY!AL$2:AL$79,RoadTra_BY!$B$2:$B$79,'Road transport'!$C32,RoadTra_BY!$C$2:$C$79,'Road transport'!$AK32),3)</f>
        <v>*0.466</v>
      </c>
      <c r="AE32" t="str">
        <f>"*"&amp;ROUND(SUMIFS(RoadTra_BY!AM$2:AM$79,RoadTra_BY!$B$2:$B$79,'Road transport'!$C32,RoadTra_BY!$C$2:$C$79,'Road transport'!$AK32),3)</f>
        <v>*0.466</v>
      </c>
      <c r="AF32" t="str">
        <f>"*"&amp;ROUND(SUMIFS(RoadTra_BY!AN$2:AN$79,RoadTra_BY!$B$2:$B$79,'Road transport'!$C32,RoadTra_BY!$C$2:$C$79,'Road transport'!$AK32),3)</f>
        <v>*0.373</v>
      </c>
      <c r="AH32" t="str">
        <f t="shared" si="1"/>
        <v>Trd_car_*</v>
      </c>
      <c r="AJ32">
        <f t="shared" si="0"/>
        <v>1</v>
      </c>
      <c r="AK32" t="s">
        <v>45</v>
      </c>
    </row>
    <row r="33" spans="3:37" x14ac:dyDescent="0.35">
      <c r="C33" t="s">
        <v>39</v>
      </c>
      <c r="D33" t="str">
        <f>"*"&amp;ROUND(SUMIFS(RoadTra_BY!L$2:L$79,RoadTra_BY!$B$2:$B$79,'Road transport'!$C33,RoadTra_BY!$C$2:$C$79,'Road transport'!$AK33),3)</f>
        <v>*0.139</v>
      </c>
      <c r="E33" t="str">
        <f>"*"&amp;ROUND(SUMIFS(RoadTra_BY!M$2:M$79,RoadTra_BY!$B$2:$B$79,'Road transport'!$C33,RoadTra_BY!$C$2:$C$79,'Road transport'!$AK33),3)</f>
        <v>*0.139</v>
      </c>
      <c r="F33" t="str">
        <f>"*"&amp;ROUND(SUMIFS(RoadTra_BY!N$2:N$79,RoadTra_BY!$B$2:$B$79,'Road transport'!$C33,RoadTra_BY!$C$2:$C$79,'Road transport'!$AK33),3)</f>
        <v>*0.139</v>
      </c>
      <c r="G33" t="str">
        <f>"*"&amp;ROUND(SUMIFS(RoadTra_BY!O$2:O$79,RoadTra_BY!$B$2:$B$79,'Road transport'!$C33,RoadTra_BY!$C$2:$C$79,'Road transport'!$AK33),3)</f>
        <v>*0.139</v>
      </c>
      <c r="H33" t="str">
        <f>"*"&amp;ROUND(SUMIFS(RoadTra_BY!P$2:P$79,RoadTra_BY!$B$2:$B$79,'Road transport'!$C33,RoadTra_BY!$C$2:$C$79,'Road transport'!$AK33),3)</f>
        <v>*0.139</v>
      </c>
      <c r="I33" t="str">
        <f>"*"&amp;ROUND(SUMIFS(RoadTra_BY!Q$2:Q$79,RoadTra_BY!$B$2:$B$79,'Road transport'!$C33,RoadTra_BY!$C$2:$C$79,'Road transport'!$AK33),3)</f>
        <v>*0.139</v>
      </c>
      <c r="J33" t="str">
        <f>"*"&amp;ROUND(SUMIFS(RoadTra_BY!R$2:R$79,RoadTra_BY!$B$2:$B$79,'Road transport'!$C33,RoadTra_BY!$C$2:$C$79,'Road transport'!$AK33),3)</f>
        <v>*0.139</v>
      </c>
      <c r="K33" t="str">
        <f>"*"&amp;ROUND(SUMIFS(RoadTra_BY!S$2:S$79,RoadTra_BY!$B$2:$B$79,'Road transport'!$C33,RoadTra_BY!$C$2:$C$79,'Road transport'!$AK33),3)</f>
        <v>*0.139</v>
      </c>
      <c r="L33" t="str">
        <f>"*"&amp;ROUND(SUMIFS(RoadTra_BY!T$2:T$79,RoadTra_BY!$B$2:$B$79,'Road transport'!$C33,RoadTra_BY!$C$2:$C$79,'Road transport'!$AK33),3)</f>
        <v>*0.139</v>
      </c>
      <c r="M33" t="str">
        <f>"*"&amp;ROUND(SUMIFS(RoadTra_BY!U$2:U$79,RoadTra_BY!$B$2:$B$79,'Road transport'!$C33,RoadTra_BY!$C$2:$C$79,'Road transport'!$AK33),3)</f>
        <v>*0.139</v>
      </c>
      <c r="N33" t="str">
        <f>"*"&amp;ROUND(SUMIFS(RoadTra_BY!V$2:V$79,RoadTra_BY!$B$2:$B$79,'Road transport'!$C33,RoadTra_BY!$C$2:$C$79,'Road transport'!$AK33),3)</f>
        <v>*0.139</v>
      </c>
      <c r="O33" t="str">
        <f>"*"&amp;ROUND(SUMIFS(RoadTra_BY!W$2:W$79,RoadTra_BY!$B$2:$B$79,'Road transport'!$C33,RoadTra_BY!$C$2:$C$79,'Road transport'!$AK33),3)</f>
        <v>*0.139</v>
      </c>
      <c r="P33" t="str">
        <f>"*"&amp;ROUND(SUMIFS(RoadTra_BY!X$2:X$79,RoadTra_BY!$B$2:$B$79,'Road transport'!$C33,RoadTra_BY!$C$2:$C$79,'Road transport'!$AK33),3)</f>
        <v>*0.139</v>
      </c>
      <c r="Q33" t="str">
        <f>"*"&amp;ROUND(SUMIFS(RoadTra_BY!Y$2:Y$79,RoadTra_BY!$B$2:$B$79,'Road transport'!$C33,RoadTra_BY!$C$2:$C$79,'Road transport'!$AK33),3)</f>
        <v>*0.139</v>
      </c>
      <c r="R33" t="str">
        <f>"*"&amp;ROUND(SUMIFS(RoadTra_BY!Z$2:Z$79,RoadTra_BY!$B$2:$B$79,'Road transport'!$C33,RoadTra_BY!$C$2:$C$79,'Road transport'!$AK33),3)</f>
        <v>*0.139</v>
      </c>
      <c r="S33" t="str">
        <f>"*"&amp;ROUND(SUMIFS(RoadTra_BY!AA$2:AA$79,RoadTra_BY!$B$2:$B$79,'Road transport'!$C33,RoadTra_BY!$C$2:$C$79,'Road transport'!$AK33),3)</f>
        <v>*0.139</v>
      </c>
      <c r="T33" t="str">
        <f>"*"&amp;ROUND(SUMIFS(RoadTra_BY!AB$2:AB$79,RoadTra_BY!$B$2:$B$79,'Road transport'!$C33,RoadTra_BY!$C$2:$C$79,'Road transport'!$AK33),3)</f>
        <v>*0.139</v>
      </c>
      <c r="U33" t="str">
        <f>"*"&amp;ROUND(SUMIFS(RoadTra_BY!AC$2:AC$79,RoadTra_BY!$B$2:$B$79,'Road transport'!$C33,RoadTra_BY!$C$2:$C$79,'Road transport'!$AK33),3)</f>
        <v>*0.139</v>
      </c>
      <c r="V33" t="str">
        <f>"*"&amp;ROUND(SUMIFS(RoadTra_BY!AD$2:AD$79,RoadTra_BY!$B$2:$B$79,'Road transport'!$C33,RoadTra_BY!$C$2:$C$79,'Road transport'!$AK33),3)</f>
        <v>*0.139</v>
      </c>
      <c r="W33" t="str">
        <f>"*"&amp;ROUND(SUMIFS(RoadTra_BY!AE$2:AE$79,RoadTra_BY!$B$2:$B$79,'Road transport'!$C33,RoadTra_BY!$C$2:$C$79,'Road transport'!$AK33),3)</f>
        <v>*0.139</v>
      </c>
      <c r="X33" t="str">
        <f>"*"&amp;ROUND(SUMIFS(RoadTra_BY!AF$2:AF$79,RoadTra_BY!$B$2:$B$79,'Road transport'!$C33,RoadTra_BY!$C$2:$C$79,'Road transport'!$AK33),3)</f>
        <v>*0.139</v>
      </c>
      <c r="Y33" t="str">
        <f>"*"&amp;ROUND(SUMIFS(RoadTra_BY!AG$2:AG$79,RoadTra_BY!$B$2:$B$79,'Road transport'!$C33,RoadTra_BY!$C$2:$C$79,'Road transport'!$AK33),3)</f>
        <v>*0.139</v>
      </c>
      <c r="Z33" t="str">
        <f>"*"&amp;ROUND(SUMIFS(RoadTra_BY!AH$2:AH$79,RoadTra_BY!$B$2:$B$79,'Road transport'!$C33,RoadTra_BY!$C$2:$C$79,'Road transport'!$AK33),3)</f>
        <v>*0.139</v>
      </c>
      <c r="AA33" t="str">
        <f>"*"&amp;ROUND(SUMIFS(RoadTra_BY!AI$2:AI$79,RoadTra_BY!$B$2:$B$79,'Road transport'!$C33,RoadTra_BY!$C$2:$C$79,'Road transport'!$AK33),3)</f>
        <v>*0.139</v>
      </c>
      <c r="AB33" t="str">
        <f>"*"&amp;ROUND(SUMIFS(RoadTra_BY!AJ$2:AJ$79,RoadTra_BY!$B$2:$B$79,'Road transport'!$C33,RoadTra_BY!$C$2:$C$79,'Road transport'!$AK33),3)</f>
        <v>*0.139</v>
      </c>
      <c r="AC33" t="str">
        <f>"*"&amp;ROUND(SUMIFS(RoadTra_BY!AK$2:AK$79,RoadTra_BY!$B$2:$B$79,'Road transport'!$C33,RoadTra_BY!$C$2:$C$79,'Road transport'!$AK33),3)</f>
        <v>*0.139</v>
      </c>
      <c r="AD33" t="str">
        <f>"*"&amp;ROUND(SUMIFS(RoadTra_BY!AL$2:AL$79,RoadTra_BY!$B$2:$B$79,'Road transport'!$C33,RoadTra_BY!$C$2:$C$79,'Road transport'!$AK33),3)</f>
        <v>*0.139</v>
      </c>
      <c r="AE33" t="str">
        <f>"*"&amp;ROUND(SUMIFS(RoadTra_BY!AM$2:AM$79,RoadTra_BY!$B$2:$B$79,'Road transport'!$C33,RoadTra_BY!$C$2:$C$79,'Road transport'!$AK33),3)</f>
        <v>*0.139</v>
      </c>
      <c r="AF33" t="str">
        <f>"*"&amp;ROUND(SUMIFS(RoadTra_BY!AN$2:AN$79,RoadTra_BY!$B$2:$B$79,'Road transport'!$C33,RoadTra_BY!$C$2:$C$79,'Road transport'!$AK33),3)</f>
        <v>*0.139</v>
      </c>
      <c r="AH33" t="str">
        <f t="shared" si="1"/>
        <v>Trd_hdt_*</v>
      </c>
      <c r="AJ33">
        <f t="shared" si="0"/>
        <v>2</v>
      </c>
      <c r="AK33" t="s">
        <v>56</v>
      </c>
    </row>
    <row r="34" spans="3:37" x14ac:dyDescent="0.35">
      <c r="C34" t="s">
        <v>39</v>
      </c>
      <c r="D34" t="str">
        <f>"*"&amp;ROUND(SUMIFS(RoadTra_BY!L$2:L$79,RoadTra_BY!$B$2:$B$79,'Road transport'!$C34,RoadTra_BY!$C$2:$C$79,'Road transport'!$AK34),3)</f>
        <v>*0.38</v>
      </c>
      <c r="E34" t="str">
        <f>"*"&amp;ROUND(SUMIFS(RoadTra_BY!M$2:M$79,RoadTra_BY!$B$2:$B$79,'Road transport'!$C34,RoadTra_BY!$C$2:$C$79,'Road transport'!$AK34),3)</f>
        <v>*0.38</v>
      </c>
      <c r="F34" t="str">
        <f>"*"&amp;ROUND(SUMIFS(RoadTra_BY!N$2:N$79,RoadTra_BY!$B$2:$B$79,'Road transport'!$C34,RoadTra_BY!$C$2:$C$79,'Road transport'!$AK34),3)</f>
        <v>*0.38</v>
      </c>
      <c r="G34" t="str">
        <f>"*"&amp;ROUND(SUMIFS(RoadTra_BY!O$2:O$79,RoadTra_BY!$B$2:$B$79,'Road transport'!$C34,RoadTra_BY!$C$2:$C$79,'Road transport'!$AK34),3)</f>
        <v>*0.38</v>
      </c>
      <c r="H34" t="str">
        <f>"*"&amp;ROUND(SUMIFS(RoadTra_BY!P$2:P$79,RoadTra_BY!$B$2:$B$79,'Road transport'!$C34,RoadTra_BY!$C$2:$C$79,'Road transport'!$AK34),3)</f>
        <v>*0.38</v>
      </c>
      <c r="I34" t="str">
        <f>"*"&amp;ROUND(SUMIFS(RoadTra_BY!Q$2:Q$79,RoadTra_BY!$B$2:$B$79,'Road transport'!$C34,RoadTra_BY!$C$2:$C$79,'Road transport'!$AK34),3)</f>
        <v>*0.38</v>
      </c>
      <c r="J34" t="str">
        <f>"*"&amp;ROUND(SUMIFS(RoadTra_BY!R$2:R$79,RoadTra_BY!$B$2:$B$79,'Road transport'!$C34,RoadTra_BY!$C$2:$C$79,'Road transport'!$AK34),3)</f>
        <v>*0.38</v>
      </c>
      <c r="K34" t="str">
        <f>"*"&amp;ROUND(SUMIFS(RoadTra_BY!S$2:S$79,RoadTra_BY!$B$2:$B$79,'Road transport'!$C34,RoadTra_BY!$C$2:$C$79,'Road transport'!$AK34),3)</f>
        <v>*0.38</v>
      </c>
      <c r="L34" t="str">
        <f>"*"&amp;ROUND(SUMIFS(RoadTra_BY!T$2:T$79,RoadTra_BY!$B$2:$B$79,'Road transport'!$C34,RoadTra_BY!$C$2:$C$79,'Road transport'!$AK34),3)</f>
        <v>*0.38</v>
      </c>
      <c r="M34" t="str">
        <f>"*"&amp;ROUND(SUMIFS(RoadTra_BY!U$2:U$79,RoadTra_BY!$B$2:$B$79,'Road transport'!$C34,RoadTra_BY!$C$2:$C$79,'Road transport'!$AK34),3)</f>
        <v>*0.38</v>
      </c>
      <c r="N34" t="str">
        <f>"*"&amp;ROUND(SUMIFS(RoadTra_BY!V$2:V$79,RoadTra_BY!$B$2:$B$79,'Road transport'!$C34,RoadTra_BY!$C$2:$C$79,'Road transport'!$AK34),3)</f>
        <v>*0.38</v>
      </c>
      <c r="O34" t="str">
        <f>"*"&amp;ROUND(SUMIFS(RoadTra_BY!W$2:W$79,RoadTra_BY!$B$2:$B$79,'Road transport'!$C34,RoadTra_BY!$C$2:$C$79,'Road transport'!$AK34),3)</f>
        <v>*0.38</v>
      </c>
      <c r="P34" t="str">
        <f>"*"&amp;ROUND(SUMIFS(RoadTra_BY!X$2:X$79,RoadTra_BY!$B$2:$B$79,'Road transport'!$C34,RoadTra_BY!$C$2:$C$79,'Road transport'!$AK34),3)</f>
        <v>*0.38</v>
      </c>
      <c r="Q34" t="str">
        <f>"*"&amp;ROUND(SUMIFS(RoadTra_BY!Y$2:Y$79,RoadTra_BY!$B$2:$B$79,'Road transport'!$C34,RoadTra_BY!$C$2:$C$79,'Road transport'!$AK34),3)</f>
        <v>*0.38</v>
      </c>
      <c r="R34" t="str">
        <f>"*"&amp;ROUND(SUMIFS(RoadTra_BY!Z$2:Z$79,RoadTra_BY!$B$2:$B$79,'Road transport'!$C34,RoadTra_BY!$C$2:$C$79,'Road transport'!$AK34),3)</f>
        <v>*0.38</v>
      </c>
      <c r="S34" t="str">
        <f>"*"&amp;ROUND(SUMIFS(RoadTra_BY!AA$2:AA$79,RoadTra_BY!$B$2:$B$79,'Road transport'!$C34,RoadTra_BY!$C$2:$C$79,'Road transport'!$AK34),3)</f>
        <v>*0.38</v>
      </c>
      <c r="T34" t="str">
        <f>"*"&amp;ROUND(SUMIFS(RoadTra_BY!AB$2:AB$79,RoadTra_BY!$B$2:$B$79,'Road transport'!$C34,RoadTra_BY!$C$2:$C$79,'Road transport'!$AK34),3)</f>
        <v>*0.38</v>
      </c>
      <c r="U34" t="str">
        <f>"*"&amp;ROUND(SUMIFS(RoadTra_BY!AC$2:AC$79,RoadTra_BY!$B$2:$B$79,'Road transport'!$C34,RoadTra_BY!$C$2:$C$79,'Road transport'!$AK34),3)</f>
        <v>*0.38</v>
      </c>
      <c r="V34" t="str">
        <f>"*"&amp;ROUND(SUMIFS(RoadTra_BY!AD$2:AD$79,RoadTra_BY!$B$2:$B$79,'Road transport'!$C34,RoadTra_BY!$C$2:$C$79,'Road transport'!$AK34),3)</f>
        <v>*0.38</v>
      </c>
      <c r="W34" t="str">
        <f>"*"&amp;ROUND(SUMIFS(RoadTra_BY!AE$2:AE$79,RoadTra_BY!$B$2:$B$79,'Road transport'!$C34,RoadTra_BY!$C$2:$C$79,'Road transport'!$AK34),3)</f>
        <v>*0.38</v>
      </c>
      <c r="X34" t="str">
        <f>"*"&amp;ROUND(SUMIFS(RoadTra_BY!AF$2:AF$79,RoadTra_BY!$B$2:$B$79,'Road transport'!$C34,RoadTra_BY!$C$2:$C$79,'Road transport'!$AK34),3)</f>
        <v>*0.38</v>
      </c>
      <c r="Y34" t="str">
        <f>"*"&amp;ROUND(SUMIFS(RoadTra_BY!AG$2:AG$79,RoadTra_BY!$B$2:$B$79,'Road transport'!$C34,RoadTra_BY!$C$2:$C$79,'Road transport'!$AK34),3)</f>
        <v>*0.38</v>
      </c>
      <c r="Z34" t="str">
        <f>"*"&amp;ROUND(SUMIFS(RoadTra_BY!AH$2:AH$79,RoadTra_BY!$B$2:$B$79,'Road transport'!$C34,RoadTra_BY!$C$2:$C$79,'Road transport'!$AK34),3)</f>
        <v>*0.38</v>
      </c>
      <c r="AA34" t="str">
        <f>"*"&amp;ROUND(SUMIFS(RoadTra_BY!AI$2:AI$79,RoadTra_BY!$B$2:$B$79,'Road transport'!$C34,RoadTra_BY!$C$2:$C$79,'Road transport'!$AK34),3)</f>
        <v>*0.38</v>
      </c>
      <c r="AB34" t="str">
        <f>"*"&amp;ROUND(SUMIFS(RoadTra_BY!AJ$2:AJ$79,RoadTra_BY!$B$2:$B$79,'Road transport'!$C34,RoadTra_BY!$C$2:$C$79,'Road transport'!$AK34),3)</f>
        <v>*0.38</v>
      </c>
      <c r="AC34" t="str">
        <f>"*"&amp;ROUND(SUMIFS(RoadTra_BY!AK$2:AK$79,RoadTra_BY!$B$2:$B$79,'Road transport'!$C34,RoadTra_BY!$C$2:$C$79,'Road transport'!$AK34),3)</f>
        <v>*0.38</v>
      </c>
      <c r="AD34" t="str">
        <f>"*"&amp;ROUND(SUMIFS(RoadTra_BY!AL$2:AL$79,RoadTra_BY!$B$2:$B$79,'Road transport'!$C34,RoadTra_BY!$C$2:$C$79,'Road transport'!$AK34),3)</f>
        <v>*0.38</v>
      </c>
      <c r="AE34" t="str">
        <f>"*"&amp;ROUND(SUMIFS(RoadTra_BY!AM$2:AM$79,RoadTra_BY!$B$2:$B$79,'Road transport'!$C34,RoadTra_BY!$C$2:$C$79,'Road transport'!$AK34),3)</f>
        <v>*0.38</v>
      </c>
      <c r="AF34" t="str">
        <f>"*"&amp;ROUND(SUMIFS(RoadTra_BY!AN$2:AN$79,RoadTra_BY!$B$2:$B$79,'Road transport'!$C34,RoadTra_BY!$C$2:$C$79,'Road transport'!$AK34),3)</f>
        <v>*0.38</v>
      </c>
      <c r="AH34" t="str">
        <f t="shared" si="1"/>
        <v>Trd_lcv_*</v>
      </c>
      <c r="AJ34">
        <f t="shared" si="0"/>
        <v>2</v>
      </c>
      <c r="AK34" t="s">
        <v>60</v>
      </c>
    </row>
  </sheetData>
  <sortState xmlns:xlrd2="http://schemas.microsoft.com/office/spreadsheetml/2017/richdata2" ref="AJ29:AK34">
    <sortCondition ref="AJ29:AJ3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F66D-70AC-4022-A7F8-80C95EE757B4}">
  <dimension ref="A1:AO63"/>
  <sheetViews>
    <sheetView topLeftCell="O1" workbookViewId="0">
      <selection activeCell="AN1" sqref="AN1"/>
    </sheetView>
  </sheetViews>
  <sheetFormatPr defaultRowHeight="12.75" x14ac:dyDescent="0.35"/>
  <cols>
    <col min="3" max="3" width="11.59765625" bestFit="1" customWidth="1"/>
    <col min="12" max="28" width="5.265625" customWidth="1"/>
  </cols>
  <sheetData>
    <row r="1" spans="1:41" x14ac:dyDescent="0.35">
      <c r="A1" t="s">
        <v>30</v>
      </c>
      <c r="B1" t="s">
        <v>14</v>
      </c>
      <c r="C1" t="s">
        <v>15</v>
      </c>
      <c r="D1" t="s">
        <v>16</v>
      </c>
      <c r="E1" t="s">
        <v>140</v>
      </c>
      <c r="F1" t="s">
        <v>139</v>
      </c>
      <c r="G1" t="s">
        <v>19</v>
      </c>
      <c r="H1" t="s">
        <v>124</v>
      </c>
      <c r="I1" t="s">
        <v>137</v>
      </c>
      <c r="J1" t="s">
        <v>136</v>
      </c>
      <c r="K1" t="s">
        <v>78</v>
      </c>
      <c r="L1" t="s">
        <v>80</v>
      </c>
      <c r="M1" t="s">
        <v>81</v>
      </c>
      <c r="N1" t="s">
        <v>135</v>
      </c>
      <c r="O1" t="s">
        <v>117</v>
      </c>
      <c r="P1" t="s">
        <v>29</v>
      </c>
      <c r="Q1" t="s">
        <v>125</v>
      </c>
      <c r="R1" t="s">
        <v>119</v>
      </c>
      <c r="S1" t="s">
        <v>120</v>
      </c>
      <c r="T1" t="s">
        <v>13</v>
      </c>
      <c r="U1" t="s">
        <v>122</v>
      </c>
      <c r="V1" t="s">
        <v>123</v>
      </c>
      <c r="W1" t="s">
        <v>20</v>
      </c>
      <c r="X1" t="s">
        <v>134</v>
      </c>
      <c r="Y1" t="s">
        <v>127</v>
      </c>
      <c r="Z1" t="s">
        <v>22</v>
      </c>
      <c r="AA1" t="s">
        <v>31</v>
      </c>
      <c r="AB1" t="s">
        <v>133</v>
      </c>
      <c r="AC1" t="s">
        <v>21</v>
      </c>
      <c r="AD1" t="s">
        <v>17</v>
      </c>
      <c r="AE1" t="s">
        <v>18</v>
      </c>
      <c r="AF1" t="s">
        <v>121</v>
      </c>
      <c r="AG1" t="s">
        <v>138</v>
      </c>
      <c r="AH1" t="s">
        <v>23</v>
      </c>
      <c r="AI1" t="s">
        <v>116</v>
      </c>
      <c r="AJ1" t="s">
        <v>79</v>
      </c>
      <c r="AK1" t="s">
        <v>118</v>
      </c>
      <c r="AL1" t="s">
        <v>28</v>
      </c>
      <c r="AM1" t="s">
        <v>128</v>
      </c>
      <c r="AN1" t="s">
        <v>126</v>
      </c>
      <c r="AO1" t="s">
        <v>141</v>
      </c>
    </row>
    <row r="2" spans="1:41" x14ac:dyDescent="0.35">
      <c r="A2" t="s">
        <v>11</v>
      </c>
      <c r="B2" t="s">
        <v>38</v>
      </c>
      <c r="C2" t="s">
        <v>40</v>
      </c>
      <c r="D2" t="s">
        <v>52</v>
      </c>
      <c r="E2" t="s">
        <v>44</v>
      </c>
      <c r="F2" t="s">
        <v>46</v>
      </c>
      <c r="G2" t="s">
        <v>51</v>
      </c>
      <c r="H2" t="s">
        <v>52</v>
      </c>
      <c r="I2" t="s">
        <v>52</v>
      </c>
      <c r="J2" t="s">
        <v>52</v>
      </c>
      <c r="K2" t="s">
        <v>52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7</v>
      </c>
      <c r="AH2">
        <v>7</v>
      </c>
      <c r="AI2">
        <v>7</v>
      </c>
      <c r="AJ2">
        <v>7</v>
      </c>
      <c r="AK2">
        <v>7</v>
      </c>
      <c r="AL2">
        <v>7</v>
      </c>
      <c r="AM2">
        <v>7</v>
      </c>
      <c r="AN2">
        <v>7</v>
      </c>
      <c r="AO2" t="s">
        <v>52</v>
      </c>
    </row>
    <row r="3" spans="1:41" x14ac:dyDescent="0.35">
      <c r="A3" t="s">
        <v>11</v>
      </c>
      <c r="B3" t="s">
        <v>38</v>
      </c>
      <c r="C3" t="s">
        <v>67</v>
      </c>
      <c r="D3" t="s">
        <v>52</v>
      </c>
      <c r="E3" t="s">
        <v>44</v>
      </c>
      <c r="F3" t="s">
        <v>46</v>
      </c>
      <c r="G3" t="s">
        <v>51</v>
      </c>
      <c r="H3" t="s">
        <v>52</v>
      </c>
      <c r="I3" t="s">
        <v>52</v>
      </c>
      <c r="J3" t="s">
        <v>52</v>
      </c>
      <c r="K3" t="s">
        <v>52</v>
      </c>
      <c r="L3">
        <v>7</v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>
        <v>7</v>
      </c>
      <c r="T3">
        <v>7</v>
      </c>
      <c r="U3">
        <v>7</v>
      </c>
      <c r="V3">
        <v>7</v>
      </c>
      <c r="W3">
        <v>7</v>
      </c>
      <c r="X3">
        <v>7</v>
      </c>
      <c r="Y3">
        <v>7</v>
      </c>
      <c r="Z3">
        <v>7</v>
      </c>
      <c r="AA3">
        <v>7</v>
      </c>
      <c r="AB3">
        <v>7</v>
      </c>
      <c r="AC3">
        <v>7</v>
      </c>
      <c r="AD3">
        <v>7</v>
      </c>
      <c r="AE3">
        <v>7</v>
      </c>
      <c r="AF3">
        <v>7</v>
      </c>
      <c r="AG3">
        <v>7</v>
      </c>
      <c r="AH3">
        <v>7</v>
      </c>
      <c r="AI3">
        <v>7</v>
      </c>
      <c r="AJ3">
        <v>7</v>
      </c>
      <c r="AK3">
        <v>7</v>
      </c>
      <c r="AL3">
        <v>7</v>
      </c>
      <c r="AM3">
        <v>7</v>
      </c>
      <c r="AN3">
        <v>7</v>
      </c>
      <c r="AO3" t="s">
        <v>52</v>
      </c>
    </row>
    <row r="4" spans="1:41" x14ac:dyDescent="0.35">
      <c r="A4" t="s">
        <v>11</v>
      </c>
      <c r="B4" t="s">
        <v>38</v>
      </c>
      <c r="C4" t="s">
        <v>55</v>
      </c>
      <c r="D4" t="s">
        <v>52</v>
      </c>
      <c r="E4" t="s">
        <v>44</v>
      </c>
      <c r="F4" t="s">
        <v>46</v>
      </c>
      <c r="G4" t="s">
        <v>51</v>
      </c>
      <c r="H4" t="s">
        <v>52</v>
      </c>
      <c r="I4" t="s">
        <v>52</v>
      </c>
      <c r="J4" t="s">
        <v>52</v>
      </c>
      <c r="K4" t="s">
        <v>52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15</v>
      </c>
      <c r="V4">
        <v>15</v>
      </c>
      <c r="W4">
        <v>15</v>
      </c>
      <c r="X4">
        <v>15</v>
      </c>
      <c r="Y4">
        <v>15</v>
      </c>
      <c r="Z4">
        <v>15</v>
      </c>
      <c r="AA4">
        <v>15</v>
      </c>
      <c r="AB4">
        <v>15</v>
      </c>
      <c r="AC4">
        <v>15</v>
      </c>
      <c r="AD4">
        <v>15</v>
      </c>
      <c r="AE4">
        <v>15</v>
      </c>
      <c r="AF4">
        <v>15</v>
      </c>
      <c r="AG4">
        <v>15</v>
      </c>
      <c r="AH4">
        <v>15</v>
      </c>
      <c r="AI4">
        <v>15</v>
      </c>
      <c r="AJ4">
        <v>15</v>
      </c>
      <c r="AK4">
        <v>15</v>
      </c>
      <c r="AL4">
        <v>15</v>
      </c>
      <c r="AM4">
        <v>15</v>
      </c>
      <c r="AN4">
        <v>15</v>
      </c>
      <c r="AO4" t="s">
        <v>52</v>
      </c>
    </row>
    <row r="5" spans="1:41" x14ac:dyDescent="0.35">
      <c r="A5" t="s">
        <v>11</v>
      </c>
      <c r="B5" t="s">
        <v>38</v>
      </c>
      <c r="C5" t="s">
        <v>57</v>
      </c>
      <c r="D5" t="s">
        <v>52</v>
      </c>
      <c r="E5" t="s">
        <v>44</v>
      </c>
      <c r="F5" t="s">
        <v>46</v>
      </c>
      <c r="G5" t="s">
        <v>51</v>
      </c>
      <c r="H5" t="s">
        <v>52</v>
      </c>
      <c r="I5" t="s">
        <v>52</v>
      </c>
      <c r="J5" t="s">
        <v>52</v>
      </c>
      <c r="K5" t="s">
        <v>52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 t="s">
        <v>52</v>
      </c>
    </row>
    <row r="6" spans="1:41" x14ac:dyDescent="0.35">
      <c r="A6" t="s">
        <v>11</v>
      </c>
      <c r="B6" t="s">
        <v>38</v>
      </c>
      <c r="C6" t="s">
        <v>54</v>
      </c>
      <c r="D6" t="s">
        <v>52</v>
      </c>
      <c r="E6" t="s">
        <v>44</v>
      </c>
      <c r="F6" t="s">
        <v>46</v>
      </c>
      <c r="G6" t="s">
        <v>51</v>
      </c>
      <c r="H6" t="s">
        <v>52</v>
      </c>
      <c r="I6" t="s">
        <v>52</v>
      </c>
      <c r="J6" t="s">
        <v>52</v>
      </c>
      <c r="K6" t="s">
        <v>52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 t="s">
        <v>52</v>
      </c>
    </row>
    <row r="7" spans="1:41" x14ac:dyDescent="0.35">
      <c r="A7" t="s">
        <v>11</v>
      </c>
      <c r="B7" t="s">
        <v>38</v>
      </c>
      <c r="C7" t="s">
        <v>71</v>
      </c>
      <c r="D7" t="s">
        <v>52</v>
      </c>
      <c r="E7" t="s">
        <v>44</v>
      </c>
      <c r="F7" t="s">
        <v>46</v>
      </c>
      <c r="G7" t="s">
        <v>51</v>
      </c>
      <c r="H7" t="s">
        <v>52</v>
      </c>
      <c r="I7" t="s">
        <v>52</v>
      </c>
      <c r="J7" t="s">
        <v>52</v>
      </c>
      <c r="K7" t="s">
        <v>52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 t="s">
        <v>52</v>
      </c>
    </row>
    <row r="8" spans="1:41" x14ac:dyDescent="0.35">
      <c r="A8" t="s">
        <v>11</v>
      </c>
      <c r="B8" t="s">
        <v>38</v>
      </c>
      <c r="C8" t="s">
        <v>59</v>
      </c>
      <c r="D8" t="s">
        <v>52</v>
      </c>
      <c r="E8" t="s">
        <v>44</v>
      </c>
      <c r="F8" t="s">
        <v>46</v>
      </c>
      <c r="G8" t="s">
        <v>51</v>
      </c>
      <c r="H8" t="s">
        <v>52</v>
      </c>
      <c r="I8" t="s">
        <v>52</v>
      </c>
      <c r="J8" t="s">
        <v>52</v>
      </c>
      <c r="K8" t="s">
        <v>52</v>
      </c>
      <c r="L8">
        <v>35</v>
      </c>
      <c r="M8">
        <v>35</v>
      </c>
      <c r="N8">
        <v>35</v>
      </c>
      <c r="O8">
        <v>35</v>
      </c>
      <c r="P8">
        <v>35</v>
      </c>
      <c r="Q8">
        <v>35</v>
      </c>
      <c r="R8">
        <v>35</v>
      </c>
      <c r="S8">
        <v>35</v>
      </c>
      <c r="T8">
        <v>35</v>
      </c>
      <c r="U8">
        <v>35</v>
      </c>
      <c r="V8">
        <v>35</v>
      </c>
      <c r="W8">
        <v>35</v>
      </c>
      <c r="X8">
        <v>35</v>
      </c>
      <c r="Y8">
        <v>35</v>
      </c>
      <c r="Z8">
        <v>35</v>
      </c>
      <c r="AA8">
        <v>35</v>
      </c>
      <c r="AB8">
        <v>35</v>
      </c>
      <c r="AC8">
        <v>35</v>
      </c>
      <c r="AD8">
        <v>35</v>
      </c>
      <c r="AE8">
        <v>35</v>
      </c>
      <c r="AF8">
        <v>35</v>
      </c>
      <c r="AG8">
        <v>35</v>
      </c>
      <c r="AH8">
        <v>35</v>
      </c>
      <c r="AI8">
        <v>35</v>
      </c>
      <c r="AJ8">
        <v>35</v>
      </c>
      <c r="AK8">
        <v>35</v>
      </c>
      <c r="AL8">
        <v>35</v>
      </c>
      <c r="AM8">
        <v>35</v>
      </c>
      <c r="AN8">
        <v>35</v>
      </c>
      <c r="AO8" t="s">
        <v>52</v>
      </c>
    </row>
    <row r="9" spans="1:41" x14ac:dyDescent="0.35">
      <c r="A9" t="s">
        <v>11</v>
      </c>
      <c r="B9" t="s">
        <v>38</v>
      </c>
      <c r="C9" t="s">
        <v>49</v>
      </c>
      <c r="D9" t="s">
        <v>52</v>
      </c>
      <c r="E9" t="s">
        <v>44</v>
      </c>
      <c r="F9" t="s">
        <v>46</v>
      </c>
      <c r="G9" t="s">
        <v>51</v>
      </c>
      <c r="H9" t="s">
        <v>52</v>
      </c>
      <c r="I9" t="s">
        <v>52</v>
      </c>
      <c r="J9" t="s">
        <v>52</v>
      </c>
      <c r="K9" t="s">
        <v>52</v>
      </c>
      <c r="L9">
        <v>35</v>
      </c>
      <c r="M9">
        <v>35</v>
      </c>
      <c r="N9">
        <v>35</v>
      </c>
      <c r="O9">
        <v>35</v>
      </c>
      <c r="P9">
        <v>35</v>
      </c>
      <c r="Q9">
        <v>35</v>
      </c>
      <c r="R9">
        <v>35</v>
      </c>
      <c r="S9">
        <v>35</v>
      </c>
      <c r="T9">
        <v>35</v>
      </c>
      <c r="U9">
        <v>35</v>
      </c>
      <c r="V9">
        <v>35</v>
      </c>
      <c r="W9">
        <v>35</v>
      </c>
      <c r="X9">
        <v>35</v>
      </c>
      <c r="Y9">
        <v>35</v>
      </c>
      <c r="Z9">
        <v>35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35</v>
      </c>
      <c r="AH9">
        <v>35</v>
      </c>
      <c r="AI9">
        <v>35</v>
      </c>
      <c r="AJ9">
        <v>35</v>
      </c>
      <c r="AK9">
        <v>35</v>
      </c>
      <c r="AL9">
        <v>35</v>
      </c>
      <c r="AM9">
        <v>35</v>
      </c>
      <c r="AN9">
        <v>35</v>
      </c>
      <c r="AO9" t="s">
        <v>52</v>
      </c>
    </row>
    <row r="10" spans="1:41" x14ac:dyDescent="0.35">
      <c r="A10" t="s">
        <v>11</v>
      </c>
      <c r="B10" t="s">
        <v>38</v>
      </c>
      <c r="C10" t="s">
        <v>61</v>
      </c>
      <c r="D10" t="s">
        <v>52</v>
      </c>
      <c r="E10" t="s">
        <v>44</v>
      </c>
      <c r="F10" t="s">
        <v>46</v>
      </c>
      <c r="G10" t="s">
        <v>51</v>
      </c>
      <c r="H10" t="s">
        <v>52</v>
      </c>
      <c r="I10" t="s">
        <v>52</v>
      </c>
      <c r="J10" t="s">
        <v>52</v>
      </c>
      <c r="K10" t="s">
        <v>52</v>
      </c>
      <c r="L10">
        <v>35</v>
      </c>
      <c r="M10">
        <v>35</v>
      </c>
      <c r="N10">
        <v>35</v>
      </c>
      <c r="O10">
        <v>35</v>
      </c>
      <c r="P10">
        <v>35</v>
      </c>
      <c r="Q10">
        <v>35</v>
      </c>
      <c r="R10">
        <v>35</v>
      </c>
      <c r="S10">
        <v>35</v>
      </c>
      <c r="T10">
        <v>35</v>
      </c>
      <c r="U10">
        <v>35</v>
      </c>
      <c r="V10">
        <v>35</v>
      </c>
      <c r="W10">
        <v>35</v>
      </c>
      <c r="X10">
        <v>35</v>
      </c>
      <c r="Y10">
        <v>35</v>
      </c>
      <c r="Z10">
        <v>35</v>
      </c>
      <c r="AA10">
        <v>35</v>
      </c>
      <c r="AB10">
        <v>35</v>
      </c>
      <c r="AC10">
        <v>35</v>
      </c>
      <c r="AD10">
        <v>35</v>
      </c>
      <c r="AE10">
        <v>35</v>
      </c>
      <c r="AF10">
        <v>35</v>
      </c>
      <c r="AG10">
        <v>35</v>
      </c>
      <c r="AH10">
        <v>35</v>
      </c>
      <c r="AI10">
        <v>35</v>
      </c>
      <c r="AJ10">
        <v>35</v>
      </c>
      <c r="AK10">
        <v>35</v>
      </c>
      <c r="AL10">
        <v>35</v>
      </c>
      <c r="AM10">
        <v>35</v>
      </c>
      <c r="AN10">
        <v>35</v>
      </c>
      <c r="AO10" t="s">
        <v>52</v>
      </c>
    </row>
    <row r="11" spans="1:41" x14ac:dyDescent="0.35">
      <c r="A11" t="s">
        <v>11</v>
      </c>
      <c r="B11" t="s">
        <v>38</v>
      </c>
      <c r="C11" t="s">
        <v>43</v>
      </c>
      <c r="D11" t="s">
        <v>52</v>
      </c>
      <c r="E11" t="s">
        <v>44</v>
      </c>
      <c r="F11" t="s">
        <v>46</v>
      </c>
      <c r="G11" t="s">
        <v>51</v>
      </c>
      <c r="H11" t="s">
        <v>52</v>
      </c>
      <c r="I11" t="s">
        <v>52</v>
      </c>
      <c r="J11" t="s">
        <v>52</v>
      </c>
      <c r="K11" t="s">
        <v>52</v>
      </c>
      <c r="L11">
        <v>35</v>
      </c>
      <c r="M11">
        <v>35</v>
      </c>
      <c r="N11">
        <v>35</v>
      </c>
      <c r="O11">
        <v>35</v>
      </c>
      <c r="P11">
        <v>35</v>
      </c>
      <c r="Q11">
        <v>35</v>
      </c>
      <c r="R11">
        <v>35</v>
      </c>
      <c r="S11">
        <v>35</v>
      </c>
      <c r="T11">
        <v>35</v>
      </c>
      <c r="U11">
        <v>35</v>
      </c>
      <c r="V11">
        <v>35</v>
      </c>
      <c r="W11">
        <v>35</v>
      </c>
      <c r="X11">
        <v>35</v>
      </c>
      <c r="Y11">
        <v>35</v>
      </c>
      <c r="Z11">
        <v>35</v>
      </c>
      <c r="AA11">
        <v>35</v>
      </c>
      <c r="AB11">
        <v>35</v>
      </c>
      <c r="AC11">
        <v>35</v>
      </c>
      <c r="AD11">
        <v>35</v>
      </c>
      <c r="AE11">
        <v>35</v>
      </c>
      <c r="AF11">
        <v>35</v>
      </c>
      <c r="AG11">
        <v>35</v>
      </c>
      <c r="AH11">
        <v>35</v>
      </c>
      <c r="AI11">
        <v>35</v>
      </c>
      <c r="AJ11">
        <v>35</v>
      </c>
      <c r="AK11">
        <v>35</v>
      </c>
      <c r="AL11">
        <v>35</v>
      </c>
      <c r="AM11">
        <v>35</v>
      </c>
      <c r="AN11">
        <v>35</v>
      </c>
      <c r="AO11" t="s">
        <v>52</v>
      </c>
    </row>
    <row r="12" spans="1:41" x14ac:dyDescent="0.35">
      <c r="A12" t="s">
        <v>11</v>
      </c>
      <c r="B12" t="s">
        <v>38</v>
      </c>
      <c r="C12" t="s">
        <v>63</v>
      </c>
      <c r="D12" t="s">
        <v>52</v>
      </c>
      <c r="E12" t="s">
        <v>44</v>
      </c>
      <c r="F12" t="s">
        <v>46</v>
      </c>
      <c r="G12" t="s">
        <v>51</v>
      </c>
      <c r="H12" t="s">
        <v>52</v>
      </c>
      <c r="I12" t="s">
        <v>52</v>
      </c>
      <c r="J12" t="s">
        <v>52</v>
      </c>
      <c r="K12" t="s">
        <v>52</v>
      </c>
      <c r="L12">
        <v>35</v>
      </c>
      <c r="M12">
        <v>35</v>
      </c>
      <c r="N12">
        <v>35</v>
      </c>
      <c r="O12">
        <v>35</v>
      </c>
      <c r="P12">
        <v>35</v>
      </c>
      <c r="Q12">
        <v>35</v>
      </c>
      <c r="R12">
        <v>35</v>
      </c>
      <c r="S12">
        <v>35</v>
      </c>
      <c r="T12">
        <v>35</v>
      </c>
      <c r="U12">
        <v>35</v>
      </c>
      <c r="V12">
        <v>35</v>
      </c>
      <c r="W12">
        <v>35</v>
      </c>
      <c r="X12">
        <v>35</v>
      </c>
      <c r="Y12">
        <v>35</v>
      </c>
      <c r="Z12">
        <v>35</v>
      </c>
      <c r="AA12">
        <v>35</v>
      </c>
      <c r="AB12">
        <v>35</v>
      </c>
      <c r="AC12">
        <v>35</v>
      </c>
      <c r="AD12">
        <v>35</v>
      </c>
      <c r="AE12">
        <v>35</v>
      </c>
      <c r="AF12">
        <v>35</v>
      </c>
      <c r="AG12">
        <v>35</v>
      </c>
      <c r="AH12">
        <v>35</v>
      </c>
      <c r="AI12">
        <v>35</v>
      </c>
      <c r="AJ12">
        <v>35</v>
      </c>
      <c r="AK12">
        <v>35</v>
      </c>
      <c r="AL12">
        <v>35</v>
      </c>
      <c r="AM12">
        <v>35</v>
      </c>
      <c r="AN12">
        <v>35</v>
      </c>
      <c r="AO12" t="s">
        <v>52</v>
      </c>
    </row>
    <row r="13" spans="1:41" x14ac:dyDescent="0.35">
      <c r="A13" t="s">
        <v>11</v>
      </c>
      <c r="B13" t="s">
        <v>38</v>
      </c>
      <c r="C13" t="s">
        <v>64</v>
      </c>
      <c r="D13" t="s">
        <v>52</v>
      </c>
      <c r="E13" t="s">
        <v>44</v>
      </c>
      <c r="F13" t="s">
        <v>46</v>
      </c>
      <c r="G13" t="s">
        <v>51</v>
      </c>
      <c r="H13" t="s">
        <v>52</v>
      </c>
      <c r="I13" t="s">
        <v>52</v>
      </c>
      <c r="J13" t="s">
        <v>52</v>
      </c>
      <c r="K13" t="s">
        <v>52</v>
      </c>
      <c r="L13">
        <v>35</v>
      </c>
      <c r="M13">
        <v>35</v>
      </c>
      <c r="N13">
        <v>35</v>
      </c>
      <c r="O13">
        <v>35</v>
      </c>
      <c r="P13">
        <v>35</v>
      </c>
      <c r="Q13">
        <v>35</v>
      </c>
      <c r="R13">
        <v>35</v>
      </c>
      <c r="S13">
        <v>35</v>
      </c>
      <c r="T13">
        <v>35</v>
      </c>
      <c r="U13">
        <v>35</v>
      </c>
      <c r="V13">
        <v>35</v>
      </c>
      <c r="W13">
        <v>35</v>
      </c>
      <c r="X13">
        <v>35</v>
      </c>
      <c r="Y13">
        <v>35</v>
      </c>
      <c r="Z13">
        <v>35</v>
      </c>
      <c r="AA13">
        <v>35</v>
      </c>
      <c r="AB13">
        <v>35</v>
      </c>
      <c r="AC13">
        <v>35</v>
      </c>
      <c r="AD13">
        <v>35</v>
      </c>
      <c r="AE13">
        <v>35</v>
      </c>
      <c r="AF13">
        <v>35</v>
      </c>
      <c r="AG13">
        <v>35</v>
      </c>
      <c r="AH13">
        <v>35</v>
      </c>
      <c r="AI13">
        <v>35</v>
      </c>
      <c r="AJ13">
        <v>35</v>
      </c>
      <c r="AK13">
        <v>35</v>
      </c>
      <c r="AL13">
        <v>35</v>
      </c>
      <c r="AM13">
        <v>35</v>
      </c>
      <c r="AN13">
        <v>35</v>
      </c>
      <c r="AO13" t="s">
        <v>52</v>
      </c>
    </row>
    <row r="14" spans="1:41" x14ac:dyDescent="0.35">
      <c r="A14" t="s">
        <v>11</v>
      </c>
      <c r="B14" t="s">
        <v>38</v>
      </c>
      <c r="C14" t="s">
        <v>47</v>
      </c>
      <c r="D14" t="s">
        <v>52</v>
      </c>
      <c r="E14" t="s">
        <v>44</v>
      </c>
      <c r="F14" t="s">
        <v>46</v>
      </c>
      <c r="G14" t="s">
        <v>51</v>
      </c>
      <c r="H14" t="s">
        <v>52</v>
      </c>
      <c r="I14" t="s">
        <v>52</v>
      </c>
      <c r="J14" t="s">
        <v>52</v>
      </c>
      <c r="K14" t="s">
        <v>52</v>
      </c>
      <c r="L14">
        <v>35</v>
      </c>
      <c r="M14">
        <v>35</v>
      </c>
      <c r="N14">
        <v>35</v>
      </c>
      <c r="O14">
        <v>35</v>
      </c>
      <c r="P14">
        <v>35</v>
      </c>
      <c r="Q14">
        <v>35</v>
      </c>
      <c r="R14">
        <v>35</v>
      </c>
      <c r="S14">
        <v>35</v>
      </c>
      <c r="T14">
        <v>35</v>
      </c>
      <c r="U14">
        <v>35</v>
      </c>
      <c r="V14">
        <v>35</v>
      </c>
      <c r="W14">
        <v>35</v>
      </c>
      <c r="X14">
        <v>35</v>
      </c>
      <c r="Y14">
        <v>35</v>
      </c>
      <c r="Z14">
        <v>35</v>
      </c>
      <c r="AA14">
        <v>35</v>
      </c>
      <c r="AB14">
        <v>35</v>
      </c>
      <c r="AC14">
        <v>35</v>
      </c>
      <c r="AD14">
        <v>35</v>
      </c>
      <c r="AE14">
        <v>35</v>
      </c>
      <c r="AF14">
        <v>35</v>
      </c>
      <c r="AG14">
        <v>35</v>
      </c>
      <c r="AH14">
        <v>35</v>
      </c>
      <c r="AI14">
        <v>35</v>
      </c>
      <c r="AJ14">
        <v>35</v>
      </c>
      <c r="AK14">
        <v>35</v>
      </c>
      <c r="AL14">
        <v>35</v>
      </c>
      <c r="AM14">
        <v>35</v>
      </c>
      <c r="AN14">
        <v>35</v>
      </c>
      <c r="AO14" t="s">
        <v>52</v>
      </c>
    </row>
    <row r="15" spans="1:41" x14ac:dyDescent="0.35">
      <c r="A15" t="s">
        <v>11</v>
      </c>
      <c r="B15" t="s">
        <v>38</v>
      </c>
      <c r="C15" t="s">
        <v>41</v>
      </c>
      <c r="D15" t="s">
        <v>52</v>
      </c>
      <c r="E15" t="s">
        <v>44</v>
      </c>
      <c r="F15" t="s">
        <v>46</v>
      </c>
      <c r="G15" t="s">
        <v>51</v>
      </c>
      <c r="H15" t="s">
        <v>52</v>
      </c>
      <c r="I15" t="s">
        <v>52</v>
      </c>
      <c r="J15" t="s">
        <v>52</v>
      </c>
      <c r="K15" t="s">
        <v>52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18</v>
      </c>
      <c r="U15">
        <v>8</v>
      </c>
      <c r="V15">
        <v>12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18</v>
      </c>
      <c r="AO15" t="s">
        <v>52</v>
      </c>
    </row>
    <row r="16" spans="1:41" x14ac:dyDescent="0.35">
      <c r="A16" t="s">
        <v>11</v>
      </c>
      <c r="B16" t="s">
        <v>38</v>
      </c>
      <c r="C16" t="s">
        <v>24</v>
      </c>
      <c r="D16" t="s">
        <v>52</v>
      </c>
      <c r="E16" t="s">
        <v>44</v>
      </c>
      <c r="F16" t="s">
        <v>46</v>
      </c>
      <c r="G16" t="s">
        <v>51</v>
      </c>
      <c r="H16" t="s">
        <v>52</v>
      </c>
      <c r="I16" t="s">
        <v>52</v>
      </c>
      <c r="J16" t="s">
        <v>52</v>
      </c>
      <c r="K16" t="s">
        <v>52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12</v>
      </c>
      <c r="T16">
        <v>18</v>
      </c>
      <c r="U16">
        <v>8</v>
      </c>
      <c r="V16">
        <v>12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>
        <v>12</v>
      </c>
      <c r="AK16">
        <v>12</v>
      </c>
      <c r="AL16">
        <v>12</v>
      </c>
      <c r="AM16">
        <v>12</v>
      </c>
      <c r="AN16">
        <v>18</v>
      </c>
      <c r="AO16" t="s">
        <v>52</v>
      </c>
    </row>
    <row r="17" spans="1:41" x14ac:dyDescent="0.35">
      <c r="A17" t="s">
        <v>11</v>
      </c>
      <c r="B17" t="s">
        <v>38</v>
      </c>
      <c r="C17" t="s">
        <v>58</v>
      </c>
      <c r="D17" t="s">
        <v>52</v>
      </c>
      <c r="E17" t="s">
        <v>44</v>
      </c>
      <c r="F17" t="s">
        <v>46</v>
      </c>
      <c r="G17" t="s">
        <v>51</v>
      </c>
      <c r="H17" t="s">
        <v>52</v>
      </c>
      <c r="I17" t="s">
        <v>52</v>
      </c>
      <c r="J17" t="s">
        <v>52</v>
      </c>
      <c r="K17" t="s">
        <v>52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18</v>
      </c>
      <c r="U17">
        <v>8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>
        <v>12</v>
      </c>
      <c r="AK17">
        <v>12</v>
      </c>
      <c r="AL17">
        <v>12</v>
      </c>
      <c r="AM17">
        <v>12</v>
      </c>
      <c r="AN17">
        <v>18</v>
      </c>
      <c r="AO17" t="s">
        <v>52</v>
      </c>
    </row>
    <row r="18" spans="1:41" x14ac:dyDescent="0.35">
      <c r="A18" t="s">
        <v>11</v>
      </c>
      <c r="B18" t="s">
        <v>38</v>
      </c>
      <c r="C18" t="s">
        <v>69</v>
      </c>
      <c r="D18" t="s">
        <v>52</v>
      </c>
      <c r="E18" t="s">
        <v>44</v>
      </c>
      <c r="F18" t="s">
        <v>46</v>
      </c>
      <c r="G18" t="s">
        <v>51</v>
      </c>
      <c r="H18" t="s">
        <v>52</v>
      </c>
      <c r="I18" t="s">
        <v>52</v>
      </c>
      <c r="J18" t="s">
        <v>52</v>
      </c>
      <c r="K18" t="s">
        <v>52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18</v>
      </c>
      <c r="U18">
        <v>8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12</v>
      </c>
      <c r="AH18">
        <v>12</v>
      </c>
      <c r="AI18">
        <v>12</v>
      </c>
      <c r="AJ18">
        <v>12</v>
      </c>
      <c r="AK18">
        <v>12</v>
      </c>
      <c r="AL18">
        <v>12</v>
      </c>
      <c r="AM18">
        <v>12</v>
      </c>
      <c r="AN18">
        <v>18</v>
      </c>
      <c r="AO18" t="s">
        <v>52</v>
      </c>
    </row>
    <row r="19" spans="1:41" x14ac:dyDescent="0.35">
      <c r="A19" t="s">
        <v>11</v>
      </c>
      <c r="B19" t="s">
        <v>38</v>
      </c>
      <c r="C19" t="s">
        <v>45</v>
      </c>
      <c r="D19" t="s">
        <v>52</v>
      </c>
      <c r="E19" t="s">
        <v>44</v>
      </c>
      <c r="F19" t="s">
        <v>46</v>
      </c>
      <c r="G19" t="s">
        <v>51</v>
      </c>
      <c r="H19" t="s">
        <v>52</v>
      </c>
      <c r="I19" t="s">
        <v>52</v>
      </c>
      <c r="J19" t="s">
        <v>52</v>
      </c>
      <c r="K19" t="s">
        <v>52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18</v>
      </c>
      <c r="U19">
        <v>8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18</v>
      </c>
      <c r="AO19" t="s">
        <v>52</v>
      </c>
    </row>
    <row r="20" spans="1:41" x14ac:dyDescent="0.35">
      <c r="A20" t="s">
        <v>11</v>
      </c>
      <c r="B20" t="s">
        <v>38</v>
      </c>
      <c r="C20" t="s">
        <v>25</v>
      </c>
      <c r="D20" t="s">
        <v>52</v>
      </c>
      <c r="E20" t="s">
        <v>44</v>
      </c>
      <c r="F20" t="s">
        <v>46</v>
      </c>
      <c r="G20" t="s">
        <v>51</v>
      </c>
      <c r="H20" t="s">
        <v>52</v>
      </c>
      <c r="I20" t="s">
        <v>52</v>
      </c>
      <c r="J20" t="s">
        <v>52</v>
      </c>
      <c r="K20" t="s">
        <v>52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18</v>
      </c>
      <c r="U20">
        <v>8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>
        <v>12</v>
      </c>
      <c r="AK20">
        <v>12</v>
      </c>
      <c r="AL20">
        <v>12</v>
      </c>
      <c r="AM20">
        <v>12</v>
      </c>
      <c r="AN20">
        <v>18</v>
      </c>
      <c r="AO20" t="s">
        <v>52</v>
      </c>
    </row>
    <row r="21" spans="1:41" x14ac:dyDescent="0.35">
      <c r="A21" t="s">
        <v>11</v>
      </c>
      <c r="B21" t="s">
        <v>38</v>
      </c>
      <c r="C21" t="s">
        <v>62</v>
      </c>
      <c r="D21" t="s">
        <v>52</v>
      </c>
      <c r="E21" t="s">
        <v>44</v>
      </c>
      <c r="F21" t="s">
        <v>46</v>
      </c>
      <c r="G21" t="s">
        <v>51</v>
      </c>
      <c r="H21" t="s">
        <v>52</v>
      </c>
      <c r="I21" t="s">
        <v>52</v>
      </c>
      <c r="J21" t="s">
        <v>52</v>
      </c>
      <c r="K21" t="s">
        <v>52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18</v>
      </c>
      <c r="U21">
        <v>8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>
        <v>12</v>
      </c>
      <c r="AK21">
        <v>12</v>
      </c>
      <c r="AL21">
        <v>12</v>
      </c>
      <c r="AM21">
        <v>12</v>
      </c>
      <c r="AN21">
        <v>18</v>
      </c>
      <c r="AO21" t="s">
        <v>52</v>
      </c>
    </row>
    <row r="22" spans="1:41" x14ac:dyDescent="0.35">
      <c r="A22" t="s">
        <v>11</v>
      </c>
      <c r="B22" t="s">
        <v>38</v>
      </c>
      <c r="C22" t="s">
        <v>50</v>
      </c>
      <c r="D22" t="s">
        <v>52</v>
      </c>
      <c r="E22" t="s">
        <v>44</v>
      </c>
      <c r="F22" t="s">
        <v>46</v>
      </c>
      <c r="G22" t="s">
        <v>51</v>
      </c>
      <c r="H22" t="s">
        <v>52</v>
      </c>
      <c r="I22" t="s">
        <v>52</v>
      </c>
      <c r="J22" t="s">
        <v>52</v>
      </c>
      <c r="K22" t="s">
        <v>52</v>
      </c>
      <c r="L22">
        <v>50</v>
      </c>
      <c r="M22">
        <v>50</v>
      </c>
      <c r="N22">
        <v>50</v>
      </c>
      <c r="O22">
        <v>50</v>
      </c>
      <c r="P22">
        <v>50</v>
      </c>
      <c r="Q22">
        <v>50</v>
      </c>
      <c r="R22">
        <v>50</v>
      </c>
      <c r="S22">
        <v>50</v>
      </c>
      <c r="T22">
        <v>50</v>
      </c>
      <c r="U22">
        <v>50</v>
      </c>
      <c r="V22">
        <v>50</v>
      </c>
      <c r="W22">
        <v>50</v>
      </c>
      <c r="X22">
        <v>50</v>
      </c>
      <c r="Y22">
        <v>50</v>
      </c>
      <c r="Z22">
        <v>50</v>
      </c>
      <c r="AA22">
        <v>50</v>
      </c>
      <c r="AB22">
        <v>50</v>
      </c>
      <c r="AC22">
        <v>50</v>
      </c>
      <c r="AD22">
        <v>50</v>
      </c>
      <c r="AE22">
        <v>50</v>
      </c>
      <c r="AF22">
        <v>50</v>
      </c>
      <c r="AG22">
        <v>50</v>
      </c>
      <c r="AH22">
        <v>50</v>
      </c>
      <c r="AI22">
        <v>50</v>
      </c>
      <c r="AJ22">
        <v>50</v>
      </c>
      <c r="AK22">
        <v>50</v>
      </c>
      <c r="AL22">
        <v>50</v>
      </c>
      <c r="AM22">
        <v>50</v>
      </c>
      <c r="AN22">
        <v>50</v>
      </c>
      <c r="AO22" t="s">
        <v>52</v>
      </c>
    </row>
    <row r="23" spans="1:41" x14ac:dyDescent="0.35">
      <c r="A23" t="s">
        <v>11</v>
      </c>
      <c r="B23" t="s">
        <v>38</v>
      </c>
      <c r="C23" t="s">
        <v>56</v>
      </c>
      <c r="D23" t="s">
        <v>52</v>
      </c>
      <c r="E23" t="s">
        <v>44</v>
      </c>
      <c r="F23" t="s">
        <v>46</v>
      </c>
      <c r="G23" t="s">
        <v>51</v>
      </c>
      <c r="H23" t="s">
        <v>52</v>
      </c>
      <c r="I23" t="s">
        <v>52</v>
      </c>
      <c r="J23" t="s">
        <v>52</v>
      </c>
      <c r="K23" t="s">
        <v>52</v>
      </c>
      <c r="L23">
        <v>50</v>
      </c>
      <c r="M23">
        <v>50</v>
      </c>
      <c r="N23">
        <v>50</v>
      </c>
      <c r="O23">
        <v>50</v>
      </c>
      <c r="P23">
        <v>50</v>
      </c>
      <c r="Q23">
        <v>50</v>
      </c>
      <c r="R23">
        <v>50</v>
      </c>
      <c r="S23">
        <v>50</v>
      </c>
      <c r="T23">
        <v>50</v>
      </c>
      <c r="U23">
        <v>50</v>
      </c>
      <c r="V23">
        <v>50</v>
      </c>
      <c r="W23">
        <v>50</v>
      </c>
      <c r="X23">
        <v>50</v>
      </c>
      <c r="Y23">
        <v>50</v>
      </c>
      <c r="Z23">
        <v>50</v>
      </c>
      <c r="AA23">
        <v>50</v>
      </c>
      <c r="AB23">
        <v>50</v>
      </c>
      <c r="AC23">
        <v>50</v>
      </c>
      <c r="AD23">
        <v>50</v>
      </c>
      <c r="AE23">
        <v>50</v>
      </c>
      <c r="AF23">
        <v>50</v>
      </c>
      <c r="AG23">
        <v>50</v>
      </c>
      <c r="AH23">
        <v>50</v>
      </c>
      <c r="AI23">
        <v>50</v>
      </c>
      <c r="AJ23">
        <v>50</v>
      </c>
      <c r="AK23">
        <v>50</v>
      </c>
      <c r="AL23">
        <v>50</v>
      </c>
      <c r="AM23">
        <v>50</v>
      </c>
      <c r="AN23">
        <v>50</v>
      </c>
      <c r="AO23" t="s">
        <v>52</v>
      </c>
    </row>
    <row r="24" spans="1:41" x14ac:dyDescent="0.35">
      <c r="A24" t="s">
        <v>11</v>
      </c>
      <c r="B24" t="s">
        <v>38</v>
      </c>
      <c r="C24" t="s">
        <v>129</v>
      </c>
      <c r="D24" t="s">
        <v>52</v>
      </c>
      <c r="E24" t="s">
        <v>44</v>
      </c>
      <c r="F24" t="s">
        <v>46</v>
      </c>
      <c r="G24" t="s">
        <v>51</v>
      </c>
      <c r="H24" t="s">
        <v>52</v>
      </c>
      <c r="I24" t="s">
        <v>52</v>
      </c>
      <c r="J24" t="s">
        <v>52</v>
      </c>
      <c r="K24" t="s">
        <v>52</v>
      </c>
      <c r="L24">
        <v>50</v>
      </c>
      <c r="M24">
        <v>50</v>
      </c>
      <c r="N24">
        <v>50</v>
      </c>
      <c r="O24">
        <v>50</v>
      </c>
      <c r="P24">
        <v>50</v>
      </c>
      <c r="Q24">
        <v>50</v>
      </c>
      <c r="R24">
        <v>50</v>
      </c>
      <c r="S24">
        <v>50</v>
      </c>
      <c r="T24">
        <v>50</v>
      </c>
      <c r="U24">
        <v>50</v>
      </c>
      <c r="V24">
        <v>50</v>
      </c>
      <c r="W24">
        <v>50</v>
      </c>
      <c r="X24">
        <v>50</v>
      </c>
      <c r="Y24">
        <v>50</v>
      </c>
      <c r="Z24">
        <v>50</v>
      </c>
      <c r="AA24">
        <v>50</v>
      </c>
      <c r="AB24">
        <v>50</v>
      </c>
      <c r="AC24">
        <v>50</v>
      </c>
      <c r="AD24">
        <v>50</v>
      </c>
      <c r="AE24">
        <v>50</v>
      </c>
      <c r="AF24">
        <v>50</v>
      </c>
      <c r="AG24">
        <v>50</v>
      </c>
      <c r="AH24">
        <v>50</v>
      </c>
      <c r="AI24">
        <v>50</v>
      </c>
      <c r="AJ24">
        <v>50</v>
      </c>
      <c r="AK24">
        <v>50</v>
      </c>
      <c r="AL24">
        <v>50</v>
      </c>
      <c r="AM24">
        <v>50</v>
      </c>
      <c r="AN24">
        <v>50</v>
      </c>
      <c r="AO24" t="s">
        <v>52</v>
      </c>
    </row>
    <row r="25" spans="1:41" x14ac:dyDescent="0.35">
      <c r="A25" t="s">
        <v>11</v>
      </c>
      <c r="B25" t="s">
        <v>38</v>
      </c>
      <c r="C25" t="s">
        <v>65</v>
      </c>
      <c r="D25" t="s">
        <v>52</v>
      </c>
      <c r="E25" t="s">
        <v>44</v>
      </c>
      <c r="F25" t="s">
        <v>46</v>
      </c>
      <c r="G25" t="s">
        <v>51</v>
      </c>
      <c r="H25" t="s">
        <v>52</v>
      </c>
      <c r="I25" t="s">
        <v>52</v>
      </c>
      <c r="J25" t="s">
        <v>52</v>
      </c>
      <c r="K25" t="s">
        <v>52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  <c r="AM25">
        <v>50</v>
      </c>
      <c r="AN25">
        <v>50</v>
      </c>
      <c r="AO25" t="s">
        <v>52</v>
      </c>
    </row>
    <row r="26" spans="1:41" x14ac:dyDescent="0.35">
      <c r="A26" t="s">
        <v>11</v>
      </c>
      <c r="B26" t="s">
        <v>38</v>
      </c>
      <c r="C26" t="s">
        <v>53</v>
      </c>
      <c r="D26" t="s">
        <v>52</v>
      </c>
      <c r="E26" t="s">
        <v>44</v>
      </c>
      <c r="F26" t="s">
        <v>46</v>
      </c>
      <c r="G26" t="s">
        <v>51</v>
      </c>
      <c r="H26" t="s">
        <v>52</v>
      </c>
      <c r="I26" t="s">
        <v>52</v>
      </c>
      <c r="J26" t="s">
        <v>52</v>
      </c>
      <c r="K26" t="s">
        <v>52</v>
      </c>
      <c r="L26">
        <v>25</v>
      </c>
      <c r="M26">
        <v>25</v>
      </c>
      <c r="N26">
        <v>25</v>
      </c>
      <c r="O26">
        <v>25</v>
      </c>
      <c r="P26">
        <v>25</v>
      </c>
      <c r="Q26">
        <v>25</v>
      </c>
      <c r="R26">
        <v>25</v>
      </c>
      <c r="S26">
        <v>25</v>
      </c>
      <c r="T26">
        <v>25</v>
      </c>
      <c r="U26">
        <v>25</v>
      </c>
      <c r="V26">
        <v>25</v>
      </c>
      <c r="W26">
        <v>25</v>
      </c>
      <c r="X26">
        <v>25</v>
      </c>
      <c r="Y26">
        <v>25</v>
      </c>
      <c r="Z26">
        <v>25</v>
      </c>
      <c r="AA26">
        <v>25</v>
      </c>
      <c r="AB26">
        <v>25</v>
      </c>
      <c r="AC26">
        <v>25</v>
      </c>
      <c r="AD26">
        <v>25</v>
      </c>
      <c r="AE26">
        <v>25</v>
      </c>
      <c r="AF26">
        <v>25</v>
      </c>
      <c r="AG26">
        <v>25</v>
      </c>
      <c r="AH26">
        <v>25</v>
      </c>
      <c r="AI26">
        <v>25</v>
      </c>
      <c r="AJ26">
        <v>25</v>
      </c>
      <c r="AK26">
        <v>25</v>
      </c>
      <c r="AL26">
        <v>25</v>
      </c>
      <c r="AM26">
        <v>25</v>
      </c>
      <c r="AN26">
        <v>25</v>
      </c>
      <c r="AO26" t="s">
        <v>52</v>
      </c>
    </row>
    <row r="27" spans="1:41" x14ac:dyDescent="0.35">
      <c r="A27" t="s">
        <v>11</v>
      </c>
      <c r="B27" t="s">
        <v>38</v>
      </c>
      <c r="C27" t="s">
        <v>60</v>
      </c>
      <c r="D27" t="s">
        <v>52</v>
      </c>
      <c r="E27" t="s">
        <v>44</v>
      </c>
      <c r="F27" t="s">
        <v>46</v>
      </c>
      <c r="G27" t="s">
        <v>51</v>
      </c>
      <c r="H27" t="s">
        <v>52</v>
      </c>
      <c r="I27" t="s">
        <v>52</v>
      </c>
      <c r="J27" t="s">
        <v>52</v>
      </c>
      <c r="K27" t="s">
        <v>52</v>
      </c>
      <c r="L27">
        <v>25</v>
      </c>
      <c r="M27">
        <v>25</v>
      </c>
      <c r="N27">
        <v>25</v>
      </c>
      <c r="O27">
        <v>25</v>
      </c>
      <c r="P27">
        <v>25</v>
      </c>
      <c r="Q27">
        <v>25</v>
      </c>
      <c r="R27">
        <v>25</v>
      </c>
      <c r="S27">
        <v>25</v>
      </c>
      <c r="T27">
        <v>25</v>
      </c>
      <c r="U27">
        <v>25</v>
      </c>
      <c r="V27">
        <v>25</v>
      </c>
      <c r="W27">
        <v>25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25</v>
      </c>
      <c r="AE27">
        <v>25</v>
      </c>
      <c r="AF27">
        <v>25</v>
      </c>
      <c r="AG27">
        <v>25</v>
      </c>
      <c r="AH27">
        <v>25</v>
      </c>
      <c r="AI27">
        <v>25</v>
      </c>
      <c r="AJ27">
        <v>25</v>
      </c>
      <c r="AK27">
        <v>25</v>
      </c>
      <c r="AL27">
        <v>25</v>
      </c>
      <c r="AM27">
        <v>25</v>
      </c>
      <c r="AN27">
        <v>25</v>
      </c>
      <c r="AO27" t="s">
        <v>52</v>
      </c>
    </row>
    <row r="28" spans="1:41" x14ac:dyDescent="0.35">
      <c r="A28" t="s">
        <v>11</v>
      </c>
      <c r="B28" t="s">
        <v>38</v>
      </c>
      <c r="C28" t="s">
        <v>66</v>
      </c>
      <c r="D28" t="s">
        <v>52</v>
      </c>
      <c r="E28" t="s">
        <v>44</v>
      </c>
      <c r="F28" t="s">
        <v>46</v>
      </c>
      <c r="G28" t="s">
        <v>51</v>
      </c>
      <c r="H28" t="s">
        <v>52</v>
      </c>
      <c r="I28" t="s">
        <v>52</v>
      </c>
      <c r="J28" t="s">
        <v>52</v>
      </c>
      <c r="K28" t="s">
        <v>52</v>
      </c>
      <c r="L28">
        <v>25</v>
      </c>
      <c r="M28">
        <v>25</v>
      </c>
      <c r="N28">
        <v>25</v>
      </c>
      <c r="O28">
        <v>25</v>
      </c>
      <c r="P28">
        <v>25</v>
      </c>
      <c r="Q28">
        <v>25</v>
      </c>
      <c r="R28">
        <v>25</v>
      </c>
      <c r="S28">
        <v>25</v>
      </c>
      <c r="T28">
        <v>25</v>
      </c>
      <c r="U28">
        <v>25</v>
      </c>
      <c r="V28">
        <v>25</v>
      </c>
      <c r="W28">
        <v>25</v>
      </c>
      <c r="X28">
        <v>25</v>
      </c>
      <c r="Y28">
        <v>25</v>
      </c>
      <c r="Z28">
        <v>25</v>
      </c>
      <c r="AA28">
        <v>25</v>
      </c>
      <c r="AB28">
        <v>25</v>
      </c>
      <c r="AC28">
        <v>25</v>
      </c>
      <c r="AD28">
        <v>25</v>
      </c>
      <c r="AE28">
        <v>25</v>
      </c>
      <c r="AF28">
        <v>25</v>
      </c>
      <c r="AG28">
        <v>25</v>
      </c>
      <c r="AH28">
        <v>25</v>
      </c>
      <c r="AI28">
        <v>25</v>
      </c>
      <c r="AJ28">
        <v>25</v>
      </c>
      <c r="AK28">
        <v>25</v>
      </c>
      <c r="AL28">
        <v>25</v>
      </c>
      <c r="AM28">
        <v>25</v>
      </c>
      <c r="AN28">
        <v>25</v>
      </c>
      <c r="AO28" t="s">
        <v>52</v>
      </c>
    </row>
    <row r="29" spans="1:41" x14ac:dyDescent="0.35">
      <c r="A29" t="s">
        <v>11</v>
      </c>
      <c r="B29" t="s">
        <v>38</v>
      </c>
      <c r="C29" t="s">
        <v>68</v>
      </c>
      <c r="D29" t="s">
        <v>52</v>
      </c>
      <c r="E29" t="s">
        <v>44</v>
      </c>
      <c r="F29" t="s">
        <v>46</v>
      </c>
      <c r="G29" t="s">
        <v>51</v>
      </c>
      <c r="H29" t="s">
        <v>52</v>
      </c>
      <c r="I29" t="s">
        <v>52</v>
      </c>
      <c r="J29" t="s">
        <v>52</v>
      </c>
      <c r="K29" t="s">
        <v>52</v>
      </c>
      <c r="L29">
        <v>25</v>
      </c>
      <c r="M29">
        <v>25</v>
      </c>
      <c r="N29">
        <v>25</v>
      </c>
      <c r="O29">
        <v>25</v>
      </c>
      <c r="P29">
        <v>25</v>
      </c>
      <c r="Q29">
        <v>25</v>
      </c>
      <c r="R29">
        <v>25</v>
      </c>
      <c r="S29">
        <v>25</v>
      </c>
      <c r="T29">
        <v>25</v>
      </c>
      <c r="U29">
        <v>25</v>
      </c>
      <c r="V29">
        <v>25</v>
      </c>
      <c r="W29">
        <v>25</v>
      </c>
      <c r="X29">
        <v>25</v>
      </c>
      <c r="Y29">
        <v>25</v>
      </c>
      <c r="Z29">
        <v>25</v>
      </c>
      <c r="AA29">
        <v>25</v>
      </c>
      <c r="AB29">
        <v>25</v>
      </c>
      <c r="AC29">
        <v>25</v>
      </c>
      <c r="AD29">
        <v>25</v>
      </c>
      <c r="AE29">
        <v>25</v>
      </c>
      <c r="AF29">
        <v>25</v>
      </c>
      <c r="AG29">
        <v>25</v>
      </c>
      <c r="AH29">
        <v>25</v>
      </c>
      <c r="AI29">
        <v>25</v>
      </c>
      <c r="AJ29">
        <v>25</v>
      </c>
      <c r="AK29">
        <v>25</v>
      </c>
      <c r="AL29">
        <v>25</v>
      </c>
      <c r="AM29">
        <v>25</v>
      </c>
      <c r="AN29">
        <v>25</v>
      </c>
      <c r="AO29" t="s">
        <v>52</v>
      </c>
    </row>
    <row r="30" spans="1:41" x14ac:dyDescent="0.35">
      <c r="A30" t="s">
        <v>11</v>
      </c>
      <c r="B30" t="s">
        <v>38</v>
      </c>
      <c r="C30" t="s">
        <v>42</v>
      </c>
      <c r="D30" t="s">
        <v>52</v>
      </c>
      <c r="E30" t="s">
        <v>44</v>
      </c>
      <c r="F30" t="s">
        <v>46</v>
      </c>
      <c r="G30" t="s">
        <v>51</v>
      </c>
      <c r="H30" t="s">
        <v>52</v>
      </c>
      <c r="I30" t="s">
        <v>52</v>
      </c>
      <c r="J30" t="s">
        <v>52</v>
      </c>
      <c r="K30" t="s">
        <v>52</v>
      </c>
      <c r="L30">
        <v>25</v>
      </c>
      <c r="M30">
        <v>25</v>
      </c>
      <c r="N30">
        <v>25</v>
      </c>
      <c r="O30">
        <v>25</v>
      </c>
      <c r="P30">
        <v>25</v>
      </c>
      <c r="Q30">
        <v>25</v>
      </c>
      <c r="R30">
        <v>25</v>
      </c>
      <c r="S30">
        <v>25</v>
      </c>
      <c r="T30">
        <v>25</v>
      </c>
      <c r="U30">
        <v>25</v>
      </c>
      <c r="V30">
        <v>25</v>
      </c>
      <c r="W30">
        <v>25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25</v>
      </c>
      <c r="AE30">
        <v>25</v>
      </c>
      <c r="AF30">
        <v>25</v>
      </c>
      <c r="AG30">
        <v>25</v>
      </c>
      <c r="AH30">
        <v>25</v>
      </c>
      <c r="AI30">
        <v>25</v>
      </c>
      <c r="AJ30">
        <v>25</v>
      </c>
      <c r="AK30">
        <v>25</v>
      </c>
      <c r="AL30">
        <v>25</v>
      </c>
      <c r="AM30">
        <v>25</v>
      </c>
      <c r="AN30">
        <v>25</v>
      </c>
      <c r="AO30" t="s">
        <v>52</v>
      </c>
    </row>
    <row r="31" spans="1:41" x14ac:dyDescent="0.35">
      <c r="A31" t="s">
        <v>11</v>
      </c>
      <c r="B31" t="s">
        <v>38</v>
      </c>
      <c r="C31" t="s">
        <v>70</v>
      </c>
      <c r="D31" t="s">
        <v>52</v>
      </c>
      <c r="E31" t="s">
        <v>44</v>
      </c>
      <c r="F31" t="s">
        <v>46</v>
      </c>
      <c r="G31" t="s">
        <v>51</v>
      </c>
      <c r="H31" t="s">
        <v>52</v>
      </c>
      <c r="I31" t="s">
        <v>52</v>
      </c>
      <c r="J31" t="s">
        <v>52</v>
      </c>
      <c r="K31" t="s">
        <v>52</v>
      </c>
      <c r="L31">
        <v>25</v>
      </c>
      <c r="M31">
        <v>25</v>
      </c>
      <c r="N31">
        <v>25</v>
      </c>
      <c r="O31">
        <v>25</v>
      </c>
      <c r="P31">
        <v>25</v>
      </c>
      <c r="Q31">
        <v>25</v>
      </c>
      <c r="R31">
        <v>25</v>
      </c>
      <c r="S31">
        <v>25</v>
      </c>
      <c r="T31">
        <v>25</v>
      </c>
      <c r="U31">
        <v>25</v>
      </c>
      <c r="V31">
        <v>25</v>
      </c>
      <c r="W31">
        <v>25</v>
      </c>
      <c r="X31">
        <v>25</v>
      </c>
      <c r="Y31">
        <v>25</v>
      </c>
      <c r="Z31">
        <v>25</v>
      </c>
      <c r="AA31">
        <v>25</v>
      </c>
      <c r="AB31">
        <v>25</v>
      </c>
      <c r="AC31">
        <v>25</v>
      </c>
      <c r="AD31">
        <v>25</v>
      </c>
      <c r="AE31">
        <v>25</v>
      </c>
      <c r="AF31">
        <v>25</v>
      </c>
      <c r="AG31">
        <v>25</v>
      </c>
      <c r="AH31">
        <v>25</v>
      </c>
      <c r="AI31">
        <v>25</v>
      </c>
      <c r="AJ31">
        <v>25</v>
      </c>
      <c r="AK31">
        <v>25</v>
      </c>
      <c r="AL31">
        <v>25</v>
      </c>
      <c r="AM31">
        <v>25</v>
      </c>
      <c r="AN31">
        <v>25</v>
      </c>
      <c r="AO31" t="s">
        <v>52</v>
      </c>
    </row>
    <row r="32" spans="1:41" x14ac:dyDescent="0.35">
      <c r="A32" t="s">
        <v>11</v>
      </c>
      <c r="B32" t="s">
        <v>38</v>
      </c>
      <c r="C32" t="s">
        <v>48</v>
      </c>
      <c r="D32" t="s">
        <v>52</v>
      </c>
      <c r="E32" t="s">
        <v>44</v>
      </c>
      <c r="F32" t="s">
        <v>46</v>
      </c>
      <c r="G32" t="s">
        <v>51</v>
      </c>
      <c r="H32" t="s">
        <v>52</v>
      </c>
      <c r="I32" t="s">
        <v>52</v>
      </c>
      <c r="J32" t="s">
        <v>52</v>
      </c>
      <c r="K32" t="s">
        <v>52</v>
      </c>
      <c r="L32">
        <v>25</v>
      </c>
      <c r="M32">
        <v>25</v>
      </c>
      <c r="N32">
        <v>25</v>
      </c>
      <c r="O32">
        <v>25</v>
      </c>
      <c r="P32">
        <v>25</v>
      </c>
      <c r="Q32">
        <v>25</v>
      </c>
      <c r="R32">
        <v>25</v>
      </c>
      <c r="S32">
        <v>25</v>
      </c>
      <c r="T32">
        <v>25</v>
      </c>
      <c r="U32">
        <v>25</v>
      </c>
      <c r="V32">
        <v>25</v>
      </c>
      <c r="W32">
        <v>25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25</v>
      </c>
      <c r="AE32">
        <v>25</v>
      </c>
      <c r="AF32">
        <v>25</v>
      </c>
      <c r="AG32">
        <v>25</v>
      </c>
      <c r="AH32">
        <v>25</v>
      </c>
      <c r="AI32">
        <v>25</v>
      </c>
      <c r="AJ32">
        <v>25</v>
      </c>
      <c r="AK32">
        <v>25</v>
      </c>
      <c r="AL32">
        <v>25</v>
      </c>
      <c r="AM32">
        <v>25</v>
      </c>
      <c r="AN32">
        <v>25</v>
      </c>
      <c r="AO32" t="s">
        <v>52</v>
      </c>
    </row>
    <row r="33" spans="1:41" x14ac:dyDescent="0.35">
      <c r="A33" t="s">
        <v>11</v>
      </c>
      <c r="B33" t="s">
        <v>39</v>
      </c>
      <c r="C33" t="s">
        <v>40</v>
      </c>
      <c r="D33" t="s">
        <v>52</v>
      </c>
      <c r="E33" t="s">
        <v>52</v>
      </c>
      <c r="F33" t="s">
        <v>46</v>
      </c>
      <c r="G33" t="s">
        <v>51</v>
      </c>
      <c r="H33" t="s">
        <v>52</v>
      </c>
      <c r="I33" t="s">
        <v>52</v>
      </c>
      <c r="J33" t="s">
        <v>52</v>
      </c>
      <c r="K33" t="s">
        <v>52</v>
      </c>
      <c r="L33">
        <v>0.99</v>
      </c>
      <c r="M33">
        <v>0.99</v>
      </c>
      <c r="N33">
        <v>0.99</v>
      </c>
      <c r="O33">
        <v>0.99</v>
      </c>
      <c r="P33">
        <v>0.99</v>
      </c>
      <c r="Q33">
        <v>0.99</v>
      </c>
      <c r="R33">
        <v>0.99</v>
      </c>
      <c r="S33">
        <v>0.99</v>
      </c>
      <c r="T33">
        <v>0.99</v>
      </c>
      <c r="U33">
        <v>0.99</v>
      </c>
      <c r="V33">
        <v>0.99</v>
      </c>
      <c r="W33">
        <v>0.99</v>
      </c>
      <c r="X33">
        <v>0.99</v>
      </c>
      <c r="Y33">
        <v>0.99</v>
      </c>
      <c r="Z33">
        <v>0.99</v>
      </c>
      <c r="AA33">
        <v>0.99</v>
      </c>
      <c r="AB33">
        <v>0.99</v>
      </c>
      <c r="AC33">
        <v>0.99</v>
      </c>
      <c r="AD33">
        <v>0.99</v>
      </c>
      <c r="AE33">
        <v>0.99</v>
      </c>
      <c r="AF33">
        <v>0.99</v>
      </c>
      <c r="AG33">
        <v>0.99</v>
      </c>
      <c r="AH33">
        <v>0.99</v>
      </c>
      <c r="AI33">
        <v>0.99</v>
      </c>
      <c r="AJ33">
        <v>0.99</v>
      </c>
      <c r="AK33">
        <v>0.99</v>
      </c>
      <c r="AL33">
        <v>0.99</v>
      </c>
      <c r="AM33">
        <v>0.99</v>
      </c>
      <c r="AN33">
        <v>0.99</v>
      </c>
      <c r="AO33" t="s">
        <v>52</v>
      </c>
    </row>
    <row r="34" spans="1:41" x14ac:dyDescent="0.35">
      <c r="A34" t="s">
        <v>11</v>
      </c>
      <c r="B34" t="s">
        <v>39</v>
      </c>
      <c r="C34" t="s">
        <v>67</v>
      </c>
      <c r="D34" t="s">
        <v>52</v>
      </c>
      <c r="E34" t="s">
        <v>52</v>
      </c>
      <c r="F34" t="s">
        <v>46</v>
      </c>
      <c r="G34" t="s">
        <v>51</v>
      </c>
      <c r="H34" t="s">
        <v>52</v>
      </c>
      <c r="I34" t="s">
        <v>52</v>
      </c>
      <c r="J34" t="s">
        <v>52</v>
      </c>
      <c r="K34" t="s">
        <v>52</v>
      </c>
      <c r="L34">
        <v>0.99</v>
      </c>
      <c r="M34">
        <v>0.99</v>
      </c>
      <c r="N34">
        <v>0.99</v>
      </c>
      <c r="O34">
        <v>0.99</v>
      </c>
      <c r="P34">
        <v>0.99</v>
      </c>
      <c r="Q34">
        <v>0.99</v>
      </c>
      <c r="R34">
        <v>0.99</v>
      </c>
      <c r="S34">
        <v>0.99</v>
      </c>
      <c r="T34">
        <v>0.99</v>
      </c>
      <c r="U34">
        <v>0.99</v>
      </c>
      <c r="V34">
        <v>0.99</v>
      </c>
      <c r="W34">
        <v>0.99</v>
      </c>
      <c r="X34">
        <v>0.99</v>
      </c>
      <c r="Y34">
        <v>0.99</v>
      </c>
      <c r="Z34">
        <v>0.99</v>
      </c>
      <c r="AA34">
        <v>0.99</v>
      </c>
      <c r="AB34">
        <v>0.99</v>
      </c>
      <c r="AC34">
        <v>0.99</v>
      </c>
      <c r="AD34">
        <v>0.99</v>
      </c>
      <c r="AE34">
        <v>0.99</v>
      </c>
      <c r="AF34">
        <v>0.99</v>
      </c>
      <c r="AG34">
        <v>0.99</v>
      </c>
      <c r="AH34">
        <v>0.99</v>
      </c>
      <c r="AI34">
        <v>0.99</v>
      </c>
      <c r="AJ34">
        <v>0.99</v>
      </c>
      <c r="AK34">
        <v>0.99</v>
      </c>
      <c r="AL34">
        <v>0.99</v>
      </c>
      <c r="AM34">
        <v>0.99</v>
      </c>
      <c r="AN34">
        <v>0.99</v>
      </c>
      <c r="AO34" t="s">
        <v>52</v>
      </c>
    </row>
    <row r="35" spans="1:41" x14ac:dyDescent="0.35">
      <c r="A35" t="s">
        <v>11</v>
      </c>
      <c r="B35" t="s">
        <v>39</v>
      </c>
      <c r="C35" t="s">
        <v>55</v>
      </c>
      <c r="D35" t="s">
        <v>52</v>
      </c>
      <c r="E35" t="s">
        <v>52</v>
      </c>
      <c r="F35" t="s">
        <v>46</v>
      </c>
      <c r="G35" t="s">
        <v>51</v>
      </c>
      <c r="H35" t="s">
        <v>52</v>
      </c>
      <c r="I35" t="s">
        <v>52</v>
      </c>
      <c r="J35" t="s">
        <v>52</v>
      </c>
      <c r="K35" t="s">
        <v>52</v>
      </c>
      <c r="L35">
        <v>0.58696999999999999</v>
      </c>
      <c r="M35">
        <v>0.58696999999999999</v>
      </c>
      <c r="N35">
        <v>0.58696999999999999</v>
      </c>
      <c r="O35">
        <v>0.58696999999999999</v>
      </c>
      <c r="P35">
        <v>0.58696999999999999</v>
      </c>
      <c r="Q35">
        <v>0.58696999999999999</v>
      </c>
      <c r="R35">
        <v>0.58696999999999999</v>
      </c>
      <c r="S35">
        <v>0.58696999999999999</v>
      </c>
      <c r="T35">
        <v>0.58696999999999999</v>
      </c>
      <c r="U35">
        <v>0.58696999999999999</v>
      </c>
      <c r="V35">
        <v>0.58696999999999999</v>
      </c>
      <c r="W35">
        <v>0.58696999999999999</v>
      </c>
      <c r="X35">
        <v>0.58696999999999999</v>
      </c>
      <c r="Y35">
        <v>0.58696999999999999</v>
      </c>
      <c r="Z35">
        <v>0.58696999999999999</v>
      </c>
      <c r="AA35">
        <v>0.58696999999999999</v>
      </c>
      <c r="AB35">
        <v>0.58696999999999999</v>
      </c>
      <c r="AC35">
        <v>0.58696999999999999</v>
      </c>
      <c r="AD35">
        <v>0.58696999999999999</v>
      </c>
      <c r="AE35">
        <v>0.58696999999999999</v>
      </c>
      <c r="AF35">
        <v>0.58696999999999999</v>
      </c>
      <c r="AG35">
        <v>0.58696999999999999</v>
      </c>
      <c r="AH35">
        <v>0.58696999999999999</v>
      </c>
      <c r="AI35">
        <v>0.58696999999999999</v>
      </c>
      <c r="AJ35">
        <v>0.58696999999999999</v>
      </c>
      <c r="AK35">
        <v>0.58696999999999999</v>
      </c>
      <c r="AL35">
        <v>0.58696999999999999</v>
      </c>
      <c r="AM35">
        <v>0.58696999999999999</v>
      </c>
      <c r="AN35">
        <v>0.58696999999999999</v>
      </c>
      <c r="AO35" t="s">
        <v>52</v>
      </c>
    </row>
    <row r="36" spans="1:41" x14ac:dyDescent="0.35">
      <c r="A36" t="s">
        <v>11</v>
      </c>
      <c r="B36" t="s">
        <v>39</v>
      </c>
      <c r="C36" t="s">
        <v>57</v>
      </c>
      <c r="D36" t="s">
        <v>52</v>
      </c>
      <c r="E36" t="s">
        <v>52</v>
      </c>
      <c r="F36" t="s">
        <v>46</v>
      </c>
      <c r="G36" t="s">
        <v>51</v>
      </c>
      <c r="H36" t="s">
        <v>52</v>
      </c>
      <c r="I36" t="s">
        <v>52</v>
      </c>
      <c r="J36" t="s">
        <v>52</v>
      </c>
      <c r="K36" t="s">
        <v>52</v>
      </c>
      <c r="L36">
        <v>0.58696999999999999</v>
      </c>
      <c r="M36">
        <v>0.58696999999999999</v>
      </c>
      <c r="N36">
        <v>0.58696999999999999</v>
      </c>
      <c r="O36">
        <v>0.58696999999999999</v>
      </c>
      <c r="P36">
        <v>0.58696999999999999</v>
      </c>
      <c r="Q36">
        <v>0.58696999999999999</v>
      </c>
      <c r="R36">
        <v>0.58696999999999999</v>
      </c>
      <c r="S36">
        <v>0.58696999999999999</v>
      </c>
      <c r="T36">
        <v>0.58696999999999999</v>
      </c>
      <c r="U36">
        <v>0.58696999999999999</v>
      </c>
      <c r="V36">
        <v>0.58696999999999999</v>
      </c>
      <c r="W36">
        <v>0.58696999999999999</v>
      </c>
      <c r="X36">
        <v>0.58696999999999999</v>
      </c>
      <c r="Y36">
        <v>0.58696999999999999</v>
      </c>
      <c r="Z36">
        <v>0.58696999999999999</v>
      </c>
      <c r="AA36">
        <v>0.58696999999999999</v>
      </c>
      <c r="AB36">
        <v>0.58696999999999999</v>
      </c>
      <c r="AC36">
        <v>0.58696999999999999</v>
      </c>
      <c r="AD36">
        <v>0.58696999999999999</v>
      </c>
      <c r="AE36">
        <v>0.58696999999999999</v>
      </c>
      <c r="AF36">
        <v>0.58696999999999999</v>
      </c>
      <c r="AG36">
        <v>0.58696999999999999</v>
      </c>
      <c r="AH36">
        <v>0.58696999999999999</v>
      </c>
      <c r="AI36">
        <v>0.58696999999999999</v>
      </c>
      <c r="AJ36">
        <v>0.58696999999999999</v>
      </c>
      <c r="AK36">
        <v>0.58696999999999999</v>
      </c>
      <c r="AL36">
        <v>0.58696999999999999</v>
      </c>
      <c r="AM36">
        <v>0.58696999999999999</v>
      </c>
      <c r="AN36">
        <v>0.58696999999999999</v>
      </c>
      <c r="AO36" t="s">
        <v>52</v>
      </c>
    </row>
    <row r="37" spans="1:41" x14ac:dyDescent="0.35">
      <c r="A37" t="s">
        <v>11</v>
      </c>
      <c r="B37" t="s">
        <v>39</v>
      </c>
      <c r="C37" t="s">
        <v>54</v>
      </c>
      <c r="D37" t="s">
        <v>52</v>
      </c>
      <c r="E37" t="s">
        <v>52</v>
      </c>
      <c r="F37" t="s">
        <v>46</v>
      </c>
      <c r="G37" t="s">
        <v>51</v>
      </c>
      <c r="H37" t="s">
        <v>52</v>
      </c>
      <c r="I37" t="s">
        <v>52</v>
      </c>
      <c r="J37" t="s">
        <v>52</v>
      </c>
      <c r="K37" t="s">
        <v>52</v>
      </c>
      <c r="L37">
        <v>0.58696999999999999</v>
      </c>
      <c r="M37">
        <v>0.58696999999999999</v>
      </c>
      <c r="N37">
        <v>0.58696999999999999</v>
      </c>
      <c r="O37">
        <v>0.58696999999999999</v>
      </c>
      <c r="P37">
        <v>0.58696999999999999</v>
      </c>
      <c r="Q37">
        <v>0.58696999999999999</v>
      </c>
      <c r="R37">
        <v>0.58696999999999999</v>
      </c>
      <c r="S37">
        <v>0.58696999999999999</v>
      </c>
      <c r="T37">
        <v>0.58696999999999999</v>
      </c>
      <c r="U37">
        <v>0.58696999999999999</v>
      </c>
      <c r="V37">
        <v>0.58696999999999999</v>
      </c>
      <c r="W37">
        <v>0.58696999999999999</v>
      </c>
      <c r="X37">
        <v>0.58696999999999999</v>
      </c>
      <c r="Y37">
        <v>0.58696999999999999</v>
      </c>
      <c r="Z37">
        <v>0.58696999999999999</v>
      </c>
      <c r="AA37">
        <v>0.58696999999999999</v>
      </c>
      <c r="AB37">
        <v>0.58696999999999999</v>
      </c>
      <c r="AC37">
        <v>0.58696999999999999</v>
      </c>
      <c r="AD37">
        <v>0.58696999999999999</v>
      </c>
      <c r="AE37">
        <v>0.58696999999999999</v>
      </c>
      <c r="AF37">
        <v>0.58696999999999999</v>
      </c>
      <c r="AG37">
        <v>0.58696999999999999</v>
      </c>
      <c r="AH37">
        <v>0.58696999999999999</v>
      </c>
      <c r="AI37">
        <v>0.58696999999999999</v>
      </c>
      <c r="AJ37">
        <v>0.58696999999999999</v>
      </c>
      <c r="AK37">
        <v>0.58696999999999999</v>
      </c>
      <c r="AL37">
        <v>0.58696999999999999</v>
      </c>
      <c r="AM37">
        <v>0.58696999999999999</v>
      </c>
      <c r="AN37">
        <v>0.58696999999999999</v>
      </c>
      <c r="AO37" t="s">
        <v>52</v>
      </c>
    </row>
    <row r="38" spans="1:41" x14ac:dyDescent="0.35">
      <c r="A38" t="s">
        <v>11</v>
      </c>
      <c r="B38" t="s">
        <v>39</v>
      </c>
      <c r="C38" t="s">
        <v>71</v>
      </c>
      <c r="D38" t="s">
        <v>52</v>
      </c>
      <c r="E38" t="s">
        <v>52</v>
      </c>
      <c r="F38" t="s">
        <v>46</v>
      </c>
      <c r="G38" t="s">
        <v>51</v>
      </c>
      <c r="H38" t="s">
        <v>52</v>
      </c>
      <c r="I38" t="s">
        <v>52</v>
      </c>
      <c r="J38" t="s">
        <v>52</v>
      </c>
      <c r="K38" t="s">
        <v>52</v>
      </c>
      <c r="L38">
        <v>0.58696999999999999</v>
      </c>
      <c r="M38">
        <v>0.58696999999999999</v>
      </c>
      <c r="N38">
        <v>0.58696999999999999</v>
      </c>
      <c r="O38">
        <v>0.58696999999999999</v>
      </c>
      <c r="P38">
        <v>0.58696999999999999</v>
      </c>
      <c r="Q38">
        <v>0.58696999999999999</v>
      </c>
      <c r="R38">
        <v>0.58696999999999999</v>
      </c>
      <c r="S38">
        <v>0.58696999999999999</v>
      </c>
      <c r="T38">
        <v>0.58696999999999999</v>
      </c>
      <c r="U38">
        <v>0.58696999999999999</v>
      </c>
      <c r="V38">
        <v>0.58696999999999999</v>
      </c>
      <c r="W38">
        <v>0.58696999999999999</v>
      </c>
      <c r="X38">
        <v>0.58696999999999999</v>
      </c>
      <c r="Y38">
        <v>0.58696999999999999</v>
      </c>
      <c r="Z38">
        <v>0.58696999999999999</v>
      </c>
      <c r="AA38">
        <v>0.58696999999999999</v>
      </c>
      <c r="AB38">
        <v>0.58696999999999999</v>
      </c>
      <c r="AC38">
        <v>0.58696999999999999</v>
      </c>
      <c r="AD38">
        <v>0.58696999999999999</v>
      </c>
      <c r="AE38">
        <v>0.58696999999999999</v>
      </c>
      <c r="AF38">
        <v>0.58696999999999999</v>
      </c>
      <c r="AG38">
        <v>0.58696999999999999</v>
      </c>
      <c r="AH38">
        <v>0.58696999999999999</v>
      </c>
      <c r="AI38">
        <v>0.58696999999999999</v>
      </c>
      <c r="AJ38">
        <v>0.58696999999999999</v>
      </c>
      <c r="AK38">
        <v>0.58696999999999999</v>
      </c>
      <c r="AL38">
        <v>0.58696999999999999</v>
      </c>
      <c r="AM38">
        <v>0.58696999999999999</v>
      </c>
      <c r="AN38">
        <v>0.58696999999999999</v>
      </c>
      <c r="AO38" t="s">
        <v>52</v>
      </c>
    </row>
    <row r="39" spans="1:41" x14ac:dyDescent="0.35">
      <c r="A39" t="s">
        <v>11</v>
      </c>
      <c r="B39" t="s">
        <v>39</v>
      </c>
      <c r="C39" t="s">
        <v>59</v>
      </c>
      <c r="D39" t="s">
        <v>52</v>
      </c>
      <c r="E39" t="s">
        <v>52</v>
      </c>
      <c r="F39" t="s">
        <v>46</v>
      </c>
      <c r="G39" t="s">
        <v>51</v>
      </c>
      <c r="H39" t="s">
        <v>52</v>
      </c>
      <c r="I39" t="s">
        <v>52</v>
      </c>
      <c r="J39" t="s">
        <v>52</v>
      </c>
      <c r="K39" t="s">
        <v>52</v>
      </c>
      <c r="L39">
        <v>7.2069999999999995E-2</v>
      </c>
      <c r="M39">
        <v>7.2069999999999995E-2</v>
      </c>
      <c r="N39">
        <v>7.2069999999999995E-2</v>
      </c>
      <c r="O39">
        <v>7.2069999999999995E-2</v>
      </c>
      <c r="P39">
        <v>7.2069999999999995E-2</v>
      </c>
      <c r="Q39">
        <v>7.2069999999999995E-2</v>
      </c>
      <c r="R39">
        <v>7.2069999999999995E-2</v>
      </c>
      <c r="S39">
        <v>7.2069999999999995E-2</v>
      </c>
      <c r="T39">
        <v>7.2069999999999995E-2</v>
      </c>
      <c r="U39">
        <v>7.2069999999999995E-2</v>
      </c>
      <c r="V39">
        <v>7.2069999999999995E-2</v>
      </c>
      <c r="W39">
        <v>7.2069999999999995E-2</v>
      </c>
      <c r="X39">
        <v>7.2069999999999995E-2</v>
      </c>
      <c r="Y39">
        <v>7.2069999999999995E-2</v>
      </c>
      <c r="Z39">
        <v>7.2069999999999995E-2</v>
      </c>
      <c r="AA39">
        <v>7.2069999999999995E-2</v>
      </c>
      <c r="AB39">
        <v>7.2069999999999995E-2</v>
      </c>
      <c r="AC39">
        <v>7.2069999999999995E-2</v>
      </c>
      <c r="AD39">
        <v>7.2069999999999995E-2</v>
      </c>
      <c r="AE39">
        <v>7.2069999999999995E-2</v>
      </c>
      <c r="AF39">
        <v>7.2069999999999995E-2</v>
      </c>
      <c r="AG39">
        <v>7.2069999999999995E-2</v>
      </c>
      <c r="AH39">
        <v>7.2069999999999995E-2</v>
      </c>
      <c r="AI39">
        <v>7.2069999999999995E-2</v>
      </c>
      <c r="AJ39">
        <v>7.2069999999999995E-2</v>
      </c>
      <c r="AK39">
        <v>7.2069999999999995E-2</v>
      </c>
      <c r="AL39">
        <v>7.2069999999999995E-2</v>
      </c>
      <c r="AM39">
        <v>7.2069999999999995E-2</v>
      </c>
      <c r="AN39">
        <v>7.2069999999999995E-2</v>
      </c>
      <c r="AO39" t="s">
        <v>52</v>
      </c>
    </row>
    <row r="40" spans="1:41" x14ac:dyDescent="0.35">
      <c r="A40" t="s">
        <v>11</v>
      </c>
      <c r="B40" t="s">
        <v>39</v>
      </c>
      <c r="C40" t="s">
        <v>49</v>
      </c>
      <c r="D40" t="s">
        <v>52</v>
      </c>
      <c r="E40" t="s">
        <v>52</v>
      </c>
      <c r="F40" t="s">
        <v>46</v>
      </c>
      <c r="G40" t="s">
        <v>51</v>
      </c>
      <c r="H40" t="s">
        <v>52</v>
      </c>
      <c r="I40" t="s">
        <v>52</v>
      </c>
      <c r="J40" t="s">
        <v>52</v>
      </c>
      <c r="K40" t="s">
        <v>52</v>
      </c>
      <c r="L40">
        <v>7.2069999999999995E-2</v>
      </c>
      <c r="M40">
        <v>7.2069999999999995E-2</v>
      </c>
      <c r="N40">
        <v>7.2069999999999995E-2</v>
      </c>
      <c r="O40">
        <v>7.2069999999999995E-2</v>
      </c>
      <c r="P40">
        <v>7.2069999999999995E-2</v>
      </c>
      <c r="Q40">
        <v>7.2069999999999995E-2</v>
      </c>
      <c r="R40">
        <v>7.2069999999999995E-2</v>
      </c>
      <c r="S40">
        <v>7.2069999999999995E-2</v>
      </c>
      <c r="T40">
        <v>7.2069999999999995E-2</v>
      </c>
      <c r="U40">
        <v>7.2069999999999995E-2</v>
      </c>
      <c r="V40">
        <v>7.2069999999999995E-2</v>
      </c>
      <c r="W40">
        <v>7.2069999999999995E-2</v>
      </c>
      <c r="X40">
        <v>7.2069999999999995E-2</v>
      </c>
      <c r="Y40">
        <v>7.2069999999999995E-2</v>
      </c>
      <c r="Z40">
        <v>7.2069999999999995E-2</v>
      </c>
      <c r="AA40">
        <v>7.2069999999999995E-2</v>
      </c>
      <c r="AB40">
        <v>7.2069999999999995E-2</v>
      </c>
      <c r="AC40">
        <v>7.2069999999999995E-2</v>
      </c>
      <c r="AD40">
        <v>7.2069999999999995E-2</v>
      </c>
      <c r="AE40">
        <v>7.2069999999999995E-2</v>
      </c>
      <c r="AF40">
        <v>7.2069999999999995E-2</v>
      </c>
      <c r="AG40">
        <v>7.2069999999999995E-2</v>
      </c>
      <c r="AH40">
        <v>7.2069999999999995E-2</v>
      </c>
      <c r="AI40">
        <v>7.2069999999999995E-2</v>
      </c>
      <c r="AJ40">
        <v>7.2069999999999995E-2</v>
      </c>
      <c r="AK40">
        <v>7.2069999999999995E-2</v>
      </c>
      <c r="AL40">
        <v>7.2069999999999995E-2</v>
      </c>
      <c r="AM40">
        <v>7.2069999999999995E-2</v>
      </c>
      <c r="AN40">
        <v>7.2069999999999995E-2</v>
      </c>
      <c r="AO40" t="s">
        <v>52</v>
      </c>
    </row>
    <row r="41" spans="1:41" x14ac:dyDescent="0.35">
      <c r="A41" t="s">
        <v>11</v>
      </c>
      <c r="B41" t="s">
        <v>39</v>
      </c>
      <c r="C41" t="s">
        <v>61</v>
      </c>
      <c r="D41" t="s">
        <v>52</v>
      </c>
      <c r="E41" t="s">
        <v>52</v>
      </c>
      <c r="F41" t="s">
        <v>46</v>
      </c>
      <c r="G41" t="s">
        <v>51</v>
      </c>
      <c r="H41" t="s">
        <v>52</v>
      </c>
      <c r="I41" t="s">
        <v>52</v>
      </c>
      <c r="J41" t="s">
        <v>52</v>
      </c>
      <c r="K41" t="s">
        <v>52</v>
      </c>
      <c r="L41">
        <v>0.313</v>
      </c>
      <c r="M41">
        <v>0.313</v>
      </c>
      <c r="N41">
        <v>0.313</v>
      </c>
      <c r="O41">
        <v>0.313</v>
      </c>
      <c r="P41">
        <v>0.313</v>
      </c>
      <c r="Q41">
        <v>0.313</v>
      </c>
      <c r="R41">
        <v>0.313</v>
      </c>
      <c r="S41">
        <v>0.313</v>
      </c>
      <c r="T41">
        <v>0.313</v>
      </c>
      <c r="U41">
        <v>0.313</v>
      </c>
      <c r="V41">
        <v>0.313</v>
      </c>
      <c r="W41">
        <v>0.313</v>
      </c>
      <c r="X41">
        <v>0.313</v>
      </c>
      <c r="Y41">
        <v>0.313</v>
      </c>
      <c r="Z41">
        <v>0.313</v>
      </c>
      <c r="AA41">
        <v>0.313</v>
      </c>
      <c r="AB41">
        <v>0.313</v>
      </c>
      <c r="AC41">
        <v>0.313</v>
      </c>
      <c r="AD41">
        <v>0.313</v>
      </c>
      <c r="AE41">
        <v>0.313</v>
      </c>
      <c r="AF41">
        <v>0.313</v>
      </c>
      <c r="AG41">
        <v>0.313</v>
      </c>
      <c r="AH41">
        <v>0.313</v>
      </c>
      <c r="AI41">
        <v>0.313</v>
      </c>
      <c r="AJ41">
        <v>0.313</v>
      </c>
      <c r="AK41">
        <v>0.313</v>
      </c>
      <c r="AL41">
        <v>0.313</v>
      </c>
      <c r="AM41">
        <v>0.313</v>
      </c>
      <c r="AN41">
        <v>0.313</v>
      </c>
      <c r="AO41" t="s">
        <v>52</v>
      </c>
    </row>
    <row r="42" spans="1:41" x14ac:dyDescent="0.35">
      <c r="A42" t="s">
        <v>11</v>
      </c>
      <c r="B42" t="s">
        <v>39</v>
      </c>
      <c r="C42" t="s">
        <v>43</v>
      </c>
      <c r="D42" t="s">
        <v>52</v>
      </c>
      <c r="E42" t="s">
        <v>52</v>
      </c>
      <c r="F42" t="s">
        <v>46</v>
      </c>
      <c r="G42" t="s">
        <v>51</v>
      </c>
      <c r="H42" t="s">
        <v>52</v>
      </c>
      <c r="I42" t="s">
        <v>52</v>
      </c>
      <c r="J42" t="s">
        <v>52</v>
      </c>
      <c r="K42" t="s">
        <v>52</v>
      </c>
      <c r="L42">
        <v>0.08</v>
      </c>
      <c r="M42">
        <v>0.08</v>
      </c>
      <c r="N42">
        <v>0.08</v>
      </c>
      <c r="O42">
        <v>0.08</v>
      </c>
      <c r="P42">
        <v>0.08</v>
      </c>
      <c r="Q42">
        <v>0.08</v>
      </c>
      <c r="R42">
        <v>0.08</v>
      </c>
      <c r="S42">
        <v>0.08</v>
      </c>
      <c r="T42">
        <v>0.08</v>
      </c>
      <c r="U42">
        <v>0.08</v>
      </c>
      <c r="V42">
        <v>0.08</v>
      </c>
      <c r="W42">
        <v>0.08</v>
      </c>
      <c r="X42">
        <v>0.08</v>
      </c>
      <c r="Y42">
        <v>0.08</v>
      </c>
      <c r="Z42">
        <v>0.08</v>
      </c>
      <c r="AA42">
        <v>0.08</v>
      </c>
      <c r="AB42">
        <v>0.08</v>
      </c>
      <c r="AC42">
        <v>0.08</v>
      </c>
      <c r="AD42">
        <v>0.08</v>
      </c>
      <c r="AE42">
        <v>0.08</v>
      </c>
      <c r="AF42">
        <v>0.08</v>
      </c>
      <c r="AG42">
        <v>0.08</v>
      </c>
      <c r="AH42">
        <v>0.08</v>
      </c>
      <c r="AI42">
        <v>0.08</v>
      </c>
      <c r="AJ42">
        <v>0.08</v>
      </c>
      <c r="AK42">
        <v>0.08</v>
      </c>
      <c r="AL42">
        <v>0.08</v>
      </c>
      <c r="AM42">
        <v>0.08</v>
      </c>
      <c r="AN42">
        <v>0.08</v>
      </c>
      <c r="AO42" t="s">
        <v>52</v>
      </c>
    </row>
    <row r="43" spans="1:41" x14ac:dyDescent="0.35">
      <c r="A43" t="s">
        <v>11</v>
      </c>
      <c r="B43" t="s">
        <v>39</v>
      </c>
      <c r="C43" t="s">
        <v>63</v>
      </c>
      <c r="D43" t="s">
        <v>52</v>
      </c>
      <c r="E43" t="s">
        <v>52</v>
      </c>
      <c r="F43" t="s">
        <v>46</v>
      </c>
      <c r="G43" t="s">
        <v>51</v>
      </c>
      <c r="H43" t="s">
        <v>52</v>
      </c>
      <c r="I43" t="s">
        <v>52</v>
      </c>
      <c r="J43" t="s">
        <v>52</v>
      </c>
      <c r="K43" t="s">
        <v>52</v>
      </c>
      <c r="L43">
        <v>0.08</v>
      </c>
      <c r="M43">
        <v>0.08</v>
      </c>
      <c r="N43">
        <v>0.08</v>
      </c>
      <c r="O43">
        <v>0.08</v>
      </c>
      <c r="P43">
        <v>0.08</v>
      </c>
      <c r="Q43">
        <v>0.08</v>
      </c>
      <c r="R43">
        <v>0.08</v>
      </c>
      <c r="S43">
        <v>0.08</v>
      </c>
      <c r="T43">
        <v>0.08</v>
      </c>
      <c r="U43">
        <v>0.08</v>
      </c>
      <c r="V43">
        <v>0.08</v>
      </c>
      <c r="W43">
        <v>0.08</v>
      </c>
      <c r="X43">
        <v>0.08</v>
      </c>
      <c r="Y43">
        <v>0.08</v>
      </c>
      <c r="Z43">
        <v>0.08</v>
      </c>
      <c r="AA43">
        <v>0.08</v>
      </c>
      <c r="AB43">
        <v>0.08</v>
      </c>
      <c r="AC43">
        <v>0.08</v>
      </c>
      <c r="AD43">
        <v>0.08</v>
      </c>
      <c r="AE43">
        <v>0.08</v>
      </c>
      <c r="AF43">
        <v>0.08</v>
      </c>
      <c r="AG43">
        <v>0.08</v>
      </c>
      <c r="AH43">
        <v>0.08</v>
      </c>
      <c r="AI43">
        <v>0.08</v>
      </c>
      <c r="AJ43">
        <v>0.08</v>
      </c>
      <c r="AK43">
        <v>0.08</v>
      </c>
      <c r="AL43">
        <v>0.08</v>
      </c>
      <c r="AM43">
        <v>0.08</v>
      </c>
      <c r="AN43">
        <v>0.08</v>
      </c>
      <c r="AO43" t="s">
        <v>52</v>
      </c>
    </row>
    <row r="44" spans="1:41" x14ac:dyDescent="0.35">
      <c r="A44" t="s">
        <v>11</v>
      </c>
      <c r="B44" t="s">
        <v>39</v>
      </c>
      <c r="C44" t="s">
        <v>64</v>
      </c>
      <c r="D44" t="s">
        <v>52</v>
      </c>
      <c r="E44" t="s">
        <v>52</v>
      </c>
      <c r="F44" t="s">
        <v>46</v>
      </c>
      <c r="G44" t="s">
        <v>51</v>
      </c>
      <c r="H44" t="s">
        <v>52</v>
      </c>
      <c r="I44" t="s">
        <v>52</v>
      </c>
      <c r="J44" t="s">
        <v>52</v>
      </c>
      <c r="K44" t="s">
        <v>52</v>
      </c>
      <c r="L44">
        <v>7.5999999999999998E-2</v>
      </c>
      <c r="M44">
        <v>7.5999999999999998E-2</v>
      </c>
      <c r="N44">
        <v>7.5999999999999998E-2</v>
      </c>
      <c r="O44">
        <v>7.5999999999999998E-2</v>
      </c>
      <c r="P44">
        <v>7.5999999999999998E-2</v>
      </c>
      <c r="Q44">
        <v>7.5999999999999998E-2</v>
      </c>
      <c r="R44">
        <v>7.5999999999999998E-2</v>
      </c>
      <c r="S44">
        <v>7.5999999999999998E-2</v>
      </c>
      <c r="T44">
        <v>7.5999999999999998E-2</v>
      </c>
      <c r="U44">
        <v>7.5999999999999998E-2</v>
      </c>
      <c r="V44">
        <v>7.5999999999999998E-2</v>
      </c>
      <c r="W44">
        <v>7.5999999999999998E-2</v>
      </c>
      <c r="X44">
        <v>7.5999999999999998E-2</v>
      </c>
      <c r="Y44">
        <v>7.5999999999999998E-2</v>
      </c>
      <c r="Z44">
        <v>7.5999999999999998E-2</v>
      </c>
      <c r="AA44">
        <v>7.5999999999999998E-2</v>
      </c>
      <c r="AB44">
        <v>7.5999999999999998E-2</v>
      </c>
      <c r="AC44">
        <v>7.5999999999999998E-2</v>
      </c>
      <c r="AD44">
        <v>7.5999999999999998E-2</v>
      </c>
      <c r="AE44">
        <v>7.5999999999999998E-2</v>
      </c>
      <c r="AF44">
        <v>7.5999999999999998E-2</v>
      </c>
      <c r="AG44">
        <v>7.5999999999999998E-2</v>
      </c>
      <c r="AH44">
        <v>7.5999999999999998E-2</v>
      </c>
      <c r="AI44">
        <v>7.5999999999999998E-2</v>
      </c>
      <c r="AJ44">
        <v>7.5999999999999998E-2</v>
      </c>
      <c r="AK44">
        <v>7.5999999999999998E-2</v>
      </c>
      <c r="AL44">
        <v>7.5999999999999998E-2</v>
      </c>
      <c r="AM44">
        <v>7.5999999999999998E-2</v>
      </c>
      <c r="AN44">
        <v>7.5999999999999998E-2</v>
      </c>
      <c r="AO44" t="s">
        <v>52</v>
      </c>
    </row>
    <row r="45" spans="1:41" x14ac:dyDescent="0.35">
      <c r="A45" t="s">
        <v>11</v>
      </c>
      <c r="B45" t="s">
        <v>39</v>
      </c>
      <c r="C45" t="s">
        <v>47</v>
      </c>
      <c r="D45" t="s">
        <v>52</v>
      </c>
      <c r="E45" t="s">
        <v>52</v>
      </c>
      <c r="F45" t="s">
        <v>46</v>
      </c>
      <c r="G45" t="s">
        <v>51</v>
      </c>
      <c r="H45" t="s">
        <v>52</v>
      </c>
      <c r="I45" t="s">
        <v>52</v>
      </c>
      <c r="J45" t="s">
        <v>52</v>
      </c>
      <c r="K45" t="s">
        <v>52</v>
      </c>
      <c r="L45">
        <v>6.1199999999999997E-2</v>
      </c>
      <c r="M45">
        <v>6.1199999999999997E-2</v>
      </c>
      <c r="N45">
        <v>6.1199999999999997E-2</v>
      </c>
      <c r="O45">
        <v>6.1199999999999997E-2</v>
      </c>
      <c r="P45">
        <v>6.1199999999999997E-2</v>
      </c>
      <c r="Q45">
        <v>6.1199999999999997E-2</v>
      </c>
      <c r="R45">
        <v>6.1199999999999997E-2</v>
      </c>
      <c r="S45">
        <v>6.1199999999999997E-2</v>
      </c>
      <c r="T45">
        <v>6.1199999999999997E-2</v>
      </c>
      <c r="U45">
        <v>6.1199999999999997E-2</v>
      </c>
      <c r="V45">
        <v>6.1199999999999997E-2</v>
      </c>
      <c r="W45">
        <v>6.1199999999999997E-2</v>
      </c>
      <c r="X45">
        <v>6.1199999999999997E-2</v>
      </c>
      <c r="Y45">
        <v>6.1199999999999997E-2</v>
      </c>
      <c r="Z45">
        <v>6.1199999999999997E-2</v>
      </c>
      <c r="AA45">
        <v>6.1199999999999997E-2</v>
      </c>
      <c r="AB45">
        <v>6.1199999999999997E-2</v>
      </c>
      <c r="AC45">
        <v>6.1199999999999997E-2</v>
      </c>
      <c r="AD45">
        <v>6.1199999999999997E-2</v>
      </c>
      <c r="AE45">
        <v>6.1199999999999997E-2</v>
      </c>
      <c r="AF45">
        <v>6.1199999999999997E-2</v>
      </c>
      <c r="AG45">
        <v>6.1199999999999997E-2</v>
      </c>
      <c r="AH45">
        <v>6.1199999999999997E-2</v>
      </c>
      <c r="AI45">
        <v>6.1199999999999997E-2</v>
      </c>
      <c r="AJ45">
        <v>6.1199999999999997E-2</v>
      </c>
      <c r="AK45">
        <v>6.1199999999999997E-2</v>
      </c>
      <c r="AL45">
        <v>6.1199999999999997E-2</v>
      </c>
      <c r="AM45">
        <v>6.1199999999999997E-2</v>
      </c>
      <c r="AN45">
        <v>6.1199999999999997E-2</v>
      </c>
      <c r="AO45" t="s">
        <v>52</v>
      </c>
    </row>
    <row r="46" spans="1:41" x14ac:dyDescent="0.35">
      <c r="A46" t="s">
        <v>11</v>
      </c>
      <c r="B46" t="s">
        <v>39</v>
      </c>
      <c r="C46" t="s">
        <v>41</v>
      </c>
      <c r="D46" t="s">
        <v>52</v>
      </c>
      <c r="E46" t="s">
        <v>52</v>
      </c>
      <c r="F46" t="s">
        <v>46</v>
      </c>
      <c r="G46" t="s">
        <v>51</v>
      </c>
      <c r="H46" t="s">
        <v>52</v>
      </c>
      <c r="I46" t="s">
        <v>52</v>
      </c>
      <c r="J46" t="s">
        <v>52</v>
      </c>
      <c r="K46" t="s">
        <v>52</v>
      </c>
      <c r="L46">
        <v>0.52772280688712803</v>
      </c>
      <c r="M46">
        <v>0.52772280688712803</v>
      </c>
      <c r="N46">
        <v>0.52772280688712803</v>
      </c>
      <c r="O46">
        <v>0.52772280688712803</v>
      </c>
      <c r="P46">
        <v>0.52772280688712803</v>
      </c>
      <c r="Q46">
        <v>0.52772280688712803</v>
      </c>
      <c r="R46">
        <v>0.52772280688712803</v>
      </c>
      <c r="S46">
        <v>0.52772280688712803</v>
      </c>
      <c r="T46">
        <v>0.42217824550970301</v>
      </c>
      <c r="U46">
        <v>0.79158421033069304</v>
      </c>
      <c r="V46">
        <v>0.52772280688712803</v>
      </c>
      <c r="W46">
        <v>0.52772280688712803</v>
      </c>
      <c r="X46">
        <v>0.52772280688712803</v>
      </c>
      <c r="Y46">
        <v>0.52772280688712803</v>
      </c>
      <c r="Z46">
        <v>0.52772280688712803</v>
      </c>
      <c r="AA46">
        <v>0.52772280688712803</v>
      </c>
      <c r="AB46">
        <v>0.52772280688712803</v>
      </c>
      <c r="AC46">
        <v>0.52772280688712803</v>
      </c>
      <c r="AD46">
        <v>0.47495052619841599</v>
      </c>
      <c r="AE46">
        <v>0.52772280688712803</v>
      </c>
      <c r="AF46">
        <v>0.52772280688712803</v>
      </c>
      <c r="AG46">
        <v>0.52772280688712803</v>
      </c>
      <c r="AH46">
        <v>0.52772280688712803</v>
      </c>
      <c r="AI46">
        <v>0.52772280688712803</v>
      </c>
      <c r="AJ46">
        <v>0.52772280688712803</v>
      </c>
      <c r="AK46">
        <v>0.36940596482098997</v>
      </c>
      <c r="AL46">
        <v>0.52772280688712803</v>
      </c>
      <c r="AM46">
        <v>0.52772280688712803</v>
      </c>
      <c r="AN46">
        <v>0.42217824550970301</v>
      </c>
      <c r="AO46" t="s">
        <v>52</v>
      </c>
    </row>
    <row r="47" spans="1:41" x14ac:dyDescent="0.35">
      <c r="A47" t="s">
        <v>11</v>
      </c>
      <c r="B47" t="s">
        <v>39</v>
      </c>
      <c r="C47" t="s">
        <v>24</v>
      </c>
      <c r="D47" t="s">
        <v>52</v>
      </c>
      <c r="E47" t="s">
        <v>52</v>
      </c>
      <c r="F47" t="s">
        <v>46</v>
      </c>
      <c r="G47" t="s">
        <v>51</v>
      </c>
      <c r="H47" t="s">
        <v>52</v>
      </c>
      <c r="I47" t="s">
        <v>52</v>
      </c>
      <c r="J47" t="s">
        <v>52</v>
      </c>
      <c r="K47" t="s">
        <v>52</v>
      </c>
      <c r="L47">
        <v>0.52772280688712803</v>
      </c>
      <c r="M47">
        <v>0.52772280688712803</v>
      </c>
      <c r="N47">
        <v>0.52772280688712803</v>
      </c>
      <c r="O47">
        <v>0.52772280688712803</v>
      </c>
      <c r="P47">
        <v>0.52772280688712803</v>
      </c>
      <c r="Q47">
        <v>0.52772280688712803</v>
      </c>
      <c r="R47">
        <v>0.52772280688712803</v>
      </c>
      <c r="S47">
        <v>0.52772280688712803</v>
      </c>
      <c r="T47">
        <v>0.42217824550970301</v>
      </c>
      <c r="U47">
        <v>0.79158421033069304</v>
      </c>
      <c r="V47">
        <v>0.52772280688712803</v>
      </c>
      <c r="W47">
        <v>0.52772280688712803</v>
      </c>
      <c r="X47">
        <v>0.52772280688712803</v>
      </c>
      <c r="Y47">
        <v>0.52772280688712803</v>
      </c>
      <c r="Z47">
        <v>0.52772280688712803</v>
      </c>
      <c r="AA47">
        <v>0.52772280688712803</v>
      </c>
      <c r="AB47">
        <v>0.52772280688712803</v>
      </c>
      <c r="AC47">
        <v>0.52772280688712803</v>
      </c>
      <c r="AD47">
        <v>0.47495052619841599</v>
      </c>
      <c r="AE47">
        <v>0.52772280688712803</v>
      </c>
      <c r="AF47">
        <v>0.52772280688712803</v>
      </c>
      <c r="AG47">
        <v>0.52772280688712803</v>
      </c>
      <c r="AH47">
        <v>0.52772280688712803</v>
      </c>
      <c r="AI47">
        <v>0.52772280688712803</v>
      </c>
      <c r="AJ47">
        <v>0.52772280688712803</v>
      </c>
      <c r="AK47">
        <v>0.36940596482098997</v>
      </c>
      <c r="AL47">
        <v>0.52772280688712803</v>
      </c>
      <c r="AM47">
        <v>0.52772280688712803</v>
      </c>
      <c r="AN47">
        <v>0.42217824550970301</v>
      </c>
      <c r="AO47" t="s">
        <v>52</v>
      </c>
    </row>
    <row r="48" spans="1:41" x14ac:dyDescent="0.35">
      <c r="A48" t="s">
        <v>11</v>
      </c>
      <c r="B48" t="s">
        <v>39</v>
      </c>
      <c r="C48" t="s">
        <v>58</v>
      </c>
      <c r="D48" t="s">
        <v>52</v>
      </c>
      <c r="E48" t="s">
        <v>52</v>
      </c>
      <c r="F48" t="s">
        <v>46</v>
      </c>
      <c r="G48" t="s">
        <v>51</v>
      </c>
      <c r="H48" t="s">
        <v>52</v>
      </c>
      <c r="I48" t="s">
        <v>52</v>
      </c>
      <c r="J48" t="s">
        <v>52</v>
      </c>
      <c r="K48" t="s">
        <v>52</v>
      </c>
      <c r="L48">
        <v>1.1651321700288899</v>
      </c>
      <c r="M48">
        <v>1.1651321700288899</v>
      </c>
      <c r="N48">
        <v>1.1651321700288899</v>
      </c>
      <c r="O48">
        <v>1.1651321700288899</v>
      </c>
      <c r="P48">
        <v>1.1651321700288899</v>
      </c>
      <c r="Q48">
        <v>1.1651321700288899</v>
      </c>
      <c r="R48">
        <v>1.1651321700288899</v>
      </c>
      <c r="S48">
        <v>1.1651321700288899</v>
      </c>
      <c r="T48">
        <v>0.93210573602311098</v>
      </c>
      <c r="U48">
        <v>1.74769825504333</v>
      </c>
      <c r="V48">
        <v>1.1651321700288899</v>
      </c>
      <c r="W48">
        <v>1.1651321700288899</v>
      </c>
      <c r="X48">
        <v>1.1651321700288899</v>
      </c>
      <c r="Y48">
        <v>1.1651321700288899</v>
      </c>
      <c r="Z48">
        <v>1.1651321700288899</v>
      </c>
      <c r="AA48">
        <v>1.1651321700288899</v>
      </c>
      <c r="AB48">
        <v>1.1651321700288899</v>
      </c>
      <c r="AC48">
        <v>1.1651321700288899</v>
      </c>
      <c r="AD48">
        <v>1.0486189530259999</v>
      </c>
      <c r="AE48">
        <v>1.1651321700288899</v>
      </c>
      <c r="AF48">
        <v>1.1651321700288899</v>
      </c>
      <c r="AG48">
        <v>1.1651321700288899</v>
      </c>
      <c r="AH48">
        <v>1.1651321700288899</v>
      </c>
      <c r="AI48">
        <v>1.1651321700288899</v>
      </c>
      <c r="AJ48">
        <v>1.1651321700288899</v>
      </c>
      <c r="AK48">
        <v>0.81559251902022201</v>
      </c>
      <c r="AL48">
        <v>1.1651321700288899</v>
      </c>
      <c r="AM48">
        <v>1.1651321700288899</v>
      </c>
      <c r="AN48">
        <v>0.93210573602311098</v>
      </c>
      <c r="AO48" t="s">
        <v>52</v>
      </c>
    </row>
    <row r="49" spans="1:41" x14ac:dyDescent="0.35">
      <c r="A49" t="s">
        <v>11</v>
      </c>
      <c r="B49" t="s">
        <v>39</v>
      </c>
      <c r="C49" t="s">
        <v>69</v>
      </c>
      <c r="D49" t="s">
        <v>52</v>
      </c>
      <c r="E49" t="s">
        <v>52</v>
      </c>
      <c r="F49" t="s">
        <v>46</v>
      </c>
      <c r="G49" t="s">
        <v>51</v>
      </c>
      <c r="H49" t="s">
        <v>52</v>
      </c>
      <c r="I49" t="s">
        <v>52</v>
      </c>
      <c r="J49" t="s">
        <v>52</v>
      </c>
      <c r="K49" t="s">
        <v>52</v>
      </c>
      <c r="L49">
        <v>0.46605286801155599</v>
      </c>
      <c r="M49">
        <v>0.46605286801155599</v>
      </c>
      <c r="N49">
        <v>0.46605286801155599</v>
      </c>
      <c r="O49">
        <v>0.46605286801155599</v>
      </c>
      <c r="P49">
        <v>0.46605286801155599</v>
      </c>
      <c r="Q49">
        <v>0.46605286801155599</v>
      </c>
      <c r="R49">
        <v>0.46605286801155599</v>
      </c>
      <c r="S49">
        <v>0.46605286801155599</v>
      </c>
      <c r="T49">
        <v>0.37284229440924499</v>
      </c>
      <c r="U49">
        <v>0.69907930201733304</v>
      </c>
      <c r="V49">
        <v>0.46605286801155599</v>
      </c>
      <c r="W49">
        <v>0.46605286801155599</v>
      </c>
      <c r="X49">
        <v>0.46605286801155599</v>
      </c>
      <c r="Y49">
        <v>0.46605286801155599</v>
      </c>
      <c r="Z49">
        <v>0.46605286801155599</v>
      </c>
      <c r="AA49">
        <v>0.46605286801155599</v>
      </c>
      <c r="AB49">
        <v>0.46605286801155599</v>
      </c>
      <c r="AC49">
        <v>0.46605286801155599</v>
      </c>
      <c r="AD49">
        <v>0.41944758121039999</v>
      </c>
      <c r="AE49">
        <v>0.46605286801155599</v>
      </c>
      <c r="AF49">
        <v>0.46605286801155599</v>
      </c>
      <c r="AG49">
        <v>0.46605286801155599</v>
      </c>
      <c r="AH49">
        <v>0.46605286801155599</v>
      </c>
      <c r="AI49">
        <v>0.46605286801155599</v>
      </c>
      <c r="AJ49">
        <v>0.46605286801155599</v>
      </c>
      <c r="AK49">
        <v>0.32623700760808899</v>
      </c>
      <c r="AL49">
        <v>0.46605286801155599</v>
      </c>
      <c r="AM49">
        <v>0.46605286801155599</v>
      </c>
      <c r="AN49">
        <v>0.37284229440924499</v>
      </c>
      <c r="AO49" t="s">
        <v>52</v>
      </c>
    </row>
    <row r="50" spans="1:41" x14ac:dyDescent="0.35">
      <c r="A50" t="s">
        <v>11</v>
      </c>
      <c r="B50" t="s">
        <v>39</v>
      </c>
      <c r="C50" t="s">
        <v>45</v>
      </c>
      <c r="D50" t="s">
        <v>52</v>
      </c>
      <c r="E50" t="s">
        <v>52</v>
      </c>
      <c r="F50" t="s">
        <v>46</v>
      </c>
      <c r="G50" t="s">
        <v>51</v>
      </c>
      <c r="H50" t="s">
        <v>52</v>
      </c>
      <c r="I50" t="s">
        <v>52</v>
      </c>
      <c r="J50" t="s">
        <v>52</v>
      </c>
      <c r="K50" t="s">
        <v>52</v>
      </c>
      <c r="L50">
        <v>0.46605286801155599</v>
      </c>
      <c r="M50">
        <v>0.46605286801155599</v>
      </c>
      <c r="N50">
        <v>0.46605286801155599</v>
      </c>
      <c r="O50">
        <v>0.46605286801155599</v>
      </c>
      <c r="P50">
        <v>0.46605286801155599</v>
      </c>
      <c r="Q50">
        <v>0.46605286801155599</v>
      </c>
      <c r="R50">
        <v>0.46605286801155599</v>
      </c>
      <c r="S50">
        <v>0.46605286801155599</v>
      </c>
      <c r="T50">
        <v>0.37284229440924499</v>
      </c>
      <c r="U50">
        <v>0.69907930201733304</v>
      </c>
      <c r="V50">
        <v>0.46605286801155599</v>
      </c>
      <c r="W50">
        <v>0.46605286801155599</v>
      </c>
      <c r="X50">
        <v>0.46605286801155599</v>
      </c>
      <c r="Y50">
        <v>0.46605286801155599</v>
      </c>
      <c r="Z50">
        <v>0.46605286801155599</v>
      </c>
      <c r="AA50">
        <v>0.46605286801155599</v>
      </c>
      <c r="AB50">
        <v>0.46605286801155599</v>
      </c>
      <c r="AC50">
        <v>0.46605286801155599</v>
      </c>
      <c r="AD50">
        <v>0.41944758121039999</v>
      </c>
      <c r="AE50">
        <v>0.46605286801155599</v>
      </c>
      <c r="AF50">
        <v>0.46605286801155599</v>
      </c>
      <c r="AG50">
        <v>0.46605286801155599</v>
      </c>
      <c r="AH50">
        <v>0.46605286801155599</v>
      </c>
      <c r="AI50">
        <v>0.46605286801155599</v>
      </c>
      <c r="AJ50">
        <v>0.46605286801155599</v>
      </c>
      <c r="AK50">
        <v>0.32623700760808899</v>
      </c>
      <c r="AL50">
        <v>0.46605286801155599</v>
      </c>
      <c r="AM50">
        <v>0.46605286801155599</v>
      </c>
      <c r="AN50">
        <v>0.37284229440924499</v>
      </c>
      <c r="AO50" t="s">
        <v>52</v>
      </c>
    </row>
    <row r="51" spans="1:41" x14ac:dyDescent="0.35">
      <c r="A51" t="s">
        <v>11</v>
      </c>
      <c r="B51" t="s">
        <v>39</v>
      </c>
      <c r="C51" t="s">
        <v>25</v>
      </c>
      <c r="D51" t="s">
        <v>52</v>
      </c>
      <c r="E51" t="s">
        <v>52</v>
      </c>
      <c r="F51" t="s">
        <v>46</v>
      </c>
      <c r="G51" t="s">
        <v>51</v>
      </c>
      <c r="H51" t="s">
        <v>52</v>
      </c>
      <c r="I51" t="s">
        <v>52</v>
      </c>
      <c r="J51" t="s">
        <v>52</v>
      </c>
      <c r="K51" t="s">
        <v>52</v>
      </c>
      <c r="L51">
        <v>0.47553149117899501</v>
      </c>
      <c r="M51">
        <v>0.47553149117899501</v>
      </c>
      <c r="N51">
        <v>0.47553149117899501</v>
      </c>
      <c r="O51">
        <v>0.47553149117899501</v>
      </c>
      <c r="P51">
        <v>0.47553149117899501</v>
      </c>
      <c r="Q51">
        <v>0.47553149117899501</v>
      </c>
      <c r="R51">
        <v>0.47553149117899501</v>
      </c>
      <c r="S51">
        <v>0.47553149117899501</v>
      </c>
      <c r="T51">
        <v>0.38042519294319599</v>
      </c>
      <c r="U51">
        <v>0.71329723676849299</v>
      </c>
      <c r="V51">
        <v>0.47553149117899501</v>
      </c>
      <c r="W51">
        <v>0.47553149117899501</v>
      </c>
      <c r="X51">
        <v>0.47553149117899501</v>
      </c>
      <c r="Y51">
        <v>0.47553149117899501</v>
      </c>
      <c r="Z51">
        <v>0.47553149117899501</v>
      </c>
      <c r="AA51">
        <v>0.47553149117899501</v>
      </c>
      <c r="AB51">
        <v>0.47553149117899501</v>
      </c>
      <c r="AC51">
        <v>0.47553149117899501</v>
      </c>
      <c r="AD51">
        <v>0.42797834206109597</v>
      </c>
      <c r="AE51">
        <v>0.47553149117899501</v>
      </c>
      <c r="AF51">
        <v>0.47553149117899501</v>
      </c>
      <c r="AG51">
        <v>0.47553149117899501</v>
      </c>
      <c r="AH51">
        <v>0.47553149117899501</v>
      </c>
      <c r="AI51">
        <v>0.47553149117899501</v>
      </c>
      <c r="AJ51">
        <v>0.47553149117899501</v>
      </c>
      <c r="AK51">
        <v>0.332872043825297</v>
      </c>
      <c r="AL51">
        <v>0.47553149117899501</v>
      </c>
      <c r="AM51">
        <v>0.47553149117899501</v>
      </c>
      <c r="AN51">
        <v>0.38042519294319599</v>
      </c>
      <c r="AO51" t="s">
        <v>52</v>
      </c>
    </row>
    <row r="52" spans="1:41" x14ac:dyDescent="0.35">
      <c r="A52" t="s">
        <v>11</v>
      </c>
      <c r="B52" t="s">
        <v>39</v>
      </c>
      <c r="C52" t="s">
        <v>62</v>
      </c>
      <c r="D52" t="s">
        <v>52</v>
      </c>
      <c r="E52" t="s">
        <v>52</v>
      </c>
      <c r="F52" t="s">
        <v>46</v>
      </c>
      <c r="G52" t="s">
        <v>51</v>
      </c>
      <c r="H52" t="s">
        <v>52</v>
      </c>
      <c r="I52" t="s">
        <v>52</v>
      </c>
      <c r="J52" t="s">
        <v>52</v>
      </c>
      <c r="K52" t="s">
        <v>52</v>
      </c>
      <c r="L52">
        <v>0.429345439465179</v>
      </c>
      <c r="M52">
        <v>0.429345439465179</v>
      </c>
      <c r="N52">
        <v>0.429345439465179</v>
      </c>
      <c r="O52">
        <v>0.429345439465179</v>
      </c>
      <c r="P52">
        <v>0.429345439465179</v>
      </c>
      <c r="Q52">
        <v>0.429345439465179</v>
      </c>
      <c r="R52">
        <v>0.429345439465179</v>
      </c>
      <c r="S52">
        <v>0.429345439465179</v>
      </c>
      <c r="T52">
        <v>0.34347635157214301</v>
      </c>
      <c r="U52">
        <v>0.64401815919776795</v>
      </c>
      <c r="V52">
        <v>0.429345439465179</v>
      </c>
      <c r="W52">
        <v>0.429345439465179</v>
      </c>
      <c r="X52">
        <v>0.429345439465179</v>
      </c>
      <c r="Y52">
        <v>0.429345439465179</v>
      </c>
      <c r="Z52">
        <v>0.429345439465179</v>
      </c>
      <c r="AA52">
        <v>0.429345439465179</v>
      </c>
      <c r="AB52">
        <v>0.429345439465179</v>
      </c>
      <c r="AC52">
        <v>0.429345439465179</v>
      </c>
      <c r="AD52">
        <v>0.38641089551866098</v>
      </c>
      <c r="AE52">
        <v>0.429345439465179</v>
      </c>
      <c r="AF52">
        <v>0.429345439465179</v>
      </c>
      <c r="AG52">
        <v>0.429345439465179</v>
      </c>
      <c r="AH52">
        <v>0.429345439465179</v>
      </c>
      <c r="AI52">
        <v>0.429345439465179</v>
      </c>
      <c r="AJ52">
        <v>0.429345439465179</v>
      </c>
      <c r="AK52">
        <v>0.30054180762562499</v>
      </c>
      <c r="AL52">
        <v>0.429345439465179</v>
      </c>
      <c r="AM52">
        <v>0.429345439465179</v>
      </c>
      <c r="AN52">
        <v>0.34347635157214301</v>
      </c>
      <c r="AO52" t="s">
        <v>52</v>
      </c>
    </row>
    <row r="53" spans="1:41" x14ac:dyDescent="0.35">
      <c r="A53" t="s">
        <v>11</v>
      </c>
      <c r="B53" t="s">
        <v>39</v>
      </c>
      <c r="C53" t="s">
        <v>50</v>
      </c>
      <c r="D53" t="s">
        <v>52</v>
      </c>
      <c r="E53" t="s">
        <v>52</v>
      </c>
      <c r="F53" t="s">
        <v>46</v>
      </c>
      <c r="G53" t="s">
        <v>51</v>
      </c>
      <c r="H53" t="s">
        <v>52</v>
      </c>
      <c r="I53" t="s">
        <v>52</v>
      </c>
      <c r="J53" t="s">
        <v>52</v>
      </c>
      <c r="K53" t="s">
        <v>52</v>
      </c>
      <c r="L53">
        <v>0.139365903767697</v>
      </c>
      <c r="M53">
        <v>0.139365903767697</v>
      </c>
      <c r="N53">
        <v>0.139365903767697</v>
      </c>
      <c r="O53">
        <v>0.139365903767697</v>
      </c>
      <c r="P53">
        <v>0.139365903767697</v>
      </c>
      <c r="Q53">
        <v>0.139365903767697</v>
      </c>
      <c r="R53">
        <v>0.139365903767697</v>
      </c>
      <c r="S53">
        <v>0.139365903767697</v>
      </c>
      <c r="T53">
        <v>0.139365903767697</v>
      </c>
      <c r="U53">
        <v>0.139365903767697</v>
      </c>
      <c r="V53">
        <v>0.139365903767697</v>
      </c>
      <c r="W53">
        <v>0.139365903767697</v>
      </c>
      <c r="X53">
        <v>0.139365903767697</v>
      </c>
      <c r="Y53">
        <v>0.139365903767697</v>
      </c>
      <c r="Z53">
        <v>0.139365903767697</v>
      </c>
      <c r="AA53">
        <v>0.139365903767697</v>
      </c>
      <c r="AB53">
        <v>0.139365903767697</v>
      </c>
      <c r="AC53">
        <v>0.139365903767697</v>
      </c>
      <c r="AD53">
        <v>0.139365903767697</v>
      </c>
      <c r="AE53">
        <v>0.139365903767697</v>
      </c>
      <c r="AF53">
        <v>0.139365903767697</v>
      </c>
      <c r="AG53">
        <v>0.139365903767697</v>
      </c>
      <c r="AH53">
        <v>0.139365903767697</v>
      </c>
      <c r="AI53">
        <v>0.139365903767697</v>
      </c>
      <c r="AJ53">
        <v>0.139365903767697</v>
      </c>
      <c r="AK53">
        <v>0.139365903767697</v>
      </c>
      <c r="AL53">
        <v>0.139365903767697</v>
      </c>
      <c r="AM53">
        <v>0.139365903767697</v>
      </c>
      <c r="AN53">
        <v>0.139365903767697</v>
      </c>
      <c r="AO53" t="s">
        <v>52</v>
      </c>
    </row>
    <row r="54" spans="1:41" x14ac:dyDescent="0.35">
      <c r="A54" t="s">
        <v>11</v>
      </c>
      <c r="B54" t="s">
        <v>39</v>
      </c>
      <c r="C54" t="s">
        <v>56</v>
      </c>
      <c r="D54" t="s">
        <v>52</v>
      </c>
      <c r="E54" t="s">
        <v>52</v>
      </c>
      <c r="F54" t="s">
        <v>46</v>
      </c>
      <c r="G54" t="s">
        <v>51</v>
      </c>
      <c r="H54" t="s">
        <v>52</v>
      </c>
      <c r="I54" t="s">
        <v>52</v>
      </c>
      <c r="J54" t="s">
        <v>52</v>
      </c>
      <c r="K54" t="s">
        <v>52</v>
      </c>
      <c r="L54">
        <v>0.139365903767697</v>
      </c>
      <c r="M54">
        <v>0.139365903767697</v>
      </c>
      <c r="N54">
        <v>0.139365903767697</v>
      </c>
      <c r="O54">
        <v>0.139365903767697</v>
      </c>
      <c r="P54">
        <v>0.139365903767697</v>
      </c>
      <c r="Q54">
        <v>0.139365903767697</v>
      </c>
      <c r="R54">
        <v>0.139365903767697</v>
      </c>
      <c r="S54">
        <v>0.139365903767697</v>
      </c>
      <c r="T54">
        <v>0.139365903767697</v>
      </c>
      <c r="U54">
        <v>0.139365903767697</v>
      </c>
      <c r="V54">
        <v>0.139365903767697</v>
      </c>
      <c r="W54">
        <v>0.139365903767697</v>
      </c>
      <c r="X54">
        <v>0.139365903767697</v>
      </c>
      <c r="Y54">
        <v>0.139365903767697</v>
      </c>
      <c r="Z54">
        <v>0.139365903767697</v>
      </c>
      <c r="AA54">
        <v>0.139365903767697</v>
      </c>
      <c r="AB54">
        <v>0.139365903767697</v>
      </c>
      <c r="AC54">
        <v>0.139365903767697</v>
      </c>
      <c r="AD54">
        <v>0.139365903767697</v>
      </c>
      <c r="AE54">
        <v>0.139365903767697</v>
      </c>
      <c r="AF54">
        <v>0.139365903767697</v>
      </c>
      <c r="AG54">
        <v>0.139365903767697</v>
      </c>
      <c r="AH54">
        <v>0.139365903767697</v>
      </c>
      <c r="AI54">
        <v>0.139365903767697</v>
      </c>
      <c r="AJ54">
        <v>0.139365903767697</v>
      </c>
      <c r="AK54">
        <v>0.139365903767697</v>
      </c>
      <c r="AL54">
        <v>0.139365903767697</v>
      </c>
      <c r="AM54">
        <v>0.139365903767697</v>
      </c>
      <c r="AN54">
        <v>0.139365903767697</v>
      </c>
      <c r="AO54" t="s">
        <v>52</v>
      </c>
    </row>
    <row r="55" spans="1:41" x14ac:dyDescent="0.35">
      <c r="A55" t="s">
        <v>11</v>
      </c>
      <c r="B55" t="s">
        <v>39</v>
      </c>
      <c r="C55" t="s">
        <v>129</v>
      </c>
      <c r="D55" t="s">
        <v>52</v>
      </c>
      <c r="E55" t="s">
        <v>52</v>
      </c>
      <c r="F55" t="s">
        <v>46</v>
      </c>
      <c r="G55" t="s">
        <v>51</v>
      </c>
      <c r="H55" t="s">
        <v>52</v>
      </c>
      <c r="I55" t="s">
        <v>52</v>
      </c>
      <c r="J55" t="s">
        <v>52</v>
      </c>
      <c r="K55" t="s">
        <v>52</v>
      </c>
      <c r="L55">
        <v>0.139365903767697</v>
      </c>
      <c r="M55">
        <v>0.139365903767697</v>
      </c>
      <c r="N55">
        <v>0.139365903767697</v>
      </c>
      <c r="O55">
        <v>0.139365903767697</v>
      </c>
      <c r="P55">
        <v>0.139365903767697</v>
      </c>
      <c r="Q55">
        <v>0.139365903767697</v>
      </c>
      <c r="R55">
        <v>0.139365903767697</v>
      </c>
      <c r="S55">
        <v>0.139365903767697</v>
      </c>
      <c r="T55">
        <v>0.139365903767697</v>
      </c>
      <c r="U55">
        <v>0.139365903767697</v>
      </c>
      <c r="V55">
        <v>0.139365903767697</v>
      </c>
      <c r="W55">
        <v>0.139365903767697</v>
      </c>
      <c r="X55">
        <v>0.139365903767697</v>
      </c>
      <c r="Y55">
        <v>0.139365903767697</v>
      </c>
      <c r="Z55">
        <v>0.139365903767697</v>
      </c>
      <c r="AA55">
        <v>0.139365903767697</v>
      </c>
      <c r="AB55">
        <v>0.139365903767697</v>
      </c>
      <c r="AC55">
        <v>0.139365903767697</v>
      </c>
      <c r="AD55">
        <v>0.139365903767697</v>
      </c>
      <c r="AE55">
        <v>0.139365903767697</v>
      </c>
      <c r="AF55">
        <v>0.139365903767697</v>
      </c>
      <c r="AG55">
        <v>0.139365903767697</v>
      </c>
      <c r="AH55">
        <v>0.139365903767697</v>
      </c>
      <c r="AI55">
        <v>0.139365903767697</v>
      </c>
      <c r="AJ55">
        <v>0.139365903767697</v>
      </c>
      <c r="AK55">
        <v>0.139365903767697</v>
      </c>
      <c r="AL55">
        <v>0.139365903767697</v>
      </c>
      <c r="AM55">
        <v>0.139365903767697</v>
      </c>
      <c r="AN55">
        <v>0.139365903767697</v>
      </c>
      <c r="AO55" t="s">
        <v>52</v>
      </c>
    </row>
    <row r="56" spans="1:41" x14ac:dyDescent="0.35">
      <c r="A56" t="s">
        <v>11</v>
      </c>
      <c r="B56" t="s">
        <v>39</v>
      </c>
      <c r="C56" t="s">
        <v>65</v>
      </c>
      <c r="D56" t="s">
        <v>52</v>
      </c>
      <c r="E56" t="s">
        <v>52</v>
      </c>
      <c r="F56" t="s">
        <v>46</v>
      </c>
      <c r="G56" t="s">
        <v>51</v>
      </c>
      <c r="H56" t="s">
        <v>52</v>
      </c>
      <c r="I56" t="s">
        <v>52</v>
      </c>
      <c r="J56" t="s">
        <v>52</v>
      </c>
      <c r="K56" t="s">
        <v>52</v>
      </c>
      <c r="L56">
        <v>0.139365903767697</v>
      </c>
      <c r="M56">
        <v>0.139365903767697</v>
      </c>
      <c r="N56">
        <v>0.139365903767697</v>
      </c>
      <c r="O56">
        <v>0.139365903767697</v>
      </c>
      <c r="P56">
        <v>0.139365903767697</v>
      </c>
      <c r="Q56">
        <v>0.139365903767697</v>
      </c>
      <c r="R56">
        <v>0.139365903767697</v>
      </c>
      <c r="S56">
        <v>0.139365903767697</v>
      </c>
      <c r="T56">
        <v>0.139365903767697</v>
      </c>
      <c r="U56">
        <v>0.139365903767697</v>
      </c>
      <c r="V56">
        <v>0.139365903767697</v>
      </c>
      <c r="W56">
        <v>0.139365903767697</v>
      </c>
      <c r="X56">
        <v>0.139365903767697</v>
      </c>
      <c r="Y56">
        <v>0.139365903767697</v>
      </c>
      <c r="Z56">
        <v>0.139365903767697</v>
      </c>
      <c r="AA56">
        <v>0.139365903767697</v>
      </c>
      <c r="AB56">
        <v>0.139365903767697</v>
      </c>
      <c r="AC56">
        <v>0.139365903767697</v>
      </c>
      <c r="AD56">
        <v>0.139365903767697</v>
      </c>
      <c r="AE56">
        <v>0.139365903767697</v>
      </c>
      <c r="AF56">
        <v>0.139365903767697</v>
      </c>
      <c r="AG56">
        <v>0.139365903767697</v>
      </c>
      <c r="AH56">
        <v>0.139365903767697</v>
      </c>
      <c r="AI56">
        <v>0.139365903767697</v>
      </c>
      <c r="AJ56">
        <v>0.139365903767697</v>
      </c>
      <c r="AK56">
        <v>0.139365903767697</v>
      </c>
      <c r="AL56">
        <v>0.139365903767697</v>
      </c>
      <c r="AM56">
        <v>0.139365903767697</v>
      </c>
      <c r="AN56">
        <v>0.139365903767697</v>
      </c>
      <c r="AO56" t="s">
        <v>52</v>
      </c>
    </row>
    <row r="57" spans="1:41" x14ac:dyDescent="0.35">
      <c r="A57" t="s">
        <v>11</v>
      </c>
      <c r="B57" t="s">
        <v>39</v>
      </c>
      <c r="C57" t="s">
        <v>53</v>
      </c>
      <c r="D57" t="s">
        <v>52</v>
      </c>
      <c r="E57" t="s">
        <v>52</v>
      </c>
      <c r="F57" t="s">
        <v>46</v>
      </c>
      <c r="G57" t="s">
        <v>51</v>
      </c>
      <c r="H57" t="s">
        <v>52</v>
      </c>
      <c r="I57" t="s">
        <v>52</v>
      </c>
      <c r="J57" t="s">
        <v>52</v>
      </c>
      <c r="K57" t="s">
        <v>52</v>
      </c>
      <c r="L57">
        <v>0.379626024625345</v>
      </c>
      <c r="M57">
        <v>0.379626024625345</v>
      </c>
      <c r="N57">
        <v>0.379626024625345</v>
      </c>
      <c r="O57">
        <v>0.379626024625345</v>
      </c>
      <c r="P57">
        <v>0.379626024625345</v>
      </c>
      <c r="Q57">
        <v>0.379626024625345</v>
      </c>
      <c r="R57">
        <v>0.379626024625345</v>
      </c>
      <c r="S57">
        <v>0.379626024625345</v>
      </c>
      <c r="T57">
        <v>0.379626024625345</v>
      </c>
      <c r="U57">
        <v>0.379626024625345</v>
      </c>
      <c r="V57">
        <v>0.379626024625345</v>
      </c>
      <c r="W57">
        <v>0.379626024625345</v>
      </c>
      <c r="X57">
        <v>0.379626024625345</v>
      </c>
      <c r="Y57">
        <v>0.379626024625345</v>
      </c>
      <c r="Z57">
        <v>0.379626024625345</v>
      </c>
      <c r="AA57">
        <v>0.379626024625345</v>
      </c>
      <c r="AB57">
        <v>0.379626024625345</v>
      </c>
      <c r="AC57">
        <v>0.379626024625345</v>
      </c>
      <c r="AD57">
        <v>0.379626024625345</v>
      </c>
      <c r="AE57">
        <v>0.379626024625345</v>
      </c>
      <c r="AF57">
        <v>0.379626024625345</v>
      </c>
      <c r="AG57">
        <v>0.379626024625345</v>
      </c>
      <c r="AH57">
        <v>0.379626024625345</v>
      </c>
      <c r="AI57">
        <v>0.379626024625345</v>
      </c>
      <c r="AJ57">
        <v>0.379626024625345</v>
      </c>
      <c r="AK57">
        <v>0.379626024625345</v>
      </c>
      <c r="AL57">
        <v>0.379626024625345</v>
      </c>
      <c r="AM57">
        <v>0.379626024625345</v>
      </c>
      <c r="AN57">
        <v>0.379626024625345</v>
      </c>
      <c r="AO57" t="s">
        <v>52</v>
      </c>
    </row>
    <row r="58" spans="1:41" x14ac:dyDescent="0.35">
      <c r="A58" t="s">
        <v>11</v>
      </c>
      <c r="B58" t="s">
        <v>39</v>
      </c>
      <c r="C58" t="s">
        <v>60</v>
      </c>
      <c r="D58" t="s">
        <v>52</v>
      </c>
      <c r="E58" t="s">
        <v>52</v>
      </c>
      <c r="F58" t="s">
        <v>46</v>
      </c>
      <c r="G58" t="s">
        <v>51</v>
      </c>
      <c r="H58" t="s">
        <v>52</v>
      </c>
      <c r="I58" t="s">
        <v>52</v>
      </c>
      <c r="J58" t="s">
        <v>52</v>
      </c>
      <c r="K58" t="s">
        <v>52</v>
      </c>
      <c r="L58">
        <v>0.379626024625345</v>
      </c>
      <c r="M58">
        <v>0.379626024625345</v>
      </c>
      <c r="N58">
        <v>0.379626024625345</v>
      </c>
      <c r="O58">
        <v>0.379626024625345</v>
      </c>
      <c r="P58">
        <v>0.379626024625345</v>
      </c>
      <c r="Q58">
        <v>0.379626024625345</v>
      </c>
      <c r="R58">
        <v>0.379626024625345</v>
      </c>
      <c r="S58">
        <v>0.379626024625345</v>
      </c>
      <c r="T58">
        <v>0.379626024625345</v>
      </c>
      <c r="U58">
        <v>0.379626024625345</v>
      </c>
      <c r="V58">
        <v>0.379626024625345</v>
      </c>
      <c r="W58">
        <v>0.379626024625345</v>
      </c>
      <c r="X58">
        <v>0.379626024625345</v>
      </c>
      <c r="Y58">
        <v>0.379626024625345</v>
      </c>
      <c r="Z58">
        <v>0.379626024625345</v>
      </c>
      <c r="AA58">
        <v>0.379626024625345</v>
      </c>
      <c r="AB58">
        <v>0.379626024625345</v>
      </c>
      <c r="AC58">
        <v>0.379626024625345</v>
      </c>
      <c r="AD58">
        <v>0.379626024625345</v>
      </c>
      <c r="AE58">
        <v>0.379626024625345</v>
      </c>
      <c r="AF58">
        <v>0.379626024625345</v>
      </c>
      <c r="AG58">
        <v>0.379626024625345</v>
      </c>
      <c r="AH58">
        <v>0.379626024625345</v>
      </c>
      <c r="AI58">
        <v>0.379626024625345</v>
      </c>
      <c r="AJ58">
        <v>0.379626024625345</v>
      </c>
      <c r="AK58">
        <v>0.379626024625345</v>
      </c>
      <c r="AL58">
        <v>0.379626024625345</v>
      </c>
      <c r="AM58">
        <v>0.379626024625345</v>
      </c>
      <c r="AN58">
        <v>0.379626024625345</v>
      </c>
      <c r="AO58" t="s">
        <v>52</v>
      </c>
    </row>
    <row r="59" spans="1:41" x14ac:dyDescent="0.35">
      <c r="A59" t="s">
        <v>11</v>
      </c>
      <c r="B59" t="s">
        <v>39</v>
      </c>
      <c r="C59" t="s">
        <v>66</v>
      </c>
      <c r="D59" t="s">
        <v>52</v>
      </c>
      <c r="E59" t="s">
        <v>52</v>
      </c>
      <c r="F59" t="s">
        <v>46</v>
      </c>
      <c r="G59" t="s">
        <v>51</v>
      </c>
      <c r="H59" t="s">
        <v>52</v>
      </c>
      <c r="I59" t="s">
        <v>52</v>
      </c>
      <c r="J59" t="s">
        <v>52</v>
      </c>
      <c r="K59" t="s">
        <v>52</v>
      </c>
      <c r="L59">
        <v>0.74542647386440897</v>
      </c>
      <c r="M59">
        <v>0.74542647386440897</v>
      </c>
      <c r="N59">
        <v>0.74542647386440897</v>
      </c>
      <c r="O59">
        <v>0.74542647386440897</v>
      </c>
      <c r="P59">
        <v>0.74542647386440897</v>
      </c>
      <c r="Q59">
        <v>0.74542647386440897</v>
      </c>
      <c r="R59">
        <v>0.74542647386440897</v>
      </c>
      <c r="S59">
        <v>0.74542647386440897</v>
      </c>
      <c r="T59">
        <v>0.74542647386440897</v>
      </c>
      <c r="U59">
        <v>0.74542647386440897</v>
      </c>
      <c r="V59">
        <v>0.74542647386440897</v>
      </c>
      <c r="W59">
        <v>0.74542647386440897</v>
      </c>
      <c r="X59">
        <v>0.74542647386440897</v>
      </c>
      <c r="Y59">
        <v>0.74542647386440897</v>
      </c>
      <c r="Z59">
        <v>0.74542647386440897</v>
      </c>
      <c r="AA59">
        <v>0.74542647386440897</v>
      </c>
      <c r="AB59">
        <v>0.74542647386440897</v>
      </c>
      <c r="AC59">
        <v>0.74542647386440897</v>
      </c>
      <c r="AD59">
        <v>0.74542647386440897</v>
      </c>
      <c r="AE59">
        <v>0.74542647386440897</v>
      </c>
      <c r="AF59">
        <v>0.74542647386440897</v>
      </c>
      <c r="AG59">
        <v>0.74542647386440897</v>
      </c>
      <c r="AH59">
        <v>0.74542647386440897</v>
      </c>
      <c r="AI59">
        <v>0.74542647386440897</v>
      </c>
      <c r="AJ59">
        <v>0.74542647386440897</v>
      </c>
      <c r="AK59">
        <v>0.74542647386440897</v>
      </c>
      <c r="AL59">
        <v>0.74542647386440897</v>
      </c>
      <c r="AM59">
        <v>0.74542647386440897</v>
      </c>
      <c r="AN59">
        <v>0.74542647386440897</v>
      </c>
      <c r="AO59" t="s">
        <v>52</v>
      </c>
    </row>
    <row r="60" spans="1:41" x14ac:dyDescent="0.35">
      <c r="A60" t="s">
        <v>11</v>
      </c>
      <c r="B60" t="s">
        <v>39</v>
      </c>
      <c r="C60" t="s">
        <v>68</v>
      </c>
      <c r="D60" t="s">
        <v>52</v>
      </c>
      <c r="E60" t="s">
        <v>52</v>
      </c>
      <c r="F60" t="s">
        <v>46</v>
      </c>
      <c r="G60" t="s">
        <v>51</v>
      </c>
      <c r="H60" t="s">
        <v>52</v>
      </c>
      <c r="I60" t="s">
        <v>52</v>
      </c>
      <c r="J60" t="s">
        <v>52</v>
      </c>
      <c r="K60" t="s">
        <v>52</v>
      </c>
      <c r="L60">
        <v>0.37271323693220398</v>
      </c>
      <c r="M60">
        <v>0.37271323693220398</v>
      </c>
      <c r="N60">
        <v>0.37271323693220398</v>
      </c>
      <c r="O60">
        <v>0.37271323693220398</v>
      </c>
      <c r="P60">
        <v>0.37271323693220398</v>
      </c>
      <c r="Q60">
        <v>0.37271323693220398</v>
      </c>
      <c r="R60">
        <v>0.37271323693220398</v>
      </c>
      <c r="S60">
        <v>0.37271323693220398</v>
      </c>
      <c r="T60">
        <v>0.37271323693220398</v>
      </c>
      <c r="U60">
        <v>0.37271323693220398</v>
      </c>
      <c r="V60">
        <v>0.37271323693220398</v>
      </c>
      <c r="W60">
        <v>0.37271323693220398</v>
      </c>
      <c r="X60">
        <v>0.37271323693220398</v>
      </c>
      <c r="Y60">
        <v>0.37271323693220398</v>
      </c>
      <c r="Z60">
        <v>0.37271323693220398</v>
      </c>
      <c r="AA60">
        <v>0.37271323693220398</v>
      </c>
      <c r="AB60">
        <v>0.37271323693220398</v>
      </c>
      <c r="AC60">
        <v>0.37271323693220398</v>
      </c>
      <c r="AD60">
        <v>0.37271323693220398</v>
      </c>
      <c r="AE60">
        <v>0.37271323693220398</v>
      </c>
      <c r="AF60">
        <v>0.37271323693220398</v>
      </c>
      <c r="AG60">
        <v>0.37271323693220398</v>
      </c>
      <c r="AH60">
        <v>0.37271323693220398</v>
      </c>
      <c r="AI60">
        <v>0.37271323693220398</v>
      </c>
      <c r="AJ60">
        <v>0.37271323693220398</v>
      </c>
      <c r="AK60">
        <v>0.37271323693220398</v>
      </c>
      <c r="AL60">
        <v>0.37271323693220398</v>
      </c>
      <c r="AM60">
        <v>0.37271323693220398</v>
      </c>
      <c r="AN60">
        <v>0.37271323693220398</v>
      </c>
      <c r="AO60" t="s">
        <v>52</v>
      </c>
    </row>
    <row r="61" spans="1:41" x14ac:dyDescent="0.35">
      <c r="A61" t="s">
        <v>11</v>
      </c>
      <c r="B61" t="s">
        <v>39</v>
      </c>
      <c r="C61" t="s">
        <v>42</v>
      </c>
      <c r="D61" t="s">
        <v>52</v>
      </c>
      <c r="E61" t="s">
        <v>52</v>
      </c>
      <c r="F61" t="s">
        <v>46</v>
      </c>
      <c r="G61" t="s">
        <v>51</v>
      </c>
      <c r="H61" t="s">
        <v>52</v>
      </c>
      <c r="I61" t="s">
        <v>52</v>
      </c>
      <c r="J61" t="s">
        <v>52</v>
      </c>
      <c r="K61" t="s">
        <v>52</v>
      </c>
      <c r="L61">
        <v>0.37271323693220398</v>
      </c>
      <c r="M61">
        <v>0.37271323693220398</v>
      </c>
      <c r="N61">
        <v>0.37271323693220398</v>
      </c>
      <c r="O61">
        <v>0.37271323693220398</v>
      </c>
      <c r="P61">
        <v>0.37271323693220398</v>
      </c>
      <c r="Q61">
        <v>0.37271323693220398</v>
      </c>
      <c r="R61">
        <v>0.37271323693220398</v>
      </c>
      <c r="S61">
        <v>0.37271323693220398</v>
      </c>
      <c r="T61">
        <v>0.37271323693220398</v>
      </c>
      <c r="U61">
        <v>0.37271323693220398</v>
      </c>
      <c r="V61">
        <v>0.37271323693220398</v>
      </c>
      <c r="W61">
        <v>0.37271323693220398</v>
      </c>
      <c r="X61">
        <v>0.37271323693220398</v>
      </c>
      <c r="Y61">
        <v>0.37271323693220398</v>
      </c>
      <c r="Z61">
        <v>0.37271323693220398</v>
      </c>
      <c r="AA61">
        <v>0.37271323693220398</v>
      </c>
      <c r="AB61">
        <v>0.37271323693220398</v>
      </c>
      <c r="AC61">
        <v>0.37271323693220398</v>
      </c>
      <c r="AD61">
        <v>0.37271323693220398</v>
      </c>
      <c r="AE61">
        <v>0.37271323693220398</v>
      </c>
      <c r="AF61">
        <v>0.37271323693220398</v>
      </c>
      <c r="AG61">
        <v>0.37271323693220398</v>
      </c>
      <c r="AH61">
        <v>0.37271323693220398</v>
      </c>
      <c r="AI61">
        <v>0.37271323693220398</v>
      </c>
      <c r="AJ61">
        <v>0.37271323693220398</v>
      </c>
      <c r="AK61">
        <v>0.37271323693220398</v>
      </c>
      <c r="AL61">
        <v>0.37271323693220398</v>
      </c>
      <c r="AM61">
        <v>0.37271323693220398</v>
      </c>
      <c r="AN61">
        <v>0.37271323693220398</v>
      </c>
      <c r="AO61" t="s">
        <v>52</v>
      </c>
    </row>
    <row r="62" spans="1:41" x14ac:dyDescent="0.35">
      <c r="A62" t="s">
        <v>11</v>
      </c>
      <c r="B62" t="s">
        <v>39</v>
      </c>
      <c r="C62" t="s">
        <v>70</v>
      </c>
      <c r="D62" t="s">
        <v>52</v>
      </c>
      <c r="E62" t="s">
        <v>52</v>
      </c>
      <c r="F62" t="s">
        <v>46</v>
      </c>
      <c r="G62" t="s">
        <v>51</v>
      </c>
      <c r="H62" t="s">
        <v>52</v>
      </c>
      <c r="I62" t="s">
        <v>52</v>
      </c>
      <c r="J62" t="s">
        <v>52</v>
      </c>
      <c r="K62" t="s">
        <v>52</v>
      </c>
      <c r="L62">
        <v>0.44075733528719402</v>
      </c>
      <c r="M62">
        <v>0.44075733528719402</v>
      </c>
      <c r="N62">
        <v>0.44075733528719402</v>
      </c>
      <c r="O62">
        <v>0.44075733528719402</v>
      </c>
      <c r="P62">
        <v>0.44075733528719402</v>
      </c>
      <c r="Q62">
        <v>0.44075733528719402</v>
      </c>
      <c r="R62">
        <v>0.44075733528719402</v>
      </c>
      <c r="S62">
        <v>0.44075733528719402</v>
      </c>
      <c r="T62">
        <v>0.44075733528719402</v>
      </c>
      <c r="U62">
        <v>0.44075733528719402</v>
      </c>
      <c r="V62">
        <v>0.44075733528719402</v>
      </c>
      <c r="W62">
        <v>0.44075733528719402</v>
      </c>
      <c r="X62">
        <v>0.44075733528719402</v>
      </c>
      <c r="Y62">
        <v>0.44075733528719402</v>
      </c>
      <c r="Z62">
        <v>0.44075733528719402</v>
      </c>
      <c r="AA62">
        <v>0.44075733528719402</v>
      </c>
      <c r="AB62">
        <v>0.44075733528719402</v>
      </c>
      <c r="AC62">
        <v>0.44075733528719402</v>
      </c>
      <c r="AD62">
        <v>0.44075733528719402</v>
      </c>
      <c r="AE62">
        <v>0.44075733528719402</v>
      </c>
      <c r="AF62">
        <v>0.44075733528719402</v>
      </c>
      <c r="AG62">
        <v>0.44075733528719402</v>
      </c>
      <c r="AH62">
        <v>0.44075733528719402</v>
      </c>
      <c r="AI62">
        <v>0.44075733528719402</v>
      </c>
      <c r="AJ62">
        <v>0.44075733528719402</v>
      </c>
      <c r="AK62">
        <v>0.44075733528719402</v>
      </c>
      <c r="AL62">
        <v>0.44075733528719402</v>
      </c>
      <c r="AM62">
        <v>0.44075733528719402</v>
      </c>
      <c r="AN62">
        <v>0.44075733528719402</v>
      </c>
      <c r="AO62" t="s">
        <v>52</v>
      </c>
    </row>
    <row r="63" spans="1:41" x14ac:dyDescent="0.35">
      <c r="A63" t="s">
        <v>11</v>
      </c>
      <c r="B63" t="s">
        <v>39</v>
      </c>
      <c r="C63" t="s">
        <v>48</v>
      </c>
      <c r="D63" t="s">
        <v>52</v>
      </c>
      <c r="E63" t="s">
        <v>52</v>
      </c>
      <c r="F63" t="s">
        <v>46</v>
      </c>
      <c r="G63" t="s">
        <v>51</v>
      </c>
      <c r="H63" t="s">
        <v>52</v>
      </c>
      <c r="I63" t="s">
        <v>52</v>
      </c>
      <c r="J63" t="s">
        <v>52</v>
      </c>
      <c r="K63" t="s">
        <v>52</v>
      </c>
      <c r="L63">
        <v>0.32948443032272601</v>
      </c>
      <c r="M63">
        <v>0.32948443032272601</v>
      </c>
      <c r="N63">
        <v>0.32948443032272601</v>
      </c>
      <c r="O63">
        <v>0.32948443032272601</v>
      </c>
      <c r="P63">
        <v>0.32948443032272601</v>
      </c>
      <c r="Q63">
        <v>0.32948443032272601</v>
      </c>
      <c r="R63">
        <v>0.32948443032272601</v>
      </c>
      <c r="S63">
        <v>0.32948443032272601</v>
      </c>
      <c r="T63">
        <v>0.32948443032272601</v>
      </c>
      <c r="U63">
        <v>0.32948443032272601</v>
      </c>
      <c r="V63">
        <v>0.32948443032272601</v>
      </c>
      <c r="W63">
        <v>0.32948443032272601</v>
      </c>
      <c r="X63">
        <v>0.32948443032272601</v>
      </c>
      <c r="Y63">
        <v>0.32948443032272601</v>
      </c>
      <c r="Z63">
        <v>0.32948443032272601</v>
      </c>
      <c r="AA63">
        <v>0.32948443032272601</v>
      </c>
      <c r="AB63">
        <v>0.32948443032272601</v>
      </c>
      <c r="AC63">
        <v>0.32948443032272601</v>
      </c>
      <c r="AD63">
        <v>0.32948443032272601</v>
      </c>
      <c r="AE63">
        <v>0.32948443032272601</v>
      </c>
      <c r="AF63">
        <v>0.32948443032272601</v>
      </c>
      <c r="AG63">
        <v>0.32948443032272601</v>
      </c>
      <c r="AH63">
        <v>0.32948443032272601</v>
      </c>
      <c r="AI63">
        <v>0.32948443032272601</v>
      </c>
      <c r="AJ63">
        <v>0.32948443032272601</v>
      </c>
      <c r="AK63">
        <v>0.32948443032272601</v>
      </c>
      <c r="AL63">
        <v>0.32948443032272601</v>
      </c>
      <c r="AM63">
        <v>0.32948443032272601</v>
      </c>
      <c r="AN63">
        <v>0.32948443032272601</v>
      </c>
      <c r="AO6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TechSelection</vt:lpstr>
      <vt:lpstr>Road transport</vt:lpstr>
      <vt:lpstr>RoadTra_BY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cp:lastPrinted>2001-09-28T20:39:50Z</cp:lastPrinted>
  <dcterms:created xsi:type="dcterms:W3CDTF">2001-09-28T18:48:17Z</dcterms:created>
  <dcterms:modified xsi:type="dcterms:W3CDTF">2025-04-19T19:31:08Z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{EB3971F8-0E88-4138-9B5F-5661BAE86EB6}</vt:lpwstr>
  </property>
  <property fmtid="{D5CDD505-2E9C-101B-9397-08002B2CF9AE}" pid="3" name="SaveCode">
    <vt:r8>471264064311981</vt:r8>
  </property>
</Properties>
</file>