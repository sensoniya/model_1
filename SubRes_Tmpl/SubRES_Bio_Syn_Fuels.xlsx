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KiNESYS_IFP-main - Copie - Copie\SubRes_Tmpl\"/>
    </mc:Choice>
  </mc:AlternateContent>
  <xr:revisionPtr revIDLastSave="0" documentId="13_ncr:1_{A15EA4C7-3FF2-4363-B87D-DF231DD74DBE}" xr6:coauthVersionLast="47" xr6:coauthVersionMax="47" xr10:uidLastSave="{00000000-0000-0000-0000-000000000000}"/>
  <bookViews>
    <workbookView xWindow="7665" yWindow="-14445" windowWidth="11520" windowHeight="8970" activeTab="1" xr2:uid="{00000000-000D-0000-FFFF-FFFF00000000}"/>
  </bookViews>
  <sheets>
    <sheet name="data" sheetId="4" r:id="rId1"/>
    <sheet name="RHG data" sheetId="5" r:id="rId2"/>
    <sheet name="Sector fuels" sheetId="11" r:id="rId3"/>
    <sheet name="conversion_blend_outputs" sheetId="6" r:id="rId4"/>
    <sheet name="conversion_capital_cost" sheetId="7" r:id="rId5"/>
    <sheet name="conversion_fixed_om" sheetId="8" r:id="rId6"/>
    <sheet name="conversion_variable_om" sheetId="9" r:id="rId7"/>
    <sheet name="conversion_efficiency" sheetId="10" r:id="rId8"/>
  </sheets>
  <externalReferences>
    <externalReference r:id="rId9"/>
  </externalReferences>
  <definedNames>
    <definedName name="_xlnm._FilterDatabase" localSheetId="3" hidden="1">conversion_blend_outputs!$A$1:$B$44</definedName>
    <definedName name="_xlnm._FilterDatabase" localSheetId="4" hidden="1">conversion_capital_cost!$A$1:$O$49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5" l="1"/>
  <c r="X23" i="5" s="1"/>
  <c r="P24" i="5"/>
  <c r="P23" i="5"/>
  <c r="P22" i="5"/>
  <c r="K17" i="5" l="1"/>
  <c r="A4" i="11"/>
  <c r="G4" i="11" s="1"/>
  <c r="B3" i="11"/>
  <c r="A3" i="11" s="1"/>
  <c r="G3" i="11" s="1"/>
  <c r="Y4" i="5" l="1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3" i="5"/>
  <c r="E22" i="5"/>
  <c r="K22" i="5"/>
  <c r="K23" i="5" s="1"/>
  <c r="K24" i="5" s="1"/>
  <c r="I17" i="5"/>
  <c r="J17" i="5"/>
  <c r="I18" i="5"/>
  <c r="J18" i="5"/>
  <c r="I19" i="5"/>
  <c r="J19" i="5"/>
  <c r="I20" i="5"/>
  <c r="J20" i="5"/>
  <c r="I21" i="5"/>
  <c r="J21" i="5"/>
  <c r="H19" i="5"/>
  <c r="H20" i="5"/>
  <c r="H21" i="5"/>
  <c r="H17" i="5"/>
  <c r="H18" i="5"/>
  <c r="E4" i="5"/>
  <c r="E5" i="5"/>
  <c r="T5" i="5" s="1"/>
  <c r="E6" i="5"/>
  <c r="T6" i="5" s="1"/>
  <c r="E7" i="5"/>
  <c r="E8" i="5"/>
  <c r="E9" i="5"/>
  <c r="X9" i="5" s="1"/>
  <c r="E10" i="5"/>
  <c r="E11" i="5"/>
  <c r="E12" i="5"/>
  <c r="X12" i="5" s="1"/>
  <c r="E13" i="5"/>
  <c r="E14" i="5"/>
  <c r="E15" i="5"/>
  <c r="X15" i="5" s="1"/>
  <c r="E16" i="5"/>
  <c r="E17" i="5"/>
  <c r="E18" i="5"/>
  <c r="X18" i="5" s="1"/>
  <c r="E19" i="5"/>
  <c r="E20" i="5"/>
  <c r="X20" i="5" s="1"/>
  <c r="E21" i="5"/>
  <c r="T21" i="5" s="1"/>
  <c r="E3" i="5"/>
  <c r="T3" i="5" s="1"/>
  <c r="H40" i="6"/>
  <c r="H41" i="6"/>
  <c r="H42" i="6"/>
  <c r="H43" i="6" s="1"/>
  <c r="H44" i="6" s="1"/>
  <c r="H45" i="6" s="1"/>
  <c r="H46" i="6" s="1"/>
  <c r="H47" i="6"/>
  <c r="N47" i="6"/>
  <c r="N41" i="6"/>
  <c r="N40" i="6"/>
  <c r="N39" i="6"/>
  <c r="H39" i="6" s="1"/>
  <c r="N38" i="6"/>
  <c r="H38" i="6" s="1"/>
  <c r="N37" i="6"/>
  <c r="H37" i="6" s="1"/>
  <c r="N36" i="6"/>
  <c r="H36" i="6" s="1"/>
  <c r="N35" i="6"/>
  <c r="H35" i="6" s="1"/>
  <c r="N34" i="6"/>
  <c r="H34" i="6" s="1"/>
  <c r="N33" i="6"/>
  <c r="H33" i="6" s="1"/>
  <c r="N32" i="6"/>
  <c r="H32" i="6" s="1"/>
  <c r="N31" i="6"/>
  <c r="H31" i="6" s="1"/>
  <c r="N30" i="6"/>
  <c r="H30" i="6" s="1"/>
  <c r="N29" i="6"/>
  <c r="N28" i="6"/>
  <c r="H28" i="6" s="1"/>
  <c r="N27" i="6"/>
  <c r="H27" i="6" s="1"/>
  <c r="N26" i="6"/>
  <c r="N25" i="6"/>
  <c r="N24" i="6"/>
  <c r="N23" i="6"/>
  <c r="N22" i="6"/>
  <c r="H22" i="6" s="1"/>
  <c r="N21" i="6"/>
  <c r="N20" i="6"/>
  <c r="N19" i="6"/>
  <c r="N18" i="6"/>
  <c r="N17" i="6"/>
  <c r="H17" i="6" s="1"/>
  <c r="H18" i="6" s="1"/>
  <c r="H19" i="6" s="1"/>
  <c r="H20" i="6" s="1"/>
  <c r="H21" i="6" s="1"/>
  <c r="N16" i="6"/>
  <c r="N15" i="6"/>
  <c r="N14" i="6"/>
  <c r="N13" i="6"/>
  <c r="H13" i="6" s="1"/>
  <c r="H14" i="6" s="1"/>
  <c r="H15" i="6" s="1"/>
  <c r="H16" i="6" s="1"/>
  <c r="N12" i="6"/>
  <c r="N11" i="6"/>
  <c r="N10" i="6"/>
  <c r="N9" i="6"/>
  <c r="H9" i="6" s="1"/>
  <c r="H10" i="6" s="1"/>
  <c r="H11" i="6" s="1"/>
  <c r="N8" i="6"/>
  <c r="H8" i="6" s="1"/>
  <c r="N7" i="6"/>
  <c r="H7" i="6" s="1"/>
  <c r="N6" i="6"/>
  <c r="H6" i="6" s="1"/>
  <c r="N5" i="6"/>
  <c r="H5" i="6" s="1"/>
  <c r="L4" i="5"/>
  <c r="K5" i="5"/>
  <c r="L6" i="5"/>
  <c r="K8" i="5"/>
  <c r="L9" i="5"/>
  <c r="N10" i="5"/>
  <c r="N11" i="5"/>
  <c r="K12" i="5"/>
  <c r="L13" i="5"/>
  <c r="N14" i="5"/>
  <c r="N15" i="5"/>
  <c r="L20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3" i="5"/>
  <c r="F21" i="5"/>
  <c r="P21" i="5" s="1"/>
  <c r="F20" i="5"/>
  <c r="P20" i="5" s="1"/>
  <c r="F19" i="5"/>
  <c r="F18" i="5"/>
  <c r="P18" i="5" s="1"/>
  <c r="F17" i="5"/>
  <c r="O17" i="5" s="1"/>
  <c r="F16" i="5"/>
  <c r="R16" i="5" s="1"/>
  <c r="F15" i="5"/>
  <c r="Q15" i="5" s="1"/>
  <c r="F14" i="5"/>
  <c r="Q14" i="5" s="1"/>
  <c r="F13" i="5"/>
  <c r="P13" i="5" s="1"/>
  <c r="F12" i="5"/>
  <c r="O12" i="5" s="1"/>
  <c r="F11" i="5"/>
  <c r="Q11" i="5" s="1"/>
  <c r="F10" i="5"/>
  <c r="Q10" i="5" s="1"/>
  <c r="F9" i="5"/>
  <c r="P9" i="5" s="1"/>
  <c r="F8" i="5"/>
  <c r="O8" i="5" s="1"/>
  <c r="F7" i="5"/>
  <c r="R7" i="5" s="1"/>
  <c r="F6" i="5"/>
  <c r="P6" i="5" s="1"/>
  <c r="F5" i="5"/>
  <c r="O5" i="5" s="1"/>
  <c r="F4" i="5"/>
  <c r="P4" i="5" s="1"/>
  <c r="F3" i="5"/>
  <c r="O3" i="5" s="1"/>
  <c r="K18" i="4"/>
  <c r="B13" i="4"/>
  <c r="H8" i="4"/>
  <c r="B12" i="4"/>
  <c r="B11" i="4"/>
  <c r="B8" i="4"/>
  <c r="H23" i="6" l="1"/>
  <c r="H24" i="6" s="1"/>
  <c r="H25" i="6" s="1"/>
  <c r="H26" i="6" s="1"/>
  <c r="X19" i="5"/>
  <c r="T14" i="5"/>
  <c r="X11" i="5"/>
  <c r="X10" i="5"/>
  <c r="H29" i="6"/>
  <c r="X4" i="5"/>
  <c r="X22" i="5"/>
  <c r="T16" i="5"/>
  <c r="S17" i="5"/>
  <c r="X21" i="5"/>
  <c r="X17" i="5"/>
  <c r="X14" i="5"/>
  <c r="T12" i="5"/>
  <c r="T8" i="5"/>
  <c r="X8" i="5"/>
  <c r="X7" i="5"/>
  <c r="X6" i="5"/>
  <c r="X5" i="5"/>
  <c r="T11" i="5"/>
  <c r="X16" i="5"/>
  <c r="X13" i="5"/>
  <c r="H12" i="6"/>
  <c r="S18" i="5"/>
  <c r="X3" i="5"/>
  <c r="T7" i="5"/>
  <c r="T20" i="5"/>
  <c r="T4" i="5"/>
  <c r="S16" i="5"/>
  <c r="S19" i="5"/>
  <c r="S15" i="5"/>
  <c r="T17" i="5"/>
  <c r="T19" i="5"/>
  <c r="T18" i="5"/>
  <c r="T10" i="5"/>
  <c r="S14" i="5"/>
  <c r="T9" i="5"/>
  <c r="S13" i="5"/>
  <c r="S12" i="5"/>
  <c r="T15" i="5"/>
  <c r="S11" i="5"/>
  <c r="S10" i="5"/>
  <c r="T13" i="5"/>
  <c r="S9" i="5"/>
  <c r="S8" i="5"/>
  <c r="S7" i="5"/>
  <c r="S3" i="5"/>
  <c r="S6" i="5"/>
  <c r="S21" i="5"/>
  <c r="S5" i="5"/>
  <c r="S20" i="5"/>
  <c r="S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Q7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7" authorId="0" shapeId="0" xr:uid="{00000000-0006-0000-00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8" authorId="1" shapeId="0" xr:uid="{00000000-0006-0000-0000-00000300000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15-04-2022
to get prices about 20% higher than fossil equivalents
</t>
        </r>
      </text>
    </comment>
    <comment ref="H13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26-06-2023
This corresponds to a variable cost of $120/t CO2
</t>
        </r>
      </text>
    </comment>
  </commentList>
</comments>
</file>

<file path=xl/sharedStrings.xml><?xml version="1.0" encoding="utf-8"?>
<sst xmlns="http://schemas.openxmlformats.org/spreadsheetml/2006/main" count="1097" uniqueCount="205">
  <si>
    <t>TechName</t>
  </si>
  <si>
    <t>TechDesc</t>
  </si>
  <si>
    <t>Comm-IN</t>
  </si>
  <si>
    <t>Comm-OUT</t>
  </si>
  <si>
    <t>Sets</t>
  </si>
  <si>
    <t>~FI_Process</t>
  </si>
  <si>
    <t>Tact</t>
  </si>
  <si>
    <t>Tcap</t>
  </si>
  <si>
    <t>Tslvl</t>
  </si>
  <si>
    <t>PrimaryCG</t>
  </si>
  <si>
    <t>Vintage</t>
  </si>
  <si>
    <t>PRE</t>
  </si>
  <si>
    <t>Simple_bioref</t>
  </si>
  <si>
    <t>BIOBSL</t>
  </si>
  <si>
    <t>BIODST</t>
  </si>
  <si>
    <t>BIOGSL</t>
  </si>
  <si>
    <t>CEFF</t>
  </si>
  <si>
    <t>FLO_COST</t>
  </si>
  <si>
    <t>place holder bio refinery</t>
  </si>
  <si>
    <t>PJ-A</t>
  </si>
  <si>
    <t>PJ</t>
  </si>
  <si>
    <t>refineryinput</t>
  </si>
  <si>
    <t>place holder to balance REFFEED</t>
  </si>
  <si>
    <t>OILCRD</t>
  </si>
  <si>
    <t>EFF</t>
  </si>
  <si>
    <t>OILFEE,OILNCR,OILNSP</t>
  </si>
  <si>
    <t>ethanesupply</t>
  </si>
  <si>
    <t>place holder for ethane production</t>
  </si>
  <si>
    <t>OILNGL</t>
  </si>
  <si>
    <t>GASETH</t>
  </si>
  <si>
    <t>INVCOST</t>
  </si>
  <si>
    <t>LIFE</t>
  </si>
  <si>
    <t>kt</t>
  </si>
  <si>
    <t>ktpa</t>
  </si>
  <si>
    <t>IND_CCS</t>
  </si>
  <si>
    <t>Generic Industrial CCS (controlled via UC_IND CCS)</t>
  </si>
  <si>
    <t>blend</t>
  </si>
  <si>
    <t>tech</t>
  </si>
  <si>
    <t>maximum blend share</t>
  </si>
  <si>
    <t>Notes:</t>
  </si>
  <si>
    <t>co2 utilization blend</t>
  </si>
  <si>
    <t>direct air capture plant for power to fuels</t>
  </si>
  <si>
    <t>The conversion tech in column B can produce each of the blend fuels in column A with a maximum share given in column C.</t>
  </si>
  <si>
    <t>coal blend</t>
  </si>
  <si>
    <t>biomass pyrolysis</t>
  </si>
  <si>
    <t>biomass pyrolysis w/ccu</t>
  </si>
  <si>
    <t>coke blend</t>
  </si>
  <si>
    <t>diesel blend</t>
  </si>
  <si>
    <t>biomass ft -&gt; diesel</t>
  </si>
  <si>
    <t>biomass ft -&gt; diesel w/ccu</t>
  </si>
  <si>
    <t>power - to - liquids</t>
  </si>
  <si>
    <t>gasoline blend</t>
  </si>
  <si>
    <t>cellulosic ethanol plant</t>
  </si>
  <si>
    <t>corn ethanol plant</t>
  </si>
  <si>
    <t>hydrogen blend</t>
  </si>
  <si>
    <t>autothermal reforming hydrogen production w/ccu -&gt; hydrogen blend</t>
  </si>
  <si>
    <t>BECCS hydrogen production -&gt; hydrogen blend</t>
  </si>
  <si>
    <t>central-station hydrogen electrolysis</t>
  </si>
  <si>
    <t>h2 natural gas reformation</t>
  </si>
  <si>
    <t>jet fuel blend</t>
  </si>
  <si>
    <t>lpg blend</t>
  </si>
  <si>
    <t>oil blend</t>
  </si>
  <si>
    <t>petroleum coke blend</t>
  </si>
  <si>
    <t>pipeline gas blend</t>
  </si>
  <si>
    <t>biomass - &gt; sng</t>
  </si>
  <si>
    <t>biomass -&gt; sng w/ccu</t>
  </si>
  <si>
    <t>power-to-gas methanation</t>
  </si>
  <si>
    <t>residual fossil fuel oil blend</t>
  </si>
  <si>
    <t>steam blend</t>
  </si>
  <si>
    <t>electric boiler</t>
  </si>
  <si>
    <t>industrial coal boiler</t>
  </si>
  <si>
    <t>industrial distillate fuel oil boiler</t>
  </si>
  <si>
    <t>industrial hydrogen boiler</t>
  </si>
  <si>
    <t>industrial lpg boiler</t>
  </si>
  <si>
    <t>industrial other petroleum boiler</t>
  </si>
  <si>
    <t>industrial petroleum coke boiler</t>
  </si>
  <si>
    <t>industrial pipeline gas boiler</t>
  </si>
  <si>
    <t>industrial residual fuel oil oil boiler</t>
  </si>
  <si>
    <t>still gas blend</t>
  </si>
  <si>
    <t>zone</t>
  </si>
  <si>
    <t>vintage</t>
  </si>
  <si>
    <t>unit</t>
  </si>
  <si>
    <t>100% RE</t>
  </si>
  <si>
    <t>central</t>
  </si>
  <si>
    <t>central low RE cost</t>
  </si>
  <si>
    <t>central low fuel price</t>
  </si>
  <si>
    <t>delayed electrification</t>
  </si>
  <si>
    <t>low demand</t>
  </si>
  <si>
    <t>low land</t>
  </si>
  <si>
    <t>net negative</t>
  </si>
  <si>
    <t>reference</t>
  </si>
  <si>
    <t>reference low RE cost</t>
  </si>
  <si>
    <t>reference low fuel price</t>
  </si>
  <si>
    <t>Notes</t>
  </si>
  <si>
    <t>all</t>
  </si>
  <si>
    <t>2018 usd/kilowatt</t>
  </si>
  <si>
    <t>Costs are in dollars per unit of produced energy or carbon</t>
  </si>
  <si>
    <t>techs can produce blend fuels as outlined on the conversion_blend_outputs tab</t>
  </si>
  <si>
    <t>2020</t>
  </si>
  <si>
    <t>2025</t>
  </si>
  <si>
    <t>2030</t>
  </si>
  <si>
    <t>2035</t>
  </si>
  <si>
    <t>2040</t>
  </si>
  <si>
    <t>2045</t>
  </si>
  <si>
    <t>2050</t>
  </si>
  <si>
    <t>2018 usd/tonne</t>
  </si>
  <si>
    <t>h2 natural gas reformation w/ccu</t>
  </si>
  <si>
    <t>power-to-lpg</t>
  </si>
  <si>
    <t>Costs are in dollars per unit capacity of produced energy or carbon</t>
  </si>
  <si>
    <t>2020.0</t>
  </si>
  <si>
    <t>2025.0</t>
  </si>
  <si>
    <t>2030.0</t>
  </si>
  <si>
    <t>2035.0</t>
  </si>
  <si>
    <t>2040.0</t>
  </si>
  <si>
    <t>2045.0</t>
  </si>
  <si>
    <t>2050.0</t>
  </si>
  <si>
    <t>2018 usd/gigajoule</t>
  </si>
  <si>
    <t>Costs are in dollars per unit of energy or carbon output</t>
  </si>
  <si>
    <t>Some sources embed variable O&amp;M with fixed O&amp;M assuming a certain annual utilization</t>
  </si>
  <si>
    <t>blend_in</t>
  </si>
  <si>
    <t>energy in/energy out</t>
  </si>
  <si>
    <t>biomass blend - solids</t>
  </si>
  <si>
    <t>blend_out is mapped on the sheet conversion_blend_outputs with the ratio between output blends solved for by the model</t>
  </si>
  <si>
    <t>electricity</t>
  </si>
  <si>
    <t>all units are per unit of blend_out</t>
  </si>
  <si>
    <t>kilogram/gigajoule</t>
  </si>
  <si>
    <t>conversion efficiencies are given based on HHV</t>
  </si>
  <si>
    <t>negative numbers represent co-products that are produced alongside the output blend</t>
  </si>
  <si>
    <t>postive numbers represent inputs that are required to produce the output blend</t>
  </si>
  <si>
    <t>biomass blend - corn</t>
  </si>
  <si>
    <t>gigajoule/kilogram</t>
  </si>
  <si>
    <t>Brf_sng</t>
  </si>
  <si>
    <t>Brf_sng_ccs</t>
  </si>
  <si>
    <t>\I:</t>
  </si>
  <si>
    <t>Brf_corn_eth</t>
  </si>
  <si>
    <t>con_eff</t>
  </si>
  <si>
    <t>FIXOM</t>
  </si>
  <si>
    <t>VAROM</t>
  </si>
  <si>
    <t>SUPELC</t>
  </si>
  <si>
    <t>BIOSNG</t>
  </si>
  <si>
    <t>HET</t>
  </si>
  <si>
    <t>BIOCHR</t>
  </si>
  <si>
    <t>HH2</t>
  </si>
  <si>
    <t>BIOJTK</t>
  </si>
  <si>
    <t>BIOLPG</t>
  </si>
  <si>
    <t>BIORFO</t>
  </si>
  <si>
    <t>BIOCOK</t>
  </si>
  <si>
    <t>BIOOIL</t>
  </si>
  <si>
    <t>BIOPCK</t>
  </si>
  <si>
    <t>SUPCO2Nb</t>
  </si>
  <si>
    <t>BIODST,BIOJTK</t>
  </si>
  <si>
    <t>Comm-IN-A</t>
  </si>
  <si>
    <t>SUPCOA</t>
  </si>
  <si>
    <t>SUPNGA</t>
  </si>
  <si>
    <t>Comm-OUT-A</t>
  </si>
  <si>
    <t>~FI_T: USD18</t>
  </si>
  <si>
    <t>INPUT</t>
  </si>
  <si>
    <t>OUTPUT</t>
  </si>
  <si>
    <t>ENV_ACT</t>
  </si>
  <si>
    <t>CAP2ACT</t>
  </si>
  <si>
    <t>Techname</t>
  </si>
  <si>
    <t>GW</t>
  </si>
  <si>
    <t>~FI_Comm</t>
  </si>
  <si>
    <t>CSet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</si>
  <si>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</si>
  <si>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</si>
  <si>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</si>
  <si>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</si>
  <si>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</si>
  <si>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</si>
  <si>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</si>
  <si>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</si>
  <si>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TRABJT</t>
  </si>
  <si>
    <t>INDSNG</t>
  </si>
  <si>
    <t>COMSNG</t>
  </si>
  <si>
    <t>RESSNG</t>
  </si>
  <si>
    <t>Biojet</t>
  </si>
  <si>
    <t>Nat gas from biomass</t>
  </si>
  <si>
    <t>Transport biojet</t>
  </si>
  <si>
    <t>Industry sng</t>
  </si>
  <si>
    <t>Commercial sng</t>
  </si>
  <si>
    <t>Residential sng</t>
  </si>
  <si>
    <t>INDSNG,COMSNG,RESSNG</t>
  </si>
  <si>
    <t>PJ-a</t>
  </si>
  <si>
    <t>Brf_FT_dsl</t>
  </si>
  <si>
    <t>Brf_FT_dsl_ccs</t>
  </si>
  <si>
    <t>NCAP_BND~0</t>
  </si>
  <si>
    <t>~FI_T: USD15~UP</t>
  </si>
  <si>
    <t>OILDSTs</t>
  </si>
  <si>
    <t>OILGSLs</t>
  </si>
  <si>
    <t>OILJTKs</t>
  </si>
  <si>
    <t>OILLPGs</t>
  </si>
  <si>
    <t>OILHFOs</t>
  </si>
  <si>
    <t>CCUS_DAC</t>
  </si>
  <si>
    <t>year</t>
  </si>
  <si>
    <t>CCUS_pow-to-liq</t>
  </si>
  <si>
    <t>OILDSTs,OILGSLs,OILJTKs,OILLPGs,OILHFOs</t>
  </si>
  <si>
    <t>Diesel - CCUS</t>
  </si>
  <si>
    <t>Gasoline - CCUS</t>
  </si>
  <si>
    <t>Jetkero - CCUS</t>
  </si>
  <si>
    <t>LPG - CCUS</t>
  </si>
  <si>
    <t>HFO - CCUS</t>
  </si>
  <si>
    <t>CO2Captured_ccu</t>
  </si>
  <si>
    <t>START</t>
  </si>
  <si>
    <t>CO2Captured_ind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</si>
</sst>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4" fillId="0" borderId="0"/>
    <xf numFmtId="0" fontId="2" fillId="0" borderId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" fillId="0" borderId="0"/>
    <xf numFmtId="0" fontId="13" fillId="3" borderId="0" applyNumberFormat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9" fillId="0" borderId="2" xfId="4"/>
    <xf numFmtId="0" fontId="8" fillId="0" borderId="1" xfId="3"/>
    <xf numFmtId="0" fontId="8" fillId="0" borderId="1" xfId="3" applyFill="1"/>
    <xf numFmtId="2" fontId="0" fillId="0" borderId="0" xfId="0" applyNumberFormat="1"/>
    <xf numFmtId="0" fontId="12" fillId="2" borderId="3" xfId="5" applyFont="1" applyFill="1" applyBorder="1" applyAlignment="1">
      <alignment horizontal="center" vertical="top"/>
    </xf>
    <xf numFmtId="0" fontId="12" fillId="2" borderId="3" xfId="5" applyFont="1" applyFill="1" applyBorder="1"/>
    <xf numFmtId="0" fontId="1" fillId="0" borderId="0" xfId="5"/>
    <xf numFmtId="0" fontId="1" fillId="2" borderId="0" xfId="5" applyFill="1"/>
    <xf numFmtId="0" fontId="12" fillId="0" borderId="3" xfId="5" applyFont="1" applyBorder="1" applyAlignment="1">
      <alignment horizontal="left" vertical="top"/>
    </xf>
    <xf numFmtId="0" fontId="12" fillId="0" borderId="3" xfId="5" applyFont="1" applyBorder="1" applyAlignment="1">
      <alignment horizontal="center" vertical="top"/>
    </xf>
    <xf numFmtId="0" fontId="1" fillId="0" borderId="0" xfId="5" applyAlignment="1">
      <alignment horizontal="left"/>
    </xf>
    <xf numFmtId="0" fontId="12" fillId="2" borderId="3" xfId="5" applyFont="1" applyFill="1" applyBorder="1" applyAlignment="1">
      <alignment horizontal="left" vertical="top"/>
    </xf>
    <xf numFmtId="0" fontId="12" fillId="0" borderId="0" xfId="5" applyFont="1"/>
    <xf numFmtId="0" fontId="4" fillId="0" borderId="0" xfId="0" applyFont="1"/>
    <xf numFmtId="0" fontId="14" fillId="3" borderId="0" xfId="6" applyFont="1"/>
    <xf numFmtId="164" fontId="0" fillId="0" borderId="0" xfId="0" applyNumberFormat="1"/>
    <xf numFmtId="0" fontId="12" fillId="0" borderId="3" xfId="5" applyFont="1" applyBorder="1" applyAlignment="1">
      <alignment horizontal="left" vertical="top"/>
    </xf>
  </cellXfs>
  <cellStyles count="7">
    <cellStyle name="Insatisfaisant" xfId="6" builtinId="27"/>
    <cellStyle name="Normal" xfId="0" builtinId="0"/>
    <cellStyle name="Normal 10" xfId="1" xr:uid="{00000000-0005-0000-0000-000004000000}"/>
    <cellStyle name="Normal 2" xfId="5" xr:uid="{00000000-0005-0000-0000-000005000000}"/>
    <cellStyle name="Normale_B2020" xfId="2" xr:uid="{00000000-0005-0000-0000-000006000000}"/>
    <cellStyle name="Titre 2" xfId="3" builtinId="17"/>
    <cellStyle name="Titre 3" xfId="4" builtin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3:S18"/>
  <sheetViews>
    <sheetView zoomScaleNormal="100" workbookViewId="0">
      <selection activeCell="D14" sqref="D14"/>
    </sheetView>
  </sheetViews>
  <sheetFormatPr baseColWidth="10" defaultColWidth="8.88671875" defaultRowHeight="13.2" x14ac:dyDescent="0.25"/>
  <cols>
    <col min="1" max="1" width="2.88671875" customWidth="1"/>
    <col min="2" max="2" width="16.21875" bestFit="1" customWidth="1"/>
    <col min="3" max="3" width="9.44140625" bestFit="1" customWidth="1"/>
    <col min="4" max="4" width="22.5546875" bestFit="1" customWidth="1"/>
    <col min="5" max="5" width="5.109375" bestFit="1" customWidth="1"/>
    <col min="6" max="6" width="9.88671875" bestFit="1" customWidth="1"/>
    <col min="7" max="7" width="4" bestFit="1" customWidth="1"/>
    <col min="8" max="8" width="8.88671875" bestFit="1" customWidth="1"/>
    <col min="9" max="9" width="4.44140625" bestFit="1" customWidth="1"/>
    <col min="10" max="10" width="12.88671875" bestFit="1" customWidth="1"/>
    <col min="11" max="11" width="13.109375" customWidth="1"/>
    <col min="12" max="12" width="13.109375" bestFit="1" customWidth="1"/>
    <col min="13" max="13" width="16.21875" bestFit="1" customWidth="1"/>
    <col min="14" max="14" width="30.109375" bestFit="1" customWidth="1"/>
    <col min="15" max="15" width="4.5546875" bestFit="1" customWidth="1"/>
    <col min="16" max="17" width="5" bestFit="1" customWidth="1"/>
    <col min="18" max="18" width="10.44140625" bestFit="1" customWidth="1"/>
    <col min="19" max="19" width="7.88671875" bestFit="1" customWidth="1"/>
  </cols>
  <sheetData>
    <row r="3" spans="2:19" ht="15.6" x14ac:dyDescent="0.3">
      <c r="B3" s="3"/>
    </row>
    <row r="4" spans="2:19" ht="15.6" x14ac:dyDescent="0.3">
      <c r="B4" s="3"/>
    </row>
    <row r="5" spans="2:19" x14ac:dyDescent="0.25">
      <c r="D5" s="2"/>
      <c r="E5" s="1"/>
      <c r="F5" s="1"/>
    </row>
    <row r="6" spans="2:19" ht="18" thickBot="1" x14ac:dyDescent="0.4">
      <c r="D6" s="6" t="s">
        <v>187</v>
      </c>
      <c r="E6" s="1"/>
      <c r="F6" s="1"/>
      <c r="L6" s="5" t="s">
        <v>5</v>
      </c>
      <c r="M6" s="1"/>
    </row>
    <row r="7" spans="2:19" ht="15.6" thickTop="1" thickBot="1" x14ac:dyDescent="0.35">
      <c r="B7" s="4" t="s">
        <v>0</v>
      </c>
      <c r="C7" s="4" t="s">
        <v>2</v>
      </c>
      <c r="D7" s="4" t="s">
        <v>3</v>
      </c>
      <c r="E7" s="4" t="s">
        <v>16</v>
      </c>
      <c r="F7" s="4" t="s">
        <v>17</v>
      </c>
      <c r="G7" s="4" t="s">
        <v>24</v>
      </c>
      <c r="H7" s="4" t="s">
        <v>30</v>
      </c>
      <c r="I7" s="4" t="s">
        <v>31</v>
      </c>
      <c r="J7" s="4" t="s">
        <v>186</v>
      </c>
      <c r="L7" s="4" t="s">
        <v>4</v>
      </c>
      <c r="M7" s="4" t="s">
        <v>0</v>
      </c>
      <c r="N7" s="4" t="s">
        <v>1</v>
      </c>
      <c r="O7" s="4" t="s">
        <v>6</v>
      </c>
      <c r="P7" s="4" t="s">
        <v>7</v>
      </c>
      <c r="Q7" s="4" t="s">
        <v>8</v>
      </c>
      <c r="R7" s="4" t="s">
        <v>9</v>
      </c>
      <c r="S7" s="4" t="s">
        <v>10</v>
      </c>
    </row>
    <row r="8" spans="2:19" x14ac:dyDescent="0.25">
      <c r="B8" t="str">
        <f>M8</f>
        <v>Simple_bioref</v>
      </c>
      <c r="D8" t="s">
        <v>14</v>
      </c>
      <c r="E8">
        <v>0.38</v>
      </c>
      <c r="H8">
        <f>30*17/20</f>
        <v>25.5</v>
      </c>
      <c r="I8">
        <v>25</v>
      </c>
      <c r="J8">
        <v>2</v>
      </c>
      <c r="L8" t="s">
        <v>11</v>
      </c>
      <c r="M8" t="s">
        <v>12</v>
      </c>
      <c r="N8" t="s">
        <v>18</v>
      </c>
      <c r="O8" t="s">
        <v>20</v>
      </c>
      <c r="P8" t="s">
        <v>19</v>
      </c>
    </row>
    <row r="9" spans="2:19" x14ac:dyDescent="0.25">
      <c r="D9" t="s">
        <v>15</v>
      </c>
      <c r="E9">
        <v>0.32</v>
      </c>
      <c r="M9" t="s">
        <v>21</v>
      </c>
      <c r="N9" t="s">
        <v>22</v>
      </c>
      <c r="O9" t="s">
        <v>20</v>
      </c>
      <c r="P9" t="s">
        <v>19</v>
      </c>
    </row>
    <row r="10" spans="2:19" x14ac:dyDescent="0.25">
      <c r="C10" t="s">
        <v>13</v>
      </c>
      <c r="M10" t="s">
        <v>26</v>
      </c>
      <c r="N10" t="s">
        <v>27</v>
      </c>
      <c r="O10" t="s">
        <v>20</v>
      </c>
      <c r="P10" t="s">
        <v>19</v>
      </c>
    </row>
    <row r="11" spans="2:19" x14ac:dyDescent="0.25">
      <c r="B11" t="str">
        <f>M9</f>
        <v>refineryinput</v>
      </c>
      <c r="C11" t="s">
        <v>23</v>
      </c>
      <c r="D11" t="s">
        <v>25</v>
      </c>
      <c r="F11">
        <v>2</v>
      </c>
      <c r="G11">
        <v>1</v>
      </c>
      <c r="M11" t="s">
        <v>34</v>
      </c>
      <c r="N11" t="s">
        <v>35</v>
      </c>
      <c r="O11" t="s">
        <v>32</v>
      </c>
      <c r="P11" t="s">
        <v>33</v>
      </c>
    </row>
    <row r="12" spans="2:19" x14ac:dyDescent="0.25">
      <c r="B12" t="str">
        <f>M10</f>
        <v>ethanesupply</v>
      </c>
      <c r="C12" t="s">
        <v>28</v>
      </c>
      <c r="D12" t="s">
        <v>29</v>
      </c>
      <c r="F12">
        <v>1</v>
      </c>
      <c r="G12">
        <v>1</v>
      </c>
    </row>
    <row r="13" spans="2:19" x14ac:dyDescent="0.25">
      <c r="B13" t="str">
        <f>M11</f>
        <v>IND_CCS</v>
      </c>
      <c r="D13" t="s">
        <v>204</v>
      </c>
      <c r="H13">
        <v>1.25</v>
      </c>
      <c r="I13">
        <v>20</v>
      </c>
    </row>
    <row r="18" spans="10:11" x14ac:dyDescent="0.25">
      <c r="J18">
        <v>1.25</v>
      </c>
      <c r="K18" s="7">
        <f>PMT(0.07,20,J18)</f>
        <v>-0.11799115717906962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9"/>
  <sheetViews>
    <sheetView tabSelected="1" topLeftCell="O18" workbookViewId="0">
      <selection activeCell="U26" sqref="U26"/>
    </sheetView>
  </sheetViews>
  <sheetFormatPr baseColWidth="10" defaultColWidth="8.88671875" defaultRowHeight="13.2" x14ac:dyDescent="0.25"/>
  <cols>
    <col min="1" max="1" width="23.44140625" customWidth="1"/>
    <col min="2" max="2" width="18.109375" bestFit="1" customWidth="1"/>
    <col min="3" max="3" width="19.88671875" bestFit="1" customWidth="1"/>
    <col min="4" max="4" width="2" bestFit="1" customWidth="1"/>
    <col min="5" max="5" width="14.77734375" bestFit="1" customWidth="1"/>
    <col min="6" max="6" width="7.5546875" bestFit="1" customWidth="1"/>
    <col min="7" max="7" width="7.5546875" customWidth="1"/>
    <col min="8" max="8" width="9" bestFit="1" customWidth="1"/>
    <col min="9" max="9" width="7" bestFit="1" customWidth="1"/>
    <col min="10" max="10" width="7.88671875" bestFit="1" customWidth="1"/>
    <col min="11" max="11" width="12.77734375" bestFit="1" customWidth="1"/>
    <col min="12" max="12" width="11.44140625" bestFit="1" customWidth="1"/>
    <col min="13" max="13" width="14.77734375" bestFit="1" customWidth="1"/>
    <col min="14" max="14" width="13.44140625" bestFit="1" customWidth="1"/>
    <col min="15" max="15" width="4.5546875" bestFit="1" customWidth="1"/>
    <col min="16" max="16" width="6.5546875" bestFit="1" customWidth="1"/>
    <col min="17" max="17" width="8.21875" bestFit="1" customWidth="1"/>
    <col min="18" max="18" width="9.44140625" bestFit="1" customWidth="1"/>
    <col min="19" max="19" width="8.21875" bestFit="1" customWidth="1"/>
    <col min="20" max="20" width="4.44140625" bestFit="1" customWidth="1"/>
    <col min="21" max="21" width="5.88671875" bestFit="1" customWidth="1"/>
    <col min="24" max="24" width="14" bestFit="1" customWidth="1"/>
    <col min="25" max="25" width="34.88671875" bestFit="1" customWidth="1"/>
  </cols>
  <sheetData>
    <row r="1" spans="1:27" ht="18" thickBot="1" x14ac:dyDescent="0.4">
      <c r="K1" s="5" t="s">
        <v>155</v>
      </c>
      <c r="W1" s="5" t="s">
        <v>5</v>
      </c>
    </row>
    <row r="2" spans="1:27" ht="15.6" thickTop="1" thickBot="1" x14ac:dyDescent="0.35">
      <c r="E2" s="4" t="s">
        <v>0</v>
      </c>
      <c r="F2" s="4" t="s">
        <v>135</v>
      </c>
      <c r="G2" s="4" t="s">
        <v>194</v>
      </c>
      <c r="H2" s="4" t="s">
        <v>30</v>
      </c>
      <c r="I2" s="4" t="s">
        <v>136</v>
      </c>
      <c r="J2" s="4" t="s">
        <v>137</v>
      </c>
      <c r="K2" s="4" t="s">
        <v>2</v>
      </c>
      <c r="L2" s="4" t="s">
        <v>151</v>
      </c>
      <c r="M2" s="4" t="s">
        <v>3</v>
      </c>
      <c r="N2" s="4" t="s">
        <v>154</v>
      </c>
      <c r="O2" s="4" t="s">
        <v>24</v>
      </c>
      <c r="P2" s="4" t="s">
        <v>156</v>
      </c>
      <c r="Q2" s="4" t="s">
        <v>157</v>
      </c>
      <c r="R2" s="4" t="s">
        <v>158</v>
      </c>
      <c r="S2" s="4" t="s">
        <v>159</v>
      </c>
      <c r="T2" s="4" t="s">
        <v>31</v>
      </c>
      <c r="U2" s="4" t="s">
        <v>203</v>
      </c>
      <c r="W2" s="4" t="s">
        <v>4</v>
      </c>
      <c r="X2" s="4" t="s">
        <v>160</v>
      </c>
      <c r="Y2" s="4" t="s">
        <v>1</v>
      </c>
      <c r="Z2" s="4" t="s">
        <v>6</v>
      </c>
      <c r="AA2" s="4" t="s">
        <v>7</v>
      </c>
    </row>
    <row r="3" spans="1:27" x14ac:dyDescent="0.25">
      <c r="A3" t="s">
        <v>64</v>
      </c>
      <c r="B3" t="s">
        <v>120</v>
      </c>
      <c r="C3" t="s">
        <v>121</v>
      </c>
      <c r="E3" t="str">
        <f t="shared" ref="E3:E22" si="0">VLOOKUP(A3,$A$31:$B$39,2,FALSE)</f>
        <v>Brf_sng</v>
      </c>
      <c r="F3">
        <f>conversion_efficiency!N5</f>
        <v>1.5149999999999999</v>
      </c>
      <c r="H3">
        <f>IF($A3&lt;&gt;$A2,VLOOKUP($A3,conversion_capital_cost!$A$2:$M$35,13,FALSE),"")</f>
        <v>2372</v>
      </c>
      <c r="I3">
        <f>IF($A3&lt;&gt;$A2,VLOOKUP($A3,conversion_fixed_om!$A$2:$M$35,13,FALSE),"")</f>
        <v>119</v>
      </c>
      <c r="J3" s="19">
        <f>IF($A3&lt;&gt;$A2,VLOOKUP($A3,conversion_variable_om!$A$2:$M$35,13,FALSE),"")</f>
        <v>0</v>
      </c>
      <c r="K3" t="str">
        <f>VLOOKUP(C3,$A$42:$B$50,2,FALSE)</f>
        <v>BIOBSL</v>
      </c>
      <c r="M3" t="s">
        <v>139</v>
      </c>
      <c r="O3" s="7">
        <f>1/F3</f>
        <v>0.66006600660066006</v>
      </c>
      <c r="S3">
        <f>IF($E3=$E2,"",31.536)</f>
        <v>31.536000000000001</v>
      </c>
      <c r="T3">
        <f>IF($E3=$E2,"",25)</f>
        <v>25</v>
      </c>
      <c r="U3">
        <v>2030</v>
      </c>
      <c r="W3" t="s">
        <v>11</v>
      </c>
      <c r="X3" t="str">
        <f>IF($E3=$E2,"\I:",E3)</f>
        <v>Brf_sng</v>
      </c>
      <c r="Y3" t="str">
        <f>A3</f>
        <v>biomass - &gt; sng</v>
      </c>
      <c r="Z3" t="s">
        <v>20</v>
      </c>
      <c r="AA3" t="s">
        <v>161</v>
      </c>
    </row>
    <row r="4" spans="1:27" x14ac:dyDescent="0.25">
      <c r="A4" t="s">
        <v>64</v>
      </c>
      <c r="C4" t="s">
        <v>123</v>
      </c>
      <c r="E4" t="str">
        <f t="shared" si="0"/>
        <v>Brf_sng</v>
      </c>
      <c r="F4">
        <f>conversion_efficiency!N6</f>
        <v>2.1000000000000001E-2</v>
      </c>
      <c r="H4" t="str">
        <f>IF($A4&lt;&gt;$A3,VLOOKUP($A4,conversion_capital_cost!$A$2:$M$35,13,FALSE),"")</f>
        <v/>
      </c>
      <c r="I4" t="str">
        <f>IF($A4&lt;&gt;$A3,VLOOKUP($A4,conversion_fixed_om!$A$2:$M$35,13,FALSE),"")</f>
        <v/>
      </c>
      <c r="J4" t="str">
        <f>IF($A4&lt;&gt;$A3,VLOOKUP($A4,conversion_variable_om!$A$2:$M$35,13,FALSE),"")</f>
        <v/>
      </c>
      <c r="L4" t="str">
        <f>VLOOKUP(C4,$A$42:$B$50,2,FALSE)</f>
        <v>SUPELC</v>
      </c>
      <c r="P4">
        <f>F4</f>
        <v>2.1000000000000001E-2</v>
      </c>
      <c r="S4" t="str">
        <f t="shared" ref="S4:S21" si="1">IF($E4=$E3,"",31.536)</f>
        <v/>
      </c>
      <c r="T4" t="str">
        <f t="shared" ref="T4:T21" si="2">IF($E4=$E3,"",25)</f>
        <v/>
      </c>
      <c r="X4" t="str">
        <f t="shared" ref="X4:X22" si="3">IF($E4=$E3,"\I:",E4)</f>
        <v>\I:</v>
      </c>
      <c r="Y4" t="str">
        <f t="shared" ref="Y4:Y22" si="4">A4</f>
        <v>biomass - &gt; sng</v>
      </c>
      <c r="Z4" t="s">
        <v>20</v>
      </c>
      <c r="AA4" t="s">
        <v>161</v>
      </c>
    </row>
    <row r="5" spans="1:27" x14ac:dyDescent="0.25">
      <c r="A5" t="s">
        <v>65</v>
      </c>
      <c r="B5" t="s">
        <v>120</v>
      </c>
      <c r="C5" t="s">
        <v>121</v>
      </c>
      <c r="E5" t="str">
        <f t="shared" si="0"/>
        <v>Brf_sng_ccs</v>
      </c>
      <c r="F5">
        <f>conversion_efficiency!N7</f>
        <v>1.55</v>
      </c>
      <c r="H5">
        <f>IF($A5&lt;&gt;$A4,VLOOKUP($A5,conversion_capital_cost!$A$2:$M$35,13,FALSE),"")</f>
        <v>2472</v>
      </c>
      <c r="I5">
        <f>IF($A5&lt;&gt;$A4,VLOOKUP($A5,conversion_fixed_om!$A$2:$M$35,13,FALSE),"")</f>
        <v>146</v>
      </c>
      <c r="J5">
        <f>IF($A5&lt;&gt;$A4,VLOOKUP($A5,conversion_variable_om!$A$2:$M$35,13,FALSE),"")</f>
        <v>0</v>
      </c>
      <c r="K5" t="str">
        <f>VLOOKUP(C5,$A$42:$B$50,2,FALSE)</f>
        <v>BIOBSL</v>
      </c>
      <c r="M5" t="s">
        <v>139</v>
      </c>
      <c r="O5" s="7">
        <f>1/F5</f>
        <v>0.64516129032258063</v>
      </c>
      <c r="S5">
        <f t="shared" si="1"/>
        <v>31.536000000000001</v>
      </c>
      <c r="T5">
        <f t="shared" si="2"/>
        <v>25</v>
      </c>
      <c r="U5">
        <v>2035</v>
      </c>
      <c r="X5" t="str">
        <f t="shared" si="3"/>
        <v>Brf_sng_ccs</v>
      </c>
      <c r="Y5" t="str">
        <f t="shared" si="4"/>
        <v>biomass -&gt; sng w/ccu</v>
      </c>
      <c r="Z5" t="s">
        <v>20</v>
      </c>
      <c r="AA5" t="s">
        <v>161</v>
      </c>
    </row>
    <row r="6" spans="1:27" x14ac:dyDescent="0.25">
      <c r="A6" t="s">
        <v>65</v>
      </c>
      <c r="C6" t="s">
        <v>123</v>
      </c>
      <c r="E6" t="str">
        <f t="shared" si="0"/>
        <v>Brf_sng_ccs</v>
      </c>
      <c r="F6">
        <f>conversion_efficiency!N8</f>
        <v>2.1000000000000001E-2</v>
      </c>
      <c r="H6" t="str">
        <f>IF($A6&lt;&gt;$A5,VLOOKUP($A6,conversion_capital_cost!$A$2:$M$35,13,FALSE),"")</f>
        <v/>
      </c>
      <c r="I6" t="str">
        <f>IF($A6&lt;&gt;$A5,VLOOKUP($A6,conversion_fixed_om!$A$2:$M$35,13,FALSE),"")</f>
        <v/>
      </c>
      <c r="J6" t="str">
        <f>IF($A6&lt;&gt;$A5,VLOOKUP($A6,conversion_variable_om!$A$2:$M$35,13,FALSE),"")</f>
        <v/>
      </c>
      <c r="L6" t="str">
        <f>VLOOKUP(C6,$A$42:$B$50,2,FALSE)</f>
        <v>SUPELC</v>
      </c>
      <c r="P6">
        <f>F6</f>
        <v>2.1000000000000001E-2</v>
      </c>
      <c r="S6" t="str">
        <f t="shared" si="1"/>
        <v/>
      </c>
      <c r="T6" t="str">
        <f t="shared" si="2"/>
        <v/>
      </c>
      <c r="X6" t="str">
        <f t="shared" si="3"/>
        <v>\I:</v>
      </c>
      <c r="Y6" t="str">
        <f t="shared" si="4"/>
        <v>biomass -&gt; sng w/ccu</v>
      </c>
      <c r="Z6" t="s">
        <v>20</v>
      </c>
      <c r="AA6" t="s">
        <v>161</v>
      </c>
    </row>
    <row r="7" spans="1:27" ht="14.4" x14ac:dyDescent="0.3">
      <c r="A7" t="s">
        <v>65</v>
      </c>
      <c r="B7" t="s">
        <v>125</v>
      </c>
      <c r="C7" t="s">
        <v>40</v>
      </c>
      <c r="E7" t="str">
        <f t="shared" si="0"/>
        <v>Brf_sng_ccs</v>
      </c>
      <c r="F7">
        <f>conversion_efficiency!N9</f>
        <v>-46.063999999999993</v>
      </c>
      <c r="H7" t="str">
        <f>IF($A7&lt;&gt;$A6,VLOOKUP($A7,conversion_capital_cost!$A$2:$M$35,13,FALSE),"")</f>
        <v/>
      </c>
      <c r="I7" t="str">
        <f>IF($A7&lt;&gt;$A6,VLOOKUP($A7,conversion_fixed_om!$A$2:$M$35,13,FALSE),"")</f>
        <v/>
      </c>
      <c r="J7" t="str">
        <f>IF($A7&lt;&gt;$A6,VLOOKUP($A7,conversion_variable_om!$A$2:$M$35,13,FALSE),"")</f>
        <v/>
      </c>
      <c r="M7" s="18" t="s">
        <v>202</v>
      </c>
      <c r="R7">
        <f>ABS(F7)</f>
        <v>46.063999999999993</v>
      </c>
      <c r="S7" t="str">
        <f t="shared" si="1"/>
        <v/>
      </c>
      <c r="T7" t="str">
        <f t="shared" si="2"/>
        <v/>
      </c>
      <c r="X7" t="str">
        <f t="shared" si="3"/>
        <v>\I:</v>
      </c>
      <c r="Y7" t="str">
        <f t="shared" si="4"/>
        <v>biomass -&gt; sng w/ccu</v>
      </c>
      <c r="Z7" t="s">
        <v>20</v>
      </c>
      <c r="AA7" t="s">
        <v>161</v>
      </c>
    </row>
    <row r="8" spans="1:27" x14ac:dyDescent="0.25">
      <c r="A8" t="s">
        <v>48</v>
      </c>
      <c r="B8" t="s">
        <v>120</v>
      </c>
      <c r="C8" t="s">
        <v>121</v>
      </c>
      <c r="E8" t="str">
        <f t="shared" si="0"/>
        <v>Brf_FT_dsl</v>
      </c>
      <c r="F8">
        <f>conversion_efficiency!N10</f>
        <v>2.15</v>
      </c>
      <c r="H8">
        <f>IF($A8&lt;&gt;$A7,VLOOKUP($A8,conversion_capital_cost!$A$2:$M$35,13,FALSE),"")</f>
        <v>5365</v>
      </c>
      <c r="I8">
        <f>IF($A8&lt;&gt;$A7,VLOOKUP($A8,conversion_fixed_om!$A$2:$M$35,13,FALSE),"")</f>
        <v>0</v>
      </c>
      <c r="J8">
        <f>IF($A8&lt;&gt;$A7,VLOOKUP($A8,conversion_variable_om!$A$2:$M$35,13,FALSE),"")</f>
        <v>7.9</v>
      </c>
      <c r="K8" t="str">
        <f>VLOOKUP(C8,$A$42:$B$50,2,FALSE)</f>
        <v>BIOBSL</v>
      </c>
      <c r="M8" t="s">
        <v>150</v>
      </c>
      <c r="O8" s="7">
        <f>1/F8</f>
        <v>0.46511627906976744</v>
      </c>
      <c r="S8">
        <f t="shared" si="1"/>
        <v>31.536000000000001</v>
      </c>
      <c r="T8">
        <f t="shared" si="2"/>
        <v>25</v>
      </c>
      <c r="U8">
        <v>2030</v>
      </c>
      <c r="X8" t="str">
        <f t="shared" si="3"/>
        <v>Brf_FT_dsl</v>
      </c>
      <c r="Y8" t="str">
        <f t="shared" si="4"/>
        <v>biomass ft -&gt; diesel</v>
      </c>
      <c r="Z8" t="s">
        <v>20</v>
      </c>
      <c r="AA8" t="s">
        <v>161</v>
      </c>
    </row>
    <row r="9" spans="1:27" x14ac:dyDescent="0.25">
      <c r="A9" t="s">
        <v>48</v>
      </c>
      <c r="C9" t="s">
        <v>123</v>
      </c>
      <c r="E9" t="str">
        <f t="shared" si="0"/>
        <v>Brf_FT_dsl</v>
      </c>
      <c r="F9">
        <f>conversion_efficiency!N11</f>
        <v>5.1999999999999998E-2</v>
      </c>
      <c r="H9" t="str">
        <f>IF($A9&lt;&gt;$A8,VLOOKUP($A9,conversion_capital_cost!$A$2:$M$35,13,FALSE),"")</f>
        <v/>
      </c>
      <c r="I9" t="str">
        <f>IF($A9&lt;&gt;$A8,VLOOKUP($A9,conversion_fixed_om!$A$2:$M$35,13,FALSE),"")</f>
        <v/>
      </c>
      <c r="J9" t="str">
        <f>IF($A9&lt;&gt;$A8,VLOOKUP($A9,conversion_variable_om!$A$2:$M$35,13,FALSE),"")</f>
        <v/>
      </c>
      <c r="L9" t="str">
        <f>VLOOKUP(C9,$A$42:$B$50,2,FALSE)</f>
        <v>SUPELC</v>
      </c>
      <c r="P9">
        <f>F9</f>
        <v>5.1999999999999998E-2</v>
      </c>
      <c r="S9" t="str">
        <f t="shared" si="1"/>
        <v/>
      </c>
      <c r="T9" t="str">
        <f t="shared" si="2"/>
        <v/>
      </c>
      <c r="X9" t="str">
        <f t="shared" si="3"/>
        <v>\I:</v>
      </c>
      <c r="Y9" t="str">
        <f t="shared" si="4"/>
        <v>biomass ft -&gt; diesel</v>
      </c>
      <c r="Z9" t="s">
        <v>20</v>
      </c>
      <c r="AA9" t="s">
        <v>161</v>
      </c>
    </row>
    <row r="10" spans="1:27" x14ac:dyDescent="0.25">
      <c r="A10" t="s">
        <v>48</v>
      </c>
      <c r="C10" t="s">
        <v>63</v>
      </c>
      <c r="E10" t="str">
        <f t="shared" si="0"/>
        <v>Brf_FT_dsl</v>
      </c>
      <c r="F10">
        <f>conversion_efficiency!N12</f>
        <v>-9.6999999999999989E-2</v>
      </c>
      <c r="H10" t="str">
        <f>IF($A10&lt;&gt;$A9,VLOOKUP($A10,conversion_capital_cost!$A$2:$M$35,13,FALSE),"")</f>
        <v/>
      </c>
      <c r="I10" t="str">
        <f>IF($A10&lt;&gt;$A9,VLOOKUP($A10,conversion_fixed_om!$A$2:$M$35,13,FALSE),"")</f>
        <v/>
      </c>
      <c r="J10" t="str">
        <f>IF($A10&lt;&gt;$A9,VLOOKUP($A10,conversion_variable_om!$A$2:$M$35,13,FALSE),"")</f>
        <v/>
      </c>
      <c r="N10" t="str">
        <f>VLOOKUP(C10,$A$42:$B$50,2,FALSE)</f>
        <v>BIOSNG</v>
      </c>
      <c r="Q10">
        <f t="shared" ref="Q10:Q11" si="5">ABS(F10)</f>
        <v>9.6999999999999989E-2</v>
      </c>
      <c r="S10" t="str">
        <f t="shared" si="1"/>
        <v/>
      </c>
      <c r="T10" t="str">
        <f t="shared" si="2"/>
        <v/>
      </c>
      <c r="X10" t="str">
        <f t="shared" si="3"/>
        <v>\I:</v>
      </c>
      <c r="Y10" t="str">
        <f t="shared" si="4"/>
        <v>biomass ft -&gt; diesel</v>
      </c>
      <c r="Z10" t="s">
        <v>20</v>
      </c>
      <c r="AA10" t="s">
        <v>161</v>
      </c>
    </row>
    <row r="11" spans="1:27" x14ac:dyDescent="0.25">
      <c r="A11" t="s">
        <v>48</v>
      </c>
      <c r="C11" t="s">
        <v>68</v>
      </c>
      <c r="E11" t="str">
        <f t="shared" si="0"/>
        <v>Brf_FT_dsl</v>
      </c>
      <c r="F11">
        <f>conversion_efficiency!N13</f>
        <v>-0.33</v>
      </c>
      <c r="H11" t="str">
        <f>IF($A11&lt;&gt;$A10,VLOOKUP($A11,conversion_capital_cost!$A$2:$M$35,13,FALSE),"")</f>
        <v/>
      </c>
      <c r="I11" t="str">
        <f>IF($A11&lt;&gt;$A10,VLOOKUP($A11,conversion_fixed_om!$A$2:$M$35,13,FALSE),"")</f>
        <v/>
      </c>
      <c r="J11" t="str">
        <f>IF($A11&lt;&gt;$A10,VLOOKUP($A11,conversion_variable_om!$A$2:$M$35,13,FALSE),"")</f>
        <v/>
      </c>
      <c r="N11" t="str">
        <f>VLOOKUP(C11,$A$42:$B$50,2,FALSE)</f>
        <v>HET</v>
      </c>
      <c r="Q11">
        <f t="shared" si="5"/>
        <v>0.33</v>
      </c>
      <c r="S11" t="str">
        <f t="shared" si="1"/>
        <v/>
      </c>
      <c r="T11" t="str">
        <f t="shared" si="2"/>
        <v/>
      </c>
      <c r="X11" t="str">
        <f t="shared" si="3"/>
        <v>\I:</v>
      </c>
      <c r="Y11" t="str">
        <f t="shared" si="4"/>
        <v>biomass ft -&gt; diesel</v>
      </c>
      <c r="Z11" t="s">
        <v>20</v>
      </c>
      <c r="AA11" t="s">
        <v>161</v>
      </c>
    </row>
    <row r="12" spans="1:27" x14ac:dyDescent="0.25">
      <c r="A12" t="s">
        <v>49</v>
      </c>
      <c r="B12" t="s">
        <v>120</v>
      </c>
      <c r="C12" t="s">
        <v>121</v>
      </c>
      <c r="E12" t="str">
        <f t="shared" si="0"/>
        <v>Brf_FT_dsl_ccs</v>
      </c>
      <c r="F12">
        <f>conversion_efficiency!N14</f>
        <v>2.15</v>
      </c>
      <c r="H12">
        <f>IF($A12&lt;&gt;$A11,VLOOKUP($A12,conversion_capital_cost!$A$2:$M$35,13,FALSE),"")</f>
        <v>5451</v>
      </c>
      <c r="I12">
        <f>IF($A12&lt;&gt;$A11,VLOOKUP($A12,conversion_fixed_om!$A$2:$M$35,13,FALSE),"")</f>
        <v>0</v>
      </c>
      <c r="J12">
        <f>IF($A12&lt;&gt;$A11,VLOOKUP($A12,conversion_variable_om!$A$2:$M$35,13,FALSE),"")</f>
        <v>8.1</v>
      </c>
      <c r="K12" t="str">
        <f>VLOOKUP(C12,$A$42:$B$50,2,FALSE)</f>
        <v>BIOBSL</v>
      </c>
      <c r="M12" t="s">
        <v>150</v>
      </c>
      <c r="O12" s="7">
        <f>1/F12</f>
        <v>0.46511627906976744</v>
      </c>
      <c r="S12">
        <f t="shared" si="1"/>
        <v>31.536000000000001</v>
      </c>
      <c r="T12">
        <f t="shared" si="2"/>
        <v>25</v>
      </c>
      <c r="U12">
        <v>2035</v>
      </c>
      <c r="X12" t="str">
        <f t="shared" si="3"/>
        <v>Brf_FT_dsl_ccs</v>
      </c>
      <c r="Y12" t="str">
        <f t="shared" si="4"/>
        <v>biomass ft -&gt; diesel w/ccu</v>
      </c>
      <c r="Z12" t="s">
        <v>20</v>
      </c>
      <c r="AA12" t="s">
        <v>161</v>
      </c>
    </row>
    <row r="13" spans="1:27" x14ac:dyDescent="0.25">
      <c r="A13" t="s">
        <v>49</v>
      </c>
      <c r="C13" t="s">
        <v>123</v>
      </c>
      <c r="E13" t="str">
        <f t="shared" si="0"/>
        <v>Brf_FT_dsl_ccs</v>
      </c>
      <c r="F13">
        <f>conversion_efficiency!N15</f>
        <v>0.114</v>
      </c>
      <c r="H13" t="str">
        <f>IF($A13&lt;&gt;$A12,VLOOKUP($A13,conversion_capital_cost!$A$2:$M$35,13,FALSE),"")</f>
        <v/>
      </c>
      <c r="I13" t="str">
        <f>IF($A13&lt;&gt;$A12,VLOOKUP($A13,conversion_fixed_om!$A$2:$M$35,13,FALSE),"")</f>
        <v/>
      </c>
      <c r="J13" t="str">
        <f>IF($A13&lt;&gt;$A12,VLOOKUP($A13,conversion_variable_om!$A$2:$M$35,13,FALSE),"")</f>
        <v/>
      </c>
      <c r="L13" t="str">
        <f>VLOOKUP(C13,$A$42:$B$50,2,FALSE)</f>
        <v>SUPELC</v>
      </c>
      <c r="P13">
        <f>F13</f>
        <v>0.114</v>
      </c>
      <c r="S13" t="str">
        <f t="shared" si="1"/>
        <v/>
      </c>
      <c r="T13" t="str">
        <f t="shared" si="2"/>
        <v/>
      </c>
      <c r="X13" t="str">
        <f t="shared" si="3"/>
        <v>\I:</v>
      </c>
      <c r="Y13" t="str">
        <f t="shared" si="4"/>
        <v>biomass ft -&gt; diesel w/ccu</v>
      </c>
      <c r="Z13" t="s">
        <v>20</v>
      </c>
      <c r="AA13" t="s">
        <v>161</v>
      </c>
    </row>
    <row r="14" spans="1:27" x14ac:dyDescent="0.25">
      <c r="A14" t="s">
        <v>49</v>
      </c>
      <c r="C14" t="s">
        <v>63</v>
      </c>
      <c r="E14" t="str">
        <f t="shared" si="0"/>
        <v>Brf_FT_dsl_ccs</v>
      </c>
      <c r="F14">
        <f>conversion_efficiency!N16</f>
        <v>-9.6999999999999989E-2</v>
      </c>
      <c r="H14" t="str">
        <f>IF($A14&lt;&gt;$A13,VLOOKUP($A14,conversion_capital_cost!$A$2:$M$35,13,FALSE),"")</f>
        <v/>
      </c>
      <c r="I14" t="str">
        <f>IF($A14&lt;&gt;$A13,VLOOKUP($A14,conversion_fixed_om!$A$2:$M$35,13,FALSE),"")</f>
        <v/>
      </c>
      <c r="J14" t="str">
        <f>IF($A14&lt;&gt;$A13,VLOOKUP($A14,conversion_variable_om!$A$2:$M$35,13,FALSE),"")</f>
        <v/>
      </c>
      <c r="N14" t="str">
        <f>VLOOKUP(C14,$A$42:$B$50,2,FALSE)</f>
        <v>BIOSNG</v>
      </c>
      <c r="Q14">
        <f>ABS(F14)</f>
        <v>9.6999999999999989E-2</v>
      </c>
      <c r="S14" t="str">
        <f t="shared" si="1"/>
        <v/>
      </c>
      <c r="T14" t="str">
        <f t="shared" si="2"/>
        <v/>
      </c>
      <c r="X14" t="str">
        <f t="shared" si="3"/>
        <v>\I:</v>
      </c>
      <c r="Y14" t="str">
        <f t="shared" si="4"/>
        <v>biomass ft -&gt; diesel w/ccu</v>
      </c>
      <c r="Z14" t="s">
        <v>20</v>
      </c>
      <c r="AA14" t="s">
        <v>161</v>
      </c>
    </row>
    <row r="15" spans="1:27" x14ac:dyDescent="0.25">
      <c r="A15" t="s">
        <v>49</v>
      </c>
      <c r="C15" t="s">
        <v>68</v>
      </c>
      <c r="E15" t="str">
        <f t="shared" si="0"/>
        <v>Brf_FT_dsl_ccs</v>
      </c>
      <c r="F15">
        <f>conversion_efficiency!N17</f>
        <v>-0.33</v>
      </c>
      <c r="H15" t="str">
        <f>IF($A15&lt;&gt;$A14,VLOOKUP($A15,conversion_capital_cost!$A$2:$M$35,13,FALSE),"")</f>
        <v/>
      </c>
      <c r="I15" t="str">
        <f>IF($A15&lt;&gt;$A14,VLOOKUP($A15,conversion_fixed_om!$A$2:$M$35,13,FALSE),"")</f>
        <v/>
      </c>
      <c r="J15" t="str">
        <f>IF($A15&lt;&gt;$A14,VLOOKUP($A15,conversion_variable_om!$A$2:$M$35,13,FALSE),"")</f>
        <v/>
      </c>
      <c r="N15" t="str">
        <f>VLOOKUP(C15,$A$42:$B$50,2,FALSE)</f>
        <v>HET</v>
      </c>
      <c r="Q15">
        <f>ABS(F15)</f>
        <v>0.33</v>
      </c>
      <c r="S15" t="str">
        <f t="shared" si="1"/>
        <v/>
      </c>
      <c r="T15" t="str">
        <f t="shared" si="2"/>
        <v/>
      </c>
      <c r="X15" t="str">
        <f t="shared" si="3"/>
        <v>\I:</v>
      </c>
      <c r="Y15" t="str">
        <f t="shared" si="4"/>
        <v>biomass ft -&gt; diesel w/ccu</v>
      </c>
      <c r="Z15" t="s">
        <v>20</v>
      </c>
      <c r="AA15" t="s">
        <v>161</v>
      </c>
    </row>
    <row r="16" spans="1:27" ht="14.4" x14ac:dyDescent="0.3">
      <c r="A16" t="s">
        <v>49</v>
      </c>
      <c r="B16" t="s">
        <v>125</v>
      </c>
      <c r="C16" t="s">
        <v>40</v>
      </c>
      <c r="E16" t="str">
        <f t="shared" si="0"/>
        <v>Brf_FT_dsl_ccs</v>
      </c>
      <c r="F16">
        <f>conversion_efficiency!N18</f>
        <v>-81.512</v>
      </c>
      <c r="H16" t="str">
        <f>IF($A16&lt;&gt;$A15,VLOOKUP($A16,conversion_capital_cost!$A$2:$M$35,13,FALSE),"")</f>
        <v/>
      </c>
      <c r="I16" t="str">
        <f>IF($A16&lt;&gt;$A15,VLOOKUP($A16,conversion_fixed_om!$A$2:$M$35,13,FALSE),"")</f>
        <v/>
      </c>
      <c r="J16" t="str">
        <f>IF($A16&lt;&gt;$A15,VLOOKUP($A16,conversion_variable_om!$A$2:$M$35,13,FALSE),"")</f>
        <v/>
      </c>
      <c r="M16" s="18" t="s">
        <v>202</v>
      </c>
      <c r="R16">
        <f>ABS(F16)</f>
        <v>81.512</v>
      </c>
      <c r="S16" t="str">
        <f t="shared" si="1"/>
        <v/>
      </c>
      <c r="T16" t="str">
        <f t="shared" si="2"/>
        <v/>
      </c>
      <c r="X16" t="str">
        <f t="shared" si="3"/>
        <v>\I:</v>
      </c>
      <c r="Y16" t="str">
        <f t="shared" si="4"/>
        <v>biomass ft -&gt; diesel w/ccu</v>
      </c>
      <c r="Z16" t="s">
        <v>20</v>
      </c>
      <c r="AA16" t="s">
        <v>161</v>
      </c>
    </row>
    <row r="17" spans="1:27" x14ac:dyDescent="0.25">
      <c r="A17" t="s">
        <v>53</v>
      </c>
      <c r="B17" t="s">
        <v>120</v>
      </c>
      <c r="C17" t="s">
        <v>129</v>
      </c>
      <c r="E17" t="str">
        <f t="shared" si="0"/>
        <v>Brf_corn_eth</v>
      </c>
      <c r="F17">
        <f>conversion_efficiency!N25</f>
        <v>2</v>
      </c>
      <c r="H17">
        <f>IF($A17&lt;&gt;$A16,VLOOKUP($A17,conversion_capital_cost!$A$2:$M$35,13,FALSE),"")</f>
        <v>877</v>
      </c>
      <c r="I17">
        <f>IF($A17&lt;&gt;$A16,VLOOKUP($A17,conversion_fixed_om!$A$2:$M$35,13,FALSE),"")</f>
        <v>32</v>
      </c>
      <c r="J17">
        <f>IF($A17&lt;&gt;$A16,VLOOKUP($A17,conversion_variable_om!$A$2:$M$35,13,FALSE),"")</f>
        <v>1.8</v>
      </c>
      <c r="K17" t="str">
        <f>VLOOKUP(C17,$A$42:$B$50,2,FALSE)</f>
        <v>BIOBSL</v>
      </c>
      <c r="M17" t="s">
        <v>15</v>
      </c>
      <c r="O17" s="7">
        <f>1/F17</f>
        <v>0.5</v>
      </c>
      <c r="S17">
        <f t="shared" si="1"/>
        <v>31.536000000000001</v>
      </c>
      <c r="T17">
        <f t="shared" si="2"/>
        <v>25</v>
      </c>
      <c r="X17" t="str">
        <f t="shared" si="3"/>
        <v>Brf_corn_eth</v>
      </c>
      <c r="Y17" t="str">
        <f t="shared" si="4"/>
        <v>corn ethanol plant</v>
      </c>
      <c r="Z17" t="s">
        <v>20</v>
      </c>
      <c r="AA17" t="s">
        <v>161</v>
      </c>
    </row>
    <row r="18" spans="1:27" x14ac:dyDescent="0.25">
      <c r="A18" t="s">
        <v>53</v>
      </c>
      <c r="C18" t="s">
        <v>43</v>
      </c>
      <c r="E18" t="str">
        <f t="shared" si="0"/>
        <v>Brf_corn_eth</v>
      </c>
      <c r="F18">
        <f>conversion_efficiency!N26</f>
        <v>2.5000000000000001E-2</v>
      </c>
      <c r="H18" t="str">
        <f>IF($A18&lt;&gt;$A17,VLOOKUP($A18,conversion_capital_cost!$A$2:$M$35,13,FALSE),"")</f>
        <v/>
      </c>
      <c r="I18" t="str">
        <f>IF($A18&lt;&gt;$A17,VLOOKUP($A18,conversion_fixed_om!$A$2:$M$35,13,FALSE),"")</f>
        <v/>
      </c>
      <c r="J18" t="str">
        <f>IF($A18&lt;&gt;$A17,VLOOKUP($A18,conversion_variable_om!$A$2:$M$35,13,FALSE),"")</f>
        <v/>
      </c>
      <c r="L18" t="s">
        <v>152</v>
      </c>
      <c r="P18">
        <f>F18</f>
        <v>2.5000000000000001E-2</v>
      </c>
      <c r="S18" t="str">
        <f t="shared" si="1"/>
        <v/>
      </c>
      <c r="T18" t="str">
        <f t="shared" si="2"/>
        <v/>
      </c>
      <c r="X18" t="str">
        <f t="shared" si="3"/>
        <v>\I:</v>
      </c>
      <c r="Y18" t="str">
        <f t="shared" si="4"/>
        <v>corn ethanol plant</v>
      </c>
      <c r="Z18" t="s">
        <v>20</v>
      </c>
      <c r="AA18" t="s">
        <v>161</v>
      </c>
    </row>
    <row r="19" spans="1:27" x14ac:dyDescent="0.25">
      <c r="A19" t="s">
        <v>53</v>
      </c>
      <c r="C19" t="s">
        <v>47</v>
      </c>
      <c r="E19" t="str">
        <f t="shared" si="0"/>
        <v>Brf_corn_eth</v>
      </c>
      <c r="F19">
        <f>conversion_efficiency!N27</f>
        <v>0</v>
      </c>
      <c r="H19" t="str">
        <f>IF($A19&lt;&gt;$A18,VLOOKUP($A19,conversion_capital_cost!$A$2:$M$35,13,FALSE),"")</f>
        <v/>
      </c>
      <c r="I19" t="str">
        <f>IF($A19&lt;&gt;$A18,VLOOKUP($A19,conversion_fixed_om!$A$2:$M$35,13,FALSE),"")</f>
        <v/>
      </c>
      <c r="J19" t="str">
        <f>IF($A19&lt;&gt;$A18,VLOOKUP($A19,conversion_variable_om!$A$2:$M$35,13,FALSE),"")</f>
        <v/>
      </c>
      <c r="L19" t="s">
        <v>133</v>
      </c>
      <c r="S19" t="str">
        <f t="shared" si="1"/>
        <v/>
      </c>
      <c r="T19" t="str">
        <f t="shared" si="2"/>
        <v/>
      </c>
      <c r="X19" t="str">
        <f t="shared" si="3"/>
        <v>\I:</v>
      </c>
      <c r="Y19" t="str">
        <f t="shared" si="4"/>
        <v>corn ethanol plant</v>
      </c>
      <c r="Z19" t="s">
        <v>20</v>
      </c>
      <c r="AA19" t="s">
        <v>161</v>
      </c>
    </row>
    <row r="20" spans="1:27" x14ac:dyDescent="0.25">
      <c r="A20" t="s">
        <v>53</v>
      </c>
      <c r="C20" t="s">
        <v>123</v>
      </c>
      <c r="E20" t="str">
        <f t="shared" si="0"/>
        <v>Brf_corn_eth</v>
      </c>
      <c r="F20">
        <f>conversion_efficiency!N28</f>
        <v>3.4000000000000002E-2</v>
      </c>
      <c r="H20" t="str">
        <f>IF($A20&lt;&gt;$A19,VLOOKUP($A20,conversion_capital_cost!$A$2:$M$35,13,FALSE),"")</f>
        <v/>
      </c>
      <c r="I20" t="str">
        <f>IF($A20&lt;&gt;$A19,VLOOKUP($A20,conversion_fixed_om!$A$2:$M$35,13,FALSE),"")</f>
        <v/>
      </c>
      <c r="J20" t="str">
        <f>IF($A20&lt;&gt;$A19,VLOOKUP($A20,conversion_variable_om!$A$2:$M$35,13,FALSE),"")</f>
        <v/>
      </c>
      <c r="L20" t="str">
        <f>VLOOKUP(C20,$A$42:$B$50,2,FALSE)</f>
        <v>SUPELC</v>
      </c>
      <c r="P20">
        <f>F20</f>
        <v>3.4000000000000002E-2</v>
      </c>
      <c r="S20" t="str">
        <f t="shared" si="1"/>
        <v/>
      </c>
      <c r="T20" t="str">
        <f t="shared" si="2"/>
        <v/>
      </c>
      <c r="X20" t="str">
        <f t="shared" si="3"/>
        <v>\I:</v>
      </c>
      <c r="Y20" t="str">
        <f t="shared" si="4"/>
        <v>corn ethanol plant</v>
      </c>
      <c r="Z20" t="s">
        <v>20</v>
      </c>
      <c r="AA20" t="s">
        <v>161</v>
      </c>
    </row>
    <row r="21" spans="1:27" x14ac:dyDescent="0.25">
      <c r="A21" t="s">
        <v>53</v>
      </c>
      <c r="C21" t="s">
        <v>63</v>
      </c>
      <c r="E21" t="str">
        <f t="shared" si="0"/>
        <v>Brf_corn_eth</v>
      </c>
      <c r="F21">
        <f>conversion_efficiency!N29</f>
        <v>0.29799999999999999</v>
      </c>
      <c r="H21" t="str">
        <f>IF($A21&lt;&gt;$A20,VLOOKUP($A21,conversion_capital_cost!$A$2:$M$35,13,FALSE),"")</f>
        <v/>
      </c>
      <c r="I21" t="str">
        <f>IF($A21&lt;&gt;$A20,VLOOKUP($A21,conversion_fixed_om!$A$2:$M$35,13,FALSE),"")</f>
        <v/>
      </c>
      <c r="J21" t="str">
        <f>IF($A21&lt;&gt;$A20,VLOOKUP($A21,conversion_variable_om!$A$2:$M$35,13,FALSE),"")</f>
        <v/>
      </c>
      <c r="L21" t="s">
        <v>153</v>
      </c>
      <c r="P21">
        <f>F21</f>
        <v>0.29799999999999999</v>
      </c>
      <c r="S21" t="str">
        <f t="shared" si="1"/>
        <v/>
      </c>
      <c r="T21" t="str">
        <f t="shared" si="2"/>
        <v/>
      </c>
      <c r="X21" t="str">
        <f t="shared" si="3"/>
        <v>\I:</v>
      </c>
      <c r="Y21" t="str">
        <f t="shared" si="4"/>
        <v>corn ethanol plant</v>
      </c>
      <c r="Z21" t="s">
        <v>20</v>
      </c>
      <c r="AA21" t="s">
        <v>161</v>
      </c>
    </row>
    <row r="22" spans="1:27" ht="14.4" x14ac:dyDescent="0.3">
      <c r="A22" t="s">
        <v>41</v>
      </c>
      <c r="B22" t="s">
        <v>130</v>
      </c>
      <c r="C22" t="s">
        <v>123</v>
      </c>
      <c r="E22" t="str">
        <f t="shared" si="0"/>
        <v>CCUS_DAC</v>
      </c>
      <c r="F22">
        <v>1.7999999999999999E-2</v>
      </c>
      <c r="G22">
        <v>2020</v>
      </c>
      <c r="H22" s="7">
        <v>4.2828093939146576</v>
      </c>
      <c r="I22" s="7">
        <v>5.5868815459350976E-2</v>
      </c>
      <c r="J22" s="7">
        <v>1.125913441734331E-2</v>
      </c>
      <c r="K22" t="str">
        <f>VLOOKUP(C22,$A$42:$B$50,2,FALSE)</f>
        <v>SUPELC</v>
      </c>
      <c r="M22" s="18" t="s">
        <v>202</v>
      </c>
      <c r="P22">
        <f>F22</f>
        <v>1.7999999999999999E-2</v>
      </c>
      <c r="S22">
        <v>1</v>
      </c>
      <c r="T22">
        <v>25</v>
      </c>
      <c r="U22">
        <v>2030</v>
      </c>
      <c r="X22" t="str">
        <f t="shared" si="3"/>
        <v>CCUS_DAC</v>
      </c>
      <c r="Y22" t="str">
        <f t="shared" si="4"/>
        <v>direct air capture plant for power to fuels</v>
      </c>
      <c r="Z22" s="17" t="s">
        <v>32</v>
      </c>
      <c r="AA22" s="17" t="s">
        <v>33</v>
      </c>
    </row>
    <row r="23" spans="1:27" x14ac:dyDescent="0.25">
      <c r="F23">
        <v>1.0999999999999999E-2</v>
      </c>
      <c r="G23">
        <v>2030</v>
      </c>
      <c r="H23" s="7">
        <v>2.3841765855507537</v>
      </c>
      <c r="I23" s="7">
        <v>5.2143463473829192E-2</v>
      </c>
      <c r="J23" s="7">
        <v>1.0500721086592408E-2</v>
      </c>
      <c r="K23" t="str">
        <f>K22</f>
        <v>SUPELC</v>
      </c>
      <c r="P23">
        <f t="shared" ref="P23:P24" si="6">F23</f>
        <v>1.0999999999999999E-2</v>
      </c>
      <c r="X23" t="str">
        <f>IF($E25=$E24,"\I:",E25)</f>
        <v>CCUS_pow-to-liq</v>
      </c>
      <c r="Y23" t="s">
        <v>50</v>
      </c>
      <c r="Z23" t="s">
        <v>20</v>
      </c>
      <c r="AA23" t="s">
        <v>161</v>
      </c>
    </row>
    <row r="24" spans="1:27" x14ac:dyDescent="0.25">
      <c r="F24">
        <v>5.1799999999999997E-3</v>
      </c>
      <c r="G24">
        <v>2050</v>
      </c>
      <c r="H24" s="7">
        <v>1.0326654154314843</v>
      </c>
      <c r="I24" s="7">
        <v>4.4692759502785624E-2</v>
      </c>
      <c r="J24" s="7">
        <v>8.4004995552822235E-3</v>
      </c>
      <c r="K24" t="str">
        <f>K23</f>
        <v>SUPELC</v>
      </c>
      <c r="P24">
        <f t="shared" si="6"/>
        <v>5.1799999999999997E-3</v>
      </c>
    </row>
    <row r="25" spans="1:27" ht="14.4" x14ac:dyDescent="0.3">
      <c r="A25" t="s">
        <v>50</v>
      </c>
      <c r="E25" t="str">
        <f>VLOOKUP(A25,$A$31:$B$42,2,FALSE)</f>
        <v>CCUS_pow-to-liq</v>
      </c>
      <c r="G25">
        <v>2020</v>
      </c>
      <c r="H25">
        <v>1476</v>
      </c>
      <c r="I25">
        <v>57</v>
      </c>
      <c r="K25" s="17" t="s">
        <v>142</v>
      </c>
      <c r="M25" t="s">
        <v>196</v>
      </c>
      <c r="P25" s="10">
        <v>1.47</v>
      </c>
      <c r="S25">
        <v>31.536000000000001</v>
      </c>
      <c r="T25">
        <v>25</v>
      </c>
      <c r="U25">
        <v>2025</v>
      </c>
    </row>
    <row r="26" spans="1:27" ht="14.4" x14ac:dyDescent="0.3">
      <c r="G26">
        <v>2025</v>
      </c>
      <c r="H26">
        <v>1390</v>
      </c>
      <c r="I26">
        <v>54</v>
      </c>
      <c r="K26" s="17"/>
      <c r="L26" s="18" t="s">
        <v>202</v>
      </c>
      <c r="P26" s="10">
        <v>67.2</v>
      </c>
    </row>
    <row r="27" spans="1:27" x14ac:dyDescent="0.25">
      <c r="G27">
        <v>2030</v>
      </c>
      <c r="H27">
        <v>1246</v>
      </c>
      <c r="I27">
        <v>48</v>
      </c>
    </row>
    <row r="28" spans="1:27" x14ac:dyDescent="0.25">
      <c r="G28">
        <v>2035</v>
      </c>
      <c r="H28">
        <v>1116</v>
      </c>
      <c r="I28">
        <v>43</v>
      </c>
    </row>
    <row r="29" spans="1:27" x14ac:dyDescent="0.25">
      <c r="G29">
        <v>2040</v>
      </c>
      <c r="H29">
        <v>994</v>
      </c>
      <c r="I29">
        <v>39</v>
      </c>
    </row>
    <row r="30" spans="1:27" x14ac:dyDescent="0.25">
      <c r="G30">
        <v>2045</v>
      </c>
      <c r="H30">
        <v>871</v>
      </c>
      <c r="I30">
        <v>34</v>
      </c>
    </row>
    <row r="31" spans="1:27" x14ac:dyDescent="0.25">
      <c r="A31" t="s">
        <v>64</v>
      </c>
      <c r="B31" t="s">
        <v>131</v>
      </c>
      <c r="G31">
        <v>2050</v>
      </c>
      <c r="H31">
        <v>749</v>
      </c>
      <c r="I31">
        <v>29</v>
      </c>
    </row>
    <row r="32" spans="1:27" x14ac:dyDescent="0.25">
      <c r="A32" t="s">
        <v>65</v>
      </c>
      <c r="B32" t="s">
        <v>132</v>
      </c>
    </row>
    <row r="33" spans="1:2" x14ac:dyDescent="0.25">
      <c r="A33" t="s">
        <v>48</v>
      </c>
      <c r="B33" t="s">
        <v>184</v>
      </c>
    </row>
    <row r="34" spans="1:2" x14ac:dyDescent="0.25">
      <c r="A34" t="s">
        <v>49</v>
      </c>
      <c r="B34" t="s">
        <v>185</v>
      </c>
    </row>
    <row r="35" spans="1:2" x14ac:dyDescent="0.25">
      <c r="A35" t="s">
        <v>44</v>
      </c>
      <c r="B35" t="s">
        <v>133</v>
      </c>
    </row>
    <row r="36" spans="1:2" x14ac:dyDescent="0.25">
      <c r="A36" t="s">
        <v>45</v>
      </c>
      <c r="B36" t="s">
        <v>133</v>
      </c>
    </row>
    <row r="37" spans="1:2" x14ac:dyDescent="0.25">
      <c r="A37" t="s">
        <v>57</v>
      </c>
      <c r="B37" t="s">
        <v>133</v>
      </c>
    </row>
    <row r="38" spans="1:2" x14ac:dyDescent="0.25">
      <c r="A38" t="s">
        <v>53</v>
      </c>
      <c r="B38" t="s">
        <v>134</v>
      </c>
    </row>
    <row r="39" spans="1:2" x14ac:dyDescent="0.25">
      <c r="A39" t="s">
        <v>41</v>
      </c>
      <c r="B39" s="17" t="s">
        <v>193</v>
      </c>
    </row>
    <row r="40" spans="1:2" x14ac:dyDescent="0.25">
      <c r="A40" t="s">
        <v>50</v>
      </c>
      <c r="B40" s="17" t="s">
        <v>195</v>
      </c>
    </row>
    <row r="42" spans="1:2" x14ac:dyDescent="0.25">
      <c r="A42" t="s">
        <v>121</v>
      </c>
      <c r="B42" t="s">
        <v>13</v>
      </c>
    </row>
    <row r="43" spans="1:2" x14ac:dyDescent="0.25">
      <c r="A43" t="s">
        <v>123</v>
      </c>
      <c r="B43" t="s">
        <v>138</v>
      </c>
    </row>
    <row r="44" spans="1:2" x14ac:dyDescent="0.25">
      <c r="A44" t="s">
        <v>40</v>
      </c>
      <c r="B44" t="s">
        <v>149</v>
      </c>
    </row>
    <row r="45" spans="1:2" x14ac:dyDescent="0.25">
      <c r="A45" t="s">
        <v>63</v>
      </c>
      <c r="B45" t="s">
        <v>139</v>
      </c>
    </row>
    <row r="46" spans="1:2" x14ac:dyDescent="0.25">
      <c r="A46" t="s">
        <v>68</v>
      </c>
      <c r="B46" t="s">
        <v>140</v>
      </c>
    </row>
    <row r="47" spans="1:2" x14ac:dyDescent="0.25">
      <c r="A47" t="s">
        <v>129</v>
      </c>
      <c r="B47" t="s">
        <v>13</v>
      </c>
    </row>
    <row r="48" spans="1:2" x14ac:dyDescent="0.25">
      <c r="A48" t="s">
        <v>43</v>
      </c>
      <c r="B48" t="s">
        <v>141</v>
      </c>
    </row>
    <row r="49" spans="1:2" x14ac:dyDescent="0.25">
      <c r="A49" t="s">
        <v>47</v>
      </c>
      <c r="B49" t="s">
        <v>14</v>
      </c>
    </row>
  </sheetData>
  <sortState xmlns:xlrd2="http://schemas.microsoft.com/office/spreadsheetml/2017/richdata2" ref="F30:F34">
    <sortCondition descending="1" ref="F30:F34"/>
  </sortState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"/>
  <sheetViews>
    <sheetView topLeftCell="G1" workbookViewId="0">
      <selection activeCell="M13" sqref="M13"/>
    </sheetView>
  </sheetViews>
  <sheetFormatPr baseColWidth="10" defaultColWidth="8.88671875" defaultRowHeight="13.2" x14ac:dyDescent="0.25"/>
  <cols>
    <col min="1" max="1" width="14" bestFit="1" customWidth="1"/>
    <col min="2" max="2" width="12.77734375" bestFit="1" customWidth="1"/>
    <col min="3" max="3" width="25.88671875" bestFit="1" customWidth="1"/>
    <col min="4" max="4" width="4.5546875" bestFit="1" customWidth="1"/>
    <col min="7" max="7" width="14" bestFit="1" customWidth="1"/>
    <col min="8" max="8" width="34.88671875" bestFit="1" customWidth="1"/>
    <col min="13" max="13" width="12" bestFit="1" customWidth="1"/>
    <col min="14" max="14" width="15.88671875" bestFit="1" customWidth="1"/>
    <col min="15" max="15" width="19.44140625" bestFit="1" customWidth="1"/>
    <col min="16" max="16" width="4.88671875" bestFit="1" customWidth="1"/>
    <col min="17" max="17" width="8.44140625" bestFit="1" customWidth="1"/>
    <col min="18" max="18" width="6.5546875" bestFit="1" customWidth="1"/>
    <col min="19" max="19" width="7.21875" bestFit="1" customWidth="1"/>
    <col min="20" max="20" width="6.109375" bestFit="1" customWidth="1"/>
  </cols>
  <sheetData>
    <row r="1" spans="1:20" ht="18" thickBot="1" x14ac:dyDescent="0.4">
      <c r="B1" s="5" t="s">
        <v>155</v>
      </c>
      <c r="F1" s="5" t="s">
        <v>5</v>
      </c>
      <c r="M1" s="5" t="s">
        <v>162</v>
      </c>
    </row>
    <row r="2" spans="1:20" ht="15.6" thickTop="1" thickBot="1" x14ac:dyDescent="0.35">
      <c r="A2" s="4" t="s">
        <v>0</v>
      </c>
      <c r="B2" s="4" t="s">
        <v>2</v>
      </c>
      <c r="C2" s="4" t="s">
        <v>3</v>
      </c>
      <c r="D2" s="4" t="s">
        <v>24</v>
      </c>
      <c r="F2" s="4" t="s">
        <v>4</v>
      </c>
      <c r="G2" s="4" t="s">
        <v>160</v>
      </c>
      <c r="H2" s="4" t="s">
        <v>1</v>
      </c>
      <c r="I2" s="4" t="s">
        <v>6</v>
      </c>
      <c r="J2" s="4" t="s">
        <v>7</v>
      </c>
      <c r="M2" s="4" t="s">
        <v>163</v>
      </c>
      <c r="N2" s="4" t="s">
        <v>164</v>
      </c>
      <c r="O2" s="4" t="s">
        <v>165</v>
      </c>
      <c r="P2" s="4" t="s">
        <v>166</v>
      </c>
      <c r="Q2" s="4" t="s">
        <v>167</v>
      </c>
      <c r="R2" s="4" t="s">
        <v>168</v>
      </c>
      <c r="S2" s="4" t="s">
        <v>169</v>
      </c>
      <c r="T2" s="4" t="s">
        <v>170</v>
      </c>
    </row>
    <row r="3" spans="1:20" x14ac:dyDescent="0.25">
      <c r="A3" t="str">
        <f>"FT_"&amp;B3</f>
        <v>FT_BIOSNG</v>
      </c>
      <c r="B3" t="str">
        <f>N3</f>
        <v>BIOSNG</v>
      </c>
      <c r="C3" t="s">
        <v>182</v>
      </c>
      <c r="D3">
        <v>1</v>
      </c>
      <c r="F3" t="s">
        <v>11</v>
      </c>
      <c r="G3" t="str">
        <f>A3</f>
        <v>FT_BIOSNG</v>
      </c>
      <c r="I3" t="s">
        <v>20</v>
      </c>
      <c r="J3" t="s">
        <v>183</v>
      </c>
      <c r="M3" t="s">
        <v>171</v>
      </c>
      <c r="N3" t="s">
        <v>139</v>
      </c>
      <c r="O3" t="s">
        <v>177</v>
      </c>
      <c r="P3" t="s">
        <v>20</v>
      </c>
    </row>
    <row r="4" spans="1:20" x14ac:dyDescent="0.25">
      <c r="A4" t="str">
        <f>"FT_"&amp;B4</f>
        <v>FT_BIOJTK</v>
      </c>
      <c r="B4" t="s">
        <v>143</v>
      </c>
      <c r="C4" t="s">
        <v>172</v>
      </c>
      <c r="D4">
        <v>1</v>
      </c>
      <c r="G4" t="str">
        <f>A4</f>
        <v>FT_BIOJTK</v>
      </c>
      <c r="I4" t="s">
        <v>20</v>
      </c>
      <c r="J4" t="s">
        <v>183</v>
      </c>
      <c r="N4" t="s">
        <v>143</v>
      </c>
      <c r="O4" t="s">
        <v>176</v>
      </c>
      <c r="P4" t="s">
        <v>20</v>
      </c>
    </row>
    <row r="5" spans="1:20" x14ac:dyDescent="0.25">
      <c r="N5" t="s">
        <v>172</v>
      </c>
      <c r="O5" t="s">
        <v>178</v>
      </c>
      <c r="P5" t="s">
        <v>20</v>
      </c>
    </row>
    <row r="6" spans="1:20" x14ac:dyDescent="0.25">
      <c r="N6" t="s">
        <v>173</v>
      </c>
      <c r="O6" t="s">
        <v>179</v>
      </c>
      <c r="P6" t="s">
        <v>20</v>
      </c>
    </row>
    <row r="7" spans="1:20" x14ac:dyDescent="0.25">
      <c r="N7" t="s">
        <v>174</v>
      </c>
      <c r="O7" t="s">
        <v>180</v>
      </c>
      <c r="P7" t="s">
        <v>20</v>
      </c>
    </row>
    <row r="8" spans="1:20" x14ac:dyDescent="0.25">
      <c r="N8" t="s">
        <v>175</v>
      </c>
      <c r="O8" t="s">
        <v>181</v>
      </c>
      <c r="P8" t="s">
        <v>20</v>
      </c>
    </row>
    <row r="9" spans="1:20" x14ac:dyDescent="0.25">
      <c r="N9" t="s">
        <v>188</v>
      </c>
      <c r="O9" s="17" t="s">
        <v>197</v>
      </c>
      <c r="P9" t="s">
        <v>20</v>
      </c>
    </row>
    <row r="10" spans="1:20" x14ac:dyDescent="0.25">
      <c r="N10" t="s">
        <v>189</v>
      </c>
      <c r="O10" s="17" t="s">
        <v>198</v>
      </c>
      <c r="P10" t="s">
        <v>20</v>
      </c>
    </row>
    <row r="11" spans="1:20" x14ac:dyDescent="0.25">
      <c r="N11" t="s">
        <v>190</v>
      </c>
      <c r="O11" s="17" t="s">
        <v>199</v>
      </c>
      <c r="P11" t="s">
        <v>20</v>
      </c>
    </row>
    <row r="12" spans="1:20" x14ac:dyDescent="0.25">
      <c r="N12" t="s">
        <v>191</v>
      </c>
      <c r="O12" s="17" t="s">
        <v>200</v>
      </c>
      <c r="P12" t="s">
        <v>20</v>
      </c>
    </row>
    <row r="13" spans="1:20" x14ac:dyDescent="0.25">
      <c r="N13" t="s">
        <v>192</v>
      </c>
      <c r="O13" s="17" t="s">
        <v>201</v>
      </c>
      <c r="P13" t="s">
        <v>20</v>
      </c>
    </row>
    <row r="14" spans="1:20" x14ac:dyDescent="0.25">
      <c r="O1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"/>
  <sheetViews>
    <sheetView topLeftCell="C3" workbookViewId="0">
      <selection activeCell="N42" sqref="N42:N46"/>
    </sheetView>
  </sheetViews>
  <sheetFormatPr baseColWidth="10" defaultColWidth="9.109375" defaultRowHeight="14.4" x14ac:dyDescent="0.3"/>
  <cols>
    <col min="1" max="1" width="26.109375" style="10" bestFit="1" customWidth="1"/>
    <col min="2" max="2" width="64.44140625" style="14" bestFit="1" customWidth="1"/>
    <col min="3" max="3" width="21" style="10" bestFit="1" customWidth="1"/>
    <col min="4" max="5" width="9.109375" style="10"/>
    <col min="6" max="6" width="32.21875" style="10" customWidth="1"/>
    <col min="7" max="7" width="26.109375" style="10" bestFit="1" customWidth="1"/>
    <col min="8" max="14" width="9.109375" style="10"/>
    <col min="15" max="15" width="26.109375" style="10" bestFit="1" customWidth="1"/>
    <col min="16" max="16384" width="9.109375" style="10"/>
  </cols>
  <sheetData>
    <row r="1" spans="1:16" x14ac:dyDescent="0.3">
      <c r="A1" s="8" t="s">
        <v>36</v>
      </c>
      <c r="B1" s="15" t="s">
        <v>37</v>
      </c>
      <c r="C1" s="9" t="s">
        <v>38</v>
      </c>
      <c r="E1" s="11" t="s">
        <v>39</v>
      </c>
    </row>
    <row r="2" spans="1:16" x14ac:dyDescent="0.3">
      <c r="A2" s="15" t="s">
        <v>40</v>
      </c>
      <c r="B2" s="15" t="s">
        <v>41</v>
      </c>
      <c r="C2" s="11">
        <v>1</v>
      </c>
      <c r="E2" s="11" t="s">
        <v>42</v>
      </c>
    </row>
    <row r="3" spans="1:16" x14ac:dyDescent="0.3">
      <c r="A3" s="15" t="s">
        <v>43</v>
      </c>
      <c r="B3" s="15" t="s">
        <v>44</v>
      </c>
      <c r="C3" s="11">
        <v>1</v>
      </c>
      <c r="O3" s="10" t="s">
        <v>54</v>
      </c>
      <c r="P3" s="10" t="s">
        <v>142</v>
      </c>
    </row>
    <row r="4" spans="1:16" x14ac:dyDescent="0.3">
      <c r="A4" s="15" t="s">
        <v>43</v>
      </c>
      <c r="B4" s="15" t="s">
        <v>45</v>
      </c>
      <c r="C4" s="11">
        <v>1</v>
      </c>
      <c r="O4" s="10" t="s">
        <v>63</v>
      </c>
      <c r="P4" s="10" t="s">
        <v>139</v>
      </c>
    </row>
    <row r="5" spans="1:16" x14ac:dyDescent="0.3">
      <c r="A5" s="15" t="s">
        <v>46</v>
      </c>
      <c r="B5" s="15" t="s">
        <v>44</v>
      </c>
      <c r="C5" s="11">
        <v>1</v>
      </c>
      <c r="F5" s="10" t="s">
        <v>55</v>
      </c>
      <c r="G5" s="10" t="s">
        <v>54</v>
      </c>
      <c r="H5" s="10" t="str">
        <f>IF(F5=F4,H4&amp;","&amp;N5,N5)</f>
        <v>HH2</v>
      </c>
      <c r="N5" s="10" t="str">
        <f>VLOOKUP(G5,$O$3:$P$16,2,FALSE)</f>
        <v>HH2</v>
      </c>
      <c r="O5" s="10" t="s">
        <v>47</v>
      </c>
      <c r="P5" s="10" t="s">
        <v>14</v>
      </c>
    </row>
    <row r="6" spans="1:16" x14ac:dyDescent="0.3">
      <c r="A6" s="15" t="s">
        <v>46</v>
      </c>
      <c r="B6" s="15" t="s">
        <v>45</v>
      </c>
      <c r="C6" s="11">
        <v>1</v>
      </c>
      <c r="F6" s="10" t="s">
        <v>56</v>
      </c>
      <c r="G6" s="10" t="s">
        <v>54</v>
      </c>
      <c r="H6" s="10" t="str">
        <f t="shared" ref="H6:H47" si="0">IF(F6=F5,H5&amp;","&amp;N6,N6)</f>
        <v>HH2</v>
      </c>
      <c r="N6" s="10" t="str">
        <f t="shared" ref="N6:N47" si="1">VLOOKUP(G6,$O$3:$P$16,2,FALSE)</f>
        <v>HH2</v>
      </c>
      <c r="O6" s="10" t="s">
        <v>59</v>
      </c>
      <c r="P6" s="10" t="s">
        <v>143</v>
      </c>
    </row>
    <row r="7" spans="1:16" x14ac:dyDescent="0.3">
      <c r="A7" s="15" t="s">
        <v>47</v>
      </c>
      <c r="B7" s="15" t="s">
        <v>48</v>
      </c>
      <c r="C7" s="11">
        <v>1</v>
      </c>
      <c r="F7" s="10" t="s">
        <v>64</v>
      </c>
      <c r="G7" s="10" t="s">
        <v>63</v>
      </c>
      <c r="H7" s="10" t="str">
        <f t="shared" si="0"/>
        <v>BIOSNG</v>
      </c>
      <c r="N7" s="10" t="str">
        <f t="shared" si="1"/>
        <v>BIOSNG</v>
      </c>
      <c r="O7" s="10" t="s">
        <v>60</v>
      </c>
      <c r="P7" s="10" t="s">
        <v>144</v>
      </c>
    </row>
    <row r="8" spans="1:16" x14ac:dyDescent="0.3">
      <c r="A8" s="15" t="s">
        <v>47</v>
      </c>
      <c r="B8" s="15" t="s">
        <v>49</v>
      </c>
      <c r="C8" s="11">
        <v>1</v>
      </c>
      <c r="F8" s="10" t="s">
        <v>65</v>
      </c>
      <c r="G8" s="10" t="s">
        <v>63</v>
      </c>
      <c r="H8" s="10" t="str">
        <f t="shared" si="0"/>
        <v>BIOSNG</v>
      </c>
      <c r="N8" s="10" t="str">
        <f t="shared" si="1"/>
        <v>BIOSNG</v>
      </c>
      <c r="O8" s="10" t="s">
        <v>67</v>
      </c>
      <c r="P8" s="10" t="s">
        <v>145</v>
      </c>
    </row>
    <row r="9" spans="1:16" x14ac:dyDescent="0.3">
      <c r="A9" s="15" t="s">
        <v>47</v>
      </c>
      <c r="B9" s="15" t="s">
        <v>50</v>
      </c>
      <c r="C9" s="11">
        <v>1</v>
      </c>
      <c r="F9" s="10" t="s">
        <v>48</v>
      </c>
      <c r="G9" s="10" t="s">
        <v>47</v>
      </c>
      <c r="H9" s="10" t="str">
        <f t="shared" si="0"/>
        <v>BIODST</v>
      </c>
      <c r="N9" s="10" t="str">
        <f t="shared" si="1"/>
        <v>BIODST</v>
      </c>
      <c r="O9" s="10" t="s">
        <v>43</v>
      </c>
      <c r="P9" s="10" t="s">
        <v>141</v>
      </c>
    </row>
    <row r="10" spans="1:16" x14ac:dyDescent="0.3">
      <c r="A10" s="15" t="s">
        <v>51</v>
      </c>
      <c r="B10" s="15" t="s">
        <v>52</v>
      </c>
      <c r="C10" s="11">
        <v>1</v>
      </c>
      <c r="F10" s="10" t="s">
        <v>48</v>
      </c>
      <c r="G10" s="10" t="s">
        <v>59</v>
      </c>
      <c r="H10" s="10" t="str">
        <f t="shared" si="0"/>
        <v>BIODST,BIOJTK</v>
      </c>
      <c r="N10" s="10" t="str">
        <f t="shared" si="1"/>
        <v>BIOJTK</v>
      </c>
      <c r="O10" s="10" t="s">
        <v>46</v>
      </c>
      <c r="P10" s="10" t="s">
        <v>146</v>
      </c>
    </row>
    <row r="11" spans="1:16" x14ac:dyDescent="0.3">
      <c r="A11" s="15" t="s">
        <v>51</v>
      </c>
      <c r="B11" s="15" t="s">
        <v>53</v>
      </c>
      <c r="C11" s="11">
        <v>1</v>
      </c>
      <c r="F11" s="10" t="s">
        <v>48</v>
      </c>
      <c r="G11" s="10" t="s">
        <v>60</v>
      </c>
      <c r="H11" s="10" t="str">
        <f t="shared" si="0"/>
        <v>BIODST,BIOJTK,BIOLPG</v>
      </c>
      <c r="N11" s="10" t="str">
        <f t="shared" si="1"/>
        <v>BIOLPG</v>
      </c>
      <c r="O11" s="10" t="s">
        <v>61</v>
      </c>
      <c r="P11" s="10" t="s">
        <v>147</v>
      </c>
    </row>
    <row r="12" spans="1:16" x14ac:dyDescent="0.3">
      <c r="A12" s="15" t="s">
        <v>51</v>
      </c>
      <c r="B12" s="15" t="s">
        <v>50</v>
      </c>
      <c r="C12" s="11">
        <v>1</v>
      </c>
      <c r="F12" s="10" t="s">
        <v>48</v>
      </c>
      <c r="G12" s="10" t="s">
        <v>67</v>
      </c>
      <c r="H12" s="10" t="str">
        <f t="shared" si="0"/>
        <v>BIODST,BIOJTK,BIOLPG,BIORFO</v>
      </c>
      <c r="N12" s="10" t="str">
        <f t="shared" si="1"/>
        <v>BIORFO</v>
      </c>
      <c r="O12" s="10" t="s">
        <v>62</v>
      </c>
      <c r="P12" s="10" t="s">
        <v>148</v>
      </c>
    </row>
    <row r="13" spans="1:16" x14ac:dyDescent="0.3">
      <c r="A13" s="15" t="s">
        <v>54</v>
      </c>
      <c r="B13" s="15" t="s">
        <v>55</v>
      </c>
      <c r="C13" s="11">
        <v>1</v>
      </c>
      <c r="F13" s="10" t="s">
        <v>49</v>
      </c>
      <c r="G13" s="10" t="s">
        <v>47</v>
      </c>
      <c r="H13" s="10" t="str">
        <f t="shared" si="0"/>
        <v>BIODST</v>
      </c>
      <c r="N13" s="10" t="str">
        <f t="shared" si="1"/>
        <v>BIODST</v>
      </c>
      <c r="O13" s="10" t="s">
        <v>78</v>
      </c>
      <c r="P13" s="10" t="s">
        <v>139</v>
      </c>
    </row>
    <row r="14" spans="1:16" x14ac:dyDescent="0.3">
      <c r="A14" s="15" t="s">
        <v>54</v>
      </c>
      <c r="B14" s="15" t="s">
        <v>56</v>
      </c>
      <c r="C14" s="11">
        <v>1</v>
      </c>
      <c r="F14" s="10" t="s">
        <v>49</v>
      </c>
      <c r="G14" s="10" t="s">
        <v>59</v>
      </c>
      <c r="H14" s="10" t="str">
        <f t="shared" si="0"/>
        <v>BIODST,BIOJTK</v>
      </c>
      <c r="N14" s="10" t="str">
        <f t="shared" si="1"/>
        <v>BIOJTK</v>
      </c>
      <c r="O14" s="10" t="s">
        <v>51</v>
      </c>
      <c r="P14" s="10" t="s">
        <v>15</v>
      </c>
    </row>
    <row r="15" spans="1:16" x14ac:dyDescent="0.3">
      <c r="A15" s="15" t="s">
        <v>54</v>
      </c>
      <c r="B15" s="15" t="s">
        <v>57</v>
      </c>
      <c r="C15" s="11">
        <v>1</v>
      </c>
      <c r="F15" s="10" t="s">
        <v>49</v>
      </c>
      <c r="G15" s="10" t="s">
        <v>60</v>
      </c>
      <c r="H15" s="10" t="str">
        <f t="shared" si="0"/>
        <v>BIODST,BIOJTK,BIOLPG</v>
      </c>
      <c r="N15" s="10" t="str">
        <f t="shared" si="1"/>
        <v>BIOLPG</v>
      </c>
      <c r="O15" s="10" t="s">
        <v>40</v>
      </c>
      <c r="P15" s="10" t="s">
        <v>149</v>
      </c>
    </row>
    <row r="16" spans="1:16" x14ac:dyDescent="0.3">
      <c r="A16" s="15" t="s">
        <v>54</v>
      </c>
      <c r="B16" s="15" t="s">
        <v>58</v>
      </c>
      <c r="C16" s="11">
        <v>1</v>
      </c>
      <c r="F16" s="10" t="s">
        <v>49</v>
      </c>
      <c r="G16" s="10" t="s">
        <v>67</v>
      </c>
      <c r="H16" s="10" t="str">
        <f t="shared" si="0"/>
        <v>BIODST,BIOJTK,BIOLPG,BIORFO</v>
      </c>
      <c r="N16" s="10" t="str">
        <f t="shared" si="1"/>
        <v>BIORFO</v>
      </c>
      <c r="O16" s="10" t="s">
        <v>68</v>
      </c>
      <c r="P16" s="10" t="s">
        <v>140</v>
      </c>
    </row>
    <row r="17" spans="1:15" x14ac:dyDescent="0.3">
      <c r="A17" s="15" t="s">
        <v>59</v>
      </c>
      <c r="B17" s="15" t="s">
        <v>48</v>
      </c>
      <c r="C17" s="11">
        <v>1</v>
      </c>
      <c r="F17" s="10" t="s">
        <v>44</v>
      </c>
      <c r="G17" s="10" t="s">
        <v>43</v>
      </c>
      <c r="H17" s="10" t="str">
        <f t="shared" si="0"/>
        <v>BIOCHR</v>
      </c>
      <c r="N17" s="10" t="str">
        <f t="shared" si="1"/>
        <v>BIOCHR</v>
      </c>
      <c r="O17"/>
    </row>
    <row r="18" spans="1:15" x14ac:dyDescent="0.3">
      <c r="A18" s="15" t="s">
        <v>59</v>
      </c>
      <c r="B18" s="15" t="s">
        <v>49</v>
      </c>
      <c r="C18" s="11">
        <v>1</v>
      </c>
      <c r="F18" s="10" t="s">
        <v>44</v>
      </c>
      <c r="G18" s="10" t="s">
        <v>46</v>
      </c>
      <c r="H18" s="10" t="str">
        <f t="shared" si="0"/>
        <v>BIOCHR,BIOCOK</v>
      </c>
      <c r="N18" s="10" t="str">
        <f t="shared" si="1"/>
        <v>BIOCOK</v>
      </c>
      <c r="O18"/>
    </row>
    <row r="19" spans="1:15" x14ac:dyDescent="0.3">
      <c r="A19" s="15" t="s">
        <v>59</v>
      </c>
      <c r="B19" s="15" t="s">
        <v>50</v>
      </c>
      <c r="C19" s="11">
        <v>1</v>
      </c>
      <c r="F19" s="10" t="s">
        <v>44</v>
      </c>
      <c r="G19" s="10" t="s">
        <v>61</v>
      </c>
      <c r="H19" s="10" t="str">
        <f t="shared" si="0"/>
        <v>BIOCHR,BIOCOK,BIOOIL</v>
      </c>
      <c r="N19" s="10" t="str">
        <f t="shared" si="1"/>
        <v>BIOOIL</v>
      </c>
      <c r="O19"/>
    </row>
    <row r="20" spans="1:15" x14ac:dyDescent="0.3">
      <c r="A20" s="15" t="s">
        <v>60</v>
      </c>
      <c r="B20" s="15" t="s">
        <v>48</v>
      </c>
      <c r="C20" s="11">
        <v>1</v>
      </c>
      <c r="F20" s="10" t="s">
        <v>44</v>
      </c>
      <c r="G20" s="10" t="s">
        <v>62</v>
      </c>
      <c r="H20" s="10" t="str">
        <f t="shared" si="0"/>
        <v>BIOCHR,BIOCOK,BIOOIL,BIOPCK</v>
      </c>
      <c r="N20" s="10" t="str">
        <f t="shared" si="1"/>
        <v>BIOPCK</v>
      </c>
      <c r="O20"/>
    </row>
    <row r="21" spans="1:15" x14ac:dyDescent="0.3">
      <c r="A21" s="15" t="s">
        <v>60</v>
      </c>
      <c r="B21" s="15" t="s">
        <v>49</v>
      </c>
      <c r="C21" s="11">
        <v>1</v>
      </c>
      <c r="F21" s="10" t="s">
        <v>44</v>
      </c>
      <c r="G21" s="10" t="s">
        <v>78</v>
      </c>
      <c r="H21" s="10" t="str">
        <f t="shared" si="0"/>
        <v>BIOCHR,BIOCOK,BIOOIL,BIOPCK,BIOSNG</v>
      </c>
      <c r="N21" s="10" t="str">
        <f t="shared" si="1"/>
        <v>BIOSNG</v>
      </c>
      <c r="O21"/>
    </row>
    <row r="22" spans="1:15" x14ac:dyDescent="0.3">
      <c r="A22" s="15" t="s">
        <v>60</v>
      </c>
      <c r="B22" s="15" t="s">
        <v>50</v>
      </c>
      <c r="C22" s="11">
        <v>1</v>
      </c>
      <c r="F22" s="10" t="s">
        <v>45</v>
      </c>
      <c r="G22" s="10" t="s">
        <v>43</v>
      </c>
      <c r="H22" s="10" t="str">
        <f t="shared" si="0"/>
        <v>BIOCHR</v>
      </c>
      <c r="N22" s="10" t="str">
        <f t="shared" si="1"/>
        <v>BIOCHR</v>
      </c>
      <c r="O22"/>
    </row>
    <row r="23" spans="1:15" x14ac:dyDescent="0.3">
      <c r="A23" s="15" t="s">
        <v>61</v>
      </c>
      <c r="B23" s="15" t="s">
        <v>44</v>
      </c>
      <c r="C23" s="11">
        <v>1</v>
      </c>
      <c r="F23" s="10" t="s">
        <v>45</v>
      </c>
      <c r="G23" s="10" t="s">
        <v>46</v>
      </c>
      <c r="H23" s="10" t="str">
        <f t="shared" si="0"/>
        <v>BIOCHR,BIOCOK</v>
      </c>
      <c r="N23" s="10" t="str">
        <f t="shared" si="1"/>
        <v>BIOCOK</v>
      </c>
      <c r="O23"/>
    </row>
    <row r="24" spans="1:15" x14ac:dyDescent="0.3">
      <c r="A24" s="15" t="s">
        <v>61</v>
      </c>
      <c r="B24" s="15" t="s">
        <v>45</v>
      </c>
      <c r="C24" s="11">
        <v>1</v>
      </c>
      <c r="F24" s="10" t="s">
        <v>45</v>
      </c>
      <c r="G24" s="10" t="s">
        <v>61</v>
      </c>
      <c r="H24" s="10" t="str">
        <f t="shared" si="0"/>
        <v>BIOCHR,BIOCOK,BIOOIL</v>
      </c>
      <c r="N24" s="10" t="str">
        <f t="shared" si="1"/>
        <v>BIOOIL</v>
      </c>
      <c r="O24"/>
    </row>
    <row r="25" spans="1:15" x14ac:dyDescent="0.3">
      <c r="A25" s="15" t="s">
        <v>62</v>
      </c>
      <c r="B25" s="15" t="s">
        <v>44</v>
      </c>
      <c r="C25" s="11">
        <v>1</v>
      </c>
      <c r="F25" s="10" t="s">
        <v>45</v>
      </c>
      <c r="G25" s="10" t="s">
        <v>62</v>
      </c>
      <c r="H25" s="10" t="str">
        <f t="shared" si="0"/>
        <v>BIOCHR,BIOCOK,BIOOIL,BIOPCK</v>
      </c>
      <c r="N25" s="10" t="str">
        <f t="shared" si="1"/>
        <v>BIOPCK</v>
      </c>
      <c r="O25"/>
    </row>
    <row r="26" spans="1:15" x14ac:dyDescent="0.3">
      <c r="A26" s="15" t="s">
        <v>62</v>
      </c>
      <c r="B26" s="15" t="s">
        <v>45</v>
      </c>
      <c r="C26" s="11">
        <v>1</v>
      </c>
      <c r="F26" s="10" t="s">
        <v>45</v>
      </c>
      <c r="G26" s="10" t="s">
        <v>78</v>
      </c>
      <c r="H26" s="10" t="str">
        <f t="shared" si="0"/>
        <v>BIOCHR,BIOCOK,BIOOIL,BIOPCK,BIOSNG</v>
      </c>
      <c r="N26" s="10" t="str">
        <f t="shared" si="1"/>
        <v>BIOSNG</v>
      </c>
      <c r="O26"/>
    </row>
    <row r="27" spans="1:15" x14ac:dyDescent="0.3">
      <c r="A27" s="15" t="s">
        <v>63</v>
      </c>
      <c r="B27" s="15" t="s">
        <v>64</v>
      </c>
      <c r="C27" s="11">
        <v>1</v>
      </c>
      <c r="F27" s="10" t="s">
        <v>52</v>
      </c>
      <c r="G27" s="10" t="s">
        <v>51</v>
      </c>
      <c r="H27" s="10" t="str">
        <f t="shared" si="0"/>
        <v>BIOGSL</v>
      </c>
      <c r="N27" s="10" t="str">
        <f t="shared" si="1"/>
        <v>BIOGSL</v>
      </c>
      <c r="O27"/>
    </row>
    <row r="28" spans="1:15" x14ac:dyDescent="0.3">
      <c r="A28" s="15" t="s">
        <v>63</v>
      </c>
      <c r="B28" s="15" t="s">
        <v>65</v>
      </c>
      <c r="C28" s="11">
        <v>1</v>
      </c>
      <c r="F28" s="10" t="s">
        <v>57</v>
      </c>
      <c r="G28" s="10" t="s">
        <v>54</v>
      </c>
      <c r="H28" s="10" t="str">
        <f t="shared" si="0"/>
        <v>HH2</v>
      </c>
      <c r="N28" s="10" t="str">
        <f t="shared" si="1"/>
        <v>HH2</v>
      </c>
      <c r="O28"/>
    </row>
    <row r="29" spans="1:15" x14ac:dyDescent="0.3">
      <c r="A29" s="15" t="s">
        <v>63</v>
      </c>
      <c r="B29" s="15" t="s">
        <v>57</v>
      </c>
      <c r="C29" s="11">
        <v>7.0000000000000007E-2</v>
      </c>
      <c r="F29" s="10" t="s">
        <v>57</v>
      </c>
      <c r="G29" s="10" t="s">
        <v>63</v>
      </c>
      <c r="H29" s="10" t="str">
        <f t="shared" si="0"/>
        <v>HH2,BIOSNG</v>
      </c>
      <c r="N29" s="10" t="str">
        <f t="shared" si="1"/>
        <v>BIOSNG</v>
      </c>
      <c r="O29"/>
    </row>
    <row r="30" spans="1:15" x14ac:dyDescent="0.3">
      <c r="A30" s="15" t="s">
        <v>63</v>
      </c>
      <c r="B30" s="15" t="s">
        <v>66</v>
      </c>
      <c r="C30" s="11">
        <v>1</v>
      </c>
      <c r="F30" s="10" t="s">
        <v>53</v>
      </c>
      <c r="G30" s="10" t="s">
        <v>51</v>
      </c>
      <c r="H30" s="10" t="str">
        <f t="shared" si="0"/>
        <v>BIOGSL</v>
      </c>
      <c r="N30" s="10" t="str">
        <f t="shared" si="1"/>
        <v>BIOGSL</v>
      </c>
      <c r="O30"/>
    </row>
    <row r="31" spans="1:15" x14ac:dyDescent="0.3">
      <c r="A31" s="15" t="s">
        <v>67</v>
      </c>
      <c r="B31" s="15" t="s">
        <v>48</v>
      </c>
      <c r="C31" s="11">
        <v>1</v>
      </c>
      <c r="F31" s="10" t="s">
        <v>41</v>
      </c>
      <c r="G31" s="10" t="s">
        <v>40</v>
      </c>
      <c r="H31" s="10" t="str">
        <f t="shared" si="0"/>
        <v>SUPCO2Nb</v>
      </c>
      <c r="N31" s="10" t="str">
        <f t="shared" si="1"/>
        <v>SUPCO2Nb</v>
      </c>
      <c r="O31"/>
    </row>
    <row r="32" spans="1:15" x14ac:dyDescent="0.3">
      <c r="A32" s="15" t="s">
        <v>67</v>
      </c>
      <c r="B32" s="15" t="s">
        <v>49</v>
      </c>
      <c r="C32" s="11">
        <v>1</v>
      </c>
      <c r="F32" s="10" t="s">
        <v>69</v>
      </c>
      <c r="G32" s="10" t="s">
        <v>68</v>
      </c>
      <c r="H32" s="10" t="str">
        <f t="shared" si="0"/>
        <v>HET</v>
      </c>
      <c r="N32" s="10" t="str">
        <f t="shared" si="1"/>
        <v>HET</v>
      </c>
      <c r="O32"/>
    </row>
    <row r="33" spans="1:15" x14ac:dyDescent="0.3">
      <c r="A33" s="15" t="s">
        <v>67</v>
      </c>
      <c r="B33" s="15" t="s">
        <v>50</v>
      </c>
      <c r="C33" s="11">
        <v>1</v>
      </c>
      <c r="F33" s="10" t="s">
        <v>58</v>
      </c>
      <c r="G33" s="10" t="s">
        <v>54</v>
      </c>
      <c r="H33" s="10" t="str">
        <f t="shared" si="0"/>
        <v>HH2</v>
      </c>
      <c r="N33" s="10" t="str">
        <f t="shared" si="1"/>
        <v>HH2</v>
      </c>
      <c r="O33"/>
    </row>
    <row r="34" spans="1:15" x14ac:dyDescent="0.3">
      <c r="A34" s="15" t="s">
        <v>68</v>
      </c>
      <c r="B34" s="15" t="s">
        <v>69</v>
      </c>
      <c r="C34" s="11">
        <v>1</v>
      </c>
      <c r="F34" s="10" t="s">
        <v>70</v>
      </c>
      <c r="G34" s="10" t="s">
        <v>68</v>
      </c>
      <c r="H34" s="10" t="str">
        <f t="shared" si="0"/>
        <v>HET</v>
      </c>
      <c r="N34" s="10" t="str">
        <f t="shared" si="1"/>
        <v>HET</v>
      </c>
      <c r="O34"/>
    </row>
    <row r="35" spans="1:15" x14ac:dyDescent="0.3">
      <c r="A35" s="15" t="s">
        <v>68</v>
      </c>
      <c r="B35" s="15" t="s">
        <v>70</v>
      </c>
      <c r="C35" s="11">
        <v>1</v>
      </c>
      <c r="F35" s="10" t="s">
        <v>71</v>
      </c>
      <c r="G35" s="10" t="s">
        <v>68</v>
      </c>
      <c r="H35" s="10" t="str">
        <f t="shared" si="0"/>
        <v>HET</v>
      </c>
      <c r="N35" s="10" t="str">
        <f t="shared" si="1"/>
        <v>HET</v>
      </c>
      <c r="O35"/>
    </row>
    <row r="36" spans="1:15" x14ac:dyDescent="0.3">
      <c r="A36" s="15" t="s">
        <v>68</v>
      </c>
      <c r="B36" s="15" t="s">
        <v>71</v>
      </c>
      <c r="C36" s="11">
        <v>1</v>
      </c>
      <c r="F36" s="10" t="s">
        <v>72</v>
      </c>
      <c r="G36" s="10" t="s">
        <v>68</v>
      </c>
      <c r="H36" s="10" t="str">
        <f t="shared" si="0"/>
        <v>HET</v>
      </c>
      <c r="N36" s="10" t="str">
        <f t="shared" si="1"/>
        <v>HET</v>
      </c>
      <c r="O36"/>
    </row>
    <row r="37" spans="1:15" x14ac:dyDescent="0.3">
      <c r="A37" s="15" t="s">
        <v>68</v>
      </c>
      <c r="B37" s="15" t="s">
        <v>72</v>
      </c>
      <c r="C37" s="11">
        <v>1</v>
      </c>
      <c r="F37" s="10" t="s">
        <v>73</v>
      </c>
      <c r="G37" s="10" t="s">
        <v>68</v>
      </c>
      <c r="H37" s="10" t="str">
        <f t="shared" si="0"/>
        <v>HET</v>
      </c>
      <c r="N37" s="10" t="str">
        <f t="shared" si="1"/>
        <v>HET</v>
      </c>
      <c r="O37"/>
    </row>
    <row r="38" spans="1:15" x14ac:dyDescent="0.3">
      <c r="A38" s="15" t="s">
        <v>68</v>
      </c>
      <c r="B38" s="15" t="s">
        <v>73</v>
      </c>
      <c r="C38" s="11">
        <v>1</v>
      </c>
      <c r="F38" s="10" t="s">
        <v>74</v>
      </c>
      <c r="G38" s="10" t="s">
        <v>68</v>
      </c>
      <c r="H38" s="10" t="str">
        <f t="shared" si="0"/>
        <v>HET</v>
      </c>
      <c r="N38" s="10" t="str">
        <f t="shared" si="1"/>
        <v>HET</v>
      </c>
      <c r="O38"/>
    </row>
    <row r="39" spans="1:15" x14ac:dyDescent="0.3">
      <c r="A39" s="15" t="s">
        <v>68</v>
      </c>
      <c r="B39" s="15" t="s">
        <v>74</v>
      </c>
      <c r="C39" s="11">
        <v>1</v>
      </c>
      <c r="F39" s="10" t="s">
        <v>75</v>
      </c>
      <c r="G39" s="10" t="s">
        <v>68</v>
      </c>
      <c r="H39" s="10" t="str">
        <f t="shared" si="0"/>
        <v>HET</v>
      </c>
      <c r="N39" s="10" t="str">
        <f t="shared" si="1"/>
        <v>HET</v>
      </c>
      <c r="O39"/>
    </row>
    <row r="40" spans="1:15" x14ac:dyDescent="0.3">
      <c r="A40" s="15" t="s">
        <v>68</v>
      </c>
      <c r="B40" s="15" t="s">
        <v>75</v>
      </c>
      <c r="C40" s="11">
        <v>1</v>
      </c>
      <c r="F40" s="10" t="s">
        <v>76</v>
      </c>
      <c r="G40" s="10" t="s">
        <v>68</v>
      </c>
      <c r="H40" s="10" t="str">
        <f t="shared" si="0"/>
        <v>HET</v>
      </c>
      <c r="N40" s="10" t="str">
        <f t="shared" si="1"/>
        <v>HET</v>
      </c>
      <c r="O40"/>
    </row>
    <row r="41" spans="1:15" x14ac:dyDescent="0.3">
      <c r="A41" s="15" t="s">
        <v>68</v>
      </c>
      <c r="B41" s="15" t="s">
        <v>76</v>
      </c>
      <c r="C41" s="11">
        <v>1</v>
      </c>
      <c r="F41" s="10" t="s">
        <v>77</v>
      </c>
      <c r="G41" s="10" t="s">
        <v>68</v>
      </c>
      <c r="H41" s="10" t="str">
        <f t="shared" si="0"/>
        <v>HET</v>
      </c>
      <c r="N41" s="10" t="str">
        <f t="shared" si="1"/>
        <v>HET</v>
      </c>
      <c r="O41"/>
    </row>
    <row r="42" spans="1:15" x14ac:dyDescent="0.3">
      <c r="A42" s="15" t="s">
        <v>68</v>
      </c>
      <c r="B42" s="15" t="s">
        <v>77</v>
      </c>
      <c r="C42" s="11">
        <v>1</v>
      </c>
      <c r="F42" s="10" t="s">
        <v>50</v>
      </c>
      <c r="G42" s="10" t="s">
        <v>47</v>
      </c>
      <c r="H42" s="10" t="str">
        <f t="shared" si="0"/>
        <v>OILDSTs</v>
      </c>
      <c r="N42" s="16" t="s">
        <v>188</v>
      </c>
      <c r="O42"/>
    </row>
    <row r="43" spans="1:15" x14ac:dyDescent="0.3">
      <c r="A43" s="15" t="s">
        <v>78</v>
      </c>
      <c r="B43" s="15" t="s">
        <v>44</v>
      </c>
      <c r="C43" s="11">
        <v>1</v>
      </c>
      <c r="F43" s="10" t="s">
        <v>50</v>
      </c>
      <c r="G43" s="10" t="s">
        <v>51</v>
      </c>
      <c r="H43" s="10" t="str">
        <f t="shared" si="0"/>
        <v>OILDSTs,OILGSLs</v>
      </c>
      <c r="N43" s="16" t="s">
        <v>189</v>
      </c>
      <c r="O43"/>
    </row>
    <row r="44" spans="1:15" x14ac:dyDescent="0.3">
      <c r="A44" s="15" t="s">
        <v>78</v>
      </c>
      <c r="B44" s="15" t="s">
        <v>45</v>
      </c>
      <c r="C44" s="11">
        <v>1</v>
      </c>
      <c r="F44" s="10" t="s">
        <v>50</v>
      </c>
      <c r="G44" s="10" t="s">
        <v>59</v>
      </c>
      <c r="H44" s="10" t="str">
        <f t="shared" si="0"/>
        <v>OILDSTs,OILGSLs,OILJTKs</v>
      </c>
      <c r="N44" s="16" t="s">
        <v>190</v>
      </c>
      <c r="O44"/>
    </row>
    <row r="45" spans="1:15" x14ac:dyDescent="0.3">
      <c r="F45" s="10" t="s">
        <v>50</v>
      </c>
      <c r="G45" s="10" t="s">
        <v>60</v>
      </c>
      <c r="H45" s="10" t="str">
        <f t="shared" si="0"/>
        <v>OILDSTs,OILGSLs,OILJTKs,OILLPGs</v>
      </c>
      <c r="N45" s="16" t="s">
        <v>191</v>
      </c>
      <c r="O45"/>
    </row>
    <row r="46" spans="1:15" x14ac:dyDescent="0.3">
      <c r="F46" s="10" t="s">
        <v>50</v>
      </c>
      <c r="G46" s="10" t="s">
        <v>67</v>
      </c>
      <c r="H46" s="10" t="str">
        <f t="shared" si="0"/>
        <v>OILDSTs,OILGSLs,OILJTKs,OILLPGs,OILHFOs</v>
      </c>
      <c r="N46" s="16" t="s">
        <v>192</v>
      </c>
    </row>
    <row r="47" spans="1:15" x14ac:dyDescent="0.3">
      <c r="F47" s="10" t="s">
        <v>66</v>
      </c>
      <c r="G47" s="10" t="s">
        <v>63</v>
      </c>
      <c r="H47" s="10" t="str">
        <f t="shared" si="0"/>
        <v>BIOSNG</v>
      </c>
      <c r="N47" s="10" t="str">
        <f t="shared" si="1"/>
        <v>BIOSNG</v>
      </c>
    </row>
  </sheetData>
  <sortState xmlns:xlrd2="http://schemas.microsoft.com/office/spreadsheetml/2017/richdata2" ref="F5:G47">
    <sortCondition ref="F5:F47"/>
  </sortState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9"/>
  <sheetViews>
    <sheetView workbookViewId="0">
      <selection activeCell="E29" sqref="E29:E35"/>
    </sheetView>
  </sheetViews>
  <sheetFormatPr baseColWidth="10" defaultColWidth="9.109375" defaultRowHeight="14.4" x14ac:dyDescent="0.3"/>
  <cols>
    <col min="1" max="1" width="43.109375" style="14" bestFit="1" customWidth="1"/>
    <col min="2" max="3" width="9.109375" style="14"/>
    <col min="4" max="4" width="16.88671875" style="14" bestFit="1" customWidth="1"/>
    <col min="5" max="17" width="9.109375" style="10"/>
    <col min="18" max="18" width="73.21875" style="10" bestFit="1" customWidth="1"/>
    <col min="19" max="16384" width="9.109375" style="10"/>
  </cols>
  <sheetData>
    <row r="1" spans="1:18" x14ac:dyDescent="0.3">
      <c r="A1" s="12" t="s">
        <v>37</v>
      </c>
      <c r="B1" s="12" t="s">
        <v>79</v>
      </c>
      <c r="C1" s="12" t="s">
        <v>80</v>
      </c>
      <c r="D1" s="12" t="s">
        <v>81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90</v>
      </c>
      <c r="N1" s="13" t="s">
        <v>91</v>
      </c>
      <c r="O1" s="13" t="s">
        <v>92</v>
      </c>
      <c r="R1" s="10" t="s">
        <v>93</v>
      </c>
    </row>
    <row r="2" spans="1:18" x14ac:dyDescent="0.3">
      <c r="A2" s="12" t="s">
        <v>56</v>
      </c>
      <c r="B2" s="12" t="s">
        <v>94</v>
      </c>
      <c r="C2" s="12" t="s">
        <v>94</v>
      </c>
      <c r="D2" s="12" t="s">
        <v>95</v>
      </c>
      <c r="E2" s="10">
        <v>2704</v>
      </c>
      <c r="F2" s="10">
        <v>2704</v>
      </c>
      <c r="G2" s="10">
        <v>2704</v>
      </c>
      <c r="H2" s="10">
        <v>2704</v>
      </c>
      <c r="I2" s="10">
        <v>2704</v>
      </c>
      <c r="J2" s="10">
        <v>2704</v>
      </c>
      <c r="K2" s="10">
        <v>2704</v>
      </c>
      <c r="L2" s="10">
        <v>2704</v>
      </c>
      <c r="M2" s="10">
        <v>2704</v>
      </c>
      <c r="N2" s="10">
        <v>2704</v>
      </c>
      <c r="O2" s="10">
        <v>2704</v>
      </c>
      <c r="R2" s="10" t="s">
        <v>96</v>
      </c>
    </row>
    <row r="3" spans="1:18" x14ac:dyDescent="0.3">
      <c r="A3" s="12" t="s">
        <v>64</v>
      </c>
      <c r="B3" s="12" t="s">
        <v>94</v>
      </c>
      <c r="C3" s="12" t="s">
        <v>94</v>
      </c>
      <c r="D3" s="12" t="s">
        <v>95</v>
      </c>
      <c r="E3" s="10">
        <v>2372</v>
      </c>
      <c r="F3" s="10">
        <v>2372</v>
      </c>
      <c r="G3" s="10">
        <v>2372</v>
      </c>
      <c r="H3" s="10">
        <v>2372</v>
      </c>
      <c r="I3" s="10">
        <v>2372</v>
      </c>
      <c r="J3" s="10">
        <v>2372</v>
      </c>
      <c r="K3" s="10">
        <v>2372</v>
      </c>
      <c r="L3" s="10">
        <v>2372</v>
      </c>
      <c r="M3" s="10">
        <v>2372</v>
      </c>
      <c r="N3" s="10">
        <v>2372</v>
      </c>
      <c r="O3" s="10">
        <v>2372</v>
      </c>
      <c r="R3" s="10" t="s">
        <v>97</v>
      </c>
    </row>
    <row r="4" spans="1:18" x14ac:dyDescent="0.3">
      <c r="A4" s="12" t="s">
        <v>65</v>
      </c>
      <c r="B4" s="12" t="s">
        <v>94</v>
      </c>
      <c r="C4" s="12" t="s">
        <v>94</v>
      </c>
      <c r="D4" s="12" t="s">
        <v>95</v>
      </c>
      <c r="E4" s="10">
        <v>2472</v>
      </c>
      <c r="F4" s="10">
        <v>2472</v>
      </c>
      <c r="G4" s="10">
        <v>2472</v>
      </c>
      <c r="H4" s="10">
        <v>2472</v>
      </c>
      <c r="I4" s="10">
        <v>2472</v>
      </c>
      <c r="J4" s="10">
        <v>2472</v>
      </c>
      <c r="K4" s="10">
        <v>2472</v>
      </c>
      <c r="L4" s="10">
        <v>2472</v>
      </c>
      <c r="M4" s="10">
        <v>2472</v>
      </c>
      <c r="N4" s="10">
        <v>2472</v>
      </c>
      <c r="O4" s="10">
        <v>2472</v>
      </c>
    </row>
    <row r="5" spans="1:18" x14ac:dyDescent="0.3">
      <c r="A5" s="12" t="s">
        <v>48</v>
      </c>
      <c r="B5" s="12" t="s">
        <v>94</v>
      </c>
      <c r="C5" s="12" t="s">
        <v>94</v>
      </c>
      <c r="D5" s="12" t="s">
        <v>95</v>
      </c>
      <c r="E5" s="10">
        <v>5365</v>
      </c>
      <c r="F5" s="10">
        <v>5365</v>
      </c>
      <c r="G5" s="10">
        <v>5365</v>
      </c>
      <c r="H5" s="10">
        <v>5365</v>
      </c>
      <c r="I5" s="10">
        <v>5365</v>
      </c>
      <c r="J5" s="10">
        <v>5365</v>
      </c>
      <c r="K5" s="10">
        <v>5365</v>
      </c>
      <c r="L5" s="10">
        <v>5365</v>
      </c>
      <c r="M5" s="10">
        <v>5365</v>
      </c>
      <c r="N5" s="10">
        <v>5365</v>
      </c>
      <c r="O5" s="10">
        <v>5365</v>
      </c>
      <c r="R5" s="10" t="s">
        <v>56</v>
      </c>
    </row>
    <row r="6" spans="1:18" x14ac:dyDescent="0.3">
      <c r="A6" s="12" t="s">
        <v>49</v>
      </c>
      <c r="B6" s="12" t="s">
        <v>94</v>
      </c>
      <c r="C6" s="12" t="s">
        <v>94</v>
      </c>
      <c r="D6" s="12" t="s">
        <v>95</v>
      </c>
      <c r="E6" s="10">
        <v>5451</v>
      </c>
      <c r="F6" s="10">
        <v>5451</v>
      </c>
      <c r="G6" s="10">
        <v>5451</v>
      </c>
      <c r="H6" s="10">
        <v>5451</v>
      </c>
      <c r="I6" s="10">
        <v>5451</v>
      </c>
      <c r="J6" s="10">
        <v>5451</v>
      </c>
      <c r="K6" s="10">
        <v>5451</v>
      </c>
      <c r="L6" s="10">
        <v>5451</v>
      </c>
      <c r="M6" s="10">
        <v>5451</v>
      </c>
      <c r="N6" s="10">
        <v>5451</v>
      </c>
      <c r="O6" s="10">
        <v>5451</v>
      </c>
      <c r="R6" s="10" t="s">
        <v>64</v>
      </c>
    </row>
    <row r="7" spans="1:18" x14ac:dyDescent="0.3">
      <c r="A7" s="12" t="s">
        <v>44</v>
      </c>
      <c r="B7" s="12" t="s">
        <v>94</v>
      </c>
      <c r="C7" s="12" t="s">
        <v>94</v>
      </c>
      <c r="D7" s="12" t="s">
        <v>95</v>
      </c>
      <c r="E7" s="10">
        <v>2592</v>
      </c>
      <c r="F7" s="10">
        <v>2592</v>
      </c>
      <c r="G7" s="10">
        <v>2592</v>
      </c>
      <c r="H7" s="10">
        <v>2592</v>
      </c>
      <c r="I7" s="10">
        <v>2592</v>
      </c>
      <c r="J7" s="10">
        <v>2592</v>
      </c>
      <c r="K7" s="10">
        <v>2592</v>
      </c>
      <c r="L7" s="10">
        <v>2592</v>
      </c>
      <c r="M7" s="10">
        <v>2592</v>
      </c>
      <c r="N7" s="10">
        <v>2592</v>
      </c>
      <c r="O7" s="10">
        <v>2592</v>
      </c>
      <c r="R7" s="10" t="s">
        <v>65</v>
      </c>
    </row>
    <row r="8" spans="1:18" x14ac:dyDescent="0.3">
      <c r="A8" s="12" t="s">
        <v>45</v>
      </c>
      <c r="B8" s="12" t="s">
        <v>94</v>
      </c>
      <c r="C8" s="12" t="s">
        <v>94</v>
      </c>
      <c r="D8" s="12" t="s">
        <v>95</v>
      </c>
      <c r="E8" s="10">
        <v>4154</v>
      </c>
      <c r="F8" s="10">
        <v>4154</v>
      </c>
      <c r="G8" s="10">
        <v>4154</v>
      </c>
      <c r="H8" s="10">
        <v>4154</v>
      </c>
      <c r="I8" s="10">
        <v>4154</v>
      </c>
      <c r="J8" s="10">
        <v>4154</v>
      </c>
      <c r="K8" s="10">
        <v>4154</v>
      </c>
      <c r="L8" s="10">
        <v>4154</v>
      </c>
      <c r="M8" s="10">
        <v>4154</v>
      </c>
      <c r="N8" s="10">
        <v>4154</v>
      </c>
      <c r="O8" s="10">
        <v>4154</v>
      </c>
      <c r="R8" s="10" t="s">
        <v>48</v>
      </c>
    </row>
    <row r="9" spans="1:18" x14ac:dyDescent="0.3">
      <c r="A9" s="20" t="s">
        <v>57</v>
      </c>
      <c r="B9" s="20" t="s">
        <v>94</v>
      </c>
      <c r="C9" s="12" t="s">
        <v>98</v>
      </c>
      <c r="D9" s="12" t="s">
        <v>95</v>
      </c>
      <c r="E9" s="10">
        <v>1024</v>
      </c>
      <c r="F9" s="10">
        <v>1024</v>
      </c>
      <c r="G9" s="10">
        <v>1024</v>
      </c>
      <c r="H9" s="10">
        <v>1024</v>
      </c>
      <c r="I9" s="10">
        <v>1024</v>
      </c>
      <c r="J9" s="10">
        <v>1024</v>
      </c>
      <c r="K9" s="10">
        <v>1024</v>
      </c>
      <c r="L9" s="10">
        <v>1024</v>
      </c>
      <c r="M9" s="10">
        <v>1024</v>
      </c>
      <c r="N9" s="10">
        <v>1024</v>
      </c>
      <c r="O9" s="10">
        <v>1024</v>
      </c>
      <c r="R9" s="10" t="s">
        <v>49</v>
      </c>
    </row>
    <row r="10" spans="1:18" x14ac:dyDescent="0.3">
      <c r="A10" s="20"/>
      <c r="B10" s="20"/>
      <c r="C10" s="12" t="s">
        <v>99</v>
      </c>
      <c r="D10" s="12" t="s">
        <v>95</v>
      </c>
      <c r="E10" s="10">
        <v>827</v>
      </c>
      <c r="F10" s="10">
        <v>827</v>
      </c>
      <c r="G10" s="10">
        <v>827</v>
      </c>
      <c r="H10" s="10">
        <v>827</v>
      </c>
      <c r="I10" s="10">
        <v>827</v>
      </c>
      <c r="J10" s="10">
        <v>827</v>
      </c>
      <c r="K10" s="10">
        <v>827</v>
      </c>
      <c r="L10" s="10">
        <v>827</v>
      </c>
      <c r="M10" s="10">
        <v>827</v>
      </c>
      <c r="N10" s="10">
        <v>827</v>
      </c>
      <c r="O10" s="10">
        <v>827</v>
      </c>
      <c r="R10" s="10" t="s">
        <v>44</v>
      </c>
    </row>
    <row r="11" spans="1:18" x14ac:dyDescent="0.3">
      <c r="A11" s="20"/>
      <c r="B11" s="20"/>
      <c r="C11" s="12" t="s">
        <v>100</v>
      </c>
      <c r="D11" s="12" t="s">
        <v>95</v>
      </c>
      <c r="E11" s="10">
        <v>500</v>
      </c>
      <c r="F11" s="10">
        <v>500</v>
      </c>
      <c r="G11" s="10">
        <v>500</v>
      </c>
      <c r="H11" s="10">
        <v>500</v>
      </c>
      <c r="I11" s="10">
        <v>500</v>
      </c>
      <c r="J11" s="10">
        <v>500</v>
      </c>
      <c r="K11" s="10">
        <v>500</v>
      </c>
      <c r="L11" s="10">
        <v>500</v>
      </c>
      <c r="M11" s="10">
        <v>500</v>
      </c>
      <c r="N11" s="10">
        <v>500</v>
      </c>
      <c r="O11" s="10">
        <v>500</v>
      </c>
      <c r="R11" s="10" t="s">
        <v>45</v>
      </c>
    </row>
    <row r="12" spans="1:18" x14ac:dyDescent="0.3">
      <c r="A12" s="20"/>
      <c r="B12" s="20"/>
      <c r="C12" s="12" t="s">
        <v>101</v>
      </c>
      <c r="D12" s="12" t="s">
        <v>95</v>
      </c>
      <c r="E12" s="10">
        <v>347</v>
      </c>
      <c r="F12" s="10">
        <v>347</v>
      </c>
      <c r="G12" s="10">
        <v>347</v>
      </c>
      <c r="H12" s="10">
        <v>347</v>
      </c>
      <c r="I12" s="10">
        <v>347</v>
      </c>
      <c r="J12" s="10">
        <v>347</v>
      </c>
      <c r="K12" s="10">
        <v>347</v>
      </c>
      <c r="L12" s="10">
        <v>347</v>
      </c>
      <c r="M12" s="10">
        <v>347</v>
      </c>
      <c r="N12" s="10">
        <v>347</v>
      </c>
      <c r="O12" s="10">
        <v>347</v>
      </c>
      <c r="R12" s="10" t="s">
        <v>57</v>
      </c>
    </row>
    <row r="13" spans="1:18" x14ac:dyDescent="0.3">
      <c r="A13" s="20"/>
      <c r="B13" s="20"/>
      <c r="C13" s="12" t="s">
        <v>102</v>
      </c>
      <c r="D13" s="12" t="s">
        <v>95</v>
      </c>
      <c r="E13" s="10">
        <v>310</v>
      </c>
      <c r="F13" s="10">
        <v>310</v>
      </c>
      <c r="G13" s="10">
        <v>310</v>
      </c>
      <c r="H13" s="10">
        <v>310</v>
      </c>
      <c r="I13" s="10">
        <v>310</v>
      </c>
      <c r="J13" s="10">
        <v>310</v>
      </c>
      <c r="K13" s="10">
        <v>310</v>
      </c>
      <c r="L13" s="10">
        <v>310</v>
      </c>
      <c r="M13" s="10">
        <v>310</v>
      </c>
      <c r="N13" s="10">
        <v>310</v>
      </c>
      <c r="O13" s="10">
        <v>310</v>
      </c>
      <c r="R13" s="10" t="s">
        <v>53</v>
      </c>
    </row>
    <row r="14" spans="1:18" x14ac:dyDescent="0.3">
      <c r="A14" s="20"/>
      <c r="B14" s="20"/>
      <c r="C14" s="12" t="s">
        <v>103</v>
      </c>
      <c r="D14" s="12" t="s">
        <v>95</v>
      </c>
      <c r="E14" s="10">
        <v>273</v>
      </c>
      <c r="F14" s="10">
        <v>273</v>
      </c>
      <c r="G14" s="10">
        <v>273</v>
      </c>
      <c r="H14" s="10">
        <v>273</v>
      </c>
      <c r="I14" s="10">
        <v>273</v>
      </c>
      <c r="J14" s="10">
        <v>273</v>
      </c>
      <c r="K14" s="10">
        <v>273</v>
      </c>
      <c r="L14" s="10">
        <v>273</v>
      </c>
      <c r="M14" s="10">
        <v>273</v>
      </c>
      <c r="N14" s="10">
        <v>273</v>
      </c>
      <c r="O14" s="10">
        <v>273</v>
      </c>
      <c r="R14" s="10" t="s">
        <v>41</v>
      </c>
    </row>
    <row r="15" spans="1:18" x14ac:dyDescent="0.3">
      <c r="A15" s="20"/>
      <c r="B15" s="20"/>
      <c r="C15" s="12" t="s">
        <v>104</v>
      </c>
      <c r="D15" s="12" t="s">
        <v>95</v>
      </c>
      <c r="E15" s="10">
        <v>236</v>
      </c>
      <c r="F15" s="10">
        <v>236</v>
      </c>
      <c r="G15" s="10">
        <v>236</v>
      </c>
      <c r="H15" s="10">
        <v>236</v>
      </c>
      <c r="I15" s="10">
        <v>236</v>
      </c>
      <c r="J15" s="10">
        <v>236</v>
      </c>
      <c r="K15" s="10">
        <v>236</v>
      </c>
      <c r="L15" s="10">
        <v>236</v>
      </c>
      <c r="M15" s="10">
        <v>236</v>
      </c>
      <c r="N15" s="10">
        <v>236</v>
      </c>
      <c r="O15" s="10">
        <v>236</v>
      </c>
      <c r="R15" s="10" t="s">
        <v>69</v>
      </c>
    </row>
    <row r="16" spans="1:18" x14ac:dyDescent="0.3">
      <c r="A16" s="12" t="s">
        <v>53</v>
      </c>
      <c r="B16" s="12" t="s">
        <v>94</v>
      </c>
      <c r="C16" s="12" t="s">
        <v>94</v>
      </c>
      <c r="D16" s="12" t="s">
        <v>95</v>
      </c>
      <c r="E16" s="10">
        <v>877</v>
      </c>
      <c r="F16" s="10">
        <v>877</v>
      </c>
      <c r="G16" s="10">
        <v>877</v>
      </c>
      <c r="H16" s="10">
        <v>877</v>
      </c>
      <c r="I16" s="10">
        <v>877</v>
      </c>
      <c r="J16" s="10">
        <v>877</v>
      </c>
      <c r="K16" s="10">
        <v>877</v>
      </c>
      <c r="L16" s="10">
        <v>877</v>
      </c>
      <c r="M16" s="10">
        <v>877</v>
      </c>
      <c r="N16" s="10">
        <v>877</v>
      </c>
      <c r="O16" s="10">
        <v>877</v>
      </c>
      <c r="R16" s="10" t="s">
        <v>58</v>
      </c>
    </row>
    <row r="17" spans="1:18" x14ac:dyDescent="0.3">
      <c r="A17" s="12" t="s">
        <v>41</v>
      </c>
      <c r="B17" s="12" t="s">
        <v>94</v>
      </c>
      <c r="C17" s="12" t="s">
        <v>94</v>
      </c>
      <c r="D17" s="12" t="s">
        <v>105</v>
      </c>
      <c r="E17" s="10">
        <v>5554045</v>
      </c>
      <c r="F17" s="10">
        <v>5554045</v>
      </c>
      <c r="G17" s="10">
        <v>5554045</v>
      </c>
      <c r="H17" s="10">
        <v>5554045</v>
      </c>
      <c r="I17" s="10">
        <v>5554045</v>
      </c>
      <c r="J17" s="10">
        <v>5554045</v>
      </c>
      <c r="K17" s="10">
        <v>5554045</v>
      </c>
      <c r="L17" s="10">
        <v>5554045</v>
      </c>
      <c r="M17" s="10">
        <v>5554045</v>
      </c>
      <c r="N17" s="10">
        <v>5554045</v>
      </c>
      <c r="O17" s="10">
        <v>5554045</v>
      </c>
      <c r="R17" s="10" t="s">
        <v>106</v>
      </c>
    </row>
    <row r="18" spans="1:18" x14ac:dyDescent="0.3">
      <c r="A18" s="12" t="s">
        <v>69</v>
      </c>
      <c r="B18" s="12" t="s">
        <v>94</v>
      </c>
      <c r="C18" s="12" t="s">
        <v>94</v>
      </c>
      <c r="D18" s="12" t="s">
        <v>95</v>
      </c>
      <c r="E18" s="10">
        <v>383</v>
      </c>
      <c r="F18" s="10">
        <v>383</v>
      </c>
      <c r="G18" s="10">
        <v>383</v>
      </c>
      <c r="H18" s="10">
        <v>383</v>
      </c>
      <c r="I18" s="10">
        <v>383</v>
      </c>
      <c r="J18" s="10">
        <v>383</v>
      </c>
      <c r="K18" s="10">
        <v>383</v>
      </c>
      <c r="L18" s="10">
        <v>383</v>
      </c>
      <c r="M18" s="10">
        <v>383</v>
      </c>
      <c r="N18" s="10">
        <v>383</v>
      </c>
      <c r="O18" s="10">
        <v>383</v>
      </c>
      <c r="R18" s="10" t="s">
        <v>70</v>
      </c>
    </row>
    <row r="19" spans="1:18" x14ac:dyDescent="0.3">
      <c r="A19" s="12" t="s">
        <v>58</v>
      </c>
      <c r="B19" s="12" t="s">
        <v>94</v>
      </c>
      <c r="C19" s="12" t="s">
        <v>94</v>
      </c>
      <c r="D19" s="12" t="s">
        <v>95</v>
      </c>
      <c r="E19" s="10">
        <v>913</v>
      </c>
      <c r="F19" s="10">
        <v>913</v>
      </c>
      <c r="G19" s="10">
        <v>913</v>
      </c>
      <c r="H19" s="10">
        <v>913</v>
      </c>
      <c r="I19" s="10">
        <v>913</v>
      </c>
      <c r="J19" s="10">
        <v>913</v>
      </c>
      <c r="K19" s="10">
        <v>913</v>
      </c>
      <c r="L19" s="10">
        <v>913</v>
      </c>
      <c r="M19" s="10">
        <v>913</v>
      </c>
      <c r="N19" s="10">
        <v>913</v>
      </c>
      <c r="O19" s="10">
        <v>913</v>
      </c>
      <c r="R19" s="10" t="s">
        <v>71</v>
      </c>
    </row>
    <row r="20" spans="1:18" x14ac:dyDescent="0.3">
      <c r="A20" s="12" t="s">
        <v>106</v>
      </c>
      <c r="B20" s="12" t="s">
        <v>94</v>
      </c>
      <c r="C20" s="12" t="s">
        <v>94</v>
      </c>
      <c r="D20" s="12" t="s">
        <v>95</v>
      </c>
      <c r="E20" s="10">
        <v>1632</v>
      </c>
      <c r="F20" s="10">
        <v>1632</v>
      </c>
      <c r="G20" s="10">
        <v>1632</v>
      </c>
      <c r="H20" s="10">
        <v>1632</v>
      </c>
      <c r="I20" s="10">
        <v>1632</v>
      </c>
      <c r="J20" s="10">
        <v>1632</v>
      </c>
      <c r="K20" s="10">
        <v>1632</v>
      </c>
      <c r="L20" s="10">
        <v>1632</v>
      </c>
      <c r="M20" s="10">
        <v>1632</v>
      </c>
      <c r="N20" s="10">
        <v>1632</v>
      </c>
      <c r="O20" s="10">
        <v>1632</v>
      </c>
      <c r="R20" s="10" t="s">
        <v>72</v>
      </c>
    </row>
    <row r="21" spans="1:18" x14ac:dyDescent="0.3">
      <c r="A21" s="12" t="s">
        <v>70</v>
      </c>
      <c r="B21" s="12" t="s">
        <v>94</v>
      </c>
      <c r="C21" s="12" t="s">
        <v>94</v>
      </c>
      <c r="D21" s="12" t="s">
        <v>95</v>
      </c>
      <c r="E21" s="10">
        <v>466</v>
      </c>
      <c r="F21" s="10">
        <v>466</v>
      </c>
      <c r="G21" s="10">
        <v>466</v>
      </c>
      <c r="H21" s="10">
        <v>466</v>
      </c>
      <c r="I21" s="10">
        <v>466</v>
      </c>
      <c r="J21" s="10">
        <v>466</v>
      </c>
      <c r="K21" s="10">
        <v>466</v>
      </c>
      <c r="L21" s="10">
        <v>466</v>
      </c>
      <c r="M21" s="10">
        <v>466</v>
      </c>
      <c r="N21" s="10">
        <v>466</v>
      </c>
      <c r="O21" s="10">
        <v>466</v>
      </c>
      <c r="R21" s="10" t="s">
        <v>73</v>
      </c>
    </row>
    <row r="22" spans="1:18" x14ac:dyDescent="0.3">
      <c r="A22" s="12" t="s">
        <v>71</v>
      </c>
      <c r="B22" s="12" t="s">
        <v>94</v>
      </c>
      <c r="C22" s="12" t="s">
        <v>94</v>
      </c>
      <c r="D22" s="12" t="s">
        <v>95</v>
      </c>
      <c r="E22" s="10">
        <v>304</v>
      </c>
      <c r="F22" s="10">
        <v>304</v>
      </c>
      <c r="G22" s="10">
        <v>304</v>
      </c>
      <c r="H22" s="10">
        <v>304</v>
      </c>
      <c r="I22" s="10">
        <v>304</v>
      </c>
      <c r="J22" s="10">
        <v>304</v>
      </c>
      <c r="K22" s="10">
        <v>304</v>
      </c>
      <c r="L22" s="10">
        <v>304</v>
      </c>
      <c r="M22" s="10">
        <v>304</v>
      </c>
      <c r="N22" s="10">
        <v>304</v>
      </c>
      <c r="O22" s="10">
        <v>304</v>
      </c>
      <c r="R22" s="10" t="s">
        <v>74</v>
      </c>
    </row>
    <row r="23" spans="1:18" x14ac:dyDescent="0.3">
      <c r="A23" s="12" t="s">
        <v>72</v>
      </c>
      <c r="B23" s="12" t="s">
        <v>94</v>
      </c>
      <c r="C23" s="12" t="s">
        <v>94</v>
      </c>
      <c r="D23" s="12" t="s">
        <v>95</v>
      </c>
      <c r="E23" s="10">
        <v>236</v>
      </c>
      <c r="F23" s="10">
        <v>236</v>
      </c>
      <c r="G23" s="10">
        <v>236</v>
      </c>
      <c r="H23" s="10">
        <v>236</v>
      </c>
      <c r="I23" s="10">
        <v>236</v>
      </c>
      <c r="J23" s="10">
        <v>236</v>
      </c>
      <c r="K23" s="10">
        <v>236</v>
      </c>
      <c r="L23" s="10">
        <v>236</v>
      </c>
      <c r="M23" s="10">
        <v>236</v>
      </c>
      <c r="N23" s="10">
        <v>236</v>
      </c>
      <c r="O23" s="10">
        <v>236</v>
      </c>
      <c r="R23" s="10" t="s">
        <v>75</v>
      </c>
    </row>
    <row r="24" spans="1:18" x14ac:dyDescent="0.3">
      <c r="A24" s="12" t="s">
        <v>73</v>
      </c>
      <c r="B24" s="12" t="s">
        <v>94</v>
      </c>
      <c r="C24" s="12" t="s">
        <v>94</v>
      </c>
      <c r="D24" s="12" t="s">
        <v>95</v>
      </c>
      <c r="E24" s="10">
        <v>304</v>
      </c>
      <c r="F24" s="10">
        <v>304</v>
      </c>
      <c r="G24" s="10">
        <v>304</v>
      </c>
      <c r="H24" s="10">
        <v>304</v>
      </c>
      <c r="I24" s="10">
        <v>304</v>
      </c>
      <c r="J24" s="10">
        <v>304</v>
      </c>
      <c r="K24" s="10">
        <v>304</v>
      </c>
      <c r="L24" s="10">
        <v>304</v>
      </c>
      <c r="M24" s="10">
        <v>304</v>
      </c>
      <c r="N24" s="10">
        <v>304</v>
      </c>
      <c r="O24" s="10">
        <v>304</v>
      </c>
      <c r="R24" s="10" t="s">
        <v>76</v>
      </c>
    </row>
    <row r="25" spans="1:18" x14ac:dyDescent="0.3">
      <c r="A25" s="12" t="s">
        <v>74</v>
      </c>
      <c r="B25" s="12" t="s">
        <v>94</v>
      </c>
      <c r="C25" s="12" t="s">
        <v>94</v>
      </c>
      <c r="D25" s="12" t="s">
        <v>95</v>
      </c>
      <c r="E25" s="10">
        <v>304</v>
      </c>
      <c r="F25" s="10">
        <v>304</v>
      </c>
      <c r="G25" s="10">
        <v>304</v>
      </c>
      <c r="H25" s="10">
        <v>304</v>
      </c>
      <c r="I25" s="10">
        <v>304</v>
      </c>
      <c r="J25" s="10">
        <v>304</v>
      </c>
      <c r="K25" s="10">
        <v>304</v>
      </c>
      <c r="L25" s="10">
        <v>304</v>
      </c>
      <c r="M25" s="10">
        <v>304</v>
      </c>
      <c r="N25" s="10">
        <v>304</v>
      </c>
      <c r="O25" s="10">
        <v>304</v>
      </c>
      <c r="R25" s="10" t="s">
        <v>77</v>
      </c>
    </row>
    <row r="26" spans="1:18" x14ac:dyDescent="0.3">
      <c r="A26" s="12" t="s">
        <v>75</v>
      </c>
      <c r="B26" s="12" t="s">
        <v>94</v>
      </c>
      <c r="C26" s="12" t="s">
        <v>94</v>
      </c>
      <c r="D26" s="12" t="s">
        <v>95</v>
      </c>
      <c r="E26" s="10">
        <v>466</v>
      </c>
      <c r="F26" s="10">
        <v>466</v>
      </c>
      <c r="G26" s="10">
        <v>466</v>
      </c>
      <c r="H26" s="10">
        <v>466</v>
      </c>
      <c r="I26" s="10">
        <v>466</v>
      </c>
      <c r="J26" s="10">
        <v>466</v>
      </c>
      <c r="K26" s="10">
        <v>466</v>
      </c>
      <c r="L26" s="10">
        <v>466</v>
      </c>
      <c r="M26" s="10">
        <v>466</v>
      </c>
      <c r="N26" s="10">
        <v>466</v>
      </c>
      <c r="O26" s="10">
        <v>466</v>
      </c>
      <c r="R26" s="10" t="s">
        <v>50</v>
      </c>
    </row>
    <row r="27" spans="1:18" x14ac:dyDescent="0.3">
      <c r="A27" s="12" t="s">
        <v>76</v>
      </c>
      <c r="B27" s="12" t="s">
        <v>94</v>
      </c>
      <c r="C27" s="12" t="s">
        <v>94</v>
      </c>
      <c r="D27" s="12" t="s">
        <v>95</v>
      </c>
      <c r="E27" s="10">
        <v>182</v>
      </c>
      <c r="F27" s="10">
        <v>182</v>
      </c>
      <c r="G27" s="10">
        <v>182</v>
      </c>
      <c r="H27" s="10">
        <v>182</v>
      </c>
      <c r="I27" s="10">
        <v>182</v>
      </c>
      <c r="J27" s="10">
        <v>182</v>
      </c>
      <c r="K27" s="10">
        <v>182</v>
      </c>
      <c r="L27" s="10">
        <v>182</v>
      </c>
      <c r="M27" s="10">
        <v>182</v>
      </c>
      <c r="N27" s="10">
        <v>182</v>
      </c>
      <c r="O27" s="10">
        <v>182</v>
      </c>
      <c r="R27" s="10" t="s">
        <v>66</v>
      </c>
    </row>
    <row r="28" spans="1:18" x14ac:dyDescent="0.3">
      <c r="A28" s="12" t="s">
        <v>77</v>
      </c>
      <c r="B28" s="12" t="s">
        <v>94</v>
      </c>
      <c r="C28" s="12" t="s">
        <v>94</v>
      </c>
      <c r="D28" s="12" t="s">
        <v>95</v>
      </c>
      <c r="E28" s="10">
        <v>304</v>
      </c>
      <c r="F28" s="10">
        <v>304</v>
      </c>
      <c r="G28" s="10">
        <v>304</v>
      </c>
      <c r="H28" s="10">
        <v>304</v>
      </c>
      <c r="I28" s="10">
        <v>304</v>
      </c>
      <c r="J28" s="10">
        <v>304</v>
      </c>
      <c r="K28" s="10">
        <v>304</v>
      </c>
      <c r="L28" s="10">
        <v>304</v>
      </c>
      <c r="M28" s="10">
        <v>304</v>
      </c>
      <c r="N28" s="10">
        <v>304</v>
      </c>
      <c r="O28" s="10">
        <v>304</v>
      </c>
      <c r="R28" s="10" t="s">
        <v>107</v>
      </c>
    </row>
    <row r="29" spans="1:18" x14ac:dyDescent="0.3">
      <c r="A29" s="20" t="s">
        <v>50</v>
      </c>
      <c r="B29" s="20" t="s">
        <v>94</v>
      </c>
      <c r="C29" s="12" t="s">
        <v>98</v>
      </c>
      <c r="D29" s="12" t="s">
        <v>95</v>
      </c>
      <c r="E29" s="10">
        <v>1476</v>
      </c>
      <c r="F29" s="10">
        <v>1476</v>
      </c>
      <c r="G29" s="10">
        <v>1476</v>
      </c>
      <c r="H29" s="10">
        <v>1476</v>
      </c>
      <c r="I29" s="10">
        <v>1476</v>
      </c>
      <c r="J29" s="10">
        <v>1476</v>
      </c>
      <c r="K29" s="10">
        <v>1476</v>
      </c>
      <c r="L29" s="10">
        <v>1476</v>
      </c>
      <c r="M29" s="10">
        <v>1476</v>
      </c>
      <c r="N29" s="10">
        <v>1476</v>
      </c>
      <c r="O29" s="10">
        <v>1476</v>
      </c>
    </row>
    <row r="30" spans="1:18" x14ac:dyDescent="0.3">
      <c r="A30" s="20"/>
      <c r="B30" s="20"/>
      <c r="C30" s="12" t="s">
        <v>99</v>
      </c>
      <c r="D30" s="12" t="s">
        <v>95</v>
      </c>
      <c r="E30" s="10">
        <v>1390</v>
      </c>
      <c r="F30" s="10">
        <v>1390</v>
      </c>
      <c r="G30" s="10">
        <v>1390</v>
      </c>
      <c r="H30" s="10">
        <v>1390</v>
      </c>
      <c r="I30" s="10">
        <v>1390</v>
      </c>
      <c r="J30" s="10">
        <v>1390</v>
      </c>
      <c r="K30" s="10">
        <v>1390</v>
      </c>
      <c r="L30" s="10">
        <v>1390</v>
      </c>
      <c r="M30" s="10">
        <v>1390</v>
      </c>
      <c r="N30" s="10">
        <v>1390</v>
      </c>
      <c r="O30" s="10">
        <v>1390</v>
      </c>
    </row>
    <row r="31" spans="1:18" x14ac:dyDescent="0.3">
      <c r="A31" s="20"/>
      <c r="B31" s="20"/>
      <c r="C31" s="12" t="s">
        <v>100</v>
      </c>
      <c r="D31" s="12" t="s">
        <v>95</v>
      </c>
      <c r="E31" s="10">
        <v>1246</v>
      </c>
      <c r="F31" s="10">
        <v>1246</v>
      </c>
      <c r="G31" s="10">
        <v>1246</v>
      </c>
      <c r="H31" s="10">
        <v>1246</v>
      </c>
      <c r="I31" s="10">
        <v>1246</v>
      </c>
      <c r="J31" s="10">
        <v>1246</v>
      </c>
      <c r="K31" s="10">
        <v>1246</v>
      </c>
      <c r="L31" s="10">
        <v>1246</v>
      </c>
      <c r="M31" s="10">
        <v>1246</v>
      </c>
      <c r="N31" s="10">
        <v>1246</v>
      </c>
      <c r="O31" s="10">
        <v>1246</v>
      </c>
    </row>
    <row r="32" spans="1:18" x14ac:dyDescent="0.3">
      <c r="A32" s="20"/>
      <c r="B32" s="20"/>
      <c r="C32" s="12" t="s">
        <v>101</v>
      </c>
      <c r="D32" s="12" t="s">
        <v>95</v>
      </c>
      <c r="E32" s="10">
        <v>1116</v>
      </c>
      <c r="F32" s="10">
        <v>1116</v>
      </c>
      <c r="G32" s="10">
        <v>1116</v>
      </c>
      <c r="H32" s="10">
        <v>1116</v>
      </c>
      <c r="I32" s="10">
        <v>1116</v>
      </c>
      <c r="J32" s="10">
        <v>1116</v>
      </c>
      <c r="K32" s="10">
        <v>1116</v>
      </c>
      <c r="L32" s="10">
        <v>1116</v>
      </c>
      <c r="M32" s="10">
        <v>1116</v>
      </c>
      <c r="N32" s="10">
        <v>1116</v>
      </c>
      <c r="O32" s="10">
        <v>1116</v>
      </c>
    </row>
    <row r="33" spans="1:15" x14ac:dyDescent="0.3">
      <c r="A33" s="20"/>
      <c r="B33" s="20"/>
      <c r="C33" s="12" t="s">
        <v>102</v>
      </c>
      <c r="D33" s="12" t="s">
        <v>95</v>
      </c>
      <c r="E33" s="10">
        <v>994</v>
      </c>
      <c r="F33" s="10">
        <v>994</v>
      </c>
      <c r="G33" s="10">
        <v>994</v>
      </c>
      <c r="H33" s="10">
        <v>994</v>
      </c>
      <c r="I33" s="10">
        <v>994</v>
      </c>
      <c r="J33" s="10">
        <v>994</v>
      </c>
      <c r="K33" s="10">
        <v>994</v>
      </c>
      <c r="L33" s="10">
        <v>994</v>
      </c>
      <c r="M33" s="10">
        <v>994</v>
      </c>
      <c r="N33" s="10">
        <v>994</v>
      </c>
      <c r="O33" s="10">
        <v>994</v>
      </c>
    </row>
    <row r="34" spans="1:15" x14ac:dyDescent="0.3">
      <c r="A34" s="20"/>
      <c r="B34" s="20"/>
      <c r="C34" s="12" t="s">
        <v>103</v>
      </c>
      <c r="D34" s="12" t="s">
        <v>95</v>
      </c>
      <c r="E34" s="10">
        <v>871</v>
      </c>
      <c r="F34" s="10">
        <v>871</v>
      </c>
      <c r="G34" s="10">
        <v>871</v>
      </c>
      <c r="H34" s="10">
        <v>871</v>
      </c>
      <c r="I34" s="10">
        <v>871</v>
      </c>
      <c r="J34" s="10">
        <v>871</v>
      </c>
      <c r="K34" s="10">
        <v>871</v>
      </c>
      <c r="L34" s="10">
        <v>871</v>
      </c>
      <c r="M34" s="10">
        <v>871</v>
      </c>
      <c r="N34" s="10">
        <v>871</v>
      </c>
      <c r="O34" s="10">
        <v>871</v>
      </c>
    </row>
    <row r="35" spans="1:15" x14ac:dyDescent="0.3">
      <c r="A35" s="20"/>
      <c r="B35" s="20"/>
      <c r="C35" s="12" t="s">
        <v>104</v>
      </c>
      <c r="D35" s="12" t="s">
        <v>95</v>
      </c>
      <c r="E35" s="10">
        <v>749</v>
      </c>
      <c r="F35" s="10">
        <v>749</v>
      </c>
      <c r="G35" s="10">
        <v>749</v>
      </c>
      <c r="H35" s="10">
        <v>749</v>
      </c>
      <c r="I35" s="10">
        <v>749</v>
      </c>
      <c r="J35" s="10">
        <v>749</v>
      </c>
      <c r="K35" s="10">
        <v>749</v>
      </c>
      <c r="L35" s="10">
        <v>749</v>
      </c>
      <c r="M35" s="10">
        <v>749</v>
      </c>
      <c r="N35" s="10">
        <v>749</v>
      </c>
      <c r="O35" s="10">
        <v>749</v>
      </c>
    </row>
    <row r="36" spans="1:15" x14ac:dyDescent="0.3">
      <c r="A36" s="20" t="s">
        <v>66</v>
      </c>
      <c r="B36" s="20" t="s">
        <v>94</v>
      </c>
      <c r="C36" s="12" t="s">
        <v>98</v>
      </c>
      <c r="D36" s="12" t="s">
        <v>95</v>
      </c>
      <c r="E36" s="10">
        <v>1106</v>
      </c>
      <c r="F36" s="10">
        <v>1106</v>
      </c>
      <c r="G36" s="10">
        <v>1106</v>
      </c>
      <c r="H36" s="10">
        <v>1106</v>
      </c>
      <c r="I36" s="10">
        <v>1106</v>
      </c>
      <c r="J36" s="10">
        <v>1106</v>
      </c>
      <c r="K36" s="10">
        <v>1106</v>
      </c>
      <c r="L36" s="10">
        <v>1106</v>
      </c>
      <c r="M36" s="10">
        <v>1106</v>
      </c>
      <c r="N36" s="10">
        <v>1106</v>
      </c>
      <c r="O36" s="10">
        <v>1106</v>
      </c>
    </row>
    <row r="37" spans="1:15" x14ac:dyDescent="0.3">
      <c r="A37" s="20"/>
      <c r="B37" s="20"/>
      <c r="C37" s="12" t="s">
        <v>99</v>
      </c>
      <c r="D37" s="12" t="s">
        <v>95</v>
      </c>
      <c r="E37" s="10">
        <v>982</v>
      </c>
      <c r="F37" s="10">
        <v>982</v>
      </c>
      <c r="G37" s="10">
        <v>982</v>
      </c>
      <c r="H37" s="10">
        <v>982</v>
      </c>
      <c r="I37" s="10">
        <v>982</v>
      </c>
      <c r="J37" s="10">
        <v>982</v>
      </c>
      <c r="K37" s="10">
        <v>982</v>
      </c>
      <c r="L37" s="10">
        <v>982</v>
      </c>
      <c r="M37" s="10">
        <v>982</v>
      </c>
      <c r="N37" s="10">
        <v>982</v>
      </c>
      <c r="O37" s="10">
        <v>982</v>
      </c>
    </row>
    <row r="38" spans="1:15" x14ac:dyDescent="0.3">
      <c r="A38" s="20"/>
      <c r="B38" s="20"/>
      <c r="C38" s="12" t="s">
        <v>100</v>
      </c>
      <c r="D38" s="12" t="s">
        <v>95</v>
      </c>
      <c r="E38" s="10">
        <v>775</v>
      </c>
      <c r="F38" s="10">
        <v>775</v>
      </c>
      <c r="G38" s="10">
        <v>775</v>
      </c>
      <c r="H38" s="10">
        <v>775</v>
      </c>
      <c r="I38" s="10">
        <v>775</v>
      </c>
      <c r="J38" s="10">
        <v>775</v>
      </c>
      <c r="K38" s="10">
        <v>775</v>
      </c>
      <c r="L38" s="10">
        <v>775</v>
      </c>
      <c r="M38" s="10">
        <v>775</v>
      </c>
      <c r="N38" s="10">
        <v>775</v>
      </c>
      <c r="O38" s="10">
        <v>775</v>
      </c>
    </row>
    <row r="39" spans="1:15" x14ac:dyDescent="0.3">
      <c r="A39" s="20"/>
      <c r="B39" s="20"/>
      <c r="C39" s="12" t="s">
        <v>101</v>
      </c>
      <c r="D39" s="12" t="s">
        <v>95</v>
      </c>
      <c r="E39" s="10">
        <v>632</v>
      </c>
      <c r="F39" s="10">
        <v>632</v>
      </c>
      <c r="G39" s="10">
        <v>632</v>
      </c>
      <c r="H39" s="10">
        <v>632</v>
      </c>
      <c r="I39" s="10">
        <v>632</v>
      </c>
      <c r="J39" s="10">
        <v>632</v>
      </c>
      <c r="K39" s="10">
        <v>632</v>
      </c>
      <c r="L39" s="10">
        <v>632</v>
      </c>
      <c r="M39" s="10">
        <v>632</v>
      </c>
      <c r="N39" s="10">
        <v>632</v>
      </c>
      <c r="O39" s="10">
        <v>632</v>
      </c>
    </row>
    <row r="40" spans="1:15" x14ac:dyDescent="0.3">
      <c r="A40" s="20"/>
      <c r="B40" s="20"/>
      <c r="C40" s="12" t="s">
        <v>102</v>
      </c>
      <c r="D40" s="12" t="s">
        <v>95</v>
      </c>
      <c r="E40" s="10">
        <v>531</v>
      </c>
      <c r="F40" s="10">
        <v>531</v>
      </c>
      <c r="G40" s="10">
        <v>531</v>
      </c>
      <c r="H40" s="10">
        <v>531</v>
      </c>
      <c r="I40" s="10">
        <v>531</v>
      </c>
      <c r="J40" s="10">
        <v>531</v>
      </c>
      <c r="K40" s="10">
        <v>531</v>
      </c>
      <c r="L40" s="10">
        <v>531</v>
      </c>
      <c r="M40" s="10">
        <v>531</v>
      </c>
      <c r="N40" s="10">
        <v>531</v>
      </c>
      <c r="O40" s="10">
        <v>531</v>
      </c>
    </row>
    <row r="41" spans="1:15" x14ac:dyDescent="0.3">
      <c r="A41" s="20"/>
      <c r="B41" s="20"/>
      <c r="C41" s="12" t="s">
        <v>103</v>
      </c>
      <c r="D41" s="12" t="s">
        <v>95</v>
      </c>
      <c r="E41" s="10">
        <v>429</v>
      </c>
      <c r="F41" s="10">
        <v>429</v>
      </c>
      <c r="G41" s="10">
        <v>429</v>
      </c>
      <c r="H41" s="10">
        <v>429</v>
      </c>
      <c r="I41" s="10">
        <v>429</v>
      </c>
      <c r="J41" s="10">
        <v>429</v>
      </c>
      <c r="K41" s="10">
        <v>429</v>
      </c>
      <c r="L41" s="10">
        <v>429</v>
      </c>
      <c r="M41" s="10">
        <v>429</v>
      </c>
      <c r="N41" s="10">
        <v>429</v>
      </c>
      <c r="O41" s="10">
        <v>429</v>
      </c>
    </row>
    <row r="42" spans="1:15" x14ac:dyDescent="0.3">
      <c r="A42" s="20"/>
      <c r="B42" s="20"/>
      <c r="C42" s="12" t="s">
        <v>104</v>
      </c>
      <c r="D42" s="12" t="s">
        <v>95</v>
      </c>
      <c r="E42" s="10">
        <v>328</v>
      </c>
      <c r="F42" s="10">
        <v>328</v>
      </c>
      <c r="G42" s="10">
        <v>328</v>
      </c>
      <c r="H42" s="10">
        <v>328</v>
      </c>
      <c r="I42" s="10">
        <v>328</v>
      </c>
      <c r="J42" s="10">
        <v>328</v>
      </c>
      <c r="K42" s="10">
        <v>328</v>
      </c>
      <c r="L42" s="10">
        <v>328</v>
      </c>
      <c r="M42" s="10">
        <v>328</v>
      </c>
      <c r="N42" s="10">
        <v>328</v>
      </c>
      <c r="O42" s="10">
        <v>328</v>
      </c>
    </row>
    <row r="43" spans="1:15" x14ac:dyDescent="0.3">
      <c r="A43" s="20" t="s">
        <v>107</v>
      </c>
      <c r="B43" s="20" t="s">
        <v>94</v>
      </c>
      <c r="C43" s="12" t="s">
        <v>98</v>
      </c>
      <c r="D43" s="12" t="s">
        <v>95</v>
      </c>
      <c r="E43" s="10">
        <v>1476</v>
      </c>
      <c r="F43" s="10">
        <v>1476</v>
      </c>
      <c r="G43" s="10">
        <v>1476</v>
      </c>
      <c r="H43" s="10">
        <v>1476</v>
      </c>
      <c r="I43" s="10">
        <v>1476</v>
      </c>
      <c r="J43" s="10">
        <v>1476</v>
      </c>
      <c r="K43" s="10">
        <v>1476</v>
      </c>
      <c r="L43" s="10">
        <v>1476</v>
      </c>
      <c r="M43" s="10">
        <v>1476</v>
      </c>
      <c r="N43" s="10">
        <v>1476</v>
      </c>
      <c r="O43" s="10">
        <v>1476</v>
      </c>
    </row>
    <row r="44" spans="1:15" x14ac:dyDescent="0.3">
      <c r="A44" s="20"/>
      <c r="B44" s="20"/>
      <c r="C44" s="12" t="s">
        <v>99</v>
      </c>
      <c r="D44" s="12" t="s">
        <v>95</v>
      </c>
      <c r="E44" s="10">
        <v>1390</v>
      </c>
      <c r="F44" s="10">
        <v>1390</v>
      </c>
      <c r="G44" s="10">
        <v>1390</v>
      </c>
      <c r="H44" s="10">
        <v>1390</v>
      </c>
      <c r="I44" s="10">
        <v>1390</v>
      </c>
      <c r="J44" s="10">
        <v>1390</v>
      </c>
      <c r="K44" s="10">
        <v>1390</v>
      </c>
      <c r="L44" s="10">
        <v>1390</v>
      </c>
      <c r="M44" s="10">
        <v>1390</v>
      </c>
      <c r="N44" s="10">
        <v>1390</v>
      </c>
      <c r="O44" s="10">
        <v>1390</v>
      </c>
    </row>
    <row r="45" spans="1:15" x14ac:dyDescent="0.3">
      <c r="A45" s="20"/>
      <c r="B45" s="20"/>
      <c r="C45" s="12" t="s">
        <v>100</v>
      </c>
      <c r="D45" s="12" t="s">
        <v>95</v>
      </c>
      <c r="E45" s="10">
        <v>1246</v>
      </c>
      <c r="F45" s="10">
        <v>1246</v>
      </c>
      <c r="G45" s="10">
        <v>1246</v>
      </c>
      <c r="H45" s="10">
        <v>1246</v>
      </c>
      <c r="I45" s="10">
        <v>1246</v>
      </c>
      <c r="J45" s="10">
        <v>1246</v>
      </c>
      <c r="K45" s="10">
        <v>1246</v>
      </c>
      <c r="L45" s="10">
        <v>1246</v>
      </c>
      <c r="M45" s="10">
        <v>1246</v>
      </c>
      <c r="N45" s="10">
        <v>1246</v>
      </c>
      <c r="O45" s="10">
        <v>1246</v>
      </c>
    </row>
    <row r="46" spans="1:15" x14ac:dyDescent="0.3">
      <c r="A46" s="20"/>
      <c r="B46" s="20"/>
      <c r="C46" s="12" t="s">
        <v>101</v>
      </c>
      <c r="D46" s="12" t="s">
        <v>95</v>
      </c>
      <c r="E46" s="10">
        <v>1116</v>
      </c>
      <c r="F46" s="10">
        <v>1116</v>
      </c>
      <c r="G46" s="10">
        <v>1116</v>
      </c>
      <c r="H46" s="10">
        <v>1116</v>
      </c>
      <c r="I46" s="10">
        <v>1116</v>
      </c>
      <c r="J46" s="10">
        <v>1116</v>
      </c>
      <c r="K46" s="10">
        <v>1116</v>
      </c>
      <c r="L46" s="10">
        <v>1116</v>
      </c>
      <c r="M46" s="10">
        <v>1116</v>
      </c>
      <c r="N46" s="10">
        <v>1116</v>
      </c>
      <c r="O46" s="10">
        <v>1116</v>
      </c>
    </row>
    <row r="47" spans="1:15" x14ac:dyDescent="0.3">
      <c r="A47" s="20"/>
      <c r="B47" s="20"/>
      <c r="C47" s="12" t="s">
        <v>102</v>
      </c>
      <c r="D47" s="12" t="s">
        <v>95</v>
      </c>
      <c r="E47" s="10">
        <v>994</v>
      </c>
      <c r="F47" s="10">
        <v>994</v>
      </c>
      <c r="G47" s="10">
        <v>994</v>
      </c>
      <c r="H47" s="10">
        <v>994</v>
      </c>
      <c r="I47" s="10">
        <v>994</v>
      </c>
      <c r="J47" s="10">
        <v>994</v>
      </c>
      <c r="K47" s="10">
        <v>994</v>
      </c>
      <c r="L47" s="10">
        <v>994</v>
      </c>
      <c r="M47" s="10">
        <v>994</v>
      </c>
      <c r="N47" s="10">
        <v>994</v>
      </c>
      <c r="O47" s="10">
        <v>994</v>
      </c>
    </row>
    <row r="48" spans="1:15" x14ac:dyDescent="0.3">
      <c r="A48" s="20"/>
      <c r="B48" s="20"/>
      <c r="C48" s="12" t="s">
        <v>103</v>
      </c>
      <c r="D48" s="12" t="s">
        <v>95</v>
      </c>
      <c r="E48" s="10">
        <v>871</v>
      </c>
      <c r="F48" s="10">
        <v>871</v>
      </c>
      <c r="G48" s="10">
        <v>871</v>
      </c>
      <c r="H48" s="10">
        <v>871</v>
      </c>
      <c r="I48" s="10">
        <v>871</v>
      </c>
      <c r="J48" s="10">
        <v>871</v>
      </c>
      <c r="K48" s="10">
        <v>871</v>
      </c>
      <c r="L48" s="10">
        <v>871</v>
      </c>
      <c r="M48" s="10">
        <v>871</v>
      </c>
      <c r="N48" s="10">
        <v>871</v>
      </c>
      <c r="O48" s="10">
        <v>871</v>
      </c>
    </row>
    <row r="49" spans="1:15" x14ac:dyDescent="0.3">
      <c r="A49" s="20"/>
      <c r="B49" s="20"/>
      <c r="C49" s="12" t="s">
        <v>104</v>
      </c>
      <c r="D49" s="12" t="s">
        <v>95</v>
      </c>
      <c r="E49" s="10">
        <v>749</v>
      </c>
      <c r="F49" s="10">
        <v>749</v>
      </c>
      <c r="G49" s="10">
        <v>749</v>
      </c>
      <c r="H49" s="10">
        <v>749</v>
      </c>
      <c r="I49" s="10">
        <v>749</v>
      </c>
      <c r="J49" s="10">
        <v>749</v>
      </c>
      <c r="K49" s="10">
        <v>749</v>
      </c>
      <c r="L49" s="10">
        <v>749</v>
      </c>
      <c r="M49" s="10">
        <v>749</v>
      </c>
      <c r="N49" s="10">
        <v>749</v>
      </c>
      <c r="O49" s="10">
        <v>749</v>
      </c>
    </row>
  </sheetData>
  <mergeCells count="8">
    <mergeCell ref="A43:A49"/>
    <mergeCell ref="B43:B49"/>
    <mergeCell ref="A9:A15"/>
    <mergeCell ref="B9:B15"/>
    <mergeCell ref="A29:A35"/>
    <mergeCell ref="B29:B35"/>
    <mergeCell ref="A36:A42"/>
    <mergeCell ref="B36:B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0"/>
  <sheetViews>
    <sheetView workbookViewId="0">
      <selection activeCell="E20" sqref="E20:E26"/>
    </sheetView>
  </sheetViews>
  <sheetFormatPr baseColWidth="10" defaultColWidth="9.109375" defaultRowHeight="14.4" x14ac:dyDescent="0.3"/>
  <cols>
    <col min="1" max="1" width="43.109375" style="14" bestFit="1" customWidth="1"/>
    <col min="2" max="2" width="9.109375" style="14"/>
    <col min="3" max="3" width="7.5546875" style="14" bestFit="1" customWidth="1"/>
    <col min="4" max="4" width="16.88671875" style="14" bestFit="1" customWidth="1"/>
    <col min="5" max="16384" width="9.109375" style="10"/>
  </cols>
  <sheetData>
    <row r="1" spans="1:18" x14ac:dyDescent="0.3">
      <c r="A1" s="12" t="s">
        <v>37</v>
      </c>
      <c r="B1" s="12" t="s">
        <v>79</v>
      </c>
      <c r="C1" s="12" t="s">
        <v>80</v>
      </c>
      <c r="D1" s="12" t="s">
        <v>81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90</v>
      </c>
      <c r="N1" s="13" t="s">
        <v>91</v>
      </c>
      <c r="O1" s="13" t="s">
        <v>92</v>
      </c>
      <c r="R1" s="10" t="s">
        <v>39</v>
      </c>
    </row>
    <row r="2" spans="1:18" x14ac:dyDescent="0.3">
      <c r="A2" s="12" t="s">
        <v>56</v>
      </c>
      <c r="B2" s="12" t="s">
        <v>94</v>
      </c>
      <c r="C2" s="12" t="s">
        <v>94</v>
      </c>
      <c r="D2" s="12" t="s">
        <v>95</v>
      </c>
      <c r="E2" s="10">
        <v>19</v>
      </c>
      <c r="F2" s="10">
        <v>19</v>
      </c>
      <c r="G2" s="10">
        <v>19</v>
      </c>
      <c r="H2" s="10">
        <v>19</v>
      </c>
      <c r="I2" s="10">
        <v>19</v>
      </c>
      <c r="J2" s="10">
        <v>19</v>
      </c>
      <c r="K2" s="10">
        <v>19</v>
      </c>
      <c r="L2" s="10">
        <v>19</v>
      </c>
      <c r="M2" s="10">
        <v>19</v>
      </c>
      <c r="N2" s="10">
        <v>19</v>
      </c>
      <c r="O2" s="10">
        <v>19</v>
      </c>
      <c r="R2" s="10" t="s">
        <v>108</v>
      </c>
    </row>
    <row r="3" spans="1:18" x14ac:dyDescent="0.3">
      <c r="A3" s="12" t="s">
        <v>64</v>
      </c>
      <c r="B3" s="12" t="s">
        <v>94</v>
      </c>
      <c r="C3" s="12" t="s">
        <v>94</v>
      </c>
      <c r="D3" s="12" t="s">
        <v>95</v>
      </c>
      <c r="E3" s="10">
        <v>119</v>
      </c>
      <c r="F3" s="10">
        <v>119</v>
      </c>
      <c r="G3" s="10">
        <v>119</v>
      </c>
      <c r="H3" s="10">
        <v>119</v>
      </c>
      <c r="I3" s="10">
        <v>119</v>
      </c>
      <c r="J3" s="10">
        <v>119</v>
      </c>
      <c r="K3" s="10">
        <v>119</v>
      </c>
      <c r="L3" s="10">
        <v>119</v>
      </c>
      <c r="M3" s="10">
        <v>119</v>
      </c>
      <c r="N3" s="10">
        <v>119</v>
      </c>
      <c r="O3" s="10">
        <v>119</v>
      </c>
      <c r="R3" s="10" t="s">
        <v>97</v>
      </c>
    </row>
    <row r="4" spans="1:18" x14ac:dyDescent="0.3">
      <c r="A4" s="12" t="s">
        <v>65</v>
      </c>
      <c r="B4" s="12" t="s">
        <v>94</v>
      </c>
      <c r="C4" s="12" t="s">
        <v>94</v>
      </c>
      <c r="D4" s="12" t="s">
        <v>95</v>
      </c>
      <c r="E4" s="10">
        <v>146</v>
      </c>
      <c r="F4" s="10">
        <v>146</v>
      </c>
      <c r="G4" s="10">
        <v>146</v>
      </c>
      <c r="H4" s="10">
        <v>146</v>
      </c>
      <c r="I4" s="10">
        <v>146</v>
      </c>
      <c r="J4" s="10">
        <v>146</v>
      </c>
      <c r="K4" s="10">
        <v>146</v>
      </c>
      <c r="L4" s="10">
        <v>146</v>
      </c>
      <c r="M4" s="10">
        <v>146</v>
      </c>
      <c r="N4" s="10">
        <v>146</v>
      </c>
      <c r="O4" s="10">
        <v>146</v>
      </c>
    </row>
    <row r="5" spans="1:18" x14ac:dyDescent="0.3">
      <c r="A5" s="12" t="s">
        <v>48</v>
      </c>
      <c r="B5" s="12" t="s">
        <v>94</v>
      </c>
      <c r="C5" s="12" t="s">
        <v>94</v>
      </c>
      <c r="D5" s="12" t="s">
        <v>95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</row>
    <row r="6" spans="1:18" x14ac:dyDescent="0.3">
      <c r="A6" s="12" t="s">
        <v>49</v>
      </c>
      <c r="B6" s="12" t="s">
        <v>94</v>
      </c>
      <c r="C6" s="12" t="s">
        <v>94</v>
      </c>
      <c r="D6" s="12" t="s">
        <v>95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R6" s="12" t="s">
        <v>82</v>
      </c>
    </row>
    <row r="7" spans="1:18" x14ac:dyDescent="0.3">
      <c r="A7" s="12" t="s">
        <v>44</v>
      </c>
      <c r="B7" s="12" t="s">
        <v>94</v>
      </c>
      <c r="C7" s="12" t="s">
        <v>94</v>
      </c>
      <c r="D7" s="12" t="s">
        <v>95</v>
      </c>
      <c r="E7" s="10">
        <v>101</v>
      </c>
      <c r="F7" s="10">
        <v>101</v>
      </c>
      <c r="G7" s="10">
        <v>101</v>
      </c>
      <c r="H7" s="10">
        <v>101</v>
      </c>
      <c r="I7" s="10">
        <v>101</v>
      </c>
      <c r="J7" s="10">
        <v>101</v>
      </c>
      <c r="K7" s="10">
        <v>101</v>
      </c>
      <c r="L7" s="10">
        <v>101</v>
      </c>
      <c r="M7" s="10">
        <v>101</v>
      </c>
      <c r="N7" s="10">
        <v>101</v>
      </c>
      <c r="O7" s="10">
        <v>101</v>
      </c>
      <c r="R7" s="12" t="s">
        <v>83</v>
      </c>
    </row>
    <row r="8" spans="1:18" x14ac:dyDescent="0.3">
      <c r="A8" s="12" t="s">
        <v>45</v>
      </c>
      <c r="B8" s="12" t="s">
        <v>94</v>
      </c>
      <c r="C8" s="12" t="s">
        <v>94</v>
      </c>
      <c r="D8" s="12" t="s">
        <v>95</v>
      </c>
      <c r="E8" s="10">
        <v>163</v>
      </c>
      <c r="F8" s="10">
        <v>163</v>
      </c>
      <c r="G8" s="10">
        <v>163</v>
      </c>
      <c r="H8" s="10">
        <v>163</v>
      </c>
      <c r="I8" s="10">
        <v>163</v>
      </c>
      <c r="J8" s="10">
        <v>163</v>
      </c>
      <c r="K8" s="10">
        <v>163</v>
      </c>
      <c r="L8" s="10">
        <v>163</v>
      </c>
      <c r="M8" s="10">
        <v>163</v>
      </c>
      <c r="N8" s="10">
        <v>163</v>
      </c>
      <c r="O8" s="10">
        <v>163</v>
      </c>
      <c r="R8" s="12" t="s">
        <v>84</v>
      </c>
    </row>
    <row r="9" spans="1:18" x14ac:dyDescent="0.3">
      <c r="A9" s="20" t="s">
        <v>57</v>
      </c>
      <c r="B9" s="20" t="s">
        <v>94</v>
      </c>
      <c r="C9" s="12" t="s">
        <v>109</v>
      </c>
      <c r="D9" s="12" t="s">
        <v>95</v>
      </c>
      <c r="E9" s="10">
        <v>30</v>
      </c>
      <c r="F9" s="10">
        <v>30</v>
      </c>
      <c r="G9" s="10">
        <v>30</v>
      </c>
      <c r="H9" s="10">
        <v>30</v>
      </c>
      <c r="I9" s="10">
        <v>30</v>
      </c>
      <c r="J9" s="10">
        <v>30</v>
      </c>
      <c r="K9" s="10">
        <v>30</v>
      </c>
      <c r="L9" s="10">
        <v>30</v>
      </c>
      <c r="M9" s="10">
        <v>30</v>
      </c>
      <c r="N9" s="10">
        <v>30</v>
      </c>
      <c r="O9" s="10">
        <v>30</v>
      </c>
      <c r="R9" s="12" t="s">
        <v>85</v>
      </c>
    </row>
    <row r="10" spans="1:18" x14ac:dyDescent="0.3">
      <c r="A10" s="20"/>
      <c r="B10" s="20"/>
      <c r="C10" s="12" t="s">
        <v>110</v>
      </c>
      <c r="D10" s="12" t="s">
        <v>95</v>
      </c>
      <c r="E10" s="10">
        <v>26</v>
      </c>
      <c r="F10" s="10">
        <v>26</v>
      </c>
      <c r="G10" s="10">
        <v>26</v>
      </c>
      <c r="H10" s="10">
        <v>26</v>
      </c>
      <c r="I10" s="10">
        <v>26</v>
      </c>
      <c r="J10" s="10">
        <v>26</v>
      </c>
      <c r="K10" s="10">
        <v>26</v>
      </c>
      <c r="L10" s="10">
        <v>26</v>
      </c>
      <c r="M10" s="10">
        <v>26</v>
      </c>
      <c r="N10" s="10">
        <v>26</v>
      </c>
      <c r="O10" s="10">
        <v>26</v>
      </c>
      <c r="R10" s="12" t="s">
        <v>86</v>
      </c>
    </row>
    <row r="11" spans="1:18" x14ac:dyDescent="0.3">
      <c r="A11" s="20"/>
      <c r="B11" s="20"/>
      <c r="C11" s="12" t="s">
        <v>111</v>
      </c>
      <c r="D11" s="12" t="s">
        <v>95</v>
      </c>
      <c r="E11" s="10">
        <v>19</v>
      </c>
      <c r="F11" s="10">
        <v>19</v>
      </c>
      <c r="G11" s="10">
        <v>19</v>
      </c>
      <c r="H11" s="10">
        <v>19</v>
      </c>
      <c r="I11" s="10">
        <v>19</v>
      </c>
      <c r="J11" s="10">
        <v>19</v>
      </c>
      <c r="K11" s="10">
        <v>19</v>
      </c>
      <c r="L11" s="10">
        <v>19</v>
      </c>
      <c r="M11" s="10">
        <v>19</v>
      </c>
      <c r="N11" s="10">
        <v>19</v>
      </c>
      <c r="O11" s="10">
        <v>19</v>
      </c>
      <c r="R11" s="12" t="s">
        <v>87</v>
      </c>
    </row>
    <row r="12" spans="1:18" x14ac:dyDescent="0.3">
      <c r="A12" s="20"/>
      <c r="B12" s="20"/>
      <c r="C12" s="12" t="s">
        <v>112</v>
      </c>
      <c r="D12" s="12" t="s">
        <v>95</v>
      </c>
      <c r="E12" s="10">
        <v>15</v>
      </c>
      <c r="F12" s="10">
        <v>15</v>
      </c>
      <c r="G12" s="10">
        <v>15</v>
      </c>
      <c r="H12" s="10">
        <v>15</v>
      </c>
      <c r="I12" s="10">
        <v>15</v>
      </c>
      <c r="J12" s="10">
        <v>15</v>
      </c>
      <c r="K12" s="10">
        <v>15</v>
      </c>
      <c r="L12" s="10">
        <v>15</v>
      </c>
      <c r="M12" s="10">
        <v>15</v>
      </c>
      <c r="N12" s="10">
        <v>15</v>
      </c>
      <c r="O12" s="10">
        <v>15</v>
      </c>
      <c r="R12" s="12" t="s">
        <v>88</v>
      </c>
    </row>
    <row r="13" spans="1:18" x14ac:dyDescent="0.3">
      <c r="A13" s="20"/>
      <c r="B13" s="20"/>
      <c r="C13" s="12" t="s">
        <v>113</v>
      </c>
      <c r="D13" s="12" t="s">
        <v>95</v>
      </c>
      <c r="E13" s="10">
        <v>14</v>
      </c>
      <c r="F13" s="10">
        <v>14</v>
      </c>
      <c r="G13" s="10">
        <v>14</v>
      </c>
      <c r="H13" s="10">
        <v>14</v>
      </c>
      <c r="I13" s="10">
        <v>14</v>
      </c>
      <c r="J13" s="10">
        <v>14</v>
      </c>
      <c r="K13" s="10">
        <v>14</v>
      </c>
      <c r="L13" s="10">
        <v>14</v>
      </c>
      <c r="M13" s="10">
        <v>14</v>
      </c>
      <c r="N13" s="10">
        <v>14</v>
      </c>
      <c r="O13" s="10">
        <v>14</v>
      </c>
      <c r="R13" s="12" t="s">
        <v>89</v>
      </c>
    </row>
    <row r="14" spans="1:18" x14ac:dyDescent="0.3">
      <c r="A14" s="20"/>
      <c r="B14" s="20"/>
      <c r="C14" s="12" t="s">
        <v>114</v>
      </c>
      <c r="D14" s="12" t="s">
        <v>95</v>
      </c>
      <c r="E14" s="10">
        <v>12</v>
      </c>
      <c r="F14" s="10">
        <v>12</v>
      </c>
      <c r="G14" s="10">
        <v>12</v>
      </c>
      <c r="H14" s="10">
        <v>12</v>
      </c>
      <c r="I14" s="10">
        <v>12</v>
      </c>
      <c r="J14" s="10">
        <v>12</v>
      </c>
      <c r="K14" s="10">
        <v>12</v>
      </c>
      <c r="L14" s="10">
        <v>12</v>
      </c>
      <c r="M14" s="10">
        <v>12</v>
      </c>
      <c r="N14" s="10">
        <v>12</v>
      </c>
      <c r="O14" s="10">
        <v>12</v>
      </c>
      <c r="R14" s="12" t="s">
        <v>90</v>
      </c>
    </row>
    <row r="15" spans="1:18" x14ac:dyDescent="0.3">
      <c r="A15" s="20"/>
      <c r="B15" s="20"/>
      <c r="C15" s="12" t="s">
        <v>115</v>
      </c>
      <c r="D15" s="12" t="s">
        <v>95</v>
      </c>
      <c r="E15" s="10">
        <v>11</v>
      </c>
      <c r="F15" s="10">
        <v>11</v>
      </c>
      <c r="G15" s="10">
        <v>11</v>
      </c>
      <c r="H15" s="10">
        <v>11</v>
      </c>
      <c r="I15" s="10">
        <v>11</v>
      </c>
      <c r="J15" s="10">
        <v>11</v>
      </c>
      <c r="K15" s="10">
        <v>11</v>
      </c>
      <c r="L15" s="10">
        <v>11</v>
      </c>
      <c r="M15" s="10">
        <v>11</v>
      </c>
      <c r="N15" s="10">
        <v>11</v>
      </c>
      <c r="O15" s="10">
        <v>11</v>
      </c>
      <c r="R15" s="12" t="s">
        <v>91</v>
      </c>
    </row>
    <row r="16" spans="1:18" x14ac:dyDescent="0.3">
      <c r="A16" s="12" t="s">
        <v>53</v>
      </c>
      <c r="B16" s="12" t="s">
        <v>94</v>
      </c>
      <c r="C16" s="12" t="s">
        <v>94</v>
      </c>
      <c r="D16" s="12" t="s">
        <v>95</v>
      </c>
      <c r="E16" s="10">
        <v>32</v>
      </c>
      <c r="F16" s="10">
        <v>32</v>
      </c>
      <c r="G16" s="10">
        <v>32</v>
      </c>
      <c r="H16" s="10">
        <v>32</v>
      </c>
      <c r="I16" s="10">
        <v>32</v>
      </c>
      <c r="J16" s="10">
        <v>32</v>
      </c>
      <c r="K16" s="10">
        <v>32</v>
      </c>
      <c r="L16" s="10">
        <v>32</v>
      </c>
      <c r="M16" s="10">
        <v>32</v>
      </c>
      <c r="N16" s="10">
        <v>32</v>
      </c>
      <c r="O16" s="10">
        <v>32</v>
      </c>
      <c r="R16" s="12" t="s">
        <v>92</v>
      </c>
    </row>
    <row r="17" spans="1:15" x14ac:dyDescent="0.3">
      <c r="A17" s="12" t="s">
        <v>41</v>
      </c>
      <c r="B17" s="12" t="s">
        <v>94</v>
      </c>
      <c r="C17" s="12" t="s">
        <v>94</v>
      </c>
      <c r="D17" s="12" t="s">
        <v>105</v>
      </c>
      <c r="E17" s="10">
        <v>223810</v>
      </c>
      <c r="F17" s="10">
        <v>223810</v>
      </c>
      <c r="G17" s="10">
        <v>223810</v>
      </c>
      <c r="H17" s="10">
        <v>223810</v>
      </c>
      <c r="I17" s="10">
        <v>223810</v>
      </c>
      <c r="J17" s="10">
        <v>223810</v>
      </c>
      <c r="K17" s="10">
        <v>223810</v>
      </c>
      <c r="L17" s="10">
        <v>223810</v>
      </c>
      <c r="M17" s="10">
        <v>223810</v>
      </c>
      <c r="N17" s="10">
        <v>223810</v>
      </c>
      <c r="O17" s="10">
        <v>223810</v>
      </c>
    </row>
    <row r="18" spans="1:15" x14ac:dyDescent="0.3">
      <c r="A18" s="12" t="s">
        <v>58</v>
      </c>
      <c r="B18" s="12" t="s">
        <v>94</v>
      </c>
      <c r="C18" s="12" t="s">
        <v>94</v>
      </c>
      <c r="D18" s="12" t="s">
        <v>95</v>
      </c>
      <c r="E18" s="10">
        <v>36</v>
      </c>
      <c r="F18" s="10">
        <v>36</v>
      </c>
      <c r="G18" s="10">
        <v>36</v>
      </c>
      <c r="H18" s="10">
        <v>36</v>
      </c>
      <c r="I18" s="10">
        <v>36</v>
      </c>
      <c r="J18" s="10">
        <v>36</v>
      </c>
      <c r="K18" s="10">
        <v>36</v>
      </c>
      <c r="L18" s="10">
        <v>36</v>
      </c>
      <c r="M18" s="10">
        <v>36</v>
      </c>
      <c r="N18" s="10">
        <v>36</v>
      </c>
      <c r="O18" s="10">
        <v>36</v>
      </c>
    </row>
    <row r="19" spans="1:15" x14ac:dyDescent="0.3">
      <c r="A19" s="12" t="s">
        <v>106</v>
      </c>
      <c r="B19" s="12" t="s">
        <v>94</v>
      </c>
      <c r="C19" s="12" t="s">
        <v>94</v>
      </c>
      <c r="D19" s="12" t="s">
        <v>95</v>
      </c>
      <c r="E19" s="10">
        <v>47</v>
      </c>
      <c r="F19" s="10">
        <v>47</v>
      </c>
      <c r="G19" s="10">
        <v>47</v>
      </c>
      <c r="H19" s="10">
        <v>47</v>
      </c>
      <c r="I19" s="10">
        <v>47</v>
      </c>
      <c r="J19" s="10">
        <v>47</v>
      </c>
      <c r="K19" s="10">
        <v>47</v>
      </c>
      <c r="L19" s="10">
        <v>47</v>
      </c>
      <c r="M19" s="10">
        <v>47</v>
      </c>
      <c r="N19" s="10">
        <v>47</v>
      </c>
      <c r="O19" s="10">
        <v>47</v>
      </c>
    </row>
    <row r="20" spans="1:15" x14ac:dyDescent="0.3">
      <c r="A20" s="20" t="s">
        <v>50</v>
      </c>
      <c r="B20" s="20" t="s">
        <v>94</v>
      </c>
      <c r="C20" s="12" t="s">
        <v>109</v>
      </c>
      <c r="D20" s="12" t="s">
        <v>95</v>
      </c>
      <c r="E20" s="10">
        <v>57</v>
      </c>
      <c r="F20" s="10">
        <v>57</v>
      </c>
      <c r="G20" s="10">
        <v>57</v>
      </c>
      <c r="H20" s="10">
        <v>57</v>
      </c>
      <c r="I20" s="10">
        <v>57</v>
      </c>
      <c r="J20" s="10">
        <v>57</v>
      </c>
      <c r="K20" s="10">
        <v>57</v>
      </c>
      <c r="L20" s="10">
        <v>57</v>
      </c>
      <c r="M20" s="10">
        <v>57</v>
      </c>
      <c r="N20" s="10">
        <v>57</v>
      </c>
      <c r="O20" s="10">
        <v>57</v>
      </c>
    </row>
    <row r="21" spans="1:15" x14ac:dyDescent="0.3">
      <c r="A21" s="20"/>
      <c r="B21" s="20"/>
      <c r="C21" s="12" t="s">
        <v>110</v>
      </c>
      <c r="D21" s="12" t="s">
        <v>95</v>
      </c>
      <c r="E21" s="10">
        <v>54</v>
      </c>
      <c r="F21" s="10">
        <v>54</v>
      </c>
      <c r="G21" s="10">
        <v>54</v>
      </c>
      <c r="H21" s="10">
        <v>54</v>
      </c>
      <c r="I21" s="10">
        <v>54</v>
      </c>
      <c r="J21" s="10">
        <v>54</v>
      </c>
      <c r="K21" s="10">
        <v>54</v>
      </c>
      <c r="L21" s="10">
        <v>54</v>
      </c>
      <c r="M21" s="10">
        <v>54</v>
      </c>
      <c r="N21" s="10">
        <v>54</v>
      </c>
      <c r="O21" s="10">
        <v>54</v>
      </c>
    </row>
    <row r="22" spans="1:15" x14ac:dyDescent="0.3">
      <c r="A22" s="20"/>
      <c r="B22" s="20"/>
      <c r="C22" s="12" t="s">
        <v>111</v>
      </c>
      <c r="D22" s="12" t="s">
        <v>95</v>
      </c>
      <c r="E22" s="10">
        <v>48</v>
      </c>
      <c r="F22" s="10">
        <v>48</v>
      </c>
      <c r="G22" s="10">
        <v>48</v>
      </c>
      <c r="H22" s="10">
        <v>48</v>
      </c>
      <c r="I22" s="10">
        <v>48</v>
      </c>
      <c r="J22" s="10">
        <v>48</v>
      </c>
      <c r="K22" s="10">
        <v>48</v>
      </c>
      <c r="L22" s="10">
        <v>48</v>
      </c>
      <c r="M22" s="10">
        <v>48</v>
      </c>
      <c r="N22" s="10">
        <v>48</v>
      </c>
      <c r="O22" s="10">
        <v>48</v>
      </c>
    </row>
    <row r="23" spans="1:15" x14ac:dyDescent="0.3">
      <c r="A23" s="20"/>
      <c r="B23" s="20"/>
      <c r="C23" s="12" t="s">
        <v>112</v>
      </c>
      <c r="D23" s="12" t="s">
        <v>95</v>
      </c>
      <c r="E23" s="10">
        <v>43</v>
      </c>
      <c r="F23" s="10">
        <v>43</v>
      </c>
      <c r="G23" s="10">
        <v>43</v>
      </c>
      <c r="H23" s="10">
        <v>43</v>
      </c>
      <c r="I23" s="10">
        <v>43</v>
      </c>
      <c r="J23" s="10">
        <v>43</v>
      </c>
      <c r="K23" s="10">
        <v>43</v>
      </c>
      <c r="L23" s="10">
        <v>43</v>
      </c>
      <c r="M23" s="10">
        <v>43</v>
      </c>
      <c r="N23" s="10">
        <v>43</v>
      </c>
      <c r="O23" s="10">
        <v>43</v>
      </c>
    </row>
    <row r="24" spans="1:15" x14ac:dyDescent="0.3">
      <c r="A24" s="20"/>
      <c r="B24" s="20"/>
      <c r="C24" s="12" t="s">
        <v>113</v>
      </c>
      <c r="D24" s="12" t="s">
        <v>95</v>
      </c>
      <c r="E24" s="10">
        <v>39</v>
      </c>
      <c r="F24" s="10">
        <v>39</v>
      </c>
      <c r="G24" s="10">
        <v>39</v>
      </c>
      <c r="H24" s="10">
        <v>39</v>
      </c>
      <c r="I24" s="10">
        <v>39</v>
      </c>
      <c r="J24" s="10">
        <v>39</v>
      </c>
      <c r="K24" s="10">
        <v>39</v>
      </c>
      <c r="L24" s="10">
        <v>39</v>
      </c>
      <c r="M24" s="10">
        <v>39</v>
      </c>
      <c r="N24" s="10">
        <v>39</v>
      </c>
      <c r="O24" s="10">
        <v>39</v>
      </c>
    </row>
    <row r="25" spans="1:15" x14ac:dyDescent="0.3">
      <c r="A25" s="20"/>
      <c r="B25" s="20"/>
      <c r="C25" s="12" t="s">
        <v>114</v>
      </c>
      <c r="D25" s="12" t="s">
        <v>95</v>
      </c>
      <c r="E25" s="10">
        <v>34</v>
      </c>
      <c r="F25" s="10">
        <v>34</v>
      </c>
      <c r="G25" s="10">
        <v>34</v>
      </c>
      <c r="H25" s="10">
        <v>34</v>
      </c>
      <c r="I25" s="10">
        <v>34</v>
      </c>
      <c r="J25" s="10">
        <v>34</v>
      </c>
      <c r="K25" s="10">
        <v>34</v>
      </c>
      <c r="L25" s="10">
        <v>34</v>
      </c>
      <c r="M25" s="10">
        <v>34</v>
      </c>
      <c r="N25" s="10">
        <v>34</v>
      </c>
      <c r="O25" s="10">
        <v>34</v>
      </c>
    </row>
    <row r="26" spans="1:15" x14ac:dyDescent="0.3">
      <c r="A26" s="20"/>
      <c r="B26" s="20"/>
      <c r="C26" s="12" t="s">
        <v>115</v>
      </c>
      <c r="D26" s="12" t="s">
        <v>95</v>
      </c>
      <c r="E26" s="10">
        <v>29</v>
      </c>
      <c r="F26" s="10">
        <v>29</v>
      </c>
      <c r="G26" s="10">
        <v>29</v>
      </c>
      <c r="H26" s="10">
        <v>29</v>
      </c>
      <c r="I26" s="10">
        <v>29</v>
      </c>
      <c r="J26" s="10">
        <v>29</v>
      </c>
      <c r="K26" s="10">
        <v>29</v>
      </c>
      <c r="L26" s="10">
        <v>29</v>
      </c>
      <c r="M26" s="10">
        <v>29</v>
      </c>
      <c r="N26" s="10">
        <v>29</v>
      </c>
      <c r="O26" s="10">
        <v>29</v>
      </c>
    </row>
    <row r="27" spans="1:15" x14ac:dyDescent="0.3">
      <c r="A27" s="20" t="s">
        <v>66</v>
      </c>
      <c r="B27" s="20" t="s">
        <v>94</v>
      </c>
      <c r="C27" s="12" t="s">
        <v>109</v>
      </c>
      <c r="D27" s="12" t="s">
        <v>95</v>
      </c>
      <c r="E27" s="10">
        <v>74</v>
      </c>
      <c r="F27" s="10">
        <v>74</v>
      </c>
      <c r="G27" s="10">
        <v>74</v>
      </c>
      <c r="H27" s="10">
        <v>74</v>
      </c>
      <c r="I27" s="10">
        <v>74</v>
      </c>
      <c r="J27" s="10">
        <v>74</v>
      </c>
      <c r="K27" s="10">
        <v>74</v>
      </c>
      <c r="L27" s="10">
        <v>74</v>
      </c>
      <c r="M27" s="10">
        <v>74</v>
      </c>
      <c r="N27" s="10">
        <v>74</v>
      </c>
      <c r="O27" s="10">
        <v>74</v>
      </c>
    </row>
    <row r="28" spans="1:15" x14ac:dyDescent="0.3">
      <c r="A28" s="20"/>
      <c r="B28" s="20"/>
      <c r="C28" s="12" t="s">
        <v>110</v>
      </c>
      <c r="D28" s="12" t="s">
        <v>95</v>
      </c>
      <c r="E28" s="10">
        <v>64</v>
      </c>
      <c r="F28" s="10">
        <v>64</v>
      </c>
      <c r="G28" s="10">
        <v>64</v>
      </c>
      <c r="H28" s="10">
        <v>64</v>
      </c>
      <c r="I28" s="10">
        <v>64</v>
      </c>
      <c r="J28" s="10">
        <v>64</v>
      </c>
      <c r="K28" s="10">
        <v>64</v>
      </c>
      <c r="L28" s="10">
        <v>64</v>
      </c>
      <c r="M28" s="10">
        <v>64</v>
      </c>
      <c r="N28" s="10">
        <v>64</v>
      </c>
      <c r="O28" s="10">
        <v>64</v>
      </c>
    </row>
    <row r="29" spans="1:15" x14ac:dyDescent="0.3">
      <c r="A29" s="20"/>
      <c r="B29" s="20"/>
      <c r="C29" s="12" t="s">
        <v>111</v>
      </c>
      <c r="D29" s="12" t="s">
        <v>95</v>
      </c>
      <c r="E29" s="10">
        <v>48</v>
      </c>
      <c r="F29" s="10">
        <v>48</v>
      </c>
      <c r="G29" s="10">
        <v>48</v>
      </c>
      <c r="H29" s="10">
        <v>48</v>
      </c>
      <c r="I29" s="10">
        <v>48</v>
      </c>
      <c r="J29" s="10">
        <v>48</v>
      </c>
      <c r="K29" s="10">
        <v>48</v>
      </c>
      <c r="L29" s="10">
        <v>48</v>
      </c>
      <c r="M29" s="10">
        <v>48</v>
      </c>
      <c r="N29" s="10">
        <v>48</v>
      </c>
      <c r="O29" s="10">
        <v>48</v>
      </c>
    </row>
    <row r="30" spans="1:15" x14ac:dyDescent="0.3">
      <c r="A30" s="20"/>
      <c r="B30" s="20"/>
      <c r="C30" s="12" t="s">
        <v>112</v>
      </c>
      <c r="D30" s="12" t="s">
        <v>95</v>
      </c>
      <c r="E30" s="10">
        <v>38</v>
      </c>
      <c r="F30" s="10">
        <v>38</v>
      </c>
      <c r="G30" s="10">
        <v>38</v>
      </c>
      <c r="H30" s="10">
        <v>38</v>
      </c>
      <c r="I30" s="10">
        <v>38</v>
      </c>
      <c r="J30" s="10">
        <v>38</v>
      </c>
      <c r="K30" s="10">
        <v>38</v>
      </c>
      <c r="L30" s="10">
        <v>38</v>
      </c>
      <c r="M30" s="10">
        <v>38</v>
      </c>
      <c r="N30" s="10">
        <v>38</v>
      </c>
      <c r="O30" s="10">
        <v>38</v>
      </c>
    </row>
    <row r="31" spans="1:15" x14ac:dyDescent="0.3">
      <c r="A31" s="20"/>
      <c r="B31" s="20"/>
      <c r="C31" s="12" t="s">
        <v>113</v>
      </c>
      <c r="D31" s="12" t="s">
        <v>95</v>
      </c>
      <c r="E31" s="10">
        <v>33</v>
      </c>
      <c r="F31" s="10">
        <v>33</v>
      </c>
      <c r="G31" s="10">
        <v>33</v>
      </c>
      <c r="H31" s="10">
        <v>33</v>
      </c>
      <c r="I31" s="10">
        <v>33</v>
      </c>
      <c r="J31" s="10">
        <v>33</v>
      </c>
      <c r="K31" s="10">
        <v>33</v>
      </c>
      <c r="L31" s="10">
        <v>33</v>
      </c>
      <c r="M31" s="10">
        <v>33</v>
      </c>
      <c r="N31" s="10">
        <v>33</v>
      </c>
      <c r="O31" s="10">
        <v>33</v>
      </c>
    </row>
    <row r="32" spans="1:15" x14ac:dyDescent="0.3">
      <c r="A32" s="20"/>
      <c r="B32" s="20"/>
      <c r="C32" s="12" t="s">
        <v>114</v>
      </c>
      <c r="D32" s="12" t="s">
        <v>95</v>
      </c>
      <c r="E32" s="10">
        <v>28</v>
      </c>
      <c r="F32" s="10">
        <v>28</v>
      </c>
      <c r="G32" s="10">
        <v>28</v>
      </c>
      <c r="H32" s="10">
        <v>28</v>
      </c>
      <c r="I32" s="10">
        <v>28</v>
      </c>
      <c r="J32" s="10">
        <v>28</v>
      </c>
      <c r="K32" s="10">
        <v>28</v>
      </c>
      <c r="L32" s="10">
        <v>28</v>
      </c>
      <c r="M32" s="10">
        <v>28</v>
      </c>
      <c r="N32" s="10">
        <v>28</v>
      </c>
      <c r="O32" s="10">
        <v>28</v>
      </c>
    </row>
    <row r="33" spans="1:15" x14ac:dyDescent="0.3">
      <c r="A33" s="20"/>
      <c r="B33" s="20"/>
      <c r="C33" s="12" t="s">
        <v>115</v>
      </c>
      <c r="D33" s="12" t="s">
        <v>95</v>
      </c>
      <c r="E33" s="10">
        <v>23</v>
      </c>
      <c r="F33" s="10">
        <v>23</v>
      </c>
      <c r="G33" s="10">
        <v>23</v>
      </c>
      <c r="H33" s="10">
        <v>23</v>
      </c>
      <c r="I33" s="10">
        <v>23</v>
      </c>
      <c r="J33" s="10">
        <v>23</v>
      </c>
      <c r="K33" s="10">
        <v>23</v>
      </c>
      <c r="L33" s="10">
        <v>23</v>
      </c>
      <c r="M33" s="10">
        <v>23</v>
      </c>
      <c r="N33" s="10">
        <v>23</v>
      </c>
      <c r="O33" s="10">
        <v>23</v>
      </c>
    </row>
    <row r="34" spans="1:15" x14ac:dyDescent="0.3">
      <c r="A34" s="20" t="s">
        <v>107</v>
      </c>
      <c r="B34" s="20" t="s">
        <v>94</v>
      </c>
      <c r="C34" s="12" t="s">
        <v>109</v>
      </c>
      <c r="D34" s="12" t="s">
        <v>95</v>
      </c>
      <c r="E34" s="10">
        <v>57</v>
      </c>
      <c r="F34" s="10">
        <v>57</v>
      </c>
      <c r="G34" s="10">
        <v>57</v>
      </c>
      <c r="H34" s="10">
        <v>57</v>
      </c>
      <c r="I34" s="10">
        <v>57</v>
      </c>
      <c r="J34" s="10">
        <v>57</v>
      </c>
      <c r="K34" s="10">
        <v>57</v>
      </c>
      <c r="L34" s="10">
        <v>57</v>
      </c>
      <c r="M34" s="10">
        <v>57</v>
      </c>
      <c r="N34" s="10">
        <v>57</v>
      </c>
      <c r="O34" s="10">
        <v>57</v>
      </c>
    </row>
    <row r="35" spans="1:15" x14ac:dyDescent="0.3">
      <c r="A35" s="20"/>
      <c r="B35" s="20"/>
      <c r="C35" s="12" t="s">
        <v>110</v>
      </c>
      <c r="D35" s="12" t="s">
        <v>95</v>
      </c>
      <c r="E35" s="10">
        <v>54</v>
      </c>
      <c r="F35" s="10">
        <v>54</v>
      </c>
      <c r="G35" s="10">
        <v>54</v>
      </c>
      <c r="H35" s="10">
        <v>54</v>
      </c>
      <c r="I35" s="10">
        <v>54</v>
      </c>
      <c r="J35" s="10">
        <v>54</v>
      </c>
      <c r="K35" s="10">
        <v>54</v>
      </c>
      <c r="L35" s="10">
        <v>54</v>
      </c>
      <c r="M35" s="10">
        <v>54</v>
      </c>
      <c r="N35" s="10">
        <v>54</v>
      </c>
      <c r="O35" s="10">
        <v>54</v>
      </c>
    </row>
    <row r="36" spans="1:15" x14ac:dyDescent="0.3">
      <c r="A36" s="20"/>
      <c r="B36" s="20"/>
      <c r="C36" s="12" t="s">
        <v>111</v>
      </c>
      <c r="D36" s="12" t="s">
        <v>95</v>
      </c>
      <c r="E36" s="10">
        <v>48</v>
      </c>
      <c r="F36" s="10">
        <v>48</v>
      </c>
      <c r="G36" s="10">
        <v>48</v>
      </c>
      <c r="H36" s="10">
        <v>48</v>
      </c>
      <c r="I36" s="10">
        <v>48</v>
      </c>
      <c r="J36" s="10">
        <v>48</v>
      </c>
      <c r="K36" s="10">
        <v>48</v>
      </c>
      <c r="L36" s="10">
        <v>48</v>
      </c>
      <c r="M36" s="10">
        <v>48</v>
      </c>
      <c r="N36" s="10">
        <v>48</v>
      </c>
      <c r="O36" s="10">
        <v>48</v>
      </c>
    </row>
    <row r="37" spans="1:15" x14ac:dyDescent="0.3">
      <c r="A37" s="20"/>
      <c r="B37" s="20"/>
      <c r="C37" s="12" t="s">
        <v>112</v>
      </c>
      <c r="D37" s="12" t="s">
        <v>95</v>
      </c>
      <c r="E37" s="10">
        <v>43</v>
      </c>
      <c r="F37" s="10">
        <v>43</v>
      </c>
      <c r="G37" s="10">
        <v>43</v>
      </c>
      <c r="H37" s="10">
        <v>43</v>
      </c>
      <c r="I37" s="10">
        <v>43</v>
      </c>
      <c r="J37" s="10">
        <v>43</v>
      </c>
      <c r="K37" s="10">
        <v>43</v>
      </c>
      <c r="L37" s="10">
        <v>43</v>
      </c>
      <c r="M37" s="10">
        <v>43</v>
      </c>
      <c r="N37" s="10">
        <v>43</v>
      </c>
      <c r="O37" s="10">
        <v>43</v>
      </c>
    </row>
    <row r="38" spans="1:15" x14ac:dyDescent="0.3">
      <c r="A38" s="20"/>
      <c r="B38" s="20"/>
      <c r="C38" s="12" t="s">
        <v>113</v>
      </c>
      <c r="D38" s="12" t="s">
        <v>95</v>
      </c>
      <c r="E38" s="10">
        <v>39</v>
      </c>
      <c r="F38" s="10">
        <v>39</v>
      </c>
      <c r="G38" s="10">
        <v>39</v>
      </c>
      <c r="H38" s="10">
        <v>39</v>
      </c>
      <c r="I38" s="10">
        <v>39</v>
      </c>
      <c r="J38" s="10">
        <v>39</v>
      </c>
      <c r="K38" s="10">
        <v>39</v>
      </c>
      <c r="L38" s="10">
        <v>39</v>
      </c>
      <c r="M38" s="10">
        <v>39</v>
      </c>
      <c r="N38" s="10">
        <v>39</v>
      </c>
      <c r="O38" s="10">
        <v>39</v>
      </c>
    </row>
    <row r="39" spans="1:15" x14ac:dyDescent="0.3">
      <c r="A39" s="20"/>
      <c r="B39" s="20"/>
      <c r="C39" s="12" t="s">
        <v>114</v>
      </c>
      <c r="D39" s="12" t="s">
        <v>95</v>
      </c>
      <c r="E39" s="10">
        <v>34</v>
      </c>
      <c r="F39" s="10">
        <v>34</v>
      </c>
      <c r="G39" s="10">
        <v>34</v>
      </c>
      <c r="H39" s="10">
        <v>34</v>
      </c>
      <c r="I39" s="10">
        <v>34</v>
      </c>
      <c r="J39" s="10">
        <v>34</v>
      </c>
      <c r="K39" s="10">
        <v>34</v>
      </c>
      <c r="L39" s="10">
        <v>34</v>
      </c>
      <c r="M39" s="10">
        <v>34</v>
      </c>
      <c r="N39" s="10">
        <v>34</v>
      </c>
      <c r="O39" s="10">
        <v>34</v>
      </c>
    </row>
    <row r="40" spans="1:15" x14ac:dyDescent="0.3">
      <c r="A40" s="20"/>
      <c r="B40" s="20"/>
      <c r="C40" s="12" t="s">
        <v>115</v>
      </c>
      <c r="D40" s="12" t="s">
        <v>95</v>
      </c>
      <c r="E40" s="10">
        <v>29</v>
      </c>
      <c r="F40" s="10">
        <v>29</v>
      </c>
      <c r="G40" s="10">
        <v>29</v>
      </c>
      <c r="H40" s="10">
        <v>29</v>
      </c>
      <c r="I40" s="10">
        <v>29</v>
      </c>
      <c r="J40" s="10">
        <v>29</v>
      </c>
      <c r="K40" s="10">
        <v>29</v>
      </c>
      <c r="L40" s="10">
        <v>29</v>
      </c>
      <c r="M40" s="10">
        <v>29</v>
      </c>
      <c r="N40" s="10">
        <v>29</v>
      </c>
      <c r="O40" s="10">
        <v>29</v>
      </c>
    </row>
  </sheetData>
  <mergeCells count="8">
    <mergeCell ref="A34:A40"/>
    <mergeCell ref="B34:B40"/>
    <mergeCell ref="A9:A15"/>
    <mergeCell ref="B9:B15"/>
    <mergeCell ref="A20:A26"/>
    <mergeCell ref="B20:B26"/>
    <mergeCell ref="A27:A33"/>
    <mergeCell ref="B27:B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"/>
  <sheetViews>
    <sheetView workbookViewId="0">
      <selection activeCell="B9" sqref="B9"/>
    </sheetView>
  </sheetViews>
  <sheetFormatPr baseColWidth="10" defaultColWidth="9.109375" defaultRowHeight="14.4" x14ac:dyDescent="0.3"/>
  <cols>
    <col min="1" max="1" width="43.109375" style="14" bestFit="1" customWidth="1"/>
    <col min="2" max="4" width="9.109375" style="14"/>
    <col min="5" max="16384" width="9.109375" style="10"/>
  </cols>
  <sheetData>
    <row r="1" spans="1:18" x14ac:dyDescent="0.3">
      <c r="A1" s="12" t="s">
        <v>37</v>
      </c>
      <c r="B1" s="12" t="s">
        <v>79</v>
      </c>
      <c r="C1" s="12" t="s">
        <v>80</v>
      </c>
      <c r="D1" s="12" t="s">
        <v>81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90</v>
      </c>
      <c r="N1" s="13" t="s">
        <v>91</v>
      </c>
      <c r="O1" s="13" t="s">
        <v>92</v>
      </c>
      <c r="R1" s="10" t="s">
        <v>39</v>
      </c>
    </row>
    <row r="2" spans="1:18" x14ac:dyDescent="0.3">
      <c r="A2" s="12" t="s">
        <v>56</v>
      </c>
      <c r="B2" s="12" t="s">
        <v>94</v>
      </c>
      <c r="C2" s="12" t="s">
        <v>94</v>
      </c>
      <c r="D2" s="12" t="s">
        <v>116</v>
      </c>
      <c r="E2" s="10">
        <v>3.3</v>
      </c>
      <c r="F2" s="10">
        <v>3.3</v>
      </c>
      <c r="G2" s="10">
        <v>3.3</v>
      </c>
      <c r="H2" s="10">
        <v>3.3</v>
      </c>
      <c r="I2" s="10">
        <v>3.3</v>
      </c>
      <c r="J2" s="10">
        <v>3.3</v>
      </c>
      <c r="K2" s="10">
        <v>3.3</v>
      </c>
      <c r="L2" s="10">
        <v>3.3</v>
      </c>
      <c r="M2" s="10">
        <v>3.3</v>
      </c>
      <c r="N2" s="10">
        <v>3.3</v>
      </c>
      <c r="O2" s="10">
        <v>3.3</v>
      </c>
      <c r="R2" s="10" t="s">
        <v>117</v>
      </c>
    </row>
    <row r="3" spans="1:18" x14ac:dyDescent="0.3">
      <c r="A3" s="12" t="s">
        <v>64</v>
      </c>
      <c r="B3" s="12" t="s">
        <v>94</v>
      </c>
      <c r="C3" s="12" t="s">
        <v>94</v>
      </c>
      <c r="D3" s="12" t="s">
        <v>116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R3" s="10" t="s">
        <v>118</v>
      </c>
    </row>
    <row r="4" spans="1:18" x14ac:dyDescent="0.3">
      <c r="A4" s="12" t="s">
        <v>65</v>
      </c>
      <c r="B4" s="12" t="s">
        <v>94</v>
      </c>
      <c r="C4" s="12" t="s">
        <v>94</v>
      </c>
      <c r="D4" s="12" t="s">
        <v>116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8" x14ac:dyDescent="0.3">
      <c r="A5" s="12" t="s">
        <v>48</v>
      </c>
      <c r="B5" s="12" t="s">
        <v>94</v>
      </c>
      <c r="C5" s="12" t="s">
        <v>94</v>
      </c>
      <c r="D5" s="12" t="s">
        <v>116</v>
      </c>
      <c r="E5" s="10">
        <v>7.9</v>
      </c>
      <c r="F5" s="10">
        <v>7.9</v>
      </c>
      <c r="G5" s="10">
        <v>7.9</v>
      </c>
      <c r="H5" s="10">
        <v>7.9</v>
      </c>
      <c r="I5" s="10">
        <v>7.9</v>
      </c>
      <c r="J5" s="10">
        <v>7.9</v>
      </c>
      <c r="K5" s="10">
        <v>7.9</v>
      </c>
      <c r="L5" s="10">
        <v>7.9</v>
      </c>
      <c r="M5" s="10">
        <v>7.9</v>
      </c>
      <c r="N5" s="10">
        <v>7.9</v>
      </c>
      <c r="O5" s="10">
        <v>7.9</v>
      </c>
    </row>
    <row r="6" spans="1:18" x14ac:dyDescent="0.3">
      <c r="A6" s="12" t="s">
        <v>49</v>
      </c>
      <c r="B6" s="12" t="s">
        <v>94</v>
      </c>
      <c r="C6" s="12" t="s">
        <v>94</v>
      </c>
      <c r="D6" s="12" t="s">
        <v>116</v>
      </c>
      <c r="E6" s="10">
        <v>8.1</v>
      </c>
      <c r="F6" s="10">
        <v>8.1</v>
      </c>
      <c r="G6" s="10">
        <v>8.1</v>
      </c>
      <c r="H6" s="10">
        <v>8.1</v>
      </c>
      <c r="I6" s="10">
        <v>8.1</v>
      </c>
      <c r="J6" s="10">
        <v>8.1</v>
      </c>
      <c r="K6" s="10">
        <v>8.1</v>
      </c>
      <c r="L6" s="10">
        <v>8.1</v>
      </c>
      <c r="M6" s="10">
        <v>8.1</v>
      </c>
      <c r="N6" s="10">
        <v>8.1</v>
      </c>
      <c r="O6" s="10">
        <v>8.1</v>
      </c>
    </row>
    <row r="7" spans="1:18" x14ac:dyDescent="0.3">
      <c r="A7" s="12" t="s">
        <v>44</v>
      </c>
      <c r="B7" s="12" t="s">
        <v>94</v>
      </c>
      <c r="C7" s="12" t="s">
        <v>94</v>
      </c>
      <c r="D7" s="12" t="s">
        <v>116</v>
      </c>
      <c r="E7" s="10">
        <v>5.0999999999999996</v>
      </c>
      <c r="F7" s="10">
        <v>5.0999999999999996</v>
      </c>
      <c r="G7" s="10">
        <v>5.0999999999999996</v>
      </c>
      <c r="H7" s="10">
        <v>5.0999999999999996</v>
      </c>
      <c r="I7" s="10">
        <v>5.0999999999999996</v>
      </c>
      <c r="J7" s="10">
        <v>5.0999999999999996</v>
      </c>
      <c r="K7" s="10">
        <v>5.0999999999999996</v>
      </c>
      <c r="L7" s="10">
        <v>5.0999999999999996</v>
      </c>
      <c r="M7" s="10">
        <v>5.0999999999999996</v>
      </c>
      <c r="N7" s="10">
        <v>5.0999999999999996</v>
      </c>
      <c r="O7" s="10">
        <v>5.0999999999999996</v>
      </c>
    </row>
    <row r="8" spans="1:18" x14ac:dyDescent="0.3">
      <c r="A8" s="12" t="s">
        <v>45</v>
      </c>
      <c r="B8" s="12" t="s">
        <v>94</v>
      </c>
      <c r="C8" s="12" t="s">
        <v>94</v>
      </c>
      <c r="D8" s="12" t="s">
        <v>116</v>
      </c>
      <c r="E8" s="10">
        <v>5.0999999999999996</v>
      </c>
      <c r="F8" s="10">
        <v>5.0999999999999996</v>
      </c>
      <c r="G8" s="10">
        <v>5.0999999999999996</v>
      </c>
      <c r="H8" s="10">
        <v>5.0999999999999996</v>
      </c>
      <c r="I8" s="10">
        <v>5.0999999999999996</v>
      </c>
      <c r="J8" s="10">
        <v>5.0999999999999996</v>
      </c>
      <c r="K8" s="10">
        <v>5.0999999999999996</v>
      </c>
      <c r="L8" s="10">
        <v>5.0999999999999996</v>
      </c>
      <c r="M8" s="10">
        <v>5.0999999999999996</v>
      </c>
      <c r="N8" s="10">
        <v>5.0999999999999996</v>
      </c>
      <c r="O8" s="10">
        <v>5.0999999999999996</v>
      </c>
    </row>
    <row r="9" spans="1:18" x14ac:dyDescent="0.3">
      <c r="A9" s="12" t="s">
        <v>57</v>
      </c>
      <c r="B9" s="12" t="s">
        <v>94</v>
      </c>
      <c r="C9" s="12" t="s">
        <v>94</v>
      </c>
      <c r="D9" s="12" t="s">
        <v>116</v>
      </c>
      <c r="E9" s="10">
        <v>0.3</v>
      </c>
      <c r="F9" s="10">
        <v>0.3</v>
      </c>
      <c r="G9" s="10">
        <v>0.3</v>
      </c>
      <c r="H9" s="10">
        <v>0.3</v>
      </c>
      <c r="I9" s="10">
        <v>0.3</v>
      </c>
      <c r="J9" s="10">
        <v>0.3</v>
      </c>
      <c r="K9" s="10">
        <v>0.3</v>
      </c>
      <c r="L9" s="10">
        <v>0.3</v>
      </c>
      <c r="M9" s="10">
        <v>0.3</v>
      </c>
      <c r="N9" s="10">
        <v>0.3</v>
      </c>
      <c r="O9" s="10">
        <v>0.3</v>
      </c>
    </row>
    <row r="10" spans="1:18" x14ac:dyDescent="0.3">
      <c r="A10" s="12" t="s">
        <v>53</v>
      </c>
      <c r="B10" s="12" t="s">
        <v>94</v>
      </c>
      <c r="C10" s="12" t="s">
        <v>94</v>
      </c>
      <c r="D10" s="12" t="s">
        <v>116</v>
      </c>
      <c r="E10" s="10">
        <v>1.8</v>
      </c>
      <c r="F10" s="10">
        <v>1.8</v>
      </c>
      <c r="G10" s="10">
        <v>1.8</v>
      </c>
      <c r="H10" s="10">
        <v>1.8</v>
      </c>
      <c r="I10" s="10">
        <v>1.8</v>
      </c>
      <c r="J10" s="10">
        <v>1.8</v>
      </c>
      <c r="K10" s="10">
        <v>1.8</v>
      </c>
      <c r="L10" s="10">
        <v>1.8</v>
      </c>
      <c r="M10" s="10">
        <v>1.8</v>
      </c>
      <c r="N10" s="10">
        <v>1.8</v>
      </c>
      <c r="O10" s="10">
        <v>1.8</v>
      </c>
    </row>
    <row r="11" spans="1:18" x14ac:dyDescent="0.3">
      <c r="A11" s="12" t="s">
        <v>41</v>
      </c>
      <c r="B11" s="12" t="s">
        <v>94</v>
      </c>
      <c r="C11" s="12" t="s">
        <v>94</v>
      </c>
      <c r="D11" s="12" t="s">
        <v>105</v>
      </c>
      <c r="E11" s="10">
        <v>4.4000000000000004</v>
      </c>
      <c r="F11" s="10">
        <v>4.4000000000000004</v>
      </c>
      <c r="G11" s="10">
        <v>4.4000000000000004</v>
      </c>
      <c r="H11" s="10">
        <v>4.4000000000000004</v>
      </c>
      <c r="I11" s="10">
        <v>4.4000000000000004</v>
      </c>
      <c r="J11" s="10">
        <v>4.4000000000000004</v>
      </c>
      <c r="K11" s="10">
        <v>4.4000000000000004</v>
      </c>
      <c r="L11" s="10">
        <v>4.4000000000000004</v>
      </c>
      <c r="M11" s="10">
        <v>4.4000000000000004</v>
      </c>
      <c r="N11" s="10">
        <v>4.4000000000000004</v>
      </c>
      <c r="O11" s="10">
        <v>4.4000000000000004</v>
      </c>
    </row>
    <row r="12" spans="1:18" x14ac:dyDescent="0.3">
      <c r="A12" s="12" t="s">
        <v>69</v>
      </c>
      <c r="B12" s="12" t="s">
        <v>94</v>
      </c>
      <c r="C12" s="12" t="s">
        <v>94</v>
      </c>
      <c r="D12" s="12" t="s">
        <v>116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8" x14ac:dyDescent="0.3">
      <c r="A13" s="12" t="s">
        <v>58</v>
      </c>
      <c r="B13" s="12" t="s">
        <v>94</v>
      </c>
      <c r="C13" s="12" t="s">
        <v>94</v>
      </c>
      <c r="D13" s="12" t="s">
        <v>116</v>
      </c>
      <c r="E13" s="10">
        <v>0.3</v>
      </c>
      <c r="F13" s="10">
        <v>0.3</v>
      </c>
      <c r="G13" s="10">
        <v>0.3</v>
      </c>
      <c r="H13" s="10">
        <v>0.3</v>
      </c>
      <c r="I13" s="10">
        <v>0.3</v>
      </c>
      <c r="J13" s="10">
        <v>0.3</v>
      </c>
      <c r="K13" s="10">
        <v>0.3</v>
      </c>
      <c r="L13" s="10">
        <v>0.3</v>
      </c>
      <c r="M13" s="10">
        <v>0.3</v>
      </c>
      <c r="N13" s="10">
        <v>0.3</v>
      </c>
      <c r="O13" s="10">
        <v>0.3</v>
      </c>
    </row>
    <row r="14" spans="1:18" x14ac:dyDescent="0.3">
      <c r="A14" s="12" t="s">
        <v>106</v>
      </c>
      <c r="B14" s="12" t="s">
        <v>94</v>
      </c>
      <c r="C14" s="12" t="s">
        <v>94</v>
      </c>
      <c r="D14" s="12" t="s">
        <v>116</v>
      </c>
      <c r="E14" s="10">
        <v>0.5</v>
      </c>
      <c r="F14" s="10">
        <v>0.5</v>
      </c>
      <c r="G14" s="10">
        <v>0.5</v>
      </c>
      <c r="H14" s="10">
        <v>0.5</v>
      </c>
      <c r="I14" s="10">
        <v>0.5</v>
      </c>
      <c r="J14" s="10">
        <v>0.5</v>
      </c>
      <c r="K14" s="10">
        <v>0.5</v>
      </c>
      <c r="L14" s="10">
        <v>0.5</v>
      </c>
      <c r="M14" s="10">
        <v>0.5</v>
      </c>
      <c r="N14" s="10">
        <v>0.5</v>
      </c>
      <c r="O14" s="10">
        <v>0.5</v>
      </c>
    </row>
    <row r="15" spans="1:18" x14ac:dyDescent="0.3">
      <c r="A15" s="12" t="s">
        <v>70</v>
      </c>
      <c r="B15" s="12" t="s">
        <v>94</v>
      </c>
      <c r="C15" s="12" t="s">
        <v>94</v>
      </c>
      <c r="D15" s="12" t="s">
        <v>116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18" x14ac:dyDescent="0.3">
      <c r="A16" s="12" t="s">
        <v>71</v>
      </c>
      <c r="B16" s="12" t="s">
        <v>94</v>
      </c>
      <c r="C16" s="12" t="s">
        <v>94</v>
      </c>
      <c r="D16" s="12" t="s">
        <v>116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</row>
    <row r="17" spans="1:15" x14ac:dyDescent="0.3">
      <c r="A17" s="12" t="s">
        <v>72</v>
      </c>
      <c r="B17" s="12" t="s">
        <v>94</v>
      </c>
      <c r="C17" s="12" t="s">
        <v>94</v>
      </c>
      <c r="D17" s="12" t="s">
        <v>116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 spans="1:15" x14ac:dyDescent="0.3">
      <c r="A18" s="12" t="s">
        <v>73</v>
      </c>
      <c r="B18" s="12" t="s">
        <v>94</v>
      </c>
      <c r="C18" s="12" t="s">
        <v>94</v>
      </c>
      <c r="D18" s="12" t="s">
        <v>116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</row>
    <row r="19" spans="1:15" x14ac:dyDescent="0.3">
      <c r="A19" s="12" t="s">
        <v>74</v>
      </c>
      <c r="B19" s="12" t="s">
        <v>94</v>
      </c>
      <c r="C19" s="12" t="s">
        <v>94</v>
      </c>
      <c r="D19" s="12" t="s">
        <v>116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 spans="1:15" x14ac:dyDescent="0.3">
      <c r="A20" s="12" t="s">
        <v>75</v>
      </c>
      <c r="B20" s="12" t="s">
        <v>94</v>
      </c>
      <c r="C20" s="12" t="s">
        <v>94</v>
      </c>
      <c r="D20" s="12" t="s">
        <v>116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x14ac:dyDescent="0.3">
      <c r="A21" s="12" t="s">
        <v>76</v>
      </c>
      <c r="B21" s="12" t="s">
        <v>94</v>
      </c>
      <c r="C21" s="12" t="s">
        <v>94</v>
      </c>
      <c r="D21" s="12" t="s">
        <v>116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 spans="1:15" x14ac:dyDescent="0.3">
      <c r="A22" s="12" t="s">
        <v>77</v>
      </c>
      <c r="B22" s="12" t="s">
        <v>94</v>
      </c>
      <c r="C22" s="12" t="s">
        <v>94</v>
      </c>
      <c r="D22" s="12" t="s">
        <v>116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</row>
    <row r="23" spans="1:15" x14ac:dyDescent="0.3">
      <c r="A23" s="12" t="s">
        <v>50</v>
      </c>
      <c r="B23" s="12" t="s">
        <v>94</v>
      </c>
      <c r="C23" s="12" t="s">
        <v>94</v>
      </c>
      <c r="D23" s="12" t="s">
        <v>116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 spans="1:15" x14ac:dyDescent="0.3">
      <c r="A24" s="12" t="s">
        <v>66</v>
      </c>
      <c r="B24" s="12" t="s">
        <v>94</v>
      </c>
      <c r="C24" s="12" t="s">
        <v>94</v>
      </c>
      <c r="D24" s="12" t="s">
        <v>116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</row>
    <row r="25" spans="1:15" x14ac:dyDescent="0.3">
      <c r="A25" s="12" t="s">
        <v>107</v>
      </c>
      <c r="B25" s="12" t="s">
        <v>94</v>
      </c>
      <c r="C25" s="12" t="s">
        <v>94</v>
      </c>
      <c r="D25" s="12" t="s">
        <v>116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2"/>
  <sheetViews>
    <sheetView topLeftCell="A43" workbookViewId="0">
      <selection activeCell="F47" sqref="F47:F48"/>
    </sheetView>
  </sheetViews>
  <sheetFormatPr baseColWidth="10" defaultColWidth="9.109375" defaultRowHeight="14.4" x14ac:dyDescent="0.3"/>
  <cols>
    <col min="1" max="1" width="43.109375" style="14" bestFit="1" customWidth="1"/>
    <col min="2" max="3" width="9.109375" style="14"/>
    <col min="4" max="4" width="20" style="14" bestFit="1" customWidth="1"/>
    <col min="5" max="5" width="26.109375" style="14" bestFit="1" customWidth="1"/>
    <col min="6" max="6" width="8.109375" style="10" bestFit="1" customWidth="1"/>
    <col min="7" max="7" width="7.77734375" style="10" bestFit="1" customWidth="1"/>
    <col min="8" max="8" width="17.77734375" style="10" bestFit="1" customWidth="1"/>
    <col min="9" max="9" width="20" style="10" bestFit="1" customWidth="1"/>
    <col min="10" max="10" width="21.44140625" style="10" bestFit="1" customWidth="1"/>
    <col min="11" max="11" width="12" style="10" bestFit="1" customWidth="1"/>
    <col min="12" max="12" width="8.5546875" style="10" bestFit="1" customWidth="1"/>
    <col min="13" max="13" width="12.109375" style="10" bestFit="1" customWidth="1"/>
    <col min="14" max="14" width="9.77734375" style="10" bestFit="1" customWidth="1"/>
    <col min="15" max="15" width="20.21875" style="10" bestFit="1" customWidth="1"/>
    <col min="16" max="16" width="22.77734375" style="10" bestFit="1" customWidth="1"/>
    <col min="17" max="16384" width="9.109375" style="10"/>
  </cols>
  <sheetData>
    <row r="1" spans="1:19" x14ac:dyDescent="0.3">
      <c r="A1" s="12" t="s">
        <v>37</v>
      </c>
      <c r="B1" s="12" t="s">
        <v>79</v>
      </c>
      <c r="C1" s="12" t="s">
        <v>80</v>
      </c>
      <c r="D1" s="12" t="s">
        <v>81</v>
      </c>
      <c r="E1" s="12" t="s">
        <v>119</v>
      </c>
      <c r="F1" s="13" t="s">
        <v>82</v>
      </c>
      <c r="G1" s="13" t="s">
        <v>83</v>
      </c>
      <c r="H1" s="13" t="s">
        <v>84</v>
      </c>
      <c r="I1" s="13" t="s">
        <v>85</v>
      </c>
      <c r="J1" s="13" t="s">
        <v>86</v>
      </c>
      <c r="K1" s="13" t="s">
        <v>87</v>
      </c>
      <c r="L1" s="13" t="s">
        <v>88</v>
      </c>
      <c r="M1" s="13" t="s">
        <v>89</v>
      </c>
      <c r="N1" s="13" t="s">
        <v>90</v>
      </c>
      <c r="O1" s="13" t="s">
        <v>91</v>
      </c>
      <c r="P1" s="13" t="s">
        <v>92</v>
      </c>
      <c r="S1" s="10" t="s">
        <v>39</v>
      </c>
    </row>
    <row r="2" spans="1:19" x14ac:dyDescent="0.3">
      <c r="A2" s="20" t="s">
        <v>56</v>
      </c>
      <c r="B2" s="20" t="s">
        <v>94</v>
      </c>
      <c r="C2" s="20" t="s">
        <v>94</v>
      </c>
      <c r="D2" s="20" t="s">
        <v>120</v>
      </c>
      <c r="E2" s="12" t="s">
        <v>121</v>
      </c>
      <c r="F2" s="10">
        <v>1.7749999999999999</v>
      </c>
      <c r="G2" s="10">
        <v>1.7749999999999999</v>
      </c>
      <c r="H2" s="10">
        <v>1.7749999999999999</v>
      </c>
      <c r="I2" s="10">
        <v>1.7749999999999999</v>
      </c>
      <c r="J2" s="10">
        <v>1.7749999999999999</v>
      </c>
      <c r="K2" s="10">
        <v>1.7749999999999999</v>
      </c>
      <c r="L2" s="10">
        <v>1.7749999999999999</v>
      </c>
      <c r="M2" s="10">
        <v>1.7749999999999999</v>
      </c>
      <c r="N2" s="10">
        <v>1.7749999999999999</v>
      </c>
      <c r="O2" s="10">
        <v>1.7749999999999999</v>
      </c>
      <c r="P2" s="10">
        <v>1.7749999999999999</v>
      </c>
      <c r="S2" s="10" t="s">
        <v>122</v>
      </c>
    </row>
    <row r="3" spans="1:19" x14ac:dyDescent="0.3">
      <c r="A3" s="20"/>
      <c r="B3" s="20"/>
      <c r="C3" s="20"/>
      <c r="D3" s="20"/>
      <c r="E3" s="12" t="s">
        <v>123</v>
      </c>
      <c r="F3" s="10">
        <v>-2.7E-2</v>
      </c>
      <c r="G3" s="10">
        <v>-2.7E-2</v>
      </c>
      <c r="H3" s="10">
        <v>-2.7E-2</v>
      </c>
      <c r="I3" s="10">
        <v>-2.7E-2</v>
      </c>
      <c r="J3" s="10">
        <v>-2.7E-2</v>
      </c>
      <c r="K3" s="10">
        <v>-2.7E-2</v>
      </c>
      <c r="L3" s="10">
        <v>-2.7E-2</v>
      </c>
      <c r="M3" s="10">
        <v>-2.7E-2</v>
      </c>
      <c r="N3" s="10">
        <v>-2.7E-2</v>
      </c>
      <c r="O3" s="10">
        <v>-2.7E-2</v>
      </c>
      <c r="P3" s="10">
        <v>-2.7E-2</v>
      </c>
      <c r="S3" s="10" t="s">
        <v>124</v>
      </c>
    </row>
    <row r="4" spans="1:19" x14ac:dyDescent="0.3">
      <c r="A4" s="20"/>
      <c r="B4" s="20"/>
      <c r="C4" s="20"/>
      <c r="D4" s="12" t="s">
        <v>125</v>
      </c>
      <c r="E4" s="12" t="s">
        <v>40</v>
      </c>
      <c r="F4" s="10">
        <v>-134.79</v>
      </c>
      <c r="G4" s="10">
        <v>-134.79</v>
      </c>
      <c r="H4" s="10">
        <v>-134.79</v>
      </c>
      <c r="I4" s="10">
        <v>-134.79</v>
      </c>
      <c r="J4" s="10">
        <v>-134.79</v>
      </c>
      <c r="K4" s="10">
        <v>-134.79</v>
      </c>
      <c r="L4" s="10">
        <v>-134.79</v>
      </c>
      <c r="M4" s="10">
        <v>-134.79</v>
      </c>
      <c r="N4" s="10">
        <v>-134.79</v>
      </c>
      <c r="O4" s="10">
        <v>-134.79</v>
      </c>
      <c r="P4" s="10">
        <v>-134.79</v>
      </c>
      <c r="S4" s="10" t="s">
        <v>126</v>
      </c>
    </row>
    <row r="5" spans="1:19" x14ac:dyDescent="0.3">
      <c r="A5" s="20" t="s">
        <v>64</v>
      </c>
      <c r="B5" s="20" t="s">
        <v>94</v>
      </c>
      <c r="C5" s="20" t="s">
        <v>94</v>
      </c>
      <c r="D5" s="20" t="s">
        <v>120</v>
      </c>
      <c r="E5" s="12" t="s">
        <v>121</v>
      </c>
      <c r="F5" s="10">
        <v>1.5149999999999999</v>
      </c>
      <c r="G5" s="10">
        <v>1.5149999999999999</v>
      </c>
      <c r="H5" s="10">
        <v>1.5149999999999999</v>
      </c>
      <c r="I5" s="10">
        <v>1.5149999999999999</v>
      </c>
      <c r="J5" s="10">
        <v>1.5149999999999999</v>
      </c>
      <c r="K5" s="10">
        <v>1.5149999999999999</v>
      </c>
      <c r="L5" s="10">
        <v>1.5149999999999999</v>
      </c>
      <c r="M5" s="10">
        <v>1.5149999999999999</v>
      </c>
      <c r="N5" s="10">
        <v>1.5149999999999999</v>
      </c>
      <c r="O5" s="10">
        <v>1.5149999999999999</v>
      </c>
      <c r="P5" s="10">
        <v>1.5149999999999999</v>
      </c>
      <c r="S5" s="10" t="s">
        <v>127</v>
      </c>
    </row>
    <row r="6" spans="1:19" x14ac:dyDescent="0.3">
      <c r="A6" s="20"/>
      <c r="B6" s="20"/>
      <c r="C6" s="20"/>
      <c r="D6" s="20"/>
      <c r="E6" s="12" t="s">
        <v>123</v>
      </c>
      <c r="F6" s="10">
        <v>2.1000000000000001E-2</v>
      </c>
      <c r="G6" s="10">
        <v>2.1000000000000001E-2</v>
      </c>
      <c r="H6" s="10">
        <v>2.1000000000000001E-2</v>
      </c>
      <c r="I6" s="10">
        <v>2.1000000000000001E-2</v>
      </c>
      <c r="J6" s="10">
        <v>2.1000000000000001E-2</v>
      </c>
      <c r="K6" s="10">
        <v>2.1000000000000001E-2</v>
      </c>
      <c r="L6" s="10">
        <v>2.1000000000000001E-2</v>
      </c>
      <c r="M6" s="10">
        <v>2.1000000000000001E-2</v>
      </c>
      <c r="N6" s="10">
        <v>2.1000000000000001E-2</v>
      </c>
      <c r="O6" s="10">
        <v>2.1000000000000001E-2</v>
      </c>
      <c r="P6" s="10">
        <v>2.1000000000000001E-2</v>
      </c>
      <c r="S6" s="10" t="s">
        <v>128</v>
      </c>
    </row>
    <row r="7" spans="1:19" x14ac:dyDescent="0.3">
      <c r="A7" s="20" t="s">
        <v>65</v>
      </c>
      <c r="B7" s="20" t="s">
        <v>94</v>
      </c>
      <c r="C7" s="20" t="s">
        <v>94</v>
      </c>
      <c r="D7" s="20" t="s">
        <v>120</v>
      </c>
      <c r="E7" s="12" t="s">
        <v>121</v>
      </c>
      <c r="F7" s="10">
        <v>1.55</v>
      </c>
      <c r="G7" s="10">
        <v>1.55</v>
      </c>
      <c r="H7" s="10">
        <v>1.55</v>
      </c>
      <c r="I7" s="10">
        <v>1.55</v>
      </c>
      <c r="J7" s="10">
        <v>1.55</v>
      </c>
      <c r="K7" s="10">
        <v>1.55</v>
      </c>
      <c r="L7" s="10">
        <v>1.55</v>
      </c>
      <c r="M7" s="10">
        <v>1.55</v>
      </c>
      <c r="N7" s="10">
        <v>1.55</v>
      </c>
      <c r="O7" s="10">
        <v>1.55</v>
      </c>
      <c r="P7" s="10">
        <v>1.55</v>
      </c>
    </row>
    <row r="8" spans="1:19" x14ac:dyDescent="0.3">
      <c r="A8" s="20"/>
      <c r="B8" s="20"/>
      <c r="C8" s="20"/>
      <c r="D8" s="20"/>
      <c r="E8" s="12" t="s">
        <v>123</v>
      </c>
      <c r="F8" s="10">
        <v>2.1000000000000001E-2</v>
      </c>
      <c r="G8" s="10">
        <v>2.1000000000000001E-2</v>
      </c>
      <c r="H8" s="10">
        <v>2.1000000000000001E-2</v>
      </c>
      <c r="I8" s="10">
        <v>2.1000000000000001E-2</v>
      </c>
      <c r="J8" s="10">
        <v>2.1000000000000001E-2</v>
      </c>
      <c r="K8" s="10">
        <v>2.1000000000000001E-2</v>
      </c>
      <c r="L8" s="10">
        <v>2.1000000000000001E-2</v>
      </c>
      <c r="M8" s="10">
        <v>2.1000000000000001E-2</v>
      </c>
      <c r="N8" s="10">
        <v>2.1000000000000001E-2</v>
      </c>
      <c r="O8" s="10">
        <v>2.1000000000000001E-2</v>
      </c>
      <c r="P8" s="10">
        <v>2.1000000000000001E-2</v>
      </c>
    </row>
    <row r="9" spans="1:19" x14ac:dyDescent="0.3">
      <c r="A9" s="20"/>
      <c r="B9" s="20"/>
      <c r="C9" s="20"/>
      <c r="D9" s="12" t="s">
        <v>125</v>
      </c>
      <c r="E9" s="12" t="s">
        <v>40</v>
      </c>
      <c r="F9" s="10">
        <v>-46.063999999999993</v>
      </c>
      <c r="G9" s="10">
        <v>-46.063999999999993</v>
      </c>
      <c r="H9" s="10">
        <v>-46.063999999999993</v>
      </c>
      <c r="I9" s="10">
        <v>-46.063999999999993</v>
      </c>
      <c r="J9" s="10">
        <v>-46.063999999999993</v>
      </c>
      <c r="K9" s="10">
        <v>-46.063999999999993</v>
      </c>
      <c r="L9" s="10">
        <v>-46.063999999999993</v>
      </c>
      <c r="M9" s="10">
        <v>-46.063999999999993</v>
      </c>
      <c r="N9" s="10">
        <v>-46.063999999999993</v>
      </c>
      <c r="O9" s="10">
        <v>-46.063999999999993</v>
      </c>
      <c r="P9" s="10">
        <v>-46.063999999999993</v>
      </c>
    </row>
    <row r="10" spans="1:19" x14ac:dyDescent="0.3">
      <c r="A10" s="20" t="s">
        <v>48</v>
      </c>
      <c r="B10" s="20" t="s">
        <v>94</v>
      </c>
      <c r="C10" s="20" t="s">
        <v>94</v>
      </c>
      <c r="D10" s="20" t="s">
        <v>120</v>
      </c>
      <c r="E10" s="12" t="s">
        <v>121</v>
      </c>
      <c r="F10" s="10">
        <v>2.15</v>
      </c>
      <c r="G10" s="10">
        <v>2.15</v>
      </c>
      <c r="H10" s="10">
        <v>2.15</v>
      </c>
      <c r="I10" s="10">
        <v>2.15</v>
      </c>
      <c r="J10" s="10">
        <v>2.15</v>
      </c>
      <c r="K10" s="10">
        <v>2.15</v>
      </c>
      <c r="L10" s="10">
        <v>2.15</v>
      </c>
      <c r="M10" s="10">
        <v>2.15</v>
      </c>
      <c r="N10" s="10">
        <v>2.15</v>
      </c>
      <c r="O10" s="10">
        <v>2.15</v>
      </c>
      <c r="P10" s="10">
        <v>2.15</v>
      </c>
    </row>
    <row r="11" spans="1:19" x14ac:dyDescent="0.3">
      <c r="A11" s="20"/>
      <c r="B11" s="20"/>
      <c r="C11" s="20"/>
      <c r="D11" s="20"/>
      <c r="E11" s="12" t="s">
        <v>123</v>
      </c>
      <c r="F11" s="10">
        <v>5.1999999999999998E-2</v>
      </c>
      <c r="G11" s="10">
        <v>5.1999999999999998E-2</v>
      </c>
      <c r="H11" s="10">
        <v>5.1999999999999998E-2</v>
      </c>
      <c r="I11" s="10">
        <v>5.1999999999999998E-2</v>
      </c>
      <c r="J11" s="10">
        <v>5.1999999999999998E-2</v>
      </c>
      <c r="K11" s="10">
        <v>5.1999999999999998E-2</v>
      </c>
      <c r="L11" s="10">
        <v>5.1999999999999998E-2</v>
      </c>
      <c r="M11" s="10">
        <v>5.1999999999999998E-2</v>
      </c>
      <c r="N11" s="10">
        <v>5.1999999999999998E-2</v>
      </c>
      <c r="O11" s="10">
        <v>5.1999999999999998E-2</v>
      </c>
      <c r="P11" s="10">
        <v>5.1999999999999998E-2</v>
      </c>
    </row>
    <row r="12" spans="1:19" x14ac:dyDescent="0.3">
      <c r="A12" s="20"/>
      <c r="B12" s="20"/>
      <c r="C12" s="20"/>
      <c r="D12" s="20"/>
      <c r="E12" s="12" t="s">
        <v>63</v>
      </c>
      <c r="F12" s="10">
        <v>-9.6999999999999989E-2</v>
      </c>
      <c r="G12" s="10">
        <v>-9.6999999999999989E-2</v>
      </c>
      <c r="H12" s="10">
        <v>-9.6999999999999989E-2</v>
      </c>
      <c r="I12" s="10">
        <v>-9.6999999999999989E-2</v>
      </c>
      <c r="J12" s="10">
        <v>-9.6999999999999989E-2</v>
      </c>
      <c r="K12" s="10">
        <v>-9.6999999999999989E-2</v>
      </c>
      <c r="L12" s="10">
        <v>-9.6999999999999989E-2</v>
      </c>
      <c r="M12" s="10">
        <v>-9.6999999999999989E-2</v>
      </c>
      <c r="N12" s="10">
        <v>-9.6999999999999989E-2</v>
      </c>
      <c r="O12" s="10">
        <v>-9.6999999999999989E-2</v>
      </c>
      <c r="P12" s="10">
        <v>-9.6999999999999989E-2</v>
      </c>
    </row>
    <row r="13" spans="1:19" x14ac:dyDescent="0.3">
      <c r="A13" s="20"/>
      <c r="B13" s="20"/>
      <c r="C13" s="20"/>
      <c r="D13" s="20"/>
      <c r="E13" s="12" t="s">
        <v>68</v>
      </c>
      <c r="F13" s="10">
        <v>-0.33</v>
      </c>
      <c r="G13" s="10">
        <v>-0.33</v>
      </c>
      <c r="H13" s="10">
        <v>-0.33</v>
      </c>
      <c r="I13" s="10">
        <v>-0.33</v>
      </c>
      <c r="J13" s="10">
        <v>-0.33</v>
      </c>
      <c r="K13" s="10">
        <v>-0.33</v>
      </c>
      <c r="L13" s="10">
        <v>-0.33</v>
      </c>
      <c r="M13" s="10">
        <v>-0.33</v>
      </c>
      <c r="N13" s="10">
        <v>-0.33</v>
      </c>
      <c r="O13" s="10">
        <v>-0.33</v>
      </c>
      <c r="P13" s="10">
        <v>-0.33</v>
      </c>
    </row>
    <row r="14" spans="1:19" x14ac:dyDescent="0.3">
      <c r="A14" s="20" t="s">
        <v>49</v>
      </c>
      <c r="B14" s="20" t="s">
        <v>94</v>
      </c>
      <c r="C14" s="20" t="s">
        <v>94</v>
      </c>
      <c r="D14" s="20" t="s">
        <v>120</v>
      </c>
      <c r="E14" s="12" t="s">
        <v>121</v>
      </c>
      <c r="F14" s="10">
        <v>2.15</v>
      </c>
      <c r="G14" s="10">
        <v>2.15</v>
      </c>
      <c r="H14" s="10">
        <v>2.15</v>
      </c>
      <c r="I14" s="10">
        <v>2.15</v>
      </c>
      <c r="J14" s="10">
        <v>2.15</v>
      </c>
      <c r="K14" s="10">
        <v>2.15</v>
      </c>
      <c r="L14" s="10">
        <v>2.15</v>
      </c>
      <c r="M14" s="10">
        <v>2.15</v>
      </c>
      <c r="N14" s="10">
        <v>2.15</v>
      </c>
      <c r="O14" s="10">
        <v>2.15</v>
      </c>
      <c r="P14" s="10">
        <v>2.15</v>
      </c>
    </row>
    <row r="15" spans="1:19" x14ac:dyDescent="0.3">
      <c r="A15" s="20"/>
      <c r="B15" s="20"/>
      <c r="C15" s="20"/>
      <c r="D15" s="20"/>
      <c r="E15" s="12" t="s">
        <v>123</v>
      </c>
      <c r="F15" s="10">
        <v>0.114</v>
      </c>
      <c r="G15" s="10">
        <v>0.114</v>
      </c>
      <c r="H15" s="10">
        <v>0.114</v>
      </c>
      <c r="I15" s="10">
        <v>0.114</v>
      </c>
      <c r="J15" s="10">
        <v>0.114</v>
      </c>
      <c r="K15" s="10">
        <v>0.114</v>
      </c>
      <c r="L15" s="10">
        <v>0.114</v>
      </c>
      <c r="M15" s="10">
        <v>0.114</v>
      </c>
      <c r="N15" s="10">
        <v>0.114</v>
      </c>
      <c r="O15" s="10">
        <v>0.114</v>
      </c>
      <c r="P15" s="10">
        <v>0.114</v>
      </c>
    </row>
    <row r="16" spans="1:19" x14ac:dyDescent="0.3">
      <c r="A16" s="20"/>
      <c r="B16" s="20"/>
      <c r="C16" s="20"/>
      <c r="D16" s="20"/>
      <c r="E16" s="12" t="s">
        <v>63</v>
      </c>
      <c r="F16" s="10">
        <v>-9.6999999999999989E-2</v>
      </c>
      <c r="G16" s="10">
        <v>-9.6999999999999989E-2</v>
      </c>
      <c r="H16" s="10">
        <v>-9.6999999999999989E-2</v>
      </c>
      <c r="I16" s="10">
        <v>-9.6999999999999989E-2</v>
      </c>
      <c r="J16" s="10">
        <v>-9.6999999999999989E-2</v>
      </c>
      <c r="K16" s="10">
        <v>-9.6999999999999989E-2</v>
      </c>
      <c r="L16" s="10">
        <v>-9.6999999999999989E-2</v>
      </c>
      <c r="M16" s="10">
        <v>-9.6999999999999989E-2</v>
      </c>
      <c r="N16" s="10">
        <v>-9.6999999999999989E-2</v>
      </c>
      <c r="O16" s="10">
        <v>-9.6999999999999989E-2</v>
      </c>
      <c r="P16" s="10">
        <v>-9.6999999999999989E-2</v>
      </c>
    </row>
    <row r="17" spans="1:16" x14ac:dyDescent="0.3">
      <c r="A17" s="20"/>
      <c r="B17" s="20"/>
      <c r="C17" s="20"/>
      <c r="D17" s="20"/>
      <c r="E17" s="12" t="s">
        <v>68</v>
      </c>
      <c r="F17" s="10">
        <v>-0.33</v>
      </c>
      <c r="G17" s="10">
        <v>-0.33</v>
      </c>
      <c r="H17" s="10">
        <v>-0.33</v>
      </c>
      <c r="I17" s="10">
        <v>-0.33</v>
      </c>
      <c r="J17" s="10">
        <v>-0.33</v>
      </c>
      <c r="K17" s="10">
        <v>-0.33</v>
      </c>
      <c r="L17" s="10">
        <v>-0.33</v>
      </c>
      <c r="M17" s="10">
        <v>-0.33</v>
      </c>
      <c r="N17" s="10">
        <v>-0.33</v>
      </c>
      <c r="O17" s="10">
        <v>-0.33</v>
      </c>
      <c r="P17" s="10">
        <v>-0.33</v>
      </c>
    </row>
    <row r="18" spans="1:16" x14ac:dyDescent="0.3">
      <c r="A18" s="20"/>
      <c r="B18" s="20"/>
      <c r="C18" s="20"/>
      <c r="D18" s="12" t="s">
        <v>125</v>
      </c>
      <c r="E18" s="12" t="s">
        <v>40</v>
      </c>
      <c r="F18" s="10">
        <v>-81.512</v>
      </c>
      <c r="G18" s="10">
        <v>-81.512</v>
      </c>
      <c r="H18" s="10">
        <v>-81.512</v>
      </c>
      <c r="I18" s="10">
        <v>-81.512</v>
      </c>
      <c r="J18" s="10">
        <v>-81.512</v>
      </c>
      <c r="K18" s="10">
        <v>-81.512</v>
      </c>
      <c r="L18" s="10">
        <v>-81.512</v>
      </c>
      <c r="M18" s="10">
        <v>-81.512</v>
      </c>
      <c r="N18" s="10">
        <v>-81.512</v>
      </c>
      <c r="O18" s="10">
        <v>-81.512</v>
      </c>
      <c r="P18" s="10">
        <v>-81.512</v>
      </c>
    </row>
    <row r="19" spans="1:16" x14ac:dyDescent="0.3">
      <c r="A19" s="20" t="s">
        <v>44</v>
      </c>
      <c r="B19" s="20" t="s">
        <v>94</v>
      </c>
      <c r="C19" s="20" t="s">
        <v>94</v>
      </c>
      <c r="D19" s="20" t="s">
        <v>120</v>
      </c>
      <c r="E19" s="12" t="s">
        <v>121</v>
      </c>
      <c r="F19" s="10">
        <v>1.5409999999999999</v>
      </c>
      <c r="G19" s="10">
        <v>1.5409999999999999</v>
      </c>
      <c r="H19" s="10">
        <v>1.5409999999999999</v>
      </c>
      <c r="I19" s="10">
        <v>1.5409999999999999</v>
      </c>
      <c r="J19" s="10">
        <v>1.5409999999999999</v>
      </c>
      <c r="K19" s="10">
        <v>1.5409999999999999</v>
      </c>
      <c r="L19" s="10">
        <v>1.5409999999999999</v>
      </c>
      <c r="M19" s="10">
        <v>1.5409999999999999</v>
      </c>
      <c r="N19" s="10">
        <v>1.5409999999999999</v>
      </c>
      <c r="O19" s="10">
        <v>1.5409999999999999</v>
      </c>
      <c r="P19" s="10">
        <v>1.5409999999999999</v>
      </c>
    </row>
    <row r="20" spans="1:16" x14ac:dyDescent="0.3">
      <c r="A20" s="20"/>
      <c r="B20" s="20"/>
      <c r="C20" s="20"/>
      <c r="D20" s="20"/>
      <c r="E20" s="12" t="s">
        <v>123</v>
      </c>
      <c r="F20" s="10">
        <v>-0.11700000000000001</v>
      </c>
      <c r="G20" s="10">
        <v>-0.11700000000000001</v>
      </c>
      <c r="H20" s="10">
        <v>-0.11700000000000001</v>
      </c>
      <c r="I20" s="10">
        <v>-0.11700000000000001</v>
      </c>
      <c r="J20" s="10">
        <v>-0.11700000000000001</v>
      </c>
      <c r="K20" s="10">
        <v>-0.11700000000000001</v>
      </c>
      <c r="L20" s="10">
        <v>-0.11700000000000001</v>
      </c>
      <c r="M20" s="10">
        <v>-0.11700000000000001</v>
      </c>
      <c r="N20" s="10">
        <v>-0.11700000000000001</v>
      </c>
      <c r="O20" s="10">
        <v>-0.11700000000000001</v>
      </c>
      <c r="P20" s="10">
        <v>-0.11700000000000001</v>
      </c>
    </row>
    <row r="21" spans="1:16" x14ac:dyDescent="0.3">
      <c r="A21" s="20" t="s">
        <v>45</v>
      </c>
      <c r="B21" s="20" t="s">
        <v>94</v>
      </c>
      <c r="C21" s="20" t="s">
        <v>94</v>
      </c>
      <c r="D21" s="20" t="s">
        <v>120</v>
      </c>
      <c r="E21" s="12" t="s">
        <v>121</v>
      </c>
      <c r="F21" s="10">
        <v>1.5409999999999999</v>
      </c>
      <c r="G21" s="10">
        <v>1.5409999999999999</v>
      </c>
      <c r="H21" s="10">
        <v>1.5409999999999999</v>
      </c>
      <c r="I21" s="10">
        <v>1.5409999999999999</v>
      </c>
      <c r="J21" s="10">
        <v>1.5409999999999999</v>
      </c>
      <c r="K21" s="10">
        <v>1.5409999999999999</v>
      </c>
      <c r="L21" s="10">
        <v>1.5409999999999999</v>
      </c>
      <c r="M21" s="10">
        <v>1.5409999999999999</v>
      </c>
      <c r="N21" s="10">
        <v>1.5409999999999999</v>
      </c>
      <c r="O21" s="10">
        <v>1.5409999999999999</v>
      </c>
      <c r="P21" s="10">
        <v>1.5409999999999999</v>
      </c>
    </row>
    <row r="22" spans="1:16" x14ac:dyDescent="0.3">
      <c r="A22" s="20"/>
      <c r="B22" s="20"/>
      <c r="C22" s="20"/>
      <c r="D22" s="20"/>
      <c r="E22" s="12" t="s">
        <v>123</v>
      </c>
      <c r="F22" s="10">
        <v>-2.8000000000000001E-2</v>
      </c>
      <c r="G22" s="10">
        <v>-2.8000000000000001E-2</v>
      </c>
      <c r="H22" s="10">
        <v>-2.8000000000000001E-2</v>
      </c>
      <c r="I22" s="10">
        <v>-2.8000000000000001E-2</v>
      </c>
      <c r="J22" s="10">
        <v>-2.8000000000000001E-2</v>
      </c>
      <c r="K22" s="10">
        <v>-2.8000000000000001E-2</v>
      </c>
      <c r="L22" s="10">
        <v>-2.8000000000000001E-2</v>
      </c>
      <c r="M22" s="10">
        <v>-2.8000000000000001E-2</v>
      </c>
      <c r="N22" s="10">
        <v>-2.8000000000000001E-2</v>
      </c>
      <c r="O22" s="10">
        <v>-2.8000000000000001E-2</v>
      </c>
      <c r="P22" s="10">
        <v>-2.8000000000000001E-2</v>
      </c>
    </row>
    <row r="23" spans="1:16" x14ac:dyDescent="0.3">
      <c r="A23" s="20"/>
      <c r="B23" s="20"/>
      <c r="C23" s="20"/>
      <c r="D23" s="12" t="s">
        <v>125</v>
      </c>
      <c r="E23" s="12" t="s">
        <v>40</v>
      </c>
      <c r="F23" s="10">
        <v>-73.900000000000006</v>
      </c>
      <c r="G23" s="10">
        <v>-73.900000000000006</v>
      </c>
      <c r="H23" s="10">
        <v>-73.900000000000006</v>
      </c>
      <c r="I23" s="10">
        <v>-73.900000000000006</v>
      </c>
      <c r="J23" s="10">
        <v>-73.900000000000006</v>
      </c>
      <c r="K23" s="10">
        <v>-73.900000000000006</v>
      </c>
      <c r="L23" s="10">
        <v>-73.900000000000006</v>
      </c>
      <c r="M23" s="10">
        <v>-73.900000000000006</v>
      </c>
      <c r="N23" s="10">
        <v>-73.900000000000006</v>
      </c>
      <c r="O23" s="10">
        <v>-73.900000000000006</v>
      </c>
      <c r="P23" s="10">
        <v>-73.900000000000006</v>
      </c>
    </row>
    <row r="24" spans="1:16" x14ac:dyDescent="0.3">
      <c r="A24" s="12" t="s">
        <v>57</v>
      </c>
      <c r="B24" s="12" t="s">
        <v>94</v>
      </c>
      <c r="C24" s="12" t="s">
        <v>94</v>
      </c>
      <c r="D24" s="12" t="s">
        <v>120</v>
      </c>
      <c r="E24" s="12" t="s">
        <v>123</v>
      </c>
      <c r="F24" s="10">
        <v>1.377</v>
      </c>
      <c r="G24" s="10">
        <v>1.377</v>
      </c>
      <c r="H24" s="10">
        <v>1.377</v>
      </c>
      <c r="I24" s="10">
        <v>1.377</v>
      </c>
      <c r="J24" s="10">
        <v>1.377</v>
      </c>
      <c r="K24" s="10">
        <v>1.377</v>
      </c>
      <c r="L24" s="10">
        <v>1.377</v>
      </c>
      <c r="M24" s="10">
        <v>1.377</v>
      </c>
      <c r="N24" s="10">
        <v>1.377</v>
      </c>
      <c r="O24" s="10">
        <v>1.377</v>
      </c>
      <c r="P24" s="10">
        <v>1.377</v>
      </c>
    </row>
    <row r="25" spans="1:16" x14ac:dyDescent="0.3">
      <c r="A25" s="20" t="s">
        <v>53</v>
      </c>
      <c r="B25" s="20" t="s">
        <v>94</v>
      </c>
      <c r="C25" s="20" t="s">
        <v>94</v>
      </c>
      <c r="D25" s="20" t="s">
        <v>120</v>
      </c>
      <c r="E25" s="12" t="s">
        <v>129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2</v>
      </c>
      <c r="L25" s="10">
        <v>2</v>
      </c>
      <c r="M25" s="10">
        <v>2</v>
      </c>
      <c r="N25" s="10">
        <v>2</v>
      </c>
      <c r="O25" s="10">
        <v>2</v>
      </c>
      <c r="P25" s="10">
        <v>2</v>
      </c>
    </row>
    <row r="26" spans="1:16" x14ac:dyDescent="0.3">
      <c r="A26" s="20"/>
      <c r="B26" s="20"/>
      <c r="C26" s="20"/>
      <c r="D26" s="20"/>
      <c r="E26" s="12" t="s">
        <v>43</v>
      </c>
      <c r="F26" s="10">
        <v>2.5000000000000001E-2</v>
      </c>
      <c r="G26" s="10">
        <v>2.5000000000000001E-2</v>
      </c>
      <c r="H26" s="10">
        <v>2.5000000000000001E-2</v>
      </c>
      <c r="I26" s="10">
        <v>2.5000000000000001E-2</v>
      </c>
      <c r="J26" s="10">
        <v>2.5000000000000001E-2</v>
      </c>
      <c r="K26" s="10">
        <v>2.5000000000000001E-2</v>
      </c>
      <c r="L26" s="10">
        <v>2.5000000000000001E-2</v>
      </c>
      <c r="M26" s="10">
        <v>2.5000000000000001E-2</v>
      </c>
      <c r="N26" s="10">
        <v>2.5000000000000001E-2</v>
      </c>
      <c r="O26" s="10">
        <v>2.5000000000000001E-2</v>
      </c>
      <c r="P26" s="10">
        <v>2.5000000000000001E-2</v>
      </c>
    </row>
    <row r="27" spans="1:16" x14ac:dyDescent="0.3">
      <c r="A27" s="20"/>
      <c r="B27" s="20"/>
      <c r="C27" s="20"/>
      <c r="D27" s="20"/>
      <c r="E27" s="12" t="s">
        <v>47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</row>
    <row r="28" spans="1:16" x14ac:dyDescent="0.3">
      <c r="A28" s="20"/>
      <c r="B28" s="20"/>
      <c r="C28" s="20"/>
      <c r="D28" s="20"/>
      <c r="E28" s="12" t="s">
        <v>123</v>
      </c>
      <c r="F28" s="10">
        <v>3.4000000000000002E-2</v>
      </c>
      <c r="G28" s="10">
        <v>3.4000000000000002E-2</v>
      </c>
      <c r="H28" s="10">
        <v>3.4000000000000002E-2</v>
      </c>
      <c r="I28" s="10">
        <v>3.4000000000000002E-2</v>
      </c>
      <c r="J28" s="10">
        <v>3.4000000000000002E-2</v>
      </c>
      <c r="K28" s="10">
        <v>3.4000000000000002E-2</v>
      </c>
      <c r="L28" s="10">
        <v>3.4000000000000002E-2</v>
      </c>
      <c r="M28" s="10">
        <v>3.4000000000000002E-2</v>
      </c>
      <c r="N28" s="10">
        <v>3.4000000000000002E-2</v>
      </c>
      <c r="O28" s="10">
        <v>3.4000000000000002E-2</v>
      </c>
      <c r="P28" s="10">
        <v>3.4000000000000002E-2</v>
      </c>
    </row>
    <row r="29" spans="1:16" x14ac:dyDescent="0.3">
      <c r="A29" s="20"/>
      <c r="B29" s="20"/>
      <c r="C29" s="20"/>
      <c r="D29" s="20"/>
      <c r="E29" s="12" t="s">
        <v>63</v>
      </c>
      <c r="F29" s="10">
        <v>0.29799999999999999</v>
      </c>
      <c r="G29" s="10">
        <v>0.29799999999999999</v>
      </c>
      <c r="H29" s="10">
        <v>0.29799999999999999</v>
      </c>
      <c r="I29" s="10">
        <v>0.29799999999999999</v>
      </c>
      <c r="J29" s="10">
        <v>0.29799999999999999</v>
      </c>
      <c r="K29" s="10">
        <v>0.29799999999999999</v>
      </c>
      <c r="L29" s="10">
        <v>0.29799999999999999</v>
      </c>
      <c r="M29" s="10">
        <v>0.29799999999999999</v>
      </c>
      <c r="N29" s="10">
        <v>0.29799999999999999</v>
      </c>
      <c r="O29" s="10">
        <v>0.29799999999999999</v>
      </c>
      <c r="P29" s="10">
        <v>0.29799999999999999</v>
      </c>
    </row>
    <row r="30" spans="1:16" x14ac:dyDescent="0.3">
      <c r="A30" s="12" t="s">
        <v>41</v>
      </c>
      <c r="B30" s="12" t="s">
        <v>94</v>
      </c>
      <c r="C30" s="12" t="s">
        <v>94</v>
      </c>
      <c r="D30" s="12" t="s">
        <v>130</v>
      </c>
      <c r="E30" s="12" t="s">
        <v>123</v>
      </c>
      <c r="F30" s="10">
        <v>6.0000000000000001E-3</v>
      </c>
      <c r="G30" s="10">
        <v>6.0000000000000001E-3</v>
      </c>
      <c r="H30" s="10">
        <v>6.0000000000000001E-3</v>
      </c>
      <c r="I30" s="10">
        <v>6.0000000000000001E-3</v>
      </c>
      <c r="J30" s="10">
        <v>6.0000000000000001E-3</v>
      </c>
      <c r="K30" s="10">
        <v>6.0000000000000001E-3</v>
      </c>
      <c r="L30" s="10">
        <v>6.0000000000000001E-3</v>
      </c>
      <c r="M30" s="10">
        <v>6.0000000000000001E-3</v>
      </c>
      <c r="N30" s="10">
        <v>6.0000000000000001E-3</v>
      </c>
      <c r="O30" s="10">
        <v>6.0000000000000001E-3</v>
      </c>
      <c r="P30" s="10">
        <v>6.0000000000000001E-3</v>
      </c>
    </row>
    <row r="31" spans="1:16" x14ac:dyDescent="0.3">
      <c r="A31" s="12" t="s">
        <v>69</v>
      </c>
      <c r="B31" s="12" t="s">
        <v>94</v>
      </c>
      <c r="C31" s="12" t="s">
        <v>94</v>
      </c>
      <c r="D31" s="12" t="s">
        <v>120</v>
      </c>
      <c r="E31" s="12" t="s">
        <v>123</v>
      </c>
      <c r="F31" s="10">
        <v>1.0349999999999999</v>
      </c>
      <c r="G31" s="10">
        <v>1.0349999999999999</v>
      </c>
      <c r="H31" s="10">
        <v>1.0349999999999999</v>
      </c>
      <c r="I31" s="10">
        <v>1.0349999999999999</v>
      </c>
      <c r="J31" s="10">
        <v>1.0349999999999999</v>
      </c>
      <c r="K31" s="10">
        <v>1.0349999999999999</v>
      </c>
      <c r="L31" s="10">
        <v>1.0349999999999999</v>
      </c>
      <c r="M31" s="10">
        <v>1.0349999999999999</v>
      </c>
      <c r="N31" s="10">
        <v>1.0349999999999999</v>
      </c>
      <c r="O31" s="10">
        <v>1.0349999999999999</v>
      </c>
      <c r="P31" s="10">
        <v>1.0349999999999999</v>
      </c>
    </row>
    <row r="32" spans="1:16" x14ac:dyDescent="0.3">
      <c r="A32" s="20" t="s">
        <v>58</v>
      </c>
      <c r="B32" s="20" t="s">
        <v>94</v>
      </c>
      <c r="C32" s="20" t="s">
        <v>94</v>
      </c>
      <c r="D32" s="20" t="s">
        <v>120</v>
      </c>
      <c r="E32" s="12" t="s">
        <v>123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</row>
    <row r="33" spans="1:16" x14ac:dyDescent="0.3">
      <c r="A33" s="20"/>
      <c r="B33" s="20"/>
      <c r="C33" s="20"/>
      <c r="D33" s="20"/>
      <c r="E33" s="12" t="s">
        <v>63</v>
      </c>
      <c r="F33" s="10">
        <v>1.3129999999999999</v>
      </c>
      <c r="G33" s="10">
        <v>1.3129999999999999</v>
      </c>
      <c r="H33" s="10">
        <v>1.3129999999999999</v>
      </c>
      <c r="I33" s="10">
        <v>1.3129999999999999</v>
      </c>
      <c r="J33" s="10">
        <v>1.3129999999999999</v>
      </c>
      <c r="K33" s="10">
        <v>1.3129999999999999</v>
      </c>
      <c r="L33" s="10">
        <v>1.3129999999999999</v>
      </c>
      <c r="M33" s="10">
        <v>1.3129999999999999</v>
      </c>
      <c r="N33" s="10">
        <v>1.3129999999999999</v>
      </c>
      <c r="O33" s="10">
        <v>1.3129999999999999</v>
      </c>
      <c r="P33" s="10">
        <v>1.3129999999999999</v>
      </c>
    </row>
    <row r="34" spans="1:16" x14ac:dyDescent="0.3">
      <c r="A34" s="20" t="s">
        <v>106</v>
      </c>
      <c r="B34" s="20" t="s">
        <v>94</v>
      </c>
      <c r="C34" s="20" t="s">
        <v>94</v>
      </c>
      <c r="D34" s="20" t="s">
        <v>120</v>
      </c>
      <c r="E34" s="12" t="s">
        <v>123</v>
      </c>
      <c r="F34" s="10">
        <v>2.4E-2</v>
      </c>
      <c r="G34" s="10">
        <v>2.4E-2</v>
      </c>
      <c r="H34" s="10">
        <v>2.4E-2</v>
      </c>
      <c r="I34" s="10">
        <v>2.4E-2</v>
      </c>
      <c r="J34" s="10">
        <v>2.4E-2</v>
      </c>
      <c r="K34" s="10">
        <v>2.4E-2</v>
      </c>
      <c r="L34" s="10">
        <v>2.4E-2</v>
      </c>
      <c r="M34" s="10">
        <v>2.4E-2</v>
      </c>
      <c r="N34" s="10">
        <v>2.4E-2</v>
      </c>
      <c r="O34" s="10">
        <v>2.4E-2</v>
      </c>
      <c r="P34" s="10">
        <v>2.4E-2</v>
      </c>
    </row>
    <row r="35" spans="1:16" x14ac:dyDescent="0.3">
      <c r="A35" s="20"/>
      <c r="B35" s="20"/>
      <c r="C35" s="20"/>
      <c r="D35" s="20"/>
      <c r="E35" s="12" t="s">
        <v>63</v>
      </c>
      <c r="F35" s="10">
        <v>1.446</v>
      </c>
      <c r="G35" s="10">
        <v>1.446</v>
      </c>
      <c r="H35" s="10">
        <v>1.446</v>
      </c>
      <c r="I35" s="10">
        <v>1.446</v>
      </c>
      <c r="J35" s="10">
        <v>1.446</v>
      </c>
      <c r="K35" s="10">
        <v>1.446</v>
      </c>
      <c r="L35" s="10">
        <v>1.446</v>
      </c>
      <c r="M35" s="10">
        <v>1.446</v>
      </c>
      <c r="N35" s="10">
        <v>1.446</v>
      </c>
      <c r="O35" s="10">
        <v>1.446</v>
      </c>
      <c r="P35" s="10">
        <v>1.446</v>
      </c>
    </row>
    <row r="36" spans="1:16" x14ac:dyDescent="0.3">
      <c r="A36" s="20"/>
      <c r="B36" s="20"/>
      <c r="C36" s="20"/>
      <c r="D36" s="12" t="s">
        <v>125</v>
      </c>
      <c r="E36" s="12" t="s">
        <v>40</v>
      </c>
      <c r="F36" s="10">
        <v>-65.427999999999997</v>
      </c>
      <c r="G36" s="10">
        <v>-65.427999999999997</v>
      </c>
      <c r="H36" s="10">
        <v>-65.427999999999997</v>
      </c>
      <c r="I36" s="10">
        <v>-65.427999999999997</v>
      </c>
      <c r="J36" s="10">
        <v>-65.427999999999997</v>
      </c>
      <c r="K36" s="10">
        <v>-65.427999999999997</v>
      </c>
      <c r="L36" s="10">
        <v>-65.427999999999997</v>
      </c>
      <c r="M36" s="10">
        <v>-65.427999999999997</v>
      </c>
      <c r="N36" s="10">
        <v>-65.427999999999997</v>
      </c>
      <c r="O36" s="10">
        <v>-65.427999999999997</v>
      </c>
      <c r="P36" s="10">
        <v>-65.427999999999997</v>
      </c>
    </row>
    <row r="37" spans="1:16" x14ac:dyDescent="0.3">
      <c r="A37" s="12" t="s">
        <v>70</v>
      </c>
      <c r="B37" s="12" t="s">
        <v>94</v>
      </c>
      <c r="C37" s="12" t="s">
        <v>94</v>
      </c>
      <c r="D37" s="12" t="s">
        <v>120</v>
      </c>
      <c r="E37" s="12" t="s">
        <v>43</v>
      </c>
      <c r="F37" s="10">
        <v>1.4</v>
      </c>
      <c r="G37" s="10">
        <v>1.4</v>
      </c>
      <c r="H37" s="10">
        <v>1.4</v>
      </c>
      <c r="I37" s="10">
        <v>1.4</v>
      </c>
      <c r="J37" s="10">
        <v>1.4</v>
      </c>
      <c r="K37" s="10">
        <v>1.4</v>
      </c>
      <c r="L37" s="10">
        <v>1.4</v>
      </c>
      <c r="M37" s="10">
        <v>1.4</v>
      </c>
      <c r="N37" s="10">
        <v>1.4</v>
      </c>
      <c r="O37" s="10">
        <v>1.4</v>
      </c>
      <c r="P37" s="10">
        <v>1.4</v>
      </c>
    </row>
    <row r="38" spans="1:16" x14ac:dyDescent="0.3">
      <c r="A38" s="12" t="s">
        <v>71</v>
      </c>
      <c r="B38" s="12" t="s">
        <v>94</v>
      </c>
      <c r="C38" s="12" t="s">
        <v>94</v>
      </c>
      <c r="D38" s="12" t="s">
        <v>120</v>
      </c>
      <c r="E38" s="12" t="s">
        <v>47</v>
      </c>
      <c r="F38" s="10">
        <v>1.0529999999999999</v>
      </c>
      <c r="G38" s="10">
        <v>1.0529999999999999</v>
      </c>
      <c r="H38" s="10">
        <v>1.0529999999999999</v>
      </c>
      <c r="I38" s="10">
        <v>1.0529999999999999</v>
      </c>
      <c r="J38" s="10">
        <v>1.0529999999999999</v>
      </c>
      <c r="K38" s="10">
        <v>1.0529999999999999</v>
      </c>
      <c r="L38" s="10">
        <v>1.0529999999999999</v>
      </c>
      <c r="M38" s="10">
        <v>1.0529999999999999</v>
      </c>
      <c r="N38" s="10">
        <v>1.0529999999999999</v>
      </c>
      <c r="O38" s="10">
        <v>1.0529999999999999</v>
      </c>
      <c r="P38" s="10">
        <v>1.0529999999999999</v>
      </c>
    </row>
    <row r="39" spans="1:16" x14ac:dyDescent="0.3">
      <c r="A39" s="20" t="s">
        <v>72</v>
      </c>
      <c r="B39" s="20" t="s">
        <v>94</v>
      </c>
      <c r="C39" s="20" t="s">
        <v>94</v>
      </c>
      <c r="D39" s="20" t="s">
        <v>120</v>
      </c>
      <c r="E39" s="12" t="s">
        <v>123</v>
      </c>
      <c r="F39" s="10">
        <v>1E-3</v>
      </c>
      <c r="G39" s="10">
        <v>1E-3</v>
      </c>
      <c r="H39" s="10">
        <v>1E-3</v>
      </c>
      <c r="I39" s="10">
        <v>1E-3</v>
      </c>
      <c r="J39" s="10">
        <v>1E-3</v>
      </c>
      <c r="K39" s="10">
        <v>1E-3</v>
      </c>
      <c r="L39" s="10">
        <v>1E-3</v>
      </c>
      <c r="M39" s="10">
        <v>1E-3</v>
      </c>
      <c r="N39" s="10">
        <v>1E-3</v>
      </c>
      <c r="O39" s="10">
        <v>1E-3</v>
      </c>
      <c r="P39" s="10">
        <v>1E-3</v>
      </c>
    </row>
    <row r="40" spans="1:16" x14ac:dyDescent="0.3">
      <c r="A40" s="20"/>
      <c r="B40" s="20"/>
      <c r="C40" s="20"/>
      <c r="D40" s="20"/>
      <c r="E40" s="12" t="s">
        <v>54</v>
      </c>
      <c r="F40" s="10">
        <v>1.077</v>
      </c>
      <c r="G40" s="10">
        <v>1.077</v>
      </c>
      <c r="H40" s="10">
        <v>1.077</v>
      </c>
      <c r="I40" s="10">
        <v>1.077</v>
      </c>
      <c r="J40" s="10">
        <v>1.077</v>
      </c>
      <c r="K40" s="10">
        <v>1.077</v>
      </c>
      <c r="L40" s="10">
        <v>1.077</v>
      </c>
      <c r="M40" s="10">
        <v>1.077</v>
      </c>
      <c r="N40" s="10">
        <v>1.077</v>
      </c>
      <c r="O40" s="10">
        <v>1.077</v>
      </c>
      <c r="P40" s="10">
        <v>1.077</v>
      </c>
    </row>
    <row r="41" spans="1:16" x14ac:dyDescent="0.3">
      <c r="A41" s="12" t="s">
        <v>73</v>
      </c>
      <c r="B41" s="12" t="s">
        <v>94</v>
      </c>
      <c r="C41" s="12" t="s">
        <v>94</v>
      </c>
      <c r="D41" s="12" t="s">
        <v>120</v>
      </c>
      <c r="E41" s="12" t="s">
        <v>60</v>
      </c>
      <c r="F41" s="10">
        <v>1.052</v>
      </c>
      <c r="G41" s="10">
        <v>1.052</v>
      </c>
      <c r="H41" s="10">
        <v>1.052</v>
      </c>
      <c r="I41" s="10">
        <v>1.052</v>
      </c>
      <c r="J41" s="10">
        <v>1.052</v>
      </c>
      <c r="K41" s="10">
        <v>1.052</v>
      </c>
      <c r="L41" s="10">
        <v>1.052</v>
      </c>
      <c r="M41" s="10">
        <v>1.052</v>
      </c>
      <c r="N41" s="10">
        <v>1.052</v>
      </c>
      <c r="O41" s="10">
        <v>1.052</v>
      </c>
      <c r="P41" s="10">
        <v>1.052</v>
      </c>
    </row>
    <row r="42" spans="1:16" x14ac:dyDescent="0.3">
      <c r="A42" s="12" t="s">
        <v>74</v>
      </c>
      <c r="B42" s="12" t="s">
        <v>94</v>
      </c>
      <c r="C42" s="12" t="s">
        <v>94</v>
      </c>
      <c r="D42" s="12" t="s">
        <v>120</v>
      </c>
      <c r="E42" s="12" t="s">
        <v>61</v>
      </c>
      <c r="F42" s="10">
        <v>1.0529999999999999</v>
      </c>
      <c r="G42" s="10">
        <v>1.0529999999999999</v>
      </c>
      <c r="H42" s="10">
        <v>1.0529999999999999</v>
      </c>
      <c r="I42" s="10">
        <v>1.0529999999999999</v>
      </c>
      <c r="J42" s="10">
        <v>1.0529999999999999</v>
      </c>
      <c r="K42" s="10">
        <v>1.0529999999999999</v>
      </c>
      <c r="L42" s="10">
        <v>1.0529999999999999</v>
      </c>
      <c r="M42" s="10">
        <v>1.0529999999999999</v>
      </c>
      <c r="N42" s="10">
        <v>1.0529999999999999</v>
      </c>
      <c r="O42" s="10">
        <v>1.0529999999999999</v>
      </c>
      <c r="P42" s="10">
        <v>1.0529999999999999</v>
      </c>
    </row>
    <row r="43" spans="1:16" x14ac:dyDescent="0.3">
      <c r="A43" s="12" t="s">
        <v>75</v>
      </c>
      <c r="B43" s="12" t="s">
        <v>94</v>
      </c>
      <c r="C43" s="12" t="s">
        <v>94</v>
      </c>
      <c r="D43" s="12" t="s">
        <v>120</v>
      </c>
      <c r="E43" s="12" t="s">
        <v>62</v>
      </c>
      <c r="F43" s="10">
        <v>1.111</v>
      </c>
      <c r="G43" s="10">
        <v>1.111</v>
      </c>
      <c r="H43" s="10">
        <v>1.111</v>
      </c>
      <c r="I43" s="10">
        <v>1.111</v>
      </c>
      <c r="J43" s="10">
        <v>1.111</v>
      </c>
      <c r="K43" s="10">
        <v>1.111</v>
      </c>
      <c r="L43" s="10">
        <v>1.111</v>
      </c>
      <c r="M43" s="10">
        <v>1.111</v>
      </c>
      <c r="N43" s="10">
        <v>1.111</v>
      </c>
      <c r="O43" s="10">
        <v>1.111</v>
      </c>
      <c r="P43" s="10">
        <v>1.111</v>
      </c>
    </row>
    <row r="44" spans="1:16" x14ac:dyDescent="0.3">
      <c r="A44" s="20" t="s">
        <v>76</v>
      </c>
      <c r="B44" s="20" t="s">
        <v>94</v>
      </c>
      <c r="C44" s="20" t="s">
        <v>94</v>
      </c>
      <c r="D44" s="20" t="s">
        <v>120</v>
      </c>
      <c r="E44" s="12" t="s">
        <v>123</v>
      </c>
      <c r="F44" s="10">
        <v>1E-3</v>
      </c>
      <c r="G44" s="10">
        <v>1E-3</v>
      </c>
      <c r="H44" s="10">
        <v>1E-3</v>
      </c>
      <c r="I44" s="10">
        <v>1E-3</v>
      </c>
      <c r="J44" s="10">
        <v>1E-3</v>
      </c>
      <c r="K44" s="10">
        <v>1E-3</v>
      </c>
      <c r="L44" s="10">
        <v>1E-3</v>
      </c>
      <c r="M44" s="10">
        <v>1E-3</v>
      </c>
      <c r="N44" s="10">
        <v>1E-3</v>
      </c>
      <c r="O44" s="10">
        <v>1E-3</v>
      </c>
      <c r="P44" s="10">
        <v>1E-3</v>
      </c>
    </row>
    <row r="45" spans="1:16" x14ac:dyDescent="0.3">
      <c r="A45" s="20"/>
      <c r="B45" s="20"/>
      <c r="C45" s="20"/>
      <c r="D45" s="20"/>
      <c r="E45" s="12" t="s">
        <v>63</v>
      </c>
      <c r="F45" s="10">
        <v>1.077</v>
      </c>
      <c r="G45" s="10">
        <v>1.077</v>
      </c>
      <c r="H45" s="10">
        <v>1.077</v>
      </c>
      <c r="I45" s="10">
        <v>1.077</v>
      </c>
      <c r="J45" s="10">
        <v>1.077</v>
      </c>
      <c r="K45" s="10">
        <v>1.077</v>
      </c>
      <c r="L45" s="10">
        <v>1.077</v>
      </c>
      <c r="M45" s="10">
        <v>1.077</v>
      </c>
      <c r="N45" s="10">
        <v>1.077</v>
      </c>
      <c r="O45" s="10">
        <v>1.077</v>
      </c>
      <c r="P45" s="10">
        <v>1.077</v>
      </c>
    </row>
    <row r="46" spans="1:16" x14ac:dyDescent="0.3">
      <c r="A46" s="12" t="s">
        <v>77</v>
      </c>
      <c r="B46" s="12" t="s">
        <v>94</v>
      </c>
      <c r="C46" s="12" t="s">
        <v>94</v>
      </c>
      <c r="D46" s="12" t="s">
        <v>120</v>
      </c>
      <c r="E46" s="12" t="s">
        <v>67</v>
      </c>
      <c r="F46" s="10">
        <v>1.0529999999999999</v>
      </c>
      <c r="G46" s="10">
        <v>1.0529999999999999</v>
      </c>
      <c r="H46" s="10">
        <v>1.0529999999999999</v>
      </c>
      <c r="I46" s="10">
        <v>1.0529999999999999</v>
      </c>
      <c r="J46" s="10">
        <v>1.0529999999999999</v>
      </c>
      <c r="K46" s="10">
        <v>1.0529999999999999</v>
      </c>
      <c r="L46" s="10">
        <v>1.0529999999999999</v>
      </c>
      <c r="M46" s="10">
        <v>1.0529999999999999</v>
      </c>
      <c r="N46" s="10">
        <v>1.0529999999999999</v>
      </c>
      <c r="O46" s="10">
        <v>1.0529999999999999</v>
      </c>
      <c r="P46" s="10">
        <v>1.0529999999999999</v>
      </c>
    </row>
    <row r="47" spans="1:16" x14ac:dyDescent="0.3">
      <c r="A47" s="20" t="s">
        <v>50</v>
      </c>
      <c r="B47" s="20" t="s">
        <v>94</v>
      </c>
      <c r="C47" s="20" t="s">
        <v>94</v>
      </c>
      <c r="D47" s="12" t="s">
        <v>120</v>
      </c>
      <c r="E47" s="12" t="s">
        <v>54</v>
      </c>
      <c r="F47" s="10">
        <v>1.47</v>
      </c>
      <c r="G47" s="10">
        <v>1.47</v>
      </c>
      <c r="H47" s="10">
        <v>1.47</v>
      </c>
      <c r="I47" s="10">
        <v>1.47</v>
      </c>
      <c r="J47" s="10">
        <v>1.47</v>
      </c>
      <c r="K47" s="10">
        <v>1.47</v>
      </c>
      <c r="L47" s="10">
        <v>1.47</v>
      </c>
      <c r="M47" s="10">
        <v>1.47</v>
      </c>
      <c r="N47" s="10">
        <v>1.47</v>
      </c>
      <c r="O47" s="10">
        <v>1.47</v>
      </c>
      <c r="P47" s="10">
        <v>1.47</v>
      </c>
    </row>
    <row r="48" spans="1:16" x14ac:dyDescent="0.3">
      <c r="A48" s="20"/>
      <c r="B48" s="20"/>
      <c r="C48" s="20"/>
      <c r="D48" s="12" t="s">
        <v>125</v>
      </c>
      <c r="E48" s="12" t="s">
        <v>40</v>
      </c>
      <c r="F48" s="10">
        <v>67.2</v>
      </c>
      <c r="G48" s="10">
        <v>67.2</v>
      </c>
      <c r="H48" s="10">
        <v>67.2</v>
      </c>
      <c r="I48" s="10">
        <v>67.2</v>
      </c>
      <c r="J48" s="10">
        <v>67.2</v>
      </c>
      <c r="K48" s="10">
        <v>67.2</v>
      </c>
      <c r="L48" s="10">
        <v>67.2</v>
      </c>
      <c r="M48" s="10">
        <v>67.2</v>
      </c>
      <c r="N48" s="10">
        <v>67.2</v>
      </c>
      <c r="O48" s="10">
        <v>67.2</v>
      </c>
      <c r="P48" s="10">
        <v>67.2</v>
      </c>
    </row>
    <row r="49" spans="1:16" x14ac:dyDescent="0.3">
      <c r="A49" s="20" t="s">
        <v>66</v>
      </c>
      <c r="B49" s="20" t="s">
        <v>94</v>
      </c>
      <c r="C49" s="20" t="s">
        <v>94</v>
      </c>
      <c r="D49" s="12" t="s">
        <v>120</v>
      </c>
      <c r="E49" s="12" t="s">
        <v>54</v>
      </c>
      <c r="F49" s="10">
        <v>1.25</v>
      </c>
      <c r="G49" s="10">
        <v>1.25</v>
      </c>
      <c r="H49" s="10">
        <v>1.25</v>
      </c>
      <c r="I49" s="10">
        <v>1.25</v>
      </c>
      <c r="J49" s="10">
        <v>1.25</v>
      </c>
      <c r="K49" s="10">
        <v>1.25</v>
      </c>
      <c r="L49" s="10">
        <v>1.25</v>
      </c>
      <c r="M49" s="10">
        <v>1.25</v>
      </c>
      <c r="N49" s="10">
        <v>1.25</v>
      </c>
      <c r="O49" s="10">
        <v>1.25</v>
      </c>
      <c r="P49" s="10">
        <v>1.25</v>
      </c>
    </row>
    <row r="50" spans="1:16" x14ac:dyDescent="0.3">
      <c r="A50" s="20"/>
      <c r="B50" s="20"/>
      <c r="C50" s="20"/>
      <c r="D50" s="12" t="s">
        <v>125</v>
      </c>
      <c r="E50" s="12" t="s">
        <v>40</v>
      </c>
      <c r="F50" s="10">
        <v>50.290999999999997</v>
      </c>
      <c r="G50" s="10">
        <v>50.290999999999997</v>
      </c>
      <c r="H50" s="10">
        <v>50.290999999999997</v>
      </c>
      <c r="I50" s="10">
        <v>50.290999999999997</v>
      </c>
      <c r="J50" s="10">
        <v>50.290999999999997</v>
      </c>
      <c r="K50" s="10">
        <v>50.290999999999997</v>
      </c>
      <c r="L50" s="10">
        <v>50.290999999999997</v>
      </c>
      <c r="M50" s="10">
        <v>50.290999999999997</v>
      </c>
      <c r="N50" s="10">
        <v>50.290999999999997</v>
      </c>
      <c r="O50" s="10">
        <v>50.290999999999997</v>
      </c>
      <c r="P50" s="10">
        <v>50.290999999999997</v>
      </c>
    </row>
    <row r="51" spans="1:16" x14ac:dyDescent="0.3">
      <c r="A51" s="20" t="s">
        <v>107</v>
      </c>
      <c r="B51" s="20" t="s">
        <v>94</v>
      </c>
      <c r="C51" s="20" t="s">
        <v>94</v>
      </c>
      <c r="D51" s="12" t="s">
        <v>120</v>
      </c>
      <c r="E51" s="12" t="s">
        <v>54</v>
      </c>
      <c r="F51" s="10">
        <v>1.351</v>
      </c>
      <c r="G51" s="10">
        <v>1.351</v>
      </c>
      <c r="H51" s="10">
        <v>1.351</v>
      </c>
      <c r="I51" s="10">
        <v>1.351</v>
      </c>
      <c r="J51" s="10">
        <v>1.351</v>
      </c>
      <c r="K51" s="10">
        <v>1.351</v>
      </c>
      <c r="L51" s="10">
        <v>1.351</v>
      </c>
      <c r="M51" s="10">
        <v>1.351</v>
      </c>
      <c r="N51" s="10">
        <v>1.351</v>
      </c>
      <c r="O51" s="10">
        <v>1.351</v>
      </c>
      <c r="P51" s="10">
        <v>1.351</v>
      </c>
    </row>
    <row r="52" spans="1:16" x14ac:dyDescent="0.3">
      <c r="A52" s="20"/>
      <c r="B52" s="20"/>
      <c r="C52" s="20"/>
      <c r="D52" s="12" t="s">
        <v>125</v>
      </c>
      <c r="E52" s="12" t="s">
        <v>40</v>
      </c>
      <c r="F52" s="10">
        <v>58.49</v>
      </c>
      <c r="G52" s="10">
        <v>58.49</v>
      </c>
      <c r="H52" s="10">
        <v>58.49</v>
      </c>
      <c r="I52" s="10">
        <v>58.49</v>
      </c>
      <c r="J52" s="10">
        <v>58.49</v>
      </c>
      <c r="K52" s="10">
        <v>58.49</v>
      </c>
      <c r="L52" s="10">
        <v>58.49</v>
      </c>
      <c r="M52" s="10">
        <v>58.49</v>
      </c>
      <c r="N52" s="10">
        <v>58.49</v>
      </c>
      <c r="O52" s="10">
        <v>58.49</v>
      </c>
      <c r="P52" s="10">
        <v>58.49</v>
      </c>
    </row>
  </sheetData>
  <mergeCells count="57">
    <mergeCell ref="A2:A4"/>
    <mergeCell ref="B2:B4"/>
    <mergeCell ref="C2:C4"/>
    <mergeCell ref="D2:D3"/>
    <mergeCell ref="A5:A6"/>
    <mergeCell ref="B5:B6"/>
    <mergeCell ref="C5:C6"/>
    <mergeCell ref="D5:D6"/>
    <mergeCell ref="A7:A9"/>
    <mergeCell ref="B7:B9"/>
    <mergeCell ref="C7:C9"/>
    <mergeCell ref="D7:D8"/>
    <mergeCell ref="A10:A13"/>
    <mergeCell ref="B10:B13"/>
    <mergeCell ref="C10:C13"/>
    <mergeCell ref="D10:D13"/>
    <mergeCell ref="A14:A18"/>
    <mergeCell ref="B14:B18"/>
    <mergeCell ref="C14:C18"/>
    <mergeCell ref="D14:D17"/>
    <mergeCell ref="A19:A20"/>
    <mergeCell ref="B19:B20"/>
    <mergeCell ref="C19:C20"/>
    <mergeCell ref="D19:D20"/>
    <mergeCell ref="A21:A23"/>
    <mergeCell ref="B21:B23"/>
    <mergeCell ref="C21:C23"/>
    <mergeCell ref="D21:D22"/>
    <mergeCell ref="A25:A29"/>
    <mergeCell ref="B25:B29"/>
    <mergeCell ref="C25:C29"/>
    <mergeCell ref="D25:D29"/>
    <mergeCell ref="A32:A33"/>
    <mergeCell ref="B32:B33"/>
    <mergeCell ref="C32:C33"/>
    <mergeCell ref="D32:D33"/>
    <mergeCell ref="A34:A36"/>
    <mergeCell ref="B34:B36"/>
    <mergeCell ref="C34:C36"/>
    <mergeCell ref="D34:D35"/>
    <mergeCell ref="A39:A40"/>
    <mergeCell ref="B39:B40"/>
    <mergeCell ref="C39:C40"/>
    <mergeCell ref="D39:D40"/>
    <mergeCell ref="A44:A45"/>
    <mergeCell ref="B44:B45"/>
    <mergeCell ref="C44:C45"/>
    <mergeCell ref="D44:D45"/>
    <mergeCell ref="A51:A52"/>
    <mergeCell ref="B51:B52"/>
    <mergeCell ref="C51:C52"/>
    <mergeCell ref="A47:A48"/>
    <mergeCell ref="B47:B48"/>
    <mergeCell ref="C47:C48"/>
    <mergeCell ref="A49:A50"/>
    <mergeCell ref="B49:B50"/>
    <mergeCell ref="C49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data</vt:lpstr>
      <vt:lpstr>RHG data</vt:lpstr>
      <vt:lpstr>Sector fuels</vt:lpstr>
      <vt:lpstr>conversion_blend_outputs</vt:lpstr>
      <vt:lpstr>conversion_capital_cost</vt:lpstr>
      <vt:lpstr>conversion_fixed_om</vt:lpstr>
      <vt:lpstr>conversion_variable_om</vt:lpstr>
      <vt:lpstr>conversion_efficiency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TROUVE Benjamin</cp:lastModifiedBy>
  <dcterms:created xsi:type="dcterms:W3CDTF">2005-06-03T09:41:13Z</dcterms:created>
  <dcterms:modified xsi:type="dcterms:W3CDTF">2024-09-27T15:07:36Z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760875880718231</vt:r8>
  </property>
</Properties>
</file>