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KiNESYS_29R_Jan2025\SubRes_Tmpl\"/>
    </mc:Choice>
  </mc:AlternateContent>
  <xr:revisionPtr revIDLastSave="0" documentId="13_ncr:1_{56C5E93B-93D4-4143-98F9-124E43A37763}" xr6:coauthVersionLast="47" xr6:coauthVersionMax="47" xr10:uidLastSave="{00000000-0000-0000-0000-000000000000}"/>
  <bookViews>
    <workbookView xWindow="-98" yWindow="-98" windowWidth="28996" windowHeight="17475" activeTab="1" xr2:uid="{D561BF7B-7E16-48C6-939A-BDDAA965B41C}"/>
  </bookViews>
  <sheets>
    <sheet name="SectFuel" sheetId="2" r:id="rId1"/>
    <sheet name="H2 prod" sheetId="1" r:id="rId2"/>
    <sheet name="power sect materials" sheetId="3" r:id="rId3"/>
  </sheets>
  <externalReferences>
    <externalReference r:id="rId4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3" l="1"/>
  <c r="Q14" i="3"/>
  <c r="Q13" i="3"/>
  <c r="Q12" i="3"/>
  <c r="Q11" i="3"/>
  <c r="Q10" i="3"/>
  <c r="Q9" i="3"/>
  <c r="Q8" i="3"/>
  <c r="Q7" i="3"/>
  <c r="Q6" i="3"/>
  <c r="Q5" i="3"/>
  <c r="P5" i="3"/>
  <c r="J11" i="2"/>
  <c r="D11" i="2"/>
  <c r="A39" i="1"/>
  <c r="T39" i="1"/>
  <c r="S39" i="1"/>
  <c r="S38" i="1"/>
  <c r="S37" i="1"/>
  <c r="S36" i="1"/>
  <c r="S35" i="1"/>
  <c r="S34" i="1"/>
  <c r="S33" i="1"/>
  <c r="S32" i="1"/>
  <c r="S31" i="1"/>
  <c r="S30" i="1"/>
  <c r="S29" i="1"/>
  <c r="S28" i="1"/>
  <c r="T38" i="1"/>
  <c r="T37" i="1"/>
  <c r="T36" i="1"/>
  <c r="T35" i="1"/>
  <c r="T34" i="1"/>
  <c r="T33" i="1"/>
  <c r="T32" i="1"/>
  <c r="T31" i="1"/>
  <c r="T30" i="1"/>
  <c r="T29" i="1"/>
  <c r="T28" i="1"/>
  <c r="U38" i="1"/>
  <c r="N38" i="1"/>
  <c r="M38" i="1"/>
  <c r="L38" i="1"/>
  <c r="K38" i="1"/>
  <c r="J38" i="1"/>
  <c r="I38" i="1"/>
  <c r="H38" i="1"/>
  <c r="G38" i="1"/>
  <c r="F38" i="1"/>
  <c r="E38" i="1"/>
  <c r="D38" i="1"/>
  <c r="C38" i="1"/>
  <c r="U37" i="1"/>
  <c r="N37" i="1"/>
  <c r="M37" i="1"/>
  <c r="L37" i="1"/>
  <c r="K37" i="1"/>
  <c r="J37" i="1"/>
  <c r="I37" i="1"/>
  <c r="H37" i="1"/>
  <c r="G37" i="1"/>
  <c r="F37" i="1"/>
  <c r="E37" i="1"/>
  <c r="D37" i="1"/>
  <c r="C37" i="1"/>
  <c r="U36" i="1"/>
  <c r="N36" i="1"/>
  <c r="M36" i="1"/>
  <c r="L36" i="1"/>
  <c r="K36" i="1"/>
  <c r="J36" i="1"/>
  <c r="I36" i="1"/>
  <c r="H36" i="1"/>
  <c r="G36" i="1"/>
  <c r="F36" i="1"/>
  <c r="E36" i="1"/>
  <c r="D36" i="1"/>
  <c r="C36" i="1"/>
  <c r="U35" i="1"/>
  <c r="N35" i="1"/>
  <c r="M35" i="1"/>
  <c r="L35" i="1"/>
  <c r="K35" i="1"/>
  <c r="J35" i="1"/>
  <c r="I35" i="1"/>
  <c r="H35" i="1"/>
  <c r="G35" i="1"/>
  <c r="F35" i="1"/>
  <c r="E35" i="1"/>
  <c r="D35" i="1"/>
  <c r="C35" i="1"/>
  <c r="U34" i="1"/>
  <c r="N34" i="1"/>
  <c r="L34" i="1"/>
  <c r="J34" i="1"/>
  <c r="H34" i="1"/>
  <c r="G34" i="1"/>
  <c r="F34" i="1"/>
  <c r="E34" i="1"/>
  <c r="D34" i="1"/>
  <c r="C34" i="1"/>
  <c r="U33" i="1"/>
  <c r="N33" i="1"/>
  <c r="L33" i="1"/>
  <c r="J33" i="1"/>
  <c r="H33" i="1"/>
  <c r="G33" i="1"/>
  <c r="F33" i="1"/>
  <c r="E33" i="1"/>
  <c r="D33" i="1"/>
  <c r="C33" i="1"/>
  <c r="U32" i="1"/>
  <c r="N32" i="1"/>
  <c r="L32" i="1"/>
  <c r="J32" i="1"/>
  <c r="H32" i="1"/>
  <c r="G32" i="1"/>
  <c r="F32" i="1"/>
  <c r="E32" i="1"/>
  <c r="D32" i="1"/>
  <c r="C32" i="1"/>
  <c r="U31" i="1"/>
  <c r="N31" i="1"/>
  <c r="L31" i="1"/>
  <c r="J31" i="1"/>
  <c r="H31" i="1"/>
  <c r="G31" i="1"/>
  <c r="F31" i="1"/>
  <c r="E31" i="1"/>
  <c r="D31" i="1"/>
  <c r="C31" i="1"/>
  <c r="U30" i="1"/>
  <c r="N30" i="1"/>
  <c r="M30" i="1"/>
  <c r="L30" i="1"/>
  <c r="K30" i="1"/>
  <c r="J30" i="1"/>
  <c r="I30" i="1"/>
  <c r="H30" i="1"/>
  <c r="G30" i="1"/>
  <c r="F30" i="1"/>
  <c r="E30" i="1"/>
  <c r="D30" i="1"/>
  <c r="C30" i="1"/>
  <c r="U29" i="1"/>
  <c r="N29" i="1"/>
  <c r="M29" i="1"/>
  <c r="L29" i="1"/>
  <c r="K29" i="1"/>
  <c r="J29" i="1"/>
  <c r="I29" i="1"/>
  <c r="H29" i="1"/>
  <c r="H39" i="1" s="1"/>
  <c r="G29" i="1"/>
  <c r="G39" i="1" s="1"/>
  <c r="F29" i="1"/>
  <c r="F39" i="1" s="1"/>
  <c r="E29" i="1"/>
  <c r="E39" i="1" s="1"/>
  <c r="D29" i="1"/>
  <c r="D39" i="1" s="1"/>
  <c r="C29" i="1"/>
  <c r="C39" i="1" s="1"/>
  <c r="U28" i="1"/>
  <c r="N28" i="1"/>
  <c r="M28" i="1"/>
  <c r="L28" i="1"/>
  <c r="K28" i="1"/>
  <c r="J28" i="1"/>
  <c r="I28" i="1"/>
  <c r="H28" i="1"/>
  <c r="G28" i="1"/>
  <c r="F28" i="1"/>
  <c r="E28" i="1"/>
  <c r="D28" i="1"/>
  <c r="C28" i="1"/>
  <c r="J27" i="1"/>
  <c r="I27" i="1"/>
  <c r="E27" i="1"/>
  <c r="D27" i="1"/>
  <c r="C27" i="1"/>
  <c r="H3" i="1"/>
  <c r="H27" i="1" s="1"/>
  <c r="G3" i="1"/>
  <c r="G27" i="1" s="1"/>
  <c r="F3" i="1"/>
  <c r="F27" i="1" s="1"/>
  <c r="L2" i="1"/>
  <c r="N2" i="1" s="1"/>
  <c r="N27" i="1" s="1"/>
  <c r="K2" i="1"/>
  <c r="M2" i="1" s="1"/>
  <c r="M27" i="1" s="1"/>
  <c r="K27" i="1" l="1"/>
  <c r="L27" i="1"/>
  <c r="J10" i="2"/>
  <c r="C10" i="2"/>
  <c r="D10" i="2" s="1"/>
  <c r="J9" i="2"/>
  <c r="D9" i="2"/>
  <c r="J8" i="2"/>
  <c r="D8" i="2"/>
  <c r="J7" i="2"/>
  <c r="D7" i="2"/>
  <c r="J6" i="2"/>
  <c r="D6" i="2"/>
  <c r="J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Rocco De Miglio</author>
  </authors>
  <commentList>
    <comment ref="O39" authorId="0" shapeId="0" xr:uid="{91FDFF01-4BC3-4870-A406-FE9D3D624339}">
      <text>
        <r>
          <rPr>
            <b/>
            <sz val="9"/>
            <color indexed="81"/>
            <rFont val="Tahoma"/>
            <charset val="1"/>
          </rPr>
          <t>Rocco De Miglio:</t>
        </r>
        <r>
          <rPr>
            <sz val="9"/>
            <color indexed="81"/>
            <rFont val="Tahoma"/>
            <charset val="1"/>
          </rPr>
          <t xml:space="preserve">
Comparative assessment of blue hydrogen from steam methane reforming, autothermal reforming, and natural gas decomposition technologies for natural gas-producing regions  
</t>
        </r>
      </text>
    </comment>
  </commentList>
</comments>
</file>

<file path=xl/sharedStrings.xml><?xml version="1.0" encoding="utf-8"?>
<sst xmlns="http://schemas.openxmlformats.org/spreadsheetml/2006/main" count="236" uniqueCount="112">
  <si>
    <t>~FI_T</t>
  </si>
  <si>
    <t>~FI_Process</t>
  </si>
  <si>
    <t>TechName</t>
  </si>
  <si>
    <t>Comm-IN</t>
  </si>
  <si>
    <t>Comm-OUT</t>
  </si>
  <si>
    <t>EFF</t>
  </si>
  <si>
    <t>STG_EFF</t>
  </si>
  <si>
    <t>Sets</t>
  </si>
  <si>
    <t>TechDesc</t>
  </si>
  <si>
    <t>Tslvl</t>
  </si>
  <si>
    <t>Tact</t>
  </si>
  <si>
    <t>Tcap</t>
  </si>
  <si>
    <t>PrimaryCG</t>
  </si>
  <si>
    <t>Vintage</t>
  </si>
  <si>
    <t>FT_TRAHH2</t>
  </si>
  <si>
    <t>HH2</t>
  </si>
  <si>
    <t>TRAGH2,TRALH2</t>
  </si>
  <si>
    <t>PRE</t>
  </si>
  <si>
    <t>Fuel Tech - HH2 for TRA</t>
  </si>
  <si>
    <t>DAYNITE</t>
  </si>
  <si>
    <t>PJ</t>
  </si>
  <si>
    <t>PJ-Yr</t>
  </si>
  <si>
    <t>FT_COMHH2</t>
  </si>
  <si>
    <t>Fuel Tech - HH2 for blending with NGA in COM</t>
  </si>
  <si>
    <t>FT_RESHH2</t>
  </si>
  <si>
    <t>Fuel Tech - HH2 for blending with NGA in RES</t>
  </si>
  <si>
    <t>FT_INDHH2</t>
  </si>
  <si>
    <t>Fuel Tech - HH2 for blending with NGA in IND</t>
  </si>
  <si>
    <t>FT_ELCHH2</t>
  </si>
  <si>
    <t>Fuel Tech - HH2 for blending with NGA in ELC</t>
  </si>
  <si>
    <t>H2_STG</t>
  </si>
  <si>
    <t>STG,STS</t>
  </si>
  <si>
    <t>generic H2 storage tech</t>
  </si>
  <si>
    <t> Conversion technologies</t>
  </si>
  <si>
    <t>Investment cost per unit of capacity (EUR/kW-output)</t>
  </si>
  <si>
    <t>Fixed O&amp;M costs
(EUR/kW-output)</t>
  </si>
  <si>
    <t>Heatrate
(input over output ratio)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</si>
  <si>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</si>
  <si>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</si>
  <si>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</si>
  <si>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</si>
  <si>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</si>
  <si>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</si>
  <si>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</si>
  <si>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</si>
  <si>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</si>
  <si>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</si>
  <si>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</si>
  <si>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</si>
  <si>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</si>
  <si>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</si>
  <si>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</si>
  <si>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</si>
  <si>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</si>
  <si>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</si>
  <si>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</si>
  <si>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</si>
  <si>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</si>
  <si>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</si>
  <si>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</si>
  <si>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</si>
  <si>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</si>
  <si>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</si>
  <si>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XXX</t>
  </si>
  <si>
    <t>H2prd_Gas_SR_CCS</t>
  </si>
  <si>
    <t>H2prd_Elc_PEM</t>
  </si>
  <si>
    <t>H2prd_Elc_ALK</t>
  </si>
  <si>
    <t>H2prd_Elc_SOEC</t>
  </si>
  <si>
    <t>GW</t>
  </si>
  <si>
    <t>LIFE</t>
  </si>
  <si>
    <t>Cap2Act</t>
  </si>
  <si>
    <t>invcost</t>
  </si>
  <si>
    <t>fixom</t>
  </si>
  <si>
    <t>input~GASNGA</t>
  </si>
  <si>
    <t>input~ELC_gc</t>
  </si>
  <si>
    <t>~FI_T: EUR15</t>
  </si>
  <si>
    <t>\I:</t>
  </si>
  <si>
    <t>H2prd_Gas_ATR_CCS</t>
  </si>
  <si>
    <t>Hydrogen from natural gas autothermal reforming centralised - Large scale</t>
  </si>
  <si>
    <t>H2_STG-TRA</t>
  </si>
  <si>
    <t>TRAGH2</t>
  </si>
  <si>
    <t>Storage in H2 vehicles</t>
  </si>
  <si>
    <t>START</t>
  </si>
  <si>
    <t>ELC,ELCInt</t>
  </si>
  <si>
    <t>m_aluminium</t>
  </si>
  <si>
    <t>m_cement</t>
  </si>
  <si>
    <t>m_concrete</t>
  </si>
  <si>
    <t>m_copper</t>
  </si>
  <si>
    <t>m_fiberglass</t>
  </si>
  <si>
    <t>m_glass</t>
  </si>
  <si>
    <t>m_manganese</t>
  </si>
  <si>
    <t>m_nickel</t>
  </si>
  <si>
    <t>m_silicon</t>
  </si>
  <si>
    <t>m_silver</t>
  </si>
  <si>
    <t>m_steel</t>
  </si>
  <si>
    <t>~FI_COMM</t>
  </si>
  <si>
    <t>commdesc</t>
  </si>
  <si>
    <t>commname</t>
  </si>
  <si>
    <t>csets</t>
  </si>
  <si>
    <t>ctslvl</t>
  </si>
  <si>
    <t>limtype</t>
  </si>
  <si>
    <t>peakts</t>
  </si>
  <si>
    <t>unit</t>
  </si>
  <si>
    <t>MAT</t>
  </si>
  <si>
    <t>LO</t>
  </si>
  <si>
    <t>kt</t>
  </si>
  <si>
    <t>MIN</t>
  </si>
  <si>
    <t>supply_mat</t>
  </si>
  <si>
    <t>ktpa</t>
  </si>
  <si>
    <t>FLO_COST</t>
  </si>
  <si>
    <t>techname</t>
  </si>
  <si>
    <t>ELC,ELC4H,ELC8H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</si>
</sst>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Te\x\t"/>
    <numFmt numFmtId="165" formatCode="0.0"/>
    <numFmt numFmtId="166" formatCode="0.000"/>
  </numFmts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5" fillId="0" borderId="18" applyNumberFormat="0" applyFill="0" applyAlignment="0" applyProtection="0"/>
    <xf numFmtId="0" fontId="6" fillId="0" borderId="0" applyNumberFormat="0" applyFill="0" applyBorder="0" applyAlignment="0" applyProtection="0"/>
  </cellStyleXfs>
  <cellXfs count="134">
    <xf numFmtId="0" fontId="0" fillId="0" borderId="0" xfId="0"/>
    <xf numFmtId="164" fontId="0" fillId="0" borderId="0" xfId="0" applyNumberFormat="1"/>
    <xf numFmtId="0" fontId="3" fillId="4" borderId="2" xfId="0" applyFont="1" applyFill="1" applyBorder="1" applyAlignment="1">
      <alignment horizontal="left" vertical="center"/>
    </xf>
    <xf numFmtId="0" fontId="3" fillId="4" borderId="0" xfId="0" applyFont="1" applyFill="1" applyAlignment="1">
      <alignment vertical="center"/>
    </xf>
    <xf numFmtId="165" fontId="3" fillId="4" borderId="3" xfId="0" applyNumberFormat="1" applyFont="1" applyFill="1" applyBorder="1" applyAlignment="1">
      <alignment vertical="center"/>
    </xf>
    <xf numFmtId="165" fontId="3" fillId="4" borderId="0" xfId="0" applyNumberFormat="1" applyFont="1" applyFill="1" applyAlignment="1">
      <alignment vertical="center"/>
    </xf>
    <xf numFmtId="165" fontId="3" fillId="4" borderId="4" xfId="0" applyNumberFormat="1" applyFont="1" applyFill="1" applyBorder="1" applyAlignment="1">
      <alignment vertical="center"/>
    </xf>
    <xf numFmtId="2" fontId="3" fillId="4" borderId="0" xfId="0" applyNumberFormat="1" applyFont="1" applyFill="1" applyAlignment="1">
      <alignment vertical="center"/>
    </xf>
    <xf numFmtId="2" fontId="3" fillId="4" borderId="5" xfId="0" applyNumberFormat="1" applyFont="1" applyFill="1" applyBorder="1" applyAlignment="1">
      <alignment vertical="center"/>
    </xf>
    <xf numFmtId="2" fontId="3" fillId="4" borderId="6" xfId="0" applyNumberFormat="1" applyFont="1" applyFill="1" applyBorder="1" applyAlignment="1">
      <alignment vertical="center"/>
    </xf>
    <xf numFmtId="0" fontId="3" fillId="5" borderId="2" xfId="0" applyFont="1" applyFill="1" applyBorder="1" applyAlignment="1">
      <alignment horizontal="left" vertical="center"/>
    </xf>
    <xf numFmtId="0" fontId="3" fillId="5" borderId="0" xfId="0" applyFont="1" applyFill="1" applyAlignment="1">
      <alignment vertical="center"/>
    </xf>
    <xf numFmtId="165" fontId="3" fillId="5" borderId="3" xfId="0" applyNumberFormat="1" applyFont="1" applyFill="1" applyBorder="1" applyAlignment="1">
      <alignment vertical="center"/>
    </xf>
    <xf numFmtId="165" fontId="3" fillId="5" borderId="0" xfId="0" applyNumberFormat="1" applyFont="1" applyFill="1" applyAlignment="1">
      <alignment vertical="center"/>
    </xf>
    <xf numFmtId="165" fontId="3" fillId="5" borderId="4" xfId="0" applyNumberFormat="1" applyFont="1" applyFill="1" applyBorder="1" applyAlignment="1">
      <alignment vertical="center"/>
    </xf>
    <xf numFmtId="2" fontId="3" fillId="5" borderId="0" xfId="0" applyNumberFormat="1" applyFont="1" applyFill="1" applyAlignment="1">
      <alignment vertical="center"/>
    </xf>
    <xf numFmtId="2" fontId="3" fillId="5" borderId="5" xfId="0" applyNumberFormat="1" applyFont="1" applyFill="1" applyBorder="1" applyAlignment="1">
      <alignment vertical="center"/>
    </xf>
    <xf numFmtId="2" fontId="3" fillId="5" borderId="6" xfId="0" applyNumberFormat="1" applyFont="1" applyFill="1" applyBorder="1" applyAlignment="1">
      <alignment vertical="center"/>
    </xf>
    <xf numFmtId="1" fontId="3" fillId="5" borderId="0" xfId="0" applyNumberFormat="1" applyFont="1" applyFill="1" applyAlignment="1">
      <alignment vertical="center"/>
    </xf>
    <xf numFmtId="1" fontId="3" fillId="4" borderId="0" xfId="0" applyNumberFormat="1" applyFont="1" applyFill="1" applyAlignment="1">
      <alignment vertical="center"/>
    </xf>
    <xf numFmtId="0" fontId="4" fillId="6" borderId="2" xfId="0" applyFont="1" applyFill="1" applyBorder="1" applyAlignment="1">
      <alignment horizontal="left" vertical="center"/>
    </xf>
    <xf numFmtId="0" fontId="4" fillId="6" borderId="0" xfId="0" applyFont="1" applyFill="1" applyAlignment="1">
      <alignment vertical="center"/>
    </xf>
    <xf numFmtId="165" fontId="4" fillId="6" borderId="3" xfId="0" applyNumberFormat="1" applyFont="1" applyFill="1" applyBorder="1" applyAlignment="1">
      <alignment vertical="center"/>
    </xf>
    <xf numFmtId="165" fontId="4" fillId="6" borderId="0" xfId="0" applyNumberFormat="1" applyFont="1" applyFill="1" applyAlignment="1">
      <alignment vertical="center"/>
    </xf>
    <xf numFmtId="165" fontId="4" fillId="6" borderId="4" xfId="0" applyNumberFormat="1" applyFont="1" applyFill="1" applyBorder="1" applyAlignment="1">
      <alignment vertical="center"/>
    </xf>
    <xf numFmtId="166" fontId="4" fillId="6" borderId="3" xfId="0" applyNumberFormat="1" applyFont="1" applyFill="1" applyBorder="1" applyAlignment="1">
      <alignment vertical="center"/>
    </xf>
    <xf numFmtId="166" fontId="4" fillId="6" borderId="0" xfId="0" applyNumberFormat="1" applyFont="1" applyFill="1" applyAlignment="1">
      <alignment vertical="center"/>
    </xf>
    <xf numFmtId="166" fontId="4" fillId="6" borderId="5" xfId="0" applyNumberFormat="1" applyFont="1" applyFill="1" applyBorder="1" applyAlignment="1">
      <alignment vertical="center"/>
    </xf>
    <xf numFmtId="166" fontId="4" fillId="6" borderId="6" xfId="0" applyNumberFormat="1" applyFont="1" applyFill="1" applyBorder="1" applyAlignment="1">
      <alignment vertical="center"/>
    </xf>
    <xf numFmtId="0" fontId="3" fillId="7" borderId="0" xfId="0" applyFont="1" applyFill="1" applyAlignment="1">
      <alignment vertical="center"/>
    </xf>
    <xf numFmtId="165" fontId="3" fillId="7" borderId="3" xfId="0" applyNumberFormat="1" applyFont="1" applyFill="1" applyBorder="1" applyAlignment="1">
      <alignment vertical="center"/>
    </xf>
    <xf numFmtId="165" fontId="3" fillId="7" borderId="0" xfId="0" applyNumberFormat="1" applyFont="1" applyFill="1" applyAlignment="1">
      <alignment vertical="center"/>
    </xf>
    <xf numFmtId="165" fontId="3" fillId="7" borderId="4" xfId="0" applyNumberFormat="1" applyFont="1" applyFill="1" applyBorder="1" applyAlignment="1">
      <alignment vertical="center"/>
    </xf>
    <xf numFmtId="166" fontId="3" fillId="7" borderId="3" xfId="0" applyNumberFormat="1" applyFont="1" applyFill="1" applyBorder="1" applyAlignment="1">
      <alignment vertical="center"/>
    </xf>
    <xf numFmtId="166" fontId="3" fillId="7" borderId="0" xfId="0" applyNumberFormat="1" applyFont="1" applyFill="1" applyAlignment="1">
      <alignment vertical="center"/>
    </xf>
    <xf numFmtId="166" fontId="3" fillId="7" borderId="5" xfId="0" applyNumberFormat="1" applyFont="1" applyFill="1" applyBorder="1" applyAlignment="1">
      <alignment vertical="center"/>
    </xf>
    <xf numFmtId="166" fontId="3" fillId="7" borderId="6" xfId="0" applyNumberFormat="1" applyFont="1" applyFill="1" applyBorder="1" applyAlignment="1">
      <alignment vertical="center"/>
    </xf>
    <xf numFmtId="0" fontId="3" fillId="8" borderId="0" xfId="0" applyFont="1" applyFill="1" applyAlignment="1">
      <alignment vertical="center"/>
    </xf>
    <xf numFmtId="165" fontId="3" fillId="8" borderId="3" xfId="0" applyNumberFormat="1" applyFont="1" applyFill="1" applyBorder="1" applyAlignment="1">
      <alignment vertical="center"/>
    </xf>
    <xf numFmtId="165" fontId="3" fillId="8" borderId="0" xfId="0" applyNumberFormat="1" applyFont="1" applyFill="1" applyAlignment="1">
      <alignment vertical="center"/>
    </xf>
    <xf numFmtId="165" fontId="3" fillId="8" borderId="4" xfId="0" applyNumberFormat="1" applyFont="1" applyFill="1" applyBorder="1" applyAlignment="1">
      <alignment vertical="center"/>
    </xf>
    <xf numFmtId="166" fontId="3" fillId="8" borderId="3" xfId="0" applyNumberFormat="1" applyFont="1" applyFill="1" applyBorder="1" applyAlignment="1">
      <alignment vertical="center"/>
    </xf>
    <xf numFmtId="166" fontId="3" fillId="8" borderId="0" xfId="0" applyNumberFormat="1" applyFont="1" applyFill="1" applyAlignment="1">
      <alignment vertical="center"/>
    </xf>
    <xf numFmtId="166" fontId="3" fillId="8" borderId="5" xfId="0" applyNumberFormat="1" applyFont="1" applyFill="1" applyBorder="1" applyAlignment="1">
      <alignment vertical="center"/>
    </xf>
    <xf numFmtId="166" fontId="3" fillId="8" borderId="6" xfId="0" applyNumberFormat="1" applyFont="1" applyFill="1" applyBorder="1" applyAlignment="1">
      <alignment vertical="center"/>
    </xf>
    <xf numFmtId="0" fontId="3" fillId="9" borderId="7" xfId="0" applyFont="1" applyFill="1" applyBorder="1" applyAlignment="1">
      <alignment vertical="center"/>
    </xf>
    <xf numFmtId="165" fontId="3" fillId="9" borderId="8" xfId="0" applyNumberFormat="1" applyFont="1" applyFill="1" applyBorder="1" applyAlignment="1">
      <alignment vertical="center"/>
    </xf>
    <xf numFmtId="165" fontId="3" fillId="9" borderId="7" xfId="0" applyNumberFormat="1" applyFont="1" applyFill="1" applyBorder="1" applyAlignment="1">
      <alignment vertical="center"/>
    </xf>
    <xf numFmtId="165" fontId="3" fillId="9" borderId="9" xfId="0" applyNumberFormat="1" applyFont="1" applyFill="1" applyBorder="1" applyAlignment="1">
      <alignment vertical="center"/>
    </xf>
    <xf numFmtId="166" fontId="4" fillId="9" borderId="8" xfId="0" applyNumberFormat="1" applyFont="1" applyFill="1" applyBorder="1" applyAlignment="1">
      <alignment vertical="center"/>
    </xf>
    <xf numFmtId="166" fontId="4" fillId="9" borderId="7" xfId="0" applyNumberFormat="1" applyFont="1" applyFill="1" applyBorder="1" applyAlignment="1">
      <alignment vertical="center"/>
    </xf>
    <xf numFmtId="166" fontId="4" fillId="9" borderId="10" xfId="0" applyNumberFormat="1" applyFont="1" applyFill="1" applyBorder="1" applyAlignment="1">
      <alignment vertical="center"/>
    </xf>
    <xf numFmtId="166" fontId="4" fillId="9" borderId="11" xfId="0" applyNumberFormat="1" applyFont="1" applyFill="1" applyBorder="1" applyAlignment="1">
      <alignment vertical="center"/>
    </xf>
    <xf numFmtId="0" fontId="3" fillId="10" borderId="0" xfId="0" applyFont="1" applyFill="1" applyAlignment="1">
      <alignment vertical="center"/>
    </xf>
    <xf numFmtId="0" fontId="3" fillId="11" borderId="0" xfId="0" applyFont="1" applyFill="1" applyAlignment="1">
      <alignment vertical="center"/>
    </xf>
    <xf numFmtId="165" fontId="3" fillId="11" borderId="3" xfId="0" applyNumberFormat="1" applyFont="1" applyFill="1" applyBorder="1" applyAlignment="1">
      <alignment vertical="center"/>
    </xf>
    <xf numFmtId="165" fontId="3" fillId="11" borderId="0" xfId="0" applyNumberFormat="1" applyFont="1" applyFill="1" applyAlignment="1">
      <alignment vertical="center"/>
    </xf>
    <xf numFmtId="165" fontId="3" fillId="11" borderId="4" xfId="0" applyNumberFormat="1" applyFont="1" applyFill="1" applyBorder="1" applyAlignment="1">
      <alignment vertical="center"/>
    </xf>
    <xf numFmtId="166" fontId="4" fillId="11" borderId="3" xfId="0" applyNumberFormat="1" applyFont="1" applyFill="1" applyBorder="1" applyAlignment="1">
      <alignment vertical="center"/>
    </xf>
    <xf numFmtId="166" fontId="4" fillId="11" borderId="0" xfId="0" applyNumberFormat="1" applyFont="1" applyFill="1" applyAlignment="1">
      <alignment vertical="center"/>
    </xf>
    <xf numFmtId="166" fontId="4" fillId="11" borderId="5" xfId="0" applyNumberFormat="1" applyFont="1" applyFill="1" applyBorder="1" applyAlignment="1">
      <alignment vertical="center"/>
    </xf>
    <xf numFmtId="166" fontId="4" fillId="11" borderId="6" xfId="0" applyNumberFormat="1" applyFont="1" applyFill="1" applyBorder="1" applyAlignment="1">
      <alignment vertical="center"/>
    </xf>
    <xf numFmtId="0" fontId="3" fillId="9" borderId="13" xfId="0" applyFont="1" applyFill="1" applyBorder="1" applyAlignment="1">
      <alignment vertical="center"/>
    </xf>
    <xf numFmtId="165" fontId="3" fillId="9" borderId="14" xfId="0" applyNumberFormat="1" applyFont="1" applyFill="1" applyBorder="1" applyAlignment="1">
      <alignment vertical="center"/>
    </xf>
    <xf numFmtId="165" fontId="3" fillId="9" borderId="13" xfId="0" applyNumberFormat="1" applyFont="1" applyFill="1" applyBorder="1" applyAlignment="1">
      <alignment vertical="center"/>
    </xf>
    <xf numFmtId="165" fontId="3" fillId="9" borderId="15" xfId="0" applyNumberFormat="1" applyFont="1" applyFill="1" applyBorder="1" applyAlignment="1">
      <alignment vertical="center"/>
    </xf>
    <xf numFmtId="166" fontId="4" fillId="9" borderId="14" xfId="0" applyNumberFormat="1" applyFont="1" applyFill="1" applyBorder="1" applyAlignment="1">
      <alignment vertical="center"/>
    </xf>
    <xf numFmtId="166" fontId="4" fillId="9" borderId="13" xfId="0" applyNumberFormat="1" applyFont="1" applyFill="1" applyBorder="1" applyAlignment="1">
      <alignment vertical="center"/>
    </xf>
    <xf numFmtId="166" fontId="4" fillId="9" borderId="16" xfId="0" applyNumberFormat="1" applyFont="1" applyFill="1" applyBorder="1" applyAlignment="1">
      <alignment vertical="center"/>
    </xf>
    <xf numFmtId="166" fontId="4" fillId="9" borderId="17" xfId="0" applyNumberFormat="1" applyFont="1" applyFill="1" applyBorder="1" applyAlignment="1">
      <alignment vertical="center"/>
    </xf>
    <xf numFmtId="1" fontId="3" fillId="12" borderId="0" xfId="0" applyNumberFormat="1" applyFont="1" applyFill="1" applyAlignment="1">
      <alignment vertical="center"/>
    </xf>
    <xf numFmtId="165" fontId="3" fillId="12" borderId="3" xfId="0" applyNumberFormat="1" applyFont="1" applyFill="1" applyBorder="1" applyAlignment="1">
      <alignment vertical="center"/>
    </xf>
    <xf numFmtId="165" fontId="3" fillId="12" borderId="0" xfId="0" applyNumberFormat="1" applyFont="1" applyFill="1" applyAlignment="1">
      <alignment vertical="center"/>
    </xf>
    <xf numFmtId="165" fontId="3" fillId="12" borderId="4" xfId="0" applyNumberFormat="1" applyFont="1" applyFill="1" applyBorder="1" applyAlignment="1">
      <alignment vertical="center"/>
    </xf>
    <xf numFmtId="166" fontId="3" fillId="12" borderId="3" xfId="0" applyNumberFormat="1" applyFont="1" applyFill="1" applyBorder="1" applyAlignment="1">
      <alignment vertical="center"/>
    </xf>
    <xf numFmtId="166" fontId="3" fillId="12" borderId="0" xfId="0" applyNumberFormat="1" applyFont="1" applyFill="1" applyAlignment="1">
      <alignment vertical="center"/>
    </xf>
    <xf numFmtId="166" fontId="3" fillId="12" borderId="5" xfId="0" applyNumberFormat="1" applyFont="1" applyFill="1" applyBorder="1" applyAlignment="1">
      <alignment vertical="center"/>
    </xf>
    <xf numFmtId="166" fontId="3" fillId="12" borderId="6" xfId="0" applyNumberFormat="1" applyFont="1" applyFill="1" applyBorder="1" applyAlignment="1">
      <alignment vertical="center"/>
    </xf>
    <xf numFmtId="1" fontId="3" fillId="13" borderId="0" xfId="0" applyNumberFormat="1" applyFont="1" applyFill="1" applyAlignment="1">
      <alignment vertical="center"/>
    </xf>
    <xf numFmtId="165" fontId="3" fillId="13" borderId="3" xfId="0" applyNumberFormat="1" applyFont="1" applyFill="1" applyBorder="1" applyAlignment="1">
      <alignment vertical="center"/>
    </xf>
    <xf numFmtId="165" fontId="3" fillId="13" borderId="0" xfId="0" applyNumberFormat="1" applyFont="1" applyFill="1" applyAlignment="1">
      <alignment vertical="center"/>
    </xf>
    <xf numFmtId="165" fontId="3" fillId="13" borderId="4" xfId="0" applyNumberFormat="1" applyFont="1" applyFill="1" applyBorder="1" applyAlignment="1">
      <alignment vertical="center"/>
    </xf>
    <xf numFmtId="166" fontId="3" fillId="13" borderId="3" xfId="0" applyNumberFormat="1" applyFont="1" applyFill="1" applyBorder="1" applyAlignment="1">
      <alignment vertical="center"/>
    </xf>
    <xf numFmtId="166" fontId="3" fillId="13" borderId="0" xfId="0" applyNumberFormat="1" applyFont="1" applyFill="1" applyAlignment="1">
      <alignment vertical="center"/>
    </xf>
    <xf numFmtId="166" fontId="3" fillId="13" borderId="5" xfId="0" applyNumberFormat="1" applyFont="1" applyFill="1" applyBorder="1" applyAlignment="1">
      <alignment vertical="center"/>
    </xf>
    <xf numFmtId="166" fontId="3" fillId="13" borderId="6" xfId="0" applyNumberFormat="1" applyFont="1" applyFill="1" applyBorder="1" applyAlignment="1">
      <alignment vertical="center"/>
    </xf>
    <xf numFmtId="0" fontId="3" fillId="12" borderId="13" xfId="0" applyFont="1" applyFill="1" applyBorder="1" applyAlignment="1">
      <alignment vertical="center"/>
    </xf>
    <xf numFmtId="165" fontId="3" fillId="12" borderId="14" xfId="0" applyNumberFormat="1" applyFont="1" applyFill="1" applyBorder="1" applyAlignment="1">
      <alignment vertical="center"/>
    </xf>
    <xf numFmtId="165" fontId="3" fillId="12" borderId="13" xfId="0" applyNumberFormat="1" applyFont="1" applyFill="1" applyBorder="1" applyAlignment="1">
      <alignment vertical="center"/>
    </xf>
    <xf numFmtId="165" fontId="3" fillId="12" borderId="15" xfId="0" applyNumberFormat="1" applyFont="1" applyFill="1" applyBorder="1" applyAlignment="1">
      <alignment vertical="center"/>
    </xf>
    <xf numFmtId="166" fontId="3" fillId="12" borderId="14" xfId="0" applyNumberFormat="1" applyFont="1" applyFill="1" applyBorder="1" applyAlignment="1">
      <alignment vertical="center"/>
    </xf>
    <xf numFmtId="166" fontId="3" fillId="12" borderId="13" xfId="0" applyNumberFormat="1" applyFont="1" applyFill="1" applyBorder="1" applyAlignment="1">
      <alignment vertical="center"/>
    </xf>
    <xf numFmtId="166" fontId="3" fillId="12" borderId="16" xfId="0" applyNumberFormat="1" applyFont="1" applyFill="1" applyBorder="1" applyAlignment="1">
      <alignment vertical="center"/>
    </xf>
    <xf numFmtId="166" fontId="3" fillId="12" borderId="17" xfId="0" applyNumberFormat="1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left" vertical="center"/>
    </xf>
    <xf numFmtId="0" fontId="3" fillId="9" borderId="12" xfId="0" applyFont="1" applyFill="1" applyBorder="1" applyAlignment="1">
      <alignment horizontal="left" vertical="center"/>
    </xf>
    <xf numFmtId="0" fontId="3" fillId="12" borderId="2" xfId="0" applyFont="1" applyFill="1" applyBorder="1" applyAlignment="1">
      <alignment horizontal="left" vertical="center"/>
    </xf>
    <xf numFmtId="0" fontId="3" fillId="13" borderId="2" xfId="0" applyFont="1" applyFill="1" applyBorder="1" applyAlignment="1">
      <alignment horizontal="left" vertical="center"/>
    </xf>
    <xf numFmtId="0" fontId="3" fillId="12" borderId="1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1" fillId="2" borderId="0" xfId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2" fontId="0" fillId="0" borderId="0" xfId="0" applyNumberFormat="1"/>
    <xf numFmtId="1" fontId="0" fillId="0" borderId="0" xfId="0" applyNumberFormat="1"/>
    <xf numFmtId="0" fontId="3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3" fillId="12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6" fillId="0" borderId="0" xfId="3"/>
    <xf numFmtId="0" fontId="5" fillId="0" borderId="18" xfId="2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2" fontId="8" fillId="0" borderId="0" xfId="0" applyNumberFormat="1" applyFont="1"/>
    <xf numFmtId="2" fontId="11" fillId="0" borderId="0" xfId="0" applyNumberFormat="1" applyFont="1"/>
    <xf numFmtId="166" fontId="0" fillId="0" borderId="0" xfId="0" applyNumberFormat="1"/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</cellXfs>
  <cellStyles count="4">
    <cellStyle name="Heading 2" xfId="2" builtinId="17"/>
    <cellStyle name="Heading 4" xfId="3" builtinId="19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VEDA\Veda\Veda_models\Tiam_framework_Kapsarc\SubRes_Tmpl\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B7C08-9C9B-49DC-812C-378B89276871}">
  <dimension ref="B3:P11"/>
  <sheetViews>
    <sheetView workbookViewId="0">
      <selection activeCell="F6" sqref="F6"/>
    </sheetView>
  </sheetViews>
  <sheetFormatPr defaultRowHeight="14.25" x14ac:dyDescent="0.45"/>
  <cols>
    <col min="2" max="2" width="11.86328125" bestFit="1" customWidth="1"/>
    <col min="3" max="3" width="9.3984375" bestFit="1" customWidth="1"/>
    <col min="4" max="4" width="15.265625" bestFit="1" customWidth="1"/>
    <col min="5" max="5" width="4" bestFit="1" customWidth="1"/>
    <col min="6" max="6" width="6.3984375" bestFit="1" customWidth="1"/>
    <col min="7" max="7" width="8.265625" bestFit="1" customWidth="1"/>
    <col min="9" max="9" width="11.265625" bestFit="1" customWidth="1"/>
    <col min="10" max="10" width="11.86328125" bestFit="1" customWidth="1"/>
    <col min="11" max="11" width="42.73046875" bestFit="1" customWidth="1"/>
    <col min="12" max="12" width="8.59765625" bestFit="1" customWidth="1"/>
    <col min="13" max="13" width="4.59765625" bestFit="1" customWidth="1"/>
    <col min="14" max="14" width="5.265625" bestFit="1" customWidth="1"/>
    <col min="15" max="15" width="10.265625" bestFit="1" customWidth="1"/>
    <col min="16" max="16" width="7.86328125" bestFit="1" customWidth="1"/>
  </cols>
  <sheetData>
    <row r="3" spans="2:16" x14ac:dyDescent="0.45">
      <c r="D3" t="s">
        <v>0</v>
      </c>
      <c r="I3" s="1" t="s">
        <v>1</v>
      </c>
      <c r="J3" s="1"/>
      <c r="K3" s="1"/>
      <c r="L3" s="1"/>
      <c r="M3" s="1"/>
      <c r="N3" s="1"/>
      <c r="O3" s="1"/>
      <c r="P3" s="1"/>
    </row>
    <row r="4" spans="2:16" x14ac:dyDescent="0.45">
      <c r="B4" t="s">
        <v>2</v>
      </c>
      <c r="C4" t="s">
        <v>3</v>
      </c>
      <c r="D4" t="s">
        <v>4</v>
      </c>
      <c r="E4" t="s">
        <v>5</v>
      </c>
      <c r="F4" t="s">
        <v>82</v>
      </c>
      <c r="G4" t="s">
        <v>6</v>
      </c>
      <c r="I4" s="1" t="s">
        <v>7</v>
      </c>
      <c r="J4" s="1" t="s">
        <v>2</v>
      </c>
      <c r="K4" s="1" t="s">
        <v>8</v>
      </c>
      <c r="L4" s="1" t="s">
        <v>9</v>
      </c>
      <c r="M4" s="1" t="s">
        <v>10</v>
      </c>
      <c r="N4" s="1" t="s">
        <v>11</v>
      </c>
      <c r="O4" s="1" t="s">
        <v>12</v>
      </c>
      <c r="P4" s="1" t="s">
        <v>13</v>
      </c>
    </row>
    <row r="5" spans="2:16" x14ac:dyDescent="0.45">
      <c r="B5" t="s">
        <v>14</v>
      </c>
      <c r="C5" t="s">
        <v>15</v>
      </c>
      <c r="D5" t="s">
        <v>16</v>
      </c>
      <c r="E5">
        <v>1</v>
      </c>
      <c r="F5">
        <v>2030</v>
      </c>
      <c r="I5" s="1" t="s">
        <v>17</v>
      </c>
      <c r="J5" s="1" t="str">
        <f t="shared" ref="J5:J10" si="0">B5</f>
        <v>FT_TRAHH2</v>
      </c>
      <c r="K5" s="1" t="s">
        <v>18</v>
      </c>
      <c r="L5" s="1" t="s">
        <v>19</v>
      </c>
      <c r="M5" s="1" t="s">
        <v>20</v>
      </c>
      <c r="N5" s="1" t="s">
        <v>21</v>
      </c>
      <c r="O5" s="1"/>
      <c r="P5" s="1"/>
    </row>
    <row r="6" spans="2:16" x14ac:dyDescent="0.45">
      <c r="B6" t="s">
        <v>22</v>
      </c>
      <c r="C6" t="s">
        <v>15</v>
      </c>
      <c r="D6" t="str">
        <f>MID(B6,4,3)&amp;C6</f>
        <v>COMHH2</v>
      </c>
      <c r="E6">
        <v>1</v>
      </c>
      <c r="J6" s="1" t="str">
        <f t="shared" si="0"/>
        <v>FT_COMHH2</v>
      </c>
      <c r="K6" s="1" t="s">
        <v>23</v>
      </c>
      <c r="L6" s="1" t="s">
        <v>19</v>
      </c>
      <c r="M6" s="1" t="s">
        <v>20</v>
      </c>
      <c r="N6" s="1" t="s">
        <v>21</v>
      </c>
    </row>
    <row r="7" spans="2:16" x14ac:dyDescent="0.45">
      <c r="B7" t="s">
        <v>24</v>
      </c>
      <c r="C7" t="s">
        <v>15</v>
      </c>
      <c r="D7" t="str">
        <f t="shared" ref="D7:D8" si="1">MID(B7,4,3)&amp;C7</f>
        <v>RESHH2</v>
      </c>
      <c r="E7">
        <v>1</v>
      </c>
      <c r="J7" s="1" t="str">
        <f t="shared" si="0"/>
        <v>FT_RESHH2</v>
      </c>
      <c r="K7" s="1" t="s">
        <v>25</v>
      </c>
      <c r="L7" s="1" t="s">
        <v>19</v>
      </c>
      <c r="M7" s="1" t="s">
        <v>20</v>
      </c>
      <c r="N7" s="1" t="s">
        <v>21</v>
      </c>
    </row>
    <row r="8" spans="2:16" x14ac:dyDescent="0.45">
      <c r="B8" t="s">
        <v>26</v>
      </c>
      <c r="C8" t="s">
        <v>15</v>
      </c>
      <c r="D8" t="str">
        <f t="shared" si="1"/>
        <v>INDHH2</v>
      </c>
      <c r="E8">
        <v>1</v>
      </c>
      <c r="J8" s="1" t="str">
        <f t="shared" si="0"/>
        <v>FT_INDHH2</v>
      </c>
      <c r="K8" s="1" t="s">
        <v>27</v>
      </c>
      <c r="L8" s="1" t="s">
        <v>19</v>
      </c>
      <c r="M8" s="1" t="s">
        <v>20</v>
      </c>
      <c r="N8" s="1" t="s">
        <v>21</v>
      </c>
    </row>
    <row r="9" spans="2:16" x14ac:dyDescent="0.45">
      <c r="B9" t="s">
        <v>28</v>
      </c>
      <c r="C9" t="s">
        <v>15</v>
      </c>
      <c r="D9" t="str">
        <f>MID(B9,4,3)&amp;C9</f>
        <v>ELCHH2</v>
      </c>
      <c r="E9">
        <v>1</v>
      </c>
      <c r="J9" s="1" t="str">
        <f t="shared" si="0"/>
        <v>FT_ELCHH2</v>
      </c>
      <c r="K9" s="1" t="s">
        <v>29</v>
      </c>
      <c r="L9" s="1" t="s">
        <v>19</v>
      </c>
      <c r="M9" s="1" t="s">
        <v>20</v>
      </c>
      <c r="N9" s="1" t="s">
        <v>21</v>
      </c>
    </row>
    <row r="10" spans="2:16" x14ac:dyDescent="0.45">
      <c r="B10" t="s">
        <v>30</v>
      </c>
      <c r="C10" t="str">
        <f>C9</f>
        <v>HH2</v>
      </c>
      <c r="D10" t="str">
        <f>C10</f>
        <v>HH2</v>
      </c>
      <c r="G10">
        <v>0.9</v>
      </c>
      <c r="I10" t="s">
        <v>31</v>
      </c>
      <c r="J10" s="1" t="str">
        <f t="shared" si="0"/>
        <v>H2_STG</v>
      </c>
      <c r="K10" s="1" t="s">
        <v>32</v>
      </c>
      <c r="L10" s="1" t="s">
        <v>19</v>
      </c>
      <c r="M10" s="1" t="s">
        <v>20</v>
      </c>
      <c r="N10" s="1" t="s">
        <v>21</v>
      </c>
    </row>
    <row r="11" spans="2:16" x14ac:dyDescent="0.45">
      <c r="B11" t="s">
        <v>79</v>
      </c>
      <c r="C11" t="s">
        <v>80</v>
      </c>
      <c r="D11" t="str">
        <f>C11</f>
        <v>TRAGH2</v>
      </c>
      <c r="G11">
        <v>0.99</v>
      </c>
      <c r="I11" t="s">
        <v>31</v>
      </c>
      <c r="J11" s="1" t="str">
        <f t="shared" ref="J11" si="2">B11</f>
        <v>H2_STG-TRA</v>
      </c>
      <c r="K11" s="1" t="s">
        <v>81</v>
      </c>
      <c r="L11" s="1" t="s">
        <v>19</v>
      </c>
      <c r="M11" s="1" t="s">
        <v>20</v>
      </c>
      <c r="N1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5F78-172F-4DBF-8626-87EDDB57792E}">
  <dimension ref="A1:X39"/>
  <sheetViews>
    <sheetView tabSelected="1" zoomScale="85" zoomScaleNormal="85" workbookViewId="0">
      <selection activeCell="B35" sqref="B35"/>
    </sheetView>
  </sheetViews>
  <sheetFormatPr defaultRowHeight="14.25" x14ac:dyDescent="0.4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20" max="20" width="18.1328125" bestFit="1" customWidth="1"/>
    <col min="21" max="21" width="24" customWidth="1"/>
  </cols>
  <sheetData>
    <row r="1" spans="1:17" ht="33.75" customHeight="1" x14ac:dyDescent="0.45">
      <c r="A1" t="s">
        <v>63</v>
      </c>
      <c r="C1" s="131" t="s">
        <v>34</v>
      </c>
      <c r="D1" s="131"/>
      <c r="E1" s="131"/>
      <c r="F1" s="132" t="s">
        <v>35</v>
      </c>
      <c r="G1" s="131"/>
      <c r="H1" s="133"/>
      <c r="I1" s="131" t="s">
        <v>36</v>
      </c>
      <c r="J1" s="131"/>
      <c r="K1" s="131"/>
      <c r="L1" s="131"/>
      <c r="M1" s="131"/>
      <c r="N1" s="131"/>
      <c r="O1" s="128" t="s">
        <v>33</v>
      </c>
      <c r="P1" s="108"/>
      <c r="Q1" s="108"/>
    </row>
    <row r="2" spans="1:17" x14ac:dyDescent="0.45">
      <c r="C2" s="107" t="s">
        <v>71</v>
      </c>
      <c r="D2" s="107" t="s">
        <v>71</v>
      </c>
      <c r="E2" s="107" t="s">
        <v>71</v>
      </c>
      <c r="F2" s="107" t="s">
        <v>72</v>
      </c>
      <c r="G2" s="107" t="s">
        <v>72</v>
      </c>
      <c r="H2" s="107" t="s">
        <v>72</v>
      </c>
      <c r="I2" s="107" t="s">
        <v>73</v>
      </c>
      <c r="J2" s="107" t="s">
        <v>74</v>
      </c>
      <c r="K2" s="107" t="str">
        <f>I2</f>
        <v>input~GASNGA</v>
      </c>
      <c r="L2" s="107" t="str">
        <f>J2</f>
        <v>input~ELC_gc</v>
      </c>
      <c r="M2" s="107" t="str">
        <f>K2</f>
        <v>input~GASNGA</v>
      </c>
      <c r="N2" s="107" t="str">
        <f>L2</f>
        <v>input~ELC_gc</v>
      </c>
      <c r="O2" s="129"/>
      <c r="P2" s="108"/>
      <c r="Q2" s="108"/>
    </row>
    <row r="3" spans="1:17" x14ac:dyDescent="0.45">
      <c r="C3" s="107">
        <v>2020</v>
      </c>
      <c r="D3" s="107">
        <v>2030</v>
      </c>
      <c r="E3" s="107">
        <v>2050</v>
      </c>
      <c r="F3" s="107">
        <f>C3</f>
        <v>2020</v>
      </c>
      <c r="G3" s="107">
        <f t="shared" ref="G3:H3" si="0">D3</f>
        <v>2030</v>
      </c>
      <c r="H3" s="107">
        <f t="shared" si="0"/>
        <v>2050</v>
      </c>
      <c r="I3" s="107">
        <v>2015</v>
      </c>
      <c r="J3" s="107">
        <v>2015</v>
      </c>
      <c r="K3" s="107">
        <v>2030</v>
      </c>
      <c r="L3" s="107">
        <v>2030</v>
      </c>
      <c r="M3" s="107">
        <v>2050</v>
      </c>
      <c r="N3" s="107">
        <v>2050</v>
      </c>
      <c r="O3" s="129"/>
      <c r="P3" s="108"/>
      <c r="Q3" s="108"/>
    </row>
    <row r="4" spans="1:17" ht="26.25" x14ac:dyDescent="0.45">
      <c r="C4" s="103">
        <v>2020</v>
      </c>
      <c r="D4" s="103">
        <v>2030</v>
      </c>
      <c r="E4" s="103" t="s">
        <v>37</v>
      </c>
      <c r="F4" s="102">
        <v>2015</v>
      </c>
      <c r="G4" s="103">
        <v>2030</v>
      </c>
      <c r="H4" s="106" t="s">
        <v>37</v>
      </c>
      <c r="I4" s="103" t="s">
        <v>38</v>
      </c>
      <c r="J4" s="103" t="s">
        <v>39</v>
      </c>
      <c r="K4" s="104" t="s">
        <v>40</v>
      </c>
      <c r="L4" s="105" t="s">
        <v>41</v>
      </c>
      <c r="M4" s="103" t="s">
        <v>42</v>
      </c>
      <c r="N4" s="103" t="s">
        <v>43</v>
      </c>
      <c r="O4" s="130"/>
      <c r="P4" s="108"/>
      <c r="Q4" s="108"/>
    </row>
    <row r="5" spans="1:17" x14ac:dyDescent="0.45">
      <c r="C5" s="3">
        <v>550</v>
      </c>
      <c r="D5" s="3">
        <v>500</v>
      </c>
      <c r="E5" s="3">
        <v>450</v>
      </c>
      <c r="F5" s="4">
        <v>22</v>
      </c>
      <c r="G5" s="5">
        <v>20</v>
      </c>
      <c r="H5" s="6">
        <v>18</v>
      </c>
      <c r="I5" s="7">
        <v>1.33</v>
      </c>
      <c r="J5" s="7">
        <v>9.4E-2</v>
      </c>
      <c r="K5" s="8">
        <v>1.3</v>
      </c>
      <c r="L5" s="9">
        <v>9.4E-2</v>
      </c>
      <c r="M5" s="7">
        <v>1.28</v>
      </c>
      <c r="N5" s="7">
        <v>9.4E-2</v>
      </c>
      <c r="O5" s="2" t="s">
        <v>44</v>
      </c>
      <c r="P5" s="111"/>
      <c r="Q5" s="111"/>
    </row>
    <row r="6" spans="1:17" x14ac:dyDescent="0.45">
      <c r="C6" s="11">
        <v>900</v>
      </c>
      <c r="D6" s="11">
        <v>850</v>
      </c>
      <c r="E6" s="11">
        <v>800</v>
      </c>
      <c r="F6" s="12">
        <v>36</v>
      </c>
      <c r="G6" s="13">
        <v>34</v>
      </c>
      <c r="H6" s="14">
        <v>32</v>
      </c>
      <c r="I6" s="15">
        <v>1.33</v>
      </c>
      <c r="J6" s="15">
        <v>1.0940000000000001</v>
      </c>
      <c r="K6" s="16">
        <v>1.3</v>
      </c>
      <c r="L6" s="17">
        <v>1.0940000000000001</v>
      </c>
      <c r="M6" s="15">
        <v>1.28</v>
      </c>
      <c r="N6" s="15">
        <v>1.0940000000000001</v>
      </c>
      <c r="O6" s="10" t="s">
        <v>45</v>
      </c>
      <c r="P6" s="112"/>
      <c r="Q6" s="112"/>
    </row>
    <row r="7" spans="1:17" x14ac:dyDescent="0.45">
      <c r="C7" s="3">
        <v>1978</v>
      </c>
      <c r="D7" s="3">
        <v>1598</v>
      </c>
      <c r="E7" s="3">
        <v>1450</v>
      </c>
      <c r="F7" s="4">
        <v>57</v>
      </c>
      <c r="G7" s="5">
        <v>31</v>
      </c>
      <c r="H7" s="6">
        <v>28</v>
      </c>
      <c r="I7" s="7">
        <v>1.53</v>
      </c>
      <c r="J7" s="7">
        <v>9.4E-2</v>
      </c>
      <c r="K7" s="8">
        <v>1.47</v>
      </c>
      <c r="L7" s="9">
        <v>9.4E-2</v>
      </c>
      <c r="M7" s="7">
        <v>1.43</v>
      </c>
      <c r="N7" s="7">
        <v>9.4E-2</v>
      </c>
      <c r="O7" s="2" t="s">
        <v>46</v>
      </c>
      <c r="P7" s="111"/>
      <c r="Q7" s="111"/>
    </row>
    <row r="8" spans="1:17" x14ac:dyDescent="0.45">
      <c r="C8" s="18">
        <v>1609.9999999999998</v>
      </c>
      <c r="D8" s="18">
        <v>740</v>
      </c>
      <c r="E8" s="18">
        <v>200</v>
      </c>
      <c r="F8" s="12">
        <v>49.000000000000007</v>
      </c>
      <c r="G8" s="13">
        <v>15</v>
      </c>
      <c r="H8" s="14">
        <v>10</v>
      </c>
      <c r="I8" s="15">
        <v>0</v>
      </c>
      <c r="J8" s="15">
        <v>1.39</v>
      </c>
      <c r="K8" s="16">
        <v>0</v>
      </c>
      <c r="L8" s="17">
        <v>1.19</v>
      </c>
      <c r="M8" s="15">
        <v>0</v>
      </c>
      <c r="N8" s="15">
        <v>1.17</v>
      </c>
      <c r="O8" s="10" t="s">
        <v>47</v>
      </c>
      <c r="P8" s="112"/>
      <c r="Q8" s="112"/>
    </row>
    <row r="9" spans="1:17" x14ac:dyDescent="0.45">
      <c r="C9" s="19">
        <v>2530</v>
      </c>
      <c r="D9" s="19">
        <v>1175</v>
      </c>
      <c r="E9" s="19">
        <v>350</v>
      </c>
      <c r="F9" s="4">
        <v>77.000000000000014</v>
      </c>
      <c r="G9" s="5">
        <v>34</v>
      </c>
      <c r="H9" s="6">
        <v>18</v>
      </c>
      <c r="I9" s="7">
        <v>0</v>
      </c>
      <c r="J9" s="7">
        <v>1.5</v>
      </c>
      <c r="K9" s="8">
        <v>0</v>
      </c>
      <c r="L9" s="9">
        <v>1.25</v>
      </c>
      <c r="M9" s="7">
        <v>0</v>
      </c>
      <c r="N9" s="7">
        <v>1.19</v>
      </c>
      <c r="O9" s="2" t="s">
        <v>48</v>
      </c>
      <c r="P9" s="111"/>
      <c r="Q9" s="111"/>
    </row>
    <row r="10" spans="1:17" x14ac:dyDescent="0.45">
      <c r="C10" s="18">
        <v>1265</v>
      </c>
      <c r="D10" s="18">
        <v>600</v>
      </c>
      <c r="E10" s="18">
        <v>180</v>
      </c>
      <c r="F10" s="12">
        <v>28</v>
      </c>
      <c r="G10" s="13">
        <v>14</v>
      </c>
      <c r="H10" s="14">
        <v>9</v>
      </c>
      <c r="I10" s="15">
        <v>0</v>
      </c>
      <c r="J10" s="15">
        <v>1.3952</v>
      </c>
      <c r="K10" s="16">
        <v>0</v>
      </c>
      <c r="L10" s="17">
        <v>1.268</v>
      </c>
      <c r="M10" s="15">
        <v>0</v>
      </c>
      <c r="N10" s="15">
        <v>1.18</v>
      </c>
      <c r="O10" s="10" t="s">
        <v>49</v>
      </c>
      <c r="P10" s="112"/>
      <c r="Q10" s="112"/>
    </row>
    <row r="11" spans="1:17" x14ac:dyDescent="0.45">
      <c r="C11" s="19">
        <v>1897.4999999999998</v>
      </c>
      <c r="D11" s="19">
        <v>715</v>
      </c>
      <c r="E11" s="19">
        <v>300</v>
      </c>
      <c r="F11" s="4">
        <v>41</v>
      </c>
      <c r="G11" s="5">
        <v>17</v>
      </c>
      <c r="H11" s="6">
        <v>15</v>
      </c>
      <c r="I11" s="7">
        <v>0</v>
      </c>
      <c r="J11" s="7">
        <v>1.3952</v>
      </c>
      <c r="K11" s="8">
        <v>0</v>
      </c>
      <c r="L11" s="9">
        <v>1.268</v>
      </c>
      <c r="M11" s="7">
        <v>0</v>
      </c>
      <c r="N11" s="7">
        <v>1.2</v>
      </c>
      <c r="O11" s="2" t="s">
        <v>50</v>
      </c>
      <c r="P11" s="111"/>
      <c r="Q11" s="111"/>
    </row>
    <row r="12" spans="1:17" x14ac:dyDescent="0.45">
      <c r="C12" s="18">
        <v>3332.088235294118</v>
      </c>
      <c r="D12" s="18">
        <v>1421.3921568627452</v>
      </c>
      <c r="E12" s="18">
        <v>600</v>
      </c>
      <c r="F12" s="12">
        <v>55.825000000000003</v>
      </c>
      <c r="G12" s="13">
        <v>36.18</v>
      </c>
      <c r="H12" s="14">
        <v>39</v>
      </c>
      <c r="I12" s="15">
        <v>1.996667038759689</v>
      </c>
      <c r="J12" s="15">
        <v>0.83711999999999998</v>
      </c>
      <c r="K12" s="16">
        <v>1.4556272790939169</v>
      </c>
      <c r="L12" s="17">
        <v>0.76080000000000003</v>
      </c>
      <c r="M12" s="15">
        <v>0.33333333333333337</v>
      </c>
      <c r="N12" s="15">
        <v>0.70799999999999996</v>
      </c>
      <c r="O12" s="10" t="s">
        <v>51</v>
      </c>
      <c r="P12" s="112"/>
      <c r="Q12" s="112"/>
    </row>
    <row r="13" spans="1:17" x14ac:dyDescent="0.45">
      <c r="C13" s="19">
        <v>5331.3411764705888</v>
      </c>
      <c r="D13" s="19">
        <v>2920.8941176470589</v>
      </c>
      <c r="E13" s="19">
        <v>1100</v>
      </c>
      <c r="F13" s="4">
        <v>94.902500000000003</v>
      </c>
      <c r="G13" s="5">
        <v>63.314999999999998</v>
      </c>
      <c r="H13" s="6">
        <v>48.75</v>
      </c>
      <c r="I13" s="7">
        <v>1.996667038759689</v>
      </c>
      <c r="J13" s="7">
        <v>0.83711999999999998</v>
      </c>
      <c r="K13" s="8">
        <v>1.4556272790939169</v>
      </c>
      <c r="L13" s="9">
        <v>0.76080000000000003</v>
      </c>
      <c r="M13" s="7">
        <v>0.33333333333333337</v>
      </c>
      <c r="N13" s="7">
        <v>0.72</v>
      </c>
      <c r="O13" s="2" t="s">
        <v>52</v>
      </c>
      <c r="P13" s="111"/>
      <c r="Q13" s="111"/>
    </row>
    <row r="14" spans="1:17" x14ac:dyDescent="0.45">
      <c r="C14" s="21">
        <v>1200</v>
      </c>
      <c r="D14" s="21">
        <v>733</v>
      </c>
      <c r="E14" s="21">
        <v>263</v>
      </c>
      <c r="F14" s="22">
        <v>42</v>
      </c>
      <c r="G14" s="23">
        <v>22</v>
      </c>
      <c r="H14" s="24">
        <v>9</v>
      </c>
      <c r="I14" s="25">
        <v>0</v>
      </c>
      <c r="J14" s="26">
        <v>0.01</v>
      </c>
      <c r="K14" s="27">
        <v>0</v>
      </c>
      <c r="L14" s="28">
        <v>0.01</v>
      </c>
      <c r="M14" s="26">
        <v>0</v>
      </c>
      <c r="N14" s="26">
        <v>0.01</v>
      </c>
      <c r="O14" s="20" t="s">
        <v>53</v>
      </c>
      <c r="P14" s="113"/>
      <c r="Q14" s="113"/>
    </row>
    <row r="15" spans="1:17" x14ac:dyDescent="0.45">
      <c r="C15" s="29">
        <v>450</v>
      </c>
      <c r="D15" s="29">
        <v>450</v>
      </c>
      <c r="E15" s="29">
        <v>450</v>
      </c>
      <c r="F15" s="30">
        <v>18</v>
      </c>
      <c r="G15" s="31">
        <v>18</v>
      </c>
      <c r="H15" s="32">
        <v>18</v>
      </c>
      <c r="I15" s="33">
        <v>0.26582278481012644</v>
      </c>
      <c r="J15" s="34">
        <v>0.06</v>
      </c>
      <c r="K15" s="35">
        <v>0.26582278481012644</v>
      </c>
      <c r="L15" s="36">
        <v>0.06</v>
      </c>
      <c r="M15" s="34">
        <v>0.26582278481012644</v>
      </c>
      <c r="N15" s="34">
        <v>0.06</v>
      </c>
      <c r="O15" s="94" t="s">
        <v>54</v>
      </c>
      <c r="P15" s="114"/>
      <c r="Q15" s="114"/>
    </row>
    <row r="16" spans="1:17" x14ac:dyDescent="0.45">
      <c r="C16" s="37">
        <v>200</v>
      </c>
      <c r="D16" s="37">
        <v>200</v>
      </c>
      <c r="E16" s="37">
        <v>200</v>
      </c>
      <c r="F16" s="38">
        <v>20</v>
      </c>
      <c r="G16" s="39">
        <v>20</v>
      </c>
      <c r="H16" s="40">
        <v>20</v>
      </c>
      <c r="I16" s="41">
        <v>1.2999999999999999E-2</v>
      </c>
      <c r="J16" s="42">
        <v>3.5999999999999997E-2</v>
      </c>
      <c r="K16" s="43">
        <v>1.2999999999999999E-2</v>
      </c>
      <c r="L16" s="44">
        <v>3.5999999999999997E-2</v>
      </c>
      <c r="M16" s="42">
        <v>1.2999999999999999E-2</v>
      </c>
      <c r="N16" s="42">
        <v>3.5999999999999997E-2</v>
      </c>
      <c r="O16" s="95" t="s">
        <v>55</v>
      </c>
      <c r="P16" s="115"/>
      <c r="Q16" s="115"/>
    </row>
    <row r="17" spans="1:24" x14ac:dyDescent="0.45">
      <c r="C17" s="29">
        <v>175</v>
      </c>
      <c r="D17" s="29">
        <v>175</v>
      </c>
      <c r="E17" s="29">
        <v>175</v>
      </c>
      <c r="F17" s="30">
        <v>5</v>
      </c>
      <c r="G17" s="31">
        <v>5</v>
      </c>
      <c r="H17" s="32">
        <v>5</v>
      </c>
      <c r="I17" s="33">
        <v>1.4E-2</v>
      </c>
      <c r="J17" s="34">
        <v>0</v>
      </c>
      <c r="K17" s="35">
        <v>1.4E-2</v>
      </c>
      <c r="L17" s="36">
        <v>0</v>
      </c>
      <c r="M17" s="34">
        <v>1.4E-2</v>
      </c>
      <c r="N17" s="34">
        <v>0</v>
      </c>
      <c r="O17" s="94" t="s">
        <v>56</v>
      </c>
      <c r="P17" s="114"/>
      <c r="Q17" s="114"/>
    </row>
    <row r="18" spans="1:24" x14ac:dyDescent="0.45">
      <c r="C18" s="45">
        <v>1000</v>
      </c>
      <c r="D18" s="45">
        <v>720</v>
      </c>
      <c r="E18" s="45">
        <v>364</v>
      </c>
      <c r="F18" s="46">
        <v>50</v>
      </c>
      <c r="G18" s="47">
        <v>31</v>
      </c>
      <c r="H18" s="48">
        <v>18</v>
      </c>
      <c r="I18" s="49">
        <v>0.2389</v>
      </c>
      <c r="J18" s="50">
        <v>3.056E-2</v>
      </c>
      <c r="K18" s="51">
        <v>0.2389</v>
      </c>
      <c r="L18" s="52">
        <v>3.056E-2</v>
      </c>
      <c r="M18" s="50">
        <v>0.2389</v>
      </c>
      <c r="N18" s="50">
        <v>3.056E-2</v>
      </c>
      <c r="O18" s="96" t="s">
        <v>57</v>
      </c>
      <c r="P18" s="116"/>
      <c r="Q18" s="116"/>
    </row>
    <row r="19" spans="1:24" x14ac:dyDescent="0.45">
      <c r="C19" s="53">
        <v>1556</v>
      </c>
      <c r="D19" s="53">
        <v>1143</v>
      </c>
      <c r="E19" s="54">
        <v>673</v>
      </c>
      <c r="F19" s="55">
        <v>54</v>
      </c>
      <c r="G19" s="56">
        <v>40</v>
      </c>
      <c r="H19" s="57">
        <v>24</v>
      </c>
      <c r="I19" s="58">
        <v>3.5000000000000003E-2</v>
      </c>
      <c r="J19" s="59">
        <v>0.02</v>
      </c>
      <c r="K19" s="60">
        <v>3.5000000000000003E-2</v>
      </c>
      <c r="L19" s="61">
        <v>0.02</v>
      </c>
      <c r="M19" s="59">
        <v>3.5000000000000003E-2</v>
      </c>
      <c r="N19" s="59">
        <v>0.02</v>
      </c>
      <c r="O19" s="97" t="s">
        <v>58</v>
      </c>
      <c r="P19" s="117"/>
      <c r="Q19" s="117"/>
    </row>
    <row r="20" spans="1:24" x14ac:dyDescent="0.45">
      <c r="C20" s="62">
        <v>2332</v>
      </c>
      <c r="D20" s="62">
        <v>1511</v>
      </c>
      <c r="E20" s="62">
        <v>965</v>
      </c>
      <c r="F20" s="63">
        <v>163</v>
      </c>
      <c r="G20" s="64">
        <v>106</v>
      </c>
      <c r="H20" s="65">
        <v>68</v>
      </c>
      <c r="I20" s="66">
        <v>0.46326666666666666</v>
      </c>
      <c r="J20" s="67">
        <v>1.9188104089219331</v>
      </c>
      <c r="K20" s="68">
        <v>0.39244195142277988</v>
      </c>
      <c r="L20" s="69">
        <v>1.6009812088633062</v>
      </c>
      <c r="M20" s="67">
        <v>0.37890902062421039</v>
      </c>
      <c r="N20" s="67">
        <v>1.5694083453910281</v>
      </c>
      <c r="O20" s="98" t="s">
        <v>59</v>
      </c>
      <c r="P20" s="116"/>
      <c r="Q20" s="116"/>
    </row>
    <row r="21" spans="1:24" x14ac:dyDescent="0.45">
      <c r="C21" s="70">
        <v>769.8768197088466</v>
      </c>
      <c r="D21" s="70">
        <v>648.04446103438272</v>
      </c>
      <c r="E21" s="70">
        <v>518.29059243801294</v>
      </c>
      <c r="F21" s="71">
        <v>26.945688689809632</v>
      </c>
      <c r="G21" s="72">
        <v>22.681556136203398</v>
      </c>
      <c r="H21" s="73">
        <v>18.140170735330454</v>
      </c>
      <c r="I21" s="74">
        <v>2.7777777777777777</v>
      </c>
      <c r="J21" s="75">
        <v>2.2222222222222223</v>
      </c>
      <c r="K21" s="76">
        <v>1.6666666666666665</v>
      </c>
      <c r="L21" s="77">
        <v>1.3888888888888888</v>
      </c>
      <c r="M21" s="75">
        <v>1.1388888888888888</v>
      </c>
      <c r="N21" s="75">
        <v>0.3</v>
      </c>
      <c r="O21" s="99" t="s">
        <v>60</v>
      </c>
      <c r="P21" s="118"/>
      <c r="Q21" s="118"/>
    </row>
    <row r="22" spans="1:24" x14ac:dyDescent="0.45">
      <c r="C22" s="78">
        <v>1259.7984322508398</v>
      </c>
      <c r="D22" s="78">
        <v>894.30135622744808</v>
      </c>
      <c r="E22" s="78">
        <v>495</v>
      </c>
      <c r="F22" s="79">
        <v>44.092945128779398</v>
      </c>
      <c r="G22" s="80">
        <v>31.300547467960687</v>
      </c>
      <c r="H22" s="81">
        <v>17.325000000000003</v>
      </c>
      <c r="I22" s="82">
        <v>2</v>
      </c>
      <c r="J22" s="83">
        <v>0.3</v>
      </c>
      <c r="K22" s="84">
        <v>1.8055555555555556</v>
      </c>
      <c r="L22" s="85">
        <v>0.3</v>
      </c>
      <c r="M22" s="83">
        <v>1.5</v>
      </c>
      <c r="N22" s="83">
        <v>0.3</v>
      </c>
      <c r="O22" s="100" t="s">
        <v>61</v>
      </c>
      <c r="P22" s="119"/>
      <c r="Q22" s="119"/>
    </row>
    <row r="23" spans="1:24" x14ac:dyDescent="0.45">
      <c r="C23" s="86">
        <v>174</v>
      </c>
      <c r="D23" s="86">
        <v>174</v>
      </c>
      <c r="E23" s="86">
        <v>174</v>
      </c>
      <c r="F23" s="87">
        <v>3</v>
      </c>
      <c r="G23" s="88">
        <v>3</v>
      </c>
      <c r="H23" s="89">
        <v>3</v>
      </c>
      <c r="I23" s="90">
        <v>0</v>
      </c>
      <c r="J23" s="91">
        <v>0.20588235294117646</v>
      </c>
      <c r="K23" s="92">
        <v>0</v>
      </c>
      <c r="L23" s="93">
        <v>0.20588235294117646</v>
      </c>
      <c r="M23" s="91">
        <v>0</v>
      </c>
      <c r="N23" s="91">
        <v>0.20588235294117646</v>
      </c>
      <c r="O23" s="101" t="s">
        <v>62</v>
      </c>
      <c r="P23" s="118"/>
      <c r="Q23" s="118"/>
    </row>
    <row r="26" spans="1:24" ht="17.25" thickBot="1" x14ac:dyDescent="0.55000000000000004">
      <c r="C26" s="121" t="s">
        <v>75</v>
      </c>
      <c r="S26" s="121" t="s">
        <v>1</v>
      </c>
    </row>
    <row r="27" spans="1:24" ht="14.65" thickTop="1" x14ac:dyDescent="0.45">
      <c r="A27" s="120" t="s">
        <v>4</v>
      </c>
      <c r="B27" s="120" t="s">
        <v>3</v>
      </c>
      <c r="C27" s="120" t="str">
        <f>C2&amp;"~"&amp;C3</f>
        <v>invcost~2020</v>
      </c>
      <c r="D27" s="120" t="str">
        <f t="shared" ref="D27:N27" si="1">D2&amp;"~"&amp;D3</f>
        <v>invcost~2030</v>
      </c>
      <c r="E27" s="120" t="str">
        <f t="shared" si="1"/>
        <v>invcost~2050</v>
      </c>
      <c r="F27" s="120" t="str">
        <f t="shared" si="1"/>
        <v>fixom~2020</v>
      </c>
      <c r="G27" s="120" t="str">
        <f t="shared" si="1"/>
        <v>fixom~2030</v>
      </c>
      <c r="H27" s="120" t="str">
        <f t="shared" si="1"/>
        <v>fixom~2050</v>
      </c>
      <c r="I27" s="120" t="str">
        <f t="shared" si="1"/>
        <v>input~GASNGA~2015</v>
      </c>
      <c r="J27" s="120" t="str">
        <f t="shared" si="1"/>
        <v>input~ELC_gc~2015</v>
      </c>
      <c r="K27" s="120" t="str">
        <f t="shared" si="1"/>
        <v>input~GASNGA~2030</v>
      </c>
      <c r="L27" s="120" t="str">
        <f t="shared" si="1"/>
        <v>input~ELC_gc~2030</v>
      </c>
      <c r="M27" s="120" t="str">
        <f t="shared" si="1"/>
        <v>input~GASNGA~2050</v>
      </c>
      <c r="N27" s="120" t="str">
        <f t="shared" si="1"/>
        <v>input~ELC_gc~2050</v>
      </c>
      <c r="O27" s="120" t="s">
        <v>2</v>
      </c>
      <c r="P27" s="120" t="s">
        <v>69</v>
      </c>
      <c r="Q27" s="120" t="s">
        <v>70</v>
      </c>
      <c r="S27" s="120" t="s">
        <v>7</v>
      </c>
      <c r="T27" s="120" t="s">
        <v>2</v>
      </c>
      <c r="U27" s="120" t="s">
        <v>8</v>
      </c>
      <c r="V27" s="120" t="s">
        <v>11</v>
      </c>
      <c r="W27" s="120" t="s">
        <v>10</v>
      </c>
      <c r="X27" s="120" t="s">
        <v>9</v>
      </c>
    </row>
    <row r="28" spans="1:24" x14ac:dyDescent="0.45">
      <c r="A28" t="s">
        <v>15</v>
      </c>
      <c r="B28" t="s">
        <v>111</v>
      </c>
      <c r="C28" s="110">
        <f>C5</f>
        <v>550</v>
      </c>
      <c r="D28" s="110">
        <f t="shared" ref="D28:N28" si="2">D5</f>
        <v>500</v>
      </c>
      <c r="E28" s="110">
        <f t="shared" si="2"/>
        <v>450</v>
      </c>
      <c r="F28" s="110">
        <f t="shared" si="2"/>
        <v>22</v>
      </c>
      <c r="G28" s="110">
        <f t="shared" si="2"/>
        <v>20</v>
      </c>
      <c r="H28" s="110">
        <f t="shared" si="2"/>
        <v>18</v>
      </c>
      <c r="I28" s="109">
        <f t="shared" si="2"/>
        <v>1.33</v>
      </c>
      <c r="J28" s="109">
        <f t="shared" si="2"/>
        <v>9.4E-2</v>
      </c>
      <c r="K28" s="109">
        <f t="shared" si="2"/>
        <v>1.3</v>
      </c>
      <c r="L28" s="109">
        <f t="shared" si="2"/>
        <v>9.4E-2</v>
      </c>
      <c r="M28" s="109">
        <f t="shared" si="2"/>
        <v>1.28</v>
      </c>
      <c r="N28" s="109">
        <f t="shared" si="2"/>
        <v>9.4E-2</v>
      </c>
      <c r="O28" s="122" t="s">
        <v>76</v>
      </c>
      <c r="P28">
        <v>25</v>
      </c>
      <c r="Q28">
        <v>31.536000000000001</v>
      </c>
      <c r="S28" t="str">
        <f>IF(O28="","*","PRE")</f>
        <v>PRE</v>
      </c>
      <c r="T28" t="str">
        <f>O28</f>
        <v>\I:</v>
      </c>
      <c r="U28" t="str">
        <f t="shared" ref="U28:U36" si="3">O5</f>
        <v>Hydrogen from natural gas steam reforming centralised - Large scale  (per 1 kW or 1 MWh H2 HHV)</v>
      </c>
      <c r="V28" t="s">
        <v>68</v>
      </c>
      <c r="W28" t="s">
        <v>20</v>
      </c>
      <c r="X28" t="s">
        <v>19</v>
      </c>
    </row>
    <row r="29" spans="1:24" x14ac:dyDescent="0.45">
      <c r="A29" t="s">
        <v>15</v>
      </c>
      <c r="B29" t="s">
        <v>111</v>
      </c>
      <c r="C29" s="110">
        <f t="shared" ref="C29:N29" si="4">C6</f>
        <v>900</v>
      </c>
      <c r="D29" s="110">
        <f t="shared" si="4"/>
        <v>850</v>
      </c>
      <c r="E29" s="110">
        <f t="shared" si="4"/>
        <v>800</v>
      </c>
      <c r="F29" s="110">
        <f t="shared" si="4"/>
        <v>36</v>
      </c>
      <c r="G29" s="110">
        <f t="shared" si="4"/>
        <v>34</v>
      </c>
      <c r="H29" s="110">
        <f t="shared" si="4"/>
        <v>32</v>
      </c>
      <c r="I29" s="109">
        <f t="shared" si="4"/>
        <v>1.33</v>
      </c>
      <c r="J29" s="126">
        <f t="shared" si="4"/>
        <v>1.0940000000000001</v>
      </c>
      <c r="K29" s="109">
        <f t="shared" si="4"/>
        <v>1.3</v>
      </c>
      <c r="L29" s="126">
        <f t="shared" si="4"/>
        <v>1.0940000000000001</v>
      </c>
      <c r="M29" s="109">
        <f t="shared" si="4"/>
        <v>1.28</v>
      </c>
      <c r="N29" s="126">
        <f t="shared" si="4"/>
        <v>1.0940000000000001</v>
      </c>
      <c r="O29" t="s">
        <v>64</v>
      </c>
      <c r="P29">
        <v>25</v>
      </c>
      <c r="Q29">
        <v>31.536000000000001</v>
      </c>
      <c r="S29" t="str">
        <f t="shared" ref="S29:S38" si="5">IF(O29="","*","PRE")</f>
        <v>PRE</v>
      </c>
      <c r="T29" t="str">
        <f t="shared" ref="T29:T38" si="6">O29</f>
        <v>H2prd_Gas_SR_CCS</v>
      </c>
      <c r="U29" t="str">
        <f t="shared" si="3"/>
        <v>Hydrogen from natural gas steam reforming centralised - Large scale with CCU  (per 1 kW or 1 MWh H2 HHV)</v>
      </c>
      <c r="V29" t="s">
        <v>68</v>
      </c>
      <c r="W29" t="s">
        <v>20</v>
      </c>
      <c r="X29" t="s">
        <v>19</v>
      </c>
    </row>
    <row r="30" spans="1:24" x14ac:dyDescent="0.45">
      <c r="A30" t="s">
        <v>15</v>
      </c>
      <c r="B30" t="s">
        <v>111</v>
      </c>
      <c r="C30" s="110">
        <f t="shared" ref="C30:N30" si="7">C7</f>
        <v>1978</v>
      </c>
      <c r="D30" s="110">
        <f t="shared" si="7"/>
        <v>1598</v>
      </c>
      <c r="E30" s="110">
        <f t="shared" si="7"/>
        <v>1450</v>
      </c>
      <c r="F30" s="110">
        <f t="shared" si="7"/>
        <v>57</v>
      </c>
      <c r="G30" s="110">
        <f t="shared" si="7"/>
        <v>31</v>
      </c>
      <c r="H30" s="110">
        <f t="shared" si="7"/>
        <v>28</v>
      </c>
      <c r="I30" s="109">
        <f t="shared" si="7"/>
        <v>1.53</v>
      </c>
      <c r="J30" s="109">
        <f t="shared" si="7"/>
        <v>9.4E-2</v>
      </c>
      <c r="K30" s="109">
        <f t="shared" si="7"/>
        <v>1.47</v>
      </c>
      <c r="L30" s="109">
        <f t="shared" si="7"/>
        <v>9.4E-2</v>
      </c>
      <c r="M30" s="109">
        <f t="shared" si="7"/>
        <v>1.43</v>
      </c>
      <c r="N30" s="109">
        <f t="shared" si="7"/>
        <v>9.4E-2</v>
      </c>
      <c r="O30" s="122" t="s">
        <v>76</v>
      </c>
      <c r="S30" t="str">
        <f t="shared" si="5"/>
        <v>PRE</v>
      </c>
      <c r="T30" t="str">
        <f t="shared" si="6"/>
        <v>\I:</v>
      </c>
      <c r="U30" t="str">
        <f t="shared" si="3"/>
        <v>Hydrogen from natural gas steam reforming de-centralised - Medium scale  (per 1 kW or 1 MWh H2 HHV)</v>
      </c>
      <c r="V30" t="s">
        <v>68</v>
      </c>
      <c r="W30" t="s">
        <v>20</v>
      </c>
      <c r="X30" t="s">
        <v>19</v>
      </c>
    </row>
    <row r="31" spans="1:24" x14ac:dyDescent="0.45">
      <c r="A31" t="s">
        <v>15</v>
      </c>
      <c r="B31" t="s">
        <v>111</v>
      </c>
      <c r="C31" s="110">
        <f t="shared" ref="C31:N31" si="8">C8</f>
        <v>1609.9999999999998</v>
      </c>
      <c r="D31" s="110">
        <f t="shared" si="8"/>
        <v>740</v>
      </c>
      <c r="E31" s="110">
        <f t="shared" si="8"/>
        <v>200</v>
      </c>
      <c r="F31" s="110">
        <f t="shared" si="8"/>
        <v>49.000000000000007</v>
      </c>
      <c r="G31" s="110">
        <f t="shared" si="8"/>
        <v>15</v>
      </c>
      <c r="H31" s="110">
        <f t="shared" si="8"/>
        <v>10</v>
      </c>
      <c r="I31" s="109"/>
      <c r="J31" s="109">
        <f t="shared" si="8"/>
        <v>1.39</v>
      </c>
      <c r="K31" s="109"/>
      <c r="L31" s="109">
        <f t="shared" si="8"/>
        <v>1.19</v>
      </c>
      <c r="M31" s="109"/>
      <c r="N31" s="109">
        <f t="shared" si="8"/>
        <v>1.17</v>
      </c>
      <c r="O31" t="s">
        <v>65</v>
      </c>
      <c r="P31">
        <v>25</v>
      </c>
      <c r="Q31">
        <v>31.536000000000001</v>
      </c>
      <c r="S31" t="str">
        <f t="shared" si="5"/>
        <v>PRE</v>
      </c>
      <c r="T31" t="str">
        <f t="shared" si="6"/>
        <v>H2prd_Elc_PEM</v>
      </c>
      <c r="U31" t="str">
        <f t="shared" si="3"/>
        <v>Hydrogen from low temperature water electrolysis PEM centralised - Large scale  (per 1 kW or 1 MWh H2 HHV)</v>
      </c>
      <c r="V31" t="s">
        <v>68</v>
      </c>
      <c r="W31" t="s">
        <v>20</v>
      </c>
      <c r="X31" t="s">
        <v>19</v>
      </c>
    </row>
    <row r="32" spans="1:24" x14ac:dyDescent="0.45">
      <c r="A32" t="s">
        <v>15</v>
      </c>
      <c r="B32" t="s">
        <v>111</v>
      </c>
      <c r="C32" s="110">
        <f t="shared" ref="C32:N32" si="9">C9</f>
        <v>2530</v>
      </c>
      <c r="D32" s="110">
        <f t="shared" si="9"/>
        <v>1175</v>
      </c>
      <c r="E32" s="110">
        <f t="shared" si="9"/>
        <v>350</v>
      </c>
      <c r="F32" s="110">
        <f t="shared" si="9"/>
        <v>77.000000000000014</v>
      </c>
      <c r="G32" s="110">
        <f t="shared" si="9"/>
        <v>34</v>
      </c>
      <c r="H32" s="110">
        <f t="shared" si="9"/>
        <v>18</v>
      </c>
      <c r="I32" s="109"/>
      <c r="J32" s="109">
        <f t="shared" si="9"/>
        <v>1.5</v>
      </c>
      <c r="K32" s="109"/>
      <c r="L32" s="109">
        <f t="shared" si="9"/>
        <v>1.25</v>
      </c>
      <c r="M32" s="109"/>
      <c r="N32" s="109">
        <f t="shared" si="9"/>
        <v>1.19</v>
      </c>
      <c r="O32" s="122" t="s">
        <v>76</v>
      </c>
      <c r="S32" t="str">
        <f t="shared" si="5"/>
        <v>PRE</v>
      </c>
      <c r="T32" t="str">
        <f t="shared" si="6"/>
        <v>\I:</v>
      </c>
      <c r="U32" t="str">
        <f t="shared" si="3"/>
        <v>Hydrogen from low temperature water electrolysis PEM de-centralised at a refuelling station  (per 1 kW or 1 MWh H2 HHV)</v>
      </c>
      <c r="V32" t="s">
        <v>68</v>
      </c>
      <c r="W32" t="s">
        <v>20</v>
      </c>
      <c r="X32" t="s">
        <v>19</v>
      </c>
    </row>
    <row r="33" spans="1:24" x14ac:dyDescent="0.45">
      <c r="A33" t="s">
        <v>15</v>
      </c>
      <c r="B33" t="s">
        <v>111</v>
      </c>
      <c r="C33" s="110">
        <f t="shared" ref="C33:N33" si="10">C10</f>
        <v>1265</v>
      </c>
      <c r="D33" s="110">
        <f t="shared" si="10"/>
        <v>600</v>
      </c>
      <c r="E33" s="110">
        <f t="shared" si="10"/>
        <v>180</v>
      </c>
      <c r="F33" s="110">
        <f t="shared" si="10"/>
        <v>28</v>
      </c>
      <c r="G33" s="110">
        <f t="shared" si="10"/>
        <v>14</v>
      </c>
      <c r="H33" s="110">
        <f t="shared" si="10"/>
        <v>9</v>
      </c>
      <c r="I33" s="109"/>
      <c r="J33" s="109">
        <f t="shared" si="10"/>
        <v>1.3952</v>
      </c>
      <c r="K33" s="109"/>
      <c r="L33" s="109">
        <f t="shared" si="10"/>
        <v>1.268</v>
      </c>
      <c r="M33" s="109"/>
      <c r="N33" s="109">
        <f t="shared" si="10"/>
        <v>1.18</v>
      </c>
      <c r="O33" t="s">
        <v>66</v>
      </c>
      <c r="P33">
        <v>25</v>
      </c>
      <c r="Q33">
        <v>31.536000000000001</v>
      </c>
      <c r="S33" t="str">
        <f t="shared" si="5"/>
        <v>PRE</v>
      </c>
      <c r="T33" t="str">
        <f t="shared" si="6"/>
        <v>H2prd_Elc_ALK</v>
      </c>
      <c r="U33" t="str">
        <f t="shared" si="3"/>
        <v>Hydrogen from low temperature water electrolysis - Alkaline centralised, large scale  (per 1 kW or 1 MWh H2 HHV)</v>
      </c>
      <c r="V33" t="s">
        <v>68</v>
      </c>
      <c r="W33" t="s">
        <v>20</v>
      </c>
      <c r="X33" t="s">
        <v>19</v>
      </c>
    </row>
    <row r="34" spans="1:24" x14ac:dyDescent="0.45">
      <c r="A34" t="s">
        <v>15</v>
      </c>
      <c r="B34" t="s">
        <v>111</v>
      </c>
      <c r="C34" s="110">
        <f t="shared" ref="C34:N34" si="11">C11</f>
        <v>1897.4999999999998</v>
      </c>
      <c r="D34" s="110">
        <f t="shared" si="11"/>
        <v>715</v>
      </c>
      <c r="E34" s="110">
        <f t="shared" si="11"/>
        <v>300</v>
      </c>
      <c r="F34" s="110">
        <f t="shared" si="11"/>
        <v>41</v>
      </c>
      <c r="G34" s="110">
        <f t="shared" si="11"/>
        <v>17</v>
      </c>
      <c r="H34" s="110">
        <f t="shared" si="11"/>
        <v>15</v>
      </c>
      <c r="I34" s="109"/>
      <c r="J34" s="109">
        <f t="shared" si="11"/>
        <v>1.3952</v>
      </c>
      <c r="K34" s="109"/>
      <c r="L34" s="109">
        <f t="shared" si="11"/>
        <v>1.268</v>
      </c>
      <c r="M34" s="109"/>
      <c r="N34" s="109">
        <f t="shared" si="11"/>
        <v>1.2</v>
      </c>
      <c r="O34" s="122" t="s">
        <v>76</v>
      </c>
      <c r="S34" t="str">
        <f t="shared" si="5"/>
        <v>PRE</v>
      </c>
      <c r="T34" t="str">
        <f t="shared" si="6"/>
        <v>\I:</v>
      </c>
      <c r="U34" t="str">
        <f t="shared" si="3"/>
        <v>Hydrogen from low temperature water electrolysis Alkaline de-centralised at a refuelling station  (per 1 kW or 1 MWh H2 HHV)</v>
      </c>
      <c r="V34" t="s">
        <v>68</v>
      </c>
      <c r="W34" t="s">
        <v>20</v>
      </c>
      <c r="X34" t="s">
        <v>19</v>
      </c>
    </row>
    <row r="35" spans="1:24" x14ac:dyDescent="0.45">
      <c r="A35" t="s">
        <v>15</v>
      </c>
      <c r="B35" t="s">
        <v>111</v>
      </c>
      <c r="C35" s="110">
        <f t="shared" ref="C35:N35" si="12">C12</f>
        <v>3332.088235294118</v>
      </c>
      <c r="D35" s="110">
        <f t="shared" si="12"/>
        <v>1421.3921568627452</v>
      </c>
      <c r="E35" s="110">
        <f t="shared" si="12"/>
        <v>600</v>
      </c>
      <c r="F35" s="110">
        <f t="shared" si="12"/>
        <v>55.825000000000003</v>
      </c>
      <c r="G35" s="110">
        <f t="shared" si="12"/>
        <v>36.18</v>
      </c>
      <c r="H35" s="110">
        <f t="shared" si="12"/>
        <v>39</v>
      </c>
      <c r="I35" s="109">
        <f t="shared" si="12"/>
        <v>1.996667038759689</v>
      </c>
      <c r="J35" s="109">
        <f t="shared" si="12"/>
        <v>0.83711999999999998</v>
      </c>
      <c r="K35" s="109">
        <f t="shared" si="12"/>
        <v>1.4556272790939169</v>
      </c>
      <c r="L35" s="109">
        <f t="shared" si="12"/>
        <v>0.76080000000000003</v>
      </c>
      <c r="M35" s="109">
        <f t="shared" si="12"/>
        <v>0.33333333333333337</v>
      </c>
      <c r="N35" s="109">
        <f t="shared" si="12"/>
        <v>0.70799999999999996</v>
      </c>
      <c r="O35" t="s">
        <v>67</v>
      </c>
      <c r="P35">
        <v>25</v>
      </c>
      <c r="Q35">
        <v>31.536000000000001</v>
      </c>
      <c r="S35" t="str">
        <f t="shared" si="5"/>
        <v>PRE</v>
      </c>
      <c r="T35" t="str">
        <f t="shared" si="6"/>
        <v>H2prd_Elc_SOEC</v>
      </c>
      <c r="U35" t="str">
        <f t="shared" si="3"/>
        <v>Hydrogen from high temperature water electrolysis SOEC centralised  (per 1 kW or 1 MWh H2 HHV)</v>
      </c>
      <c r="V35" t="s">
        <v>68</v>
      </c>
      <c r="W35" t="s">
        <v>20</v>
      </c>
      <c r="X35" t="s">
        <v>19</v>
      </c>
    </row>
    <row r="36" spans="1:24" x14ac:dyDescent="0.45">
      <c r="C36" s="110">
        <f t="shared" ref="C36:N36" si="13">C13</f>
        <v>5331.3411764705888</v>
      </c>
      <c r="D36" s="110">
        <f t="shared" si="13"/>
        <v>2920.8941176470589</v>
      </c>
      <c r="E36" s="110">
        <f t="shared" si="13"/>
        <v>1100</v>
      </c>
      <c r="F36" s="110">
        <f t="shared" si="13"/>
        <v>94.902500000000003</v>
      </c>
      <c r="G36" s="110">
        <f t="shared" si="13"/>
        <v>63.314999999999998</v>
      </c>
      <c r="H36" s="110">
        <f t="shared" si="13"/>
        <v>48.75</v>
      </c>
      <c r="I36" s="109">
        <f t="shared" si="13"/>
        <v>1.996667038759689</v>
      </c>
      <c r="J36" s="109">
        <f t="shared" si="13"/>
        <v>0.83711999999999998</v>
      </c>
      <c r="K36" s="109">
        <f t="shared" si="13"/>
        <v>1.4556272790939169</v>
      </c>
      <c r="L36" s="109">
        <f t="shared" si="13"/>
        <v>0.76080000000000003</v>
      </c>
      <c r="M36" s="109">
        <f t="shared" si="13"/>
        <v>0.33333333333333337</v>
      </c>
      <c r="N36" s="109">
        <f t="shared" si="13"/>
        <v>0.72</v>
      </c>
      <c r="O36" s="122" t="s">
        <v>76</v>
      </c>
      <c r="S36" t="str">
        <f t="shared" si="5"/>
        <v>PRE</v>
      </c>
      <c r="T36" t="str">
        <f t="shared" si="6"/>
        <v>\I:</v>
      </c>
      <c r="U36" t="str">
        <f t="shared" si="3"/>
        <v>Hydrogen from high temperature water electrolysis SOEC de-centralised at a refuelling station  (per 1 kW or 1 MWh H2 HHV)</v>
      </c>
      <c r="V36" t="s">
        <v>68</v>
      </c>
      <c r="W36" t="s">
        <v>20</v>
      </c>
      <c r="X36" t="s">
        <v>19</v>
      </c>
    </row>
    <row r="37" spans="1:24" x14ac:dyDescent="0.45">
      <c r="C37" s="110">
        <f t="shared" ref="C37:N37" si="14">C21</f>
        <v>769.8768197088466</v>
      </c>
      <c r="D37" s="110">
        <f t="shared" si="14"/>
        <v>648.04446103438272</v>
      </c>
      <c r="E37" s="110">
        <f t="shared" si="14"/>
        <v>518.29059243801294</v>
      </c>
      <c r="F37" s="110">
        <f t="shared" si="14"/>
        <v>26.945688689809632</v>
      </c>
      <c r="G37" s="110">
        <f t="shared" si="14"/>
        <v>22.681556136203398</v>
      </c>
      <c r="H37" s="110">
        <f t="shared" si="14"/>
        <v>18.140170735330454</v>
      </c>
      <c r="I37" s="109">
        <f t="shared" si="14"/>
        <v>2.7777777777777777</v>
      </c>
      <c r="J37" s="109">
        <f t="shared" si="14"/>
        <v>2.2222222222222223</v>
      </c>
      <c r="K37" s="109">
        <f t="shared" si="14"/>
        <v>1.6666666666666665</v>
      </c>
      <c r="L37" s="109">
        <f t="shared" si="14"/>
        <v>1.3888888888888888</v>
      </c>
      <c r="M37" s="109">
        <f t="shared" si="14"/>
        <v>1.1388888888888888</v>
      </c>
      <c r="N37" s="109">
        <f t="shared" si="14"/>
        <v>0.3</v>
      </c>
      <c r="O37" s="122" t="s">
        <v>76</v>
      </c>
      <c r="S37" t="str">
        <f t="shared" si="5"/>
        <v>PRE</v>
      </c>
      <c r="T37" t="str">
        <f t="shared" si="6"/>
        <v>\I:</v>
      </c>
      <c r="U37" t="str">
        <f>O21</f>
        <v>Capture CO2 from air (Absorption technology)  (per 1 tCO2)</v>
      </c>
      <c r="V37" t="s">
        <v>68</v>
      </c>
      <c r="W37" t="s">
        <v>20</v>
      </c>
      <c r="X37" t="s">
        <v>19</v>
      </c>
    </row>
    <row r="38" spans="1:24" x14ac:dyDescent="0.45">
      <c r="C38" s="110">
        <f t="shared" ref="C38:N38" si="15">C22</f>
        <v>1259.7984322508398</v>
      </c>
      <c r="D38" s="110">
        <f t="shared" si="15"/>
        <v>894.30135622744808</v>
      </c>
      <c r="E38" s="110">
        <f t="shared" si="15"/>
        <v>495</v>
      </c>
      <c r="F38" s="110">
        <f t="shared" si="15"/>
        <v>44.092945128779398</v>
      </c>
      <c r="G38" s="110">
        <f t="shared" si="15"/>
        <v>31.300547467960687</v>
      </c>
      <c r="H38" s="110">
        <f t="shared" si="15"/>
        <v>17.325000000000003</v>
      </c>
      <c r="I38" s="109">
        <f t="shared" si="15"/>
        <v>2</v>
      </c>
      <c r="J38" s="109">
        <f t="shared" si="15"/>
        <v>0.3</v>
      </c>
      <c r="K38" s="109">
        <f t="shared" si="15"/>
        <v>1.8055555555555556</v>
      </c>
      <c r="L38" s="109">
        <f t="shared" si="15"/>
        <v>0.3</v>
      </c>
      <c r="M38" s="109">
        <f t="shared" si="15"/>
        <v>1.5</v>
      </c>
      <c r="N38" s="109">
        <f t="shared" si="15"/>
        <v>0.3</v>
      </c>
      <c r="O38" s="122" t="s">
        <v>76</v>
      </c>
      <c r="S38" t="str">
        <f t="shared" si="5"/>
        <v>PRE</v>
      </c>
      <c r="T38" t="str">
        <f t="shared" si="6"/>
        <v>\I:</v>
      </c>
      <c r="U38" t="str">
        <f>O22</f>
        <v>Capture CO2 from air (Adsorption technology)  (per 1 tCO2)</v>
      </c>
      <c r="V38" t="s">
        <v>68</v>
      </c>
      <c r="W38" t="s">
        <v>20</v>
      </c>
      <c r="X38" t="s">
        <v>19</v>
      </c>
    </row>
    <row r="39" spans="1:24" x14ac:dyDescent="0.45">
      <c r="A39" s="123" t="str">
        <f>A35</f>
        <v>HH2</v>
      </c>
      <c r="B39" s="123" t="s">
        <v>83</v>
      </c>
      <c r="C39" s="124">
        <f>C29</f>
        <v>900</v>
      </c>
      <c r="D39" s="124">
        <f t="shared" ref="D39:H39" si="16">D29</f>
        <v>850</v>
      </c>
      <c r="E39" s="124">
        <f t="shared" si="16"/>
        <v>800</v>
      </c>
      <c r="F39" s="124">
        <f t="shared" si="16"/>
        <v>36</v>
      </c>
      <c r="G39" s="124">
        <f t="shared" si="16"/>
        <v>34</v>
      </c>
      <c r="H39" s="124">
        <f t="shared" si="16"/>
        <v>32</v>
      </c>
      <c r="I39" s="125">
        <v>1.25</v>
      </c>
      <c r="J39" s="125">
        <v>0.12</v>
      </c>
      <c r="K39" s="125">
        <v>1.25</v>
      </c>
      <c r="L39" s="125">
        <v>0.12</v>
      </c>
      <c r="M39" s="125">
        <v>1.25</v>
      </c>
      <c r="N39" s="125">
        <v>0.12</v>
      </c>
      <c r="O39" s="123" t="s">
        <v>77</v>
      </c>
      <c r="P39" s="123">
        <v>25</v>
      </c>
      <c r="Q39" s="123">
        <v>31.536000000000001</v>
      </c>
      <c r="R39" s="123"/>
      <c r="S39" s="123" t="str">
        <f>IF(O39="","*","PRE")</f>
        <v>PRE</v>
      </c>
      <c r="T39" s="123" t="str">
        <f>O39</f>
        <v>H2prd_Gas_ATR_CCS</v>
      </c>
      <c r="U39" s="123" t="s">
        <v>78</v>
      </c>
      <c r="V39" s="123" t="s">
        <v>68</v>
      </c>
      <c r="W39" t="s">
        <v>20</v>
      </c>
      <c r="X39" t="s">
        <v>19</v>
      </c>
    </row>
  </sheetData>
  <mergeCells count="4">
    <mergeCell ref="O1:O4"/>
    <mergeCell ref="C1:E1"/>
    <mergeCell ref="F1:H1"/>
    <mergeCell ref="I1:N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19659-1984-4B28-A553-23B4EF86E1BB}">
  <dimension ref="B3:T15"/>
  <sheetViews>
    <sheetView workbookViewId="0">
      <selection activeCell="D10" sqref="D10"/>
    </sheetView>
  </sheetViews>
  <sheetFormatPr defaultRowHeight="14.25" x14ac:dyDescent="0.45"/>
  <cols>
    <col min="2" max="2" width="9.53125" bestFit="1" customWidth="1"/>
    <col min="3" max="3" width="12.1328125" bestFit="1" customWidth="1"/>
    <col min="4" max="4" width="9.06640625" bestFit="1" customWidth="1"/>
    <col min="5" max="5" width="4.73046875" bestFit="1" customWidth="1"/>
    <col min="6" max="6" width="6.6640625" bestFit="1" customWidth="1"/>
    <col min="7" max="7" width="5.86328125" bestFit="1" customWidth="1"/>
    <col min="8" max="8" width="3.86328125" bestFit="1" customWidth="1"/>
    <col min="10" max="10" width="12.19921875" bestFit="1" customWidth="1"/>
    <col min="11" max="11" width="9.86328125" bestFit="1" customWidth="1"/>
    <col min="12" max="12" width="8.33203125" bestFit="1" customWidth="1"/>
    <col min="13" max="13" width="4.46484375" bestFit="1" customWidth="1"/>
    <col min="14" max="14" width="4.06640625" bestFit="1" customWidth="1"/>
    <col min="15" max="15" width="6.86328125" bestFit="1" customWidth="1"/>
    <col min="16" max="16" width="13.59765625" bestFit="1" customWidth="1"/>
    <col min="17" max="17" width="12.1328125" bestFit="1" customWidth="1"/>
    <col min="18" max="18" width="8.86328125" bestFit="1" customWidth="1"/>
    <col min="19" max="19" width="4.59765625" bestFit="1" customWidth="1"/>
    <col min="20" max="20" width="9" bestFit="1" customWidth="1"/>
    <col min="21" max="21" width="4.3984375" bestFit="1" customWidth="1"/>
    <col min="22" max="22" width="5" bestFit="1" customWidth="1"/>
    <col min="23" max="23" width="9" bestFit="1" customWidth="1"/>
  </cols>
  <sheetData>
    <row r="3" spans="2:20" ht="17.25" thickBot="1" x14ac:dyDescent="0.55000000000000004">
      <c r="B3" t="s">
        <v>95</v>
      </c>
      <c r="J3" s="121" t="s">
        <v>1</v>
      </c>
      <c r="P3" s="121" t="s">
        <v>75</v>
      </c>
    </row>
    <row r="4" spans="2:20" ht="14.65" thickTop="1" x14ac:dyDescent="0.45">
      <c r="B4" t="s">
        <v>98</v>
      </c>
      <c r="C4" t="s">
        <v>97</v>
      </c>
      <c r="D4" t="s">
        <v>96</v>
      </c>
      <c r="E4" t="s">
        <v>99</v>
      </c>
      <c r="F4" t="s">
        <v>100</v>
      </c>
      <c r="G4" t="s">
        <v>101</v>
      </c>
      <c r="H4" t="s">
        <v>102</v>
      </c>
      <c r="J4" s="120" t="s">
        <v>7</v>
      </c>
      <c r="K4" s="120" t="s">
        <v>2</v>
      </c>
      <c r="L4" s="120" t="s">
        <v>8</v>
      </c>
      <c r="M4" s="120" t="s">
        <v>11</v>
      </c>
      <c r="N4" s="120" t="s">
        <v>10</v>
      </c>
      <c r="P4" s="120" t="s">
        <v>110</v>
      </c>
      <c r="Q4" s="120" t="s">
        <v>4</v>
      </c>
      <c r="R4" s="120" t="s">
        <v>109</v>
      </c>
    </row>
    <row r="5" spans="2:20" x14ac:dyDescent="0.45">
      <c r="B5" t="s">
        <v>103</v>
      </c>
      <c r="C5" t="s">
        <v>84</v>
      </c>
      <c r="F5" t="s">
        <v>104</v>
      </c>
      <c r="H5" t="s">
        <v>105</v>
      </c>
      <c r="J5" t="s">
        <v>106</v>
      </c>
      <c r="K5" t="s">
        <v>107</v>
      </c>
      <c r="M5" t="s">
        <v>108</v>
      </c>
      <c r="N5" t="s">
        <v>105</v>
      </c>
      <c r="P5" t="str">
        <f>K5</f>
        <v>supply_mat</v>
      </c>
      <c r="Q5" s="109" t="str">
        <f>C5</f>
        <v>m_aluminium</v>
      </c>
      <c r="R5" s="127">
        <v>1E-3</v>
      </c>
      <c r="S5" s="109"/>
      <c r="T5" s="109"/>
    </row>
    <row r="6" spans="2:20" x14ac:dyDescent="0.45">
      <c r="C6" t="s">
        <v>85</v>
      </c>
      <c r="F6" t="s">
        <v>104</v>
      </c>
      <c r="H6" t="s">
        <v>105</v>
      </c>
      <c r="Q6" s="109" t="str">
        <f t="shared" ref="Q6:Q15" si="0">C6</f>
        <v>m_cement</v>
      </c>
      <c r="R6" s="127">
        <v>1E-3</v>
      </c>
    </row>
    <row r="7" spans="2:20" x14ac:dyDescent="0.45">
      <c r="C7" t="s">
        <v>86</v>
      </c>
      <c r="F7" t="s">
        <v>104</v>
      </c>
      <c r="H7" t="s">
        <v>105</v>
      </c>
      <c r="Q7" s="109" t="str">
        <f t="shared" si="0"/>
        <v>m_concrete</v>
      </c>
      <c r="R7" s="127">
        <v>1E-3</v>
      </c>
    </row>
    <row r="8" spans="2:20" x14ac:dyDescent="0.45">
      <c r="C8" t="s">
        <v>87</v>
      </c>
      <c r="F8" t="s">
        <v>104</v>
      </c>
      <c r="H8" t="s">
        <v>105</v>
      </c>
      <c r="Q8" s="109" t="str">
        <f t="shared" si="0"/>
        <v>m_copper</v>
      </c>
      <c r="R8" s="127">
        <v>1E-3</v>
      </c>
    </row>
    <row r="9" spans="2:20" x14ac:dyDescent="0.45">
      <c r="C9" t="s">
        <v>88</v>
      </c>
      <c r="F9" t="s">
        <v>104</v>
      </c>
      <c r="H9" t="s">
        <v>105</v>
      </c>
      <c r="Q9" s="109" t="str">
        <f t="shared" si="0"/>
        <v>m_fiberglass</v>
      </c>
      <c r="R9" s="127">
        <v>1E-3</v>
      </c>
    </row>
    <row r="10" spans="2:20" x14ac:dyDescent="0.45">
      <c r="C10" t="s">
        <v>89</v>
      </c>
      <c r="F10" t="s">
        <v>104</v>
      </c>
      <c r="H10" t="s">
        <v>105</v>
      </c>
      <c r="Q10" s="109" t="str">
        <f t="shared" si="0"/>
        <v>m_glass</v>
      </c>
      <c r="R10" s="127">
        <v>1E-3</v>
      </c>
    </row>
    <row r="11" spans="2:20" x14ac:dyDescent="0.45">
      <c r="C11" t="s">
        <v>90</v>
      </c>
      <c r="F11" t="s">
        <v>104</v>
      </c>
      <c r="H11" t="s">
        <v>105</v>
      </c>
      <c r="Q11" s="109" t="str">
        <f t="shared" si="0"/>
        <v>m_manganese</v>
      </c>
      <c r="R11" s="127">
        <v>1E-3</v>
      </c>
    </row>
    <row r="12" spans="2:20" x14ac:dyDescent="0.45">
      <c r="C12" t="s">
        <v>91</v>
      </c>
      <c r="F12" t="s">
        <v>104</v>
      </c>
      <c r="H12" t="s">
        <v>105</v>
      </c>
      <c r="Q12" s="109" t="str">
        <f t="shared" si="0"/>
        <v>m_nickel</v>
      </c>
      <c r="R12" s="127">
        <v>1E-3</v>
      </c>
    </row>
    <row r="13" spans="2:20" x14ac:dyDescent="0.45">
      <c r="C13" t="s">
        <v>92</v>
      </c>
      <c r="F13" t="s">
        <v>104</v>
      </c>
      <c r="H13" t="s">
        <v>105</v>
      </c>
      <c r="Q13" s="109" t="str">
        <f t="shared" si="0"/>
        <v>m_silicon</v>
      </c>
      <c r="R13" s="127">
        <v>1E-3</v>
      </c>
    </row>
    <row r="14" spans="2:20" x14ac:dyDescent="0.45">
      <c r="C14" t="s">
        <v>93</v>
      </c>
      <c r="F14" t="s">
        <v>104</v>
      </c>
      <c r="H14" t="s">
        <v>105</v>
      </c>
      <c r="Q14" s="109" t="str">
        <f t="shared" si="0"/>
        <v>m_silver</v>
      </c>
      <c r="R14" s="127">
        <v>1E-3</v>
      </c>
    </row>
    <row r="15" spans="2:20" x14ac:dyDescent="0.45">
      <c r="C15" t="s">
        <v>94</v>
      </c>
      <c r="F15" t="s">
        <v>104</v>
      </c>
      <c r="H15" t="s">
        <v>105</v>
      </c>
      <c r="Q15" s="109" t="str">
        <f t="shared" si="0"/>
        <v>m_steel</v>
      </c>
      <c r="R15" s="127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SectFuel</vt:lpstr>
      <vt:lpstr>H2 prod</vt:lpstr>
      <vt:lpstr>power sect 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2023-05-12T11:15:04Z</dcterms:created>
  <dcterms:modified xsi:type="dcterms:W3CDTF">2026-01-27T13:20:13Z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{ECDD9085-6A38-44D6-AB58-0BB49328073A}</vt:lpwstr>
  </property>
</Properties>
</file>