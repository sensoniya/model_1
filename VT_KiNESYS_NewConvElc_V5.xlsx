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KiNESYS_29R_Jan2025\"/>
    </mc:Choice>
  </mc:AlternateContent>
  <xr:revisionPtr revIDLastSave="0" documentId="13_ncr:1_{7F76E861-52FA-41A3-9F4E-3958654D3F8F}" xr6:coauthVersionLast="47" xr6:coauthVersionMax="47" xr10:uidLastSave="{00000000-0000-0000-0000-000000000000}"/>
  <bookViews>
    <workbookView xWindow="-98" yWindow="-98" windowWidth="28996" windowHeight="17475" xr2:uid="{EF12C78C-2C8B-49A1-8E53-E41A736D8A04}"/>
  </bookViews>
  <sheets>
    <sheet name="veda - techs" sheetId="4" r:id="rId1"/>
    <sheet name="veda - data" sheetId="3" r:id="rId2"/>
    <sheet name="ELC_CO2 Transport and Storage" sheetId="5" r:id="rId3"/>
    <sheet name="pivot" sheetId="2" r:id="rId4"/>
    <sheet name="unified_reference_cost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0" i="3" l="1"/>
  <c r="L400" i="3"/>
  <c r="K400" i="3"/>
  <c r="J400" i="3"/>
  <c r="I400" i="3"/>
  <c r="H400" i="3"/>
  <c r="G400" i="3"/>
  <c r="F400" i="3"/>
  <c r="E400" i="3"/>
  <c r="M399" i="3"/>
  <c r="L399" i="3"/>
  <c r="K399" i="3"/>
  <c r="J399" i="3"/>
  <c r="I399" i="3"/>
  <c r="H399" i="3"/>
  <c r="G399" i="3"/>
  <c r="F399" i="3"/>
  <c r="E399" i="3"/>
  <c r="C399" i="3"/>
  <c r="M398" i="3"/>
  <c r="L398" i="3"/>
  <c r="K398" i="3"/>
  <c r="J398" i="3"/>
  <c r="I398" i="3"/>
  <c r="H398" i="3"/>
  <c r="G398" i="3"/>
  <c r="F398" i="3"/>
  <c r="E398" i="3"/>
  <c r="C398" i="3"/>
  <c r="B398" i="3"/>
  <c r="B399" i="3" s="1"/>
  <c r="M397" i="3"/>
  <c r="L397" i="3"/>
  <c r="K397" i="3"/>
  <c r="J397" i="3"/>
  <c r="I397" i="3"/>
  <c r="H397" i="3"/>
  <c r="G397" i="3"/>
  <c r="F397" i="3"/>
  <c r="E397" i="3"/>
  <c r="C397" i="3"/>
  <c r="M396" i="3"/>
  <c r="L396" i="3"/>
  <c r="K396" i="3"/>
  <c r="J396" i="3"/>
  <c r="I396" i="3"/>
  <c r="H396" i="3"/>
  <c r="G396" i="3"/>
  <c r="F396" i="3"/>
  <c r="E396" i="3"/>
  <c r="C396" i="3"/>
  <c r="M395" i="3"/>
  <c r="L395" i="3"/>
  <c r="K395" i="3"/>
  <c r="J395" i="3"/>
  <c r="I395" i="3"/>
  <c r="H395" i="3"/>
  <c r="G395" i="3"/>
  <c r="F395" i="3"/>
  <c r="E395" i="3"/>
  <c r="C395" i="3"/>
  <c r="M394" i="3"/>
  <c r="L394" i="3"/>
  <c r="K394" i="3"/>
  <c r="J394" i="3"/>
  <c r="I394" i="3"/>
  <c r="H394" i="3"/>
  <c r="G394" i="3"/>
  <c r="F394" i="3"/>
  <c r="E394" i="3"/>
  <c r="C394" i="3"/>
  <c r="M393" i="3"/>
  <c r="L393" i="3"/>
  <c r="K393" i="3"/>
  <c r="J393" i="3"/>
  <c r="I393" i="3"/>
  <c r="H393" i="3"/>
  <c r="G393" i="3"/>
  <c r="F393" i="3"/>
  <c r="E393" i="3"/>
  <c r="C393" i="3"/>
  <c r="B393" i="3"/>
  <c r="B394" i="3" s="1"/>
  <c r="B395" i="3" s="1"/>
  <c r="B396" i="3" s="1"/>
  <c r="B397" i="3" s="1"/>
  <c r="M392" i="3"/>
  <c r="L392" i="3"/>
  <c r="K392" i="3"/>
  <c r="J392" i="3"/>
  <c r="I392" i="3"/>
  <c r="H392" i="3"/>
  <c r="G392" i="3"/>
  <c r="F392" i="3"/>
  <c r="E392" i="3"/>
  <c r="C392" i="3"/>
  <c r="M391" i="3"/>
  <c r="L391" i="3"/>
  <c r="K391" i="3"/>
  <c r="J391" i="3"/>
  <c r="I391" i="3"/>
  <c r="H391" i="3"/>
  <c r="G391" i="3"/>
  <c r="F391" i="3"/>
  <c r="E391" i="3"/>
  <c r="C391" i="3"/>
  <c r="M390" i="3"/>
  <c r="L390" i="3"/>
  <c r="K390" i="3"/>
  <c r="J390" i="3"/>
  <c r="I390" i="3"/>
  <c r="H390" i="3"/>
  <c r="G390" i="3"/>
  <c r="F390" i="3"/>
  <c r="E390" i="3"/>
  <c r="C390" i="3"/>
  <c r="M389" i="3"/>
  <c r="L389" i="3"/>
  <c r="K389" i="3"/>
  <c r="J389" i="3"/>
  <c r="I389" i="3"/>
  <c r="H389" i="3"/>
  <c r="G389" i="3"/>
  <c r="F389" i="3"/>
  <c r="E389" i="3"/>
  <c r="C389" i="3"/>
  <c r="B389" i="3"/>
  <c r="B390" i="3" s="1"/>
  <c r="B391" i="3" s="1"/>
  <c r="B392" i="3" s="1"/>
  <c r="M388" i="3"/>
  <c r="L388" i="3"/>
  <c r="K388" i="3"/>
  <c r="J388" i="3"/>
  <c r="I388" i="3"/>
  <c r="H388" i="3"/>
  <c r="G388" i="3"/>
  <c r="F388" i="3"/>
  <c r="E388" i="3"/>
  <c r="C388" i="3"/>
  <c r="B388" i="3"/>
  <c r="M387" i="3"/>
  <c r="L387" i="3"/>
  <c r="K387" i="3"/>
  <c r="J387" i="3"/>
  <c r="I387" i="3"/>
  <c r="H387" i="3"/>
  <c r="G387" i="3"/>
  <c r="F387" i="3"/>
  <c r="E387" i="3"/>
  <c r="C387" i="3"/>
  <c r="M386" i="3"/>
  <c r="L386" i="3"/>
  <c r="K386" i="3"/>
  <c r="J386" i="3"/>
  <c r="I386" i="3"/>
  <c r="H386" i="3"/>
  <c r="G386" i="3"/>
  <c r="F386" i="3"/>
  <c r="E386" i="3"/>
  <c r="C386" i="3"/>
  <c r="M385" i="3"/>
  <c r="L385" i="3"/>
  <c r="K385" i="3"/>
  <c r="J385" i="3"/>
  <c r="I385" i="3"/>
  <c r="H385" i="3"/>
  <c r="G385" i="3"/>
  <c r="F385" i="3"/>
  <c r="E385" i="3"/>
  <c r="C385" i="3"/>
  <c r="M384" i="3"/>
  <c r="L384" i="3"/>
  <c r="K384" i="3"/>
  <c r="J384" i="3"/>
  <c r="I384" i="3"/>
  <c r="H384" i="3"/>
  <c r="G384" i="3"/>
  <c r="F384" i="3"/>
  <c r="E384" i="3"/>
  <c r="C384" i="3"/>
  <c r="M383" i="3"/>
  <c r="L383" i="3"/>
  <c r="K383" i="3"/>
  <c r="J383" i="3"/>
  <c r="I383" i="3"/>
  <c r="H383" i="3"/>
  <c r="G383" i="3"/>
  <c r="F383" i="3"/>
  <c r="E383" i="3"/>
  <c r="C383" i="3"/>
  <c r="B383" i="3"/>
  <c r="B384" i="3" s="1"/>
  <c r="B385" i="3" s="1"/>
  <c r="B386" i="3" s="1"/>
  <c r="B387" i="3" s="1"/>
  <c r="M382" i="3"/>
  <c r="L382" i="3"/>
  <c r="K382" i="3"/>
  <c r="J382" i="3"/>
  <c r="I382" i="3"/>
  <c r="H382" i="3"/>
  <c r="G382" i="3"/>
  <c r="F382" i="3"/>
  <c r="E382" i="3"/>
  <c r="C382" i="3"/>
  <c r="M381" i="3"/>
  <c r="L381" i="3"/>
  <c r="K381" i="3"/>
  <c r="J381" i="3"/>
  <c r="I381" i="3"/>
  <c r="H381" i="3"/>
  <c r="G381" i="3"/>
  <c r="F381" i="3"/>
  <c r="E381" i="3"/>
  <c r="C381" i="3"/>
  <c r="M380" i="3"/>
  <c r="L380" i="3"/>
  <c r="K380" i="3"/>
  <c r="J380" i="3"/>
  <c r="I380" i="3"/>
  <c r="H380" i="3"/>
  <c r="G380" i="3"/>
  <c r="F380" i="3"/>
  <c r="E380" i="3"/>
  <c r="C380" i="3"/>
  <c r="M379" i="3"/>
  <c r="L379" i="3"/>
  <c r="K379" i="3"/>
  <c r="J379" i="3"/>
  <c r="I379" i="3"/>
  <c r="H379" i="3"/>
  <c r="G379" i="3"/>
  <c r="F379" i="3"/>
  <c r="E379" i="3"/>
  <c r="C379" i="3"/>
  <c r="B379" i="3"/>
  <c r="B380" i="3" s="1"/>
  <c r="B381" i="3" s="1"/>
  <c r="B382" i="3" s="1"/>
  <c r="M378" i="3"/>
  <c r="L378" i="3"/>
  <c r="K378" i="3"/>
  <c r="J378" i="3"/>
  <c r="I378" i="3"/>
  <c r="H378" i="3"/>
  <c r="G378" i="3"/>
  <c r="F378" i="3"/>
  <c r="E378" i="3"/>
  <c r="C378" i="3"/>
  <c r="M377" i="3"/>
  <c r="L377" i="3"/>
  <c r="K377" i="3"/>
  <c r="J377" i="3"/>
  <c r="I377" i="3"/>
  <c r="H377" i="3"/>
  <c r="G377" i="3"/>
  <c r="F377" i="3"/>
  <c r="E377" i="3"/>
  <c r="C377" i="3"/>
  <c r="M376" i="3"/>
  <c r="L376" i="3"/>
  <c r="K376" i="3"/>
  <c r="J376" i="3"/>
  <c r="I376" i="3"/>
  <c r="H376" i="3"/>
  <c r="G376" i="3"/>
  <c r="F376" i="3"/>
  <c r="E376" i="3"/>
  <c r="C376" i="3"/>
  <c r="M375" i="3"/>
  <c r="L375" i="3"/>
  <c r="K375" i="3"/>
  <c r="J375" i="3"/>
  <c r="I375" i="3"/>
  <c r="H375" i="3"/>
  <c r="G375" i="3"/>
  <c r="F375" i="3"/>
  <c r="E375" i="3"/>
  <c r="C375" i="3"/>
  <c r="M374" i="3"/>
  <c r="L374" i="3"/>
  <c r="K374" i="3"/>
  <c r="J374" i="3"/>
  <c r="I374" i="3"/>
  <c r="H374" i="3"/>
  <c r="G374" i="3"/>
  <c r="F374" i="3"/>
  <c r="E374" i="3"/>
  <c r="C374" i="3"/>
  <c r="B374" i="3"/>
  <c r="B375" i="3" s="1"/>
  <c r="B376" i="3" s="1"/>
  <c r="B377" i="3" s="1"/>
  <c r="B378" i="3" s="1"/>
  <c r="M373" i="3"/>
  <c r="L373" i="3"/>
  <c r="K373" i="3"/>
  <c r="J373" i="3"/>
  <c r="I373" i="3"/>
  <c r="H373" i="3"/>
  <c r="G373" i="3"/>
  <c r="F373" i="3"/>
  <c r="E373" i="3"/>
  <c r="C373" i="3"/>
  <c r="M372" i="3"/>
  <c r="L372" i="3"/>
  <c r="K372" i="3"/>
  <c r="J372" i="3"/>
  <c r="I372" i="3"/>
  <c r="H372" i="3"/>
  <c r="G372" i="3"/>
  <c r="F372" i="3"/>
  <c r="E372" i="3"/>
  <c r="C372" i="3"/>
  <c r="M371" i="3"/>
  <c r="L371" i="3"/>
  <c r="K371" i="3"/>
  <c r="J371" i="3"/>
  <c r="I371" i="3"/>
  <c r="H371" i="3"/>
  <c r="G371" i="3"/>
  <c r="F371" i="3"/>
  <c r="E371" i="3"/>
  <c r="C371" i="3"/>
  <c r="M370" i="3"/>
  <c r="L370" i="3"/>
  <c r="K370" i="3"/>
  <c r="J370" i="3"/>
  <c r="I370" i="3"/>
  <c r="H370" i="3"/>
  <c r="G370" i="3"/>
  <c r="F370" i="3"/>
  <c r="E370" i="3"/>
  <c r="C370" i="3"/>
  <c r="M369" i="3"/>
  <c r="L369" i="3"/>
  <c r="K369" i="3"/>
  <c r="J369" i="3"/>
  <c r="I369" i="3"/>
  <c r="H369" i="3"/>
  <c r="G369" i="3"/>
  <c r="F369" i="3"/>
  <c r="E369" i="3"/>
  <c r="C369" i="3"/>
  <c r="B369" i="3"/>
  <c r="B370" i="3" s="1"/>
  <c r="B371" i="3" s="1"/>
  <c r="B372" i="3" s="1"/>
  <c r="B373" i="3" s="1"/>
  <c r="M368" i="3"/>
  <c r="L368" i="3"/>
  <c r="K368" i="3"/>
  <c r="J368" i="3"/>
  <c r="I368" i="3"/>
  <c r="H368" i="3"/>
  <c r="G368" i="3"/>
  <c r="F368" i="3"/>
  <c r="E368" i="3"/>
  <c r="C368" i="3"/>
  <c r="M367" i="3"/>
  <c r="L367" i="3"/>
  <c r="K367" i="3"/>
  <c r="J367" i="3"/>
  <c r="I367" i="3"/>
  <c r="H367" i="3"/>
  <c r="G367" i="3"/>
  <c r="F367" i="3"/>
  <c r="E367" i="3"/>
  <c r="C367" i="3"/>
  <c r="O2" i="1" a="1"/>
  <c r="O2" i="1" s="1"/>
  <c r="D15" i="5"/>
  <c r="B15" i="5"/>
  <c r="B13" i="5"/>
  <c r="B12" i="5"/>
  <c r="B11" i="5"/>
  <c r="B10" i="5"/>
  <c r="B9" i="5"/>
  <c r="B8" i="5"/>
  <c r="B7" i="5"/>
  <c r="B6" i="5"/>
  <c r="B5" i="5"/>
  <c r="B4" i="5"/>
  <c r="G30" i="4"/>
  <c r="G29" i="4"/>
  <c r="E5" i="4" l="1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F4" i="4"/>
  <c r="E4" i="4"/>
  <c r="B14" i="4"/>
  <c r="B23" i="4"/>
  <c r="B25" i="4"/>
  <c r="B28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4" i="4"/>
  <c r="L28" i="4"/>
  <c r="J28" i="4" s="1" a="1"/>
  <c r="J28" i="4" s="1"/>
  <c r="L25" i="4"/>
  <c r="J25" i="4" s="1" a="1"/>
  <c r="J25" i="4" s="1"/>
  <c r="L23" i="4"/>
  <c r="J23" i="4" s="1" a="1"/>
  <c r="J23" i="4" s="1"/>
  <c r="L22" i="4"/>
  <c r="L21" i="4"/>
  <c r="L20" i="4"/>
  <c r="L19" i="4"/>
  <c r="L18" i="4"/>
  <c r="L14" i="4"/>
  <c r="J14" i="4" s="1" a="1"/>
  <c r="J14" i="4" s="1"/>
  <c r="L7" i="4"/>
  <c r="B20" i="4" l="1"/>
  <c r="J20" i="4" a="1"/>
  <c r="J20" i="4" s="1"/>
  <c r="B21" i="4"/>
  <c r="J21" i="4" a="1"/>
  <c r="J21" i="4" s="1"/>
  <c r="B18" i="4"/>
  <c r="J18" i="4" a="1"/>
  <c r="J18" i="4" s="1"/>
  <c r="B22" i="4"/>
  <c r="J22" i="4" a="1"/>
  <c r="J22" i="4" s="1"/>
  <c r="B19" i="4"/>
  <c r="J19" i="4" a="1"/>
  <c r="J19" i="4" s="1"/>
  <c r="B7" i="4"/>
  <c r="J7" i="4" a="1"/>
  <c r="J7" i="4" s="1"/>
  <c r="J36" i="1"/>
  <c r="C37" i="3" s="1"/>
  <c r="C6" i="3"/>
  <c r="C7" i="3"/>
  <c r="C8" i="3"/>
  <c r="C9" i="3"/>
  <c r="C10" i="3"/>
  <c r="C11" i="3"/>
  <c r="C12" i="3"/>
  <c r="C13" i="3"/>
  <c r="C14" i="3"/>
  <c r="C15" i="3"/>
  <c r="C16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5" i="3"/>
  <c r="B49" i="3"/>
  <c r="B50" i="3" s="1"/>
  <c r="B51" i="3" s="1"/>
  <c r="B52" i="3" s="1"/>
  <c r="B53" i="3" s="1"/>
  <c r="B91" i="3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/>
  <c r="B134" i="3" s="1"/>
  <c r="B135" i="3" s="1"/>
  <c r="B136" i="3" s="1"/>
  <c r="B137" i="3" s="1"/>
  <c r="B190" i="3"/>
  <c r="B191" i="3" s="1"/>
  <c r="B192" i="3" s="1"/>
  <c r="B193" i="3" s="1"/>
  <c r="B230" i="3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44" i="3"/>
  <c r="B345" i="3" s="1"/>
  <c r="B346" i="3" s="1"/>
  <c r="B347" i="3" s="1"/>
  <c r="B348" i="3" s="1"/>
  <c r="J42" i="1"/>
  <c r="L5" i="4" s="1"/>
  <c r="J43" i="1"/>
  <c r="L6" i="4" s="1"/>
  <c r="J45" i="1"/>
  <c r="L8" i="4" s="1"/>
  <c r="J46" i="1"/>
  <c r="L9" i="4" s="1"/>
  <c r="J47" i="1"/>
  <c r="L10" i="4" s="1"/>
  <c r="J48" i="1"/>
  <c r="L11" i="4" s="1"/>
  <c r="J49" i="1"/>
  <c r="L12" i="4" s="1"/>
  <c r="J50" i="1"/>
  <c r="L13" i="4" s="1"/>
  <c r="J52" i="1"/>
  <c r="L15" i="4" s="1"/>
  <c r="J53" i="1"/>
  <c r="L16" i="4" s="1"/>
  <c r="J54" i="1"/>
  <c r="L17" i="4" s="1"/>
  <c r="J61" i="1"/>
  <c r="L24" i="4" s="1"/>
  <c r="J63" i="1"/>
  <c r="L26" i="4" s="1"/>
  <c r="J64" i="1"/>
  <c r="L27" i="4" s="1"/>
  <c r="J66" i="1"/>
  <c r="L29" i="4" s="1"/>
  <c r="J67" i="1"/>
  <c r="L30" i="4" s="1"/>
  <c r="J41" i="1"/>
  <c r="L4" i="4" s="1"/>
  <c r="C4" i="3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M366" i="3"/>
  <c r="L366" i="3"/>
  <c r="K366" i="3"/>
  <c r="J366" i="3"/>
  <c r="I366" i="3"/>
  <c r="H366" i="3"/>
  <c r="G366" i="3"/>
  <c r="F366" i="3"/>
  <c r="E366" i="3"/>
  <c r="M365" i="3"/>
  <c r="L365" i="3"/>
  <c r="K365" i="3"/>
  <c r="J365" i="3"/>
  <c r="I365" i="3"/>
  <c r="H365" i="3"/>
  <c r="G365" i="3"/>
  <c r="F365" i="3"/>
  <c r="E365" i="3"/>
  <c r="M364" i="3"/>
  <c r="L364" i="3"/>
  <c r="K364" i="3"/>
  <c r="J364" i="3"/>
  <c r="I364" i="3"/>
  <c r="H364" i="3"/>
  <c r="G364" i="3"/>
  <c r="F364" i="3"/>
  <c r="E364" i="3"/>
  <c r="M363" i="3"/>
  <c r="L363" i="3"/>
  <c r="K363" i="3"/>
  <c r="J363" i="3"/>
  <c r="I363" i="3"/>
  <c r="H363" i="3"/>
  <c r="G363" i="3"/>
  <c r="F363" i="3"/>
  <c r="E363" i="3"/>
  <c r="M362" i="3"/>
  <c r="L362" i="3"/>
  <c r="K362" i="3"/>
  <c r="J362" i="3"/>
  <c r="I362" i="3"/>
  <c r="H362" i="3"/>
  <c r="G362" i="3"/>
  <c r="F362" i="3"/>
  <c r="E362" i="3"/>
  <c r="M361" i="3"/>
  <c r="L361" i="3"/>
  <c r="K361" i="3"/>
  <c r="J361" i="3"/>
  <c r="I361" i="3"/>
  <c r="H361" i="3"/>
  <c r="G361" i="3"/>
  <c r="F361" i="3"/>
  <c r="E361" i="3"/>
  <c r="M360" i="3"/>
  <c r="L360" i="3"/>
  <c r="K360" i="3"/>
  <c r="J360" i="3"/>
  <c r="I360" i="3"/>
  <c r="H360" i="3"/>
  <c r="G360" i="3"/>
  <c r="F360" i="3"/>
  <c r="E360" i="3"/>
  <c r="M359" i="3"/>
  <c r="L359" i="3"/>
  <c r="K359" i="3"/>
  <c r="J359" i="3"/>
  <c r="I359" i="3"/>
  <c r="H359" i="3"/>
  <c r="G359" i="3"/>
  <c r="F359" i="3"/>
  <c r="E359" i="3"/>
  <c r="M358" i="3"/>
  <c r="L358" i="3"/>
  <c r="K358" i="3"/>
  <c r="J358" i="3"/>
  <c r="I358" i="3"/>
  <c r="H358" i="3"/>
  <c r="G358" i="3"/>
  <c r="F358" i="3"/>
  <c r="E358" i="3"/>
  <c r="M357" i="3"/>
  <c r="L357" i="3"/>
  <c r="K357" i="3"/>
  <c r="J357" i="3"/>
  <c r="I357" i="3"/>
  <c r="H357" i="3"/>
  <c r="G357" i="3"/>
  <c r="F357" i="3"/>
  <c r="E357" i="3"/>
  <c r="M356" i="3"/>
  <c r="L356" i="3"/>
  <c r="K356" i="3"/>
  <c r="J356" i="3"/>
  <c r="I356" i="3"/>
  <c r="H356" i="3"/>
  <c r="G356" i="3"/>
  <c r="F356" i="3"/>
  <c r="E356" i="3"/>
  <c r="M355" i="3"/>
  <c r="L355" i="3"/>
  <c r="K355" i="3"/>
  <c r="J355" i="3"/>
  <c r="I355" i="3"/>
  <c r="H355" i="3"/>
  <c r="G355" i="3"/>
  <c r="F355" i="3"/>
  <c r="E355" i="3"/>
  <c r="M354" i="3"/>
  <c r="L354" i="3"/>
  <c r="K354" i="3"/>
  <c r="J354" i="3"/>
  <c r="I354" i="3"/>
  <c r="H354" i="3"/>
  <c r="G354" i="3"/>
  <c r="F354" i="3"/>
  <c r="E354" i="3"/>
  <c r="M353" i="3"/>
  <c r="L353" i="3"/>
  <c r="K353" i="3"/>
  <c r="J353" i="3"/>
  <c r="I353" i="3"/>
  <c r="H353" i="3"/>
  <c r="G353" i="3"/>
  <c r="F353" i="3"/>
  <c r="E353" i="3"/>
  <c r="M352" i="3"/>
  <c r="L352" i="3"/>
  <c r="K352" i="3"/>
  <c r="J352" i="3"/>
  <c r="I352" i="3"/>
  <c r="H352" i="3"/>
  <c r="G352" i="3"/>
  <c r="F352" i="3"/>
  <c r="E352" i="3"/>
  <c r="M351" i="3"/>
  <c r="L351" i="3"/>
  <c r="K351" i="3"/>
  <c r="J351" i="3"/>
  <c r="I351" i="3"/>
  <c r="H351" i="3"/>
  <c r="G351" i="3"/>
  <c r="F351" i="3"/>
  <c r="E351" i="3"/>
  <c r="M350" i="3"/>
  <c r="L350" i="3"/>
  <c r="K350" i="3"/>
  <c r="J350" i="3"/>
  <c r="I350" i="3"/>
  <c r="H350" i="3"/>
  <c r="G350" i="3"/>
  <c r="F350" i="3"/>
  <c r="E350" i="3"/>
  <c r="M349" i="3"/>
  <c r="L349" i="3"/>
  <c r="K349" i="3"/>
  <c r="J349" i="3"/>
  <c r="I349" i="3"/>
  <c r="H349" i="3"/>
  <c r="G349" i="3"/>
  <c r="F349" i="3"/>
  <c r="E349" i="3"/>
  <c r="M348" i="3"/>
  <c r="L348" i="3"/>
  <c r="K348" i="3"/>
  <c r="J348" i="3"/>
  <c r="I348" i="3"/>
  <c r="H348" i="3"/>
  <c r="G348" i="3"/>
  <c r="F348" i="3"/>
  <c r="E348" i="3"/>
  <c r="M347" i="3"/>
  <c r="L347" i="3"/>
  <c r="K347" i="3"/>
  <c r="J347" i="3"/>
  <c r="I347" i="3"/>
  <c r="H347" i="3"/>
  <c r="G347" i="3"/>
  <c r="F347" i="3"/>
  <c r="E347" i="3"/>
  <c r="M346" i="3"/>
  <c r="L346" i="3"/>
  <c r="K346" i="3"/>
  <c r="J346" i="3"/>
  <c r="I346" i="3"/>
  <c r="H346" i="3"/>
  <c r="G346" i="3"/>
  <c r="F346" i="3"/>
  <c r="E346" i="3"/>
  <c r="M345" i="3"/>
  <c r="L345" i="3"/>
  <c r="K345" i="3"/>
  <c r="J345" i="3"/>
  <c r="I345" i="3"/>
  <c r="H345" i="3"/>
  <c r="G345" i="3"/>
  <c r="F345" i="3"/>
  <c r="E345" i="3"/>
  <c r="M344" i="3"/>
  <c r="L344" i="3"/>
  <c r="K344" i="3"/>
  <c r="J344" i="3"/>
  <c r="I344" i="3"/>
  <c r="H344" i="3"/>
  <c r="G344" i="3"/>
  <c r="F344" i="3"/>
  <c r="E344" i="3"/>
  <c r="M343" i="3"/>
  <c r="L343" i="3"/>
  <c r="K343" i="3"/>
  <c r="J343" i="3"/>
  <c r="I343" i="3"/>
  <c r="H343" i="3"/>
  <c r="G343" i="3"/>
  <c r="F343" i="3"/>
  <c r="E343" i="3"/>
  <c r="M342" i="3"/>
  <c r="L342" i="3"/>
  <c r="K342" i="3"/>
  <c r="J342" i="3"/>
  <c r="I342" i="3"/>
  <c r="H342" i="3"/>
  <c r="G342" i="3"/>
  <c r="F342" i="3"/>
  <c r="E342" i="3"/>
  <c r="M341" i="3"/>
  <c r="L341" i="3"/>
  <c r="K341" i="3"/>
  <c r="J341" i="3"/>
  <c r="I341" i="3"/>
  <c r="H341" i="3"/>
  <c r="G341" i="3"/>
  <c r="F341" i="3"/>
  <c r="E341" i="3"/>
  <c r="M340" i="3"/>
  <c r="L340" i="3"/>
  <c r="K340" i="3"/>
  <c r="J340" i="3"/>
  <c r="I340" i="3"/>
  <c r="H340" i="3"/>
  <c r="G340" i="3"/>
  <c r="F340" i="3"/>
  <c r="E340" i="3"/>
  <c r="M339" i="3"/>
  <c r="L339" i="3"/>
  <c r="K339" i="3"/>
  <c r="J339" i="3"/>
  <c r="I339" i="3"/>
  <c r="H339" i="3"/>
  <c r="G339" i="3"/>
  <c r="F339" i="3"/>
  <c r="E339" i="3"/>
  <c r="M338" i="3"/>
  <c r="L338" i="3"/>
  <c r="K338" i="3"/>
  <c r="J338" i="3"/>
  <c r="I338" i="3"/>
  <c r="H338" i="3"/>
  <c r="G338" i="3"/>
  <c r="F338" i="3"/>
  <c r="E338" i="3"/>
  <c r="M337" i="3"/>
  <c r="L337" i="3"/>
  <c r="K337" i="3"/>
  <c r="J337" i="3"/>
  <c r="I337" i="3"/>
  <c r="H337" i="3"/>
  <c r="G337" i="3"/>
  <c r="F337" i="3"/>
  <c r="E337" i="3"/>
  <c r="M336" i="3"/>
  <c r="L336" i="3"/>
  <c r="K336" i="3"/>
  <c r="J336" i="3"/>
  <c r="I336" i="3"/>
  <c r="H336" i="3"/>
  <c r="G336" i="3"/>
  <c r="F336" i="3"/>
  <c r="E336" i="3"/>
  <c r="M335" i="3"/>
  <c r="L335" i="3"/>
  <c r="K335" i="3"/>
  <c r="J335" i="3"/>
  <c r="I335" i="3"/>
  <c r="H335" i="3"/>
  <c r="G335" i="3"/>
  <c r="F335" i="3"/>
  <c r="E335" i="3"/>
  <c r="M334" i="3"/>
  <c r="L334" i="3"/>
  <c r="K334" i="3"/>
  <c r="J334" i="3"/>
  <c r="I334" i="3"/>
  <c r="H334" i="3"/>
  <c r="G334" i="3"/>
  <c r="F334" i="3"/>
  <c r="E334" i="3"/>
  <c r="M333" i="3"/>
  <c r="L333" i="3"/>
  <c r="K333" i="3"/>
  <c r="J333" i="3"/>
  <c r="I333" i="3"/>
  <c r="H333" i="3"/>
  <c r="G333" i="3"/>
  <c r="F333" i="3"/>
  <c r="E333" i="3"/>
  <c r="M332" i="3"/>
  <c r="L332" i="3"/>
  <c r="K332" i="3"/>
  <c r="J332" i="3"/>
  <c r="I332" i="3"/>
  <c r="H332" i="3"/>
  <c r="G332" i="3"/>
  <c r="F332" i="3"/>
  <c r="E332" i="3"/>
  <c r="M331" i="3"/>
  <c r="L331" i="3"/>
  <c r="K331" i="3"/>
  <c r="J331" i="3"/>
  <c r="I331" i="3"/>
  <c r="H331" i="3"/>
  <c r="G331" i="3"/>
  <c r="F331" i="3"/>
  <c r="E331" i="3"/>
  <c r="M330" i="3"/>
  <c r="L330" i="3"/>
  <c r="K330" i="3"/>
  <c r="J330" i="3"/>
  <c r="I330" i="3"/>
  <c r="H330" i="3"/>
  <c r="G330" i="3"/>
  <c r="F330" i="3"/>
  <c r="E330" i="3"/>
  <c r="M329" i="3"/>
  <c r="L329" i="3"/>
  <c r="K329" i="3"/>
  <c r="J329" i="3"/>
  <c r="I329" i="3"/>
  <c r="H329" i="3"/>
  <c r="G329" i="3"/>
  <c r="F329" i="3"/>
  <c r="E329" i="3"/>
  <c r="M328" i="3"/>
  <c r="L328" i="3"/>
  <c r="K328" i="3"/>
  <c r="J328" i="3"/>
  <c r="I328" i="3"/>
  <c r="H328" i="3"/>
  <c r="G328" i="3"/>
  <c r="F328" i="3"/>
  <c r="E328" i="3"/>
  <c r="M327" i="3"/>
  <c r="L327" i="3"/>
  <c r="K327" i="3"/>
  <c r="J327" i="3"/>
  <c r="I327" i="3"/>
  <c r="H327" i="3"/>
  <c r="G327" i="3"/>
  <c r="F327" i="3"/>
  <c r="E327" i="3"/>
  <c r="M326" i="3"/>
  <c r="L326" i="3"/>
  <c r="K326" i="3"/>
  <c r="J326" i="3"/>
  <c r="I326" i="3"/>
  <c r="H326" i="3"/>
  <c r="G326" i="3"/>
  <c r="F326" i="3"/>
  <c r="E326" i="3"/>
  <c r="M325" i="3"/>
  <c r="L325" i="3"/>
  <c r="K325" i="3"/>
  <c r="J325" i="3"/>
  <c r="I325" i="3"/>
  <c r="H325" i="3"/>
  <c r="G325" i="3"/>
  <c r="F325" i="3"/>
  <c r="E325" i="3"/>
  <c r="M324" i="3"/>
  <c r="L324" i="3"/>
  <c r="K324" i="3"/>
  <c r="J324" i="3"/>
  <c r="I324" i="3"/>
  <c r="H324" i="3"/>
  <c r="G324" i="3"/>
  <c r="F324" i="3"/>
  <c r="E324" i="3"/>
  <c r="M323" i="3"/>
  <c r="L323" i="3"/>
  <c r="K323" i="3"/>
  <c r="J323" i="3"/>
  <c r="I323" i="3"/>
  <c r="H323" i="3"/>
  <c r="G323" i="3"/>
  <c r="F323" i="3"/>
  <c r="E323" i="3"/>
  <c r="M322" i="3"/>
  <c r="L322" i="3"/>
  <c r="K322" i="3"/>
  <c r="J322" i="3"/>
  <c r="I322" i="3"/>
  <c r="H322" i="3"/>
  <c r="G322" i="3"/>
  <c r="F322" i="3"/>
  <c r="E322" i="3"/>
  <c r="M321" i="3"/>
  <c r="L321" i="3"/>
  <c r="K321" i="3"/>
  <c r="J321" i="3"/>
  <c r="I321" i="3"/>
  <c r="H321" i="3"/>
  <c r="G321" i="3"/>
  <c r="F321" i="3"/>
  <c r="E321" i="3"/>
  <c r="M320" i="3"/>
  <c r="L320" i="3"/>
  <c r="K320" i="3"/>
  <c r="J320" i="3"/>
  <c r="I320" i="3"/>
  <c r="H320" i="3"/>
  <c r="G320" i="3"/>
  <c r="F320" i="3"/>
  <c r="E320" i="3"/>
  <c r="M319" i="3"/>
  <c r="L319" i="3"/>
  <c r="K319" i="3"/>
  <c r="J319" i="3"/>
  <c r="I319" i="3"/>
  <c r="H319" i="3"/>
  <c r="G319" i="3"/>
  <c r="F319" i="3"/>
  <c r="E319" i="3"/>
  <c r="M318" i="3"/>
  <c r="L318" i="3"/>
  <c r="K318" i="3"/>
  <c r="J318" i="3"/>
  <c r="I318" i="3"/>
  <c r="H318" i="3"/>
  <c r="G318" i="3"/>
  <c r="F318" i="3"/>
  <c r="E318" i="3"/>
  <c r="M317" i="3"/>
  <c r="L317" i="3"/>
  <c r="K317" i="3"/>
  <c r="J317" i="3"/>
  <c r="I317" i="3"/>
  <c r="H317" i="3"/>
  <c r="G317" i="3"/>
  <c r="F317" i="3"/>
  <c r="E317" i="3"/>
  <c r="M316" i="3"/>
  <c r="L316" i="3"/>
  <c r="K316" i="3"/>
  <c r="J316" i="3"/>
  <c r="I316" i="3"/>
  <c r="H316" i="3"/>
  <c r="G316" i="3"/>
  <c r="F316" i="3"/>
  <c r="E316" i="3"/>
  <c r="M315" i="3"/>
  <c r="L315" i="3"/>
  <c r="K315" i="3"/>
  <c r="J315" i="3"/>
  <c r="I315" i="3"/>
  <c r="H315" i="3"/>
  <c r="G315" i="3"/>
  <c r="F315" i="3"/>
  <c r="E315" i="3"/>
  <c r="M314" i="3"/>
  <c r="L314" i="3"/>
  <c r="K314" i="3"/>
  <c r="J314" i="3"/>
  <c r="I314" i="3"/>
  <c r="H314" i="3"/>
  <c r="G314" i="3"/>
  <c r="F314" i="3"/>
  <c r="E314" i="3"/>
  <c r="M313" i="3"/>
  <c r="L313" i="3"/>
  <c r="K313" i="3"/>
  <c r="J313" i="3"/>
  <c r="I313" i="3"/>
  <c r="H313" i="3"/>
  <c r="G313" i="3"/>
  <c r="F313" i="3"/>
  <c r="E313" i="3"/>
  <c r="M312" i="3"/>
  <c r="L312" i="3"/>
  <c r="K312" i="3"/>
  <c r="J312" i="3"/>
  <c r="I312" i="3"/>
  <c r="H312" i="3"/>
  <c r="G312" i="3"/>
  <c r="F312" i="3"/>
  <c r="E312" i="3"/>
  <c r="M311" i="3"/>
  <c r="L311" i="3"/>
  <c r="K311" i="3"/>
  <c r="J311" i="3"/>
  <c r="I311" i="3"/>
  <c r="H311" i="3"/>
  <c r="G311" i="3"/>
  <c r="F311" i="3"/>
  <c r="E311" i="3"/>
  <c r="M310" i="3"/>
  <c r="L310" i="3"/>
  <c r="K310" i="3"/>
  <c r="J310" i="3"/>
  <c r="I310" i="3"/>
  <c r="H310" i="3"/>
  <c r="G310" i="3"/>
  <c r="F310" i="3"/>
  <c r="E310" i="3"/>
  <c r="M309" i="3"/>
  <c r="L309" i="3"/>
  <c r="K309" i="3"/>
  <c r="J309" i="3"/>
  <c r="I309" i="3"/>
  <c r="H309" i="3"/>
  <c r="G309" i="3"/>
  <c r="F309" i="3"/>
  <c r="E309" i="3"/>
  <c r="M308" i="3"/>
  <c r="L308" i="3"/>
  <c r="K308" i="3"/>
  <c r="J308" i="3"/>
  <c r="I308" i="3"/>
  <c r="H308" i="3"/>
  <c r="G308" i="3"/>
  <c r="F308" i="3"/>
  <c r="E308" i="3"/>
  <c r="M307" i="3"/>
  <c r="L307" i="3"/>
  <c r="K307" i="3"/>
  <c r="J307" i="3"/>
  <c r="I307" i="3"/>
  <c r="H307" i="3"/>
  <c r="G307" i="3"/>
  <c r="F307" i="3"/>
  <c r="E307" i="3"/>
  <c r="M306" i="3"/>
  <c r="L306" i="3"/>
  <c r="K306" i="3"/>
  <c r="J306" i="3"/>
  <c r="I306" i="3"/>
  <c r="H306" i="3"/>
  <c r="G306" i="3"/>
  <c r="F306" i="3"/>
  <c r="E306" i="3"/>
  <c r="M305" i="3"/>
  <c r="L305" i="3"/>
  <c r="K305" i="3"/>
  <c r="J305" i="3"/>
  <c r="I305" i="3"/>
  <c r="H305" i="3"/>
  <c r="G305" i="3"/>
  <c r="F305" i="3"/>
  <c r="E305" i="3"/>
  <c r="M304" i="3"/>
  <c r="L304" i="3"/>
  <c r="K304" i="3"/>
  <c r="J304" i="3"/>
  <c r="I304" i="3"/>
  <c r="H304" i="3"/>
  <c r="G304" i="3"/>
  <c r="F304" i="3"/>
  <c r="E304" i="3"/>
  <c r="M303" i="3"/>
  <c r="L303" i="3"/>
  <c r="K303" i="3"/>
  <c r="J303" i="3"/>
  <c r="I303" i="3"/>
  <c r="H303" i="3"/>
  <c r="G303" i="3"/>
  <c r="F303" i="3"/>
  <c r="E303" i="3"/>
  <c r="M302" i="3"/>
  <c r="L302" i="3"/>
  <c r="K302" i="3"/>
  <c r="J302" i="3"/>
  <c r="I302" i="3"/>
  <c r="H302" i="3"/>
  <c r="G302" i="3"/>
  <c r="F302" i="3"/>
  <c r="E302" i="3"/>
  <c r="M301" i="3"/>
  <c r="L301" i="3"/>
  <c r="K301" i="3"/>
  <c r="J301" i="3"/>
  <c r="I301" i="3"/>
  <c r="H301" i="3"/>
  <c r="G301" i="3"/>
  <c r="F301" i="3"/>
  <c r="E301" i="3"/>
  <c r="M300" i="3"/>
  <c r="L300" i="3"/>
  <c r="K300" i="3"/>
  <c r="J300" i="3"/>
  <c r="I300" i="3"/>
  <c r="H300" i="3"/>
  <c r="G300" i="3"/>
  <c r="F300" i="3"/>
  <c r="E300" i="3"/>
  <c r="M299" i="3"/>
  <c r="L299" i="3"/>
  <c r="K299" i="3"/>
  <c r="J299" i="3"/>
  <c r="I299" i="3"/>
  <c r="H299" i="3"/>
  <c r="G299" i="3"/>
  <c r="F299" i="3"/>
  <c r="E299" i="3"/>
  <c r="M298" i="3"/>
  <c r="L298" i="3"/>
  <c r="K298" i="3"/>
  <c r="J298" i="3"/>
  <c r="I298" i="3"/>
  <c r="H298" i="3"/>
  <c r="G298" i="3"/>
  <c r="F298" i="3"/>
  <c r="E298" i="3"/>
  <c r="M297" i="3"/>
  <c r="L297" i="3"/>
  <c r="K297" i="3"/>
  <c r="J297" i="3"/>
  <c r="I297" i="3"/>
  <c r="H297" i="3"/>
  <c r="G297" i="3"/>
  <c r="F297" i="3"/>
  <c r="E297" i="3"/>
  <c r="M296" i="3"/>
  <c r="L296" i="3"/>
  <c r="K296" i="3"/>
  <c r="J296" i="3"/>
  <c r="I296" i="3"/>
  <c r="H296" i="3"/>
  <c r="G296" i="3"/>
  <c r="F296" i="3"/>
  <c r="E296" i="3"/>
  <c r="M295" i="3"/>
  <c r="L295" i="3"/>
  <c r="K295" i="3"/>
  <c r="J295" i="3"/>
  <c r="I295" i="3"/>
  <c r="H295" i="3"/>
  <c r="G295" i="3"/>
  <c r="F295" i="3"/>
  <c r="E295" i="3"/>
  <c r="M294" i="3"/>
  <c r="L294" i="3"/>
  <c r="K294" i="3"/>
  <c r="J294" i="3"/>
  <c r="I294" i="3"/>
  <c r="H294" i="3"/>
  <c r="G294" i="3"/>
  <c r="F294" i="3"/>
  <c r="E294" i="3"/>
  <c r="M293" i="3"/>
  <c r="L293" i="3"/>
  <c r="K293" i="3"/>
  <c r="J293" i="3"/>
  <c r="I293" i="3"/>
  <c r="H293" i="3"/>
  <c r="G293" i="3"/>
  <c r="F293" i="3"/>
  <c r="E293" i="3"/>
  <c r="M292" i="3"/>
  <c r="L292" i="3"/>
  <c r="K292" i="3"/>
  <c r="J292" i="3"/>
  <c r="I292" i="3"/>
  <c r="H292" i="3"/>
  <c r="G292" i="3"/>
  <c r="F292" i="3"/>
  <c r="E292" i="3"/>
  <c r="M291" i="3"/>
  <c r="L291" i="3"/>
  <c r="K291" i="3"/>
  <c r="J291" i="3"/>
  <c r="I291" i="3"/>
  <c r="H291" i="3"/>
  <c r="G291" i="3"/>
  <c r="F291" i="3"/>
  <c r="E291" i="3"/>
  <c r="M290" i="3"/>
  <c r="L290" i="3"/>
  <c r="K290" i="3"/>
  <c r="J290" i="3"/>
  <c r="I290" i="3"/>
  <c r="H290" i="3"/>
  <c r="G290" i="3"/>
  <c r="F290" i="3"/>
  <c r="E290" i="3"/>
  <c r="M289" i="3"/>
  <c r="L289" i="3"/>
  <c r="K289" i="3"/>
  <c r="J289" i="3"/>
  <c r="I289" i="3"/>
  <c r="H289" i="3"/>
  <c r="G289" i="3"/>
  <c r="F289" i="3"/>
  <c r="E289" i="3"/>
  <c r="M288" i="3"/>
  <c r="L288" i="3"/>
  <c r="K288" i="3"/>
  <c r="J288" i="3"/>
  <c r="I288" i="3"/>
  <c r="H288" i="3"/>
  <c r="G288" i="3"/>
  <c r="F288" i="3"/>
  <c r="E288" i="3"/>
  <c r="M287" i="3"/>
  <c r="L287" i="3"/>
  <c r="K287" i="3"/>
  <c r="J287" i="3"/>
  <c r="I287" i="3"/>
  <c r="H287" i="3"/>
  <c r="G287" i="3"/>
  <c r="F287" i="3"/>
  <c r="E287" i="3"/>
  <c r="M286" i="3"/>
  <c r="L286" i="3"/>
  <c r="K286" i="3"/>
  <c r="J286" i="3"/>
  <c r="I286" i="3"/>
  <c r="H286" i="3"/>
  <c r="G286" i="3"/>
  <c r="F286" i="3"/>
  <c r="E286" i="3"/>
  <c r="M285" i="3"/>
  <c r="L285" i="3"/>
  <c r="K285" i="3"/>
  <c r="J285" i="3"/>
  <c r="I285" i="3"/>
  <c r="H285" i="3"/>
  <c r="G285" i="3"/>
  <c r="F285" i="3"/>
  <c r="E285" i="3"/>
  <c r="M284" i="3"/>
  <c r="L284" i="3"/>
  <c r="K284" i="3"/>
  <c r="J284" i="3"/>
  <c r="I284" i="3"/>
  <c r="H284" i="3"/>
  <c r="G284" i="3"/>
  <c r="F284" i="3"/>
  <c r="E284" i="3"/>
  <c r="M283" i="3"/>
  <c r="L283" i="3"/>
  <c r="K283" i="3"/>
  <c r="J283" i="3"/>
  <c r="I283" i="3"/>
  <c r="H283" i="3"/>
  <c r="G283" i="3"/>
  <c r="F283" i="3"/>
  <c r="E283" i="3"/>
  <c r="M282" i="3"/>
  <c r="L282" i="3"/>
  <c r="K282" i="3"/>
  <c r="J282" i="3"/>
  <c r="I282" i="3"/>
  <c r="H282" i="3"/>
  <c r="G282" i="3"/>
  <c r="F282" i="3"/>
  <c r="E282" i="3"/>
  <c r="M281" i="3"/>
  <c r="L281" i="3"/>
  <c r="K281" i="3"/>
  <c r="J281" i="3"/>
  <c r="I281" i="3"/>
  <c r="H281" i="3"/>
  <c r="G281" i="3"/>
  <c r="F281" i="3"/>
  <c r="E281" i="3"/>
  <c r="M280" i="3"/>
  <c r="L280" i="3"/>
  <c r="K280" i="3"/>
  <c r="J280" i="3"/>
  <c r="I280" i="3"/>
  <c r="H280" i="3"/>
  <c r="G280" i="3"/>
  <c r="F280" i="3"/>
  <c r="E280" i="3"/>
  <c r="M279" i="3"/>
  <c r="L279" i="3"/>
  <c r="K279" i="3"/>
  <c r="J279" i="3"/>
  <c r="I279" i="3"/>
  <c r="H279" i="3"/>
  <c r="G279" i="3"/>
  <c r="F279" i="3"/>
  <c r="E279" i="3"/>
  <c r="M278" i="3"/>
  <c r="L278" i="3"/>
  <c r="K278" i="3"/>
  <c r="J278" i="3"/>
  <c r="I278" i="3"/>
  <c r="H278" i="3"/>
  <c r="G278" i="3"/>
  <c r="F278" i="3"/>
  <c r="E278" i="3"/>
  <c r="M277" i="3"/>
  <c r="L277" i="3"/>
  <c r="K277" i="3"/>
  <c r="J277" i="3"/>
  <c r="I277" i="3"/>
  <c r="H277" i="3"/>
  <c r="G277" i="3"/>
  <c r="F277" i="3"/>
  <c r="E277" i="3"/>
  <c r="M276" i="3"/>
  <c r="L276" i="3"/>
  <c r="K276" i="3"/>
  <c r="J276" i="3"/>
  <c r="I276" i="3"/>
  <c r="H276" i="3"/>
  <c r="G276" i="3"/>
  <c r="F276" i="3"/>
  <c r="E276" i="3"/>
  <c r="M275" i="3"/>
  <c r="L275" i="3"/>
  <c r="K275" i="3"/>
  <c r="J275" i="3"/>
  <c r="I275" i="3"/>
  <c r="H275" i="3"/>
  <c r="G275" i="3"/>
  <c r="F275" i="3"/>
  <c r="E275" i="3"/>
  <c r="M274" i="3"/>
  <c r="L274" i="3"/>
  <c r="K274" i="3"/>
  <c r="J274" i="3"/>
  <c r="I274" i="3"/>
  <c r="H274" i="3"/>
  <c r="G274" i="3"/>
  <c r="F274" i="3"/>
  <c r="E274" i="3"/>
  <c r="M273" i="3"/>
  <c r="L273" i="3"/>
  <c r="K273" i="3"/>
  <c r="J273" i="3"/>
  <c r="I273" i="3"/>
  <c r="H273" i="3"/>
  <c r="G273" i="3"/>
  <c r="F273" i="3"/>
  <c r="E273" i="3"/>
  <c r="M272" i="3"/>
  <c r="L272" i="3"/>
  <c r="K272" i="3"/>
  <c r="J272" i="3"/>
  <c r="I272" i="3"/>
  <c r="H272" i="3"/>
  <c r="G272" i="3"/>
  <c r="F272" i="3"/>
  <c r="E272" i="3"/>
  <c r="M271" i="3"/>
  <c r="L271" i="3"/>
  <c r="K271" i="3"/>
  <c r="J271" i="3"/>
  <c r="I271" i="3"/>
  <c r="H271" i="3"/>
  <c r="G271" i="3"/>
  <c r="F271" i="3"/>
  <c r="E271" i="3"/>
  <c r="M270" i="3"/>
  <c r="L270" i="3"/>
  <c r="K270" i="3"/>
  <c r="J270" i="3"/>
  <c r="I270" i="3"/>
  <c r="H270" i="3"/>
  <c r="G270" i="3"/>
  <c r="F270" i="3"/>
  <c r="E270" i="3"/>
  <c r="M269" i="3"/>
  <c r="L269" i="3"/>
  <c r="K269" i="3"/>
  <c r="J269" i="3"/>
  <c r="I269" i="3"/>
  <c r="H269" i="3"/>
  <c r="G269" i="3"/>
  <c r="F269" i="3"/>
  <c r="E269" i="3"/>
  <c r="M268" i="3"/>
  <c r="L268" i="3"/>
  <c r="K268" i="3"/>
  <c r="J268" i="3"/>
  <c r="I268" i="3"/>
  <c r="H268" i="3"/>
  <c r="G268" i="3"/>
  <c r="F268" i="3"/>
  <c r="E268" i="3"/>
  <c r="M267" i="3"/>
  <c r="L267" i="3"/>
  <c r="K267" i="3"/>
  <c r="J267" i="3"/>
  <c r="I267" i="3"/>
  <c r="H267" i="3"/>
  <c r="G267" i="3"/>
  <c r="F267" i="3"/>
  <c r="E267" i="3"/>
  <c r="M266" i="3"/>
  <c r="L266" i="3"/>
  <c r="K266" i="3"/>
  <c r="J266" i="3"/>
  <c r="I266" i="3"/>
  <c r="H266" i="3"/>
  <c r="G266" i="3"/>
  <c r="F266" i="3"/>
  <c r="E266" i="3"/>
  <c r="M265" i="3"/>
  <c r="L265" i="3"/>
  <c r="K265" i="3"/>
  <c r="J265" i="3"/>
  <c r="I265" i="3"/>
  <c r="H265" i="3"/>
  <c r="G265" i="3"/>
  <c r="F265" i="3"/>
  <c r="E265" i="3"/>
  <c r="M264" i="3"/>
  <c r="L264" i="3"/>
  <c r="K264" i="3"/>
  <c r="J264" i="3"/>
  <c r="I264" i="3"/>
  <c r="H264" i="3"/>
  <c r="G264" i="3"/>
  <c r="F264" i="3"/>
  <c r="E264" i="3"/>
  <c r="M263" i="3"/>
  <c r="L263" i="3"/>
  <c r="K263" i="3"/>
  <c r="J263" i="3"/>
  <c r="I263" i="3"/>
  <c r="H263" i="3"/>
  <c r="G263" i="3"/>
  <c r="F263" i="3"/>
  <c r="E263" i="3"/>
  <c r="M262" i="3"/>
  <c r="L262" i="3"/>
  <c r="K262" i="3"/>
  <c r="J262" i="3"/>
  <c r="I262" i="3"/>
  <c r="H262" i="3"/>
  <c r="G262" i="3"/>
  <c r="F262" i="3"/>
  <c r="E262" i="3"/>
  <c r="M261" i="3"/>
  <c r="L261" i="3"/>
  <c r="K261" i="3"/>
  <c r="J261" i="3"/>
  <c r="I261" i="3"/>
  <c r="H261" i="3"/>
  <c r="G261" i="3"/>
  <c r="F261" i="3"/>
  <c r="E261" i="3"/>
  <c r="M260" i="3"/>
  <c r="L260" i="3"/>
  <c r="K260" i="3"/>
  <c r="J260" i="3"/>
  <c r="I260" i="3"/>
  <c r="H260" i="3"/>
  <c r="G260" i="3"/>
  <c r="F260" i="3"/>
  <c r="E260" i="3"/>
  <c r="M259" i="3"/>
  <c r="L259" i="3"/>
  <c r="K259" i="3"/>
  <c r="J259" i="3"/>
  <c r="I259" i="3"/>
  <c r="H259" i="3"/>
  <c r="G259" i="3"/>
  <c r="F259" i="3"/>
  <c r="E259" i="3"/>
  <c r="M258" i="3"/>
  <c r="L258" i="3"/>
  <c r="K258" i="3"/>
  <c r="J258" i="3"/>
  <c r="I258" i="3"/>
  <c r="H258" i="3"/>
  <c r="G258" i="3"/>
  <c r="F258" i="3"/>
  <c r="E258" i="3"/>
  <c r="M257" i="3"/>
  <c r="L257" i="3"/>
  <c r="K257" i="3"/>
  <c r="J257" i="3"/>
  <c r="I257" i="3"/>
  <c r="H257" i="3"/>
  <c r="G257" i="3"/>
  <c r="F257" i="3"/>
  <c r="E257" i="3"/>
  <c r="M256" i="3"/>
  <c r="L256" i="3"/>
  <c r="K256" i="3"/>
  <c r="J256" i="3"/>
  <c r="I256" i="3"/>
  <c r="H256" i="3"/>
  <c r="G256" i="3"/>
  <c r="F256" i="3"/>
  <c r="E256" i="3"/>
  <c r="M255" i="3"/>
  <c r="L255" i="3"/>
  <c r="K255" i="3"/>
  <c r="J255" i="3"/>
  <c r="I255" i="3"/>
  <c r="H255" i="3"/>
  <c r="G255" i="3"/>
  <c r="F255" i="3"/>
  <c r="E255" i="3"/>
  <c r="M254" i="3"/>
  <c r="L254" i="3"/>
  <c r="K254" i="3"/>
  <c r="J254" i="3"/>
  <c r="I254" i="3"/>
  <c r="H254" i="3"/>
  <c r="G254" i="3"/>
  <c r="F254" i="3"/>
  <c r="E254" i="3"/>
  <c r="M253" i="3"/>
  <c r="L253" i="3"/>
  <c r="K253" i="3"/>
  <c r="J253" i="3"/>
  <c r="I253" i="3"/>
  <c r="H253" i="3"/>
  <c r="G253" i="3"/>
  <c r="F253" i="3"/>
  <c r="E253" i="3"/>
  <c r="M252" i="3"/>
  <c r="L252" i="3"/>
  <c r="K252" i="3"/>
  <c r="J252" i="3"/>
  <c r="I252" i="3"/>
  <c r="H252" i="3"/>
  <c r="G252" i="3"/>
  <c r="F252" i="3"/>
  <c r="E252" i="3"/>
  <c r="M251" i="3"/>
  <c r="L251" i="3"/>
  <c r="K251" i="3"/>
  <c r="J251" i="3"/>
  <c r="I251" i="3"/>
  <c r="H251" i="3"/>
  <c r="G251" i="3"/>
  <c r="F251" i="3"/>
  <c r="E251" i="3"/>
  <c r="M250" i="3"/>
  <c r="L250" i="3"/>
  <c r="K250" i="3"/>
  <c r="J250" i="3"/>
  <c r="I250" i="3"/>
  <c r="H250" i="3"/>
  <c r="G250" i="3"/>
  <c r="F250" i="3"/>
  <c r="E250" i="3"/>
  <c r="M249" i="3"/>
  <c r="L249" i="3"/>
  <c r="K249" i="3"/>
  <c r="J249" i="3"/>
  <c r="I249" i="3"/>
  <c r="H249" i="3"/>
  <c r="G249" i="3"/>
  <c r="F249" i="3"/>
  <c r="E249" i="3"/>
  <c r="M248" i="3"/>
  <c r="L248" i="3"/>
  <c r="K248" i="3"/>
  <c r="J248" i="3"/>
  <c r="I248" i="3"/>
  <c r="H248" i="3"/>
  <c r="G248" i="3"/>
  <c r="F248" i="3"/>
  <c r="E248" i="3"/>
  <c r="M247" i="3"/>
  <c r="L247" i="3"/>
  <c r="K247" i="3"/>
  <c r="J247" i="3"/>
  <c r="I247" i="3"/>
  <c r="H247" i="3"/>
  <c r="G247" i="3"/>
  <c r="F247" i="3"/>
  <c r="E247" i="3"/>
  <c r="M246" i="3"/>
  <c r="L246" i="3"/>
  <c r="K246" i="3"/>
  <c r="J246" i="3"/>
  <c r="I246" i="3"/>
  <c r="H246" i="3"/>
  <c r="G246" i="3"/>
  <c r="F246" i="3"/>
  <c r="E246" i="3"/>
  <c r="M245" i="3"/>
  <c r="L245" i="3"/>
  <c r="K245" i="3"/>
  <c r="J245" i="3"/>
  <c r="I245" i="3"/>
  <c r="H245" i="3"/>
  <c r="G245" i="3"/>
  <c r="F245" i="3"/>
  <c r="E245" i="3"/>
  <c r="M244" i="3"/>
  <c r="L244" i="3"/>
  <c r="K244" i="3"/>
  <c r="J244" i="3"/>
  <c r="I244" i="3"/>
  <c r="H244" i="3"/>
  <c r="G244" i="3"/>
  <c r="F244" i="3"/>
  <c r="E244" i="3"/>
  <c r="M243" i="3"/>
  <c r="L243" i="3"/>
  <c r="K243" i="3"/>
  <c r="J243" i="3"/>
  <c r="I243" i="3"/>
  <c r="H243" i="3"/>
  <c r="G243" i="3"/>
  <c r="F243" i="3"/>
  <c r="E243" i="3"/>
  <c r="M242" i="3"/>
  <c r="L242" i="3"/>
  <c r="K242" i="3"/>
  <c r="J242" i="3"/>
  <c r="I242" i="3"/>
  <c r="H242" i="3"/>
  <c r="G242" i="3"/>
  <c r="F242" i="3"/>
  <c r="E242" i="3"/>
  <c r="M241" i="3"/>
  <c r="L241" i="3"/>
  <c r="K241" i="3"/>
  <c r="J241" i="3"/>
  <c r="I241" i="3"/>
  <c r="H241" i="3"/>
  <c r="G241" i="3"/>
  <c r="F241" i="3"/>
  <c r="E241" i="3"/>
  <c r="M240" i="3"/>
  <c r="L240" i="3"/>
  <c r="K240" i="3"/>
  <c r="J240" i="3"/>
  <c r="I240" i="3"/>
  <c r="H240" i="3"/>
  <c r="G240" i="3"/>
  <c r="F240" i="3"/>
  <c r="E240" i="3"/>
  <c r="M239" i="3"/>
  <c r="L239" i="3"/>
  <c r="K239" i="3"/>
  <c r="J239" i="3"/>
  <c r="I239" i="3"/>
  <c r="H239" i="3"/>
  <c r="G239" i="3"/>
  <c r="F239" i="3"/>
  <c r="E239" i="3"/>
  <c r="M238" i="3"/>
  <c r="L238" i="3"/>
  <c r="K238" i="3"/>
  <c r="J238" i="3"/>
  <c r="I238" i="3"/>
  <c r="H238" i="3"/>
  <c r="G238" i="3"/>
  <c r="F238" i="3"/>
  <c r="E238" i="3"/>
  <c r="M237" i="3"/>
  <c r="L237" i="3"/>
  <c r="K237" i="3"/>
  <c r="J237" i="3"/>
  <c r="I237" i="3"/>
  <c r="H237" i="3"/>
  <c r="G237" i="3"/>
  <c r="F237" i="3"/>
  <c r="E237" i="3"/>
  <c r="M236" i="3"/>
  <c r="L236" i="3"/>
  <c r="K236" i="3"/>
  <c r="J236" i="3"/>
  <c r="I236" i="3"/>
  <c r="H236" i="3"/>
  <c r="G236" i="3"/>
  <c r="F236" i="3"/>
  <c r="E236" i="3"/>
  <c r="M235" i="3"/>
  <c r="L235" i="3"/>
  <c r="K235" i="3"/>
  <c r="J235" i="3"/>
  <c r="I235" i="3"/>
  <c r="H235" i="3"/>
  <c r="G235" i="3"/>
  <c r="F235" i="3"/>
  <c r="E235" i="3"/>
  <c r="M234" i="3"/>
  <c r="L234" i="3"/>
  <c r="K234" i="3"/>
  <c r="J234" i="3"/>
  <c r="I234" i="3"/>
  <c r="H234" i="3"/>
  <c r="G234" i="3"/>
  <c r="F234" i="3"/>
  <c r="E234" i="3"/>
  <c r="M233" i="3"/>
  <c r="L233" i="3"/>
  <c r="K233" i="3"/>
  <c r="J233" i="3"/>
  <c r="I233" i="3"/>
  <c r="H233" i="3"/>
  <c r="G233" i="3"/>
  <c r="F233" i="3"/>
  <c r="E233" i="3"/>
  <c r="M232" i="3"/>
  <c r="L232" i="3"/>
  <c r="K232" i="3"/>
  <c r="J232" i="3"/>
  <c r="I232" i="3"/>
  <c r="H232" i="3"/>
  <c r="G232" i="3"/>
  <c r="F232" i="3"/>
  <c r="E232" i="3"/>
  <c r="M231" i="3"/>
  <c r="L231" i="3"/>
  <c r="K231" i="3"/>
  <c r="J231" i="3"/>
  <c r="I231" i="3"/>
  <c r="H231" i="3"/>
  <c r="G231" i="3"/>
  <c r="F231" i="3"/>
  <c r="E231" i="3"/>
  <c r="M230" i="3"/>
  <c r="L230" i="3"/>
  <c r="K230" i="3"/>
  <c r="J230" i="3"/>
  <c r="I230" i="3"/>
  <c r="H230" i="3"/>
  <c r="G230" i="3"/>
  <c r="F230" i="3"/>
  <c r="E230" i="3"/>
  <c r="M229" i="3"/>
  <c r="L229" i="3"/>
  <c r="K229" i="3"/>
  <c r="J229" i="3"/>
  <c r="I229" i="3"/>
  <c r="H229" i="3"/>
  <c r="G229" i="3"/>
  <c r="F229" i="3"/>
  <c r="E229" i="3"/>
  <c r="M228" i="3"/>
  <c r="L228" i="3"/>
  <c r="K228" i="3"/>
  <c r="J228" i="3"/>
  <c r="I228" i="3"/>
  <c r="H228" i="3"/>
  <c r="G228" i="3"/>
  <c r="F228" i="3"/>
  <c r="E228" i="3"/>
  <c r="M227" i="3"/>
  <c r="L227" i="3"/>
  <c r="K227" i="3"/>
  <c r="J227" i="3"/>
  <c r="I227" i="3"/>
  <c r="H227" i="3"/>
  <c r="G227" i="3"/>
  <c r="F227" i="3"/>
  <c r="E227" i="3"/>
  <c r="M226" i="3"/>
  <c r="L226" i="3"/>
  <c r="K226" i="3"/>
  <c r="J226" i="3"/>
  <c r="I226" i="3"/>
  <c r="H226" i="3"/>
  <c r="G226" i="3"/>
  <c r="F226" i="3"/>
  <c r="E226" i="3"/>
  <c r="M225" i="3"/>
  <c r="L225" i="3"/>
  <c r="K225" i="3"/>
  <c r="J225" i="3"/>
  <c r="I225" i="3"/>
  <c r="H225" i="3"/>
  <c r="G225" i="3"/>
  <c r="F225" i="3"/>
  <c r="E225" i="3"/>
  <c r="M224" i="3"/>
  <c r="L224" i="3"/>
  <c r="K224" i="3"/>
  <c r="J224" i="3"/>
  <c r="I224" i="3"/>
  <c r="H224" i="3"/>
  <c r="G224" i="3"/>
  <c r="F224" i="3"/>
  <c r="E224" i="3"/>
  <c r="M223" i="3"/>
  <c r="L223" i="3"/>
  <c r="K223" i="3"/>
  <c r="J223" i="3"/>
  <c r="I223" i="3"/>
  <c r="H223" i="3"/>
  <c r="G223" i="3"/>
  <c r="F223" i="3"/>
  <c r="E223" i="3"/>
  <c r="M222" i="3"/>
  <c r="L222" i="3"/>
  <c r="K222" i="3"/>
  <c r="J222" i="3"/>
  <c r="I222" i="3"/>
  <c r="H222" i="3"/>
  <c r="G222" i="3"/>
  <c r="F222" i="3"/>
  <c r="E222" i="3"/>
  <c r="M221" i="3"/>
  <c r="L221" i="3"/>
  <c r="K221" i="3"/>
  <c r="J221" i="3"/>
  <c r="I221" i="3"/>
  <c r="H221" i="3"/>
  <c r="G221" i="3"/>
  <c r="F221" i="3"/>
  <c r="E221" i="3"/>
  <c r="M220" i="3"/>
  <c r="L220" i="3"/>
  <c r="K220" i="3"/>
  <c r="J220" i="3"/>
  <c r="I220" i="3"/>
  <c r="H220" i="3"/>
  <c r="G220" i="3"/>
  <c r="F220" i="3"/>
  <c r="E220" i="3"/>
  <c r="M219" i="3"/>
  <c r="L219" i="3"/>
  <c r="K219" i="3"/>
  <c r="J219" i="3"/>
  <c r="I219" i="3"/>
  <c r="H219" i="3"/>
  <c r="G219" i="3"/>
  <c r="F219" i="3"/>
  <c r="E219" i="3"/>
  <c r="M218" i="3"/>
  <c r="L218" i="3"/>
  <c r="K218" i="3"/>
  <c r="J218" i="3"/>
  <c r="I218" i="3"/>
  <c r="H218" i="3"/>
  <c r="G218" i="3"/>
  <c r="F218" i="3"/>
  <c r="E218" i="3"/>
  <c r="M217" i="3"/>
  <c r="L217" i="3"/>
  <c r="K217" i="3"/>
  <c r="J217" i="3"/>
  <c r="I217" i="3"/>
  <c r="H217" i="3"/>
  <c r="G217" i="3"/>
  <c r="F217" i="3"/>
  <c r="E217" i="3"/>
  <c r="M216" i="3"/>
  <c r="L216" i="3"/>
  <c r="K216" i="3"/>
  <c r="J216" i="3"/>
  <c r="I216" i="3"/>
  <c r="H216" i="3"/>
  <c r="G216" i="3"/>
  <c r="F216" i="3"/>
  <c r="E216" i="3"/>
  <c r="M215" i="3"/>
  <c r="L215" i="3"/>
  <c r="K215" i="3"/>
  <c r="J215" i="3"/>
  <c r="I215" i="3"/>
  <c r="H215" i="3"/>
  <c r="G215" i="3"/>
  <c r="F215" i="3"/>
  <c r="E215" i="3"/>
  <c r="M214" i="3"/>
  <c r="L214" i="3"/>
  <c r="K214" i="3"/>
  <c r="J214" i="3"/>
  <c r="I214" i="3"/>
  <c r="H214" i="3"/>
  <c r="G214" i="3"/>
  <c r="F214" i="3"/>
  <c r="E214" i="3"/>
  <c r="M213" i="3"/>
  <c r="L213" i="3"/>
  <c r="K213" i="3"/>
  <c r="J213" i="3"/>
  <c r="I213" i="3"/>
  <c r="H213" i="3"/>
  <c r="G213" i="3"/>
  <c r="F213" i="3"/>
  <c r="E213" i="3"/>
  <c r="M212" i="3"/>
  <c r="L212" i="3"/>
  <c r="K212" i="3"/>
  <c r="J212" i="3"/>
  <c r="I212" i="3"/>
  <c r="H212" i="3"/>
  <c r="G212" i="3"/>
  <c r="F212" i="3"/>
  <c r="E212" i="3"/>
  <c r="M211" i="3"/>
  <c r="L211" i="3"/>
  <c r="K211" i="3"/>
  <c r="J211" i="3"/>
  <c r="I211" i="3"/>
  <c r="H211" i="3"/>
  <c r="G211" i="3"/>
  <c r="F211" i="3"/>
  <c r="E211" i="3"/>
  <c r="M210" i="3"/>
  <c r="L210" i="3"/>
  <c r="K210" i="3"/>
  <c r="J210" i="3"/>
  <c r="I210" i="3"/>
  <c r="H210" i="3"/>
  <c r="G210" i="3"/>
  <c r="F210" i="3"/>
  <c r="E210" i="3"/>
  <c r="M209" i="3"/>
  <c r="L209" i="3"/>
  <c r="K209" i="3"/>
  <c r="J209" i="3"/>
  <c r="I209" i="3"/>
  <c r="H209" i="3"/>
  <c r="G209" i="3"/>
  <c r="F209" i="3"/>
  <c r="E209" i="3"/>
  <c r="M208" i="3"/>
  <c r="L208" i="3"/>
  <c r="K208" i="3"/>
  <c r="J208" i="3"/>
  <c r="I208" i="3"/>
  <c r="H208" i="3"/>
  <c r="G208" i="3"/>
  <c r="F208" i="3"/>
  <c r="E208" i="3"/>
  <c r="M207" i="3"/>
  <c r="L207" i="3"/>
  <c r="K207" i="3"/>
  <c r="J207" i="3"/>
  <c r="I207" i="3"/>
  <c r="H207" i="3"/>
  <c r="G207" i="3"/>
  <c r="F207" i="3"/>
  <c r="E207" i="3"/>
  <c r="M206" i="3"/>
  <c r="L206" i="3"/>
  <c r="K206" i="3"/>
  <c r="J206" i="3"/>
  <c r="I206" i="3"/>
  <c r="H206" i="3"/>
  <c r="G206" i="3"/>
  <c r="F206" i="3"/>
  <c r="E206" i="3"/>
  <c r="M205" i="3"/>
  <c r="L205" i="3"/>
  <c r="K205" i="3"/>
  <c r="J205" i="3"/>
  <c r="I205" i="3"/>
  <c r="H205" i="3"/>
  <c r="G205" i="3"/>
  <c r="F205" i="3"/>
  <c r="E205" i="3"/>
  <c r="M204" i="3"/>
  <c r="L204" i="3"/>
  <c r="K204" i="3"/>
  <c r="J204" i="3"/>
  <c r="I204" i="3"/>
  <c r="H204" i="3"/>
  <c r="G204" i="3"/>
  <c r="F204" i="3"/>
  <c r="E204" i="3"/>
  <c r="M203" i="3"/>
  <c r="L203" i="3"/>
  <c r="K203" i="3"/>
  <c r="J203" i="3"/>
  <c r="I203" i="3"/>
  <c r="H203" i="3"/>
  <c r="G203" i="3"/>
  <c r="F203" i="3"/>
  <c r="E203" i="3"/>
  <c r="M202" i="3"/>
  <c r="L202" i="3"/>
  <c r="K202" i="3"/>
  <c r="J202" i="3"/>
  <c r="I202" i="3"/>
  <c r="H202" i="3"/>
  <c r="G202" i="3"/>
  <c r="F202" i="3"/>
  <c r="E202" i="3"/>
  <c r="M201" i="3"/>
  <c r="L201" i="3"/>
  <c r="K201" i="3"/>
  <c r="J201" i="3"/>
  <c r="I201" i="3"/>
  <c r="H201" i="3"/>
  <c r="G201" i="3"/>
  <c r="F201" i="3"/>
  <c r="E201" i="3"/>
  <c r="M200" i="3"/>
  <c r="L200" i="3"/>
  <c r="K200" i="3"/>
  <c r="J200" i="3"/>
  <c r="I200" i="3"/>
  <c r="H200" i="3"/>
  <c r="G200" i="3"/>
  <c r="F200" i="3"/>
  <c r="E200" i="3"/>
  <c r="M199" i="3"/>
  <c r="L199" i="3"/>
  <c r="K199" i="3"/>
  <c r="J199" i="3"/>
  <c r="I199" i="3"/>
  <c r="H199" i="3"/>
  <c r="G199" i="3"/>
  <c r="F199" i="3"/>
  <c r="E199" i="3"/>
  <c r="M198" i="3"/>
  <c r="L198" i="3"/>
  <c r="K198" i="3"/>
  <c r="J198" i="3"/>
  <c r="I198" i="3"/>
  <c r="H198" i="3"/>
  <c r="G198" i="3"/>
  <c r="F198" i="3"/>
  <c r="E198" i="3"/>
  <c r="M197" i="3"/>
  <c r="L197" i="3"/>
  <c r="K197" i="3"/>
  <c r="J197" i="3"/>
  <c r="I197" i="3"/>
  <c r="H197" i="3"/>
  <c r="G197" i="3"/>
  <c r="F197" i="3"/>
  <c r="E197" i="3"/>
  <c r="M196" i="3"/>
  <c r="L196" i="3"/>
  <c r="K196" i="3"/>
  <c r="J196" i="3"/>
  <c r="I196" i="3"/>
  <c r="H196" i="3"/>
  <c r="G196" i="3"/>
  <c r="F196" i="3"/>
  <c r="E196" i="3"/>
  <c r="M195" i="3"/>
  <c r="L195" i="3"/>
  <c r="K195" i="3"/>
  <c r="J195" i="3"/>
  <c r="I195" i="3"/>
  <c r="H195" i="3"/>
  <c r="G195" i="3"/>
  <c r="F195" i="3"/>
  <c r="E195" i="3"/>
  <c r="M194" i="3"/>
  <c r="L194" i="3"/>
  <c r="K194" i="3"/>
  <c r="J194" i="3"/>
  <c r="I194" i="3"/>
  <c r="H194" i="3"/>
  <c r="G194" i="3"/>
  <c r="F194" i="3"/>
  <c r="E194" i="3"/>
  <c r="M193" i="3"/>
  <c r="L193" i="3"/>
  <c r="K193" i="3"/>
  <c r="J193" i="3"/>
  <c r="I193" i="3"/>
  <c r="H193" i="3"/>
  <c r="G193" i="3"/>
  <c r="F193" i="3"/>
  <c r="E193" i="3"/>
  <c r="M192" i="3"/>
  <c r="L192" i="3"/>
  <c r="K192" i="3"/>
  <c r="J192" i="3"/>
  <c r="I192" i="3"/>
  <c r="H192" i="3"/>
  <c r="G192" i="3"/>
  <c r="F192" i="3"/>
  <c r="E192" i="3"/>
  <c r="M191" i="3"/>
  <c r="L191" i="3"/>
  <c r="K191" i="3"/>
  <c r="J191" i="3"/>
  <c r="I191" i="3"/>
  <c r="H191" i="3"/>
  <c r="G191" i="3"/>
  <c r="F191" i="3"/>
  <c r="E191" i="3"/>
  <c r="M190" i="3"/>
  <c r="L190" i="3"/>
  <c r="K190" i="3"/>
  <c r="J190" i="3"/>
  <c r="I190" i="3"/>
  <c r="H190" i="3"/>
  <c r="G190" i="3"/>
  <c r="F190" i="3"/>
  <c r="E190" i="3"/>
  <c r="M189" i="3"/>
  <c r="L189" i="3"/>
  <c r="K189" i="3"/>
  <c r="J189" i="3"/>
  <c r="I189" i="3"/>
  <c r="H189" i="3"/>
  <c r="G189" i="3"/>
  <c r="F189" i="3"/>
  <c r="E189" i="3"/>
  <c r="M188" i="3"/>
  <c r="L188" i="3"/>
  <c r="K188" i="3"/>
  <c r="J188" i="3"/>
  <c r="I188" i="3"/>
  <c r="H188" i="3"/>
  <c r="G188" i="3"/>
  <c r="F188" i="3"/>
  <c r="E188" i="3"/>
  <c r="M187" i="3"/>
  <c r="L187" i="3"/>
  <c r="K187" i="3"/>
  <c r="J187" i="3"/>
  <c r="I187" i="3"/>
  <c r="H187" i="3"/>
  <c r="G187" i="3"/>
  <c r="F187" i="3"/>
  <c r="E187" i="3"/>
  <c r="M186" i="3"/>
  <c r="L186" i="3"/>
  <c r="K186" i="3"/>
  <c r="J186" i="3"/>
  <c r="I186" i="3"/>
  <c r="H186" i="3"/>
  <c r="G186" i="3"/>
  <c r="F186" i="3"/>
  <c r="E186" i="3"/>
  <c r="M185" i="3"/>
  <c r="L185" i="3"/>
  <c r="K185" i="3"/>
  <c r="J185" i="3"/>
  <c r="I185" i="3"/>
  <c r="H185" i="3"/>
  <c r="G185" i="3"/>
  <c r="F185" i="3"/>
  <c r="E185" i="3"/>
  <c r="M184" i="3"/>
  <c r="L184" i="3"/>
  <c r="K184" i="3"/>
  <c r="J184" i="3"/>
  <c r="I184" i="3"/>
  <c r="H184" i="3"/>
  <c r="G184" i="3"/>
  <c r="F184" i="3"/>
  <c r="E184" i="3"/>
  <c r="M183" i="3"/>
  <c r="L183" i="3"/>
  <c r="K183" i="3"/>
  <c r="J183" i="3"/>
  <c r="I183" i="3"/>
  <c r="H183" i="3"/>
  <c r="G183" i="3"/>
  <c r="F183" i="3"/>
  <c r="E183" i="3"/>
  <c r="M182" i="3"/>
  <c r="L182" i="3"/>
  <c r="K182" i="3"/>
  <c r="J182" i="3"/>
  <c r="I182" i="3"/>
  <c r="H182" i="3"/>
  <c r="G182" i="3"/>
  <c r="F182" i="3"/>
  <c r="E182" i="3"/>
  <c r="M181" i="3"/>
  <c r="L181" i="3"/>
  <c r="K181" i="3"/>
  <c r="J181" i="3"/>
  <c r="I181" i="3"/>
  <c r="H181" i="3"/>
  <c r="G181" i="3"/>
  <c r="F181" i="3"/>
  <c r="E181" i="3"/>
  <c r="M180" i="3"/>
  <c r="L180" i="3"/>
  <c r="K180" i="3"/>
  <c r="J180" i="3"/>
  <c r="I180" i="3"/>
  <c r="H180" i="3"/>
  <c r="G180" i="3"/>
  <c r="F180" i="3"/>
  <c r="E180" i="3"/>
  <c r="M179" i="3"/>
  <c r="L179" i="3"/>
  <c r="K179" i="3"/>
  <c r="J179" i="3"/>
  <c r="I179" i="3"/>
  <c r="H179" i="3"/>
  <c r="G179" i="3"/>
  <c r="F179" i="3"/>
  <c r="E179" i="3"/>
  <c r="M178" i="3"/>
  <c r="L178" i="3"/>
  <c r="K178" i="3"/>
  <c r="J178" i="3"/>
  <c r="I178" i="3"/>
  <c r="H178" i="3"/>
  <c r="G178" i="3"/>
  <c r="F178" i="3"/>
  <c r="E178" i="3"/>
  <c r="M177" i="3"/>
  <c r="L177" i="3"/>
  <c r="K177" i="3"/>
  <c r="J177" i="3"/>
  <c r="I177" i="3"/>
  <c r="H177" i="3"/>
  <c r="G177" i="3"/>
  <c r="F177" i="3"/>
  <c r="E177" i="3"/>
  <c r="M176" i="3"/>
  <c r="L176" i="3"/>
  <c r="K176" i="3"/>
  <c r="J176" i="3"/>
  <c r="I176" i="3"/>
  <c r="H176" i="3"/>
  <c r="G176" i="3"/>
  <c r="F176" i="3"/>
  <c r="E176" i="3"/>
  <c r="M175" i="3"/>
  <c r="L175" i="3"/>
  <c r="K175" i="3"/>
  <c r="J175" i="3"/>
  <c r="I175" i="3"/>
  <c r="H175" i="3"/>
  <c r="G175" i="3"/>
  <c r="F175" i="3"/>
  <c r="E175" i="3"/>
  <c r="M174" i="3"/>
  <c r="L174" i="3"/>
  <c r="K174" i="3"/>
  <c r="J174" i="3"/>
  <c r="I174" i="3"/>
  <c r="H174" i="3"/>
  <c r="G174" i="3"/>
  <c r="F174" i="3"/>
  <c r="E174" i="3"/>
  <c r="M173" i="3"/>
  <c r="L173" i="3"/>
  <c r="K173" i="3"/>
  <c r="J173" i="3"/>
  <c r="I173" i="3"/>
  <c r="H173" i="3"/>
  <c r="G173" i="3"/>
  <c r="F173" i="3"/>
  <c r="E173" i="3"/>
  <c r="M172" i="3"/>
  <c r="L172" i="3"/>
  <c r="K172" i="3"/>
  <c r="J172" i="3"/>
  <c r="I172" i="3"/>
  <c r="H172" i="3"/>
  <c r="G172" i="3"/>
  <c r="F172" i="3"/>
  <c r="E172" i="3"/>
  <c r="M171" i="3"/>
  <c r="L171" i="3"/>
  <c r="K171" i="3"/>
  <c r="J171" i="3"/>
  <c r="I171" i="3"/>
  <c r="H171" i="3"/>
  <c r="G171" i="3"/>
  <c r="F171" i="3"/>
  <c r="E171" i="3"/>
  <c r="M170" i="3"/>
  <c r="L170" i="3"/>
  <c r="K170" i="3"/>
  <c r="J170" i="3"/>
  <c r="I170" i="3"/>
  <c r="H170" i="3"/>
  <c r="G170" i="3"/>
  <c r="F170" i="3"/>
  <c r="E170" i="3"/>
  <c r="M169" i="3"/>
  <c r="L169" i="3"/>
  <c r="K169" i="3"/>
  <c r="J169" i="3"/>
  <c r="I169" i="3"/>
  <c r="H169" i="3"/>
  <c r="G169" i="3"/>
  <c r="F169" i="3"/>
  <c r="E169" i="3"/>
  <c r="M168" i="3"/>
  <c r="L168" i="3"/>
  <c r="K168" i="3"/>
  <c r="J168" i="3"/>
  <c r="I168" i="3"/>
  <c r="H168" i="3"/>
  <c r="G168" i="3"/>
  <c r="F168" i="3"/>
  <c r="E168" i="3"/>
  <c r="M167" i="3"/>
  <c r="L167" i="3"/>
  <c r="K167" i="3"/>
  <c r="J167" i="3"/>
  <c r="I167" i="3"/>
  <c r="H167" i="3"/>
  <c r="G167" i="3"/>
  <c r="F167" i="3"/>
  <c r="E167" i="3"/>
  <c r="M166" i="3"/>
  <c r="L166" i="3"/>
  <c r="K166" i="3"/>
  <c r="J166" i="3"/>
  <c r="I166" i="3"/>
  <c r="H166" i="3"/>
  <c r="G166" i="3"/>
  <c r="F166" i="3"/>
  <c r="E166" i="3"/>
  <c r="M165" i="3"/>
  <c r="L165" i="3"/>
  <c r="K165" i="3"/>
  <c r="J165" i="3"/>
  <c r="I165" i="3"/>
  <c r="H165" i="3"/>
  <c r="G165" i="3"/>
  <c r="F165" i="3"/>
  <c r="E165" i="3"/>
  <c r="M164" i="3"/>
  <c r="L164" i="3"/>
  <c r="K164" i="3"/>
  <c r="J164" i="3"/>
  <c r="I164" i="3"/>
  <c r="H164" i="3"/>
  <c r="G164" i="3"/>
  <c r="F164" i="3"/>
  <c r="E164" i="3"/>
  <c r="M163" i="3"/>
  <c r="L163" i="3"/>
  <c r="K163" i="3"/>
  <c r="J163" i="3"/>
  <c r="I163" i="3"/>
  <c r="H163" i="3"/>
  <c r="G163" i="3"/>
  <c r="F163" i="3"/>
  <c r="E163" i="3"/>
  <c r="M162" i="3"/>
  <c r="L162" i="3"/>
  <c r="K162" i="3"/>
  <c r="J162" i="3"/>
  <c r="I162" i="3"/>
  <c r="H162" i="3"/>
  <c r="G162" i="3"/>
  <c r="F162" i="3"/>
  <c r="E162" i="3"/>
  <c r="M161" i="3"/>
  <c r="L161" i="3"/>
  <c r="K161" i="3"/>
  <c r="J161" i="3"/>
  <c r="I161" i="3"/>
  <c r="H161" i="3"/>
  <c r="G161" i="3"/>
  <c r="F161" i="3"/>
  <c r="E161" i="3"/>
  <c r="M160" i="3"/>
  <c r="L160" i="3"/>
  <c r="K160" i="3"/>
  <c r="J160" i="3"/>
  <c r="I160" i="3"/>
  <c r="H160" i="3"/>
  <c r="G160" i="3"/>
  <c r="F160" i="3"/>
  <c r="E160" i="3"/>
  <c r="M159" i="3"/>
  <c r="L159" i="3"/>
  <c r="K159" i="3"/>
  <c r="J159" i="3"/>
  <c r="I159" i="3"/>
  <c r="H159" i="3"/>
  <c r="G159" i="3"/>
  <c r="F159" i="3"/>
  <c r="E159" i="3"/>
  <c r="M158" i="3"/>
  <c r="L158" i="3"/>
  <c r="K158" i="3"/>
  <c r="J158" i="3"/>
  <c r="I158" i="3"/>
  <c r="H158" i="3"/>
  <c r="G158" i="3"/>
  <c r="F158" i="3"/>
  <c r="E158" i="3"/>
  <c r="M157" i="3"/>
  <c r="L157" i="3"/>
  <c r="K157" i="3"/>
  <c r="J157" i="3"/>
  <c r="I157" i="3"/>
  <c r="H157" i="3"/>
  <c r="G157" i="3"/>
  <c r="F157" i="3"/>
  <c r="E157" i="3"/>
  <c r="M156" i="3"/>
  <c r="L156" i="3"/>
  <c r="K156" i="3"/>
  <c r="J156" i="3"/>
  <c r="I156" i="3"/>
  <c r="H156" i="3"/>
  <c r="G156" i="3"/>
  <c r="F156" i="3"/>
  <c r="E156" i="3"/>
  <c r="M155" i="3"/>
  <c r="L155" i="3"/>
  <c r="K155" i="3"/>
  <c r="J155" i="3"/>
  <c r="I155" i="3"/>
  <c r="H155" i="3"/>
  <c r="G155" i="3"/>
  <c r="F155" i="3"/>
  <c r="E155" i="3"/>
  <c r="M154" i="3"/>
  <c r="L154" i="3"/>
  <c r="K154" i="3"/>
  <c r="J154" i="3"/>
  <c r="I154" i="3"/>
  <c r="H154" i="3"/>
  <c r="G154" i="3"/>
  <c r="F154" i="3"/>
  <c r="E154" i="3"/>
  <c r="M153" i="3"/>
  <c r="L153" i="3"/>
  <c r="K153" i="3"/>
  <c r="J153" i="3"/>
  <c r="I153" i="3"/>
  <c r="H153" i="3"/>
  <c r="G153" i="3"/>
  <c r="F153" i="3"/>
  <c r="E153" i="3"/>
  <c r="M152" i="3"/>
  <c r="L152" i="3"/>
  <c r="K152" i="3"/>
  <c r="J152" i="3"/>
  <c r="I152" i="3"/>
  <c r="H152" i="3"/>
  <c r="G152" i="3"/>
  <c r="F152" i="3"/>
  <c r="E152" i="3"/>
  <c r="M151" i="3"/>
  <c r="L151" i="3"/>
  <c r="K151" i="3"/>
  <c r="J151" i="3"/>
  <c r="I151" i="3"/>
  <c r="H151" i="3"/>
  <c r="G151" i="3"/>
  <c r="F151" i="3"/>
  <c r="E151" i="3"/>
  <c r="M150" i="3"/>
  <c r="L150" i="3"/>
  <c r="K150" i="3"/>
  <c r="J150" i="3"/>
  <c r="I150" i="3"/>
  <c r="H150" i="3"/>
  <c r="G150" i="3"/>
  <c r="F150" i="3"/>
  <c r="E150" i="3"/>
  <c r="M149" i="3"/>
  <c r="L149" i="3"/>
  <c r="K149" i="3"/>
  <c r="J149" i="3"/>
  <c r="I149" i="3"/>
  <c r="H149" i="3"/>
  <c r="G149" i="3"/>
  <c r="F149" i="3"/>
  <c r="E149" i="3"/>
  <c r="M148" i="3"/>
  <c r="L148" i="3"/>
  <c r="K148" i="3"/>
  <c r="J148" i="3"/>
  <c r="I148" i="3"/>
  <c r="H148" i="3"/>
  <c r="G148" i="3"/>
  <c r="F148" i="3"/>
  <c r="E148" i="3"/>
  <c r="M147" i="3"/>
  <c r="L147" i="3"/>
  <c r="K147" i="3"/>
  <c r="J147" i="3"/>
  <c r="I147" i="3"/>
  <c r="H147" i="3"/>
  <c r="G147" i="3"/>
  <c r="F147" i="3"/>
  <c r="E147" i="3"/>
  <c r="M146" i="3"/>
  <c r="L146" i="3"/>
  <c r="K146" i="3"/>
  <c r="J146" i="3"/>
  <c r="I146" i="3"/>
  <c r="H146" i="3"/>
  <c r="G146" i="3"/>
  <c r="F146" i="3"/>
  <c r="E146" i="3"/>
  <c r="M145" i="3"/>
  <c r="L145" i="3"/>
  <c r="K145" i="3"/>
  <c r="J145" i="3"/>
  <c r="I145" i="3"/>
  <c r="H145" i="3"/>
  <c r="G145" i="3"/>
  <c r="F145" i="3"/>
  <c r="E145" i="3"/>
  <c r="M144" i="3"/>
  <c r="L144" i="3"/>
  <c r="K144" i="3"/>
  <c r="J144" i="3"/>
  <c r="I144" i="3"/>
  <c r="H144" i="3"/>
  <c r="G144" i="3"/>
  <c r="F144" i="3"/>
  <c r="E144" i="3"/>
  <c r="M143" i="3"/>
  <c r="L143" i="3"/>
  <c r="K143" i="3"/>
  <c r="J143" i="3"/>
  <c r="I143" i="3"/>
  <c r="H143" i="3"/>
  <c r="G143" i="3"/>
  <c r="F143" i="3"/>
  <c r="E143" i="3"/>
  <c r="M142" i="3"/>
  <c r="L142" i="3"/>
  <c r="K142" i="3"/>
  <c r="J142" i="3"/>
  <c r="I142" i="3"/>
  <c r="H142" i="3"/>
  <c r="G142" i="3"/>
  <c r="F142" i="3"/>
  <c r="E142" i="3"/>
  <c r="M141" i="3"/>
  <c r="L141" i="3"/>
  <c r="K141" i="3"/>
  <c r="J141" i="3"/>
  <c r="I141" i="3"/>
  <c r="H141" i="3"/>
  <c r="G141" i="3"/>
  <c r="F141" i="3"/>
  <c r="E141" i="3"/>
  <c r="M140" i="3"/>
  <c r="L140" i="3"/>
  <c r="K140" i="3"/>
  <c r="J140" i="3"/>
  <c r="I140" i="3"/>
  <c r="H140" i="3"/>
  <c r="G140" i="3"/>
  <c r="F140" i="3"/>
  <c r="E140" i="3"/>
  <c r="M139" i="3"/>
  <c r="L139" i="3"/>
  <c r="K139" i="3"/>
  <c r="J139" i="3"/>
  <c r="I139" i="3"/>
  <c r="H139" i="3"/>
  <c r="G139" i="3"/>
  <c r="F139" i="3"/>
  <c r="E139" i="3"/>
  <c r="M138" i="3"/>
  <c r="L138" i="3"/>
  <c r="K138" i="3"/>
  <c r="J138" i="3"/>
  <c r="I138" i="3"/>
  <c r="H138" i="3"/>
  <c r="G138" i="3"/>
  <c r="F138" i="3"/>
  <c r="E138" i="3"/>
  <c r="M137" i="3"/>
  <c r="L137" i="3"/>
  <c r="K137" i="3"/>
  <c r="J137" i="3"/>
  <c r="I137" i="3"/>
  <c r="H137" i="3"/>
  <c r="G137" i="3"/>
  <c r="F137" i="3"/>
  <c r="E137" i="3"/>
  <c r="M136" i="3"/>
  <c r="L136" i="3"/>
  <c r="K136" i="3"/>
  <c r="J136" i="3"/>
  <c r="I136" i="3"/>
  <c r="H136" i="3"/>
  <c r="G136" i="3"/>
  <c r="F136" i="3"/>
  <c r="E136" i="3"/>
  <c r="M135" i="3"/>
  <c r="L135" i="3"/>
  <c r="K135" i="3"/>
  <c r="J135" i="3"/>
  <c r="I135" i="3"/>
  <c r="H135" i="3"/>
  <c r="G135" i="3"/>
  <c r="F135" i="3"/>
  <c r="E135" i="3"/>
  <c r="M134" i="3"/>
  <c r="L134" i="3"/>
  <c r="K134" i="3"/>
  <c r="J134" i="3"/>
  <c r="I134" i="3"/>
  <c r="H134" i="3"/>
  <c r="G134" i="3"/>
  <c r="F134" i="3"/>
  <c r="E134" i="3"/>
  <c r="M133" i="3"/>
  <c r="L133" i="3"/>
  <c r="K133" i="3"/>
  <c r="J133" i="3"/>
  <c r="I133" i="3"/>
  <c r="H133" i="3"/>
  <c r="G133" i="3"/>
  <c r="F133" i="3"/>
  <c r="E133" i="3"/>
  <c r="M132" i="3"/>
  <c r="L132" i="3"/>
  <c r="K132" i="3"/>
  <c r="J132" i="3"/>
  <c r="I132" i="3"/>
  <c r="H132" i="3"/>
  <c r="G132" i="3"/>
  <c r="F132" i="3"/>
  <c r="E132" i="3"/>
  <c r="M131" i="3"/>
  <c r="L131" i="3"/>
  <c r="K131" i="3"/>
  <c r="J131" i="3"/>
  <c r="I131" i="3"/>
  <c r="H131" i="3"/>
  <c r="G131" i="3"/>
  <c r="F131" i="3"/>
  <c r="E131" i="3"/>
  <c r="M130" i="3"/>
  <c r="L130" i="3"/>
  <c r="K130" i="3"/>
  <c r="J130" i="3"/>
  <c r="I130" i="3"/>
  <c r="H130" i="3"/>
  <c r="G130" i="3"/>
  <c r="F130" i="3"/>
  <c r="E130" i="3"/>
  <c r="M129" i="3"/>
  <c r="L129" i="3"/>
  <c r="K129" i="3"/>
  <c r="J129" i="3"/>
  <c r="I129" i="3"/>
  <c r="H129" i="3"/>
  <c r="G129" i="3"/>
  <c r="F129" i="3"/>
  <c r="E129" i="3"/>
  <c r="M128" i="3"/>
  <c r="L128" i="3"/>
  <c r="K128" i="3"/>
  <c r="J128" i="3"/>
  <c r="I128" i="3"/>
  <c r="H128" i="3"/>
  <c r="G128" i="3"/>
  <c r="F128" i="3"/>
  <c r="E128" i="3"/>
  <c r="M127" i="3"/>
  <c r="L127" i="3"/>
  <c r="K127" i="3"/>
  <c r="J127" i="3"/>
  <c r="I127" i="3"/>
  <c r="H127" i="3"/>
  <c r="G127" i="3"/>
  <c r="F127" i="3"/>
  <c r="E127" i="3"/>
  <c r="M126" i="3"/>
  <c r="L126" i="3"/>
  <c r="K126" i="3"/>
  <c r="J126" i="3"/>
  <c r="I126" i="3"/>
  <c r="H126" i="3"/>
  <c r="G126" i="3"/>
  <c r="F126" i="3"/>
  <c r="E126" i="3"/>
  <c r="M125" i="3"/>
  <c r="L125" i="3"/>
  <c r="K125" i="3"/>
  <c r="J125" i="3"/>
  <c r="I125" i="3"/>
  <c r="H125" i="3"/>
  <c r="G125" i="3"/>
  <c r="F125" i="3"/>
  <c r="E125" i="3"/>
  <c r="M124" i="3"/>
  <c r="L124" i="3"/>
  <c r="K124" i="3"/>
  <c r="J124" i="3"/>
  <c r="I124" i="3"/>
  <c r="H124" i="3"/>
  <c r="G124" i="3"/>
  <c r="F124" i="3"/>
  <c r="E124" i="3"/>
  <c r="M123" i="3"/>
  <c r="L123" i="3"/>
  <c r="K123" i="3"/>
  <c r="J123" i="3"/>
  <c r="I123" i="3"/>
  <c r="H123" i="3"/>
  <c r="G123" i="3"/>
  <c r="F123" i="3"/>
  <c r="E123" i="3"/>
  <c r="M122" i="3"/>
  <c r="L122" i="3"/>
  <c r="K122" i="3"/>
  <c r="J122" i="3"/>
  <c r="I122" i="3"/>
  <c r="H122" i="3"/>
  <c r="G122" i="3"/>
  <c r="F122" i="3"/>
  <c r="E122" i="3"/>
  <c r="M121" i="3"/>
  <c r="L121" i="3"/>
  <c r="K121" i="3"/>
  <c r="J121" i="3"/>
  <c r="I121" i="3"/>
  <c r="H121" i="3"/>
  <c r="G121" i="3"/>
  <c r="F121" i="3"/>
  <c r="E121" i="3"/>
  <c r="M120" i="3"/>
  <c r="L120" i="3"/>
  <c r="K120" i="3"/>
  <c r="J120" i="3"/>
  <c r="I120" i="3"/>
  <c r="H120" i="3"/>
  <c r="G120" i="3"/>
  <c r="F120" i="3"/>
  <c r="E120" i="3"/>
  <c r="M119" i="3"/>
  <c r="L119" i="3"/>
  <c r="K119" i="3"/>
  <c r="J119" i="3"/>
  <c r="I119" i="3"/>
  <c r="H119" i="3"/>
  <c r="G119" i="3"/>
  <c r="F119" i="3"/>
  <c r="E119" i="3"/>
  <c r="M118" i="3"/>
  <c r="L118" i="3"/>
  <c r="K118" i="3"/>
  <c r="J118" i="3"/>
  <c r="I118" i="3"/>
  <c r="H118" i="3"/>
  <c r="G118" i="3"/>
  <c r="F118" i="3"/>
  <c r="E118" i="3"/>
  <c r="M117" i="3"/>
  <c r="L117" i="3"/>
  <c r="K117" i="3"/>
  <c r="J117" i="3"/>
  <c r="I117" i="3"/>
  <c r="H117" i="3"/>
  <c r="G117" i="3"/>
  <c r="F117" i="3"/>
  <c r="E117" i="3"/>
  <c r="M116" i="3"/>
  <c r="L116" i="3"/>
  <c r="K116" i="3"/>
  <c r="J116" i="3"/>
  <c r="I116" i="3"/>
  <c r="H116" i="3"/>
  <c r="G116" i="3"/>
  <c r="F116" i="3"/>
  <c r="E116" i="3"/>
  <c r="M115" i="3"/>
  <c r="L115" i="3"/>
  <c r="K115" i="3"/>
  <c r="J115" i="3"/>
  <c r="I115" i="3"/>
  <c r="H115" i="3"/>
  <c r="G115" i="3"/>
  <c r="F115" i="3"/>
  <c r="E115" i="3"/>
  <c r="M114" i="3"/>
  <c r="L114" i="3"/>
  <c r="K114" i="3"/>
  <c r="J114" i="3"/>
  <c r="I114" i="3"/>
  <c r="H114" i="3"/>
  <c r="G114" i="3"/>
  <c r="F114" i="3"/>
  <c r="E114" i="3"/>
  <c r="M113" i="3"/>
  <c r="L113" i="3"/>
  <c r="K113" i="3"/>
  <c r="J113" i="3"/>
  <c r="I113" i="3"/>
  <c r="H113" i="3"/>
  <c r="G113" i="3"/>
  <c r="F113" i="3"/>
  <c r="E113" i="3"/>
  <c r="M112" i="3"/>
  <c r="L112" i="3"/>
  <c r="K112" i="3"/>
  <c r="J112" i="3"/>
  <c r="I112" i="3"/>
  <c r="H112" i="3"/>
  <c r="G112" i="3"/>
  <c r="F112" i="3"/>
  <c r="E112" i="3"/>
  <c r="M111" i="3"/>
  <c r="L111" i="3"/>
  <c r="K111" i="3"/>
  <c r="J111" i="3"/>
  <c r="I111" i="3"/>
  <c r="H111" i="3"/>
  <c r="G111" i="3"/>
  <c r="F111" i="3"/>
  <c r="E111" i="3"/>
  <c r="M110" i="3"/>
  <c r="L110" i="3"/>
  <c r="K110" i="3"/>
  <c r="J110" i="3"/>
  <c r="I110" i="3"/>
  <c r="H110" i="3"/>
  <c r="G110" i="3"/>
  <c r="F110" i="3"/>
  <c r="E110" i="3"/>
  <c r="M109" i="3"/>
  <c r="L109" i="3"/>
  <c r="K109" i="3"/>
  <c r="J109" i="3"/>
  <c r="I109" i="3"/>
  <c r="H109" i="3"/>
  <c r="G109" i="3"/>
  <c r="F109" i="3"/>
  <c r="E109" i="3"/>
  <c r="M108" i="3"/>
  <c r="L108" i="3"/>
  <c r="K108" i="3"/>
  <c r="J108" i="3"/>
  <c r="I108" i="3"/>
  <c r="H108" i="3"/>
  <c r="G108" i="3"/>
  <c r="F108" i="3"/>
  <c r="E108" i="3"/>
  <c r="M107" i="3"/>
  <c r="L107" i="3"/>
  <c r="K107" i="3"/>
  <c r="J107" i="3"/>
  <c r="I107" i="3"/>
  <c r="H107" i="3"/>
  <c r="G107" i="3"/>
  <c r="F107" i="3"/>
  <c r="E107" i="3"/>
  <c r="M106" i="3"/>
  <c r="L106" i="3"/>
  <c r="K106" i="3"/>
  <c r="J106" i="3"/>
  <c r="I106" i="3"/>
  <c r="H106" i="3"/>
  <c r="G106" i="3"/>
  <c r="F106" i="3"/>
  <c r="E106" i="3"/>
  <c r="M105" i="3"/>
  <c r="L105" i="3"/>
  <c r="K105" i="3"/>
  <c r="J105" i="3"/>
  <c r="I105" i="3"/>
  <c r="H105" i="3"/>
  <c r="G105" i="3"/>
  <c r="F105" i="3"/>
  <c r="E105" i="3"/>
  <c r="M104" i="3"/>
  <c r="L104" i="3"/>
  <c r="K104" i="3"/>
  <c r="J104" i="3"/>
  <c r="I104" i="3"/>
  <c r="H104" i="3"/>
  <c r="G104" i="3"/>
  <c r="F104" i="3"/>
  <c r="E104" i="3"/>
  <c r="M103" i="3"/>
  <c r="L103" i="3"/>
  <c r="K103" i="3"/>
  <c r="J103" i="3"/>
  <c r="I103" i="3"/>
  <c r="H103" i="3"/>
  <c r="G103" i="3"/>
  <c r="F103" i="3"/>
  <c r="E103" i="3"/>
  <c r="M102" i="3"/>
  <c r="L102" i="3"/>
  <c r="K102" i="3"/>
  <c r="J102" i="3"/>
  <c r="I102" i="3"/>
  <c r="H102" i="3"/>
  <c r="G102" i="3"/>
  <c r="F102" i="3"/>
  <c r="E102" i="3"/>
  <c r="M101" i="3"/>
  <c r="L101" i="3"/>
  <c r="K101" i="3"/>
  <c r="J101" i="3"/>
  <c r="I101" i="3"/>
  <c r="H101" i="3"/>
  <c r="G101" i="3"/>
  <c r="F101" i="3"/>
  <c r="E101" i="3"/>
  <c r="M100" i="3"/>
  <c r="L100" i="3"/>
  <c r="K100" i="3"/>
  <c r="J100" i="3"/>
  <c r="I100" i="3"/>
  <c r="H100" i="3"/>
  <c r="G100" i="3"/>
  <c r="F100" i="3"/>
  <c r="E100" i="3"/>
  <c r="M99" i="3"/>
  <c r="L99" i="3"/>
  <c r="K99" i="3"/>
  <c r="J99" i="3"/>
  <c r="I99" i="3"/>
  <c r="H99" i="3"/>
  <c r="G99" i="3"/>
  <c r="F99" i="3"/>
  <c r="E99" i="3"/>
  <c r="M98" i="3"/>
  <c r="L98" i="3"/>
  <c r="K98" i="3"/>
  <c r="J98" i="3"/>
  <c r="I98" i="3"/>
  <c r="H98" i="3"/>
  <c r="G98" i="3"/>
  <c r="F98" i="3"/>
  <c r="E98" i="3"/>
  <c r="M97" i="3"/>
  <c r="L97" i="3"/>
  <c r="K97" i="3"/>
  <c r="J97" i="3"/>
  <c r="I97" i="3"/>
  <c r="H97" i="3"/>
  <c r="G97" i="3"/>
  <c r="F97" i="3"/>
  <c r="E97" i="3"/>
  <c r="M96" i="3"/>
  <c r="L96" i="3"/>
  <c r="K96" i="3"/>
  <c r="J96" i="3"/>
  <c r="I96" i="3"/>
  <c r="H96" i="3"/>
  <c r="G96" i="3"/>
  <c r="F96" i="3"/>
  <c r="E96" i="3"/>
  <c r="M95" i="3"/>
  <c r="L95" i="3"/>
  <c r="K95" i="3"/>
  <c r="J95" i="3"/>
  <c r="I95" i="3"/>
  <c r="H95" i="3"/>
  <c r="G95" i="3"/>
  <c r="F95" i="3"/>
  <c r="E95" i="3"/>
  <c r="M94" i="3"/>
  <c r="L94" i="3"/>
  <c r="K94" i="3"/>
  <c r="J94" i="3"/>
  <c r="I94" i="3"/>
  <c r="H94" i="3"/>
  <c r="G94" i="3"/>
  <c r="F94" i="3"/>
  <c r="E94" i="3"/>
  <c r="M93" i="3"/>
  <c r="L93" i="3"/>
  <c r="K93" i="3"/>
  <c r="J93" i="3"/>
  <c r="I93" i="3"/>
  <c r="H93" i="3"/>
  <c r="G93" i="3"/>
  <c r="F93" i="3"/>
  <c r="E93" i="3"/>
  <c r="M92" i="3"/>
  <c r="L92" i="3"/>
  <c r="K92" i="3"/>
  <c r="J92" i="3"/>
  <c r="I92" i="3"/>
  <c r="H92" i="3"/>
  <c r="G92" i="3"/>
  <c r="F92" i="3"/>
  <c r="E92" i="3"/>
  <c r="M91" i="3"/>
  <c r="L91" i="3"/>
  <c r="K91" i="3"/>
  <c r="J91" i="3"/>
  <c r="I91" i="3"/>
  <c r="H91" i="3"/>
  <c r="G91" i="3"/>
  <c r="F91" i="3"/>
  <c r="E91" i="3"/>
  <c r="M90" i="3"/>
  <c r="L90" i="3"/>
  <c r="K90" i="3"/>
  <c r="J90" i="3"/>
  <c r="I90" i="3"/>
  <c r="H90" i="3"/>
  <c r="G90" i="3"/>
  <c r="F90" i="3"/>
  <c r="E90" i="3"/>
  <c r="M89" i="3"/>
  <c r="L89" i="3"/>
  <c r="K89" i="3"/>
  <c r="J89" i="3"/>
  <c r="I89" i="3"/>
  <c r="H89" i="3"/>
  <c r="G89" i="3"/>
  <c r="F89" i="3"/>
  <c r="E89" i="3"/>
  <c r="M88" i="3"/>
  <c r="L88" i="3"/>
  <c r="K88" i="3"/>
  <c r="J88" i="3"/>
  <c r="I88" i="3"/>
  <c r="H88" i="3"/>
  <c r="G88" i="3"/>
  <c r="F88" i="3"/>
  <c r="E88" i="3"/>
  <c r="M87" i="3"/>
  <c r="L87" i="3"/>
  <c r="K87" i="3"/>
  <c r="J87" i="3"/>
  <c r="I87" i="3"/>
  <c r="H87" i="3"/>
  <c r="G87" i="3"/>
  <c r="F87" i="3"/>
  <c r="E87" i="3"/>
  <c r="M86" i="3"/>
  <c r="L86" i="3"/>
  <c r="K86" i="3"/>
  <c r="J86" i="3"/>
  <c r="I86" i="3"/>
  <c r="H86" i="3"/>
  <c r="G86" i="3"/>
  <c r="F86" i="3"/>
  <c r="E86" i="3"/>
  <c r="M85" i="3"/>
  <c r="L85" i="3"/>
  <c r="K85" i="3"/>
  <c r="J85" i="3"/>
  <c r="I85" i="3"/>
  <c r="H85" i="3"/>
  <c r="G85" i="3"/>
  <c r="F85" i="3"/>
  <c r="E85" i="3"/>
  <c r="M84" i="3"/>
  <c r="L84" i="3"/>
  <c r="K84" i="3"/>
  <c r="J84" i="3"/>
  <c r="I84" i="3"/>
  <c r="H84" i="3"/>
  <c r="G84" i="3"/>
  <c r="F84" i="3"/>
  <c r="E84" i="3"/>
  <c r="M83" i="3"/>
  <c r="L83" i="3"/>
  <c r="K83" i="3"/>
  <c r="J83" i="3"/>
  <c r="I83" i="3"/>
  <c r="H83" i="3"/>
  <c r="G83" i="3"/>
  <c r="F83" i="3"/>
  <c r="E83" i="3"/>
  <c r="M82" i="3"/>
  <c r="L82" i="3"/>
  <c r="K82" i="3"/>
  <c r="J82" i="3"/>
  <c r="I82" i="3"/>
  <c r="H82" i="3"/>
  <c r="G82" i="3"/>
  <c r="F82" i="3"/>
  <c r="E82" i="3"/>
  <c r="M81" i="3"/>
  <c r="L81" i="3"/>
  <c r="K81" i="3"/>
  <c r="J81" i="3"/>
  <c r="I81" i="3"/>
  <c r="H81" i="3"/>
  <c r="G81" i="3"/>
  <c r="F81" i="3"/>
  <c r="E81" i="3"/>
  <c r="M80" i="3"/>
  <c r="L80" i="3"/>
  <c r="K80" i="3"/>
  <c r="J80" i="3"/>
  <c r="I80" i="3"/>
  <c r="H80" i="3"/>
  <c r="G80" i="3"/>
  <c r="F80" i="3"/>
  <c r="E80" i="3"/>
  <c r="M79" i="3"/>
  <c r="L79" i="3"/>
  <c r="K79" i="3"/>
  <c r="J79" i="3"/>
  <c r="I79" i="3"/>
  <c r="H79" i="3"/>
  <c r="G79" i="3"/>
  <c r="F79" i="3"/>
  <c r="E79" i="3"/>
  <c r="M78" i="3"/>
  <c r="L78" i="3"/>
  <c r="K78" i="3"/>
  <c r="J78" i="3"/>
  <c r="I78" i="3"/>
  <c r="H78" i="3"/>
  <c r="G78" i="3"/>
  <c r="F78" i="3"/>
  <c r="E78" i="3"/>
  <c r="M77" i="3"/>
  <c r="L77" i="3"/>
  <c r="K77" i="3"/>
  <c r="J77" i="3"/>
  <c r="I77" i="3"/>
  <c r="H77" i="3"/>
  <c r="G77" i="3"/>
  <c r="F77" i="3"/>
  <c r="E77" i="3"/>
  <c r="M76" i="3"/>
  <c r="L76" i="3"/>
  <c r="K76" i="3"/>
  <c r="J76" i="3"/>
  <c r="I76" i="3"/>
  <c r="H76" i="3"/>
  <c r="G76" i="3"/>
  <c r="F76" i="3"/>
  <c r="E76" i="3"/>
  <c r="M75" i="3"/>
  <c r="L75" i="3"/>
  <c r="K75" i="3"/>
  <c r="J75" i="3"/>
  <c r="I75" i="3"/>
  <c r="H75" i="3"/>
  <c r="G75" i="3"/>
  <c r="F75" i="3"/>
  <c r="E75" i="3"/>
  <c r="M74" i="3"/>
  <c r="L74" i="3"/>
  <c r="K74" i="3"/>
  <c r="J74" i="3"/>
  <c r="I74" i="3"/>
  <c r="H74" i="3"/>
  <c r="G74" i="3"/>
  <c r="F74" i="3"/>
  <c r="E74" i="3"/>
  <c r="M73" i="3"/>
  <c r="L73" i="3"/>
  <c r="K73" i="3"/>
  <c r="J73" i="3"/>
  <c r="I73" i="3"/>
  <c r="H73" i="3"/>
  <c r="G73" i="3"/>
  <c r="F73" i="3"/>
  <c r="E73" i="3"/>
  <c r="M72" i="3"/>
  <c r="L72" i="3"/>
  <c r="K72" i="3"/>
  <c r="J72" i="3"/>
  <c r="I72" i="3"/>
  <c r="H72" i="3"/>
  <c r="G72" i="3"/>
  <c r="F72" i="3"/>
  <c r="E72" i="3"/>
  <c r="M71" i="3"/>
  <c r="L71" i="3"/>
  <c r="K71" i="3"/>
  <c r="J71" i="3"/>
  <c r="I71" i="3"/>
  <c r="H71" i="3"/>
  <c r="G71" i="3"/>
  <c r="F71" i="3"/>
  <c r="E71" i="3"/>
  <c r="M70" i="3"/>
  <c r="L70" i="3"/>
  <c r="K70" i="3"/>
  <c r="J70" i="3"/>
  <c r="I70" i="3"/>
  <c r="H70" i="3"/>
  <c r="G70" i="3"/>
  <c r="F70" i="3"/>
  <c r="E70" i="3"/>
  <c r="M69" i="3"/>
  <c r="L69" i="3"/>
  <c r="K69" i="3"/>
  <c r="J69" i="3"/>
  <c r="I69" i="3"/>
  <c r="H69" i="3"/>
  <c r="G69" i="3"/>
  <c r="F69" i="3"/>
  <c r="E69" i="3"/>
  <c r="M68" i="3"/>
  <c r="L68" i="3"/>
  <c r="K68" i="3"/>
  <c r="J68" i="3"/>
  <c r="I68" i="3"/>
  <c r="H68" i="3"/>
  <c r="G68" i="3"/>
  <c r="F68" i="3"/>
  <c r="E68" i="3"/>
  <c r="M67" i="3"/>
  <c r="L67" i="3"/>
  <c r="K67" i="3"/>
  <c r="J67" i="3"/>
  <c r="I67" i="3"/>
  <c r="H67" i="3"/>
  <c r="G67" i="3"/>
  <c r="F67" i="3"/>
  <c r="E67" i="3"/>
  <c r="M66" i="3"/>
  <c r="L66" i="3"/>
  <c r="K66" i="3"/>
  <c r="J66" i="3"/>
  <c r="I66" i="3"/>
  <c r="H66" i="3"/>
  <c r="G66" i="3"/>
  <c r="F66" i="3"/>
  <c r="E66" i="3"/>
  <c r="M65" i="3"/>
  <c r="L65" i="3"/>
  <c r="K65" i="3"/>
  <c r="J65" i="3"/>
  <c r="I65" i="3"/>
  <c r="H65" i="3"/>
  <c r="G65" i="3"/>
  <c r="F65" i="3"/>
  <c r="E65" i="3"/>
  <c r="M64" i="3"/>
  <c r="L64" i="3"/>
  <c r="K64" i="3"/>
  <c r="J64" i="3"/>
  <c r="I64" i="3"/>
  <c r="H64" i="3"/>
  <c r="G64" i="3"/>
  <c r="F64" i="3"/>
  <c r="E64" i="3"/>
  <c r="M63" i="3"/>
  <c r="L63" i="3"/>
  <c r="K63" i="3"/>
  <c r="J63" i="3"/>
  <c r="I63" i="3"/>
  <c r="H63" i="3"/>
  <c r="G63" i="3"/>
  <c r="F63" i="3"/>
  <c r="E63" i="3"/>
  <c r="M62" i="3"/>
  <c r="L62" i="3"/>
  <c r="K62" i="3"/>
  <c r="J62" i="3"/>
  <c r="I62" i="3"/>
  <c r="H62" i="3"/>
  <c r="G62" i="3"/>
  <c r="F62" i="3"/>
  <c r="E62" i="3"/>
  <c r="M61" i="3"/>
  <c r="L61" i="3"/>
  <c r="K61" i="3"/>
  <c r="J61" i="3"/>
  <c r="I61" i="3"/>
  <c r="H61" i="3"/>
  <c r="G61" i="3"/>
  <c r="F61" i="3"/>
  <c r="E61" i="3"/>
  <c r="M60" i="3"/>
  <c r="L60" i="3"/>
  <c r="K60" i="3"/>
  <c r="J60" i="3"/>
  <c r="I60" i="3"/>
  <c r="H60" i="3"/>
  <c r="G60" i="3"/>
  <c r="F60" i="3"/>
  <c r="E60" i="3"/>
  <c r="M59" i="3"/>
  <c r="L59" i="3"/>
  <c r="K59" i="3"/>
  <c r="J59" i="3"/>
  <c r="I59" i="3"/>
  <c r="H59" i="3"/>
  <c r="G59" i="3"/>
  <c r="F59" i="3"/>
  <c r="E59" i="3"/>
  <c r="M58" i="3"/>
  <c r="L58" i="3"/>
  <c r="K58" i="3"/>
  <c r="J58" i="3"/>
  <c r="I58" i="3"/>
  <c r="H58" i="3"/>
  <c r="G58" i="3"/>
  <c r="F58" i="3"/>
  <c r="E58" i="3"/>
  <c r="M57" i="3"/>
  <c r="L57" i="3"/>
  <c r="K57" i="3"/>
  <c r="J57" i="3"/>
  <c r="I57" i="3"/>
  <c r="H57" i="3"/>
  <c r="G57" i="3"/>
  <c r="F57" i="3"/>
  <c r="E57" i="3"/>
  <c r="M56" i="3"/>
  <c r="L56" i="3"/>
  <c r="K56" i="3"/>
  <c r="J56" i="3"/>
  <c r="I56" i="3"/>
  <c r="H56" i="3"/>
  <c r="G56" i="3"/>
  <c r="F56" i="3"/>
  <c r="E56" i="3"/>
  <c r="M55" i="3"/>
  <c r="L55" i="3"/>
  <c r="K55" i="3"/>
  <c r="J55" i="3"/>
  <c r="I55" i="3"/>
  <c r="H55" i="3"/>
  <c r="G55" i="3"/>
  <c r="F55" i="3"/>
  <c r="E55" i="3"/>
  <c r="M54" i="3"/>
  <c r="L54" i="3"/>
  <c r="K54" i="3"/>
  <c r="J54" i="3"/>
  <c r="I54" i="3"/>
  <c r="H54" i="3"/>
  <c r="G54" i="3"/>
  <c r="F54" i="3"/>
  <c r="E54" i="3"/>
  <c r="M53" i="3"/>
  <c r="L53" i="3"/>
  <c r="K53" i="3"/>
  <c r="J53" i="3"/>
  <c r="I53" i="3"/>
  <c r="H53" i="3"/>
  <c r="G53" i="3"/>
  <c r="F53" i="3"/>
  <c r="E53" i="3"/>
  <c r="M52" i="3"/>
  <c r="L52" i="3"/>
  <c r="K52" i="3"/>
  <c r="J52" i="3"/>
  <c r="I52" i="3"/>
  <c r="H52" i="3"/>
  <c r="G52" i="3"/>
  <c r="F52" i="3"/>
  <c r="E52" i="3"/>
  <c r="M51" i="3"/>
  <c r="L51" i="3"/>
  <c r="K51" i="3"/>
  <c r="J51" i="3"/>
  <c r="I51" i="3"/>
  <c r="H51" i="3"/>
  <c r="G51" i="3"/>
  <c r="F51" i="3"/>
  <c r="E51" i="3"/>
  <c r="M50" i="3"/>
  <c r="L50" i="3"/>
  <c r="K50" i="3"/>
  <c r="J50" i="3"/>
  <c r="I50" i="3"/>
  <c r="H50" i="3"/>
  <c r="G50" i="3"/>
  <c r="F50" i="3"/>
  <c r="E50" i="3"/>
  <c r="M49" i="3"/>
  <c r="L49" i="3"/>
  <c r="K49" i="3"/>
  <c r="J49" i="3"/>
  <c r="I49" i="3"/>
  <c r="H49" i="3"/>
  <c r="G49" i="3"/>
  <c r="F49" i="3"/>
  <c r="E49" i="3"/>
  <c r="M48" i="3"/>
  <c r="L48" i="3"/>
  <c r="K48" i="3"/>
  <c r="J48" i="3"/>
  <c r="I48" i="3"/>
  <c r="H48" i="3"/>
  <c r="G48" i="3"/>
  <c r="F48" i="3"/>
  <c r="E48" i="3"/>
  <c r="M47" i="3"/>
  <c r="L47" i="3"/>
  <c r="K47" i="3"/>
  <c r="J47" i="3"/>
  <c r="I47" i="3"/>
  <c r="H47" i="3"/>
  <c r="G47" i="3"/>
  <c r="F47" i="3"/>
  <c r="E47" i="3"/>
  <c r="M46" i="3"/>
  <c r="L46" i="3"/>
  <c r="K46" i="3"/>
  <c r="J46" i="3"/>
  <c r="I46" i="3"/>
  <c r="H46" i="3"/>
  <c r="G46" i="3"/>
  <c r="F46" i="3"/>
  <c r="E46" i="3"/>
  <c r="M45" i="3"/>
  <c r="L45" i="3"/>
  <c r="K45" i="3"/>
  <c r="J45" i="3"/>
  <c r="I45" i="3"/>
  <c r="H45" i="3"/>
  <c r="G45" i="3"/>
  <c r="F45" i="3"/>
  <c r="E45" i="3"/>
  <c r="M44" i="3"/>
  <c r="L44" i="3"/>
  <c r="K44" i="3"/>
  <c r="J44" i="3"/>
  <c r="I44" i="3"/>
  <c r="H44" i="3"/>
  <c r="G44" i="3"/>
  <c r="F44" i="3"/>
  <c r="E44" i="3"/>
  <c r="M43" i="3"/>
  <c r="L43" i="3"/>
  <c r="K43" i="3"/>
  <c r="J43" i="3"/>
  <c r="I43" i="3"/>
  <c r="H43" i="3"/>
  <c r="G43" i="3"/>
  <c r="F43" i="3"/>
  <c r="E43" i="3"/>
  <c r="M42" i="3"/>
  <c r="L42" i="3"/>
  <c r="K42" i="3"/>
  <c r="J42" i="3"/>
  <c r="I42" i="3"/>
  <c r="H42" i="3"/>
  <c r="G42" i="3"/>
  <c r="F42" i="3"/>
  <c r="E42" i="3"/>
  <c r="M41" i="3"/>
  <c r="L41" i="3"/>
  <c r="K41" i="3"/>
  <c r="J41" i="3"/>
  <c r="I41" i="3"/>
  <c r="H41" i="3"/>
  <c r="G41" i="3"/>
  <c r="F41" i="3"/>
  <c r="E41" i="3"/>
  <c r="M40" i="3"/>
  <c r="L40" i="3"/>
  <c r="K40" i="3"/>
  <c r="J40" i="3"/>
  <c r="I40" i="3"/>
  <c r="H40" i="3"/>
  <c r="G40" i="3"/>
  <c r="F40" i="3"/>
  <c r="E40" i="3"/>
  <c r="M39" i="3"/>
  <c r="L39" i="3"/>
  <c r="K39" i="3"/>
  <c r="J39" i="3"/>
  <c r="I39" i="3"/>
  <c r="H39" i="3"/>
  <c r="G39" i="3"/>
  <c r="F39" i="3"/>
  <c r="E39" i="3"/>
  <c r="M38" i="3"/>
  <c r="L38" i="3"/>
  <c r="K38" i="3"/>
  <c r="J38" i="3"/>
  <c r="I38" i="3"/>
  <c r="H38" i="3"/>
  <c r="G38" i="3"/>
  <c r="F38" i="3"/>
  <c r="E38" i="3"/>
  <c r="M37" i="3"/>
  <c r="L37" i="3"/>
  <c r="K37" i="3"/>
  <c r="J37" i="3"/>
  <c r="I37" i="3"/>
  <c r="H37" i="3"/>
  <c r="G37" i="3"/>
  <c r="F37" i="3"/>
  <c r="E37" i="3"/>
  <c r="M36" i="3"/>
  <c r="L36" i="3"/>
  <c r="K36" i="3"/>
  <c r="J36" i="3"/>
  <c r="I36" i="3"/>
  <c r="H36" i="3"/>
  <c r="G36" i="3"/>
  <c r="F36" i="3"/>
  <c r="E36" i="3"/>
  <c r="M35" i="3"/>
  <c r="L35" i="3"/>
  <c r="K35" i="3"/>
  <c r="J35" i="3"/>
  <c r="I35" i="3"/>
  <c r="H35" i="3"/>
  <c r="G35" i="3"/>
  <c r="F35" i="3"/>
  <c r="E35" i="3"/>
  <c r="M34" i="3"/>
  <c r="L34" i="3"/>
  <c r="K34" i="3"/>
  <c r="J34" i="3"/>
  <c r="I34" i="3"/>
  <c r="H34" i="3"/>
  <c r="G34" i="3"/>
  <c r="F34" i="3"/>
  <c r="E34" i="3"/>
  <c r="M33" i="3"/>
  <c r="L33" i="3"/>
  <c r="K33" i="3"/>
  <c r="J33" i="3"/>
  <c r="I33" i="3"/>
  <c r="H33" i="3"/>
  <c r="G33" i="3"/>
  <c r="F33" i="3"/>
  <c r="E33" i="3"/>
  <c r="M32" i="3"/>
  <c r="L32" i="3"/>
  <c r="K32" i="3"/>
  <c r="J32" i="3"/>
  <c r="I32" i="3"/>
  <c r="H32" i="3"/>
  <c r="G32" i="3"/>
  <c r="F32" i="3"/>
  <c r="E32" i="3"/>
  <c r="M31" i="3"/>
  <c r="L31" i="3"/>
  <c r="K31" i="3"/>
  <c r="J31" i="3"/>
  <c r="I31" i="3"/>
  <c r="H31" i="3"/>
  <c r="G31" i="3"/>
  <c r="F31" i="3"/>
  <c r="E31" i="3"/>
  <c r="M30" i="3"/>
  <c r="L30" i="3"/>
  <c r="K30" i="3"/>
  <c r="J30" i="3"/>
  <c r="I30" i="3"/>
  <c r="H30" i="3"/>
  <c r="G30" i="3"/>
  <c r="F30" i="3"/>
  <c r="E30" i="3"/>
  <c r="M29" i="3"/>
  <c r="L29" i="3"/>
  <c r="K29" i="3"/>
  <c r="J29" i="3"/>
  <c r="I29" i="3"/>
  <c r="H29" i="3"/>
  <c r="G29" i="3"/>
  <c r="F29" i="3"/>
  <c r="E29" i="3"/>
  <c r="M28" i="3"/>
  <c r="L28" i="3"/>
  <c r="K28" i="3"/>
  <c r="J28" i="3"/>
  <c r="I28" i="3"/>
  <c r="H28" i="3"/>
  <c r="G28" i="3"/>
  <c r="F28" i="3"/>
  <c r="E28" i="3"/>
  <c r="M27" i="3"/>
  <c r="L27" i="3"/>
  <c r="K27" i="3"/>
  <c r="J27" i="3"/>
  <c r="I27" i="3"/>
  <c r="H27" i="3"/>
  <c r="G27" i="3"/>
  <c r="F27" i="3"/>
  <c r="E27" i="3"/>
  <c r="M26" i="3"/>
  <c r="L26" i="3"/>
  <c r="K26" i="3"/>
  <c r="J26" i="3"/>
  <c r="I26" i="3"/>
  <c r="H26" i="3"/>
  <c r="G26" i="3"/>
  <c r="F26" i="3"/>
  <c r="E26" i="3"/>
  <c r="M25" i="3"/>
  <c r="L25" i="3"/>
  <c r="K25" i="3"/>
  <c r="J25" i="3"/>
  <c r="I25" i="3"/>
  <c r="H25" i="3"/>
  <c r="G25" i="3"/>
  <c r="F25" i="3"/>
  <c r="E25" i="3"/>
  <c r="M24" i="3"/>
  <c r="L24" i="3"/>
  <c r="K24" i="3"/>
  <c r="J24" i="3"/>
  <c r="I24" i="3"/>
  <c r="H24" i="3"/>
  <c r="G24" i="3"/>
  <c r="F24" i="3"/>
  <c r="E24" i="3"/>
  <c r="M23" i="3"/>
  <c r="L23" i="3"/>
  <c r="K23" i="3"/>
  <c r="J23" i="3"/>
  <c r="I23" i="3"/>
  <c r="H23" i="3"/>
  <c r="G23" i="3"/>
  <c r="F23" i="3"/>
  <c r="E23" i="3"/>
  <c r="M22" i="3"/>
  <c r="L22" i="3"/>
  <c r="K22" i="3"/>
  <c r="J22" i="3"/>
  <c r="I22" i="3"/>
  <c r="H22" i="3"/>
  <c r="G22" i="3"/>
  <c r="F22" i="3"/>
  <c r="E22" i="3"/>
  <c r="M21" i="3"/>
  <c r="L21" i="3"/>
  <c r="K21" i="3"/>
  <c r="J21" i="3"/>
  <c r="I21" i="3"/>
  <c r="H21" i="3"/>
  <c r="G21" i="3"/>
  <c r="F21" i="3"/>
  <c r="E21" i="3"/>
  <c r="M20" i="3"/>
  <c r="L20" i="3"/>
  <c r="K20" i="3"/>
  <c r="J20" i="3"/>
  <c r="I20" i="3"/>
  <c r="H20" i="3"/>
  <c r="G20" i="3"/>
  <c r="F20" i="3"/>
  <c r="E20" i="3"/>
  <c r="M19" i="3"/>
  <c r="L19" i="3"/>
  <c r="K19" i="3"/>
  <c r="J19" i="3"/>
  <c r="I19" i="3"/>
  <c r="H19" i="3"/>
  <c r="G19" i="3"/>
  <c r="F19" i="3"/>
  <c r="E19" i="3"/>
  <c r="M18" i="3"/>
  <c r="L18" i="3"/>
  <c r="K18" i="3"/>
  <c r="J18" i="3"/>
  <c r="I18" i="3"/>
  <c r="H18" i="3"/>
  <c r="G18" i="3"/>
  <c r="F18" i="3"/>
  <c r="E18" i="3"/>
  <c r="M17" i="3"/>
  <c r="L17" i="3"/>
  <c r="K17" i="3"/>
  <c r="J17" i="3"/>
  <c r="I17" i="3"/>
  <c r="H17" i="3"/>
  <c r="G17" i="3"/>
  <c r="F17" i="3"/>
  <c r="E17" i="3"/>
  <c r="M16" i="3"/>
  <c r="L16" i="3"/>
  <c r="K16" i="3"/>
  <c r="J16" i="3"/>
  <c r="I16" i="3"/>
  <c r="H16" i="3"/>
  <c r="G16" i="3"/>
  <c r="F16" i="3"/>
  <c r="E16" i="3"/>
  <c r="M15" i="3"/>
  <c r="L15" i="3"/>
  <c r="K15" i="3"/>
  <c r="J15" i="3"/>
  <c r="I15" i="3"/>
  <c r="H15" i="3"/>
  <c r="G15" i="3"/>
  <c r="F15" i="3"/>
  <c r="E15" i="3"/>
  <c r="M14" i="3"/>
  <c r="L14" i="3"/>
  <c r="K14" i="3"/>
  <c r="J14" i="3"/>
  <c r="I14" i="3"/>
  <c r="H14" i="3"/>
  <c r="G14" i="3"/>
  <c r="F14" i="3"/>
  <c r="E14" i="3"/>
  <c r="M13" i="3"/>
  <c r="L13" i="3"/>
  <c r="K13" i="3"/>
  <c r="J13" i="3"/>
  <c r="I13" i="3"/>
  <c r="H13" i="3"/>
  <c r="G13" i="3"/>
  <c r="F13" i="3"/>
  <c r="E13" i="3"/>
  <c r="M12" i="3"/>
  <c r="L12" i="3"/>
  <c r="K12" i="3"/>
  <c r="J12" i="3"/>
  <c r="I12" i="3"/>
  <c r="H12" i="3"/>
  <c r="G12" i="3"/>
  <c r="F12" i="3"/>
  <c r="E12" i="3"/>
  <c r="M11" i="3"/>
  <c r="L11" i="3"/>
  <c r="K11" i="3"/>
  <c r="J11" i="3"/>
  <c r="I11" i="3"/>
  <c r="H11" i="3"/>
  <c r="G11" i="3"/>
  <c r="F11" i="3"/>
  <c r="E11" i="3"/>
  <c r="M10" i="3"/>
  <c r="L10" i="3"/>
  <c r="K10" i="3"/>
  <c r="J10" i="3"/>
  <c r="I10" i="3"/>
  <c r="H10" i="3"/>
  <c r="G10" i="3"/>
  <c r="F10" i="3"/>
  <c r="E10" i="3"/>
  <c r="M9" i="3"/>
  <c r="L9" i="3"/>
  <c r="K9" i="3"/>
  <c r="J9" i="3"/>
  <c r="I9" i="3"/>
  <c r="H9" i="3"/>
  <c r="G9" i="3"/>
  <c r="F9" i="3"/>
  <c r="E9" i="3"/>
  <c r="M8" i="3"/>
  <c r="L8" i="3"/>
  <c r="K8" i="3"/>
  <c r="J8" i="3"/>
  <c r="I8" i="3"/>
  <c r="H8" i="3"/>
  <c r="G8" i="3"/>
  <c r="F8" i="3"/>
  <c r="E8" i="3"/>
  <c r="M7" i="3"/>
  <c r="L7" i="3"/>
  <c r="K7" i="3"/>
  <c r="J7" i="3"/>
  <c r="I7" i="3"/>
  <c r="H7" i="3"/>
  <c r="G7" i="3"/>
  <c r="F7" i="3"/>
  <c r="E7" i="3"/>
  <c r="M6" i="3"/>
  <c r="L6" i="3"/>
  <c r="K6" i="3"/>
  <c r="J6" i="3"/>
  <c r="I6" i="3"/>
  <c r="H6" i="3"/>
  <c r="G6" i="3"/>
  <c r="F6" i="3"/>
  <c r="E6" i="3"/>
  <c r="J6" i="4" l="1" a="1"/>
  <c r="J6" i="4" s="1"/>
  <c r="B6" i="4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J5" i="4" a="1"/>
  <c r="J5" i="4" s="1"/>
  <c r="B5" i="4"/>
  <c r="B364" i="3"/>
  <c r="B365" i="3" s="1"/>
  <c r="B366" i="3" s="1"/>
  <c r="B367" i="3" s="1"/>
  <c r="B368" i="3" s="1"/>
  <c r="B349" i="3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34" i="3"/>
  <c r="B335" i="3" s="1"/>
  <c r="B336" i="3" s="1"/>
  <c r="B337" i="3" s="1"/>
  <c r="B338" i="3" s="1"/>
  <c r="B339" i="3" s="1"/>
  <c r="B340" i="3" s="1"/>
  <c r="B341" i="3" s="1"/>
  <c r="B342" i="3" s="1"/>
  <c r="B343" i="3" s="1"/>
  <c r="J4" i="4" a="1"/>
  <c r="J4" i="4" s="1"/>
  <c r="B4" i="4"/>
  <c r="B8" i="4"/>
  <c r="J8" i="4" a="1"/>
  <c r="J8" i="4" s="1"/>
  <c r="B29" i="4"/>
  <c r="J29" i="4" a="1"/>
  <c r="J29" i="4" s="1"/>
  <c r="J27" i="4" a="1"/>
  <c r="J27" i="4" s="1"/>
  <c r="B27" i="4"/>
  <c r="B194" i="3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J26" i="4" a="1"/>
  <c r="J26" i="4" s="1"/>
  <c r="B26" i="4"/>
  <c r="B185" i="3"/>
  <c r="B186" i="3" s="1"/>
  <c r="B187" i="3" s="1"/>
  <c r="B188" i="3" s="1"/>
  <c r="B189" i="3" s="1"/>
  <c r="B9" i="4"/>
  <c r="J9" i="4" a="1"/>
  <c r="J9" i="4" s="1"/>
  <c r="B30" i="4"/>
  <c r="J30" i="4" a="1"/>
  <c r="J30" i="4" s="1"/>
  <c r="J24" i="4" a="1"/>
  <c r="J24" i="4" s="1"/>
  <c r="B24" i="4"/>
  <c r="B17" i="4"/>
  <c r="J17" i="4" a="1"/>
  <c r="J17" i="4" s="1"/>
  <c r="B165" i="3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J16" i="4" a="1"/>
  <c r="J16" i="4" s="1"/>
  <c r="B16" i="4"/>
  <c r="B138" i="3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J15" i="4" a="1"/>
  <c r="J15" i="4" s="1"/>
  <c r="B15" i="4"/>
  <c r="B12" i="4"/>
  <c r="J12" i="4" a="1"/>
  <c r="J12" i="4" s="1"/>
  <c r="B54" i="3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C61" i="3"/>
  <c r="C17" i="3"/>
  <c r="J13" i="4" a="1"/>
  <c r="J13" i="4" s="1"/>
  <c r="B13" i="4"/>
  <c r="B11" i="4"/>
  <c r="J11" i="4" a="1"/>
  <c r="J11" i="4" s="1"/>
  <c r="B25" i="3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10" i="4"/>
  <c r="J10" i="4" a="1"/>
  <c r="J1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<sst xmlns="http://schemas.openxmlformats.org/spreadsheetml/2006/main" count="22673" uniqueCount="168">
  <si>
    <t>variable</t>
  </si>
  <si>
    <t>region</t>
  </si>
  <si>
    <t>year</t>
  </si>
  <si>
    <t>parameter</t>
  </si>
  <si>
    <t>value</t>
  </si>
  <si>
    <t>unit</t>
  </si>
  <si>
    <t>capex_mid</t>
  </si>
  <si>
    <t>USD2022/kW</t>
  </si>
  <si>
    <t>capex_hi</t>
  </si>
  <si>
    <t>capex_lo</t>
  </si>
  <si>
    <t>fixed_om</t>
  </si>
  <si>
    <t>USD2022/kW-yr</t>
  </si>
  <si>
    <t>efficiency</t>
  </si>
  <si>
    <t>fraction_LHV</t>
  </si>
  <si>
    <t>capacity_factor</t>
  </si>
  <si>
    <t>fraction</t>
  </si>
  <si>
    <t>roundtrip_efficiency</t>
  </si>
  <si>
    <t>Row Labels</t>
  </si>
  <si>
    <t>Sum of value</t>
  </si>
  <si>
    <t>Column Labels</t>
  </si>
  <si>
    <t>ieapg_european_union</t>
  </si>
  <si>
    <t>ieapg_united_states</t>
  </si>
  <si>
    <t>ieapg_japan</t>
  </si>
  <si>
    <t>ieapg_russia</t>
  </si>
  <si>
    <t>ieapg_china</t>
  </si>
  <si>
    <t>ieapg_india</t>
  </si>
  <si>
    <t>ieapg_middle_east</t>
  </si>
  <si>
    <t>ieapg_africa</t>
  </si>
  <si>
    <t>ieapg_brazil</t>
  </si>
  <si>
    <t>en_gas_ccgt</t>
  </si>
  <si>
    <t>en_gas_turbine</t>
  </si>
  <si>
    <t>en_gas_chp</t>
  </si>
  <si>
    <t>en_gas_fuelcell</t>
  </si>
  <si>
    <t>en_coal_subcritical</t>
  </si>
  <si>
    <t>en_coal_supercritical</t>
  </si>
  <si>
    <t>en_coal_ultrasupercritical</t>
  </si>
  <si>
    <t>en_coal_igcc</t>
  </si>
  <si>
    <t>en_coal_ccs</t>
  </si>
  <si>
    <t>en_coal_oxyfuel_ccs</t>
  </si>
  <si>
    <t>en_coal_igcc_ccs</t>
  </si>
  <si>
    <t>en_gas_ccs</t>
  </si>
  <si>
    <t>en_nuclear</t>
  </si>
  <si>
    <t>en_solar_pv</t>
  </si>
  <si>
    <t>en_wind_onshore</t>
  </si>
  <si>
    <t>en_wind_offshore</t>
  </si>
  <si>
    <t>en_hydro_large</t>
  </si>
  <si>
    <t>en_hydro_small</t>
  </si>
  <si>
    <t>en_biomass</t>
  </si>
  <si>
    <t>en_biomass_cofiring</t>
  </si>
  <si>
    <t>en_biomass_chp</t>
  </si>
  <si>
    <t>en_biomass_ccs</t>
  </si>
  <si>
    <t>en_solar_csp</t>
  </si>
  <si>
    <t>en_geothermal</t>
  </si>
  <si>
    <t>en_battery_4h</t>
  </si>
  <si>
    <t>en_battery_8h</t>
  </si>
  <si>
    <t>en_nuclear_smr</t>
  </si>
  <si>
    <t>technology</t>
  </si>
  <si>
    <t>description</t>
  </si>
  <si>
    <t>lifetime_yr</t>
  </si>
  <si>
    <t>construction_yr</t>
  </si>
  <si>
    <t>Natural gas 2-on-1 combined cycle (F-Frame). IEA GEC: CCGT; ATB: CCAvgCF</t>
  </si>
  <si>
    <t>Natural gas open-cycle combustion turbine (F-Frame, peaking). IEA GEC: Gas turbine; ATB: CTAvgCF</t>
  </si>
  <si>
    <t>Natural gas CCGT combined heat and power. IEA GEC: CCGT-CHP. Produces electricity + useful heat (LHV basis)</t>
  </si>
  <si>
    <t>Natural gas fuel cell. IEA GEC: Fuel cell</t>
  </si>
  <si>
    <t>Natural gas CCGT with 95% post-combustion CCS. IEA GEC: CCGT+CCS; ATB: CCCCSAvgCF</t>
  </si>
  <si>
    <t>Coal subcritical steam cycle. IEA GEC: Subcritical</t>
  </si>
  <si>
    <t>Coal supercritical steam cycle. IEA GEC: Supercritical; ATB: newAvgCF</t>
  </si>
  <si>
    <t>Coal ultra-supercritical steam cycle. IEA GEC: Ultra-supercritical</t>
  </si>
  <si>
    <t>Coal integrated gasification combined cycle. IEA GEC: IGCC; ATB: IGCCAvgCF</t>
  </si>
  <si>
    <t>Coal post-combustion with 95% CCS. IEA GEC: Coal+CCS; ATB: CCS95AvgCF</t>
  </si>
  <si>
    <t>Coal oxyfuel combustion with CCS. IEA GEC: Oxyfuel+CCS</t>
  </si>
  <si>
    <t>Coal IGCC with CCS. IEA GEC: IGCC+CCS</t>
  </si>
  <si>
    <t>Nuclear large reactor (Gen III/III+). IEA GEC: Nuclear; ATB: Nuclear - Large. Life 60yr, constr 7yr</t>
  </si>
  <si>
    <t>Nuclear small modular reactor. ATB: Nuclear - Small. Regional costs scaled from IEA large nuclear ratios. Life 40yr, constr 3yr</t>
  </si>
  <si>
    <t>Solar PV utility-scale. IEA GEC: Solar PV large-scale; ATB: UtilityPV Class5</t>
  </si>
  <si>
    <t>Concentrated solar power with thermal storage. IEA GEC: CSP; ATB: CSP Class2</t>
  </si>
  <si>
    <t>Wind onshore. IEA GEC: Wind onshore; ATB: LandbasedWind Class4</t>
  </si>
  <si>
    <t>Wind offshore (bottom-fixed/floating). IEA GEC: Wind offshore; ATB: OffShoreWind Class3</t>
  </si>
  <si>
    <t>Hydropower large-scale. IEA GEC: Hydropower large; ATB: NPD4</t>
  </si>
  <si>
    <t>Hydropower small-scale. IEA GEC: Hydropower small</t>
  </si>
  <si>
    <t>Biomass dedicated large-scale. IEA GEC: Bioenergy large-scale; ATB: Biopower Dedicated</t>
  </si>
  <si>
    <t>Biomass cofiring â€” incremental investment for blending in existing coal plants. IEA GEC: Bioenergy cofiring</t>
  </si>
  <si>
    <t>Biomass medium-scale combined heat and power. IEA GEC: Bioenergy medium-scale CHP</t>
  </si>
  <si>
    <t>Biomass with carbon capture and storage (BECCS). IEA GEC: Bioenergy+CCUS</t>
  </si>
  <si>
    <t>Geothermal hydrothermal flash. IEA GEC: Geothermal; ATB: HydroFlash</t>
  </si>
  <si>
    <t>Utility-scale Li-ion battery, 4-hour duration. ATB only (no IEA GEC). Uniform cost across regions</t>
  </si>
  <si>
    <t>Utility-scale Li-ion battery, 8-hour duration. ATB only (no IEA GEC). Uniform cost across regions</t>
  </si>
  <si>
    <t>attribute</t>
  </si>
  <si>
    <t>process</t>
  </si>
  <si>
    <t>invcost</t>
  </si>
  <si>
    <t>fixom</t>
  </si>
  <si>
    <t>stg_eff</t>
  </si>
  <si>
    <t>~FI_T</t>
  </si>
  <si>
    <t>~FI_T: USD22</t>
  </si>
  <si>
    <t>\I:</t>
  </si>
  <si>
    <t>~FI_Process</t>
  </si>
  <si>
    <t>sets</t>
  </si>
  <si>
    <t>techname</t>
  </si>
  <si>
    <t>techdesc</t>
  </si>
  <si>
    <t>tact</t>
  </si>
  <si>
    <t>tcap</t>
  </si>
  <si>
    <t>tslvl</t>
  </si>
  <si>
    <t>ELE</t>
  </si>
  <si>
    <t>CHP</t>
  </si>
  <si>
    <t>STG</t>
  </si>
  <si>
    <t>PJ</t>
  </si>
  <si>
    <t>GW</t>
  </si>
  <si>
    <t>daynite</t>
  </si>
  <si>
    <t>season</t>
  </si>
  <si>
    <t>comm-in</t>
  </si>
  <si>
    <t>comm-out</t>
  </si>
  <si>
    <t>ELCNGA</t>
  </si>
  <si>
    <t>ELCCOA</t>
  </si>
  <si>
    <t>ELCNUC</t>
  </si>
  <si>
    <t>ELCBIO</t>
  </si>
  <si>
    <t>ELC</t>
  </si>
  <si>
    <t>LIFE</t>
  </si>
  <si>
    <t>ILED</t>
  </si>
  <si>
    <t>AFC~ACT</t>
  </si>
  <si>
    <t>AFC~NRG</t>
  </si>
  <si>
    <t>TechName</t>
  </si>
  <si>
    <t>Comm-IN</t>
  </si>
  <si>
    <t>Comm-OUT</t>
  </si>
  <si>
    <t>VAROM</t>
  </si>
  <si>
    <t>EFF</t>
  </si>
  <si>
    <t>ACT_CUM</t>
  </si>
  <si>
    <t>Sets</t>
  </si>
  <si>
    <t>TechDesc</t>
  </si>
  <si>
    <t>Tslvl</t>
  </si>
  <si>
    <t>Tact</t>
  </si>
  <si>
    <t>Tcap</t>
  </si>
  <si>
    <t>PrimaryCG</t>
  </si>
  <si>
    <t>Vintage</t>
  </si>
  <si>
    <t>CO2ForStorage</t>
  </si>
  <si>
    <t>PRE</t>
  </si>
  <si>
    <t>Sto-CO2_CB1</t>
  </si>
  <si>
    <t>Enhanced Coalbed Meth recov &lt;1000 m</t>
  </si>
  <si>
    <t>kt</t>
  </si>
  <si>
    <t>kt-Yr</t>
  </si>
  <si>
    <t>Sto-CO2_CB2</t>
  </si>
  <si>
    <t>Enhanced Coalbed Meth recov &gt;1000 m</t>
  </si>
  <si>
    <t>Sto-CO2_DGF</t>
  </si>
  <si>
    <t>Depleted gas fields (offshore)</t>
  </si>
  <si>
    <t>Sto-CO2_DGO</t>
  </si>
  <si>
    <t>Depleted gas fields (onshore)</t>
  </si>
  <si>
    <t>Sto-CO2_DOF</t>
  </si>
  <si>
    <t>Depleted oil fields (offshore)</t>
  </si>
  <si>
    <t>Sto-CO2_DOO</t>
  </si>
  <si>
    <t>Depleted oil fields (onshore)</t>
  </si>
  <si>
    <t>Sto-CO2_DSA</t>
  </si>
  <si>
    <t>Deep saline aquifers (onshore)</t>
  </si>
  <si>
    <t>Sto-CO2_DSO</t>
  </si>
  <si>
    <t>Deep saline aquifers (offshore)</t>
  </si>
  <si>
    <t>Sto-CO2_EOF</t>
  </si>
  <si>
    <t>Enhanced Oil Recovery (offshore)</t>
  </si>
  <si>
    <t>Sto-CO2_EOR</t>
  </si>
  <si>
    <t>Enhanced Oil Recovery (onshore)</t>
  </si>
  <si>
    <t>*</t>
  </si>
  <si>
    <t>CO2Captured</t>
  </si>
  <si>
    <t>Pipeline-CO2</t>
  </si>
  <si>
    <t>CO2 pipeline</t>
  </si>
  <si>
    <t>*cf</t>
  </si>
  <si>
    <t>Distinct Regions (en_coal_ccs + efficiency)</t>
  </si>
  <si>
    <t>ELC,HET</t>
  </si>
  <si>
    <t>variable_om</t>
  </si>
  <si>
    <t>varom</t>
  </si>
  <si>
    <t>USD2022/GJ</t>
  </si>
  <si>
    <t>ELC,CO2Captured_elc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</si>
</sst>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STKFLOW - 14 of 38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rgb="FF9C57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9" fontId="20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6" fillId="33" borderId="0" xfId="0" applyFont="1" applyFill="1"/>
    <xf numFmtId="0" fontId="16" fillId="33" borderId="10" xfId="0" applyFont="1" applyFill="1" applyBorder="1"/>
    <xf numFmtId="0" fontId="16" fillId="0" borderId="10" xfId="0" applyFont="1" applyBorder="1" applyAlignment="1">
      <alignment horizontal="left"/>
    </xf>
    <xf numFmtId="0" fontId="16" fillId="0" borderId="0" xfId="0" applyFont="1" applyAlignment="1">
      <alignment horizontal="left" indent="1"/>
    </xf>
    <xf numFmtId="0" fontId="8" fillId="4" borderId="0" xfId="8"/>
    <xf numFmtId="0" fontId="4" fillId="0" borderId="2" xfId="3"/>
    <xf numFmtId="0" fontId="5" fillId="33" borderId="3" xfId="4" applyFill="1"/>
    <xf numFmtId="0" fontId="5" fillId="34" borderId="3" xfId="4" applyFill="1"/>
    <xf numFmtId="0" fontId="5" fillId="34" borderId="0" xfId="4" applyFill="1" applyBorder="1"/>
    <xf numFmtId="2" fontId="18" fillId="0" borderId="0" xfId="42" applyNumberFormat="1"/>
    <xf numFmtId="0" fontId="19" fillId="0" borderId="0" xfId="0" applyFont="1"/>
    <xf numFmtId="164" fontId="0" fillId="0" borderId="0" xfId="0" applyNumberFormat="1"/>
    <xf numFmtId="0" fontId="17" fillId="0" borderId="0" xfId="0" applyFont="1"/>
    <xf numFmtId="2" fontId="1" fillId="0" borderId="0" xfId="43" applyNumberFormat="1" applyFont="1"/>
    <xf numFmtId="9" fontId="1" fillId="0" borderId="0" xfId="43" applyFont="1"/>
    <xf numFmtId="1" fontId="1" fillId="0" borderId="0" xfId="43" applyNumberFormat="1" applyFont="1"/>
    <xf numFmtId="0" fontId="16" fillId="0" borderId="10" xfId="0" applyFont="1" applyBorder="1"/>
    <xf numFmtId="0" fontId="16" fillId="0" borderId="0" xfId="0" applyFont="1"/>
    <xf numFmtId="0" fontId="21" fillId="4" borderId="0" xfId="8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D8B70DD5-4981-4768-BD70-D010BBBCDCB5}"/>
    <cellStyle name="Note" xfId="15" builtinId="10" customBuiltin="1"/>
    <cellStyle name="Output" xfId="10" builtinId="21" customBuiltin="1"/>
    <cellStyle name="Percent 2" xfId="43" xr:uid="{0894FA72-6B42-40B3-87F7-C165745B5C2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anudia" refreshedDate="46080.773745949075" createdVersion="8" refreshedVersion="8" minRefreshableVersion="3" recordCount="5334" xr:uid="{BFAD91D7-9B92-4C10-BED7-5EE72A94008E}">
  <cacheSource type="worksheet">
    <worksheetSource ref="A1:F5335" sheet="unified_reference_costs"/>
  </cacheSource>
  <cacheFields count="6">
    <cacheField name="variable" numFmtId="0">
      <sharedItems count="27">
        <s v="en_gas_ccgt"/>
        <s v="en_gas_turbine"/>
        <s v="en_gas_chp"/>
        <s v="en_gas_fuelcell"/>
        <s v="en_coal_subcritical"/>
        <s v="en_coal_supercritical"/>
        <s v="en_coal_ultrasupercritical"/>
        <s v="en_coal_igcc"/>
        <s v="en_coal_ccs"/>
        <s v="en_coal_oxyfuel_ccs"/>
        <s v="en_coal_igcc_ccs"/>
        <s v="en_gas_ccs"/>
        <s v="en_nuclear"/>
        <s v="en_solar_pv"/>
        <s v="en_wind_onshore"/>
        <s v="en_wind_offshore"/>
        <s v="en_hydro_large"/>
        <s v="en_hydro_small"/>
        <s v="en_biomass"/>
        <s v="en_biomass_cofiring"/>
        <s v="en_biomass_chp"/>
        <s v="en_biomass_ccs"/>
        <s v="en_solar_csp"/>
        <s v="en_geothermal"/>
        <s v="en_battery_4h"/>
        <s v="en_battery_8h"/>
        <s v="en_nuclear_smr"/>
      </sharedItems>
    </cacheField>
    <cacheField name="region" numFmtId="0">
      <sharedItems count="9">
        <s v="ieapg_european_union"/>
        <s v="ieapg_united_states"/>
        <s v="ieapg_japan"/>
        <s v="ieapg_russia"/>
        <s v="ieapg_china"/>
        <s v="ieapg_india"/>
        <s v="ieapg_middle_east"/>
        <s v="ieapg_africa"/>
        <s v="ieapg_brazil"/>
      </sharedItems>
    </cacheField>
    <cacheField name="year" numFmtId="0">
      <sharedItems containsSemiMixedTypes="0" containsString="0" containsNumber="1" containsInteger="1" minValue="2022" maxValue="2050" count="7">
        <n v="2022"/>
        <n v="2030"/>
        <n v="2050"/>
        <n v="2025"/>
        <n v="2035"/>
        <n v="2040"/>
        <n v="2045"/>
      </sharedItems>
    </cacheField>
    <cacheField name="parameter" numFmtId="0">
      <sharedItems count="8">
        <s v="capex_mid"/>
        <s v="capex_hi"/>
        <s v="capex_lo"/>
        <s v="fixed_om"/>
        <s v="efficiency"/>
        <s v="variable_om"/>
        <s v="capacity_factor"/>
        <s v="roundtrip_efficiency"/>
      </sharedItems>
    </cacheField>
    <cacheField name="value" numFmtId="0">
      <sharedItems containsSemiMixedTypes="0" containsString="0" containsNumber="1" minValue="0" maxValue="13473.7"/>
    </cacheField>
    <cacheField name="un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34">
  <r>
    <x v="0"/>
    <x v="0"/>
    <x v="0"/>
    <x v="0"/>
    <n v="1000"/>
    <s v="USD2022/kW"/>
  </r>
  <r>
    <x v="0"/>
    <x v="0"/>
    <x v="0"/>
    <x v="1"/>
    <n v="1000"/>
    <s v="USD2022/kW"/>
  </r>
  <r>
    <x v="0"/>
    <x v="0"/>
    <x v="0"/>
    <x v="2"/>
    <n v="1000"/>
    <s v="USD2022/kW"/>
  </r>
  <r>
    <x v="0"/>
    <x v="0"/>
    <x v="0"/>
    <x v="3"/>
    <n v="25"/>
    <s v="USD2022/kW-yr"/>
  </r>
  <r>
    <x v="0"/>
    <x v="0"/>
    <x v="0"/>
    <x v="4"/>
    <n v="0.59"/>
    <s v="fraction_LHV"/>
  </r>
  <r>
    <x v="0"/>
    <x v="0"/>
    <x v="0"/>
    <x v="5"/>
    <n v="0.60299999999999998"/>
    <s v="USD2022/GJ"/>
  </r>
  <r>
    <x v="0"/>
    <x v="0"/>
    <x v="1"/>
    <x v="0"/>
    <n v="1000"/>
    <s v="USD2022/kW"/>
  </r>
  <r>
    <x v="0"/>
    <x v="0"/>
    <x v="1"/>
    <x v="1"/>
    <n v="1015.8"/>
    <s v="USD2022/kW"/>
  </r>
  <r>
    <x v="0"/>
    <x v="0"/>
    <x v="1"/>
    <x v="2"/>
    <n v="984.2"/>
    <s v="USD2022/kW"/>
  </r>
  <r>
    <x v="0"/>
    <x v="0"/>
    <x v="1"/>
    <x v="3"/>
    <n v="25"/>
    <s v="USD2022/kW-yr"/>
  </r>
  <r>
    <x v="0"/>
    <x v="0"/>
    <x v="1"/>
    <x v="4"/>
    <n v="0.6"/>
    <s v="fraction_LHV"/>
  </r>
  <r>
    <x v="0"/>
    <x v="0"/>
    <x v="1"/>
    <x v="5"/>
    <n v="0.56699999999999995"/>
    <s v="USD2022/GJ"/>
  </r>
  <r>
    <x v="0"/>
    <x v="0"/>
    <x v="2"/>
    <x v="0"/>
    <n v="1000"/>
    <s v="USD2022/kW"/>
  </r>
  <r>
    <x v="0"/>
    <x v="0"/>
    <x v="2"/>
    <x v="1"/>
    <n v="1041.9000000000001"/>
    <s v="USD2022/kW"/>
  </r>
  <r>
    <x v="0"/>
    <x v="0"/>
    <x v="2"/>
    <x v="2"/>
    <n v="958.2"/>
    <s v="USD2022/kW"/>
  </r>
  <r>
    <x v="0"/>
    <x v="0"/>
    <x v="2"/>
    <x v="3"/>
    <n v="25"/>
    <s v="USD2022/kW-yr"/>
  </r>
  <r>
    <x v="0"/>
    <x v="0"/>
    <x v="2"/>
    <x v="4"/>
    <n v="0.61"/>
    <s v="fraction_LHV"/>
  </r>
  <r>
    <x v="0"/>
    <x v="0"/>
    <x v="2"/>
    <x v="5"/>
    <n v="0.497"/>
    <s v="USD2022/GJ"/>
  </r>
  <r>
    <x v="0"/>
    <x v="1"/>
    <x v="0"/>
    <x v="0"/>
    <n v="1000"/>
    <s v="USD2022/kW"/>
  </r>
  <r>
    <x v="0"/>
    <x v="1"/>
    <x v="0"/>
    <x v="1"/>
    <n v="1000"/>
    <s v="USD2022/kW"/>
  </r>
  <r>
    <x v="0"/>
    <x v="1"/>
    <x v="0"/>
    <x v="2"/>
    <n v="1000"/>
    <s v="USD2022/kW"/>
  </r>
  <r>
    <x v="0"/>
    <x v="1"/>
    <x v="0"/>
    <x v="3"/>
    <n v="25"/>
    <s v="USD2022/kW-yr"/>
  </r>
  <r>
    <x v="0"/>
    <x v="1"/>
    <x v="0"/>
    <x v="4"/>
    <n v="0.59"/>
    <s v="fraction_LHV"/>
  </r>
  <r>
    <x v="0"/>
    <x v="1"/>
    <x v="0"/>
    <x v="5"/>
    <n v="0.60299999999999998"/>
    <s v="USD2022/GJ"/>
  </r>
  <r>
    <x v="0"/>
    <x v="1"/>
    <x v="1"/>
    <x v="0"/>
    <n v="1000"/>
    <s v="USD2022/kW"/>
  </r>
  <r>
    <x v="0"/>
    <x v="1"/>
    <x v="1"/>
    <x v="1"/>
    <n v="1015.8"/>
    <s v="USD2022/kW"/>
  </r>
  <r>
    <x v="0"/>
    <x v="1"/>
    <x v="1"/>
    <x v="2"/>
    <n v="984.2"/>
    <s v="USD2022/kW"/>
  </r>
  <r>
    <x v="0"/>
    <x v="1"/>
    <x v="1"/>
    <x v="3"/>
    <n v="25"/>
    <s v="USD2022/kW-yr"/>
  </r>
  <r>
    <x v="0"/>
    <x v="1"/>
    <x v="1"/>
    <x v="4"/>
    <n v="0.6"/>
    <s v="fraction_LHV"/>
  </r>
  <r>
    <x v="0"/>
    <x v="1"/>
    <x v="1"/>
    <x v="5"/>
    <n v="0.56699999999999995"/>
    <s v="USD2022/GJ"/>
  </r>
  <r>
    <x v="0"/>
    <x v="1"/>
    <x v="2"/>
    <x v="0"/>
    <n v="1000"/>
    <s v="USD2022/kW"/>
  </r>
  <r>
    <x v="0"/>
    <x v="1"/>
    <x v="2"/>
    <x v="1"/>
    <n v="1041.9000000000001"/>
    <s v="USD2022/kW"/>
  </r>
  <r>
    <x v="0"/>
    <x v="1"/>
    <x v="2"/>
    <x v="2"/>
    <n v="958.2"/>
    <s v="USD2022/kW"/>
  </r>
  <r>
    <x v="0"/>
    <x v="1"/>
    <x v="2"/>
    <x v="3"/>
    <n v="25"/>
    <s v="USD2022/kW-yr"/>
  </r>
  <r>
    <x v="0"/>
    <x v="1"/>
    <x v="2"/>
    <x v="4"/>
    <n v="0.61"/>
    <s v="fraction_LHV"/>
  </r>
  <r>
    <x v="0"/>
    <x v="1"/>
    <x v="2"/>
    <x v="5"/>
    <n v="0.497"/>
    <s v="USD2022/GJ"/>
  </r>
  <r>
    <x v="0"/>
    <x v="2"/>
    <x v="0"/>
    <x v="0"/>
    <n v="1100"/>
    <s v="USD2022/kW"/>
  </r>
  <r>
    <x v="0"/>
    <x v="2"/>
    <x v="0"/>
    <x v="1"/>
    <n v="1100"/>
    <s v="USD2022/kW"/>
  </r>
  <r>
    <x v="0"/>
    <x v="2"/>
    <x v="0"/>
    <x v="2"/>
    <n v="1100"/>
    <s v="USD2022/kW"/>
  </r>
  <r>
    <x v="0"/>
    <x v="2"/>
    <x v="0"/>
    <x v="3"/>
    <n v="30"/>
    <s v="USD2022/kW-yr"/>
  </r>
  <r>
    <x v="0"/>
    <x v="2"/>
    <x v="0"/>
    <x v="4"/>
    <n v="0.59"/>
    <s v="fraction_LHV"/>
  </r>
  <r>
    <x v="0"/>
    <x v="2"/>
    <x v="0"/>
    <x v="5"/>
    <n v="0.60299999999999998"/>
    <s v="USD2022/GJ"/>
  </r>
  <r>
    <x v="0"/>
    <x v="2"/>
    <x v="1"/>
    <x v="0"/>
    <n v="1100"/>
    <s v="USD2022/kW"/>
  </r>
  <r>
    <x v="0"/>
    <x v="2"/>
    <x v="1"/>
    <x v="1"/>
    <n v="1117.4000000000001"/>
    <s v="USD2022/kW"/>
  </r>
  <r>
    <x v="0"/>
    <x v="2"/>
    <x v="1"/>
    <x v="2"/>
    <n v="1082.5999999999999"/>
    <s v="USD2022/kW"/>
  </r>
  <r>
    <x v="0"/>
    <x v="2"/>
    <x v="1"/>
    <x v="3"/>
    <n v="30"/>
    <s v="USD2022/kW-yr"/>
  </r>
  <r>
    <x v="0"/>
    <x v="2"/>
    <x v="1"/>
    <x v="4"/>
    <n v="0.6"/>
    <s v="fraction_LHV"/>
  </r>
  <r>
    <x v="0"/>
    <x v="2"/>
    <x v="1"/>
    <x v="5"/>
    <n v="0.56699999999999995"/>
    <s v="USD2022/GJ"/>
  </r>
  <r>
    <x v="0"/>
    <x v="2"/>
    <x v="2"/>
    <x v="0"/>
    <n v="1100"/>
    <s v="USD2022/kW"/>
  </r>
  <r>
    <x v="0"/>
    <x v="2"/>
    <x v="2"/>
    <x v="1"/>
    <n v="1146.0999999999999"/>
    <s v="USD2022/kW"/>
  </r>
  <r>
    <x v="0"/>
    <x v="2"/>
    <x v="2"/>
    <x v="2"/>
    <n v="1054"/>
    <s v="USD2022/kW"/>
  </r>
  <r>
    <x v="0"/>
    <x v="2"/>
    <x v="2"/>
    <x v="3"/>
    <n v="30"/>
    <s v="USD2022/kW-yr"/>
  </r>
  <r>
    <x v="0"/>
    <x v="2"/>
    <x v="2"/>
    <x v="4"/>
    <n v="0.61"/>
    <s v="fraction_LHV"/>
  </r>
  <r>
    <x v="0"/>
    <x v="2"/>
    <x v="2"/>
    <x v="5"/>
    <n v="0.497"/>
    <s v="USD2022/GJ"/>
  </r>
  <r>
    <x v="0"/>
    <x v="3"/>
    <x v="0"/>
    <x v="0"/>
    <n v="800"/>
    <s v="USD2022/kW"/>
  </r>
  <r>
    <x v="0"/>
    <x v="3"/>
    <x v="0"/>
    <x v="1"/>
    <n v="800"/>
    <s v="USD2022/kW"/>
  </r>
  <r>
    <x v="0"/>
    <x v="3"/>
    <x v="0"/>
    <x v="2"/>
    <n v="800"/>
    <s v="USD2022/kW"/>
  </r>
  <r>
    <x v="0"/>
    <x v="3"/>
    <x v="0"/>
    <x v="3"/>
    <n v="30"/>
    <s v="USD2022/kW-yr"/>
  </r>
  <r>
    <x v="0"/>
    <x v="3"/>
    <x v="0"/>
    <x v="4"/>
    <n v="0.56999999999999995"/>
    <s v="fraction_LHV"/>
  </r>
  <r>
    <x v="0"/>
    <x v="3"/>
    <x v="0"/>
    <x v="5"/>
    <n v="0.60299999999999998"/>
    <s v="USD2022/GJ"/>
  </r>
  <r>
    <x v="0"/>
    <x v="3"/>
    <x v="1"/>
    <x v="0"/>
    <n v="800"/>
    <s v="USD2022/kW"/>
  </r>
  <r>
    <x v="0"/>
    <x v="3"/>
    <x v="1"/>
    <x v="1"/>
    <n v="812.6"/>
    <s v="USD2022/kW"/>
  </r>
  <r>
    <x v="0"/>
    <x v="3"/>
    <x v="1"/>
    <x v="2"/>
    <n v="787.4"/>
    <s v="USD2022/kW"/>
  </r>
  <r>
    <x v="0"/>
    <x v="3"/>
    <x v="1"/>
    <x v="3"/>
    <n v="30"/>
    <s v="USD2022/kW-yr"/>
  </r>
  <r>
    <x v="0"/>
    <x v="3"/>
    <x v="1"/>
    <x v="4"/>
    <n v="0.57999999999999996"/>
    <s v="fraction_LHV"/>
  </r>
  <r>
    <x v="0"/>
    <x v="3"/>
    <x v="1"/>
    <x v="5"/>
    <n v="0.56699999999999995"/>
    <s v="USD2022/GJ"/>
  </r>
  <r>
    <x v="0"/>
    <x v="3"/>
    <x v="2"/>
    <x v="0"/>
    <n v="800"/>
    <s v="USD2022/kW"/>
  </r>
  <r>
    <x v="0"/>
    <x v="3"/>
    <x v="2"/>
    <x v="1"/>
    <n v="833.5"/>
    <s v="USD2022/kW"/>
  </r>
  <r>
    <x v="0"/>
    <x v="3"/>
    <x v="2"/>
    <x v="2"/>
    <n v="766.6"/>
    <s v="USD2022/kW"/>
  </r>
  <r>
    <x v="0"/>
    <x v="3"/>
    <x v="2"/>
    <x v="3"/>
    <n v="30"/>
    <s v="USD2022/kW-yr"/>
  </r>
  <r>
    <x v="0"/>
    <x v="3"/>
    <x v="2"/>
    <x v="4"/>
    <n v="0.57999999999999996"/>
    <s v="fraction_LHV"/>
  </r>
  <r>
    <x v="0"/>
    <x v="3"/>
    <x v="2"/>
    <x v="5"/>
    <n v="0.497"/>
    <s v="USD2022/GJ"/>
  </r>
  <r>
    <x v="0"/>
    <x v="4"/>
    <x v="0"/>
    <x v="0"/>
    <n v="560"/>
    <s v="USD2022/kW"/>
  </r>
  <r>
    <x v="0"/>
    <x v="4"/>
    <x v="0"/>
    <x v="1"/>
    <n v="560"/>
    <s v="USD2022/kW"/>
  </r>
  <r>
    <x v="0"/>
    <x v="4"/>
    <x v="0"/>
    <x v="2"/>
    <n v="560"/>
    <s v="USD2022/kW"/>
  </r>
  <r>
    <x v="0"/>
    <x v="4"/>
    <x v="0"/>
    <x v="3"/>
    <n v="20"/>
    <s v="USD2022/kW-yr"/>
  </r>
  <r>
    <x v="0"/>
    <x v="4"/>
    <x v="0"/>
    <x v="4"/>
    <n v="0.56999999999999995"/>
    <s v="fraction_LHV"/>
  </r>
  <r>
    <x v="0"/>
    <x v="4"/>
    <x v="0"/>
    <x v="5"/>
    <n v="0.60299999999999998"/>
    <s v="USD2022/GJ"/>
  </r>
  <r>
    <x v="0"/>
    <x v="4"/>
    <x v="1"/>
    <x v="0"/>
    <n v="560"/>
    <s v="USD2022/kW"/>
  </r>
  <r>
    <x v="0"/>
    <x v="4"/>
    <x v="1"/>
    <x v="1"/>
    <n v="568.79999999999995"/>
    <s v="USD2022/kW"/>
  </r>
  <r>
    <x v="0"/>
    <x v="4"/>
    <x v="1"/>
    <x v="2"/>
    <n v="551.20000000000005"/>
    <s v="USD2022/kW"/>
  </r>
  <r>
    <x v="0"/>
    <x v="4"/>
    <x v="1"/>
    <x v="3"/>
    <n v="20"/>
    <s v="USD2022/kW-yr"/>
  </r>
  <r>
    <x v="0"/>
    <x v="4"/>
    <x v="1"/>
    <x v="4"/>
    <n v="0.57999999999999996"/>
    <s v="fraction_LHV"/>
  </r>
  <r>
    <x v="0"/>
    <x v="4"/>
    <x v="1"/>
    <x v="5"/>
    <n v="0.56699999999999995"/>
    <s v="USD2022/GJ"/>
  </r>
  <r>
    <x v="0"/>
    <x v="4"/>
    <x v="2"/>
    <x v="0"/>
    <n v="560"/>
    <s v="USD2022/kW"/>
  </r>
  <r>
    <x v="0"/>
    <x v="4"/>
    <x v="2"/>
    <x v="1"/>
    <n v="583.5"/>
    <s v="USD2022/kW"/>
  </r>
  <r>
    <x v="0"/>
    <x v="4"/>
    <x v="2"/>
    <x v="2"/>
    <n v="536.6"/>
    <s v="USD2022/kW"/>
  </r>
  <r>
    <x v="0"/>
    <x v="4"/>
    <x v="2"/>
    <x v="3"/>
    <n v="20"/>
    <s v="USD2022/kW-yr"/>
  </r>
  <r>
    <x v="0"/>
    <x v="4"/>
    <x v="2"/>
    <x v="4"/>
    <n v="0.59"/>
    <s v="fraction_LHV"/>
  </r>
  <r>
    <x v="0"/>
    <x v="4"/>
    <x v="2"/>
    <x v="5"/>
    <n v="0.497"/>
    <s v="USD2022/GJ"/>
  </r>
  <r>
    <x v="0"/>
    <x v="5"/>
    <x v="0"/>
    <x v="0"/>
    <n v="700"/>
    <s v="USD2022/kW"/>
  </r>
  <r>
    <x v="0"/>
    <x v="5"/>
    <x v="0"/>
    <x v="1"/>
    <n v="700"/>
    <s v="USD2022/kW"/>
  </r>
  <r>
    <x v="0"/>
    <x v="5"/>
    <x v="0"/>
    <x v="2"/>
    <n v="700"/>
    <s v="USD2022/kW"/>
  </r>
  <r>
    <x v="0"/>
    <x v="5"/>
    <x v="0"/>
    <x v="3"/>
    <n v="25"/>
    <s v="USD2022/kW-yr"/>
  </r>
  <r>
    <x v="0"/>
    <x v="5"/>
    <x v="0"/>
    <x v="4"/>
    <n v="0.56000000000000005"/>
    <s v="fraction_LHV"/>
  </r>
  <r>
    <x v="0"/>
    <x v="5"/>
    <x v="0"/>
    <x v="5"/>
    <n v="0.60299999999999998"/>
    <s v="USD2022/GJ"/>
  </r>
  <r>
    <x v="0"/>
    <x v="5"/>
    <x v="1"/>
    <x v="0"/>
    <n v="700"/>
    <s v="USD2022/kW"/>
  </r>
  <r>
    <x v="0"/>
    <x v="5"/>
    <x v="1"/>
    <x v="1"/>
    <n v="711.1"/>
    <s v="USD2022/kW"/>
  </r>
  <r>
    <x v="0"/>
    <x v="5"/>
    <x v="1"/>
    <x v="2"/>
    <n v="688.9"/>
    <s v="USD2022/kW"/>
  </r>
  <r>
    <x v="0"/>
    <x v="5"/>
    <x v="1"/>
    <x v="3"/>
    <n v="25"/>
    <s v="USD2022/kW-yr"/>
  </r>
  <r>
    <x v="0"/>
    <x v="5"/>
    <x v="1"/>
    <x v="4"/>
    <n v="0.56999999999999995"/>
    <s v="fraction_LHV"/>
  </r>
  <r>
    <x v="0"/>
    <x v="5"/>
    <x v="1"/>
    <x v="5"/>
    <n v="0.56699999999999995"/>
    <s v="USD2022/GJ"/>
  </r>
  <r>
    <x v="0"/>
    <x v="5"/>
    <x v="2"/>
    <x v="0"/>
    <n v="700"/>
    <s v="USD2022/kW"/>
  </r>
  <r>
    <x v="0"/>
    <x v="5"/>
    <x v="2"/>
    <x v="1"/>
    <n v="729.3"/>
    <s v="USD2022/kW"/>
  </r>
  <r>
    <x v="0"/>
    <x v="5"/>
    <x v="2"/>
    <x v="2"/>
    <n v="670.7"/>
    <s v="USD2022/kW"/>
  </r>
  <r>
    <x v="0"/>
    <x v="5"/>
    <x v="2"/>
    <x v="3"/>
    <n v="25"/>
    <s v="USD2022/kW-yr"/>
  </r>
  <r>
    <x v="0"/>
    <x v="5"/>
    <x v="2"/>
    <x v="4"/>
    <n v="0.57999999999999996"/>
    <s v="fraction_LHV"/>
  </r>
  <r>
    <x v="0"/>
    <x v="5"/>
    <x v="2"/>
    <x v="5"/>
    <n v="0.497"/>
    <s v="USD2022/GJ"/>
  </r>
  <r>
    <x v="0"/>
    <x v="6"/>
    <x v="0"/>
    <x v="0"/>
    <n v="800"/>
    <s v="USD2022/kW"/>
  </r>
  <r>
    <x v="0"/>
    <x v="6"/>
    <x v="0"/>
    <x v="1"/>
    <n v="800"/>
    <s v="USD2022/kW"/>
  </r>
  <r>
    <x v="0"/>
    <x v="6"/>
    <x v="0"/>
    <x v="2"/>
    <n v="800"/>
    <s v="USD2022/kW"/>
  </r>
  <r>
    <x v="0"/>
    <x v="6"/>
    <x v="0"/>
    <x v="3"/>
    <n v="30"/>
    <s v="USD2022/kW-yr"/>
  </r>
  <r>
    <x v="0"/>
    <x v="6"/>
    <x v="0"/>
    <x v="4"/>
    <n v="0.56999999999999995"/>
    <s v="fraction_LHV"/>
  </r>
  <r>
    <x v="0"/>
    <x v="6"/>
    <x v="0"/>
    <x v="5"/>
    <n v="0.60299999999999998"/>
    <s v="USD2022/GJ"/>
  </r>
  <r>
    <x v="0"/>
    <x v="6"/>
    <x v="1"/>
    <x v="0"/>
    <n v="800"/>
    <s v="USD2022/kW"/>
  </r>
  <r>
    <x v="0"/>
    <x v="6"/>
    <x v="1"/>
    <x v="1"/>
    <n v="812.6"/>
    <s v="USD2022/kW"/>
  </r>
  <r>
    <x v="0"/>
    <x v="6"/>
    <x v="1"/>
    <x v="2"/>
    <n v="787.4"/>
    <s v="USD2022/kW"/>
  </r>
  <r>
    <x v="0"/>
    <x v="6"/>
    <x v="1"/>
    <x v="3"/>
    <n v="30"/>
    <s v="USD2022/kW-yr"/>
  </r>
  <r>
    <x v="0"/>
    <x v="6"/>
    <x v="1"/>
    <x v="4"/>
    <n v="0.57999999999999996"/>
    <s v="fraction_LHV"/>
  </r>
  <r>
    <x v="0"/>
    <x v="6"/>
    <x v="1"/>
    <x v="5"/>
    <n v="0.56699999999999995"/>
    <s v="USD2022/GJ"/>
  </r>
  <r>
    <x v="0"/>
    <x v="6"/>
    <x v="2"/>
    <x v="0"/>
    <n v="800"/>
    <s v="USD2022/kW"/>
  </r>
  <r>
    <x v="0"/>
    <x v="6"/>
    <x v="2"/>
    <x v="1"/>
    <n v="833.5"/>
    <s v="USD2022/kW"/>
  </r>
  <r>
    <x v="0"/>
    <x v="6"/>
    <x v="2"/>
    <x v="2"/>
    <n v="766.6"/>
    <s v="USD2022/kW"/>
  </r>
  <r>
    <x v="0"/>
    <x v="6"/>
    <x v="2"/>
    <x v="3"/>
    <n v="30"/>
    <s v="USD2022/kW-yr"/>
  </r>
  <r>
    <x v="0"/>
    <x v="6"/>
    <x v="2"/>
    <x v="4"/>
    <n v="0.57999999999999996"/>
    <s v="fraction_LHV"/>
  </r>
  <r>
    <x v="0"/>
    <x v="6"/>
    <x v="2"/>
    <x v="5"/>
    <n v="0.497"/>
    <s v="USD2022/GJ"/>
  </r>
  <r>
    <x v="0"/>
    <x v="7"/>
    <x v="0"/>
    <x v="0"/>
    <n v="700"/>
    <s v="USD2022/kW"/>
  </r>
  <r>
    <x v="0"/>
    <x v="7"/>
    <x v="0"/>
    <x v="1"/>
    <n v="700"/>
    <s v="USD2022/kW"/>
  </r>
  <r>
    <x v="0"/>
    <x v="7"/>
    <x v="0"/>
    <x v="2"/>
    <n v="700"/>
    <s v="USD2022/kW"/>
  </r>
  <r>
    <x v="0"/>
    <x v="7"/>
    <x v="0"/>
    <x v="3"/>
    <n v="25"/>
    <s v="USD2022/kW-yr"/>
  </r>
  <r>
    <x v="0"/>
    <x v="7"/>
    <x v="0"/>
    <x v="4"/>
    <n v="0.57999999999999996"/>
    <s v="fraction_LHV"/>
  </r>
  <r>
    <x v="0"/>
    <x v="7"/>
    <x v="0"/>
    <x v="5"/>
    <n v="0.60299999999999998"/>
    <s v="USD2022/GJ"/>
  </r>
  <r>
    <x v="0"/>
    <x v="7"/>
    <x v="1"/>
    <x v="0"/>
    <n v="700"/>
    <s v="USD2022/kW"/>
  </r>
  <r>
    <x v="0"/>
    <x v="7"/>
    <x v="1"/>
    <x v="1"/>
    <n v="711.1"/>
    <s v="USD2022/kW"/>
  </r>
  <r>
    <x v="0"/>
    <x v="7"/>
    <x v="1"/>
    <x v="2"/>
    <n v="688.9"/>
    <s v="USD2022/kW"/>
  </r>
  <r>
    <x v="0"/>
    <x v="7"/>
    <x v="1"/>
    <x v="3"/>
    <n v="25"/>
    <s v="USD2022/kW-yr"/>
  </r>
  <r>
    <x v="0"/>
    <x v="7"/>
    <x v="1"/>
    <x v="4"/>
    <n v="0.59"/>
    <s v="fraction_LHV"/>
  </r>
  <r>
    <x v="0"/>
    <x v="7"/>
    <x v="1"/>
    <x v="5"/>
    <n v="0.56699999999999995"/>
    <s v="USD2022/GJ"/>
  </r>
  <r>
    <x v="0"/>
    <x v="7"/>
    <x v="2"/>
    <x v="0"/>
    <n v="700"/>
    <s v="USD2022/kW"/>
  </r>
  <r>
    <x v="0"/>
    <x v="7"/>
    <x v="2"/>
    <x v="1"/>
    <n v="729.3"/>
    <s v="USD2022/kW"/>
  </r>
  <r>
    <x v="0"/>
    <x v="7"/>
    <x v="2"/>
    <x v="2"/>
    <n v="670.7"/>
    <s v="USD2022/kW"/>
  </r>
  <r>
    <x v="0"/>
    <x v="7"/>
    <x v="2"/>
    <x v="3"/>
    <n v="25"/>
    <s v="USD2022/kW-yr"/>
  </r>
  <r>
    <x v="0"/>
    <x v="7"/>
    <x v="2"/>
    <x v="4"/>
    <n v="0.59"/>
    <s v="fraction_LHV"/>
  </r>
  <r>
    <x v="0"/>
    <x v="7"/>
    <x v="2"/>
    <x v="5"/>
    <n v="0.497"/>
    <s v="USD2022/GJ"/>
  </r>
  <r>
    <x v="0"/>
    <x v="8"/>
    <x v="0"/>
    <x v="0"/>
    <n v="700"/>
    <s v="USD2022/kW"/>
  </r>
  <r>
    <x v="0"/>
    <x v="8"/>
    <x v="0"/>
    <x v="1"/>
    <n v="700"/>
    <s v="USD2022/kW"/>
  </r>
  <r>
    <x v="0"/>
    <x v="8"/>
    <x v="0"/>
    <x v="2"/>
    <n v="700"/>
    <s v="USD2022/kW"/>
  </r>
  <r>
    <x v="0"/>
    <x v="8"/>
    <x v="0"/>
    <x v="3"/>
    <n v="25"/>
    <s v="USD2022/kW-yr"/>
  </r>
  <r>
    <x v="0"/>
    <x v="8"/>
    <x v="0"/>
    <x v="4"/>
    <n v="0.57999999999999996"/>
    <s v="fraction_LHV"/>
  </r>
  <r>
    <x v="0"/>
    <x v="8"/>
    <x v="0"/>
    <x v="5"/>
    <n v="0.60299999999999998"/>
    <s v="USD2022/GJ"/>
  </r>
  <r>
    <x v="0"/>
    <x v="8"/>
    <x v="1"/>
    <x v="0"/>
    <n v="700"/>
    <s v="USD2022/kW"/>
  </r>
  <r>
    <x v="0"/>
    <x v="8"/>
    <x v="1"/>
    <x v="1"/>
    <n v="711.1"/>
    <s v="USD2022/kW"/>
  </r>
  <r>
    <x v="0"/>
    <x v="8"/>
    <x v="1"/>
    <x v="2"/>
    <n v="688.9"/>
    <s v="USD2022/kW"/>
  </r>
  <r>
    <x v="0"/>
    <x v="8"/>
    <x v="1"/>
    <x v="3"/>
    <n v="25"/>
    <s v="USD2022/kW-yr"/>
  </r>
  <r>
    <x v="0"/>
    <x v="8"/>
    <x v="1"/>
    <x v="4"/>
    <n v="0.59"/>
    <s v="fraction_LHV"/>
  </r>
  <r>
    <x v="0"/>
    <x v="8"/>
    <x v="1"/>
    <x v="5"/>
    <n v="0.56699999999999995"/>
    <s v="USD2022/GJ"/>
  </r>
  <r>
    <x v="0"/>
    <x v="8"/>
    <x v="2"/>
    <x v="0"/>
    <n v="700"/>
    <s v="USD2022/kW"/>
  </r>
  <r>
    <x v="0"/>
    <x v="8"/>
    <x v="2"/>
    <x v="1"/>
    <n v="729.3"/>
    <s v="USD2022/kW"/>
  </r>
  <r>
    <x v="0"/>
    <x v="8"/>
    <x v="2"/>
    <x v="2"/>
    <n v="670.7"/>
    <s v="USD2022/kW"/>
  </r>
  <r>
    <x v="0"/>
    <x v="8"/>
    <x v="2"/>
    <x v="3"/>
    <n v="25"/>
    <s v="USD2022/kW-yr"/>
  </r>
  <r>
    <x v="0"/>
    <x v="8"/>
    <x v="2"/>
    <x v="4"/>
    <n v="0.59"/>
    <s v="fraction_LHV"/>
  </r>
  <r>
    <x v="0"/>
    <x v="8"/>
    <x v="2"/>
    <x v="5"/>
    <n v="0.497"/>
    <s v="USD2022/GJ"/>
  </r>
  <r>
    <x v="1"/>
    <x v="0"/>
    <x v="0"/>
    <x v="0"/>
    <n v="500"/>
    <s v="USD2022/kW"/>
  </r>
  <r>
    <x v="1"/>
    <x v="0"/>
    <x v="0"/>
    <x v="1"/>
    <n v="500"/>
    <s v="USD2022/kW"/>
  </r>
  <r>
    <x v="1"/>
    <x v="0"/>
    <x v="0"/>
    <x v="2"/>
    <n v="500"/>
    <s v="USD2022/kW"/>
  </r>
  <r>
    <x v="1"/>
    <x v="0"/>
    <x v="0"/>
    <x v="3"/>
    <n v="20"/>
    <s v="USD2022/kW-yr"/>
  </r>
  <r>
    <x v="1"/>
    <x v="0"/>
    <x v="0"/>
    <x v="4"/>
    <n v="0.4"/>
    <s v="fraction_LHV"/>
  </r>
  <r>
    <x v="1"/>
    <x v="0"/>
    <x v="0"/>
    <x v="5"/>
    <n v="1.9279999999999999"/>
    <s v="USD2022/GJ"/>
  </r>
  <r>
    <x v="1"/>
    <x v="0"/>
    <x v="1"/>
    <x v="0"/>
    <n v="500"/>
    <s v="USD2022/kW"/>
  </r>
  <r>
    <x v="1"/>
    <x v="0"/>
    <x v="1"/>
    <x v="1"/>
    <n v="500"/>
    <s v="USD2022/kW"/>
  </r>
  <r>
    <x v="1"/>
    <x v="0"/>
    <x v="1"/>
    <x v="2"/>
    <n v="500"/>
    <s v="USD2022/kW"/>
  </r>
  <r>
    <x v="1"/>
    <x v="0"/>
    <x v="1"/>
    <x v="3"/>
    <n v="20"/>
    <s v="USD2022/kW-yr"/>
  </r>
  <r>
    <x v="1"/>
    <x v="0"/>
    <x v="1"/>
    <x v="4"/>
    <n v="0.41"/>
    <s v="fraction_LHV"/>
  </r>
  <r>
    <x v="1"/>
    <x v="0"/>
    <x v="1"/>
    <x v="5"/>
    <n v="1.9279999999999999"/>
    <s v="USD2022/GJ"/>
  </r>
  <r>
    <x v="1"/>
    <x v="0"/>
    <x v="2"/>
    <x v="0"/>
    <n v="500"/>
    <s v="USD2022/kW"/>
  </r>
  <r>
    <x v="1"/>
    <x v="0"/>
    <x v="2"/>
    <x v="1"/>
    <n v="500"/>
    <s v="USD2022/kW"/>
  </r>
  <r>
    <x v="1"/>
    <x v="0"/>
    <x v="2"/>
    <x v="2"/>
    <n v="500"/>
    <s v="USD2022/kW"/>
  </r>
  <r>
    <x v="1"/>
    <x v="0"/>
    <x v="2"/>
    <x v="3"/>
    <n v="20"/>
    <s v="USD2022/kW-yr"/>
  </r>
  <r>
    <x v="1"/>
    <x v="0"/>
    <x v="2"/>
    <x v="4"/>
    <n v="0.42"/>
    <s v="fraction_LHV"/>
  </r>
  <r>
    <x v="1"/>
    <x v="0"/>
    <x v="2"/>
    <x v="5"/>
    <n v="1.9279999999999999"/>
    <s v="USD2022/GJ"/>
  </r>
  <r>
    <x v="1"/>
    <x v="1"/>
    <x v="0"/>
    <x v="0"/>
    <n v="500"/>
    <s v="USD2022/kW"/>
  </r>
  <r>
    <x v="1"/>
    <x v="1"/>
    <x v="0"/>
    <x v="1"/>
    <n v="500"/>
    <s v="USD2022/kW"/>
  </r>
  <r>
    <x v="1"/>
    <x v="1"/>
    <x v="0"/>
    <x v="2"/>
    <n v="500"/>
    <s v="USD2022/kW"/>
  </r>
  <r>
    <x v="1"/>
    <x v="1"/>
    <x v="0"/>
    <x v="3"/>
    <n v="20"/>
    <s v="USD2022/kW-yr"/>
  </r>
  <r>
    <x v="1"/>
    <x v="1"/>
    <x v="0"/>
    <x v="4"/>
    <n v="0.4"/>
    <s v="fraction_LHV"/>
  </r>
  <r>
    <x v="1"/>
    <x v="1"/>
    <x v="0"/>
    <x v="5"/>
    <n v="1.9279999999999999"/>
    <s v="USD2022/GJ"/>
  </r>
  <r>
    <x v="1"/>
    <x v="1"/>
    <x v="1"/>
    <x v="0"/>
    <n v="500"/>
    <s v="USD2022/kW"/>
  </r>
  <r>
    <x v="1"/>
    <x v="1"/>
    <x v="1"/>
    <x v="1"/>
    <n v="500"/>
    <s v="USD2022/kW"/>
  </r>
  <r>
    <x v="1"/>
    <x v="1"/>
    <x v="1"/>
    <x v="2"/>
    <n v="500"/>
    <s v="USD2022/kW"/>
  </r>
  <r>
    <x v="1"/>
    <x v="1"/>
    <x v="1"/>
    <x v="3"/>
    <n v="20"/>
    <s v="USD2022/kW-yr"/>
  </r>
  <r>
    <x v="1"/>
    <x v="1"/>
    <x v="1"/>
    <x v="4"/>
    <n v="0.41"/>
    <s v="fraction_LHV"/>
  </r>
  <r>
    <x v="1"/>
    <x v="1"/>
    <x v="1"/>
    <x v="5"/>
    <n v="1.9279999999999999"/>
    <s v="USD2022/GJ"/>
  </r>
  <r>
    <x v="1"/>
    <x v="1"/>
    <x v="2"/>
    <x v="0"/>
    <n v="500"/>
    <s v="USD2022/kW"/>
  </r>
  <r>
    <x v="1"/>
    <x v="1"/>
    <x v="2"/>
    <x v="1"/>
    <n v="500"/>
    <s v="USD2022/kW"/>
  </r>
  <r>
    <x v="1"/>
    <x v="1"/>
    <x v="2"/>
    <x v="2"/>
    <n v="500"/>
    <s v="USD2022/kW"/>
  </r>
  <r>
    <x v="1"/>
    <x v="1"/>
    <x v="2"/>
    <x v="3"/>
    <n v="20"/>
    <s v="USD2022/kW-yr"/>
  </r>
  <r>
    <x v="1"/>
    <x v="1"/>
    <x v="2"/>
    <x v="4"/>
    <n v="0.42"/>
    <s v="fraction_LHV"/>
  </r>
  <r>
    <x v="1"/>
    <x v="1"/>
    <x v="2"/>
    <x v="5"/>
    <n v="1.9279999999999999"/>
    <s v="USD2022/GJ"/>
  </r>
  <r>
    <x v="1"/>
    <x v="2"/>
    <x v="0"/>
    <x v="0"/>
    <n v="500"/>
    <s v="USD2022/kW"/>
  </r>
  <r>
    <x v="1"/>
    <x v="2"/>
    <x v="0"/>
    <x v="1"/>
    <n v="500"/>
    <s v="USD2022/kW"/>
  </r>
  <r>
    <x v="1"/>
    <x v="2"/>
    <x v="0"/>
    <x v="2"/>
    <n v="500"/>
    <s v="USD2022/kW"/>
  </r>
  <r>
    <x v="1"/>
    <x v="2"/>
    <x v="0"/>
    <x v="3"/>
    <n v="20"/>
    <s v="USD2022/kW-yr"/>
  </r>
  <r>
    <x v="1"/>
    <x v="2"/>
    <x v="0"/>
    <x v="4"/>
    <n v="0.4"/>
    <s v="fraction_LHV"/>
  </r>
  <r>
    <x v="1"/>
    <x v="2"/>
    <x v="0"/>
    <x v="5"/>
    <n v="1.9279999999999999"/>
    <s v="USD2022/GJ"/>
  </r>
  <r>
    <x v="1"/>
    <x v="2"/>
    <x v="1"/>
    <x v="0"/>
    <n v="500"/>
    <s v="USD2022/kW"/>
  </r>
  <r>
    <x v="1"/>
    <x v="2"/>
    <x v="1"/>
    <x v="1"/>
    <n v="500"/>
    <s v="USD2022/kW"/>
  </r>
  <r>
    <x v="1"/>
    <x v="2"/>
    <x v="1"/>
    <x v="2"/>
    <n v="500"/>
    <s v="USD2022/kW"/>
  </r>
  <r>
    <x v="1"/>
    <x v="2"/>
    <x v="1"/>
    <x v="3"/>
    <n v="20"/>
    <s v="USD2022/kW-yr"/>
  </r>
  <r>
    <x v="1"/>
    <x v="2"/>
    <x v="1"/>
    <x v="4"/>
    <n v="0.41"/>
    <s v="fraction_LHV"/>
  </r>
  <r>
    <x v="1"/>
    <x v="2"/>
    <x v="1"/>
    <x v="5"/>
    <n v="1.9279999999999999"/>
    <s v="USD2022/GJ"/>
  </r>
  <r>
    <x v="1"/>
    <x v="2"/>
    <x v="2"/>
    <x v="0"/>
    <n v="500"/>
    <s v="USD2022/kW"/>
  </r>
  <r>
    <x v="1"/>
    <x v="2"/>
    <x v="2"/>
    <x v="1"/>
    <n v="500"/>
    <s v="USD2022/kW"/>
  </r>
  <r>
    <x v="1"/>
    <x v="2"/>
    <x v="2"/>
    <x v="2"/>
    <n v="500"/>
    <s v="USD2022/kW"/>
  </r>
  <r>
    <x v="1"/>
    <x v="2"/>
    <x v="2"/>
    <x v="3"/>
    <n v="20"/>
    <s v="USD2022/kW-yr"/>
  </r>
  <r>
    <x v="1"/>
    <x v="2"/>
    <x v="2"/>
    <x v="4"/>
    <n v="0.42"/>
    <s v="fraction_LHV"/>
  </r>
  <r>
    <x v="1"/>
    <x v="2"/>
    <x v="2"/>
    <x v="5"/>
    <n v="1.9279999999999999"/>
    <s v="USD2022/GJ"/>
  </r>
  <r>
    <x v="1"/>
    <x v="3"/>
    <x v="0"/>
    <x v="0"/>
    <n v="450"/>
    <s v="USD2022/kW"/>
  </r>
  <r>
    <x v="1"/>
    <x v="3"/>
    <x v="0"/>
    <x v="1"/>
    <n v="450"/>
    <s v="USD2022/kW"/>
  </r>
  <r>
    <x v="1"/>
    <x v="3"/>
    <x v="0"/>
    <x v="2"/>
    <n v="450"/>
    <s v="USD2022/kW"/>
  </r>
  <r>
    <x v="1"/>
    <x v="3"/>
    <x v="0"/>
    <x v="3"/>
    <n v="25"/>
    <s v="USD2022/kW-yr"/>
  </r>
  <r>
    <x v="1"/>
    <x v="3"/>
    <x v="0"/>
    <x v="4"/>
    <n v="0.38"/>
    <s v="fraction_LHV"/>
  </r>
  <r>
    <x v="1"/>
    <x v="3"/>
    <x v="0"/>
    <x v="5"/>
    <n v="1.9279999999999999"/>
    <s v="USD2022/GJ"/>
  </r>
  <r>
    <x v="1"/>
    <x v="3"/>
    <x v="1"/>
    <x v="0"/>
    <n v="450"/>
    <s v="USD2022/kW"/>
  </r>
  <r>
    <x v="1"/>
    <x v="3"/>
    <x v="1"/>
    <x v="1"/>
    <n v="450"/>
    <s v="USD2022/kW"/>
  </r>
  <r>
    <x v="1"/>
    <x v="3"/>
    <x v="1"/>
    <x v="2"/>
    <n v="450"/>
    <s v="USD2022/kW"/>
  </r>
  <r>
    <x v="1"/>
    <x v="3"/>
    <x v="1"/>
    <x v="3"/>
    <n v="25"/>
    <s v="USD2022/kW-yr"/>
  </r>
  <r>
    <x v="1"/>
    <x v="3"/>
    <x v="1"/>
    <x v="4"/>
    <n v="0.39"/>
    <s v="fraction_LHV"/>
  </r>
  <r>
    <x v="1"/>
    <x v="3"/>
    <x v="1"/>
    <x v="5"/>
    <n v="1.9279999999999999"/>
    <s v="USD2022/GJ"/>
  </r>
  <r>
    <x v="1"/>
    <x v="3"/>
    <x v="2"/>
    <x v="0"/>
    <n v="450"/>
    <s v="USD2022/kW"/>
  </r>
  <r>
    <x v="1"/>
    <x v="3"/>
    <x v="2"/>
    <x v="1"/>
    <n v="450"/>
    <s v="USD2022/kW"/>
  </r>
  <r>
    <x v="1"/>
    <x v="3"/>
    <x v="2"/>
    <x v="2"/>
    <n v="450"/>
    <s v="USD2022/kW"/>
  </r>
  <r>
    <x v="1"/>
    <x v="3"/>
    <x v="2"/>
    <x v="3"/>
    <n v="25"/>
    <s v="USD2022/kW-yr"/>
  </r>
  <r>
    <x v="1"/>
    <x v="3"/>
    <x v="2"/>
    <x v="4"/>
    <n v="0.41"/>
    <s v="fraction_LHV"/>
  </r>
  <r>
    <x v="1"/>
    <x v="3"/>
    <x v="2"/>
    <x v="5"/>
    <n v="1.9279999999999999"/>
    <s v="USD2022/GJ"/>
  </r>
  <r>
    <x v="1"/>
    <x v="4"/>
    <x v="0"/>
    <x v="0"/>
    <n v="350"/>
    <s v="USD2022/kW"/>
  </r>
  <r>
    <x v="1"/>
    <x v="4"/>
    <x v="0"/>
    <x v="1"/>
    <n v="350"/>
    <s v="USD2022/kW"/>
  </r>
  <r>
    <x v="1"/>
    <x v="4"/>
    <x v="0"/>
    <x v="2"/>
    <n v="350"/>
    <s v="USD2022/kW"/>
  </r>
  <r>
    <x v="1"/>
    <x v="4"/>
    <x v="0"/>
    <x v="3"/>
    <n v="20"/>
    <s v="USD2022/kW-yr"/>
  </r>
  <r>
    <x v="1"/>
    <x v="4"/>
    <x v="0"/>
    <x v="4"/>
    <n v="0.38"/>
    <s v="fraction_LHV"/>
  </r>
  <r>
    <x v="1"/>
    <x v="4"/>
    <x v="0"/>
    <x v="5"/>
    <n v="1.9279999999999999"/>
    <s v="USD2022/GJ"/>
  </r>
  <r>
    <x v="1"/>
    <x v="4"/>
    <x v="1"/>
    <x v="0"/>
    <n v="350"/>
    <s v="USD2022/kW"/>
  </r>
  <r>
    <x v="1"/>
    <x v="4"/>
    <x v="1"/>
    <x v="1"/>
    <n v="350"/>
    <s v="USD2022/kW"/>
  </r>
  <r>
    <x v="1"/>
    <x v="4"/>
    <x v="1"/>
    <x v="2"/>
    <n v="350"/>
    <s v="USD2022/kW"/>
  </r>
  <r>
    <x v="1"/>
    <x v="4"/>
    <x v="1"/>
    <x v="3"/>
    <n v="20"/>
    <s v="USD2022/kW-yr"/>
  </r>
  <r>
    <x v="1"/>
    <x v="4"/>
    <x v="1"/>
    <x v="4"/>
    <n v="0.39"/>
    <s v="fraction_LHV"/>
  </r>
  <r>
    <x v="1"/>
    <x v="4"/>
    <x v="1"/>
    <x v="5"/>
    <n v="1.9279999999999999"/>
    <s v="USD2022/GJ"/>
  </r>
  <r>
    <x v="1"/>
    <x v="4"/>
    <x v="2"/>
    <x v="0"/>
    <n v="350"/>
    <s v="USD2022/kW"/>
  </r>
  <r>
    <x v="1"/>
    <x v="4"/>
    <x v="2"/>
    <x v="1"/>
    <n v="350"/>
    <s v="USD2022/kW"/>
  </r>
  <r>
    <x v="1"/>
    <x v="4"/>
    <x v="2"/>
    <x v="2"/>
    <n v="350"/>
    <s v="USD2022/kW"/>
  </r>
  <r>
    <x v="1"/>
    <x v="4"/>
    <x v="2"/>
    <x v="3"/>
    <n v="20"/>
    <s v="USD2022/kW-yr"/>
  </r>
  <r>
    <x v="1"/>
    <x v="4"/>
    <x v="2"/>
    <x v="4"/>
    <n v="0.41"/>
    <s v="fraction_LHV"/>
  </r>
  <r>
    <x v="1"/>
    <x v="4"/>
    <x v="2"/>
    <x v="5"/>
    <n v="1.9279999999999999"/>
    <s v="USD2022/GJ"/>
  </r>
  <r>
    <x v="1"/>
    <x v="5"/>
    <x v="0"/>
    <x v="0"/>
    <n v="400"/>
    <s v="USD2022/kW"/>
  </r>
  <r>
    <x v="1"/>
    <x v="5"/>
    <x v="0"/>
    <x v="1"/>
    <n v="400"/>
    <s v="USD2022/kW"/>
  </r>
  <r>
    <x v="1"/>
    <x v="5"/>
    <x v="0"/>
    <x v="2"/>
    <n v="400"/>
    <s v="USD2022/kW"/>
  </r>
  <r>
    <x v="1"/>
    <x v="5"/>
    <x v="0"/>
    <x v="3"/>
    <n v="20"/>
    <s v="USD2022/kW-yr"/>
  </r>
  <r>
    <x v="1"/>
    <x v="5"/>
    <x v="0"/>
    <x v="4"/>
    <n v="0.38"/>
    <s v="fraction_LHV"/>
  </r>
  <r>
    <x v="1"/>
    <x v="5"/>
    <x v="0"/>
    <x v="5"/>
    <n v="1.9279999999999999"/>
    <s v="USD2022/GJ"/>
  </r>
  <r>
    <x v="1"/>
    <x v="5"/>
    <x v="1"/>
    <x v="0"/>
    <n v="400"/>
    <s v="USD2022/kW"/>
  </r>
  <r>
    <x v="1"/>
    <x v="5"/>
    <x v="1"/>
    <x v="1"/>
    <n v="400"/>
    <s v="USD2022/kW"/>
  </r>
  <r>
    <x v="1"/>
    <x v="5"/>
    <x v="1"/>
    <x v="2"/>
    <n v="400"/>
    <s v="USD2022/kW"/>
  </r>
  <r>
    <x v="1"/>
    <x v="5"/>
    <x v="1"/>
    <x v="3"/>
    <n v="20"/>
    <s v="USD2022/kW-yr"/>
  </r>
  <r>
    <x v="1"/>
    <x v="5"/>
    <x v="1"/>
    <x v="4"/>
    <n v="0.39"/>
    <s v="fraction_LHV"/>
  </r>
  <r>
    <x v="1"/>
    <x v="5"/>
    <x v="1"/>
    <x v="5"/>
    <n v="1.9279999999999999"/>
    <s v="USD2022/GJ"/>
  </r>
  <r>
    <x v="1"/>
    <x v="5"/>
    <x v="2"/>
    <x v="0"/>
    <n v="400"/>
    <s v="USD2022/kW"/>
  </r>
  <r>
    <x v="1"/>
    <x v="5"/>
    <x v="2"/>
    <x v="1"/>
    <n v="400"/>
    <s v="USD2022/kW"/>
  </r>
  <r>
    <x v="1"/>
    <x v="5"/>
    <x v="2"/>
    <x v="2"/>
    <n v="400"/>
    <s v="USD2022/kW"/>
  </r>
  <r>
    <x v="1"/>
    <x v="5"/>
    <x v="2"/>
    <x v="3"/>
    <n v="20"/>
    <s v="USD2022/kW-yr"/>
  </r>
  <r>
    <x v="1"/>
    <x v="5"/>
    <x v="2"/>
    <x v="4"/>
    <n v="0.41"/>
    <s v="fraction_LHV"/>
  </r>
  <r>
    <x v="1"/>
    <x v="5"/>
    <x v="2"/>
    <x v="5"/>
    <n v="1.9279999999999999"/>
    <s v="USD2022/GJ"/>
  </r>
  <r>
    <x v="1"/>
    <x v="6"/>
    <x v="0"/>
    <x v="0"/>
    <n v="450"/>
    <s v="USD2022/kW"/>
  </r>
  <r>
    <x v="1"/>
    <x v="6"/>
    <x v="0"/>
    <x v="1"/>
    <n v="450"/>
    <s v="USD2022/kW"/>
  </r>
  <r>
    <x v="1"/>
    <x v="6"/>
    <x v="0"/>
    <x v="2"/>
    <n v="450"/>
    <s v="USD2022/kW"/>
  </r>
  <r>
    <x v="1"/>
    <x v="6"/>
    <x v="0"/>
    <x v="3"/>
    <n v="25"/>
    <s v="USD2022/kW-yr"/>
  </r>
  <r>
    <x v="1"/>
    <x v="6"/>
    <x v="0"/>
    <x v="4"/>
    <n v="0.38"/>
    <s v="fraction_LHV"/>
  </r>
  <r>
    <x v="1"/>
    <x v="6"/>
    <x v="0"/>
    <x v="5"/>
    <n v="1.9279999999999999"/>
    <s v="USD2022/GJ"/>
  </r>
  <r>
    <x v="1"/>
    <x v="6"/>
    <x v="1"/>
    <x v="0"/>
    <n v="450"/>
    <s v="USD2022/kW"/>
  </r>
  <r>
    <x v="1"/>
    <x v="6"/>
    <x v="1"/>
    <x v="1"/>
    <n v="450"/>
    <s v="USD2022/kW"/>
  </r>
  <r>
    <x v="1"/>
    <x v="6"/>
    <x v="1"/>
    <x v="2"/>
    <n v="450"/>
    <s v="USD2022/kW"/>
  </r>
  <r>
    <x v="1"/>
    <x v="6"/>
    <x v="1"/>
    <x v="3"/>
    <n v="25"/>
    <s v="USD2022/kW-yr"/>
  </r>
  <r>
    <x v="1"/>
    <x v="6"/>
    <x v="1"/>
    <x v="4"/>
    <n v="0.39"/>
    <s v="fraction_LHV"/>
  </r>
  <r>
    <x v="1"/>
    <x v="6"/>
    <x v="1"/>
    <x v="5"/>
    <n v="1.9279999999999999"/>
    <s v="USD2022/GJ"/>
  </r>
  <r>
    <x v="1"/>
    <x v="6"/>
    <x v="2"/>
    <x v="0"/>
    <n v="450"/>
    <s v="USD2022/kW"/>
  </r>
  <r>
    <x v="1"/>
    <x v="6"/>
    <x v="2"/>
    <x v="1"/>
    <n v="450"/>
    <s v="USD2022/kW"/>
  </r>
  <r>
    <x v="1"/>
    <x v="6"/>
    <x v="2"/>
    <x v="2"/>
    <n v="450"/>
    <s v="USD2022/kW"/>
  </r>
  <r>
    <x v="1"/>
    <x v="6"/>
    <x v="2"/>
    <x v="3"/>
    <n v="25"/>
    <s v="USD2022/kW-yr"/>
  </r>
  <r>
    <x v="1"/>
    <x v="6"/>
    <x v="2"/>
    <x v="4"/>
    <n v="0.41"/>
    <s v="fraction_LHV"/>
  </r>
  <r>
    <x v="1"/>
    <x v="6"/>
    <x v="2"/>
    <x v="5"/>
    <n v="1.9279999999999999"/>
    <s v="USD2022/GJ"/>
  </r>
  <r>
    <x v="1"/>
    <x v="7"/>
    <x v="0"/>
    <x v="0"/>
    <n v="400"/>
    <s v="USD2022/kW"/>
  </r>
  <r>
    <x v="1"/>
    <x v="7"/>
    <x v="0"/>
    <x v="1"/>
    <n v="400"/>
    <s v="USD2022/kW"/>
  </r>
  <r>
    <x v="1"/>
    <x v="7"/>
    <x v="0"/>
    <x v="2"/>
    <n v="400"/>
    <s v="USD2022/kW"/>
  </r>
  <r>
    <x v="1"/>
    <x v="7"/>
    <x v="0"/>
    <x v="3"/>
    <n v="20"/>
    <s v="USD2022/kW-yr"/>
  </r>
  <r>
    <x v="1"/>
    <x v="7"/>
    <x v="0"/>
    <x v="4"/>
    <n v="0.38"/>
    <s v="fraction_LHV"/>
  </r>
  <r>
    <x v="1"/>
    <x v="7"/>
    <x v="0"/>
    <x v="5"/>
    <n v="1.9279999999999999"/>
    <s v="USD2022/GJ"/>
  </r>
  <r>
    <x v="1"/>
    <x v="7"/>
    <x v="1"/>
    <x v="0"/>
    <n v="400"/>
    <s v="USD2022/kW"/>
  </r>
  <r>
    <x v="1"/>
    <x v="7"/>
    <x v="1"/>
    <x v="1"/>
    <n v="400"/>
    <s v="USD2022/kW"/>
  </r>
  <r>
    <x v="1"/>
    <x v="7"/>
    <x v="1"/>
    <x v="2"/>
    <n v="400"/>
    <s v="USD2022/kW"/>
  </r>
  <r>
    <x v="1"/>
    <x v="7"/>
    <x v="1"/>
    <x v="3"/>
    <n v="20"/>
    <s v="USD2022/kW-yr"/>
  </r>
  <r>
    <x v="1"/>
    <x v="7"/>
    <x v="1"/>
    <x v="4"/>
    <n v="0.39"/>
    <s v="fraction_LHV"/>
  </r>
  <r>
    <x v="1"/>
    <x v="7"/>
    <x v="1"/>
    <x v="5"/>
    <n v="1.9279999999999999"/>
    <s v="USD2022/GJ"/>
  </r>
  <r>
    <x v="1"/>
    <x v="7"/>
    <x v="2"/>
    <x v="0"/>
    <n v="400"/>
    <s v="USD2022/kW"/>
  </r>
  <r>
    <x v="1"/>
    <x v="7"/>
    <x v="2"/>
    <x v="1"/>
    <n v="400"/>
    <s v="USD2022/kW"/>
  </r>
  <r>
    <x v="1"/>
    <x v="7"/>
    <x v="2"/>
    <x v="2"/>
    <n v="400"/>
    <s v="USD2022/kW"/>
  </r>
  <r>
    <x v="1"/>
    <x v="7"/>
    <x v="2"/>
    <x v="3"/>
    <n v="20"/>
    <s v="USD2022/kW-yr"/>
  </r>
  <r>
    <x v="1"/>
    <x v="7"/>
    <x v="2"/>
    <x v="4"/>
    <n v="0.41"/>
    <s v="fraction_LHV"/>
  </r>
  <r>
    <x v="1"/>
    <x v="7"/>
    <x v="2"/>
    <x v="5"/>
    <n v="1.9279999999999999"/>
    <s v="USD2022/GJ"/>
  </r>
  <r>
    <x v="1"/>
    <x v="8"/>
    <x v="0"/>
    <x v="0"/>
    <n v="400"/>
    <s v="USD2022/kW"/>
  </r>
  <r>
    <x v="1"/>
    <x v="8"/>
    <x v="0"/>
    <x v="1"/>
    <n v="400"/>
    <s v="USD2022/kW"/>
  </r>
  <r>
    <x v="1"/>
    <x v="8"/>
    <x v="0"/>
    <x v="2"/>
    <n v="400"/>
    <s v="USD2022/kW"/>
  </r>
  <r>
    <x v="1"/>
    <x v="8"/>
    <x v="0"/>
    <x v="3"/>
    <n v="20"/>
    <s v="USD2022/kW-yr"/>
  </r>
  <r>
    <x v="1"/>
    <x v="8"/>
    <x v="0"/>
    <x v="4"/>
    <n v="0.38"/>
    <s v="fraction_LHV"/>
  </r>
  <r>
    <x v="1"/>
    <x v="8"/>
    <x v="0"/>
    <x v="5"/>
    <n v="1.9279999999999999"/>
    <s v="USD2022/GJ"/>
  </r>
  <r>
    <x v="1"/>
    <x v="8"/>
    <x v="1"/>
    <x v="0"/>
    <n v="400"/>
    <s v="USD2022/kW"/>
  </r>
  <r>
    <x v="1"/>
    <x v="8"/>
    <x v="1"/>
    <x v="1"/>
    <n v="400"/>
    <s v="USD2022/kW"/>
  </r>
  <r>
    <x v="1"/>
    <x v="8"/>
    <x v="1"/>
    <x v="2"/>
    <n v="400"/>
    <s v="USD2022/kW"/>
  </r>
  <r>
    <x v="1"/>
    <x v="8"/>
    <x v="1"/>
    <x v="3"/>
    <n v="20"/>
    <s v="USD2022/kW-yr"/>
  </r>
  <r>
    <x v="1"/>
    <x v="8"/>
    <x v="1"/>
    <x v="4"/>
    <n v="0.39"/>
    <s v="fraction_LHV"/>
  </r>
  <r>
    <x v="1"/>
    <x v="8"/>
    <x v="1"/>
    <x v="5"/>
    <n v="1.9279999999999999"/>
    <s v="USD2022/GJ"/>
  </r>
  <r>
    <x v="1"/>
    <x v="8"/>
    <x v="2"/>
    <x v="0"/>
    <n v="400"/>
    <s v="USD2022/kW"/>
  </r>
  <r>
    <x v="1"/>
    <x v="8"/>
    <x v="2"/>
    <x v="1"/>
    <n v="400"/>
    <s v="USD2022/kW"/>
  </r>
  <r>
    <x v="1"/>
    <x v="8"/>
    <x v="2"/>
    <x v="2"/>
    <n v="400"/>
    <s v="USD2022/kW"/>
  </r>
  <r>
    <x v="1"/>
    <x v="8"/>
    <x v="2"/>
    <x v="3"/>
    <n v="20"/>
    <s v="USD2022/kW-yr"/>
  </r>
  <r>
    <x v="1"/>
    <x v="8"/>
    <x v="2"/>
    <x v="4"/>
    <n v="0.41"/>
    <s v="fraction_LHV"/>
  </r>
  <r>
    <x v="1"/>
    <x v="8"/>
    <x v="2"/>
    <x v="5"/>
    <n v="1.9279999999999999"/>
    <s v="USD2022/GJ"/>
  </r>
  <r>
    <x v="2"/>
    <x v="0"/>
    <x v="0"/>
    <x v="0"/>
    <n v="1300"/>
    <s v="USD2022/kW"/>
  </r>
  <r>
    <x v="2"/>
    <x v="0"/>
    <x v="0"/>
    <x v="1"/>
    <n v="1300"/>
    <s v="USD2022/kW"/>
  </r>
  <r>
    <x v="2"/>
    <x v="0"/>
    <x v="0"/>
    <x v="2"/>
    <n v="1300"/>
    <s v="USD2022/kW"/>
  </r>
  <r>
    <x v="2"/>
    <x v="0"/>
    <x v="0"/>
    <x v="3"/>
    <n v="40"/>
    <s v="USD2022/kW-yr"/>
  </r>
  <r>
    <x v="2"/>
    <x v="0"/>
    <x v="0"/>
    <x v="4"/>
    <n v="0.53300000000000003"/>
    <s v="fraction_LHV"/>
  </r>
  <r>
    <x v="2"/>
    <x v="0"/>
    <x v="0"/>
    <x v="5"/>
    <n v="0.69399999999999995"/>
    <s v="USD2022/GJ"/>
  </r>
  <r>
    <x v="2"/>
    <x v="0"/>
    <x v="1"/>
    <x v="0"/>
    <n v="1300"/>
    <s v="USD2022/kW"/>
  </r>
  <r>
    <x v="2"/>
    <x v="0"/>
    <x v="1"/>
    <x v="1"/>
    <n v="1300"/>
    <s v="USD2022/kW"/>
  </r>
  <r>
    <x v="2"/>
    <x v="0"/>
    <x v="1"/>
    <x v="2"/>
    <n v="1300"/>
    <s v="USD2022/kW"/>
  </r>
  <r>
    <x v="2"/>
    <x v="0"/>
    <x v="1"/>
    <x v="3"/>
    <n v="40"/>
    <s v="USD2022/kW-yr"/>
  </r>
  <r>
    <x v="2"/>
    <x v="0"/>
    <x v="1"/>
    <x v="4"/>
    <n v="0.54"/>
    <s v="fraction_LHV"/>
  </r>
  <r>
    <x v="2"/>
    <x v="0"/>
    <x v="1"/>
    <x v="5"/>
    <n v="0.69399999999999995"/>
    <s v="USD2022/GJ"/>
  </r>
  <r>
    <x v="2"/>
    <x v="0"/>
    <x v="2"/>
    <x v="0"/>
    <n v="1300"/>
    <s v="USD2022/kW"/>
  </r>
  <r>
    <x v="2"/>
    <x v="0"/>
    <x v="2"/>
    <x v="1"/>
    <n v="1300"/>
    <s v="USD2022/kW"/>
  </r>
  <r>
    <x v="2"/>
    <x v="0"/>
    <x v="2"/>
    <x v="2"/>
    <n v="1300"/>
    <s v="USD2022/kW"/>
  </r>
  <r>
    <x v="2"/>
    <x v="0"/>
    <x v="2"/>
    <x v="3"/>
    <n v="40"/>
    <s v="USD2022/kW-yr"/>
  </r>
  <r>
    <x v="2"/>
    <x v="0"/>
    <x v="2"/>
    <x v="4"/>
    <n v="0.54600000000000004"/>
    <s v="fraction_LHV"/>
  </r>
  <r>
    <x v="2"/>
    <x v="0"/>
    <x v="2"/>
    <x v="5"/>
    <n v="0.69399999999999995"/>
    <s v="USD2022/GJ"/>
  </r>
  <r>
    <x v="2"/>
    <x v="1"/>
    <x v="0"/>
    <x v="0"/>
    <n v="1300"/>
    <s v="USD2022/kW"/>
  </r>
  <r>
    <x v="2"/>
    <x v="1"/>
    <x v="0"/>
    <x v="1"/>
    <n v="1300"/>
    <s v="USD2022/kW"/>
  </r>
  <r>
    <x v="2"/>
    <x v="1"/>
    <x v="0"/>
    <x v="2"/>
    <n v="1300"/>
    <s v="USD2022/kW"/>
  </r>
  <r>
    <x v="2"/>
    <x v="1"/>
    <x v="0"/>
    <x v="3"/>
    <n v="40"/>
    <s v="USD2022/kW-yr"/>
  </r>
  <r>
    <x v="2"/>
    <x v="1"/>
    <x v="0"/>
    <x v="4"/>
    <n v="0.53300000000000003"/>
    <s v="fraction_LHV"/>
  </r>
  <r>
    <x v="2"/>
    <x v="1"/>
    <x v="0"/>
    <x v="5"/>
    <n v="0.69399999999999995"/>
    <s v="USD2022/GJ"/>
  </r>
  <r>
    <x v="2"/>
    <x v="1"/>
    <x v="1"/>
    <x v="0"/>
    <n v="1300"/>
    <s v="USD2022/kW"/>
  </r>
  <r>
    <x v="2"/>
    <x v="1"/>
    <x v="1"/>
    <x v="1"/>
    <n v="1300"/>
    <s v="USD2022/kW"/>
  </r>
  <r>
    <x v="2"/>
    <x v="1"/>
    <x v="1"/>
    <x v="2"/>
    <n v="1300"/>
    <s v="USD2022/kW"/>
  </r>
  <r>
    <x v="2"/>
    <x v="1"/>
    <x v="1"/>
    <x v="3"/>
    <n v="40"/>
    <s v="USD2022/kW-yr"/>
  </r>
  <r>
    <x v="2"/>
    <x v="1"/>
    <x v="1"/>
    <x v="4"/>
    <n v="0.54"/>
    <s v="fraction_LHV"/>
  </r>
  <r>
    <x v="2"/>
    <x v="1"/>
    <x v="1"/>
    <x v="5"/>
    <n v="0.69399999999999995"/>
    <s v="USD2022/GJ"/>
  </r>
  <r>
    <x v="2"/>
    <x v="1"/>
    <x v="2"/>
    <x v="0"/>
    <n v="1300"/>
    <s v="USD2022/kW"/>
  </r>
  <r>
    <x v="2"/>
    <x v="1"/>
    <x v="2"/>
    <x v="1"/>
    <n v="1300"/>
    <s v="USD2022/kW"/>
  </r>
  <r>
    <x v="2"/>
    <x v="1"/>
    <x v="2"/>
    <x v="2"/>
    <n v="1300"/>
    <s v="USD2022/kW"/>
  </r>
  <r>
    <x v="2"/>
    <x v="1"/>
    <x v="2"/>
    <x v="3"/>
    <n v="40"/>
    <s v="USD2022/kW-yr"/>
  </r>
  <r>
    <x v="2"/>
    <x v="1"/>
    <x v="2"/>
    <x v="4"/>
    <n v="0.54600000000000004"/>
    <s v="fraction_LHV"/>
  </r>
  <r>
    <x v="2"/>
    <x v="1"/>
    <x v="2"/>
    <x v="5"/>
    <n v="0.69399999999999995"/>
    <s v="USD2022/GJ"/>
  </r>
  <r>
    <x v="2"/>
    <x v="2"/>
    <x v="0"/>
    <x v="0"/>
    <n v="1440"/>
    <s v="USD2022/kW"/>
  </r>
  <r>
    <x v="2"/>
    <x v="2"/>
    <x v="0"/>
    <x v="1"/>
    <n v="1440"/>
    <s v="USD2022/kW"/>
  </r>
  <r>
    <x v="2"/>
    <x v="2"/>
    <x v="0"/>
    <x v="2"/>
    <n v="1440"/>
    <s v="USD2022/kW"/>
  </r>
  <r>
    <x v="2"/>
    <x v="2"/>
    <x v="0"/>
    <x v="3"/>
    <n v="45"/>
    <s v="USD2022/kW-yr"/>
  </r>
  <r>
    <x v="2"/>
    <x v="2"/>
    <x v="0"/>
    <x v="4"/>
    <n v="0.53300000000000003"/>
    <s v="fraction_LHV"/>
  </r>
  <r>
    <x v="2"/>
    <x v="2"/>
    <x v="0"/>
    <x v="5"/>
    <n v="0.69399999999999995"/>
    <s v="USD2022/GJ"/>
  </r>
  <r>
    <x v="2"/>
    <x v="2"/>
    <x v="1"/>
    <x v="0"/>
    <n v="1440"/>
    <s v="USD2022/kW"/>
  </r>
  <r>
    <x v="2"/>
    <x v="2"/>
    <x v="1"/>
    <x v="1"/>
    <n v="1440"/>
    <s v="USD2022/kW"/>
  </r>
  <r>
    <x v="2"/>
    <x v="2"/>
    <x v="1"/>
    <x v="2"/>
    <n v="1440"/>
    <s v="USD2022/kW"/>
  </r>
  <r>
    <x v="2"/>
    <x v="2"/>
    <x v="1"/>
    <x v="3"/>
    <n v="45"/>
    <s v="USD2022/kW-yr"/>
  </r>
  <r>
    <x v="2"/>
    <x v="2"/>
    <x v="1"/>
    <x v="4"/>
    <n v="0.54"/>
    <s v="fraction_LHV"/>
  </r>
  <r>
    <x v="2"/>
    <x v="2"/>
    <x v="1"/>
    <x v="5"/>
    <n v="0.69399999999999995"/>
    <s v="USD2022/GJ"/>
  </r>
  <r>
    <x v="2"/>
    <x v="2"/>
    <x v="2"/>
    <x v="0"/>
    <n v="1440"/>
    <s v="USD2022/kW"/>
  </r>
  <r>
    <x v="2"/>
    <x v="2"/>
    <x v="2"/>
    <x v="1"/>
    <n v="1440"/>
    <s v="USD2022/kW"/>
  </r>
  <r>
    <x v="2"/>
    <x v="2"/>
    <x v="2"/>
    <x v="2"/>
    <n v="1440"/>
    <s v="USD2022/kW"/>
  </r>
  <r>
    <x v="2"/>
    <x v="2"/>
    <x v="2"/>
    <x v="3"/>
    <n v="45"/>
    <s v="USD2022/kW-yr"/>
  </r>
  <r>
    <x v="2"/>
    <x v="2"/>
    <x v="2"/>
    <x v="4"/>
    <n v="0.54600000000000004"/>
    <s v="fraction_LHV"/>
  </r>
  <r>
    <x v="2"/>
    <x v="2"/>
    <x v="2"/>
    <x v="5"/>
    <n v="0.69399999999999995"/>
    <s v="USD2022/GJ"/>
  </r>
  <r>
    <x v="2"/>
    <x v="3"/>
    <x v="0"/>
    <x v="0"/>
    <n v="1040"/>
    <s v="USD2022/kW"/>
  </r>
  <r>
    <x v="2"/>
    <x v="3"/>
    <x v="0"/>
    <x v="1"/>
    <n v="1040"/>
    <s v="USD2022/kW"/>
  </r>
  <r>
    <x v="2"/>
    <x v="3"/>
    <x v="0"/>
    <x v="2"/>
    <n v="1040"/>
    <s v="USD2022/kW"/>
  </r>
  <r>
    <x v="2"/>
    <x v="3"/>
    <x v="0"/>
    <x v="3"/>
    <n v="40"/>
    <s v="USD2022/kW-yr"/>
  </r>
  <r>
    <x v="2"/>
    <x v="3"/>
    <x v="0"/>
    <x v="4"/>
    <n v="0.52"/>
    <s v="fraction_LHV"/>
  </r>
  <r>
    <x v="2"/>
    <x v="3"/>
    <x v="0"/>
    <x v="5"/>
    <n v="0.69399999999999995"/>
    <s v="USD2022/GJ"/>
  </r>
  <r>
    <x v="2"/>
    <x v="3"/>
    <x v="1"/>
    <x v="0"/>
    <n v="1040"/>
    <s v="USD2022/kW"/>
  </r>
  <r>
    <x v="2"/>
    <x v="3"/>
    <x v="1"/>
    <x v="1"/>
    <n v="1040"/>
    <s v="USD2022/kW"/>
  </r>
  <r>
    <x v="2"/>
    <x v="3"/>
    <x v="1"/>
    <x v="2"/>
    <n v="1040"/>
    <s v="USD2022/kW"/>
  </r>
  <r>
    <x v="2"/>
    <x v="3"/>
    <x v="1"/>
    <x v="3"/>
    <n v="40"/>
    <s v="USD2022/kW-yr"/>
  </r>
  <r>
    <x v="2"/>
    <x v="3"/>
    <x v="1"/>
    <x v="4"/>
    <n v="0.52700000000000002"/>
    <s v="fraction_LHV"/>
  </r>
  <r>
    <x v="2"/>
    <x v="3"/>
    <x v="1"/>
    <x v="5"/>
    <n v="0.69399999999999995"/>
    <s v="USD2022/GJ"/>
  </r>
  <r>
    <x v="2"/>
    <x v="3"/>
    <x v="2"/>
    <x v="0"/>
    <n v="1040"/>
    <s v="USD2022/kW"/>
  </r>
  <r>
    <x v="2"/>
    <x v="3"/>
    <x v="2"/>
    <x v="1"/>
    <n v="1040"/>
    <s v="USD2022/kW"/>
  </r>
  <r>
    <x v="2"/>
    <x v="3"/>
    <x v="2"/>
    <x v="2"/>
    <n v="1040"/>
    <s v="USD2022/kW"/>
  </r>
  <r>
    <x v="2"/>
    <x v="3"/>
    <x v="2"/>
    <x v="3"/>
    <n v="40"/>
    <s v="USD2022/kW-yr"/>
  </r>
  <r>
    <x v="2"/>
    <x v="3"/>
    <x v="2"/>
    <x v="4"/>
    <n v="0.53300000000000003"/>
    <s v="fraction_LHV"/>
  </r>
  <r>
    <x v="2"/>
    <x v="3"/>
    <x v="2"/>
    <x v="5"/>
    <n v="0.69399999999999995"/>
    <s v="USD2022/GJ"/>
  </r>
  <r>
    <x v="2"/>
    <x v="4"/>
    <x v="0"/>
    <x v="0"/>
    <n v="720"/>
    <s v="USD2022/kW"/>
  </r>
  <r>
    <x v="2"/>
    <x v="4"/>
    <x v="0"/>
    <x v="1"/>
    <n v="720"/>
    <s v="USD2022/kW"/>
  </r>
  <r>
    <x v="2"/>
    <x v="4"/>
    <x v="0"/>
    <x v="2"/>
    <n v="720"/>
    <s v="USD2022/kW"/>
  </r>
  <r>
    <x v="2"/>
    <x v="4"/>
    <x v="0"/>
    <x v="3"/>
    <n v="30"/>
    <s v="USD2022/kW-yr"/>
  </r>
  <r>
    <x v="2"/>
    <x v="4"/>
    <x v="0"/>
    <x v="4"/>
    <n v="0.52"/>
    <s v="fraction_LHV"/>
  </r>
  <r>
    <x v="2"/>
    <x v="4"/>
    <x v="0"/>
    <x v="5"/>
    <n v="0.69399999999999995"/>
    <s v="USD2022/GJ"/>
  </r>
  <r>
    <x v="2"/>
    <x v="4"/>
    <x v="1"/>
    <x v="0"/>
    <n v="720"/>
    <s v="USD2022/kW"/>
  </r>
  <r>
    <x v="2"/>
    <x v="4"/>
    <x v="1"/>
    <x v="1"/>
    <n v="720"/>
    <s v="USD2022/kW"/>
  </r>
  <r>
    <x v="2"/>
    <x v="4"/>
    <x v="1"/>
    <x v="2"/>
    <n v="720"/>
    <s v="USD2022/kW"/>
  </r>
  <r>
    <x v="2"/>
    <x v="4"/>
    <x v="1"/>
    <x v="3"/>
    <n v="30"/>
    <s v="USD2022/kW-yr"/>
  </r>
  <r>
    <x v="2"/>
    <x v="4"/>
    <x v="1"/>
    <x v="4"/>
    <n v="0.52700000000000002"/>
    <s v="fraction_LHV"/>
  </r>
  <r>
    <x v="2"/>
    <x v="4"/>
    <x v="1"/>
    <x v="5"/>
    <n v="0.69399999999999995"/>
    <s v="USD2022/GJ"/>
  </r>
  <r>
    <x v="2"/>
    <x v="4"/>
    <x v="2"/>
    <x v="0"/>
    <n v="720"/>
    <s v="USD2022/kW"/>
  </r>
  <r>
    <x v="2"/>
    <x v="4"/>
    <x v="2"/>
    <x v="1"/>
    <n v="720"/>
    <s v="USD2022/kW"/>
  </r>
  <r>
    <x v="2"/>
    <x v="4"/>
    <x v="2"/>
    <x v="2"/>
    <n v="720"/>
    <s v="USD2022/kW"/>
  </r>
  <r>
    <x v="2"/>
    <x v="4"/>
    <x v="2"/>
    <x v="3"/>
    <n v="30"/>
    <s v="USD2022/kW-yr"/>
  </r>
  <r>
    <x v="2"/>
    <x v="4"/>
    <x v="2"/>
    <x v="4"/>
    <n v="0.53300000000000003"/>
    <s v="fraction_LHV"/>
  </r>
  <r>
    <x v="2"/>
    <x v="4"/>
    <x v="2"/>
    <x v="5"/>
    <n v="0.69399999999999995"/>
    <s v="USD2022/GJ"/>
  </r>
  <r>
    <x v="2"/>
    <x v="5"/>
    <x v="0"/>
    <x v="0"/>
    <n v="920"/>
    <s v="USD2022/kW"/>
  </r>
  <r>
    <x v="2"/>
    <x v="5"/>
    <x v="0"/>
    <x v="1"/>
    <n v="920"/>
    <s v="USD2022/kW"/>
  </r>
  <r>
    <x v="2"/>
    <x v="5"/>
    <x v="0"/>
    <x v="2"/>
    <n v="920"/>
    <s v="USD2022/kW"/>
  </r>
  <r>
    <x v="2"/>
    <x v="5"/>
    <x v="0"/>
    <x v="3"/>
    <n v="35"/>
    <s v="USD2022/kW-yr"/>
  </r>
  <r>
    <x v="2"/>
    <x v="5"/>
    <x v="0"/>
    <x v="4"/>
    <n v="0.51400000000000001"/>
    <s v="fraction_LHV"/>
  </r>
  <r>
    <x v="2"/>
    <x v="5"/>
    <x v="0"/>
    <x v="5"/>
    <n v="0.69399999999999995"/>
    <s v="USD2022/GJ"/>
  </r>
  <r>
    <x v="2"/>
    <x v="5"/>
    <x v="1"/>
    <x v="0"/>
    <n v="920"/>
    <s v="USD2022/kW"/>
  </r>
  <r>
    <x v="2"/>
    <x v="5"/>
    <x v="1"/>
    <x v="1"/>
    <n v="920"/>
    <s v="USD2022/kW"/>
  </r>
  <r>
    <x v="2"/>
    <x v="5"/>
    <x v="1"/>
    <x v="2"/>
    <n v="920"/>
    <s v="USD2022/kW"/>
  </r>
  <r>
    <x v="2"/>
    <x v="5"/>
    <x v="1"/>
    <x v="3"/>
    <n v="35"/>
    <s v="USD2022/kW-yr"/>
  </r>
  <r>
    <x v="2"/>
    <x v="5"/>
    <x v="1"/>
    <x v="4"/>
    <n v="0.52"/>
    <s v="fraction_LHV"/>
  </r>
  <r>
    <x v="2"/>
    <x v="5"/>
    <x v="1"/>
    <x v="5"/>
    <n v="0.69399999999999995"/>
    <s v="USD2022/GJ"/>
  </r>
  <r>
    <x v="2"/>
    <x v="5"/>
    <x v="2"/>
    <x v="0"/>
    <n v="920"/>
    <s v="USD2022/kW"/>
  </r>
  <r>
    <x v="2"/>
    <x v="5"/>
    <x v="2"/>
    <x v="1"/>
    <n v="920"/>
    <s v="USD2022/kW"/>
  </r>
  <r>
    <x v="2"/>
    <x v="5"/>
    <x v="2"/>
    <x v="2"/>
    <n v="920"/>
    <s v="USD2022/kW"/>
  </r>
  <r>
    <x v="2"/>
    <x v="5"/>
    <x v="2"/>
    <x v="3"/>
    <n v="35"/>
    <s v="USD2022/kW-yr"/>
  </r>
  <r>
    <x v="2"/>
    <x v="5"/>
    <x v="2"/>
    <x v="4"/>
    <n v="0.52700000000000002"/>
    <s v="fraction_LHV"/>
  </r>
  <r>
    <x v="2"/>
    <x v="5"/>
    <x v="2"/>
    <x v="5"/>
    <n v="0.69399999999999995"/>
    <s v="USD2022/GJ"/>
  </r>
  <r>
    <x v="2"/>
    <x v="6"/>
    <x v="0"/>
    <x v="0"/>
    <n v="1040"/>
    <s v="USD2022/kW"/>
  </r>
  <r>
    <x v="2"/>
    <x v="6"/>
    <x v="0"/>
    <x v="1"/>
    <n v="1040"/>
    <s v="USD2022/kW"/>
  </r>
  <r>
    <x v="2"/>
    <x v="6"/>
    <x v="0"/>
    <x v="2"/>
    <n v="1040"/>
    <s v="USD2022/kW"/>
  </r>
  <r>
    <x v="2"/>
    <x v="6"/>
    <x v="0"/>
    <x v="3"/>
    <n v="40"/>
    <s v="USD2022/kW-yr"/>
  </r>
  <r>
    <x v="2"/>
    <x v="6"/>
    <x v="0"/>
    <x v="4"/>
    <n v="0.52"/>
    <s v="fraction_LHV"/>
  </r>
  <r>
    <x v="2"/>
    <x v="6"/>
    <x v="0"/>
    <x v="5"/>
    <n v="0.69399999999999995"/>
    <s v="USD2022/GJ"/>
  </r>
  <r>
    <x v="2"/>
    <x v="6"/>
    <x v="1"/>
    <x v="0"/>
    <n v="1040"/>
    <s v="USD2022/kW"/>
  </r>
  <r>
    <x v="2"/>
    <x v="6"/>
    <x v="1"/>
    <x v="1"/>
    <n v="1040"/>
    <s v="USD2022/kW"/>
  </r>
  <r>
    <x v="2"/>
    <x v="6"/>
    <x v="1"/>
    <x v="2"/>
    <n v="1040"/>
    <s v="USD2022/kW"/>
  </r>
  <r>
    <x v="2"/>
    <x v="6"/>
    <x v="1"/>
    <x v="3"/>
    <n v="40"/>
    <s v="USD2022/kW-yr"/>
  </r>
  <r>
    <x v="2"/>
    <x v="6"/>
    <x v="1"/>
    <x v="4"/>
    <n v="0.52700000000000002"/>
    <s v="fraction_LHV"/>
  </r>
  <r>
    <x v="2"/>
    <x v="6"/>
    <x v="1"/>
    <x v="5"/>
    <n v="0.69399999999999995"/>
    <s v="USD2022/GJ"/>
  </r>
  <r>
    <x v="2"/>
    <x v="6"/>
    <x v="2"/>
    <x v="0"/>
    <n v="1040"/>
    <s v="USD2022/kW"/>
  </r>
  <r>
    <x v="2"/>
    <x v="6"/>
    <x v="2"/>
    <x v="1"/>
    <n v="1040"/>
    <s v="USD2022/kW"/>
  </r>
  <r>
    <x v="2"/>
    <x v="6"/>
    <x v="2"/>
    <x v="2"/>
    <n v="1040"/>
    <s v="USD2022/kW"/>
  </r>
  <r>
    <x v="2"/>
    <x v="6"/>
    <x v="2"/>
    <x v="3"/>
    <n v="40"/>
    <s v="USD2022/kW-yr"/>
  </r>
  <r>
    <x v="2"/>
    <x v="6"/>
    <x v="2"/>
    <x v="4"/>
    <n v="0.53300000000000003"/>
    <s v="fraction_LHV"/>
  </r>
  <r>
    <x v="2"/>
    <x v="6"/>
    <x v="2"/>
    <x v="5"/>
    <n v="0.69399999999999995"/>
    <s v="USD2022/GJ"/>
  </r>
  <r>
    <x v="2"/>
    <x v="7"/>
    <x v="0"/>
    <x v="0"/>
    <n v="920"/>
    <s v="USD2022/kW"/>
  </r>
  <r>
    <x v="2"/>
    <x v="7"/>
    <x v="0"/>
    <x v="1"/>
    <n v="920"/>
    <s v="USD2022/kW"/>
  </r>
  <r>
    <x v="2"/>
    <x v="7"/>
    <x v="0"/>
    <x v="2"/>
    <n v="920"/>
    <s v="USD2022/kW"/>
  </r>
  <r>
    <x v="2"/>
    <x v="7"/>
    <x v="0"/>
    <x v="3"/>
    <n v="35"/>
    <s v="USD2022/kW-yr"/>
  </r>
  <r>
    <x v="2"/>
    <x v="7"/>
    <x v="0"/>
    <x v="4"/>
    <n v="0.52700000000000002"/>
    <s v="fraction_LHV"/>
  </r>
  <r>
    <x v="2"/>
    <x v="7"/>
    <x v="0"/>
    <x v="5"/>
    <n v="0.69399999999999995"/>
    <s v="USD2022/GJ"/>
  </r>
  <r>
    <x v="2"/>
    <x v="7"/>
    <x v="1"/>
    <x v="0"/>
    <n v="920"/>
    <s v="USD2022/kW"/>
  </r>
  <r>
    <x v="2"/>
    <x v="7"/>
    <x v="1"/>
    <x v="1"/>
    <n v="920"/>
    <s v="USD2022/kW"/>
  </r>
  <r>
    <x v="2"/>
    <x v="7"/>
    <x v="1"/>
    <x v="2"/>
    <n v="920"/>
    <s v="USD2022/kW"/>
  </r>
  <r>
    <x v="2"/>
    <x v="7"/>
    <x v="1"/>
    <x v="3"/>
    <n v="35"/>
    <s v="USD2022/kW-yr"/>
  </r>
  <r>
    <x v="2"/>
    <x v="7"/>
    <x v="1"/>
    <x v="4"/>
    <n v="0.53300000000000003"/>
    <s v="fraction_LHV"/>
  </r>
  <r>
    <x v="2"/>
    <x v="7"/>
    <x v="1"/>
    <x v="5"/>
    <n v="0.69399999999999995"/>
    <s v="USD2022/GJ"/>
  </r>
  <r>
    <x v="2"/>
    <x v="7"/>
    <x v="2"/>
    <x v="0"/>
    <n v="920"/>
    <s v="USD2022/kW"/>
  </r>
  <r>
    <x v="2"/>
    <x v="7"/>
    <x v="2"/>
    <x v="1"/>
    <n v="920"/>
    <s v="USD2022/kW"/>
  </r>
  <r>
    <x v="2"/>
    <x v="7"/>
    <x v="2"/>
    <x v="2"/>
    <n v="920"/>
    <s v="USD2022/kW"/>
  </r>
  <r>
    <x v="2"/>
    <x v="7"/>
    <x v="2"/>
    <x v="3"/>
    <n v="35"/>
    <s v="USD2022/kW-yr"/>
  </r>
  <r>
    <x v="2"/>
    <x v="7"/>
    <x v="2"/>
    <x v="4"/>
    <n v="0.54"/>
    <s v="fraction_LHV"/>
  </r>
  <r>
    <x v="2"/>
    <x v="7"/>
    <x v="2"/>
    <x v="5"/>
    <n v="0.69399999999999995"/>
    <s v="USD2022/GJ"/>
  </r>
  <r>
    <x v="2"/>
    <x v="8"/>
    <x v="0"/>
    <x v="0"/>
    <n v="920"/>
    <s v="USD2022/kW"/>
  </r>
  <r>
    <x v="2"/>
    <x v="8"/>
    <x v="0"/>
    <x v="1"/>
    <n v="920"/>
    <s v="USD2022/kW"/>
  </r>
  <r>
    <x v="2"/>
    <x v="8"/>
    <x v="0"/>
    <x v="2"/>
    <n v="920"/>
    <s v="USD2022/kW"/>
  </r>
  <r>
    <x v="2"/>
    <x v="8"/>
    <x v="0"/>
    <x v="3"/>
    <n v="35"/>
    <s v="USD2022/kW-yr"/>
  </r>
  <r>
    <x v="2"/>
    <x v="8"/>
    <x v="0"/>
    <x v="4"/>
    <n v="0.52700000000000002"/>
    <s v="fraction_LHV"/>
  </r>
  <r>
    <x v="2"/>
    <x v="8"/>
    <x v="0"/>
    <x v="5"/>
    <n v="0.69399999999999995"/>
    <s v="USD2022/GJ"/>
  </r>
  <r>
    <x v="2"/>
    <x v="8"/>
    <x v="1"/>
    <x v="0"/>
    <n v="920"/>
    <s v="USD2022/kW"/>
  </r>
  <r>
    <x v="2"/>
    <x v="8"/>
    <x v="1"/>
    <x v="1"/>
    <n v="920"/>
    <s v="USD2022/kW"/>
  </r>
  <r>
    <x v="2"/>
    <x v="8"/>
    <x v="1"/>
    <x v="2"/>
    <n v="920"/>
    <s v="USD2022/kW"/>
  </r>
  <r>
    <x v="2"/>
    <x v="8"/>
    <x v="1"/>
    <x v="3"/>
    <n v="35"/>
    <s v="USD2022/kW-yr"/>
  </r>
  <r>
    <x v="2"/>
    <x v="8"/>
    <x v="1"/>
    <x v="4"/>
    <n v="0.53300000000000003"/>
    <s v="fraction_LHV"/>
  </r>
  <r>
    <x v="2"/>
    <x v="8"/>
    <x v="1"/>
    <x v="5"/>
    <n v="0.69399999999999995"/>
    <s v="USD2022/GJ"/>
  </r>
  <r>
    <x v="2"/>
    <x v="8"/>
    <x v="2"/>
    <x v="0"/>
    <n v="920"/>
    <s v="USD2022/kW"/>
  </r>
  <r>
    <x v="2"/>
    <x v="8"/>
    <x v="2"/>
    <x v="1"/>
    <n v="920"/>
    <s v="USD2022/kW"/>
  </r>
  <r>
    <x v="2"/>
    <x v="8"/>
    <x v="2"/>
    <x v="2"/>
    <n v="920"/>
    <s v="USD2022/kW"/>
  </r>
  <r>
    <x v="2"/>
    <x v="8"/>
    <x v="2"/>
    <x v="3"/>
    <n v="35"/>
    <s v="USD2022/kW-yr"/>
  </r>
  <r>
    <x v="2"/>
    <x v="8"/>
    <x v="2"/>
    <x v="4"/>
    <n v="0.54"/>
    <s v="fraction_LHV"/>
  </r>
  <r>
    <x v="2"/>
    <x v="8"/>
    <x v="2"/>
    <x v="5"/>
    <n v="0.69399999999999995"/>
    <s v="USD2022/GJ"/>
  </r>
  <r>
    <x v="3"/>
    <x v="0"/>
    <x v="0"/>
    <x v="0"/>
    <n v="5000"/>
    <s v="USD2022/kW"/>
  </r>
  <r>
    <x v="3"/>
    <x v="0"/>
    <x v="0"/>
    <x v="1"/>
    <n v="5000"/>
    <s v="USD2022/kW"/>
  </r>
  <r>
    <x v="3"/>
    <x v="0"/>
    <x v="0"/>
    <x v="2"/>
    <n v="5000"/>
    <s v="USD2022/kW"/>
  </r>
  <r>
    <x v="3"/>
    <x v="0"/>
    <x v="0"/>
    <x v="3"/>
    <n v="100"/>
    <s v="USD2022/kW-yr"/>
  </r>
  <r>
    <x v="3"/>
    <x v="0"/>
    <x v="0"/>
    <x v="4"/>
    <n v="0.46"/>
    <s v="fraction_LHV"/>
  </r>
  <r>
    <x v="3"/>
    <x v="0"/>
    <x v="0"/>
    <x v="5"/>
    <n v="0.83299999999999996"/>
    <s v="USD2022/GJ"/>
  </r>
  <r>
    <x v="3"/>
    <x v="0"/>
    <x v="1"/>
    <x v="0"/>
    <n v="2500"/>
    <s v="USD2022/kW"/>
  </r>
  <r>
    <x v="3"/>
    <x v="0"/>
    <x v="1"/>
    <x v="1"/>
    <n v="2500"/>
    <s v="USD2022/kW"/>
  </r>
  <r>
    <x v="3"/>
    <x v="0"/>
    <x v="1"/>
    <x v="2"/>
    <n v="2500"/>
    <s v="USD2022/kW"/>
  </r>
  <r>
    <x v="3"/>
    <x v="0"/>
    <x v="1"/>
    <x v="3"/>
    <n v="50"/>
    <s v="USD2022/kW-yr"/>
  </r>
  <r>
    <x v="3"/>
    <x v="0"/>
    <x v="1"/>
    <x v="4"/>
    <n v="0.54"/>
    <s v="fraction_LHV"/>
  </r>
  <r>
    <x v="3"/>
    <x v="0"/>
    <x v="1"/>
    <x v="5"/>
    <n v="0.83299999999999996"/>
    <s v="USD2022/GJ"/>
  </r>
  <r>
    <x v="3"/>
    <x v="0"/>
    <x v="2"/>
    <x v="0"/>
    <n v="2500"/>
    <s v="USD2022/kW"/>
  </r>
  <r>
    <x v="3"/>
    <x v="0"/>
    <x v="2"/>
    <x v="1"/>
    <n v="2500"/>
    <s v="USD2022/kW"/>
  </r>
  <r>
    <x v="3"/>
    <x v="0"/>
    <x v="2"/>
    <x v="2"/>
    <n v="2500"/>
    <s v="USD2022/kW"/>
  </r>
  <r>
    <x v="3"/>
    <x v="0"/>
    <x v="2"/>
    <x v="3"/>
    <n v="50"/>
    <s v="USD2022/kW-yr"/>
  </r>
  <r>
    <x v="3"/>
    <x v="0"/>
    <x v="2"/>
    <x v="4"/>
    <n v="0.6"/>
    <s v="fraction_LHV"/>
  </r>
  <r>
    <x v="3"/>
    <x v="0"/>
    <x v="2"/>
    <x v="5"/>
    <n v="0.83299999999999996"/>
    <s v="USD2022/GJ"/>
  </r>
  <r>
    <x v="3"/>
    <x v="1"/>
    <x v="0"/>
    <x v="0"/>
    <n v="5000"/>
    <s v="USD2022/kW"/>
  </r>
  <r>
    <x v="3"/>
    <x v="1"/>
    <x v="0"/>
    <x v="1"/>
    <n v="5000"/>
    <s v="USD2022/kW"/>
  </r>
  <r>
    <x v="3"/>
    <x v="1"/>
    <x v="0"/>
    <x v="2"/>
    <n v="5000"/>
    <s v="USD2022/kW"/>
  </r>
  <r>
    <x v="3"/>
    <x v="1"/>
    <x v="0"/>
    <x v="3"/>
    <n v="100"/>
    <s v="USD2022/kW-yr"/>
  </r>
  <r>
    <x v="3"/>
    <x v="1"/>
    <x v="0"/>
    <x v="4"/>
    <n v="0.46"/>
    <s v="fraction_LHV"/>
  </r>
  <r>
    <x v="3"/>
    <x v="1"/>
    <x v="0"/>
    <x v="5"/>
    <n v="0.83299999999999996"/>
    <s v="USD2022/GJ"/>
  </r>
  <r>
    <x v="3"/>
    <x v="1"/>
    <x v="1"/>
    <x v="0"/>
    <n v="2500"/>
    <s v="USD2022/kW"/>
  </r>
  <r>
    <x v="3"/>
    <x v="1"/>
    <x v="1"/>
    <x v="1"/>
    <n v="2500"/>
    <s v="USD2022/kW"/>
  </r>
  <r>
    <x v="3"/>
    <x v="1"/>
    <x v="1"/>
    <x v="2"/>
    <n v="2500"/>
    <s v="USD2022/kW"/>
  </r>
  <r>
    <x v="3"/>
    <x v="1"/>
    <x v="1"/>
    <x v="3"/>
    <n v="50"/>
    <s v="USD2022/kW-yr"/>
  </r>
  <r>
    <x v="3"/>
    <x v="1"/>
    <x v="1"/>
    <x v="4"/>
    <n v="0.54"/>
    <s v="fraction_LHV"/>
  </r>
  <r>
    <x v="3"/>
    <x v="1"/>
    <x v="1"/>
    <x v="5"/>
    <n v="0.83299999999999996"/>
    <s v="USD2022/GJ"/>
  </r>
  <r>
    <x v="3"/>
    <x v="1"/>
    <x v="2"/>
    <x v="0"/>
    <n v="2500"/>
    <s v="USD2022/kW"/>
  </r>
  <r>
    <x v="3"/>
    <x v="1"/>
    <x v="2"/>
    <x v="1"/>
    <n v="2500"/>
    <s v="USD2022/kW"/>
  </r>
  <r>
    <x v="3"/>
    <x v="1"/>
    <x v="2"/>
    <x v="2"/>
    <n v="2500"/>
    <s v="USD2022/kW"/>
  </r>
  <r>
    <x v="3"/>
    <x v="1"/>
    <x v="2"/>
    <x v="3"/>
    <n v="50"/>
    <s v="USD2022/kW-yr"/>
  </r>
  <r>
    <x v="3"/>
    <x v="1"/>
    <x v="2"/>
    <x v="4"/>
    <n v="0.6"/>
    <s v="fraction_LHV"/>
  </r>
  <r>
    <x v="3"/>
    <x v="1"/>
    <x v="2"/>
    <x v="5"/>
    <n v="0.83299999999999996"/>
    <s v="USD2022/GJ"/>
  </r>
  <r>
    <x v="3"/>
    <x v="2"/>
    <x v="0"/>
    <x v="0"/>
    <n v="5000"/>
    <s v="USD2022/kW"/>
  </r>
  <r>
    <x v="3"/>
    <x v="2"/>
    <x v="0"/>
    <x v="1"/>
    <n v="5000"/>
    <s v="USD2022/kW"/>
  </r>
  <r>
    <x v="3"/>
    <x v="2"/>
    <x v="0"/>
    <x v="2"/>
    <n v="5000"/>
    <s v="USD2022/kW"/>
  </r>
  <r>
    <x v="3"/>
    <x v="2"/>
    <x v="0"/>
    <x v="3"/>
    <n v="100"/>
    <s v="USD2022/kW-yr"/>
  </r>
  <r>
    <x v="3"/>
    <x v="2"/>
    <x v="0"/>
    <x v="4"/>
    <n v="0.46"/>
    <s v="fraction_LHV"/>
  </r>
  <r>
    <x v="3"/>
    <x v="2"/>
    <x v="0"/>
    <x v="5"/>
    <n v="0.83299999999999996"/>
    <s v="USD2022/GJ"/>
  </r>
  <r>
    <x v="3"/>
    <x v="2"/>
    <x v="1"/>
    <x v="0"/>
    <n v="2500"/>
    <s v="USD2022/kW"/>
  </r>
  <r>
    <x v="3"/>
    <x v="2"/>
    <x v="1"/>
    <x v="1"/>
    <n v="2500"/>
    <s v="USD2022/kW"/>
  </r>
  <r>
    <x v="3"/>
    <x v="2"/>
    <x v="1"/>
    <x v="2"/>
    <n v="2500"/>
    <s v="USD2022/kW"/>
  </r>
  <r>
    <x v="3"/>
    <x v="2"/>
    <x v="1"/>
    <x v="3"/>
    <n v="50"/>
    <s v="USD2022/kW-yr"/>
  </r>
  <r>
    <x v="3"/>
    <x v="2"/>
    <x v="1"/>
    <x v="4"/>
    <n v="0.54"/>
    <s v="fraction_LHV"/>
  </r>
  <r>
    <x v="3"/>
    <x v="2"/>
    <x v="1"/>
    <x v="5"/>
    <n v="0.83299999999999996"/>
    <s v="USD2022/GJ"/>
  </r>
  <r>
    <x v="3"/>
    <x v="2"/>
    <x v="2"/>
    <x v="0"/>
    <n v="2500"/>
    <s v="USD2022/kW"/>
  </r>
  <r>
    <x v="3"/>
    <x v="2"/>
    <x v="2"/>
    <x v="1"/>
    <n v="2500"/>
    <s v="USD2022/kW"/>
  </r>
  <r>
    <x v="3"/>
    <x v="2"/>
    <x v="2"/>
    <x v="2"/>
    <n v="2500"/>
    <s v="USD2022/kW"/>
  </r>
  <r>
    <x v="3"/>
    <x v="2"/>
    <x v="2"/>
    <x v="3"/>
    <n v="50"/>
    <s v="USD2022/kW-yr"/>
  </r>
  <r>
    <x v="3"/>
    <x v="2"/>
    <x v="2"/>
    <x v="4"/>
    <n v="0.6"/>
    <s v="fraction_LHV"/>
  </r>
  <r>
    <x v="3"/>
    <x v="2"/>
    <x v="2"/>
    <x v="5"/>
    <n v="0.83299999999999996"/>
    <s v="USD2022/GJ"/>
  </r>
  <r>
    <x v="3"/>
    <x v="3"/>
    <x v="0"/>
    <x v="0"/>
    <n v="5000"/>
    <s v="USD2022/kW"/>
  </r>
  <r>
    <x v="3"/>
    <x v="3"/>
    <x v="0"/>
    <x v="1"/>
    <n v="5000"/>
    <s v="USD2022/kW"/>
  </r>
  <r>
    <x v="3"/>
    <x v="3"/>
    <x v="0"/>
    <x v="2"/>
    <n v="5000"/>
    <s v="USD2022/kW"/>
  </r>
  <r>
    <x v="3"/>
    <x v="3"/>
    <x v="0"/>
    <x v="3"/>
    <n v="150"/>
    <s v="USD2022/kW-yr"/>
  </r>
  <r>
    <x v="3"/>
    <x v="3"/>
    <x v="0"/>
    <x v="4"/>
    <n v="0.46"/>
    <s v="fraction_LHV"/>
  </r>
  <r>
    <x v="3"/>
    <x v="3"/>
    <x v="0"/>
    <x v="5"/>
    <n v="0.83299999999999996"/>
    <s v="USD2022/GJ"/>
  </r>
  <r>
    <x v="3"/>
    <x v="3"/>
    <x v="1"/>
    <x v="0"/>
    <n v="2500"/>
    <s v="USD2022/kW"/>
  </r>
  <r>
    <x v="3"/>
    <x v="3"/>
    <x v="1"/>
    <x v="1"/>
    <n v="2500"/>
    <s v="USD2022/kW"/>
  </r>
  <r>
    <x v="3"/>
    <x v="3"/>
    <x v="1"/>
    <x v="2"/>
    <n v="2500"/>
    <s v="USD2022/kW"/>
  </r>
  <r>
    <x v="3"/>
    <x v="3"/>
    <x v="1"/>
    <x v="3"/>
    <n v="75"/>
    <s v="USD2022/kW-yr"/>
  </r>
  <r>
    <x v="3"/>
    <x v="3"/>
    <x v="1"/>
    <x v="4"/>
    <n v="0.54"/>
    <s v="fraction_LHV"/>
  </r>
  <r>
    <x v="3"/>
    <x v="3"/>
    <x v="1"/>
    <x v="5"/>
    <n v="0.83299999999999996"/>
    <s v="USD2022/GJ"/>
  </r>
  <r>
    <x v="3"/>
    <x v="3"/>
    <x v="2"/>
    <x v="0"/>
    <n v="2500"/>
    <s v="USD2022/kW"/>
  </r>
  <r>
    <x v="3"/>
    <x v="3"/>
    <x v="2"/>
    <x v="1"/>
    <n v="2500"/>
    <s v="USD2022/kW"/>
  </r>
  <r>
    <x v="3"/>
    <x v="3"/>
    <x v="2"/>
    <x v="2"/>
    <n v="2500"/>
    <s v="USD2022/kW"/>
  </r>
  <r>
    <x v="3"/>
    <x v="3"/>
    <x v="2"/>
    <x v="3"/>
    <n v="75"/>
    <s v="USD2022/kW-yr"/>
  </r>
  <r>
    <x v="3"/>
    <x v="3"/>
    <x v="2"/>
    <x v="4"/>
    <n v="0.6"/>
    <s v="fraction_LHV"/>
  </r>
  <r>
    <x v="3"/>
    <x v="3"/>
    <x v="2"/>
    <x v="5"/>
    <n v="0.83299999999999996"/>
    <s v="USD2022/GJ"/>
  </r>
  <r>
    <x v="3"/>
    <x v="4"/>
    <x v="0"/>
    <x v="0"/>
    <n v="5000"/>
    <s v="USD2022/kW"/>
  </r>
  <r>
    <x v="3"/>
    <x v="4"/>
    <x v="0"/>
    <x v="1"/>
    <n v="5000"/>
    <s v="USD2022/kW"/>
  </r>
  <r>
    <x v="3"/>
    <x v="4"/>
    <x v="0"/>
    <x v="2"/>
    <n v="5000"/>
    <s v="USD2022/kW"/>
  </r>
  <r>
    <x v="3"/>
    <x v="4"/>
    <x v="0"/>
    <x v="3"/>
    <n v="150"/>
    <s v="USD2022/kW-yr"/>
  </r>
  <r>
    <x v="3"/>
    <x v="4"/>
    <x v="0"/>
    <x v="4"/>
    <n v="0.46"/>
    <s v="fraction_LHV"/>
  </r>
  <r>
    <x v="3"/>
    <x v="4"/>
    <x v="0"/>
    <x v="5"/>
    <n v="0.83299999999999996"/>
    <s v="USD2022/GJ"/>
  </r>
  <r>
    <x v="3"/>
    <x v="4"/>
    <x v="1"/>
    <x v="0"/>
    <n v="2500"/>
    <s v="USD2022/kW"/>
  </r>
  <r>
    <x v="3"/>
    <x v="4"/>
    <x v="1"/>
    <x v="1"/>
    <n v="2500"/>
    <s v="USD2022/kW"/>
  </r>
  <r>
    <x v="3"/>
    <x v="4"/>
    <x v="1"/>
    <x v="2"/>
    <n v="2500"/>
    <s v="USD2022/kW"/>
  </r>
  <r>
    <x v="3"/>
    <x v="4"/>
    <x v="1"/>
    <x v="3"/>
    <n v="75"/>
    <s v="USD2022/kW-yr"/>
  </r>
  <r>
    <x v="3"/>
    <x v="4"/>
    <x v="1"/>
    <x v="4"/>
    <n v="0.54"/>
    <s v="fraction_LHV"/>
  </r>
  <r>
    <x v="3"/>
    <x v="4"/>
    <x v="1"/>
    <x v="5"/>
    <n v="0.83299999999999996"/>
    <s v="USD2022/GJ"/>
  </r>
  <r>
    <x v="3"/>
    <x v="4"/>
    <x v="2"/>
    <x v="0"/>
    <n v="2500"/>
    <s v="USD2022/kW"/>
  </r>
  <r>
    <x v="3"/>
    <x v="4"/>
    <x v="2"/>
    <x v="1"/>
    <n v="2500"/>
    <s v="USD2022/kW"/>
  </r>
  <r>
    <x v="3"/>
    <x v="4"/>
    <x v="2"/>
    <x v="2"/>
    <n v="2500"/>
    <s v="USD2022/kW"/>
  </r>
  <r>
    <x v="3"/>
    <x v="4"/>
    <x v="2"/>
    <x v="3"/>
    <n v="75"/>
    <s v="USD2022/kW-yr"/>
  </r>
  <r>
    <x v="3"/>
    <x v="4"/>
    <x v="2"/>
    <x v="4"/>
    <n v="0.6"/>
    <s v="fraction_LHV"/>
  </r>
  <r>
    <x v="3"/>
    <x v="4"/>
    <x v="2"/>
    <x v="5"/>
    <n v="0.83299999999999996"/>
    <s v="USD2022/GJ"/>
  </r>
  <r>
    <x v="3"/>
    <x v="5"/>
    <x v="0"/>
    <x v="0"/>
    <n v="5000"/>
    <s v="USD2022/kW"/>
  </r>
  <r>
    <x v="3"/>
    <x v="5"/>
    <x v="0"/>
    <x v="1"/>
    <n v="5000"/>
    <s v="USD2022/kW"/>
  </r>
  <r>
    <x v="3"/>
    <x v="5"/>
    <x v="0"/>
    <x v="2"/>
    <n v="5000"/>
    <s v="USD2022/kW"/>
  </r>
  <r>
    <x v="3"/>
    <x v="5"/>
    <x v="0"/>
    <x v="3"/>
    <n v="150"/>
    <s v="USD2022/kW-yr"/>
  </r>
  <r>
    <x v="3"/>
    <x v="5"/>
    <x v="0"/>
    <x v="4"/>
    <n v="0.46"/>
    <s v="fraction_LHV"/>
  </r>
  <r>
    <x v="3"/>
    <x v="5"/>
    <x v="0"/>
    <x v="5"/>
    <n v="0.83299999999999996"/>
    <s v="USD2022/GJ"/>
  </r>
  <r>
    <x v="3"/>
    <x v="5"/>
    <x v="1"/>
    <x v="0"/>
    <n v="2500"/>
    <s v="USD2022/kW"/>
  </r>
  <r>
    <x v="3"/>
    <x v="5"/>
    <x v="1"/>
    <x v="1"/>
    <n v="2500"/>
    <s v="USD2022/kW"/>
  </r>
  <r>
    <x v="3"/>
    <x v="5"/>
    <x v="1"/>
    <x v="2"/>
    <n v="2500"/>
    <s v="USD2022/kW"/>
  </r>
  <r>
    <x v="3"/>
    <x v="5"/>
    <x v="1"/>
    <x v="3"/>
    <n v="75"/>
    <s v="USD2022/kW-yr"/>
  </r>
  <r>
    <x v="3"/>
    <x v="5"/>
    <x v="1"/>
    <x v="4"/>
    <n v="0.54"/>
    <s v="fraction_LHV"/>
  </r>
  <r>
    <x v="3"/>
    <x v="5"/>
    <x v="1"/>
    <x v="5"/>
    <n v="0.83299999999999996"/>
    <s v="USD2022/GJ"/>
  </r>
  <r>
    <x v="3"/>
    <x v="5"/>
    <x v="2"/>
    <x v="0"/>
    <n v="2500"/>
    <s v="USD2022/kW"/>
  </r>
  <r>
    <x v="3"/>
    <x v="5"/>
    <x v="2"/>
    <x v="1"/>
    <n v="2500"/>
    <s v="USD2022/kW"/>
  </r>
  <r>
    <x v="3"/>
    <x v="5"/>
    <x v="2"/>
    <x v="2"/>
    <n v="2500"/>
    <s v="USD2022/kW"/>
  </r>
  <r>
    <x v="3"/>
    <x v="5"/>
    <x v="2"/>
    <x v="3"/>
    <n v="75"/>
    <s v="USD2022/kW-yr"/>
  </r>
  <r>
    <x v="3"/>
    <x v="5"/>
    <x v="2"/>
    <x v="4"/>
    <n v="0.6"/>
    <s v="fraction_LHV"/>
  </r>
  <r>
    <x v="3"/>
    <x v="5"/>
    <x v="2"/>
    <x v="5"/>
    <n v="0.83299999999999996"/>
    <s v="USD2022/GJ"/>
  </r>
  <r>
    <x v="3"/>
    <x v="6"/>
    <x v="0"/>
    <x v="0"/>
    <n v="5000"/>
    <s v="USD2022/kW"/>
  </r>
  <r>
    <x v="3"/>
    <x v="6"/>
    <x v="0"/>
    <x v="1"/>
    <n v="5000"/>
    <s v="USD2022/kW"/>
  </r>
  <r>
    <x v="3"/>
    <x v="6"/>
    <x v="0"/>
    <x v="2"/>
    <n v="5000"/>
    <s v="USD2022/kW"/>
  </r>
  <r>
    <x v="3"/>
    <x v="6"/>
    <x v="0"/>
    <x v="3"/>
    <n v="150"/>
    <s v="USD2022/kW-yr"/>
  </r>
  <r>
    <x v="3"/>
    <x v="6"/>
    <x v="0"/>
    <x v="4"/>
    <n v="0.46"/>
    <s v="fraction_LHV"/>
  </r>
  <r>
    <x v="3"/>
    <x v="6"/>
    <x v="0"/>
    <x v="5"/>
    <n v="0.83299999999999996"/>
    <s v="USD2022/GJ"/>
  </r>
  <r>
    <x v="3"/>
    <x v="6"/>
    <x v="1"/>
    <x v="0"/>
    <n v="2500"/>
    <s v="USD2022/kW"/>
  </r>
  <r>
    <x v="3"/>
    <x v="6"/>
    <x v="1"/>
    <x v="1"/>
    <n v="2500"/>
    <s v="USD2022/kW"/>
  </r>
  <r>
    <x v="3"/>
    <x v="6"/>
    <x v="1"/>
    <x v="2"/>
    <n v="2500"/>
    <s v="USD2022/kW"/>
  </r>
  <r>
    <x v="3"/>
    <x v="6"/>
    <x v="1"/>
    <x v="3"/>
    <n v="75"/>
    <s v="USD2022/kW-yr"/>
  </r>
  <r>
    <x v="3"/>
    <x v="6"/>
    <x v="1"/>
    <x v="4"/>
    <n v="0.54"/>
    <s v="fraction_LHV"/>
  </r>
  <r>
    <x v="3"/>
    <x v="6"/>
    <x v="1"/>
    <x v="5"/>
    <n v="0.83299999999999996"/>
    <s v="USD2022/GJ"/>
  </r>
  <r>
    <x v="3"/>
    <x v="6"/>
    <x v="2"/>
    <x v="0"/>
    <n v="2500"/>
    <s v="USD2022/kW"/>
  </r>
  <r>
    <x v="3"/>
    <x v="6"/>
    <x v="2"/>
    <x v="1"/>
    <n v="2500"/>
    <s v="USD2022/kW"/>
  </r>
  <r>
    <x v="3"/>
    <x v="6"/>
    <x v="2"/>
    <x v="2"/>
    <n v="2500"/>
    <s v="USD2022/kW"/>
  </r>
  <r>
    <x v="3"/>
    <x v="6"/>
    <x v="2"/>
    <x v="3"/>
    <n v="75"/>
    <s v="USD2022/kW-yr"/>
  </r>
  <r>
    <x v="3"/>
    <x v="6"/>
    <x v="2"/>
    <x v="4"/>
    <n v="0.6"/>
    <s v="fraction_LHV"/>
  </r>
  <r>
    <x v="3"/>
    <x v="6"/>
    <x v="2"/>
    <x v="5"/>
    <n v="0.83299999999999996"/>
    <s v="USD2022/GJ"/>
  </r>
  <r>
    <x v="3"/>
    <x v="7"/>
    <x v="0"/>
    <x v="0"/>
    <n v="5000"/>
    <s v="USD2022/kW"/>
  </r>
  <r>
    <x v="3"/>
    <x v="7"/>
    <x v="0"/>
    <x v="1"/>
    <n v="5000"/>
    <s v="USD2022/kW"/>
  </r>
  <r>
    <x v="3"/>
    <x v="7"/>
    <x v="0"/>
    <x v="2"/>
    <n v="5000"/>
    <s v="USD2022/kW"/>
  </r>
  <r>
    <x v="3"/>
    <x v="7"/>
    <x v="0"/>
    <x v="3"/>
    <n v="150"/>
    <s v="USD2022/kW-yr"/>
  </r>
  <r>
    <x v="3"/>
    <x v="7"/>
    <x v="0"/>
    <x v="4"/>
    <n v="0.46"/>
    <s v="fraction_LHV"/>
  </r>
  <r>
    <x v="3"/>
    <x v="7"/>
    <x v="0"/>
    <x v="5"/>
    <n v="0.83299999999999996"/>
    <s v="USD2022/GJ"/>
  </r>
  <r>
    <x v="3"/>
    <x v="7"/>
    <x v="1"/>
    <x v="0"/>
    <n v="2500"/>
    <s v="USD2022/kW"/>
  </r>
  <r>
    <x v="3"/>
    <x v="7"/>
    <x v="1"/>
    <x v="1"/>
    <n v="2500"/>
    <s v="USD2022/kW"/>
  </r>
  <r>
    <x v="3"/>
    <x v="7"/>
    <x v="1"/>
    <x v="2"/>
    <n v="2500"/>
    <s v="USD2022/kW"/>
  </r>
  <r>
    <x v="3"/>
    <x v="7"/>
    <x v="1"/>
    <x v="3"/>
    <n v="75"/>
    <s v="USD2022/kW-yr"/>
  </r>
  <r>
    <x v="3"/>
    <x v="7"/>
    <x v="1"/>
    <x v="4"/>
    <n v="0.54"/>
    <s v="fraction_LHV"/>
  </r>
  <r>
    <x v="3"/>
    <x v="7"/>
    <x v="1"/>
    <x v="5"/>
    <n v="0.83299999999999996"/>
    <s v="USD2022/GJ"/>
  </r>
  <r>
    <x v="3"/>
    <x v="7"/>
    <x v="2"/>
    <x v="0"/>
    <n v="2500"/>
    <s v="USD2022/kW"/>
  </r>
  <r>
    <x v="3"/>
    <x v="7"/>
    <x v="2"/>
    <x v="1"/>
    <n v="2500"/>
    <s v="USD2022/kW"/>
  </r>
  <r>
    <x v="3"/>
    <x v="7"/>
    <x v="2"/>
    <x v="2"/>
    <n v="2500"/>
    <s v="USD2022/kW"/>
  </r>
  <r>
    <x v="3"/>
    <x v="7"/>
    <x v="2"/>
    <x v="3"/>
    <n v="75"/>
    <s v="USD2022/kW-yr"/>
  </r>
  <r>
    <x v="3"/>
    <x v="7"/>
    <x v="2"/>
    <x v="4"/>
    <n v="0.6"/>
    <s v="fraction_LHV"/>
  </r>
  <r>
    <x v="3"/>
    <x v="7"/>
    <x v="2"/>
    <x v="5"/>
    <n v="0.83299999999999996"/>
    <s v="USD2022/GJ"/>
  </r>
  <r>
    <x v="3"/>
    <x v="8"/>
    <x v="0"/>
    <x v="0"/>
    <n v="5000"/>
    <s v="USD2022/kW"/>
  </r>
  <r>
    <x v="3"/>
    <x v="8"/>
    <x v="0"/>
    <x v="1"/>
    <n v="5000"/>
    <s v="USD2022/kW"/>
  </r>
  <r>
    <x v="3"/>
    <x v="8"/>
    <x v="0"/>
    <x v="2"/>
    <n v="5000"/>
    <s v="USD2022/kW"/>
  </r>
  <r>
    <x v="3"/>
    <x v="8"/>
    <x v="0"/>
    <x v="3"/>
    <n v="150"/>
    <s v="USD2022/kW-yr"/>
  </r>
  <r>
    <x v="3"/>
    <x v="8"/>
    <x v="0"/>
    <x v="4"/>
    <n v="0.46"/>
    <s v="fraction_LHV"/>
  </r>
  <r>
    <x v="3"/>
    <x v="8"/>
    <x v="0"/>
    <x v="5"/>
    <n v="0.83299999999999996"/>
    <s v="USD2022/GJ"/>
  </r>
  <r>
    <x v="3"/>
    <x v="8"/>
    <x v="1"/>
    <x v="0"/>
    <n v="2500"/>
    <s v="USD2022/kW"/>
  </r>
  <r>
    <x v="3"/>
    <x v="8"/>
    <x v="1"/>
    <x v="1"/>
    <n v="2500"/>
    <s v="USD2022/kW"/>
  </r>
  <r>
    <x v="3"/>
    <x v="8"/>
    <x v="1"/>
    <x v="2"/>
    <n v="2500"/>
    <s v="USD2022/kW"/>
  </r>
  <r>
    <x v="3"/>
    <x v="8"/>
    <x v="1"/>
    <x v="3"/>
    <n v="75"/>
    <s v="USD2022/kW-yr"/>
  </r>
  <r>
    <x v="3"/>
    <x v="8"/>
    <x v="1"/>
    <x v="4"/>
    <n v="0.54"/>
    <s v="fraction_LHV"/>
  </r>
  <r>
    <x v="3"/>
    <x v="8"/>
    <x v="1"/>
    <x v="5"/>
    <n v="0.83299999999999996"/>
    <s v="USD2022/GJ"/>
  </r>
  <r>
    <x v="3"/>
    <x v="8"/>
    <x v="2"/>
    <x v="0"/>
    <n v="2500"/>
    <s v="USD2022/kW"/>
  </r>
  <r>
    <x v="3"/>
    <x v="8"/>
    <x v="2"/>
    <x v="1"/>
    <n v="2500"/>
    <s v="USD2022/kW"/>
  </r>
  <r>
    <x v="3"/>
    <x v="8"/>
    <x v="2"/>
    <x v="2"/>
    <n v="2500"/>
    <s v="USD2022/kW"/>
  </r>
  <r>
    <x v="3"/>
    <x v="8"/>
    <x v="2"/>
    <x v="3"/>
    <n v="75"/>
    <s v="USD2022/kW-yr"/>
  </r>
  <r>
    <x v="3"/>
    <x v="8"/>
    <x v="2"/>
    <x v="4"/>
    <n v="0.6"/>
    <s v="fraction_LHV"/>
  </r>
  <r>
    <x v="3"/>
    <x v="8"/>
    <x v="2"/>
    <x v="5"/>
    <n v="0.83299999999999996"/>
    <s v="USD2022/GJ"/>
  </r>
  <r>
    <x v="4"/>
    <x v="0"/>
    <x v="0"/>
    <x v="0"/>
    <n v="1700"/>
    <s v="USD2022/kW"/>
  </r>
  <r>
    <x v="4"/>
    <x v="0"/>
    <x v="0"/>
    <x v="1"/>
    <n v="1700"/>
    <s v="USD2022/kW"/>
  </r>
  <r>
    <x v="4"/>
    <x v="0"/>
    <x v="0"/>
    <x v="2"/>
    <n v="1700"/>
    <s v="USD2022/kW"/>
  </r>
  <r>
    <x v="4"/>
    <x v="0"/>
    <x v="0"/>
    <x v="3"/>
    <n v="45"/>
    <s v="USD2022/kW-yr"/>
  </r>
  <r>
    <x v="4"/>
    <x v="0"/>
    <x v="0"/>
    <x v="4"/>
    <n v="0.39"/>
    <s v="fraction_LHV"/>
  </r>
  <r>
    <x v="4"/>
    <x v="0"/>
    <x v="0"/>
    <x v="5"/>
    <n v="2.3610000000000002"/>
    <s v="USD2022/GJ"/>
  </r>
  <r>
    <x v="4"/>
    <x v="0"/>
    <x v="1"/>
    <x v="0"/>
    <n v="1700"/>
    <s v="USD2022/kW"/>
  </r>
  <r>
    <x v="4"/>
    <x v="0"/>
    <x v="1"/>
    <x v="1"/>
    <n v="1700"/>
    <s v="USD2022/kW"/>
  </r>
  <r>
    <x v="4"/>
    <x v="0"/>
    <x v="1"/>
    <x v="2"/>
    <n v="1700"/>
    <s v="USD2022/kW"/>
  </r>
  <r>
    <x v="4"/>
    <x v="0"/>
    <x v="1"/>
    <x v="3"/>
    <n v="45"/>
    <s v="USD2022/kW-yr"/>
  </r>
  <r>
    <x v="4"/>
    <x v="0"/>
    <x v="1"/>
    <x v="4"/>
    <n v="0.39"/>
    <s v="fraction_LHV"/>
  </r>
  <r>
    <x v="4"/>
    <x v="0"/>
    <x v="1"/>
    <x v="5"/>
    <n v="2.3610000000000002"/>
    <s v="USD2022/GJ"/>
  </r>
  <r>
    <x v="4"/>
    <x v="0"/>
    <x v="2"/>
    <x v="0"/>
    <n v="1700"/>
    <s v="USD2022/kW"/>
  </r>
  <r>
    <x v="4"/>
    <x v="0"/>
    <x v="2"/>
    <x v="1"/>
    <n v="1700"/>
    <s v="USD2022/kW"/>
  </r>
  <r>
    <x v="4"/>
    <x v="0"/>
    <x v="2"/>
    <x v="2"/>
    <n v="1700"/>
    <s v="USD2022/kW"/>
  </r>
  <r>
    <x v="4"/>
    <x v="0"/>
    <x v="2"/>
    <x v="3"/>
    <n v="45"/>
    <s v="USD2022/kW-yr"/>
  </r>
  <r>
    <x v="4"/>
    <x v="0"/>
    <x v="2"/>
    <x v="4"/>
    <n v="0.39"/>
    <s v="fraction_LHV"/>
  </r>
  <r>
    <x v="4"/>
    <x v="0"/>
    <x v="2"/>
    <x v="5"/>
    <n v="2.3610000000000002"/>
    <s v="USD2022/GJ"/>
  </r>
  <r>
    <x v="4"/>
    <x v="1"/>
    <x v="0"/>
    <x v="0"/>
    <n v="1800"/>
    <s v="USD2022/kW"/>
  </r>
  <r>
    <x v="4"/>
    <x v="1"/>
    <x v="0"/>
    <x v="1"/>
    <n v="1800"/>
    <s v="USD2022/kW"/>
  </r>
  <r>
    <x v="4"/>
    <x v="1"/>
    <x v="0"/>
    <x v="2"/>
    <n v="1800"/>
    <s v="USD2022/kW"/>
  </r>
  <r>
    <x v="4"/>
    <x v="1"/>
    <x v="0"/>
    <x v="3"/>
    <n v="45"/>
    <s v="USD2022/kW-yr"/>
  </r>
  <r>
    <x v="4"/>
    <x v="1"/>
    <x v="0"/>
    <x v="4"/>
    <n v="0.39"/>
    <s v="fraction_LHV"/>
  </r>
  <r>
    <x v="4"/>
    <x v="1"/>
    <x v="0"/>
    <x v="5"/>
    <n v="2.3610000000000002"/>
    <s v="USD2022/GJ"/>
  </r>
  <r>
    <x v="4"/>
    <x v="1"/>
    <x v="1"/>
    <x v="0"/>
    <n v="1800"/>
    <s v="USD2022/kW"/>
  </r>
  <r>
    <x v="4"/>
    <x v="1"/>
    <x v="1"/>
    <x v="1"/>
    <n v="1800"/>
    <s v="USD2022/kW"/>
  </r>
  <r>
    <x v="4"/>
    <x v="1"/>
    <x v="1"/>
    <x v="2"/>
    <n v="1800"/>
    <s v="USD2022/kW"/>
  </r>
  <r>
    <x v="4"/>
    <x v="1"/>
    <x v="1"/>
    <x v="3"/>
    <n v="45"/>
    <s v="USD2022/kW-yr"/>
  </r>
  <r>
    <x v="4"/>
    <x v="1"/>
    <x v="1"/>
    <x v="4"/>
    <n v="0.39"/>
    <s v="fraction_LHV"/>
  </r>
  <r>
    <x v="4"/>
    <x v="1"/>
    <x v="1"/>
    <x v="5"/>
    <n v="2.3610000000000002"/>
    <s v="USD2022/GJ"/>
  </r>
  <r>
    <x v="4"/>
    <x v="1"/>
    <x v="2"/>
    <x v="0"/>
    <n v="1800"/>
    <s v="USD2022/kW"/>
  </r>
  <r>
    <x v="4"/>
    <x v="1"/>
    <x v="2"/>
    <x v="1"/>
    <n v="1800"/>
    <s v="USD2022/kW"/>
  </r>
  <r>
    <x v="4"/>
    <x v="1"/>
    <x v="2"/>
    <x v="2"/>
    <n v="1800"/>
    <s v="USD2022/kW"/>
  </r>
  <r>
    <x v="4"/>
    <x v="1"/>
    <x v="2"/>
    <x v="3"/>
    <n v="45"/>
    <s v="USD2022/kW-yr"/>
  </r>
  <r>
    <x v="4"/>
    <x v="1"/>
    <x v="2"/>
    <x v="4"/>
    <n v="0.39"/>
    <s v="fraction_LHV"/>
  </r>
  <r>
    <x v="4"/>
    <x v="1"/>
    <x v="2"/>
    <x v="5"/>
    <n v="2.3610000000000002"/>
    <s v="USD2022/GJ"/>
  </r>
  <r>
    <x v="4"/>
    <x v="2"/>
    <x v="0"/>
    <x v="0"/>
    <n v="2100"/>
    <s v="USD2022/kW"/>
  </r>
  <r>
    <x v="4"/>
    <x v="2"/>
    <x v="0"/>
    <x v="1"/>
    <n v="2100"/>
    <s v="USD2022/kW"/>
  </r>
  <r>
    <x v="4"/>
    <x v="2"/>
    <x v="0"/>
    <x v="2"/>
    <n v="2100"/>
    <s v="USD2022/kW"/>
  </r>
  <r>
    <x v="4"/>
    <x v="2"/>
    <x v="0"/>
    <x v="3"/>
    <n v="55"/>
    <s v="USD2022/kW-yr"/>
  </r>
  <r>
    <x v="4"/>
    <x v="2"/>
    <x v="0"/>
    <x v="4"/>
    <n v="0.39"/>
    <s v="fraction_LHV"/>
  </r>
  <r>
    <x v="4"/>
    <x v="2"/>
    <x v="0"/>
    <x v="5"/>
    <n v="2.3610000000000002"/>
    <s v="USD2022/GJ"/>
  </r>
  <r>
    <x v="4"/>
    <x v="2"/>
    <x v="1"/>
    <x v="0"/>
    <n v="2100"/>
    <s v="USD2022/kW"/>
  </r>
  <r>
    <x v="4"/>
    <x v="2"/>
    <x v="1"/>
    <x v="1"/>
    <n v="2100"/>
    <s v="USD2022/kW"/>
  </r>
  <r>
    <x v="4"/>
    <x v="2"/>
    <x v="1"/>
    <x v="2"/>
    <n v="2100"/>
    <s v="USD2022/kW"/>
  </r>
  <r>
    <x v="4"/>
    <x v="2"/>
    <x v="1"/>
    <x v="3"/>
    <n v="55"/>
    <s v="USD2022/kW-yr"/>
  </r>
  <r>
    <x v="4"/>
    <x v="2"/>
    <x v="1"/>
    <x v="4"/>
    <n v="0.39"/>
    <s v="fraction_LHV"/>
  </r>
  <r>
    <x v="4"/>
    <x v="2"/>
    <x v="1"/>
    <x v="5"/>
    <n v="2.3610000000000002"/>
    <s v="USD2022/GJ"/>
  </r>
  <r>
    <x v="4"/>
    <x v="2"/>
    <x v="2"/>
    <x v="0"/>
    <n v="2100"/>
    <s v="USD2022/kW"/>
  </r>
  <r>
    <x v="4"/>
    <x v="2"/>
    <x v="2"/>
    <x v="1"/>
    <n v="2100"/>
    <s v="USD2022/kW"/>
  </r>
  <r>
    <x v="4"/>
    <x v="2"/>
    <x v="2"/>
    <x v="2"/>
    <n v="2100"/>
    <s v="USD2022/kW"/>
  </r>
  <r>
    <x v="4"/>
    <x v="2"/>
    <x v="2"/>
    <x v="3"/>
    <n v="55"/>
    <s v="USD2022/kW-yr"/>
  </r>
  <r>
    <x v="4"/>
    <x v="2"/>
    <x v="2"/>
    <x v="4"/>
    <n v="0.39"/>
    <s v="fraction_LHV"/>
  </r>
  <r>
    <x v="4"/>
    <x v="2"/>
    <x v="2"/>
    <x v="5"/>
    <n v="2.3610000000000002"/>
    <s v="USD2022/GJ"/>
  </r>
  <r>
    <x v="4"/>
    <x v="3"/>
    <x v="0"/>
    <x v="0"/>
    <n v="1700"/>
    <s v="USD2022/kW"/>
  </r>
  <r>
    <x v="4"/>
    <x v="3"/>
    <x v="0"/>
    <x v="1"/>
    <n v="1700"/>
    <s v="USD2022/kW"/>
  </r>
  <r>
    <x v="4"/>
    <x v="3"/>
    <x v="0"/>
    <x v="2"/>
    <n v="1700"/>
    <s v="USD2022/kW"/>
  </r>
  <r>
    <x v="4"/>
    <x v="3"/>
    <x v="0"/>
    <x v="3"/>
    <n v="50"/>
    <s v="USD2022/kW-yr"/>
  </r>
  <r>
    <x v="4"/>
    <x v="3"/>
    <x v="0"/>
    <x v="4"/>
    <n v="0.39"/>
    <s v="fraction_LHV"/>
  </r>
  <r>
    <x v="4"/>
    <x v="3"/>
    <x v="0"/>
    <x v="5"/>
    <n v="2.3610000000000002"/>
    <s v="USD2022/GJ"/>
  </r>
  <r>
    <x v="4"/>
    <x v="3"/>
    <x v="1"/>
    <x v="0"/>
    <n v="1700"/>
    <s v="USD2022/kW"/>
  </r>
  <r>
    <x v="4"/>
    <x v="3"/>
    <x v="1"/>
    <x v="1"/>
    <n v="1700"/>
    <s v="USD2022/kW"/>
  </r>
  <r>
    <x v="4"/>
    <x v="3"/>
    <x v="1"/>
    <x v="2"/>
    <n v="1700"/>
    <s v="USD2022/kW"/>
  </r>
  <r>
    <x v="4"/>
    <x v="3"/>
    <x v="1"/>
    <x v="3"/>
    <n v="50"/>
    <s v="USD2022/kW-yr"/>
  </r>
  <r>
    <x v="4"/>
    <x v="3"/>
    <x v="1"/>
    <x v="4"/>
    <n v="0.39"/>
    <s v="fraction_LHV"/>
  </r>
  <r>
    <x v="4"/>
    <x v="3"/>
    <x v="1"/>
    <x v="5"/>
    <n v="2.3610000000000002"/>
    <s v="USD2022/GJ"/>
  </r>
  <r>
    <x v="4"/>
    <x v="3"/>
    <x v="2"/>
    <x v="0"/>
    <n v="1700"/>
    <s v="USD2022/kW"/>
  </r>
  <r>
    <x v="4"/>
    <x v="3"/>
    <x v="2"/>
    <x v="1"/>
    <n v="1700"/>
    <s v="USD2022/kW"/>
  </r>
  <r>
    <x v="4"/>
    <x v="3"/>
    <x v="2"/>
    <x v="2"/>
    <n v="1700"/>
    <s v="USD2022/kW"/>
  </r>
  <r>
    <x v="4"/>
    <x v="3"/>
    <x v="2"/>
    <x v="3"/>
    <n v="50"/>
    <s v="USD2022/kW-yr"/>
  </r>
  <r>
    <x v="4"/>
    <x v="3"/>
    <x v="2"/>
    <x v="4"/>
    <n v="0.39"/>
    <s v="fraction_LHV"/>
  </r>
  <r>
    <x v="4"/>
    <x v="3"/>
    <x v="2"/>
    <x v="5"/>
    <n v="2.3610000000000002"/>
    <s v="USD2022/GJ"/>
  </r>
  <r>
    <x v="4"/>
    <x v="4"/>
    <x v="0"/>
    <x v="0"/>
    <n v="600"/>
    <s v="USD2022/kW"/>
  </r>
  <r>
    <x v="4"/>
    <x v="4"/>
    <x v="0"/>
    <x v="1"/>
    <n v="600"/>
    <s v="USD2022/kW"/>
  </r>
  <r>
    <x v="4"/>
    <x v="4"/>
    <x v="0"/>
    <x v="2"/>
    <n v="600"/>
    <s v="USD2022/kW"/>
  </r>
  <r>
    <x v="4"/>
    <x v="4"/>
    <x v="0"/>
    <x v="3"/>
    <n v="20"/>
    <s v="USD2022/kW-yr"/>
  </r>
  <r>
    <x v="4"/>
    <x v="4"/>
    <x v="0"/>
    <x v="4"/>
    <n v="0.37"/>
    <s v="fraction_LHV"/>
  </r>
  <r>
    <x v="4"/>
    <x v="4"/>
    <x v="0"/>
    <x v="5"/>
    <n v="2.3610000000000002"/>
    <s v="USD2022/GJ"/>
  </r>
  <r>
    <x v="4"/>
    <x v="4"/>
    <x v="1"/>
    <x v="0"/>
    <n v="600"/>
    <s v="USD2022/kW"/>
  </r>
  <r>
    <x v="4"/>
    <x v="4"/>
    <x v="1"/>
    <x v="1"/>
    <n v="600"/>
    <s v="USD2022/kW"/>
  </r>
  <r>
    <x v="4"/>
    <x v="4"/>
    <x v="1"/>
    <x v="2"/>
    <n v="600"/>
    <s v="USD2022/kW"/>
  </r>
  <r>
    <x v="4"/>
    <x v="4"/>
    <x v="1"/>
    <x v="3"/>
    <n v="20"/>
    <s v="USD2022/kW-yr"/>
  </r>
  <r>
    <x v="4"/>
    <x v="4"/>
    <x v="1"/>
    <x v="4"/>
    <n v="0.37"/>
    <s v="fraction_LHV"/>
  </r>
  <r>
    <x v="4"/>
    <x v="4"/>
    <x v="1"/>
    <x v="5"/>
    <n v="2.3610000000000002"/>
    <s v="USD2022/GJ"/>
  </r>
  <r>
    <x v="4"/>
    <x v="4"/>
    <x v="2"/>
    <x v="0"/>
    <n v="600"/>
    <s v="USD2022/kW"/>
  </r>
  <r>
    <x v="4"/>
    <x v="4"/>
    <x v="2"/>
    <x v="1"/>
    <n v="600"/>
    <s v="USD2022/kW"/>
  </r>
  <r>
    <x v="4"/>
    <x v="4"/>
    <x v="2"/>
    <x v="2"/>
    <n v="600"/>
    <s v="USD2022/kW"/>
  </r>
  <r>
    <x v="4"/>
    <x v="4"/>
    <x v="2"/>
    <x v="3"/>
    <n v="20"/>
    <s v="USD2022/kW-yr"/>
  </r>
  <r>
    <x v="4"/>
    <x v="4"/>
    <x v="2"/>
    <x v="4"/>
    <n v="0.37"/>
    <s v="fraction_LHV"/>
  </r>
  <r>
    <x v="4"/>
    <x v="4"/>
    <x v="2"/>
    <x v="5"/>
    <n v="2.3610000000000002"/>
    <s v="USD2022/GJ"/>
  </r>
  <r>
    <x v="4"/>
    <x v="5"/>
    <x v="0"/>
    <x v="0"/>
    <n v="1000"/>
    <s v="USD2022/kW"/>
  </r>
  <r>
    <x v="4"/>
    <x v="5"/>
    <x v="0"/>
    <x v="1"/>
    <n v="1000"/>
    <s v="USD2022/kW"/>
  </r>
  <r>
    <x v="4"/>
    <x v="5"/>
    <x v="0"/>
    <x v="2"/>
    <n v="1000"/>
    <s v="USD2022/kW"/>
  </r>
  <r>
    <x v="4"/>
    <x v="5"/>
    <x v="0"/>
    <x v="3"/>
    <n v="35"/>
    <s v="USD2022/kW-yr"/>
  </r>
  <r>
    <x v="4"/>
    <x v="5"/>
    <x v="0"/>
    <x v="4"/>
    <n v="0.36"/>
    <s v="fraction_LHV"/>
  </r>
  <r>
    <x v="4"/>
    <x v="5"/>
    <x v="0"/>
    <x v="5"/>
    <n v="2.3610000000000002"/>
    <s v="USD2022/GJ"/>
  </r>
  <r>
    <x v="4"/>
    <x v="5"/>
    <x v="1"/>
    <x v="0"/>
    <n v="1000"/>
    <s v="USD2022/kW"/>
  </r>
  <r>
    <x v="4"/>
    <x v="5"/>
    <x v="1"/>
    <x v="1"/>
    <n v="1000"/>
    <s v="USD2022/kW"/>
  </r>
  <r>
    <x v="4"/>
    <x v="5"/>
    <x v="1"/>
    <x v="2"/>
    <n v="1000"/>
    <s v="USD2022/kW"/>
  </r>
  <r>
    <x v="4"/>
    <x v="5"/>
    <x v="1"/>
    <x v="3"/>
    <n v="35"/>
    <s v="USD2022/kW-yr"/>
  </r>
  <r>
    <x v="4"/>
    <x v="5"/>
    <x v="1"/>
    <x v="4"/>
    <n v="0.36"/>
    <s v="fraction_LHV"/>
  </r>
  <r>
    <x v="4"/>
    <x v="5"/>
    <x v="1"/>
    <x v="5"/>
    <n v="2.3610000000000002"/>
    <s v="USD2022/GJ"/>
  </r>
  <r>
    <x v="4"/>
    <x v="5"/>
    <x v="2"/>
    <x v="0"/>
    <n v="1000"/>
    <s v="USD2022/kW"/>
  </r>
  <r>
    <x v="4"/>
    <x v="5"/>
    <x v="2"/>
    <x v="1"/>
    <n v="1000"/>
    <s v="USD2022/kW"/>
  </r>
  <r>
    <x v="4"/>
    <x v="5"/>
    <x v="2"/>
    <x v="2"/>
    <n v="1000"/>
    <s v="USD2022/kW"/>
  </r>
  <r>
    <x v="4"/>
    <x v="5"/>
    <x v="2"/>
    <x v="3"/>
    <n v="35"/>
    <s v="USD2022/kW-yr"/>
  </r>
  <r>
    <x v="4"/>
    <x v="5"/>
    <x v="2"/>
    <x v="4"/>
    <n v="0.37"/>
    <s v="fraction_LHV"/>
  </r>
  <r>
    <x v="4"/>
    <x v="5"/>
    <x v="2"/>
    <x v="5"/>
    <n v="2.3610000000000002"/>
    <s v="USD2022/GJ"/>
  </r>
  <r>
    <x v="4"/>
    <x v="6"/>
    <x v="0"/>
    <x v="0"/>
    <n v="1300"/>
    <s v="USD2022/kW"/>
  </r>
  <r>
    <x v="4"/>
    <x v="6"/>
    <x v="0"/>
    <x v="1"/>
    <n v="1300"/>
    <s v="USD2022/kW"/>
  </r>
  <r>
    <x v="4"/>
    <x v="6"/>
    <x v="0"/>
    <x v="2"/>
    <n v="1300"/>
    <s v="USD2022/kW"/>
  </r>
  <r>
    <x v="4"/>
    <x v="6"/>
    <x v="0"/>
    <x v="3"/>
    <n v="45"/>
    <s v="USD2022/kW-yr"/>
  </r>
  <r>
    <x v="4"/>
    <x v="6"/>
    <x v="0"/>
    <x v="4"/>
    <n v="0.37"/>
    <s v="fraction_LHV"/>
  </r>
  <r>
    <x v="4"/>
    <x v="6"/>
    <x v="0"/>
    <x v="5"/>
    <n v="2.3610000000000002"/>
    <s v="USD2022/GJ"/>
  </r>
  <r>
    <x v="4"/>
    <x v="6"/>
    <x v="1"/>
    <x v="0"/>
    <n v="1300"/>
    <s v="USD2022/kW"/>
  </r>
  <r>
    <x v="4"/>
    <x v="6"/>
    <x v="1"/>
    <x v="1"/>
    <n v="1300"/>
    <s v="USD2022/kW"/>
  </r>
  <r>
    <x v="4"/>
    <x v="6"/>
    <x v="1"/>
    <x v="2"/>
    <n v="1300"/>
    <s v="USD2022/kW"/>
  </r>
  <r>
    <x v="4"/>
    <x v="6"/>
    <x v="1"/>
    <x v="3"/>
    <n v="45"/>
    <s v="USD2022/kW-yr"/>
  </r>
  <r>
    <x v="4"/>
    <x v="6"/>
    <x v="1"/>
    <x v="4"/>
    <n v="0.37"/>
    <s v="fraction_LHV"/>
  </r>
  <r>
    <x v="4"/>
    <x v="6"/>
    <x v="1"/>
    <x v="5"/>
    <n v="2.3610000000000002"/>
    <s v="USD2022/GJ"/>
  </r>
  <r>
    <x v="4"/>
    <x v="6"/>
    <x v="2"/>
    <x v="0"/>
    <n v="1300"/>
    <s v="USD2022/kW"/>
  </r>
  <r>
    <x v="4"/>
    <x v="6"/>
    <x v="2"/>
    <x v="1"/>
    <n v="1300"/>
    <s v="USD2022/kW"/>
  </r>
  <r>
    <x v="4"/>
    <x v="6"/>
    <x v="2"/>
    <x v="2"/>
    <n v="1300"/>
    <s v="USD2022/kW"/>
  </r>
  <r>
    <x v="4"/>
    <x v="6"/>
    <x v="2"/>
    <x v="3"/>
    <n v="45"/>
    <s v="USD2022/kW-yr"/>
  </r>
  <r>
    <x v="4"/>
    <x v="6"/>
    <x v="2"/>
    <x v="4"/>
    <n v="0.37"/>
    <s v="fraction_LHV"/>
  </r>
  <r>
    <x v="4"/>
    <x v="6"/>
    <x v="2"/>
    <x v="5"/>
    <n v="2.3610000000000002"/>
    <s v="USD2022/GJ"/>
  </r>
  <r>
    <x v="4"/>
    <x v="7"/>
    <x v="0"/>
    <x v="0"/>
    <n v="1300"/>
    <s v="USD2022/kW"/>
  </r>
  <r>
    <x v="4"/>
    <x v="7"/>
    <x v="0"/>
    <x v="1"/>
    <n v="1300"/>
    <s v="USD2022/kW"/>
  </r>
  <r>
    <x v="4"/>
    <x v="7"/>
    <x v="0"/>
    <x v="2"/>
    <n v="1300"/>
    <s v="USD2022/kW"/>
  </r>
  <r>
    <x v="4"/>
    <x v="7"/>
    <x v="0"/>
    <x v="3"/>
    <n v="45"/>
    <s v="USD2022/kW-yr"/>
  </r>
  <r>
    <x v="4"/>
    <x v="7"/>
    <x v="0"/>
    <x v="4"/>
    <n v="0.35"/>
    <s v="fraction_LHV"/>
  </r>
  <r>
    <x v="4"/>
    <x v="7"/>
    <x v="0"/>
    <x v="5"/>
    <n v="2.3610000000000002"/>
    <s v="USD2022/GJ"/>
  </r>
  <r>
    <x v="4"/>
    <x v="7"/>
    <x v="1"/>
    <x v="0"/>
    <n v="1300"/>
    <s v="USD2022/kW"/>
  </r>
  <r>
    <x v="4"/>
    <x v="7"/>
    <x v="1"/>
    <x v="1"/>
    <n v="1300"/>
    <s v="USD2022/kW"/>
  </r>
  <r>
    <x v="4"/>
    <x v="7"/>
    <x v="1"/>
    <x v="2"/>
    <n v="1300"/>
    <s v="USD2022/kW"/>
  </r>
  <r>
    <x v="4"/>
    <x v="7"/>
    <x v="1"/>
    <x v="3"/>
    <n v="45"/>
    <s v="USD2022/kW-yr"/>
  </r>
  <r>
    <x v="4"/>
    <x v="7"/>
    <x v="1"/>
    <x v="4"/>
    <n v="0.35"/>
    <s v="fraction_LHV"/>
  </r>
  <r>
    <x v="4"/>
    <x v="7"/>
    <x v="1"/>
    <x v="5"/>
    <n v="2.3610000000000002"/>
    <s v="USD2022/GJ"/>
  </r>
  <r>
    <x v="4"/>
    <x v="7"/>
    <x v="2"/>
    <x v="0"/>
    <n v="1300"/>
    <s v="USD2022/kW"/>
  </r>
  <r>
    <x v="4"/>
    <x v="7"/>
    <x v="2"/>
    <x v="1"/>
    <n v="1300"/>
    <s v="USD2022/kW"/>
  </r>
  <r>
    <x v="4"/>
    <x v="7"/>
    <x v="2"/>
    <x v="2"/>
    <n v="1300"/>
    <s v="USD2022/kW"/>
  </r>
  <r>
    <x v="4"/>
    <x v="7"/>
    <x v="2"/>
    <x v="3"/>
    <n v="45"/>
    <s v="USD2022/kW-yr"/>
  </r>
  <r>
    <x v="4"/>
    <x v="7"/>
    <x v="2"/>
    <x v="4"/>
    <n v="0.35"/>
    <s v="fraction_LHV"/>
  </r>
  <r>
    <x v="4"/>
    <x v="7"/>
    <x v="2"/>
    <x v="5"/>
    <n v="2.3610000000000002"/>
    <s v="USD2022/GJ"/>
  </r>
  <r>
    <x v="4"/>
    <x v="8"/>
    <x v="0"/>
    <x v="0"/>
    <n v="1300"/>
    <s v="USD2022/kW"/>
  </r>
  <r>
    <x v="4"/>
    <x v="8"/>
    <x v="0"/>
    <x v="1"/>
    <n v="1300"/>
    <s v="USD2022/kW"/>
  </r>
  <r>
    <x v="4"/>
    <x v="8"/>
    <x v="0"/>
    <x v="2"/>
    <n v="1300"/>
    <s v="USD2022/kW"/>
  </r>
  <r>
    <x v="4"/>
    <x v="8"/>
    <x v="0"/>
    <x v="3"/>
    <n v="45"/>
    <s v="USD2022/kW-yr"/>
  </r>
  <r>
    <x v="4"/>
    <x v="8"/>
    <x v="0"/>
    <x v="4"/>
    <n v="0.39"/>
    <s v="fraction_LHV"/>
  </r>
  <r>
    <x v="4"/>
    <x v="8"/>
    <x v="0"/>
    <x v="5"/>
    <n v="2.3610000000000002"/>
    <s v="USD2022/GJ"/>
  </r>
  <r>
    <x v="4"/>
    <x v="8"/>
    <x v="1"/>
    <x v="0"/>
    <n v="1300"/>
    <s v="USD2022/kW"/>
  </r>
  <r>
    <x v="4"/>
    <x v="8"/>
    <x v="1"/>
    <x v="1"/>
    <n v="1300"/>
    <s v="USD2022/kW"/>
  </r>
  <r>
    <x v="4"/>
    <x v="8"/>
    <x v="1"/>
    <x v="2"/>
    <n v="1300"/>
    <s v="USD2022/kW"/>
  </r>
  <r>
    <x v="4"/>
    <x v="8"/>
    <x v="1"/>
    <x v="3"/>
    <n v="45"/>
    <s v="USD2022/kW-yr"/>
  </r>
  <r>
    <x v="4"/>
    <x v="8"/>
    <x v="1"/>
    <x v="4"/>
    <n v="0.39"/>
    <s v="fraction_LHV"/>
  </r>
  <r>
    <x v="4"/>
    <x v="8"/>
    <x v="1"/>
    <x v="5"/>
    <n v="2.3610000000000002"/>
    <s v="USD2022/GJ"/>
  </r>
  <r>
    <x v="4"/>
    <x v="8"/>
    <x v="2"/>
    <x v="0"/>
    <n v="1300"/>
    <s v="USD2022/kW"/>
  </r>
  <r>
    <x v="4"/>
    <x v="8"/>
    <x v="2"/>
    <x v="1"/>
    <n v="1300"/>
    <s v="USD2022/kW"/>
  </r>
  <r>
    <x v="4"/>
    <x v="8"/>
    <x v="2"/>
    <x v="2"/>
    <n v="1300"/>
    <s v="USD2022/kW"/>
  </r>
  <r>
    <x v="4"/>
    <x v="8"/>
    <x v="2"/>
    <x v="3"/>
    <n v="45"/>
    <s v="USD2022/kW-yr"/>
  </r>
  <r>
    <x v="4"/>
    <x v="8"/>
    <x v="2"/>
    <x v="4"/>
    <n v="0.39"/>
    <s v="fraction_LHV"/>
  </r>
  <r>
    <x v="4"/>
    <x v="8"/>
    <x v="2"/>
    <x v="5"/>
    <n v="2.3610000000000002"/>
    <s v="USD2022/GJ"/>
  </r>
  <r>
    <x v="5"/>
    <x v="0"/>
    <x v="0"/>
    <x v="0"/>
    <n v="2000"/>
    <s v="USD2022/kW"/>
  </r>
  <r>
    <x v="5"/>
    <x v="0"/>
    <x v="0"/>
    <x v="1"/>
    <n v="2000"/>
    <s v="USD2022/kW"/>
  </r>
  <r>
    <x v="5"/>
    <x v="0"/>
    <x v="0"/>
    <x v="2"/>
    <n v="2000"/>
    <s v="USD2022/kW"/>
  </r>
  <r>
    <x v="5"/>
    <x v="0"/>
    <x v="0"/>
    <x v="3"/>
    <n v="60"/>
    <s v="USD2022/kW-yr"/>
  </r>
  <r>
    <x v="5"/>
    <x v="0"/>
    <x v="0"/>
    <x v="4"/>
    <n v="0.43"/>
    <s v="fraction_LHV"/>
  </r>
  <r>
    <x v="5"/>
    <x v="0"/>
    <x v="0"/>
    <x v="5"/>
    <n v="2.5830000000000002"/>
    <s v="USD2022/GJ"/>
  </r>
  <r>
    <x v="5"/>
    <x v="0"/>
    <x v="1"/>
    <x v="0"/>
    <n v="2000"/>
    <s v="USD2022/kW"/>
  </r>
  <r>
    <x v="5"/>
    <x v="0"/>
    <x v="1"/>
    <x v="1"/>
    <n v="1958"/>
    <s v="USD2022/kW"/>
  </r>
  <r>
    <x v="5"/>
    <x v="0"/>
    <x v="1"/>
    <x v="2"/>
    <n v="2042"/>
    <s v="USD2022/kW"/>
  </r>
  <r>
    <x v="5"/>
    <x v="0"/>
    <x v="1"/>
    <x v="3"/>
    <n v="60"/>
    <s v="USD2022/kW-yr"/>
  </r>
  <r>
    <x v="5"/>
    <x v="0"/>
    <x v="1"/>
    <x v="4"/>
    <n v="0.43"/>
    <s v="fraction_LHV"/>
  </r>
  <r>
    <x v="5"/>
    <x v="0"/>
    <x v="1"/>
    <x v="5"/>
    <n v="2.4969999999999999"/>
    <s v="USD2022/GJ"/>
  </r>
  <r>
    <x v="5"/>
    <x v="0"/>
    <x v="2"/>
    <x v="0"/>
    <n v="2000"/>
    <s v="USD2022/kW"/>
  </r>
  <r>
    <x v="5"/>
    <x v="0"/>
    <x v="2"/>
    <x v="1"/>
    <n v="1949.8"/>
    <s v="USD2022/kW"/>
  </r>
  <r>
    <x v="5"/>
    <x v="0"/>
    <x v="2"/>
    <x v="2"/>
    <n v="2050.1999999999998"/>
    <s v="USD2022/kW"/>
  </r>
  <r>
    <x v="5"/>
    <x v="0"/>
    <x v="2"/>
    <x v="3"/>
    <n v="60"/>
    <s v="USD2022/kW-yr"/>
  </r>
  <r>
    <x v="5"/>
    <x v="0"/>
    <x v="2"/>
    <x v="4"/>
    <n v="0.43"/>
    <s v="fraction_LHV"/>
  </r>
  <r>
    <x v="5"/>
    <x v="0"/>
    <x v="2"/>
    <x v="5"/>
    <n v="2.3170000000000002"/>
    <s v="USD2022/GJ"/>
  </r>
  <r>
    <x v="5"/>
    <x v="1"/>
    <x v="0"/>
    <x v="0"/>
    <n v="2100"/>
    <s v="USD2022/kW"/>
  </r>
  <r>
    <x v="5"/>
    <x v="1"/>
    <x v="0"/>
    <x v="1"/>
    <n v="2100"/>
    <s v="USD2022/kW"/>
  </r>
  <r>
    <x v="5"/>
    <x v="1"/>
    <x v="0"/>
    <x v="2"/>
    <n v="2100"/>
    <s v="USD2022/kW"/>
  </r>
  <r>
    <x v="5"/>
    <x v="1"/>
    <x v="0"/>
    <x v="3"/>
    <n v="65"/>
    <s v="USD2022/kW-yr"/>
  </r>
  <r>
    <x v="5"/>
    <x v="1"/>
    <x v="0"/>
    <x v="4"/>
    <n v="0.43"/>
    <s v="fraction_LHV"/>
  </r>
  <r>
    <x v="5"/>
    <x v="1"/>
    <x v="0"/>
    <x v="5"/>
    <n v="2.5830000000000002"/>
    <s v="USD2022/GJ"/>
  </r>
  <r>
    <x v="5"/>
    <x v="1"/>
    <x v="1"/>
    <x v="0"/>
    <n v="2100"/>
    <s v="USD2022/kW"/>
  </r>
  <r>
    <x v="5"/>
    <x v="1"/>
    <x v="1"/>
    <x v="1"/>
    <n v="2055.9"/>
    <s v="USD2022/kW"/>
  </r>
  <r>
    <x v="5"/>
    <x v="1"/>
    <x v="1"/>
    <x v="2"/>
    <n v="2144.1"/>
    <s v="USD2022/kW"/>
  </r>
  <r>
    <x v="5"/>
    <x v="1"/>
    <x v="1"/>
    <x v="3"/>
    <n v="65"/>
    <s v="USD2022/kW-yr"/>
  </r>
  <r>
    <x v="5"/>
    <x v="1"/>
    <x v="1"/>
    <x v="4"/>
    <n v="0.43"/>
    <s v="fraction_LHV"/>
  </r>
  <r>
    <x v="5"/>
    <x v="1"/>
    <x v="1"/>
    <x v="5"/>
    <n v="2.4969999999999999"/>
    <s v="USD2022/GJ"/>
  </r>
  <r>
    <x v="5"/>
    <x v="1"/>
    <x v="2"/>
    <x v="0"/>
    <n v="2100"/>
    <s v="USD2022/kW"/>
  </r>
  <r>
    <x v="5"/>
    <x v="1"/>
    <x v="2"/>
    <x v="1"/>
    <n v="2047.3"/>
    <s v="USD2022/kW"/>
  </r>
  <r>
    <x v="5"/>
    <x v="1"/>
    <x v="2"/>
    <x v="2"/>
    <n v="2152.6999999999998"/>
    <s v="USD2022/kW"/>
  </r>
  <r>
    <x v="5"/>
    <x v="1"/>
    <x v="2"/>
    <x v="3"/>
    <n v="65"/>
    <s v="USD2022/kW-yr"/>
  </r>
  <r>
    <x v="5"/>
    <x v="1"/>
    <x v="2"/>
    <x v="4"/>
    <n v="0.43"/>
    <s v="fraction_LHV"/>
  </r>
  <r>
    <x v="5"/>
    <x v="1"/>
    <x v="2"/>
    <x v="5"/>
    <n v="2.3170000000000002"/>
    <s v="USD2022/GJ"/>
  </r>
  <r>
    <x v="5"/>
    <x v="2"/>
    <x v="0"/>
    <x v="0"/>
    <n v="2400"/>
    <s v="USD2022/kW"/>
  </r>
  <r>
    <x v="5"/>
    <x v="2"/>
    <x v="0"/>
    <x v="1"/>
    <n v="2400"/>
    <s v="USD2022/kW"/>
  </r>
  <r>
    <x v="5"/>
    <x v="2"/>
    <x v="0"/>
    <x v="2"/>
    <n v="2400"/>
    <s v="USD2022/kW"/>
  </r>
  <r>
    <x v="5"/>
    <x v="2"/>
    <x v="0"/>
    <x v="3"/>
    <n v="70"/>
    <s v="USD2022/kW-yr"/>
  </r>
  <r>
    <x v="5"/>
    <x v="2"/>
    <x v="0"/>
    <x v="4"/>
    <n v="0.43"/>
    <s v="fraction_LHV"/>
  </r>
  <r>
    <x v="5"/>
    <x v="2"/>
    <x v="0"/>
    <x v="5"/>
    <n v="2.5830000000000002"/>
    <s v="USD2022/GJ"/>
  </r>
  <r>
    <x v="5"/>
    <x v="2"/>
    <x v="1"/>
    <x v="0"/>
    <n v="2400"/>
    <s v="USD2022/kW"/>
  </r>
  <r>
    <x v="5"/>
    <x v="2"/>
    <x v="1"/>
    <x v="1"/>
    <n v="2349.6"/>
    <s v="USD2022/kW"/>
  </r>
  <r>
    <x v="5"/>
    <x v="2"/>
    <x v="1"/>
    <x v="2"/>
    <n v="2450.4"/>
    <s v="USD2022/kW"/>
  </r>
  <r>
    <x v="5"/>
    <x v="2"/>
    <x v="1"/>
    <x v="3"/>
    <n v="70"/>
    <s v="USD2022/kW-yr"/>
  </r>
  <r>
    <x v="5"/>
    <x v="2"/>
    <x v="1"/>
    <x v="4"/>
    <n v="0.43"/>
    <s v="fraction_LHV"/>
  </r>
  <r>
    <x v="5"/>
    <x v="2"/>
    <x v="1"/>
    <x v="5"/>
    <n v="2.4969999999999999"/>
    <s v="USD2022/GJ"/>
  </r>
  <r>
    <x v="5"/>
    <x v="2"/>
    <x v="2"/>
    <x v="0"/>
    <n v="2400"/>
    <s v="USD2022/kW"/>
  </r>
  <r>
    <x v="5"/>
    <x v="2"/>
    <x v="2"/>
    <x v="1"/>
    <n v="2339.8000000000002"/>
    <s v="USD2022/kW"/>
  </r>
  <r>
    <x v="5"/>
    <x v="2"/>
    <x v="2"/>
    <x v="2"/>
    <n v="2460.1999999999998"/>
    <s v="USD2022/kW"/>
  </r>
  <r>
    <x v="5"/>
    <x v="2"/>
    <x v="2"/>
    <x v="3"/>
    <n v="70"/>
    <s v="USD2022/kW-yr"/>
  </r>
  <r>
    <x v="5"/>
    <x v="2"/>
    <x v="2"/>
    <x v="4"/>
    <n v="0.43"/>
    <s v="fraction_LHV"/>
  </r>
  <r>
    <x v="5"/>
    <x v="2"/>
    <x v="2"/>
    <x v="5"/>
    <n v="2.3170000000000002"/>
    <s v="USD2022/GJ"/>
  </r>
  <r>
    <x v="5"/>
    <x v="3"/>
    <x v="0"/>
    <x v="0"/>
    <n v="2000"/>
    <s v="USD2022/kW"/>
  </r>
  <r>
    <x v="5"/>
    <x v="3"/>
    <x v="0"/>
    <x v="1"/>
    <n v="2000"/>
    <s v="USD2022/kW"/>
  </r>
  <r>
    <x v="5"/>
    <x v="3"/>
    <x v="0"/>
    <x v="2"/>
    <n v="2000"/>
    <s v="USD2022/kW"/>
  </r>
  <r>
    <x v="5"/>
    <x v="3"/>
    <x v="0"/>
    <x v="3"/>
    <n v="70"/>
    <s v="USD2022/kW-yr"/>
  </r>
  <r>
    <x v="5"/>
    <x v="3"/>
    <x v="0"/>
    <x v="4"/>
    <n v="0.43"/>
    <s v="fraction_LHV"/>
  </r>
  <r>
    <x v="5"/>
    <x v="3"/>
    <x v="0"/>
    <x v="5"/>
    <n v="2.5830000000000002"/>
    <s v="USD2022/GJ"/>
  </r>
  <r>
    <x v="5"/>
    <x v="3"/>
    <x v="1"/>
    <x v="0"/>
    <n v="2000"/>
    <s v="USD2022/kW"/>
  </r>
  <r>
    <x v="5"/>
    <x v="3"/>
    <x v="1"/>
    <x v="1"/>
    <n v="1958"/>
    <s v="USD2022/kW"/>
  </r>
  <r>
    <x v="5"/>
    <x v="3"/>
    <x v="1"/>
    <x v="2"/>
    <n v="2042"/>
    <s v="USD2022/kW"/>
  </r>
  <r>
    <x v="5"/>
    <x v="3"/>
    <x v="1"/>
    <x v="3"/>
    <n v="70"/>
    <s v="USD2022/kW-yr"/>
  </r>
  <r>
    <x v="5"/>
    <x v="3"/>
    <x v="1"/>
    <x v="4"/>
    <n v="0.43"/>
    <s v="fraction_LHV"/>
  </r>
  <r>
    <x v="5"/>
    <x v="3"/>
    <x v="1"/>
    <x v="5"/>
    <n v="2.4969999999999999"/>
    <s v="USD2022/GJ"/>
  </r>
  <r>
    <x v="5"/>
    <x v="3"/>
    <x v="2"/>
    <x v="0"/>
    <n v="2000"/>
    <s v="USD2022/kW"/>
  </r>
  <r>
    <x v="5"/>
    <x v="3"/>
    <x v="2"/>
    <x v="1"/>
    <n v="1949.8"/>
    <s v="USD2022/kW"/>
  </r>
  <r>
    <x v="5"/>
    <x v="3"/>
    <x v="2"/>
    <x v="2"/>
    <n v="2050.1999999999998"/>
    <s v="USD2022/kW"/>
  </r>
  <r>
    <x v="5"/>
    <x v="3"/>
    <x v="2"/>
    <x v="3"/>
    <n v="70"/>
    <s v="USD2022/kW-yr"/>
  </r>
  <r>
    <x v="5"/>
    <x v="3"/>
    <x v="2"/>
    <x v="4"/>
    <n v="0.43"/>
    <s v="fraction_LHV"/>
  </r>
  <r>
    <x v="5"/>
    <x v="3"/>
    <x v="2"/>
    <x v="5"/>
    <n v="2.3170000000000002"/>
    <s v="USD2022/GJ"/>
  </r>
  <r>
    <x v="5"/>
    <x v="4"/>
    <x v="0"/>
    <x v="0"/>
    <n v="700"/>
    <s v="USD2022/kW"/>
  </r>
  <r>
    <x v="5"/>
    <x v="4"/>
    <x v="0"/>
    <x v="1"/>
    <n v="700"/>
    <s v="USD2022/kW"/>
  </r>
  <r>
    <x v="5"/>
    <x v="4"/>
    <x v="0"/>
    <x v="2"/>
    <n v="700"/>
    <s v="USD2022/kW"/>
  </r>
  <r>
    <x v="5"/>
    <x v="4"/>
    <x v="0"/>
    <x v="3"/>
    <n v="30"/>
    <s v="USD2022/kW-yr"/>
  </r>
  <r>
    <x v="5"/>
    <x v="4"/>
    <x v="0"/>
    <x v="4"/>
    <n v="0.41"/>
    <s v="fraction_LHV"/>
  </r>
  <r>
    <x v="5"/>
    <x v="4"/>
    <x v="0"/>
    <x v="5"/>
    <n v="2.5830000000000002"/>
    <s v="USD2022/GJ"/>
  </r>
  <r>
    <x v="5"/>
    <x v="4"/>
    <x v="1"/>
    <x v="0"/>
    <n v="700"/>
    <s v="USD2022/kW"/>
  </r>
  <r>
    <x v="5"/>
    <x v="4"/>
    <x v="1"/>
    <x v="1"/>
    <n v="685.3"/>
    <s v="USD2022/kW"/>
  </r>
  <r>
    <x v="5"/>
    <x v="4"/>
    <x v="1"/>
    <x v="2"/>
    <n v="714.7"/>
    <s v="USD2022/kW"/>
  </r>
  <r>
    <x v="5"/>
    <x v="4"/>
    <x v="1"/>
    <x v="3"/>
    <n v="30"/>
    <s v="USD2022/kW-yr"/>
  </r>
  <r>
    <x v="5"/>
    <x v="4"/>
    <x v="1"/>
    <x v="4"/>
    <n v="0.41"/>
    <s v="fraction_LHV"/>
  </r>
  <r>
    <x v="5"/>
    <x v="4"/>
    <x v="1"/>
    <x v="5"/>
    <n v="2.4969999999999999"/>
    <s v="USD2022/GJ"/>
  </r>
  <r>
    <x v="5"/>
    <x v="4"/>
    <x v="2"/>
    <x v="0"/>
    <n v="700"/>
    <s v="USD2022/kW"/>
  </r>
  <r>
    <x v="5"/>
    <x v="4"/>
    <x v="2"/>
    <x v="1"/>
    <n v="682.4"/>
    <s v="USD2022/kW"/>
  </r>
  <r>
    <x v="5"/>
    <x v="4"/>
    <x v="2"/>
    <x v="2"/>
    <n v="717.6"/>
    <s v="USD2022/kW"/>
  </r>
  <r>
    <x v="5"/>
    <x v="4"/>
    <x v="2"/>
    <x v="3"/>
    <n v="30"/>
    <s v="USD2022/kW-yr"/>
  </r>
  <r>
    <x v="5"/>
    <x v="4"/>
    <x v="2"/>
    <x v="4"/>
    <n v="0.41"/>
    <s v="fraction_LHV"/>
  </r>
  <r>
    <x v="5"/>
    <x v="4"/>
    <x v="2"/>
    <x v="5"/>
    <n v="2.3170000000000002"/>
    <s v="USD2022/GJ"/>
  </r>
  <r>
    <x v="5"/>
    <x v="5"/>
    <x v="0"/>
    <x v="0"/>
    <n v="1200"/>
    <s v="USD2022/kW"/>
  </r>
  <r>
    <x v="5"/>
    <x v="5"/>
    <x v="0"/>
    <x v="1"/>
    <n v="1200"/>
    <s v="USD2022/kW"/>
  </r>
  <r>
    <x v="5"/>
    <x v="5"/>
    <x v="0"/>
    <x v="2"/>
    <n v="1200"/>
    <s v="USD2022/kW"/>
  </r>
  <r>
    <x v="5"/>
    <x v="5"/>
    <x v="0"/>
    <x v="3"/>
    <n v="50"/>
    <s v="USD2022/kW-yr"/>
  </r>
  <r>
    <x v="5"/>
    <x v="5"/>
    <x v="0"/>
    <x v="4"/>
    <n v="0.4"/>
    <s v="fraction_LHV"/>
  </r>
  <r>
    <x v="5"/>
    <x v="5"/>
    <x v="0"/>
    <x v="5"/>
    <n v="2.5830000000000002"/>
    <s v="USD2022/GJ"/>
  </r>
  <r>
    <x v="5"/>
    <x v="5"/>
    <x v="1"/>
    <x v="0"/>
    <n v="1200"/>
    <s v="USD2022/kW"/>
  </r>
  <r>
    <x v="5"/>
    <x v="5"/>
    <x v="1"/>
    <x v="1"/>
    <n v="1174.8"/>
    <s v="USD2022/kW"/>
  </r>
  <r>
    <x v="5"/>
    <x v="5"/>
    <x v="1"/>
    <x v="2"/>
    <n v="1225.2"/>
    <s v="USD2022/kW"/>
  </r>
  <r>
    <x v="5"/>
    <x v="5"/>
    <x v="1"/>
    <x v="3"/>
    <n v="50"/>
    <s v="USD2022/kW-yr"/>
  </r>
  <r>
    <x v="5"/>
    <x v="5"/>
    <x v="1"/>
    <x v="4"/>
    <n v="0.4"/>
    <s v="fraction_LHV"/>
  </r>
  <r>
    <x v="5"/>
    <x v="5"/>
    <x v="1"/>
    <x v="5"/>
    <n v="2.4969999999999999"/>
    <s v="USD2022/GJ"/>
  </r>
  <r>
    <x v="5"/>
    <x v="5"/>
    <x v="2"/>
    <x v="0"/>
    <n v="1200"/>
    <s v="USD2022/kW"/>
  </r>
  <r>
    <x v="5"/>
    <x v="5"/>
    <x v="2"/>
    <x v="1"/>
    <n v="1169.9000000000001"/>
    <s v="USD2022/kW"/>
  </r>
  <r>
    <x v="5"/>
    <x v="5"/>
    <x v="2"/>
    <x v="2"/>
    <n v="1230.0999999999999"/>
    <s v="USD2022/kW"/>
  </r>
  <r>
    <x v="5"/>
    <x v="5"/>
    <x v="2"/>
    <x v="3"/>
    <n v="50"/>
    <s v="USD2022/kW-yr"/>
  </r>
  <r>
    <x v="5"/>
    <x v="5"/>
    <x v="2"/>
    <x v="4"/>
    <n v="0.4"/>
    <s v="fraction_LHV"/>
  </r>
  <r>
    <x v="5"/>
    <x v="5"/>
    <x v="2"/>
    <x v="5"/>
    <n v="2.3170000000000002"/>
    <s v="USD2022/GJ"/>
  </r>
  <r>
    <x v="5"/>
    <x v="6"/>
    <x v="0"/>
    <x v="0"/>
    <n v="1600"/>
    <s v="USD2022/kW"/>
  </r>
  <r>
    <x v="5"/>
    <x v="6"/>
    <x v="0"/>
    <x v="1"/>
    <n v="1600"/>
    <s v="USD2022/kW"/>
  </r>
  <r>
    <x v="5"/>
    <x v="6"/>
    <x v="0"/>
    <x v="2"/>
    <n v="1600"/>
    <s v="USD2022/kW"/>
  </r>
  <r>
    <x v="5"/>
    <x v="6"/>
    <x v="0"/>
    <x v="3"/>
    <n v="65"/>
    <s v="USD2022/kW-yr"/>
  </r>
  <r>
    <x v="5"/>
    <x v="6"/>
    <x v="0"/>
    <x v="4"/>
    <n v="0.41"/>
    <s v="fraction_LHV"/>
  </r>
  <r>
    <x v="5"/>
    <x v="6"/>
    <x v="0"/>
    <x v="5"/>
    <n v="2.5830000000000002"/>
    <s v="USD2022/GJ"/>
  </r>
  <r>
    <x v="5"/>
    <x v="6"/>
    <x v="1"/>
    <x v="0"/>
    <n v="1600"/>
    <s v="USD2022/kW"/>
  </r>
  <r>
    <x v="5"/>
    <x v="6"/>
    <x v="1"/>
    <x v="1"/>
    <n v="1566.4"/>
    <s v="USD2022/kW"/>
  </r>
  <r>
    <x v="5"/>
    <x v="6"/>
    <x v="1"/>
    <x v="2"/>
    <n v="1633.6"/>
    <s v="USD2022/kW"/>
  </r>
  <r>
    <x v="5"/>
    <x v="6"/>
    <x v="1"/>
    <x v="3"/>
    <n v="65"/>
    <s v="USD2022/kW-yr"/>
  </r>
  <r>
    <x v="5"/>
    <x v="6"/>
    <x v="1"/>
    <x v="4"/>
    <n v="0.41"/>
    <s v="fraction_LHV"/>
  </r>
  <r>
    <x v="5"/>
    <x v="6"/>
    <x v="1"/>
    <x v="5"/>
    <n v="2.4969999999999999"/>
    <s v="USD2022/GJ"/>
  </r>
  <r>
    <x v="5"/>
    <x v="6"/>
    <x v="2"/>
    <x v="0"/>
    <n v="1600"/>
    <s v="USD2022/kW"/>
  </r>
  <r>
    <x v="5"/>
    <x v="6"/>
    <x v="2"/>
    <x v="1"/>
    <n v="1559.8"/>
    <s v="USD2022/kW"/>
  </r>
  <r>
    <x v="5"/>
    <x v="6"/>
    <x v="2"/>
    <x v="2"/>
    <n v="1640.2"/>
    <s v="USD2022/kW"/>
  </r>
  <r>
    <x v="5"/>
    <x v="6"/>
    <x v="2"/>
    <x v="3"/>
    <n v="65"/>
    <s v="USD2022/kW-yr"/>
  </r>
  <r>
    <x v="5"/>
    <x v="6"/>
    <x v="2"/>
    <x v="4"/>
    <n v="0.41"/>
    <s v="fraction_LHV"/>
  </r>
  <r>
    <x v="5"/>
    <x v="6"/>
    <x v="2"/>
    <x v="5"/>
    <n v="2.3170000000000002"/>
    <s v="USD2022/GJ"/>
  </r>
  <r>
    <x v="5"/>
    <x v="7"/>
    <x v="0"/>
    <x v="0"/>
    <n v="1600"/>
    <s v="USD2022/kW"/>
  </r>
  <r>
    <x v="5"/>
    <x v="7"/>
    <x v="0"/>
    <x v="1"/>
    <n v="1600"/>
    <s v="USD2022/kW"/>
  </r>
  <r>
    <x v="5"/>
    <x v="7"/>
    <x v="0"/>
    <x v="2"/>
    <n v="1600"/>
    <s v="USD2022/kW"/>
  </r>
  <r>
    <x v="5"/>
    <x v="7"/>
    <x v="0"/>
    <x v="3"/>
    <n v="55"/>
    <s v="USD2022/kW-yr"/>
  </r>
  <r>
    <x v="5"/>
    <x v="7"/>
    <x v="0"/>
    <x v="4"/>
    <n v="0.39"/>
    <s v="fraction_LHV"/>
  </r>
  <r>
    <x v="5"/>
    <x v="7"/>
    <x v="0"/>
    <x v="5"/>
    <n v="2.5830000000000002"/>
    <s v="USD2022/GJ"/>
  </r>
  <r>
    <x v="5"/>
    <x v="7"/>
    <x v="1"/>
    <x v="0"/>
    <n v="1600"/>
    <s v="USD2022/kW"/>
  </r>
  <r>
    <x v="5"/>
    <x v="7"/>
    <x v="1"/>
    <x v="1"/>
    <n v="1566.4"/>
    <s v="USD2022/kW"/>
  </r>
  <r>
    <x v="5"/>
    <x v="7"/>
    <x v="1"/>
    <x v="2"/>
    <n v="1633.6"/>
    <s v="USD2022/kW"/>
  </r>
  <r>
    <x v="5"/>
    <x v="7"/>
    <x v="1"/>
    <x v="3"/>
    <n v="55"/>
    <s v="USD2022/kW-yr"/>
  </r>
  <r>
    <x v="5"/>
    <x v="7"/>
    <x v="1"/>
    <x v="4"/>
    <n v="0.39"/>
    <s v="fraction_LHV"/>
  </r>
  <r>
    <x v="5"/>
    <x v="7"/>
    <x v="1"/>
    <x v="5"/>
    <n v="2.4969999999999999"/>
    <s v="USD2022/GJ"/>
  </r>
  <r>
    <x v="5"/>
    <x v="7"/>
    <x v="2"/>
    <x v="0"/>
    <n v="1600"/>
    <s v="USD2022/kW"/>
  </r>
  <r>
    <x v="5"/>
    <x v="7"/>
    <x v="2"/>
    <x v="1"/>
    <n v="1559.8"/>
    <s v="USD2022/kW"/>
  </r>
  <r>
    <x v="5"/>
    <x v="7"/>
    <x v="2"/>
    <x v="2"/>
    <n v="1640.2"/>
    <s v="USD2022/kW"/>
  </r>
  <r>
    <x v="5"/>
    <x v="7"/>
    <x v="2"/>
    <x v="3"/>
    <n v="55"/>
    <s v="USD2022/kW-yr"/>
  </r>
  <r>
    <x v="5"/>
    <x v="7"/>
    <x v="2"/>
    <x v="4"/>
    <n v="0.39"/>
    <s v="fraction_LHV"/>
  </r>
  <r>
    <x v="5"/>
    <x v="7"/>
    <x v="2"/>
    <x v="5"/>
    <n v="2.3170000000000002"/>
    <s v="USD2022/GJ"/>
  </r>
  <r>
    <x v="5"/>
    <x v="8"/>
    <x v="0"/>
    <x v="0"/>
    <n v="1600"/>
    <s v="USD2022/kW"/>
  </r>
  <r>
    <x v="5"/>
    <x v="8"/>
    <x v="0"/>
    <x v="1"/>
    <n v="1600"/>
    <s v="USD2022/kW"/>
  </r>
  <r>
    <x v="5"/>
    <x v="8"/>
    <x v="0"/>
    <x v="2"/>
    <n v="1600"/>
    <s v="USD2022/kW"/>
  </r>
  <r>
    <x v="5"/>
    <x v="8"/>
    <x v="0"/>
    <x v="3"/>
    <n v="65"/>
    <s v="USD2022/kW-yr"/>
  </r>
  <r>
    <x v="5"/>
    <x v="8"/>
    <x v="0"/>
    <x v="4"/>
    <n v="0.43"/>
    <s v="fraction_LHV"/>
  </r>
  <r>
    <x v="5"/>
    <x v="8"/>
    <x v="0"/>
    <x v="5"/>
    <n v="2.5830000000000002"/>
    <s v="USD2022/GJ"/>
  </r>
  <r>
    <x v="5"/>
    <x v="8"/>
    <x v="1"/>
    <x v="0"/>
    <n v="1600"/>
    <s v="USD2022/kW"/>
  </r>
  <r>
    <x v="5"/>
    <x v="8"/>
    <x v="1"/>
    <x v="1"/>
    <n v="1566.4"/>
    <s v="USD2022/kW"/>
  </r>
  <r>
    <x v="5"/>
    <x v="8"/>
    <x v="1"/>
    <x v="2"/>
    <n v="1633.6"/>
    <s v="USD2022/kW"/>
  </r>
  <r>
    <x v="5"/>
    <x v="8"/>
    <x v="1"/>
    <x v="3"/>
    <n v="65"/>
    <s v="USD2022/kW-yr"/>
  </r>
  <r>
    <x v="5"/>
    <x v="8"/>
    <x v="1"/>
    <x v="4"/>
    <n v="0.43"/>
    <s v="fraction_LHV"/>
  </r>
  <r>
    <x v="5"/>
    <x v="8"/>
    <x v="1"/>
    <x v="5"/>
    <n v="2.4969999999999999"/>
    <s v="USD2022/GJ"/>
  </r>
  <r>
    <x v="5"/>
    <x v="8"/>
    <x v="2"/>
    <x v="0"/>
    <n v="1600"/>
    <s v="USD2022/kW"/>
  </r>
  <r>
    <x v="5"/>
    <x v="8"/>
    <x v="2"/>
    <x v="1"/>
    <n v="1559.8"/>
    <s v="USD2022/kW"/>
  </r>
  <r>
    <x v="5"/>
    <x v="8"/>
    <x v="2"/>
    <x v="2"/>
    <n v="1640.2"/>
    <s v="USD2022/kW"/>
  </r>
  <r>
    <x v="5"/>
    <x v="8"/>
    <x v="2"/>
    <x v="3"/>
    <n v="65"/>
    <s v="USD2022/kW-yr"/>
  </r>
  <r>
    <x v="5"/>
    <x v="8"/>
    <x v="2"/>
    <x v="4"/>
    <n v="0.43"/>
    <s v="fraction_LHV"/>
  </r>
  <r>
    <x v="5"/>
    <x v="8"/>
    <x v="2"/>
    <x v="5"/>
    <n v="2.3170000000000002"/>
    <s v="USD2022/GJ"/>
  </r>
  <r>
    <x v="6"/>
    <x v="0"/>
    <x v="0"/>
    <x v="0"/>
    <n v="2200"/>
    <s v="USD2022/kW"/>
  </r>
  <r>
    <x v="6"/>
    <x v="0"/>
    <x v="0"/>
    <x v="1"/>
    <n v="2200"/>
    <s v="USD2022/kW"/>
  </r>
  <r>
    <x v="6"/>
    <x v="0"/>
    <x v="0"/>
    <x v="2"/>
    <n v="2200"/>
    <s v="USD2022/kW"/>
  </r>
  <r>
    <x v="6"/>
    <x v="0"/>
    <x v="0"/>
    <x v="3"/>
    <n v="65"/>
    <s v="USD2022/kW-yr"/>
  </r>
  <r>
    <x v="6"/>
    <x v="0"/>
    <x v="0"/>
    <x v="4"/>
    <n v="0.45"/>
    <s v="fraction_LHV"/>
  </r>
  <r>
    <x v="6"/>
    <x v="0"/>
    <x v="0"/>
    <x v="5"/>
    <n v="2.6389999999999998"/>
    <s v="USD2022/GJ"/>
  </r>
  <r>
    <x v="6"/>
    <x v="0"/>
    <x v="1"/>
    <x v="0"/>
    <n v="2200"/>
    <s v="USD2022/kW"/>
  </r>
  <r>
    <x v="6"/>
    <x v="0"/>
    <x v="1"/>
    <x v="1"/>
    <n v="2200"/>
    <s v="USD2022/kW"/>
  </r>
  <r>
    <x v="6"/>
    <x v="0"/>
    <x v="1"/>
    <x v="2"/>
    <n v="2200"/>
    <s v="USD2022/kW"/>
  </r>
  <r>
    <x v="6"/>
    <x v="0"/>
    <x v="1"/>
    <x v="3"/>
    <n v="65"/>
    <s v="USD2022/kW-yr"/>
  </r>
  <r>
    <x v="6"/>
    <x v="0"/>
    <x v="1"/>
    <x v="4"/>
    <n v="0.47"/>
    <s v="fraction_LHV"/>
  </r>
  <r>
    <x v="6"/>
    <x v="0"/>
    <x v="1"/>
    <x v="5"/>
    <n v="2.6389999999999998"/>
    <s v="USD2022/GJ"/>
  </r>
  <r>
    <x v="6"/>
    <x v="0"/>
    <x v="2"/>
    <x v="0"/>
    <n v="2200"/>
    <s v="USD2022/kW"/>
  </r>
  <r>
    <x v="6"/>
    <x v="0"/>
    <x v="2"/>
    <x v="1"/>
    <n v="2200"/>
    <s v="USD2022/kW"/>
  </r>
  <r>
    <x v="6"/>
    <x v="0"/>
    <x v="2"/>
    <x v="2"/>
    <n v="2200"/>
    <s v="USD2022/kW"/>
  </r>
  <r>
    <x v="6"/>
    <x v="0"/>
    <x v="2"/>
    <x v="3"/>
    <n v="65"/>
    <s v="USD2022/kW-yr"/>
  </r>
  <r>
    <x v="6"/>
    <x v="0"/>
    <x v="2"/>
    <x v="4"/>
    <n v="0.47"/>
    <s v="fraction_LHV"/>
  </r>
  <r>
    <x v="6"/>
    <x v="0"/>
    <x v="2"/>
    <x v="5"/>
    <n v="2.6389999999999998"/>
    <s v="USD2022/GJ"/>
  </r>
  <r>
    <x v="6"/>
    <x v="1"/>
    <x v="0"/>
    <x v="0"/>
    <n v="2300"/>
    <s v="USD2022/kW"/>
  </r>
  <r>
    <x v="6"/>
    <x v="1"/>
    <x v="0"/>
    <x v="1"/>
    <n v="2300"/>
    <s v="USD2022/kW"/>
  </r>
  <r>
    <x v="6"/>
    <x v="1"/>
    <x v="0"/>
    <x v="2"/>
    <n v="2300"/>
    <s v="USD2022/kW"/>
  </r>
  <r>
    <x v="6"/>
    <x v="1"/>
    <x v="0"/>
    <x v="3"/>
    <n v="70"/>
    <s v="USD2022/kW-yr"/>
  </r>
  <r>
    <x v="6"/>
    <x v="1"/>
    <x v="0"/>
    <x v="4"/>
    <n v="0.45"/>
    <s v="fraction_LHV"/>
  </r>
  <r>
    <x v="6"/>
    <x v="1"/>
    <x v="0"/>
    <x v="5"/>
    <n v="2.6389999999999998"/>
    <s v="USD2022/GJ"/>
  </r>
  <r>
    <x v="6"/>
    <x v="1"/>
    <x v="1"/>
    <x v="0"/>
    <n v="2300"/>
    <s v="USD2022/kW"/>
  </r>
  <r>
    <x v="6"/>
    <x v="1"/>
    <x v="1"/>
    <x v="1"/>
    <n v="2300"/>
    <s v="USD2022/kW"/>
  </r>
  <r>
    <x v="6"/>
    <x v="1"/>
    <x v="1"/>
    <x v="2"/>
    <n v="2300"/>
    <s v="USD2022/kW"/>
  </r>
  <r>
    <x v="6"/>
    <x v="1"/>
    <x v="1"/>
    <x v="3"/>
    <n v="70"/>
    <s v="USD2022/kW-yr"/>
  </r>
  <r>
    <x v="6"/>
    <x v="1"/>
    <x v="1"/>
    <x v="4"/>
    <n v="0.47"/>
    <s v="fraction_LHV"/>
  </r>
  <r>
    <x v="6"/>
    <x v="1"/>
    <x v="1"/>
    <x v="5"/>
    <n v="2.6389999999999998"/>
    <s v="USD2022/GJ"/>
  </r>
  <r>
    <x v="6"/>
    <x v="1"/>
    <x v="2"/>
    <x v="0"/>
    <n v="2300"/>
    <s v="USD2022/kW"/>
  </r>
  <r>
    <x v="6"/>
    <x v="1"/>
    <x v="2"/>
    <x v="1"/>
    <n v="2300"/>
    <s v="USD2022/kW"/>
  </r>
  <r>
    <x v="6"/>
    <x v="1"/>
    <x v="2"/>
    <x v="2"/>
    <n v="2300"/>
    <s v="USD2022/kW"/>
  </r>
  <r>
    <x v="6"/>
    <x v="1"/>
    <x v="2"/>
    <x v="3"/>
    <n v="70"/>
    <s v="USD2022/kW-yr"/>
  </r>
  <r>
    <x v="6"/>
    <x v="1"/>
    <x v="2"/>
    <x v="4"/>
    <n v="0.47"/>
    <s v="fraction_LHV"/>
  </r>
  <r>
    <x v="6"/>
    <x v="1"/>
    <x v="2"/>
    <x v="5"/>
    <n v="2.6389999999999998"/>
    <s v="USD2022/GJ"/>
  </r>
  <r>
    <x v="6"/>
    <x v="2"/>
    <x v="0"/>
    <x v="0"/>
    <n v="2600"/>
    <s v="USD2022/kW"/>
  </r>
  <r>
    <x v="6"/>
    <x v="2"/>
    <x v="0"/>
    <x v="1"/>
    <n v="2600"/>
    <s v="USD2022/kW"/>
  </r>
  <r>
    <x v="6"/>
    <x v="2"/>
    <x v="0"/>
    <x v="2"/>
    <n v="2600"/>
    <s v="USD2022/kW"/>
  </r>
  <r>
    <x v="6"/>
    <x v="2"/>
    <x v="0"/>
    <x v="3"/>
    <n v="80"/>
    <s v="USD2022/kW-yr"/>
  </r>
  <r>
    <x v="6"/>
    <x v="2"/>
    <x v="0"/>
    <x v="4"/>
    <n v="0.45"/>
    <s v="fraction_LHV"/>
  </r>
  <r>
    <x v="6"/>
    <x v="2"/>
    <x v="0"/>
    <x v="5"/>
    <n v="2.6389999999999998"/>
    <s v="USD2022/GJ"/>
  </r>
  <r>
    <x v="6"/>
    <x v="2"/>
    <x v="1"/>
    <x v="0"/>
    <n v="2600"/>
    <s v="USD2022/kW"/>
  </r>
  <r>
    <x v="6"/>
    <x v="2"/>
    <x v="1"/>
    <x v="1"/>
    <n v="2600"/>
    <s v="USD2022/kW"/>
  </r>
  <r>
    <x v="6"/>
    <x v="2"/>
    <x v="1"/>
    <x v="2"/>
    <n v="2600"/>
    <s v="USD2022/kW"/>
  </r>
  <r>
    <x v="6"/>
    <x v="2"/>
    <x v="1"/>
    <x v="3"/>
    <n v="80"/>
    <s v="USD2022/kW-yr"/>
  </r>
  <r>
    <x v="6"/>
    <x v="2"/>
    <x v="1"/>
    <x v="4"/>
    <n v="0.47"/>
    <s v="fraction_LHV"/>
  </r>
  <r>
    <x v="6"/>
    <x v="2"/>
    <x v="1"/>
    <x v="5"/>
    <n v="2.6389999999999998"/>
    <s v="USD2022/GJ"/>
  </r>
  <r>
    <x v="6"/>
    <x v="2"/>
    <x v="2"/>
    <x v="0"/>
    <n v="2600"/>
    <s v="USD2022/kW"/>
  </r>
  <r>
    <x v="6"/>
    <x v="2"/>
    <x v="2"/>
    <x v="1"/>
    <n v="2600"/>
    <s v="USD2022/kW"/>
  </r>
  <r>
    <x v="6"/>
    <x v="2"/>
    <x v="2"/>
    <x v="2"/>
    <n v="2600"/>
    <s v="USD2022/kW"/>
  </r>
  <r>
    <x v="6"/>
    <x v="2"/>
    <x v="2"/>
    <x v="3"/>
    <n v="80"/>
    <s v="USD2022/kW-yr"/>
  </r>
  <r>
    <x v="6"/>
    <x v="2"/>
    <x v="2"/>
    <x v="4"/>
    <n v="0.47"/>
    <s v="fraction_LHV"/>
  </r>
  <r>
    <x v="6"/>
    <x v="2"/>
    <x v="2"/>
    <x v="5"/>
    <n v="2.6389999999999998"/>
    <s v="USD2022/GJ"/>
  </r>
  <r>
    <x v="6"/>
    <x v="3"/>
    <x v="0"/>
    <x v="0"/>
    <n v="2200"/>
    <s v="USD2022/kW"/>
  </r>
  <r>
    <x v="6"/>
    <x v="3"/>
    <x v="0"/>
    <x v="1"/>
    <n v="2200"/>
    <s v="USD2022/kW"/>
  </r>
  <r>
    <x v="6"/>
    <x v="3"/>
    <x v="0"/>
    <x v="2"/>
    <n v="2200"/>
    <s v="USD2022/kW"/>
  </r>
  <r>
    <x v="6"/>
    <x v="3"/>
    <x v="0"/>
    <x v="3"/>
    <n v="65"/>
    <s v="USD2022/kW-yr"/>
  </r>
  <r>
    <x v="6"/>
    <x v="3"/>
    <x v="0"/>
    <x v="4"/>
    <n v="0.45"/>
    <s v="fraction_LHV"/>
  </r>
  <r>
    <x v="6"/>
    <x v="3"/>
    <x v="0"/>
    <x v="5"/>
    <n v="2.6389999999999998"/>
    <s v="USD2022/GJ"/>
  </r>
  <r>
    <x v="6"/>
    <x v="3"/>
    <x v="1"/>
    <x v="0"/>
    <n v="2200"/>
    <s v="USD2022/kW"/>
  </r>
  <r>
    <x v="6"/>
    <x v="3"/>
    <x v="1"/>
    <x v="1"/>
    <n v="2200"/>
    <s v="USD2022/kW"/>
  </r>
  <r>
    <x v="6"/>
    <x v="3"/>
    <x v="1"/>
    <x v="2"/>
    <n v="2200"/>
    <s v="USD2022/kW"/>
  </r>
  <r>
    <x v="6"/>
    <x v="3"/>
    <x v="1"/>
    <x v="3"/>
    <n v="65"/>
    <s v="USD2022/kW-yr"/>
  </r>
  <r>
    <x v="6"/>
    <x v="3"/>
    <x v="1"/>
    <x v="4"/>
    <n v="0.47"/>
    <s v="fraction_LHV"/>
  </r>
  <r>
    <x v="6"/>
    <x v="3"/>
    <x v="1"/>
    <x v="5"/>
    <n v="2.6389999999999998"/>
    <s v="USD2022/GJ"/>
  </r>
  <r>
    <x v="6"/>
    <x v="3"/>
    <x v="2"/>
    <x v="0"/>
    <n v="2200"/>
    <s v="USD2022/kW"/>
  </r>
  <r>
    <x v="6"/>
    <x v="3"/>
    <x v="2"/>
    <x v="1"/>
    <n v="2200"/>
    <s v="USD2022/kW"/>
  </r>
  <r>
    <x v="6"/>
    <x v="3"/>
    <x v="2"/>
    <x v="2"/>
    <n v="2200"/>
    <s v="USD2022/kW"/>
  </r>
  <r>
    <x v="6"/>
    <x v="3"/>
    <x v="2"/>
    <x v="3"/>
    <n v="65"/>
    <s v="USD2022/kW-yr"/>
  </r>
  <r>
    <x v="6"/>
    <x v="3"/>
    <x v="2"/>
    <x v="4"/>
    <n v="0.47"/>
    <s v="fraction_LHV"/>
  </r>
  <r>
    <x v="6"/>
    <x v="3"/>
    <x v="2"/>
    <x v="5"/>
    <n v="2.6389999999999998"/>
    <s v="USD2022/GJ"/>
  </r>
  <r>
    <x v="6"/>
    <x v="4"/>
    <x v="0"/>
    <x v="0"/>
    <n v="800"/>
    <s v="USD2022/kW"/>
  </r>
  <r>
    <x v="6"/>
    <x v="4"/>
    <x v="0"/>
    <x v="1"/>
    <n v="800"/>
    <s v="USD2022/kW"/>
  </r>
  <r>
    <x v="6"/>
    <x v="4"/>
    <x v="0"/>
    <x v="2"/>
    <n v="800"/>
    <s v="USD2022/kW"/>
  </r>
  <r>
    <x v="6"/>
    <x v="4"/>
    <x v="0"/>
    <x v="3"/>
    <n v="30"/>
    <s v="USD2022/kW-yr"/>
  </r>
  <r>
    <x v="6"/>
    <x v="4"/>
    <x v="0"/>
    <x v="4"/>
    <n v="0.44"/>
    <s v="fraction_LHV"/>
  </r>
  <r>
    <x v="6"/>
    <x v="4"/>
    <x v="0"/>
    <x v="5"/>
    <n v="2.6389999999999998"/>
    <s v="USD2022/GJ"/>
  </r>
  <r>
    <x v="6"/>
    <x v="4"/>
    <x v="1"/>
    <x v="0"/>
    <n v="800"/>
    <s v="USD2022/kW"/>
  </r>
  <r>
    <x v="6"/>
    <x v="4"/>
    <x v="1"/>
    <x v="1"/>
    <n v="800"/>
    <s v="USD2022/kW"/>
  </r>
  <r>
    <x v="6"/>
    <x v="4"/>
    <x v="1"/>
    <x v="2"/>
    <n v="800"/>
    <s v="USD2022/kW"/>
  </r>
  <r>
    <x v="6"/>
    <x v="4"/>
    <x v="1"/>
    <x v="3"/>
    <n v="30"/>
    <s v="USD2022/kW-yr"/>
  </r>
  <r>
    <x v="6"/>
    <x v="4"/>
    <x v="1"/>
    <x v="4"/>
    <n v="0.46"/>
    <s v="fraction_LHV"/>
  </r>
  <r>
    <x v="6"/>
    <x v="4"/>
    <x v="1"/>
    <x v="5"/>
    <n v="2.6389999999999998"/>
    <s v="USD2022/GJ"/>
  </r>
  <r>
    <x v="6"/>
    <x v="4"/>
    <x v="2"/>
    <x v="0"/>
    <n v="800"/>
    <s v="USD2022/kW"/>
  </r>
  <r>
    <x v="6"/>
    <x v="4"/>
    <x v="2"/>
    <x v="1"/>
    <n v="800"/>
    <s v="USD2022/kW"/>
  </r>
  <r>
    <x v="6"/>
    <x v="4"/>
    <x v="2"/>
    <x v="2"/>
    <n v="800"/>
    <s v="USD2022/kW"/>
  </r>
  <r>
    <x v="6"/>
    <x v="4"/>
    <x v="2"/>
    <x v="3"/>
    <n v="30"/>
    <s v="USD2022/kW-yr"/>
  </r>
  <r>
    <x v="6"/>
    <x v="4"/>
    <x v="2"/>
    <x v="4"/>
    <n v="0.47"/>
    <s v="fraction_LHV"/>
  </r>
  <r>
    <x v="6"/>
    <x v="4"/>
    <x v="2"/>
    <x v="5"/>
    <n v="2.6389999999999998"/>
    <s v="USD2022/GJ"/>
  </r>
  <r>
    <x v="6"/>
    <x v="5"/>
    <x v="0"/>
    <x v="0"/>
    <n v="1400"/>
    <s v="USD2022/kW"/>
  </r>
  <r>
    <x v="6"/>
    <x v="5"/>
    <x v="0"/>
    <x v="1"/>
    <n v="1400"/>
    <s v="USD2022/kW"/>
  </r>
  <r>
    <x v="6"/>
    <x v="5"/>
    <x v="0"/>
    <x v="2"/>
    <n v="1400"/>
    <s v="USD2022/kW"/>
  </r>
  <r>
    <x v="6"/>
    <x v="5"/>
    <x v="0"/>
    <x v="3"/>
    <n v="55"/>
    <s v="USD2022/kW-yr"/>
  </r>
  <r>
    <x v="6"/>
    <x v="5"/>
    <x v="0"/>
    <x v="4"/>
    <n v="0.4"/>
    <s v="fraction_LHV"/>
  </r>
  <r>
    <x v="6"/>
    <x v="5"/>
    <x v="0"/>
    <x v="5"/>
    <n v="2.6389999999999998"/>
    <s v="USD2022/GJ"/>
  </r>
  <r>
    <x v="6"/>
    <x v="5"/>
    <x v="1"/>
    <x v="0"/>
    <n v="1400"/>
    <s v="USD2022/kW"/>
  </r>
  <r>
    <x v="6"/>
    <x v="5"/>
    <x v="1"/>
    <x v="1"/>
    <n v="1400"/>
    <s v="USD2022/kW"/>
  </r>
  <r>
    <x v="6"/>
    <x v="5"/>
    <x v="1"/>
    <x v="2"/>
    <n v="1400"/>
    <s v="USD2022/kW"/>
  </r>
  <r>
    <x v="6"/>
    <x v="5"/>
    <x v="1"/>
    <x v="3"/>
    <n v="55"/>
    <s v="USD2022/kW-yr"/>
  </r>
  <r>
    <x v="6"/>
    <x v="5"/>
    <x v="1"/>
    <x v="4"/>
    <n v="0.42"/>
    <s v="fraction_LHV"/>
  </r>
  <r>
    <x v="6"/>
    <x v="5"/>
    <x v="1"/>
    <x v="5"/>
    <n v="2.6389999999999998"/>
    <s v="USD2022/GJ"/>
  </r>
  <r>
    <x v="6"/>
    <x v="5"/>
    <x v="2"/>
    <x v="0"/>
    <n v="1400"/>
    <s v="USD2022/kW"/>
  </r>
  <r>
    <x v="6"/>
    <x v="5"/>
    <x v="2"/>
    <x v="1"/>
    <n v="1400"/>
    <s v="USD2022/kW"/>
  </r>
  <r>
    <x v="6"/>
    <x v="5"/>
    <x v="2"/>
    <x v="2"/>
    <n v="1400"/>
    <s v="USD2022/kW"/>
  </r>
  <r>
    <x v="6"/>
    <x v="5"/>
    <x v="2"/>
    <x v="3"/>
    <n v="55"/>
    <s v="USD2022/kW-yr"/>
  </r>
  <r>
    <x v="6"/>
    <x v="5"/>
    <x v="2"/>
    <x v="4"/>
    <n v="0.43"/>
    <s v="fraction_LHV"/>
  </r>
  <r>
    <x v="6"/>
    <x v="5"/>
    <x v="2"/>
    <x v="5"/>
    <n v="2.6389999999999998"/>
    <s v="USD2022/GJ"/>
  </r>
  <r>
    <x v="6"/>
    <x v="6"/>
    <x v="0"/>
    <x v="0"/>
    <n v="1600"/>
    <s v="USD2022/kW"/>
  </r>
  <r>
    <x v="6"/>
    <x v="6"/>
    <x v="0"/>
    <x v="1"/>
    <n v="1600"/>
    <s v="USD2022/kW"/>
  </r>
  <r>
    <x v="6"/>
    <x v="6"/>
    <x v="0"/>
    <x v="2"/>
    <n v="1600"/>
    <s v="USD2022/kW"/>
  </r>
  <r>
    <x v="6"/>
    <x v="6"/>
    <x v="0"/>
    <x v="3"/>
    <n v="65"/>
    <s v="USD2022/kW-yr"/>
  </r>
  <r>
    <x v="6"/>
    <x v="6"/>
    <x v="0"/>
    <x v="4"/>
    <n v="0.43"/>
    <s v="fraction_LHV"/>
  </r>
  <r>
    <x v="6"/>
    <x v="6"/>
    <x v="0"/>
    <x v="5"/>
    <n v="2.6389999999999998"/>
    <s v="USD2022/GJ"/>
  </r>
  <r>
    <x v="6"/>
    <x v="6"/>
    <x v="1"/>
    <x v="0"/>
    <n v="1600"/>
    <s v="USD2022/kW"/>
  </r>
  <r>
    <x v="6"/>
    <x v="6"/>
    <x v="1"/>
    <x v="1"/>
    <n v="1600"/>
    <s v="USD2022/kW"/>
  </r>
  <r>
    <x v="6"/>
    <x v="6"/>
    <x v="1"/>
    <x v="2"/>
    <n v="1600"/>
    <s v="USD2022/kW"/>
  </r>
  <r>
    <x v="6"/>
    <x v="6"/>
    <x v="1"/>
    <x v="3"/>
    <n v="65"/>
    <s v="USD2022/kW-yr"/>
  </r>
  <r>
    <x v="6"/>
    <x v="6"/>
    <x v="1"/>
    <x v="4"/>
    <n v="0.45"/>
    <s v="fraction_LHV"/>
  </r>
  <r>
    <x v="6"/>
    <x v="6"/>
    <x v="1"/>
    <x v="5"/>
    <n v="2.6389999999999998"/>
    <s v="USD2022/GJ"/>
  </r>
  <r>
    <x v="6"/>
    <x v="6"/>
    <x v="2"/>
    <x v="0"/>
    <n v="1600"/>
    <s v="USD2022/kW"/>
  </r>
  <r>
    <x v="6"/>
    <x v="6"/>
    <x v="2"/>
    <x v="1"/>
    <n v="1600"/>
    <s v="USD2022/kW"/>
  </r>
  <r>
    <x v="6"/>
    <x v="6"/>
    <x v="2"/>
    <x v="2"/>
    <n v="1600"/>
    <s v="USD2022/kW"/>
  </r>
  <r>
    <x v="6"/>
    <x v="6"/>
    <x v="2"/>
    <x v="3"/>
    <n v="65"/>
    <s v="USD2022/kW-yr"/>
  </r>
  <r>
    <x v="6"/>
    <x v="6"/>
    <x v="2"/>
    <x v="4"/>
    <n v="0.45"/>
    <s v="fraction_LHV"/>
  </r>
  <r>
    <x v="6"/>
    <x v="6"/>
    <x v="2"/>
    <x v="5"/>
    <n v="2.6389999999999998"/>
    <s v="USD2022/GJ"/>
  </r>
  <r>
    <x v="6"/>
    <x v="7"/>
    <x v="0"/>
    <x v="0"/>
    <n v="1900"/>
    <s v="USD2022/kW"/>
  </r>
  <r>
    <x v="6"/>
    <x v="7"/>
    <x v="0"/>
    <x v="1"/>
    <n v="1900"/>
    <s v="USD2022/kW"/>
  </r>
  <r>
    <x v="6"/>
    <x v="7"/>
    <x v="0"/>
    <x v="2"/>
    <n v="1900"/>
    <s v="USD2022/kW"/>
  </r>
  <r>
    <x v="6"/>
    <x v="7"/>
    <x v="0"/>
    <x v="3"/>
    <n v="70"/>
    <s v="USD2022/kW-yr"/>
  </r>
  <r>
    <x v="6"/>
    <x v="7"/>
    <x v="0"/>
    <x v="4"/>
    <n v="0.42"/>
    <s v="fraction_LHV"/>
  </r>
  <r>
    <x v="6"/>
    <x v="7"/>
    <x v="0"/>
    <x v="5"/>
    <n v="2.6389999999999998"/>
    <s v="USD2022/GJ"/>
  </r>
  <r>
    <x v="6"/>
    <x v="7"/>
    <x v="1"/>
    <x v="0"/>
    <n v="1900"/>
    <s v="USD2022/kW"/>
  </r>
  <r>
    <x v="6"/>
    <x v="7"/>
    <x v="1"/>
    <x v="1"/>
    <n v="1900"/>
    <s v="USD2022/kW"/>
  </r>
  <r>
    <x v="6"/>
    <x v="7"/>
    <x v="1"/>
    <x v="2"/>
    <n v="1900"/>
    <s v="USD2022/kW"/>
  </r>
  <r>
    <x v="6"/>
    <x v="7"/>
    <x v="1"/>
    <x v="3"/>
    <n v="70"/>
    <s v="USD2022/kW-yr"/>
  </r>
  <r>
    <x v="6"/>
    <x v="7"/>
    <x v="1"/>
    <x v="4"/>
    <n v="0.43"/>
    <s v="fraction_LHV"/>
  </r>
  <r>
    <x v="6"/>
    <x v="7"/>
    <x v="1"/>
    <x v="5"/>
    <n v="2.6389999999999998"/>
    <s v="USD2022/GJ"/>
  </r>
  <r>
    <x v="6"/>
    <x v="7"/>
    <x v="2"/>
    <x v="0"/>
    <n v="1900"/>
    <s v="USD2022/kW"/>
  </r>
  <r>
    <x v="6"/>
    <x v="7"/>
    <x v="2"/>
    <x v="1"/>
    <n v="1900"/>
    <s v="USD2022/kW"/>
  </r>
  <r>
    <x v="6"/>
    <x v="7"/>
    <x v="2"/>
    <x v="2"/>
    <n v="1900"/>
    <s v="USD2022/kW"/>
  </r>
  <r>
    <x v="6"/>
    <x v="7"/>
    <x v="2"/>
    <x v="3"/>
    <n v="70"/>
    <s v="USD2022/kW-yr"/>
  </r>
  <r>
    <x v="6"/>
    <x v="7"/>
    <x v="2"/>
    <x v="4"/>
    <n v="0.44"/>
    <s v="fraction_LHV"/>
  </r>
  <r>
    <x v="6"/>
    <x v="7"/>
    <x v="2"/>
    <x v="5"/>
    <n v="2.6389999999999998"/>
    <s v="USD2022/GJ"/>
  </r>
  <r>
    <x v="6"/>
    <x v="8"/>
    <x v="0"/>
    <x v="0"/>
    <n v="1800"/>
    <s v="USD2022/kW"/>
  </r>
  <r>
    <x v="6"/>
    <x v="8"/>
    <x v="0"/>
    <x v="1"/>
    <n v="1800"/>
    <s v="USD2022/kW"/>
  </r>
  <r>
    <x v="6"/>
    <x v="8"/>
    <x v="0"/>
    <x v="2"/>
    <n v="1800"/>
    <s v="USD2022/kW"/>
  </r>
  <r>
    <x v="6"/>
    <x v="8"/>
    <x v="0"/>
    <x v="3"/>
    <n v="70"/>
    <s v="USD2022/kW-yr"/>
  </r>
  <r>
    <x v="6"/>
    <x v="8"/>
    <x v="0"/>
    <x v="4"/>
    <n v="0.45"/>
    <s v="fraction_LHV"/>
  </r>
  <r>
    <x v="6"/>
    <x v="8"/>
    <x v="0"/>
    <x v="5"/>
    <n v="2.6389999999999998"/>
    <s v="USD2022/GJ"/>
  </r>
  <r>
    <x v="6"/>
    <x v="8"/>
    <x v="1"/>
    <x v="0"/>
    <n v="1800"/>
    <s v="USD2022/kW"/>
  </r>
  <r>
    <x v="6"/>
    <x v="8"/>
    <x v="1"/>
    <x v="1"/>
    <n v="1800"/>
    <s v="USD2022/kW"/>
  </r>
  <r>
    <x v="6"/>
    <x v="8"/>
    <x v="1"/>
    <x v="2"/>
    <n v="1800"/>
    <s v="USD2022/kW"/>
  </r>
  <r>
    <x v="6"/>
    <x v="8"/>
    <x v="1"/>
    <x v="3"/>
    <n v="70"/>
    <s v="USD2022/kW-yr"/>
  </r>
  <r>
    <x v="6"/>
    <x v="8"/>
    <x v="1"/>
    <x v="4"/>
    <n v="0.47"/>
    <s v="fraction_LHV"/>
  </r>
  <r>
    <x v="6"/>
    <x v="8"/>
    <x v="1"/>
    <x v="5"/>
    <n v="2.6389999999999998"/>
    <s v="USD2022/GJ"/>
  </r>
  <r>
    <x v="6"/>
    <x v="8"/>
    <x v="2"/>
    <x v="0"/>
    <n v="1800"/>
    <s v="USD2022/kW"/>
  </r>
  <r>
    <x v="6"/>
    <x v="8"/>
    <x v="2"/>
    <x v="1"/>
    <n v="1800"/>
    <s v="USD2022/kW"/>
  </r>
  <r>
    <x v="6"/>
    <x v="8"/>
    <x v="2"/>
    <x v="2"/>
    <n v="1800"/>
    <s v="USD2022/kW"/>
  </r>
  <r>
    <x v="6"/>
    <x v="8"/>
    <x v="2"/>
    <x v="3"/>
    <n v="70"/>
    <s v="USD2022/kW-yr"/>
  </r>
  <r>
    <x v="6"/>
    <x v="8"/>
    <x v="2"/>
    <x v="4"/>
    <n v="0.47"/>
    <s v="fraction_LHV"/>
  </r>
  <r>
    <x v="6"/>
    <x v="8"/>
    <x v="2"/>
    <x v="5"/>
    <n v="2.6389999999999998"/>
    <s v="USD2022/GJ"/>
  </r>
  <r>
    <x v="7"/>
    <x v="0"/>
    <x v="0"/>
    <x v="0"/>
    <n v="2500"/>
    <s v="USD2022/kW"/>
  </r>
  <r>
    <x v="7"/>
    <x v="0"/>
    <x v="0"/>
    <x v="1"/>
    <n v="2500"/>
    <s v="USD2022/kW"/>
  </r>
  <r>
    <x v="7"/>
    <x v="0"/>
    <x v="0"/>
    <x v="2"/>
    <n v="2500"/>
    <s v="USD2022/kW"/>
  </r>
  <r>
    <x v="7"/>
    <x v="0"/>
    <x v="0"/>
    <x v="3"/>
    <n v="95"/>
    <s v="USD2022/kW-yr"/>
  </r>
  <r>
    <x v="7"/>
    <x v="0"/>
    <x v="0"/>
    <x v="4"/>
    <n v="0.44"/>
    <s v="fraction_LHV"/>
  </r>
  <r>
    <x v="7"/>
    <x v="0"/>
    <x v="1"/>
    <x v="0"/>
    <n v="2350"/>
    <s v="USD2022/kW"/>
  </r>
  <r>
    <x v="7"/>
    <x v="0"/>
    <x v="1"/>
    <x v="1"/>
    <n v="2350"/>
    <s v="USD2022/kW"/>
  </r>
  <r>
    <x v="7"/>
    <x v="0"/>
    <x v="1"/>
    <x v="2"/>
    <n v="2350"/>
    <s v="USD2022/kW"/>
  </r>
  <r>
    <x v="7"/>
    <x v="0"/>
    <x v="1"/>
    <x v="3"/>
    <n v="85"/>
    <s v="USD2022/kW-yr"/>
  </r>
  <r>
    <x v="7"/>
    <x v="0"/>
    <x v="1"/>
    <x v="4"/>
    <n v="0.47"/>
    <s v="fraction_LHV"/>
  </r>
  <r>
    <x v="7"/>
    <x v="0"/>
    <x v="2"/>
    <x v="0"/>
    <n v="2300"/>
    <s v="USD2022/kW"/>
  </r>
  <r>
    <x v="7"/>
    <x v="0"/>
    <x v="2"/>
    <x v="1"/>
    <n v="2300"/>
    <s v="USD2022/kW"/>
  </r>
  <r>
    <x v="7"/>
    <x v="0"/>
    <x v="2"/>
    <x v="2"/>
    <n v="2300"/>
    <s v="USD2022/kW"/>
  </r>
  <r>
    <x v="7"/>
    <x v="0"/>
    <x v="2"/>
    <x v="3"/>
    <n v="80"/>
    <s v="USD2022/kW-yr"/>
  </r>
  <r>
    <x v="7"/>
    <x v="0"/>
    <x v="2"/>
    <x v="4"/>
    <n v="0.49"/>
    <s v="fraction_LHV"/>
  </r>
  <r>
    <x v="7"/>
    <x v="1"/>
    <x v="0"/>
    <x v="0"/>
    <n v="2600"/>
    <s v="USD2022/kW"/>
  </r>
  <r>
    <x v="7"/>
    <x v="1"/>
    <x v="0"/>
    <x v="1"/>
    <n v="2600"/>
    <s v="USD2022/kW"/>
  </r>
  <r>
    <x v="7"/>
    <x v="1"/>
    <x v="0"/>
    <x v="2"/>
    <n v="2600"/>
    <s v="USD2022/kW"/>
  </r>
  <r>
    <x v="7"/>
    <x v="1"/>
    <x v="0"/>
    <x v="3"/>
    <n v="90"/>
    <s v="USD2022/kW-yr"/>
  </r>
  <r>
    <x v="7"/>
    <x v="1"/>
    <x v="0"/>
    <x v="4"/>
    <n v="0.44"/>
    <s v="fraction_LHV"/>
  </r>
  <r>
    <x v="7"/>
    <x v="1"/>
    <x v="1"/>
    <x v="0"/>
    <n v="2450"/>
    <s v="USD2022/kW"/>
  </r>
  <r>
    <x v="7"/>
    <x v="1"/>
    <x v="1"/>
    <x v="1"/>
    <n v="2450"/>
    <s v="USD2022/kW"/>
  </r>
  <r>
    <x v="7"/>
    <x v="1"/>
    <x v="1"/>
    <x v="2"/>
    <n v="2450"/>
    <s v="USD2022/kW"/>
  </r>
  <r>
    <x v="7"/>
    <x v="1"/>
    <x v="1"/>
    <x v="3"/>
    <n v="85"/>
    <s v="USD2022/kW-yr"/>
  </r>
  <r>
    <x v="7"/>
    <x v="1"/>
    <x v="1"/>
    <x v="4"/>
    <n v="0.47"/>
    <s v="fraction_LHV"/>
  </r>
  <r>
    <x v="7"/>
    <x v="1"/>
    <x v="2"/>
    <x v="0"/>
    <n v="2400"/>
    <s v="USD2022/kW"/>
  </r>
  <r>
    <x v="7"/>
    <x v="1"/>
    <x v="2"/>
    <x v="1"/>
    <n v="2400"/>
    <s v="USD2022/kW"/>
  </r>
  <r>
    <x v="7"/>
    <x v="1"/>
    <x v="2"/>
    <x v="2"/>
    <n v="2400"/>
    <s v="USD2022/kW"/>
  </r>
  <r>
    <x v="7"/>
    <x v="1"/>
    <x v="2"/>
    <x v="3"/>
    <n v="85"/>
    <s v="USD2022/kW-yr"/>
  </r>
  <r>
    <x v="7"/>
    <x v="1"/>
    <x v="2"/>
    <x v="4"/>
    <n v="0.49"/>
    <s v="fraction_LHV"/>
  </r>
  <r>
    <x v="7"/>
    <x v="2"/>
    <x v="0"/>
    <x v="0"/>
    <n v="2900"/>
    <s v="USD2022/kW"/>
  </r>
  <r>
    <x v="7"/>
    <x v="2"/>
    <x v="0"/>
    <x v="1"/>
    <n v="2900"/>
    <s v="USD2022/kW"/>
  </r>
  <r>
    <x v="7"/>
    <x v="2"/>
    <x v="0"/>
    <x v="2"/>
    <n v="2900"/>
    <s v="USD2022/kW"/>
  </r>
  <r>
    <x v="7"/>
    <x v="2"/>
    <x v="0"/>
    <x v="3"/>
    <n v="100"/>
    <s v="USD2022/kW-yr"/>
  </r>
  <r>
    <x v="7"/>
    <x v="2"/>
    <x v="0"/>
    <x v="4"/>
    <n v="0.44"/>
    <s v="fraction_LHV"/>
  </r>
  <r>
    <x v="7"/>
    <x v="2"/>
    <x v="1"/>
    <x v="0"/>
    <n v="2750"/>
    <s v="USD2022/kW"/>
  </r>
  <r>
    <x v="7"/>
    <x v="2"/>
    <x v="1"/>
    <x v="1"/>
    <n v="2750"/>
    <s v="USD2022/kW"/>
  </r>
  <r>
    <x v="7"/>
    <x v="2"/>
    <x v="1"/>
    <x v="2"/>
    <n v="2750"/>
    <s v="USD2022/kW"/>
  </r>
  <r>
    <x v="7"/>
    <x v="2"/>
    <x v="1"/>
    <x v="3"/>
    <n v="95"/>
    <s v="USD2022/kW-yr"/>
  </r>
  <r>
    <x v="7"/>
    <x v="2"/>
    <x v="1"/>
    <x v="4"/>
    <n v="0.47"/>
    <s v="fraction_LHV"/>
  </r>
  <r>
    <x v="7"/>
    <x v="2"/>
    <x v="2"/>
    <x v="0"/>
    <n v="2700"/>
    <s v="USD2022/kW"/>
  </r>
  <r>
    <x v="7"/>
    <x v="2"/>
    <x v="2"/>
    <x v="1"/>
    <n v="2700"/>
    <s v="USD2022/kW"/>
  </r>
  <r>
    <x v="7"/>
    <x v="2"/>
    <x v="2"/>
    <x v="2"/>
    <n v="2700"/>
    <s v="USD2022/kW"/>
  </r>
  <r>
    <x v="7"/>
    <x v="2"/>
    <x v="2"/>
    <x v="3"/>
    <n v="95"/>
    <s v="USD2022/kW-yr"/>
  </r>
  <r>
    <x v="7"/>
    <x v="2"/>
    <x v="2"/>
    <x v="4"/>
    <n v="0.49"/>
    <s v="fraction_LHV"/>
  </r>
  <r>
    <x v="7"/>
    <x v="3"/>
    <x v="0"/>
    <x v="0"/>
    <n v="2500"/>
    <s v="USD2022/kW"/>
  </r>
  <r>
    <x v="7"/>
    <x v="3"/>
    <x v="0"/>
    <x v="1"/>
    <n v="2500"/>
    <s v="USD2022/kW"/>
  </r>
  <r>
    <x v="7"/>
    <x v="3"/>
    <x v="0"/>
    <x v="2"/>
    <n v="2500"/>
    <s v="USD2022/kW"/>
  </r>
  <r>
    <x v="7"/>
    <x v="3"/>
    <x v="0"/>
    <x v="3"/>
    <n v="90"/>
    <s v="USD2022/kW-yr"/>
  </r>
  <r>
    <x v="7"/>
    <x v="3"/>
    <x v="0"/>
    <x v="4"/>
    <n v="0.44"/>
    <s v="fraction_LHV"/>
  </r>
  <r>
    <x v="7"/>
    <x v="3"/>
    <x v="1"/>
    <x v="0"/>
    <n v="2350"/>
    <s v="USD2022/kW"/>
  </r>
  <r>
    <x v="7"/>
    <x v="3"/>
    <x v="1"/>
    <x v="1"/>
    <n v="2350"/>
    <s v="USD2022/kW"/>
  </r>
  <r>
    <x v="7"/>
    <x v="3"/>
    <x v="1"/>
    <x v="2"/>
    <n v="2350"/>
    <s v="USD2022/kW"/>
  </r>
  <r>
    <x v="7"/>
    <x v="3"/>
    <x v="1"/>
    <x v="3"/>
    <n v="85"/>
    <s v="USD2022/kW-yr"/>
  </r>
  <r>
    <x v="7"/>
    <x v="3"/>
    <x v="1"/>
    <x v="4"/>
    <n v="0.47"/>
    <s v="fraction_LHV"/>
  </r>
  <r>
    <x v="7"/>
    <x v="3"/>
    <x v="2"/>
    <x v="0"/>
    <n v="2300"/>
    <s v="USD2022/kW"/>
  </r>
  <r>
    <x v="7"/>
    <x v="3"/>
    <x v="2"/>
    <x v="1"/>
    <n v="2300"/>
    <s v="USD2022/kW"/>
  </r>
  <r>
    <x v="7"/>
    <x v="3"/>
    <x v="2"/>
    <x v="2"/>
    <n v="2300"/>
    <s v="USD2022/kW"/>
  </r>
  <r>
    <x v="7"/>
    <x v="3"/>
    <x v="2"/>
    <x v="3"/>
    <n v="80"/>
    <s v="USD2022/kW-yr"/>
  </r>
  <r>
    <x v="7"/>
    <x v="3"/>
    <x v="2"/>
    <x v="4"/>
    <n v="0.49"/>
    <s v="fraction_LHV"/>
  </r>
  <r>
    <x v="7"/>
    <x v="4"/>
    <x v="0"/>
    <x v="0"/>
    <n v="1100"/>
    <s v="USD2022/kW"/>
  </r>
  <r>
    <x v="7"/>
    <x v="4"/>
    <x v="0"/>
    <x v="1"/>
    <n v="1100"/>
    <s v="USD2022/kW"/>
  </r>
  <r>
    <x v="7"/>
    <x v="4"/>
    <x v="0"/>
    <x v="2"/>
    <n v="1100"/>
    <s v="USD2022/kW"/>
  </r>
  <r>
    <x v="7"/>
    <x v="4"/>
    <x v="0"/>
    <x v="3"/>
    <n v="50"/>
    <s v="USD2022/kW-yr"/>
  </r>
  <r>
    <x v="7"/>
    <x v="4"/>
    <x v="0"/>
    <x v="4"/>
    <n v="0.43"/>
    <s v="fraction_LHV"/>
  </r>
  <r>
    <x v="7"/>
    <x v="4"/>
    <x v="1"/>
    <x v="0"/>
    <n v="1000"/>
    <s v="USD2022/kW"/>
  </r>
  <r>
    <x v="7"/>
    <x v="4"/>
    <x v="1"/>
    <x v="1"/>
    <n v="1000"/>
    <s v="USD2022/kW"/>
  </r>
  <r>
    <x v="7"/>
    <x v="4"/>
    <x v="1"/>
    <x v="2"/>
    <n v="1000"/>
    <s v="USD2022/kW"/>
  </r>
  <r>
    <x v="7"/>
    <x v="4"/>
    <x v="1"/>
    <x v="3"/>
    <n v="45"/>
    <s v="USD2022/kW-yr"/>
  </r>
  <r>
    <x v="7"/>
    <x v="4"/>
    <x v="1"/>
    <x v="4"/>
    <n v="0.46"/>
    <s v="fraction_LHV"/>
  </r>
  <r>
    <x v="7"/>
    <x v="4"/>
    <x v="2"/>
    <x v="0"/>
    <n v="900"/>
    <s v="USD2022/kW"/>
  </r>
  <r>
    <x v="7"/>
    <x v="4"/>
    <x v="2"/>
    <x v="1"/>
    <n v="900"/>
    <s v="USD2022/kW"/>
  </r>
  <r>
    <x v="7"/>
    <x v="4"/>
    <x v="2"/>
    <x v="2"/>
    <n v="900"/>
    <s v="USD2022/kW"/>
  </r>
  <r>
    <x v="7"/>
    <x v="4"/>
    <x v="2"/>
    <x v="3"/>
    <n v="40"/>
    <s v="USD2022/kW-yr"/>
  </r>
  <r>
    <x v="7"/>
    <x v="4"/>
    <x v="2"/>
    <x v="4"/>
    <n v="0.49"/>
    <s v="fraction_LHV"/>
  </r>
  <r>
    <x v="7"/>
    <x v="5"/>
    <x v="0"/>
    <x v="0"/>
    <n v="1600"/>
    <s v="USD2022/kW"/>
  </r>
  <r>
    <x v="7"/>
    <x v="5"/>
    <x v="0"/>
    <x v="1"/>
    <n v="1600"/>
    <s v="USD2022/kW"/>
  </r>
  <r>
    <x v="7"/>
    <x v="5"/>
    <x v="0"/>
    <x v="2"/>
    <n v="1600"/>
    <s v="USD2022/kW"/>
  </r>
  <r>
    <x v="7"/>
    <x v="5"/>
    <x v="0"/>
    <x v="3"/>
    <n v="70"/>
    <s v="USD2022/kW-yr"/>
  </r>
  <r>
    <x v="7"/>
    <x v="5"/>
    <x v="0"/>
    <x v="4"/>
    <n v="0.41"/>
    <s v="fraction_LHV"/>
  </r>
  <r>
    <x v="7"/>
    <x v="5"/>
    <x v="1"/>
    <x v="0"/>
    <n v="1500"/>
    <s v="USD2022/kW"/>
  </r>
  <r>
    <x v="7"/>
    <x v="5"/>
    <x v="1"/>
    <x v="1"/>
    <n v="1500"/>
    <s v="USD2022/kW"/>
  </r>
  <r>
    <x v="7"/>
    <x v="5"/>
    <x v="1"/>
    <x v="2"/>
    <n v="1500"/>
    <s v="USD2022/kW"/>
  </r>
  <r>
    <x v="7"/>
    <x v="5"/>
    <x v="1"/>
    <x v="3"/>
    <n v="70"/>
    <s v="USD2022/kW-yr"/>
  </r>
  <r>
    <x v="7"/>
    <x v="5"/>
    <x v="1"/>
    <x v="4"/>
    <n v="0.44"/>
    <s v="fraction_LHV"/>
  </r>
  <r>
    <x v="7"/>
    <x v="5"/>
    <x v="2"/>
    <x v="0"/>
    <n v="1500"/>
    <s v="USD2022/kW"/>
  </r>
  <r>
    <x v="7"/>
    <x v="5"/>
    <x v="2"/>
    <x v="1"/>
    <n v="1500"/>
    <s v="USD2022/kW"/>
  </r>
  <r>
    <x v="7"/>
    <x v="5"/>
    <x v="2"/>
    <x v="2"/>
    <n v="1500"/>
    <s v="USD2022/kW"/>
  </r>
  <r>
    <x v="7"/>
    <x v="5"/>
    <x v="2"/>
    <x v="3"/>
    <n v="70"/>
    <s v="USD2022/kW-yr"/>
  </r>
  <r>
    <x v="7"/>
    <x v="5"/>
    <x v="2"/>
    <x v="4"/>
    <n v="0.47"/>
    <s v="fraction_LHV"/>
  </r>
  <r>
    <x v="7"/>
    <x v="6"/>
    <x v="0"/>
    <x v="0"/>
    <n v="2000"/>
    <s v="USD2022/kW"/>
  </r>
  <r>
    <x v="7"/>
    <x v="6"/>
    <x v="0"/>
    <x v="1"/>
    <n v="2000"/>
    <s v="USD2022/kW"/>
  </r>
  <r>
    <x v="7"/>
    <x v="6"/>
    <x v="0"/>
    <x v="2"/>
    <n v="2000"/>
    <s v="USD2022/kW"/>
  </r>
  <r>
    <x v="7"/>
    <x v="6"/>
    <x v="0"/>
    <x v="3"/>
    <n v="90"/>
    <s v="USD2022/kW-yr"/>
  </r>
  <r>
    <x v="7"/>
    <x v="6"/>
    <x v="0"/>
    <x v="4"/>
    <n v="0.42"/>
    <s v="fraction_LHV"/>
  </r>
  <r>
    <x v="7"/>
    <x v="6"/>
    <x v="1"/>
    <x v="0"/>
    <n v="1900"/>
    <s v="USD2022/kW"/>
  </r>
  <r>
    <x v="7"/>
    <x v="6"/>
    <x v="1"/>
    <x v="1"/>
    <n v="1900"/>
    <s v="USD2022/kW"/>
  </r>
  <r>
    <x v="7"/>
    <x v="6"/>
    <x v="1"/>
    <x v="2"/>
    <n v="1900"/>
    <s v="USD2022/kW"/>
  </r>
  <r>
    <x v="7"/>
    <x v="6"/>
    <x v="1"/>
    <x v="3"/>
    <n v="85"/>
    <s v="USD2022/kW-yr"/>
  </r>
  <r>
    <x v="7"/>
    <x v="6"/>
    <x v="1"/>
    <x v="4"/>
    <n v="0.45"/>
    <s v="fraction_LHV"/>
  </r>
  <r>
    <x v="7"/>
    <x v="6"/>
    <x v="2"/>
    <x v="0"/>
    <n v="1900"/>
    <s v="USD2022/kW"/>
  </r>
  <r>
    <x v="7"/>
    <x v="6"/>
    <x v="2"/>
    <x v="1"/>
    <n v="1900"/>
    <s v="USD2022/kW"/>
  </r>
  <r>
    <x v="7"/>
    <x v="6"/>
    <x v="2"/>
    <x v="2"/>
    <n v="1900"/>
    <s v="USD2022/kW"/>
  </r>
  <r>
    <x v="7"/>
    <x v="6"/>
    <x v="2"/>
    <x v="3"/>
    <n v="85"/>
    <s v="USD2022/kW-yr"/>
  </r>
  <r>
    <x v="7"/>
    <x v="6"/>
    <x v="2"/>
    <x v="4"/>
    <n v="0.47"/>
    <s v="fraction_LHV"/>
  </r>
  <r>
    <x v="7"/>
    <x v="7"/>
    <x v="0"/>
    <x v="0"/>
    <n v="2200"/>
    <s v="USD2022/kW"/>
  </r>
  <r>
    <x v="7"/>
    <x v="7"/>
    <x v="0"/>
    <x v="1"/>
    <n v="2200"/>
    <s v="USD2022/kW"/>
  </r>
  <r>
    <x v="7"/>
    <x v="7"/>
    <x v="0"/>
    <x v="2"/>
    <n v="2200"/>
    <s v="USD2022/kW"/>
  </r>
  <r>
    <x v="7"/>
    <x v="7"/>
    <x v="0"/>
    <x v="3"/>
    <n v="90"/>
    <s v="USD2022/kW-yr"/>
  </r>
  <r>
    <x v="7"/>
    <x v="7"/>
    <x v="0"/>
    <x v="4"/>
    <n v="0.4"/>
    <s v="fraction_LHV"/>
  </r>
  <r>
    <x v="7"/>
    <x v="7"/>
    <x v="1"/>
    <x v="0"/>
    <n v="2100"/>
    <s v="USD2022/kW"/>
  </r>
  <r>
    <x v="7"/>
    <x v="7"/>
    <x v="1"/>
    <x v="1"/>
    <n v="2100"/>
    <s v="USD2022/kW"/>
  </r>
  <r>
    <x v="7"/>
    <x v="7"/>
    <x v="1"/>
    <x v="2"/>
    <n v="2100"/>
    <s v="USD2022/kW"/>
  </r>
  <r>
    <x v="7"/>
    <x v="7"/>
    <x v="1"/>
    <x v="3"/>
    <n v="85"/>
    <s v="USD2022/kW-yr"/>
  </r>
  <r>
    <x v="7"/>
    <x v="7"/>
    <x v="1"/>
    <x v="4"/>
    <n v="0.43"/>
    <s v="fraction_LHV"/>
  </r>
  <r>
    <x v="7"/>
    <x v="7"/>
    <x v="2"/>
    <x v="0"/>
    <n v="2100"/>
    <s v="USD2022/kW"/>
  </r>
  <r>
    <x v="7"/>
    <x v="7"/>
    <x v="2"/>
    <x v="1"/>
    <n v="2100"/>
    <s v="USD2022/kW"/>
  </r>
  <r>
    <x v="7"/>
    <x v="7"/>
    <x v="2"/>
    <x v="2"/>
    <n v="2100"/>
    <s v="USD2022/kW"/>
  </r>
  <r>
    <x v="7"/>
    <x v="7"/>
    <x v="2"/>
    <x v="3"/>
    <n v="85"/>
    <s v="USD2022/kW-yr"/>
  </r>
  <r>
    <x v="7"/>
    <x v="7"/>
    <x v="2"/>
    <x v="4"/>
    <n v="0.45"/>
    <s v="fraction_LHV"/>
  </r>
  <r>
    <x v="7"/>
    <x v="8"/>
    <x v="0"/>
    <x v="0"/>
    <n v="2000"/>
    <s v="USD2022/kW"/>
  </r>
  <r>
    <x v="7"/>
    <x v="8"/>
    <x v="0"/>
    <x v="1"/>
    <n v="2000"/>
    <s v="USD2022/kW"/>
  </r>
  <r>
    <x v="7"/>
    <x v="8"/>
    <x v="0"/>
    <x v="2"/>
    <n v="2000"/>
    <s v="USD2022/kW"/>
  </r>
  <r>
    <x v="7"/>
    <x v="8"/>
    <x v="0"/>
    <x v="3"/>
    <n v="90"/>
    <s v="USD2022/kW-yr"/>
  </r>
  <r>
    <x v="7"/>
    <x v="8"/>
    <x v="0"/>
    <x v="4"/>
    <n v="0.44"/>
    <s v="fraction_LHV"/>
  </r>
  <r>
    <x v="7"/>
    <x v="8"/>
    <x v="1"/>
    <x v="0"/>
    <n v="1900"/>
    <s v="USD2022/kW"/>
  </r>
  <r>
    <x v="7"/>
    <x v="8"/>
    <x v="1"/>
    <x v="1"/>
    <n v="1900"/>
    <s v="USD2022/kW"/>
  </r>
  <r>
    <x v="7"/>
    <x v="8"/>
    <x v="1"/>
    <x v="2"/>
    <n v="1900"/>
    <s v="USD2022/kW"/>
  </r>
  <r>
    <x v="7"/>
    <x v="8"/>
    <x v="1"/>
    <x v="3"/>
    <n v="85"/>
    <s v="USD2022/kW-yr"/>
  </r>
  <r>
    <x v="7"/>
    <x v="8"/>
    <x v="1"/>
    <x v="4"/>
    <n v="0.47"/>
    <s v="fraction_LHV"/>
  </r>
  <r>
    <x v="7"/>
    <x v="8"/>
    <x v="2"/>
    <x v="0"/>
    <n v="1900"/>
    <s v="USD2022/kW"/>
  </r>
  <r>
    <x v="7"/>
    <x v="8"/>
    <x v="2"/>
    <x v="1"/>
    <n v="1900"/>
    <s v="USD2022/kW"/>
  </r>
  <r>
    <x v="7"/>
    <x v="8"/>
    <x v="2"/>
    <x v="2"/>
    <n v="1900"/>
    <s v="USD2022/kW"/>
  </r>
  <r>
    <x v="7"/>
    <x v="8"/>
    <x v="2"/>
    <x v="3"/>
    <n v="85"/>
    <s v="USD2022/kW-yr"/>
  </r>
  <r>
    <x v="7"/>
    <x v="8"/>
    <x v="2"/>
    <x v="4"/>
    <n v="0.49"/>
    <s v="fraction_LHV"/>
  </r>
  <r>
    <x v="8"/>
    <x v="0"/>
    <x v="0"/>
    <x v="0"/>
    <n v="5500"/>
    <s v="USD2022/kW"/>
  </r>
  <r>
    <x v="8"/>
    <x v="0"/>
    <x v="0"/>
    <x v="1"/>
    <n v="5500"/>
    <s v="USD2022/kW"/>
  </r>
  <r>
    <x v="8"/>
    <x v="0"/>
    <x v="0"/>
    <x v="2"/>
    <n v="5500"/>
    <s v="USD2022/kW"/>
  </r>
  <r>
    <x v="8"/>
    <x v="0"/>
    <x v="0"/>
    <x v="3"/>
    <n v="165"/>
    <s v="USD2022/kW-yr"/>
  </r>
  <r>
    <x v="8"/>
    <x v="0"/>
    <x v="0"/>
    <x v="4"/>
    <n v="0.36"/>
    <s v="fraction_LHV"/>
  </r>
  <r>
    <x v="8"/>
    <x v="0"/>
    <x v="0"/>
    <x v="5"/>
    <n v="4.4779999999999998"/>
    <s v="USD2022/GJ"/>
  </r>
  <r>
    <x v="8"/>
    <x v="0"/>
    <x v="1"/>
    <x v="0"/>
    <n v="5500"/>
    <s v="USD2022/kW"/>
  </r>
  <r>
    <x v="8"/>
    <x v="0"/>
    <x v="1"/>
    <x v="1"/>
    <n v="5621"/>
    <s v="USD2022/kW"/>
  </r>
  <r>
    <x v="8"/>
    <x v="0"/>
    <x v="1"/>
    <x v="2"/>
    <n v="5379"/>
    <s v="USD2022/kW"/>
  </r>
  <r>
    <x v="8"/>
    <x v="0"/>
    <x v="1"/>
    <x v="3"/>
    <n v="165"/>
    <s v="USD2022/kW-yr"/>
  </r>
  <r>
    <x v="8"/>
    <x v="0"/>
    <x v="1"/>
    <x v="4"/>
    <n v="0.37"/>
    <s v="fraction_LHV"/>
  </r>
  <r>
    <x v="8"/>
    <x v="0"/>
    <x v="1"/>
    <x v="5"/>
    <n v="4.1529999999999996"/>
    <s v="USD2022/GJ"/>
  </r>
  <r>
    <x v="8"/>
    <x v="0"/>
    <x v="2"/>
    <x v="0"/>
    <n v="4500"/>
    <s v="USD2022/kW"/>
  </r>
  <r>
    <x v="8"/>
    <x v="0"/>
    <x v="2"/>
    <x v="1"/>
    <n v="4706.1000000000004"/>
    <s v="USD2022/kW"/>
  </r>
  <r>
    <x v="8"/>
    <x v="0"/>
    <x v="2"/>
    <x v="2"/>
    <n v="4293.8999999999996"/>
    <s v="USD2022/kW"/>
  </r>
  <r>
    <x v="8"/>
    <x v="0"/>
    <x v="2"/>
    <x v="3"/>
    <n v="135"/>
    <s v="USD2022/kW-yr"/>
  </r>
  <r>
    <x v="8"/>
    <x v="0"/>
    <x v="2"/>
    <x v="4"/>
    <n v="0.37"/>
    <s v="fraction_LHV"/>
  </r>
  <r>
    <x v="8"/>
    <x v="0"/>
    <x v="2"/>
    <x v="5"/>
    <n v="3.7309999999999999"/>
    <s v="USD2022/GJ"/>
  </r>
  <r>
    <x v="8"/>
    <x v="1"/>
    <x v="0"/>
    <x v="0"/>
    <n v="5600"/>
    <s v="USD2022/kW"/>
  </r>
  <r>
    <x v="8"/>
    <x v="1"/>
    <x v="0"/>
    <x v="1"/>
    <n v="5600"/>
    <s v="USD2022/kW"/>
  </r>
  <r>
    <x v="8"/>
    <x v="1"/>
    <x v="0"/>
    <x v="2"/>
    <n v="5600"/>
    <s v="USD2022/kW"/>
  </r>
  <r>
    <x v="8"/>
    <x v="1"/>
    <x v="0"/>
    <x v="3"/>
    <n v="170"/>
    <s v="USD2022/kW-yr"/>
  </r>
  <r>
    <x v="8"/>
    <x v="1"/>
    <x v="0"/>
    <x v="4"/>
    <n v="0.36"/>
    <s v="fraction_LHV"/>
  </r>
  <r>
    <x v="8"/>
    <x v="1"/>
    <x v="0"/>
    <x v="5"/>
    <n v="4.4779999999999998"/>
    <s v="USD2022/GJ"/>
  </r>
  <r>
    <x v="8"/>
    <x v="1"/>
    <x v="1"/>
    <x v="0"/>
    <n v="5600"/>
    <s v="USD2022/kW"/>
  </r>
  <r>
    <x v="8"/>
    <x v="1"/>
    <x v="1"/>
    <x v="1"/>
    <n v="5723.2"/>
    <s v="USD2022/kW"/>
  </r>
  <r>
    <x v="8"/>
    <x v="1"/>
    <x v="1"/>
    <x v="2"/>
    <n v="5476.8"/>
    <s v="USD2022/kW"/>
  </r>
  <r>
    <x v="8"/>
    <x v="1"/>
    <x v="1"/>
    <x v="3"/>
    <n v="170"/>
    <s v="USD2022/kW-yr"/>
  </r>
  <r>
    <x v="8"/>
    <x v="1"/>
    <x v="1"/>
    <x v="4"/>
    <n v="0.37"/>
    <s v="fraction_LHV"/>
  </r>
  <r>
    <x v="8"/>
    <x v="1"/>
    <x v="1"/>
    <x v="5"/>
    <n v="4.1529999999999996"/>
    <s v="USD2022/GJ"/>
  </r>
  <r>
    <x v="8"/>
    <x v="1"/>
    <x v="2"/>
    <x v="0"/>
    <n v="4450"/>
    <s v="USD2022/kW"/>
  </r>
  <r>
    <x v="8"/>
    <x v="1"/>
    <x v="2"/>
    <x v="1"/>
    <n v="4653.8"/>
    <s v="USD2022/kW"/>
  </r>
  <r>
    <x v="8"/>
    <x v="1"/>
    <x v="2"/>
    <x v="2"/>
    <n v="4246.2"/>
    <s v="USD2022/kW"/>
  </r>
  <r>
    <x v="8"/>
    <x v="1"/>
    <x v="2"/>
    <x v="3"/>
    <n v="135"/>
    <s v="USD2022/kW-yr"/>
  </r>
  <r>
    <x v="8"/>
    <x v="1"/>
    <x v="2"/>
    <x v="4"/>
    <n v="0.37"/>
    <s v="fraction_LHV"/>
  </r>
  <r>
    <x v="8"/>
    <x v="1"/>
    <x v="2"/>
    <x v="5"/>
    <n v="3.7309999999999999"/>
    <s v="USD2022/GJ"/>
  </r>
  <r>
    <x v="8"/>
    <x v="2"/>
    <x v="0"/>
    <x v="0"/>
    <n v="5900"/>
    <s v="USD2022/kW"/>
  </r>
  <r>
    <x v="8"/>
    <x v="2"/>
    <x v="0"/>
    <x v="1"/>
    <n v="5900"/>
    <s v="USD2022/kW"/>
  </r>
  <r>
    <x v="8"/>
    <x v="2"/>
    <x v="0"/>
    <x v="2"/>
    <n v="5900"/>
    <s v="USD2022/kW"/>
  </r>
  <r>
    <x v="8"/>
    <x v="2"/>
    <x v="0"/>
    <x v="3"/>
    <n v="175"/>
    <s v="USD2022/kW-yr"/>
  </r>
  <r>
    <x v="8"/>
    <x v="2"/>
    <x v="0"/>
    <x v="4"/>
    <n v="0.36"/>
    <s v="fraction_LHV"/>
  </r>
  <r>
    <x v="8"/>
    <x v="2"/>
    <x v="0"/>
    <x v="5"/>
    <n v="4.4779999999999998"/>
    <s v="USD2022/GJ"/>
  </r>
  <r>
    <x v="8"/>
    <x v="2"/>
    <x v="1"/>
    <x v="0"/>
    <n v="5900"/>
    <s v="USD2022/kW"/>
  </r>
  <r>
    <x v="8"/>
    <x v="2"/>
    <x v="1"/>
    <x v="1"/>
    <n v="6029.8"/>
    <s v="USD2022/kW"/>
  </r>
  <r>
    <x v="8"/>
    <x v="2"/>
    <x v="1"/>
    <x v="2"/>
    <n v="5770.2"/>
    <s v="USD2022/kW"/>
  </r>
  <r>
    <x v="8"/>
    <x v="2"/>
    <x v="1"/>
    <x v="3"/>
    <n v="175"/>
    <s v="USD2022/kW-yr"/>
  </r>
  <r>
    <x v="8"/>
    <x v="2"/>
    <x v="1"/>
    <x v="4"/>
    <n v="0.37"/>
    <s v="fraction_LHV"/>
  </r>
  <r>
    <x v="8"/>
    <x v="2"/>
    <x v="1"/>
    <x v="5"/>
    <n v="4.1529999999999996"/>
    <s v="USD2022/GJ"/>
  </r>
  <r>
    <x v="8"/>
    <x v="2"/>
    <x v="2"/>
    <x v="0"/>
    <n v="4900"/>
    <s v="USD2022/kW"/>
  </r>
  <r>
    <x v="8"/>
    <x v="2"/>
    <x v="2"/>
    <x v="1"/>
    <n v="5124.3999999999996"/>
    <s v="USD2022/kW"/>
  </r>
  <r>
    <x v="8"/>
    <x v="2"/>
    <x v="2"/>
    <x v="2"/>
    <n v="4675.6000000000004"/>
    <s v="USD2022/kW"/>
  </r>
  <r>
    <x v="8"/>
    <x v="2"/>
    <x v="2"/>
    <x v="3"/>
    <n v="145"/>
    <s v="USD2022/kW-yr"/>
  </r>
  <r>
    <x v="8"/>
    <x v="2"/>
    <x v="2"/>
    <x v="4"/>
    <n v="0.37"/>
    <s v="fraction_LHV"/>
  </r>
  <r>
    <x v="8"/>
    <x v="2"/>
    <x v="2"/>
    <x v="5"/>
    <n v="3.7309999999999999"/>
    <s v="USD2022/GJ"/>
  </r>
  <r>
    <x v="8"/>
    <x v="3"/>
    <x v="0"/>
    <x v="0"/>
    <n v="5100"/>
    <s v="USD2022/kW"/>
  </r>
  <r>
    <x v="8"/>
    <x v="3"/>
    <x v="0"/>
    <x v="1"/>
    <n v="5100"/>
    <s v="USD2022/kW"/>
  </r>
  <r>
    <x v="8"/>
    <x v="3"/>
    <x v="0"/>
    <x v="2"/>
    <n v="5100"/>
    <s v="USD2022/kW"/>
  </r>
  <r>
    <x v="8"/>
    <x v="3"/>
    <x v="0"/>
    <x v="3"/>
    <n v="180"/>
    <s v="USD2022/kW-yr"/>
  </r>
  <r>
    <x v="8"/>
    <x v="3"/>
    <x v="0"/>
    <x v="4"/>
    <n v="0.36"/>
    <s v="fraction_LHV"/>
  </r>
  <r>
    <x v="8"/>
    <x v="3"/>
    <x v="0"/>
    <x v="5"/>
    <n v="4.4779999999999998"/>
    <s v="USD2022/GJ"/>
  </r>
  <r>
    <x v="8"/>
    <x v="3"/>
    <x v="1"/>
    <x v="0"/>
    <n v="5100"/>
    <s v="USD2022/kW"/>
  </r>
  <r>
    <x v="8"/>
    <x v="3"/>
    <x v="1"/>
    <x v="1"/>
    <n v="5212.2"/>
    <s v="USD2022/kW"/>
  </r>
  <r>
    <x v="8"/>
    <x v="3"/>
    <x v="1"/>
    <x v="2"/>
    <n v="4987.8"/>
    <s v="USD2022/kW"/>
  </r>
  <r>
    <x v="8"/>
    <x v="3"/>
    <x v="1"/>
    <x v="3"/>
    <n v="180"/>
    <s v="USD2022/kW-yr"/>
  </r>
  <r>
    <x v="8"/>
    <x v="3"/>
    <x v="1"/>
    <x v="4"/>
    <n v="0.37"/>
    <s v="fraction_LHV"/>
  </r>
  <r>
    <x v="8"/>
    <x v="3"/>
    <x v="1"/>
    <x v="5"/>
    <n v="4.1529999999999996"/>
    <s v="USD2022/GJ"/>
  </r>
  <r>
    <x v="8"/>
    <x v="3"/>
    <x v="2"/>
    <x v="0"/>
    <n v="4200"/>
    <s v="USD2022/kW"/>
  </r>
  <r>
    <x v="8"/>
    <x v="3"/>
    <x v="2"/>
    <x v="1"/>
    <n v="4392.3999999999996"/>
    <s v="USD2022/kW"/>
  </r>
  <r>
    <x v="8"/>
    <x v="3"/>
    <x v="2"/>
    <x v="2"/>
    <n v="4007.6"/>
    <s v="USD2022/kW"/>
  </r>
  <r>
    <x v="8"/>
    <x v="3"/>
    <x v="2"/>
    <x v="3"/>
    <n v="145"/>
    <s v="USD2022/kW-yr"/>
  </r>
  <r>
    <x v="8"/>
    <x v="3"/>
    <x v="2"/>
    <x v="4"/>
    <n v="0.37"/>
    <s v="fraction_LHV"/>
  </r>
  <r>
    <x v="8"/>
    <x v="3"/>
    <x v="2"/>
    <x v="5"/>
    <n v="3.7309999999999999"/>
    <s v="USD2022/GJ"/>
  </r>
  <r>
    <x v="8"/>
    <x v="4"/>
    <x v="0"/>
    <x v="0"/>
    <n v="3400"/>
    <s v="USD2022/kW"/>
  </r>
  <r>
    <x v="8"/>
    <x v="4"/>
    <x v="0"/>
    <x v="1"/>
    <n v="3400"/>
    <s v="USD2022/kW"/>
  </r>
  <r>
    <x v="8"/>
    <x v="4"/>
    <x v="0"/>
    <x v="2"/>
    <n v="3400"/>
    <s v="USD2022/kW"/>
  </r>
  <r>
    <x v="8"/>
    <x v="4"/>
    <x v="0"/>
    <x v="3"/>
    <n v="135"/>
    <s v="USD2022/kW-yr"/>
  </r>
  <r>
    <x v="8"/>
    <x v="4"/>
    <x v="0"/>
    <x v="4"/>
    <n v="0.35"/>
    <s v="fraction_LHV"/>
  </r>
  <r>
    <x v="8"/>
    <x v="4"/>
    <x v="0"/>
    <x v="5"/>
    <n v="4.4779999999999998"/>
    <s v="USD2022/GJ"/>
  </r>
  <r>
    <x v="8"/>
    <x v="4"/>
    <x v="1"/>
    <x v="0"/>
    <n v="3400"/>
    <s v="USD2022/kW"/>
  </r>
  <r>
    <x v="8"/>
    <x v="4"/>
    <x v="1"/>
    <x v="1"/>
    <n v="3474.8"/>
    <s v="USD2022/kW"/>
  </r>
  <r>
    <x v="8"/>
    <x v="4"/>
    <x v="1"/>
    <x v="2"/>
    <n v="3325.2"/>
    <s v="USD2022/kW"/>
  </r>
  <r>
    <x v="8"/>
    <x v="4"/>
    <x v="1"/>
    <x v="3"/>
    <n v="135"/>
    <s v="USD2022/kW-yr"/>
  </r>
  <r>
    <x v="8"/>
    <x v="4"/>
    <x v="1"/>
    <x v="4"/>
    <n v="0.36"/>
    <s v="fraction_LHV"/>
  </r>
  <r>
    <x v="8"/>
    <x v="4"/>
    <x v="1"/>
    <x v="5"/>
    <n v="4.1529999999999996"/>
    <s v="USD2022/GJ"/>
  </r>
  <r>
    <x v="8"/>
    <x v="4"/>
    <x v="2"/>
    <x v="0"/>
    <n v="2550"/>
    <s v="USD2022/kW"/>
  </r>
  <r>
    <x v="8"/>
    <x v="4"/>
    <x v="2"/>
    <x v="1"/>
    <n v="2666.8"/>
    <s v="USD2022/kW"/>
  </r>
  <r>
    <x v="8"/>
    <x v="4"/>
    <x v="2"/>
    <x v="2"/>
    <n v="2433.1999999999998"/>
    <s v="USD2022/kW"/>
  </r>
  <r>
    <x v="8"/>
    <x v="4"/>
    <x v="2"/>
    <x v="3"/>
    <n v="100"/>
    <s v="USD2022/kW-yr"/>
  </r>
  <r>
    <x v="8"/>
    <x v="4"/>
    <x v="2"/>
    <x v="4"/>
    <n v="0.36"/>
    <s v="fraction_LHV"/>
  </r>
  <r>
    <x v="8"/>
    <x v="4"/>
    <x v="2"/>
    <x v="5"/>
    <n v="3.7309999999999999"/>
    <s v="USD2022/GJ"/>
  </r>
  <r>
    <x v="8"/>
    <x v="5"/>
    <x v="0"/>
    <x v="0"/>
    <n v="3900"/>
    <s v="USD2022/kW"/>
  </r>
  <r>
    <x v="8"/>
    <x v="5"/>
    <x v="0"/>
    <x v="1"/>
    <n v="3900"/>
    <s v="USD2022/kW"/>
  </r>
  <r>
    <x v="8"/>
    <x v="5"/>
    <x v="0"/>
    <x v="2"/>
    <n v="3900"/>
    <s v="USD2022/kW"/>
  </r>
  <r>
    <x v="8"/>
    <x v="5"/>
    <x v="0"/>
    <x v="3"/>
    <n v="155"/>
    <s v="USD2022/kW-yr"/>
  </r>
  <r>
    <x v="8"/>
    <x v="5"/>
    <x v="0"/>
    <x v="4"/>
    <n v="0.31"/>
    <s v="fraction_LHV"/>
  </r>
  <r>
    <x v="8"/>
    <x v="5"/>
    <x v="0"/>
    <x v="5"/>
    <n v="4.4779999999999998"/>
    <s v="USD2022/GJ"/>
  </r>
  <r>
    <x v="8"/>
    <x v="5"/>
    <x v="1"/>
    <x v="0"/>
    <n v="3900"/>
    <s v="USD2022/kW"/>
  </r>
  <r>
    <x v="8"/>
    <x v="5"/>
    <x v="1"/>
    <x v="1"/>
    <n v="3985.8"/>
    <s v="USD2022/kW"/>
  </r>
  <r>
    <x v="8"/>
    <x v="5"/>
    <x v="1"/>
    <x v="2"/>
    <n v="3814.2"/>
    <s v="USD2022/kW"/>
  </r>
  <r>
    <x v="8"/>
    <x v="5"/>
    <x v="1"/>
    <x v="3"/>
    <n v="155"/>
    <s v="USD2022/kW-yr"/>
  </r>
  <r>
    <x v="8"/>
    <x v="5"/>
    <x v="1"/>
    <x v="4"/>
    <n v="0.32"/>
    <s v="fraction_LHV"/>
  </r>
  <r>
    <x v="8"/>
    <x v="5"/>
    <x v="1"/>
    <x v="5"/>
    <n v="4.1529999999999996"/>
    <s v="USD2022/GJ"/>
  </r>
  <r>
    <x v="8"/>
    <x v="5"/>
    <x v="2"/>
    <x v="0"/>
    <n v="3150"/>
    <s v="USD2022/kW"/>
  </r>
  <r>
    <x v="8"/>
    <x v="5"/>
    <x v="2"/>
    <x v="1"/>
    <n v="3294.3"/>
    <s v="USD2022/kW"/>
  </r>
  <r>
    <x v="8"/>
    <x v="5"/>
    <x v="2"/>
    <x v="2"/>
    <n v="3005.7"/>
    <s v="USD2022/kW"/>
  </r>
  <r>
    <x v="8"/>
    <x v="5"/>
    <x v="2"/>
    <x v="3"/>
    <n v="125"/>
    <s v="USD2022/kW-yr"/>
  </r>
  <r>
    <x v="8"/>
    <x v="5"/>
    <x v="2"/>
    <x v="4"/>
    <n v="0.31"/>
    <s v="fraction_LHV"/>
  </r>
  <r>
    <x v="8"/>
    <x v="5"/>
    <x v="2"/>
    <x v="5"/>
    <n v="3.7309999999999999"/>
    <s v="USD2022/GJ"/>
  </r>
  <r>
    <x v="8"/>
    <x v="6"/>
    <x v="0"/>
    <x v="0"/>
    <n v="4500"/>
    <s v="USD2022/kW"/>
  </r>
  <r>
    <x v="8"/>
    <x v="6"/>
    <x v="0"/>
    <x v="1"/>
    <n v="4500"/>
    <s v="USD2022/kW"/>
  </r>
  <r>
    <x v="8"/>
    <x v="6"/>
    <x v="0"/>
    <x v="2"/>
    <n v="4500"/>
    <s v="USD2022/kW"/>
  </r>
  <r>
    <x v="8"/>
    <x v="6"/>
    <x v="0"/>
    <x v="3"/>
    <n v="180"/>
    <s v="USD2022/kW-yr"/>
  </r>
  <r>
    <x v="8"/>
    <x v="6"/>
    <x v="0"/>
    <x v="5"/>
    <n v="4.4779999999999998"/>
    <s v="USD2022/GJ"/>
  </r>
  <r>
    <x v="8"/>
    <x v="6"/>
    <x v="1"/>
    <x v="0"/>
    <n v="4500"/>
    <s v="USD2022/kW"/>
  </r>
  <r>
    <x v="8"/>
    <x v="6"/>
    <x v="1"/>
    <x v="1"/>
    <n v="4599"/>
    <s v="USD2022/kW"/>
  </r>
  <r>
    <x v="8"/>
    <x v="6"/>
    <x v="1"/>
    <x v="2"/>
    <n v="4401"/>
    <s v="USD2022/kW"/>
  </r>
  <r>
    <x v="8"/>
    <x v="6"/>
    <x v="1"/>
    <x v="3"/>
    <n v="180"/>
    <s v="USD2022/kW-yr"/>
  </r>
  <r>
    <x v="8"/>
    <x v="6"/>
    <x v="1"/>
    <x v="5"/>
    <n v="4.1529999999999996"/>
    <s v="USD2022/GJ"/>
  </r>
  <r>
    <x v="8"/>
    <x v="6"/>
    <x v="2"/>
    <x v="0"/>
    <n v="3650"/>
    <s v="USD2022/kW"/>
  </r>
  <r>
    <x v="8"/>
    <x v="6"/>
    <x v="2"/>
    <x v="1"/>
    <n v="3817.2"/>
    <s v="USD2022/kW"/>
  </r>
  <r>
    <x v="8"/>
    <x v="6"/>
    <x v="2"/>
    <x v="2"/>
    <n v="3482.8"/>
    <s v="USD2022/kW"/>
  </r>
  <r>
    <x v="8"/>
    <x v="6"/>
    <x v="2"/>
    <x v="3"/>
    <n v="145"/>
    <s v="USD2022/kW-yr"/>
  </r>
  <r>
    <x v="8"/>
    <x v="6"/>
    <x v="2"/>
    <x v="5"/>
    <n v="3.7309999999999999"/>
    <s v="USD2022/GJ"/>
  </r>
  <r>
    <x v="8"/>
    <x v="7"/>
    <x v="0"/>
    <x v="0"/>
    <n v="4500"/>
    <s v="USD2022/kW"/>
  </r>
  <r>
    <x v="8"/>
    <x v="7"/>
    <x v="0"/>
    <x v="1"/>
    <n v="4500"/>
    <s v="USD2022/kW"/>
  </r>
  <r>
    <x v="8"/>
    <x v="7"/>
    <x v="0"/>
    <x v="2"/>
    <n v="4500"/>
    <s v="USD2022/kW"/>
  </r>
  <r>
    <x v="8"/>
    <x v="7"/>
    <x v="0"/>
    <x v="3"/>
    <n v="175"/>
    <s v="USD2022/kW-yr"/>
  </r>
  <r>
    <x v="8"/>
    <x v="7"/>
    <x v="0"/>
    <x v="4"/>
    <n v="0.32"/>
    <s v="fraction_LHV"/>
  </r>
  <r>
    <x v="8"/>
    <x v="7"/>
    <x v="0"/>
    <x v="5"/>
    <n v="4.4779999999999998"/>
    <s v="USD2022/GJ"/>
  </r>
  <r>
    <x v="8"/>
    <x v="7"/>
    <x v="1"/>
    <x v="0"/>
    <n v="4500"/>
    <s v="USD2022/kW"/>
  </r>
  <r>
    <x v="8"/>
    <x v="7"/>
    <x v="1"/>
    <x v="1"/>
    <n v="4599"/>
    <s v="USD2022/kW"/>
  </r>
  <r>
    <x v="8"/>
    <x v="7"/>
    <x v="1"/>
    <x v="2"/>
    <n v="4401"/>
    <s v="USD2022/kW"/>
  </r>
  <r>
    <x v="8"/>
    <x v="7"/>
    <x v="1"/>
    <x v="3"/>
    <n v="175"/>
    <s v="USD2022/kW-yr"/>
  </r>
  <r>
    <x v="8"/>
    <x v="7"/>
    <x v="1"/>
    <x v="4"/>
    <n v="0.33"/>
    <s v="fraction_LHV"/>
  </r>
  <r>
    <x v="8"/>
    <x v="7"/>
    <x v="1"/>
    <x v="5"/>
    <n v="4.1529999999999996"/>
    <s v="USD2022/GJ"/>
  </r>
  <r>
    <x v="8"/>
    <x v="7"/>
    <x v="2"/>
    <x v="0"/>
    <n v="3650"/>
    <s v="USD2022/kW"/>
  </r>
  <r>
    <x v="8"/>
    <x v="7"/>
    <x v="2"/>
    <x v="1"/>
    <n v="3817.2"/>
    <s v="USD2022/kW"/>
  </r>
  <r>
    <x v="8"/>
    <x v="7"/>
    <x v="2"/>
    <x v="2"/>
    <n v="3482.8"/>
    <s v="USD2022/kW"/>
  </r>
  <r>
    <x v="8"/>
    <x v="7"/>
    <x v="2"/>
    <x v="3"/>
    <n v="140"/>
    <s v="USD2022/kW-yr"/>
  </r>
  <r>
    <x v="8"/>
    <x v="7"/>
    <x v="2"/>
    <x v="4"/>
    <n v="0.33"/>
    <s v="fraction_LHV"/>
  </r>
  <r>
    <x v="8"/>
    <x v="7"/>
    <x v="2"/>
    <x v="5"/>
    <n v="3.7309999999999999"/>
    <s v="USD2022/GJ"/>
  </r>
  <r>
    <x v="8"/>
    <x v="8"/>
    <x v="0"/>
    <x v="0"/>
    <n v="4300"/>
    <s v="USD2022/kW"/>
  </r>
  <r>
    <x v="8"/>
    <x v="8"/>
    <x v="0"/>
    <x v="1"/>
    <n v="4300"/>
    <s v="USD2022/kW"/>
  </r>
  <r>
    <x v="8"/>
    <x v="8"/>
    <x v="0"/>
    <x v="2"/>
    <n v="4300"/>
    <s v="USD2022/kW"/>
  </r>
  <r>
    <x v="8"/>
    <x v="8"/>
    <x v="0"/>
    <x v="3"/>
    <n v="170"/>
    <s v="USD2022/kW-yr"/>
  </r>
  <r>
    <x v="8"/>
    <x v="8"/>
    <x v="0"/>
    <x v="5"/>
    <n v="4.4779999999999998"/>
    <s v="USD2022/GJ"/>
  </r>
  <r>
    <x v="8"/>
    <x v="8"/>
    <x v="1"/>
    <x v="0"/>
    <n v="4300"/>
    <s v="USD2022/kW"/>
  </r>
  <r>
    <x v="8"/>
    <x v="8"/>
    <x v="1"/>
    <x v="1"/>
    <n v="4394.6000000000004"/>
    <s v="USD2022/kW"/>
  </r>
  <r>
    <x v="8"/>
    <x v="8"/>
    <x v="1"/>
    <x v="2"/>
    <n v="4205.3999999999996"/>
    <s v="USD2022/kW"/>
  </r>
  <r>
    <x v="8"/>
    <x v="8"/>
    <x v="1"/>
    <x v="3"/>
    <n v="170"/>
    <s v="USD2022/kW-yr"/>
  </r>
  <r>
    <x v="8"/>
    <x v="8"/>
    <x v="1"/>
    <x v="5"/>
    <n v="4.1529999999999996"/>
    <s v="USD2022/GJ"/>
  </r>
  <r>
    <x v="8"/>
    <x v="8"/>
    <x v="2"/>
    <x v="0"/>
    <n v="3550"/>
    <s v="USD2022/kW"/>
  </r>
  <r>
    <x v="8"/>
    <x v="8"/>
    <x v="2"/>
    <x v="1"/>
    <n v="3712.6"/>
    <s v="USD2022/kW"/>
  </r>
  <r>
    <x v="8"/>
    <x v="8"/>
    <x v="2"/>
    <x v="2"/>
    <n v="3387.4"/>
    <s v="USD2022/kW"/>
  </r>
  <r>
    <x v="8"/>
    <x v="8"/>
    <x v="2"/>
    <x v="3"/>
    <n v="140"/>
    <s v="USD2022/kW-yr"/>
  </r>
  <r>
    <x v="8"/>
    <x v="8"/>
    <x v="2"/>
    <x v="5"/>
    <n v="3.7309999999999999"/>
    <s v="USD2022/GJ"/>
  </r>
  <r>
    <x v="9"/>
    <x v="0"/>
    <x v="0"/>
    <x v="0"/>
    <n v="5700"/>
    <s v="USD2022/kW"/>
  </r>
  <r>
    <x v="9"/>
    <x v="0"/>
    <x v="0"/>
    <x v="1"/>
    <n v="5700"/>
    <s v="USD2022/kW"/>
  </r>
  <r>
    <x v="9"/>
    <x v="0"/>
    <x v="0"/>
    <x v="2"/>
    <n v="5700"/>
    <s v="USD2022/kW"/>
  </r>
  <r>
    <x v="9"/>
    <x v="0"/>
    <x v="0"/>
    <x v="3"/>
    <n v="170"/>
    <s v="USD2022/kW-yr"/>
  </r>
  <r>
    <x v="9"/>
    <x v="0"/>
    <x v="0"/>
    <x v="4"/>
    <n v="0.36"/>
    <s v="fraction_LHV"/>
  </r>
  <r>
    <x v="9"/>
    <x v="0"/>
    <x v="0"/>
    <x v="5"/>
    <n v="4.306"/>
    <s v="USD2022/GJ"/>
  </r>
  <r>
    <x v="9"/>
    <x v="0"/>
    <x v="1"/>
    <x v="0"/>
    <n v="5700"/>
    <s v="USD2022/kW"/>
  </r>
  <r>
    <x v="9"/>
    <x v="0"/>
    <x v="1"/>
    <x v="1"/>
    <n v="5700"/>
    <s v="USD2022/kW"/>
  </r>
  <r>
    <x v="9"/>
    <x v="0"/>
    <x v="1"/>
    <x v="2"/>
    <n v="5700"/>
    <s v="USD2022/kW"/>
  </r>
  <r>
    <x v="9"/>
    <x v="0"/>
    <x v="1"/>
    <x v="3"/>
    <n v="170"/>
    <s v="USD2022/kW-yr"/>
  </r>
  <r>
    <x v="9"/>
    <x v="0"/>
    <x v="1"/>
    <x v="4"/>
    <n v="0.37"/>
    <s v="fraction_LHV"/>
  </r>
  <r>
    <x v="9"/>
    <x v="0"/>
    <x v="1"/>
    <x v="5"/>
    <n v="4.306"/>
    <s v="USD2022/GJ"/>
  </r>
  <r>
    <x v="9"/>
    <x v="0"/>
    <x v="2"/>
    <x v="0"/>
    <n v="5150"/>
    <s v="USD2022/kW"/>
  </r>
  <r>
    <x v="9"/>
    <x v="0"/>
    <x v="2"/>
    <x v="1"/>
    <n v="5150"/>
    <s v="USD2022/kW"/>
  </r>
  <r>
    <x v="9"/>
    <x v="0"/>
    <x v="2"/>
    <x v="2"/>
    <n v="5150"/>
    <s v="USD2022/kW"/>
  </r>
  <r>
    <x v="9"/>
    <x v="0"/>
    <x v="2"/>
    <x v="3"/>
    <n v="155"/>
    <s v="USD2022/kW-yr"/>
  </r>
  <r>
    <x v="9"/>
    <x v="0"/>
    <x v="2"/>
    <x v="4"/>
    <n v="0.37"/>
    <s v="fraction_LHV"/>
  </r>
  <r>
    <x v="9"/>
    <x v="0"/>
    <x v="2"/>
    <x v="5"/>
    <n v="4.306"/>
    <s v="USD2022/GJ"/>
  </r>
  <r>
    <x v="9"/>
    <x v="1"/>
    <x v="0"/>
    <x v="0"/>
    <n v="5800"/>
    <s v="USD2022/kW"/>
  </r>
  <r>
    <x v="9"/>
    <x v="1"/>
    <x v="0"/>
    <x v="1"/>
    <n v="5800"/>
    <s v="USD2022/kW"/>
  </r>
  <r>
    <x v="9"/>
    <x v="1"/>
    <x v="0"/>
    <x v="2"/>
    <n v="5800"/>
    <s v="USD2022/kW"/>
  </r>
  <r>
    <x v="9"/>
    <x v="1"/>
    <x v="0"/>
    <x v="3"/>
    <n v="175"/>
    <s v="USD2022/kW-yr"/>
  </r>
  <r>
    <x v="9"/>
    <x v="1"/>
    <x v="0"/>
    <x v="4"/>
    <n v="0.36"/>
    <s v="fraction_LHV"/>
  </r>
  <r>
    <x v="9"/>
    <x v="1"/>
    <x v="0"/>
    <x v="5"/>
    <n v="4.306"/>
    <s v="USD2022/GJ"/>
  </r>
  <r>
    <x v="9"/>
    <x v="1"/>
    <x v="1"/>
    <x v="0"/>
    <n v="5800"/>
    <s v="USD2022/kW"/>
  </r>
  <r>
    <x v="9"/>
    <x v="1"/>
    <x v="1"/>
    <x v="1"/>
    <n v="5800"/>
    <s v="USD2022/kW"/>
  </r>
  <r>
    <x v="9"/>
    <x v="1"/>
    <x v="1"/>
    <x v="2"/>
    <n v="5800"/>
    <s v="USD2022/kW"/>
  </r>
  <r>
    <x v="9"/>
    <x v="1"/>
    <x v="1"/>
    <x v="3"/>
    <n v="175"/>
    <s v="USD2022/kW-yr"/>
  </r>
  <r>
    <x v="9"/>
    <x v="1"/>
    <x v="1"/>
    <x v="4"/>
    <n v="0.37"/>
    <s v="fraction_LHV"/>
  </r>
  <r>
    <x v="9"/>
    <x v="1"/>
    <x v="1"/>
    <x v="5"/>
    <n v="4.306"/>
    <s v="USD2022/GJ"/>
  </r>
  <r>
    <x v="9"/>
    <x v="1"/>
    <x v="2"/>
    <x v="0"/>
    <n v="5200"/>
    <s v="USD2022/kW"/>
  </r>
  <r>
    <x v="9"/>
    <x v="1"/>
    <x v="2"/>
    <x v="1"/>
    <n v="5200"/>
    <s v="USD2022/kW"/>
  </r>
  <r>
    <x v="9"/>
    <x v="1"/>
    <x v="2"/>
    <x v="2"/>
    <n v="5200"/>
    <s v="USD2022/kW"/>
  </r>
  <r>
    <x v="9"/>
    <x v="1"/>
    <x v="2"/>
    <x v="3"/>
    <n v="155"/>
    <s v="USD2022/kW-yr"/>
  </r>
  <r>
    <x v="9"/>
    <x v="1"/>
    <x v="2"/>
    <x v="4"/>
    <n v="0.37"/>
    <s v="fraction_LHV"/>
  </r>
  <r>
    <x v="9"/>
    <x v="1"/>
    <x v="2"/>
    <x v="5"/>
    <n v="4.306"/>
    <s v="USD2022/GJ"/>
  </r>
  <r>
    <x v="9"/>
    <x v="2"/>
    <x v="0"/>
    <x v="0"/>
    <n v="6100"/>
    <s v="USD2022/kW"/>
  </r>
  <r>
    <x v="9"/>
    <x v="2"/>
    <x v="0"/>
    <x v="1"/>
    <n v="6100"/>
    <s v="USD2022/kW"/>
  </r>
  <r>
    <x v="9"/>
    <x v="2"/>
    <x v="0"/>
    <x v="2"/>
    <n v="6100"/>
    <s v="USD2022/kW"/>
  </r>
  <r>
    <x v="9"/>
    <x v="2"/>
    <x v="0"/>
    <x v="3"/>
    <n v="185"/>
    <s v="USD2022/kW-yr"/>
  </r>
  <r>
    <x v="9"/>
    <x v="2"/>
    <x v="0"/>
    <x v="4"/>
    <n v="0.36"/>
    <s v="fraction_LHV"/>
  </r>
  <r>
    <x v="9"/>
    <x v="2"/>
    <x v="0"/>
    <x v="5"/>
    <n v="4.306"/>
    <s v="USD2022/GJ"/>
  </r>
  <r>
    <x v="9"/>
    <x v="2"/>
    <x v="1"/>
    <x v="0"/>
    <n v="6100"/>
    <s v="USD2022/kW"/>
  </r>
  <r>
    <x v="9"/>
    <x v="2"/>
    <x v="1"/>
    <x v="1"/>
    <n v="6100"/>
    <s v="USD2022/kW"/>
  </r>
  <r>
    <x v="9"/>
    <x v="2"/>
    <x v="1"/>
    <x v="2"/>
    <n v="6100"/>
    <s v="USD2022/kW"/>
  </r>
  <r>
    <x v="9"/>
    <x v="2"/>
    <x v="1"/>
    <x v="3"/>
    <n v="185"/>
    <s v="USD2022/kW-yr"/>
  </r>
  <r>
    <x v="9"/>
    <x v="2"/>
    <x v="1"/>
    <x v="4"/>
    <n v="0.37"/>
    <s v="fraction_LHV"/>
  </r>
  <r>
    <x v="9"/>
    <x v="2"/>
    <x v="1"/>
    <x v="5"/>
    <n v="4.306"/>
    <s v="USD2022/GJ"/>
  </r>
  <r>
    <x v="9"/>
    <x v="2"/>
    <x v="2"/>
    <x v="0"/>
    <n v="5550"/>
    <s v="USD2022/kW"/>
  </r>
  <r>
    <x v="9"/>
    <x v="2"/>
    <x v="2"/>
    <x v="1"/>
    <n v="5550"/>
    <s v="USD2022/kW"/>
  </r>
  <r>
    <x v="9"/>
    <x v="2"/>
    <x v="2"/>
    <x v="2"/>
    <n v="5550"/>
    <s v="USD2022/kW"/>
  </r>
  <r>
    <x v="9"/>
    <x v="2"/>
    <x v="2"/>
    <x v="3"/>
    <n v="165"/>
    <s v="USD2022/kW-yr"/>
  </r>
  <r>
    <x v="9"/>
    <x v="2"/>
    <x v="2"/>
    <x v="4"/>
    <n v="0.37"/>
    <s v="fraction_LHV"/>
  </r>
  <r>
    <x v="9"/>
    <x v="2"/>
    <x v="2"/>
    <x v="5"/>
    <n v="4.306"/>
    <s v="USD2022/GJ"/>
  </r>
  <r>
    <x v="9"/>
    <x v="3"/>
    <x v="0"/>
    <x v="0"/>
    <n v="5300"/>
    <s v="USD2022/kW"/>
  </r>
  <r>
    <x v="9"/>
    <x v="3"/>
    <x v="0"/>
    <x v="1"/>
    <n v="5300"/>
    <s v="USD2022/kW"/>
  </r>
  <r>
    <x v="9"/>
    <x v="3"/>
    <x v="0"/>
    <x v="2"/>
    <n v="5300"/>
    <s v="USD2022/kW"/>
  </r>
  <r>
    <x v="9"/>
    <x v="3"/>
    <x v="0"/>
    <x v="3"/>
    <n v="160"/>
    <s v="USD2022/kW-yr"/>
  </r>
  <r>
    <x v="9"/>
    <x v="3"/>
    <x v="0"/>
    <x v="4"/>
    <n v="0.36"/>
    <s v="fraction_LHV"/>
  </r>
  <r>
    <x v="9"/>
    <x v="3"/>
    <x v="0"/>
    <x v="5"/>
    <n v="4.306"/>
    <s v="USD2022/GJ"/>
  </r>
  <r>
    <x v="9"/>
    <x v="3"/>
    <x v="1"/>
    <x v="0"/>
    <n v="5300"/>
    <s v="USD2022/kW"/>
  </r>
  <r>
    <x v="9"/>
    <x v="3"/>
    <x v="1"/>
    <x v="1"/>
    <n v="5300"/>
    <s v="USD2022/kW"/>
  </r>
  <r>
    <x v="9"/>
    <x v="3"/>
    <x v="1"/>
    <x v="2"/>
    <n v="5300"/>
    <s v="USD2022/kW"/>
  </r>
  <r>
    <x v="9"/>
    <x v="3"/>
    <x v="1"/>
    <x v="3"/>
    <n v="160"/>
    <s v="USD2022/kW-yr"/>
  </r>
  <r>
    <x v="9"/>
    <x v="3"/>
    <x v="1"/>
    <x v="4"/>
    <n v="0.37"/>
    <s v="fraction_LHV"/>
  </r>
  <r>
    <x v="9"/>
    <x v="3"/>
    <x v="1"/>
    <x v="5"/>
    <n v="4.306"/>
    <s v="USD2022/GJ"/>
  </r>
  <r>
    <x v="9"/>
    <x v="3"/>
    <x v="2"/>
    <x v="0"/>
    <n v="4850"/>
    <s v="USD2022/kW"/>
  </r>
  <r>
    <x v="9"/>
    <x v="3"/>
    <x v="2"/>
    <x v="1"/>
    <n v="4850"/>
    <s v="USD2022/kW"/>
  </r>
  <r>
    <x v="9"/>
    <x v="3"/>
    <x v="2"/>
    <x v="2"/>
    <n v="4850"/>
    <s v="USD2022/kW"/>
  </r>
  <r>
    <x v="9"/>
    <x v="3"/>
    <x v="2"/>
    <x v="3"/>
    <n v="145"/>
    <s v="USD2022/kW-yr"/>
  </r>
  <r>
    <x v="9"/>
    <x v="3"/>
    <x v="2"/>
    <x v="4"/>
    <n v="0.37"/>
    <s v="fraction_LHV"/>
  </r>
  <r>
    <x v="9"/>
    <x v="3"/>
    <x v="2"/>
    <x v="5"/>
    <n v="4.306"/>
    <s v="USD2022/GJ"/>
  </r>
  <r>
    <x v="9"/>
    <x v="4"/>
    <x v="0"/>
    <x v="0"/>
    <n v="3500"/>
    <s v="USD2022/kW"/>
  </r>
  <r>
    <x v="9"/>
    <x v="4"/>
    <x v="0"/>
    <x v="1"/>
    <n v="3500"/>
    <s v="USD2022/kW"/>
  </r>
  <r>
    <x v="9"/>
    <x v="4"/>
    <x v="0"/>
    <x v="2"/>
    <n v="3500"/>
    <s v="USD2022/kW"/>
  </r>
  <r>
    <x v="9"/>
    <x v="4"/>
    <x v="0"/>
    <x v="3"/>
    <n v="140"/>
    <s v="USD2022/kW-yr"/>
  </r>
  <r>
    <x v="9"/>
    <x v="4"/>
    <x v="0"/>
    <x v="4"/>
    <n v="0.35"/>
    <s v="fraction_LHV"/>
  </r>
  <r>
    <x v="9"/>
    <x v="4"/>
    <x v="0"/>
    <x v="5"/>
    <n v="4.306"/>
    <s v="USD2022/GJ"/>
  </r>
  <r>
    <x v="9"/>
    <x v="4"/>
    <x v="1"/>
    <x v="0"/>
    <n v="3500"/>
    <s v="USD2022/kW"/>
  </r>
  <r>
    <x v="9"/>
    <x v="4"/>
    <x v="1"/>
    <x v="1"/>
    <n v="3500"/>
    <s v="USD2022/kW"/>
  </r>
  <r>
    <x v="9"/>
    <x v="4"/>
    <x v="1"/>
    <x v="2"/>
    <n v="3500"/>
    <s v="USD2022/kW"/>
  </r>
  <r>
    <x v="9"/>
    <x v="4"/>
    <x v="1"/>
    <x v="3"/>
    <n v="140"/>
    <s v="USD2022/kW-yr"/>
  </r>
  <r>
    <x v="9"/>
    <x v="4"/>
    <x v="1"/>
    <x v="4"/>
    <n v="0.36"/>
    <s v="fraction_LHV"/>
  </r>
  <r>
    <x v="9"/>
    <x v="4"/>
    <x v="1"/>
    <x v="5"/>
    <n v="4.306"/>
    <s v="USD2022/GJ"/>
  </r>
  <r>
    <x v="9"/>
    <x v="4"/>
    <x v="2"/>
    <x v="0"/>
    <n v="3050"/>
    <s v="USD2022/kW"/>
  </r>
  <r>
    <x v="9"/>
    <x v="4"/>
    <x v="2"/>
    <x v="1"/>
    <n v="3050"/>
    <s v="USD2022/kW"/>
  </r>
  <r>
    <x v="9"/>
    <x v="4"/>
    <x v="2"/>
    <x v="2"/>
    <n v="3050"/>
    <s v="USD2022/kW"/>
  </r>
  <r>
    <x v="9"/>
    <x v="4"/>
    <x v="2"/>
    <x v="3"/>
    <n v="120"/>
    <s v="USD2022/kW-yr"/>
  </r>
  <r>
    <x v="9"/>
    <x v="4"/>
    <x v="2"/>
    <x v="4"/>
    <n v="0.36"/>
    <s v="fraction_LHV"/>
  </r>
  <r>
    <x v="9"/>
    <x v="4"/>
    <x v="2"/>
    <x v="5"/>
    <n v="4.306"/>
    <s v="USD2022/GJ"/>
  </r>
  <r>
    <x v="9"/>
    <x v="5"/>
    <x v="0"/>
    <x v="0"/>
    <n v="4100"/>
    <s v="USD2022/kW"/>
  </r>
  <r>
    <x v="9"/>
    <x v="5"/>
    <x v="0"/>
    <x v="1"/>
    <n v="4100"/>
    <s v="USD2022/kW"/>
  </r>
  <r>
    <x v="9"/>
    <x v="5"/>
    <x v="0"/>
    <x v="2"/>
    <n v="4100"/>
    <s v="USD2022/kW"/>
  </r>
  <r>
    <x v="9"/>
    <x v="5"/>
    <x v="0"/>
    <x v="3"/>
    <n v="165"/>
    <s v="USD2022/kW-yr"/>
  </r>
  <r>
    <x v="9"/>
    <x v="5"/>
    <x v="0"/>
    <x v="4"/>
    <n v="0.31"/>
    <s v="fraction_LHV"/>
  </r>
  <r>
    <x v="9"/>
    <x v="5"/>
    <x v="0"/>
    <x v="5"/>
    <n v="4.306"/>
    <s v="USD2022/GJ"/>
  </r>
  <r>
    <x v="9"/>
    <x v="5"/>
    <x v="1"/>
    <x v="0"/>
    <n v="4100"/>
    <s v="USD2022/kW"/>
  </r>
  <r>
    <x v="9"/>
    <x v="5"/>
    <x v="1"/>
    <x v="1"/>
    <n v="4100"/>
    <s v="USD2022/kW"/>
  </r>
  <r>
    <x v="9"/>
    <x v="5"/>
    <x v="1"/>
    <x v="2"/>
    <n v="4100"/>
    <s v="USD2022/kW"/>
  </r>
  <r>
    <x v="9"/>
    <x v="5"/>
    <x v="1"/>
    <x v="3"/>
    <n v="165"/>
    <s v="USD2022/kW-yr"/>
  </r>
  <r>
    <x v="9"/>
    <x v="5"/>
    <x v="1"/>
    <x v="4"/>
    <n v="0.32"/>
    <s v="fraction_LHV"/>
  </r>
  <r>
    <x v="9"/>
    <x v="5"/>
    <x v="1"/>
    <x v="5"/>
    <n v="4.306"/>
    <s v="USD2022/GJ"/>
  </r>
  <r>
    <x v="9"/>
    <x v="5"/>
    <x v="2"/>
    <x v="0"/>
    <n v="3700"/>
    <s v="USD2022/kW"/>
  </r>
  <r>
    <x v="9"/>
    <x v="5"/>
    <x v="2"/>
    <x v="1"/>
    <n v="3700"/>
    <s v="USD2022/kW"/>
  </r>
  <r>
    <x v="9"/>
    <x v="5"/>
    <x v="2"/>
    <x v="2"/>
    <n v="3700"/>
    <s v="USD2022/kW"/>
  </r>
  <r>
    <x v="9"/>
    <x v="5"/>
    <x v="2"/>
    <x v="3"/>
    <n v="150"/>
    <s v="USD2022/kW-yr"/>
  </r>
  <r>
    <x v="9"/>
    <x v="5"/>
    <x v="2"/>
    <x v="4"/>
    <n v="0.32"/>
    <s v="fraction_LHV"/>
  </r>
  <r>
    <x v="9"/>
    <x v="5"/>
    <x v="2"/>
    <x v="5"/>
    <n v="4.306"/>
    <s v="USD2022/GJ"/>
  </r>
  <r>
    <x v="9"/>
    <x v="6"/>
    <x v="0"/>
    <x v="0"/>
    <n v="4300"/>
    <s v="USD2022/kW"/>
  </r>
  <r>
    <x v="9"/>
    <x v="6"/>
    <x v="0"/>
    <x v="1"/>
    <n v="4300"/>
    <s v="USD2022/kW"/>
  </r>
  <r>
    <x v="9"/>
    <x v="6"/>
    <x v="0"/>
    <x v="2"/>
    <n v="4300"/>
    <s v="USD2022/kW"/>
  </r>
  <r>
    <x v="9"/>
    <x v="6"/>
    <x v="0"/>
    <x v="3"/>
    <n v="170"/>
    <s v="USD2022/kW-yr"/>
  </r>
  <r>
    <x v="9"/>
    <x v="6"/>
    <x v="0"/>
    <x v="5"/>
    <n v="4.306"/>
    <s v="USD2022/GJ"/>
  </r>
  <r>
    <x v="9"/>
    <x v="6"/>
    <x v="1"/>
    <x v="0"/>
    <n v="4300"/>
    <s v="USD2022/kW"/>
  </r>
  <r>
    <x v="9"/>
    <x v="6"/>
    <x v="1"/>
    <x v="1"/>
    <n v="4300"/>
    <s v="USD2022/kW"/>
  </r>
  <r>
    <x v="9"/>
    <x v="6"/>
    <x v="1"/>
    <x v="2"/>
    <n v="4300"/>
    <s v="USD2022/kW"/>
  </r>
  <r>
    <x v="9"/>
    <x v="6"/>
    <x v="1"/>
    <x v="3"/>
    <n v="170"/>
    <s v="USD2022/kW-yr"/>
  </r>
  <r>
    <x v="9"/>
    <x v="6"/>
    <x v="1"/>
    <x v="5"/>
    <n v="4.306"/>
    <s v="USD2022/GJ"/>
  </r>
  <r>
    <x v="9"/>
    <x v="6"/>
    <x v="2"/>
    <x v="0"/>
    <n v="3900"/>
    <s v="USD2022/kW"/>
  </r>
  <r>
    <x v="9"/>
    <x v="6"/>
    <x v="2"/>
    <x v="1"/>
    <n v="3900"/>
    <s v="USD2022/kW"/>
  </r>
  <r>
    <x v="9"/>
    <x v="6"/>
    <x v="2"/>
    <x v="2"/>
    <n v="3900"/>
    <s v="USD2022/kW"/>
  </r>
  <r>
    <x v="9"/>
    <x v="6"/>
    <x v="2"/>
    <x v="3"/>
    <n v="155"/>
    <s v="USD2022/kW-yr"/>
  </r>
  <r>
    <x v="9"/>
    <x v="6"/>
    <x v="2"/>
    <x v="5"/>
    <n v="4.306"/>
    <s v="USD2022/GJ"/>
  </r>
  <r>
    <x v="9"/>
    <x v="7"/>
    <x v="0"/>
    <x v="0"/>
    <n v="4800"/>
    <s v="USD2022/kW"/>
  </r>
  <r>
    <x v="9"/>
    <x v="7"/>
    <x v="0"/>
    <x v="1"/>
    <n v="4800"/>
    <s v="USD2022/kW"/>
  </r>
  <r>
    <x v="9"/>
    <x v="7"/>
    <x v="0"/>
    <x v="2"/>
    <n v="4800"/>
    <s v="USD2022/kW"/>
  </r>
  <r>
    <x v="9"/>
    <x v="7"/>
    <x v="0"/>
    <x v="3"/>
    <n v="185"/>
    <s v="USD2022/kW-yr"/>
  </r>
  <r>
    <x v="9"/>
    <x v="7"/>
    <x v="0"/>
    <x v="4"/>
    <n v="0.33"/>
    <s v="fraction_LHV"/>
  </r>
  <r>
    <x v="9"/>
    <x v="7"/>
    <x v="0"/>
    <x v="5"/>
    <n v="4.306"/>
    <s v="USD2022/GJ"/>
  </r>
  <r>
    <x v="9"/>
    <x v="7"/>
    <x v="1"/>
    <x v="0"/>
    <n v="4800"/>
    <s v="USD2022/kW"/>
  </r>
  <r>
    <x v="9"/>
    <x v="7"/>
    <x v="1"/>
    <x v="1"/>
    <n v="4800"/>
    <s v="USD2022/kW"/>
  </r>
  <r>
    <x v="9"/>
    <x v="7"/>
    <x v="1"/>
    <x v="2"/>
    <n v="4800"/>
    <s v="USD2022/kW"/>
  </r>
  <r>
    <x v="9"/>
    <x v="7"/>
    <x v="1"/>
    <x v="3"/>
    <n v="185"/>
    <s v="USD2022/kW-yr"/>
  </r>
  <r>
    <x v="9"/>
    <x v="7"/>
    <x v="1"/>
    <x v="4"/>
    <n v="0.33"/>
    <s v="fraction_LHV"/>
  </r>
  <r>
    <x v="9"/>
    <x v="7"/>
    <x v="1"/>
    <x v="5"/>
    <n v="4.306"/>
    <s v="USD2022/GJ"/>
  </r>
  <r>
    <x v="9"/>
    <x v="7"/>
    <x v="2"/>
    <x v="0"/>
    <n v="4350"/>
    <s v="USD2022/kW"/>
  </r>
  <r>
    <x v="9"/>
    <x v="7"/>
    <x v="2"/>
    <x v="1"/>
    <n v="4350"/>
    <s v="USD2022/kW"/>
  </r>
  <r>
    <x v="9"/>
    <x v="7"/>
    <x v="2"/>
    <x v="2"/>
    <n v="4350"/>
    <s v="USD2022/kW"/>
  </r>
  <r>
    <x v="9"/>
    <x v="7"/>
    <x v="2"/>
    <x v="3"/>
    <n v="165"/>
    <s v="USD2022/kW-yr"/>
  </r>
  <r>
    <x v="9"/>
    <x v="7"/>
    <x v="2"/>
    <x v="4"/>
    <n v="0.33"/>
    <s v="fraction_LHV"/>
  </r>
  <r>
    <x v="9"/>
    <x v="7"/>
    <x v="2"/>
    <x v="5"/>
    <n v="4.306"/>
    <s v="USD2022/GJ"/>
  </r>
  <r>
    <x v="9"/>
    <x v="8"/>
    <x v="0"/>
    <x v="0"/>
    <n v="4700"/>
    <s v="USD2022/kW"/>
  </r>
  <r>
    <x v="9"/>
    <x v="8"/>
    <x v="0"/>
    <x v="1"/>
    <n v="4700"/>
    <s v="USD2022/kW"/>
  </r>
  <r>
    <x v="9"/>
    <x v="8"/>
    <x v="0"/>
    <x v="2"/>
    <n v="4700"/>
    <s v="USD2022/kW"/>
  </r>
  <r>
    <x v="9"/>
    <x v="8"/>
    <x v="0"/>
    <x v="3"/>
    <n v="190"/>
    <s v="USD2022/kW-yr"/>
  </r>
  <r>
    <x v="9"/>
    <x v="8"/>
    <x v="0"/>
    <x v="5"/>
    <n v="4.306"/>
    <s v="USD2022/GJ"/>
  </r>
  <r>
    <x v="9"/>
    <x v="8"/>
    <x v="1"/>
    <x v="0"/>
    <n v="4700"/>
    <s v="USD2022/kW"/>
  </r>
  <r>
    <x v="9"/>
    <x v="8"/>
    <x v="1"/>
    <x v="1"/>
    <n v="4700"/>
    <s v="USD2022/kW"/>
  </r>
  <r>
    <x v="9"/>
    <x v="8"/>
    <x v="1"/>
    <x v="2"/>
    <n v="4700"/>
    <s v="USD2022/kW"/>
  </r>
  <r>
    <x v="9"/>
    <x v="8"/>
    <x v="1"/>
    <x v="3"/>
    <n v="190"/>
    <s v="USD2022/kW-yr"/>
  </r>
  <r>
    <x v="9"/>
    <x v="8"/>
    <x v="1"/>
    <x v="5"/>
    <n v="4.306"/>
    <s v="USD2022/GJ"/>
  </r>
  <r>
    <x v="9"/>
    <x v="8"/>
    <x v="2"/>
    <x v="0"/>
    <n v="4250"/>
    <s v="USD2022/kW"/>
  </r>
  <r>
    <x v="9"/>
    <x v="8"/>
    <x v="2"/>
    <x v="1"/>
    <n v="4250"/>
    <s v="USD2022/kW"/>
  </r>
  <r>
    <x v="9"/>
    <x v="8"/>
    <x v="2"/>
    <x v="2"/>
    <n v="4250"/>
    <s v="USD2022/kW"/>
  </r>
  <r>
    <x v="9"/>
    <x v="8"/>
    <x v="2"/>
    <x v="3"/>
    <n v="170"/>
    <s v="USD2022/kW-yr"/>
  </r>
  <r>
    <x v="9"/>
    <x v="8"/>
    <x v="2"/>
    <x v="5"/>
    <n v="4.306"/>
    <s v="USD2022/GJ"/>
  </r>
  <r>
    <x v="10"/>
    <x v="0"/>
    <x v="0"/>
    <x v="0"/>
    <n v="5850"/>
    <s v="USD2022/kW"/>
  </r>
  <r>
    <x v="10"/>
    <x v="0"/>
    <x v="0"/>
    <x v="1"/>
    <n v="5850"/>
    <s v="USD2022/kW"/>
  </r>
  <r>
    <x v="10"/>
    <x v="0"/>
    <x v="0"/>
    <x v="2"/>
    <n v="5850"/>
    <s v="USD2022/kW"/>
  </r>
  <r>
    <x v="10"/>
    <x v="0"/>
    <x v="0"/>
    <x v="3"/>
    <n v="205"/>
    <s v="USD2022/kW-yr"/>
  </r>
  <r>
    <x v="10"/>
    <x v="0"/>
    <x v="0"/>
    <x v="4"/>
    <n v="0.35"/>
    <s v="fraction_LHV"/>
  </r>
  <r>
    <x v="10"/>
    <x v="0"/>
    <x v="0"/>
    <x v="5"/>
    <n v="4.5830000000000002"/>
    <s v="USD2022/GJ"/>
  </r>
  <r>
    <x v="10"/>
    <x v="0"/>
    <x v="1"/>
    <x v="0"/>
    <n v="5700"/>
    <s v="USD2022/kW"/>
  </r>
  <r>
    <x v="10"/>
    <x v="0"/>
    <x v="1"/>
    <x v="1"/>
    <n v="5700"/>
    <s v="USD2022/kW"/>
  </r>
  <r>
    <x v="10"/>
    <x v="0"/>
    <x v="1"/>
    <x v="2"/>
    <n v="5700"/>
    <s v="USD2022/kW"/>
  </r>
  <r>
    <x v="10"/>
    <x v="0"/>
    <x v="1"/>
    <x v="3"/>
    <n v="200"/>
    <s v="USD2022/kW-yr"/>
  </r>
  <r>
    <x v="10"/>
    <x v="0"/>
    <x v="1"/>
    <x v="4"/>
    <n v="0.36"/>
    <s v="fraction_LHV"/>
  </r>
  <r>
    <x v="10"/>
    <x v="0"/>
    <x v="1"/>
    <x v="5"/>
    <n v="4.5830000000000002"/>
    <s v="USD2022/GJ"/>
  </r>
  <r>
    <x v="10"/>
    <x v="0"/>
    <x v="2"/>
    <x v="0"/>
    <n v="5150"/>
    <s v="USD2022/kW"/>
  </r>
  <r>
    <x v="10"/>
    <x v="0"/>
    <x v="2"/>
    <x v="1"/>
    <n v="5150"/>
    <s v="USD2022/kW"/>
  </r>
  <r>
    <x v="10"/>
    <x v="0"/>
    <x v="2"/>
    <x v="2"/>
    <n v="5150"/>
    <s v="USD2022/kW"/>
  </r>
  <r>
    <x v="10"/>
    <x v="0"/>
    <x v="2"/>
    <x v="3"/>
    <n v="180"/>
    <s v="USD2022/kW-yr"/>
  </r>
  <r>
    <x v="10"/>
    <x v="0"/>
    <x v="2"/>
    <x v="4"/>
    <n v="0.39"/>
    <s v="fraction_LHV"/>
  </r>
  <r>
    <x v="10"/>
    <x v="0"/>
    <x v="2"/>
    <x v="5"/>
    <n v="4.5830000000000002"/>
    <s v="USD2022/GJ"/>
  </r>
  <r>
    <x v="10"/>
    <x v="1"/>
    <x v="0"/>
    <x v="0"/>
    <n v="5950"/>
    <s v="USD2022/kW"/>
  </r>
  <r>
    <x v="10"/>
    <x v="1"/>
    <x v="0"/>
    <x v="1"/>
    <n v="5950"/>
    <s v="USD2022/kW"/>
  </r>
  <r>
    <x v="10"/>
    <x v="1"/>
    <x v="0"/>
    <x v="2"/>
    <n v="5950"/>
    <s v="USD2022/kW"/>
  </r>
  <r>
    <x v="10"/>
    <x v="1"/>
    <x v="0"/>
    <x v="3"/>
    <n v="210"/>
    <s v="USD2022/kW-yr"/>
  </r>
  <r>
    <x v="10"/>
    <x v="1"/>
    <x v="0"/>
    <x v="4"/>
    <n v="0.35"/>
    <s v="fraction_LHV"/>
  </r>
  <r>
    <x v="10"/>
    <x v="1"/>
    <x v="0"/>
    <x v="5"/>
    <n v="4.5830000000000002"/>
    <s v="USD2022/GJ"/>
  </r>
  <r>
    <x v="10"/>
    <x v="1"/>
    <x v="1"/>
    <x v="0"/>
    <n v="5850"/>
    <s v="USD2022/kW"/>
  </r>
  <r>
    <x v="10"/>
    <x v="1"/>
    <x v="1"/>
    <x v="1"/>
    <n v="5850"/>
    <s v="USD2022/kW"/>
  </r>
  <r>
    <x v="10"/>
    <x v="1"/>
    <x v="1"/>
    <x v="2"/>
    <n v="5850"/>
    <s v="USD2022/kW"/>
  </r>
  <r>
    <x v="10"/>
    <x v="1"/>
    <x v="1"/>
    <x v="3"/>
    <n v="205"/>
    <s v="USD2022/kW-yr"/>
  </r>
  <r>
    <x v="10"/>
    <x v="1"/>
    <x v="1"/>
    <x v="4"/>
    <n v="0.36"/>
    <s v="fraction_LHV"/>
  </r>
  <r>
    <x v="10"/>
    <x v="1"/>
    <x v="1"/>
    <x v="5"/>
    <n v="4.5830000000000002"/>
    <s v="USD2022/GJ"/>
  </r>
  <r>
    <x v="10"/>
    <x v="1"/>
    <x v="2"/>
    <x v="0"/>
    <n v="5150"/>
    <s v="USD2022/kW"/>
  </r>
  <r>
    <x v="10"/>
    <x v="1"/>
    <x v="2"/>
    <x v="1"/>
    <n v="5150"/>
    <s v="USD2022/kW"/>
  </r>
  <r>
    <x v="10"/>
    <x v="1"/>
    <x v="2"/>
    <x v="2"/>
    <n v="5150"/>
    <s v="USD2022/kW"/>
  </r>
  <r>
    <x v="10"/>
    <x v="1"/>
    <x v="2"/>
    <x v="3"/>
    <n v="180"/>
    <s v="USD2022/kW-yr"/>
  </r>
  <r>
    <x v="10"/>
    <x v="1"/>
    <x v="2"/>
    <x v="4"/>
    <n v="0.39"/>
    <s v="fraction_LHV"/>
  </r>
  <r>
    <x v="10"/>
    <x v="1"/>
    <x v="2"/>
    <x v="5"/>
    <n v="4.5830000000000002"/>
    <s v="USD2022/GJ"/>
  </r>
  <r>
    <x v="10"/>
    <x v="2"/>
    <x v="0"/>
    <x v="0"/>
    <n v="6250"/>
    <s v="USD2022/kW"/>
  </r>
  <r>
    <x v="10"/>
    <x v="2"/>
    <x v="0"/>
    <x v="1"/>
    <n v="6250"/>
    <s v="USD2022/kW"/>
  </r>
  <r>
    <x v="10"/>
    <x v="2"/>
    <x v="0"/>
    <x v="2"/>
    <n v="6250"/>
    <s v="USD2022/kW"/>
  </r>
  <r>
    <x v="10"/>
    <x v="2"/>
    <x v="0"/>
    <x v="3"/>
    <n v="220"/>
    <s v="USD2022/kW-yr"/>
  </r>
  <r>
    <x v="10"/>
    <x v="2"/>
    <x v="0"/>
    <x v="4"/>
    <n v="0.35"/>
    <s v="fraction_LHV"/>
  </r>
  <r>
    <x v="10"/>
    <x v="2"/>
    <x v="0"/>
    <x v="5"/>
    <n v="4.5830000000000002"/>
    <s v="USD2022/GJ"/>
  </r>
  <r>
    <x v="10"/>
    <x v="2"/>
    <x v="1"/>
    <x v="0"/>
    <n v="6100"/>
    <s v="USD2022/kW"/>
  </r>
  <r>
    <x v="10"/>
    <x v="2"/>
    <x v="1"/>
    <x v="1"/>
    <n v="6100"/>
    <s v="USD2022/kW"/>
  </r>
  <r>
    <x v="10"/>
    <x v="2"/>
    <x v="1"/>
    <x v="2"/>
    <n v="6100"/>
    <s v="USD2022/kW"/>
  </r>
  <r>
    <x v="10"/>
    <x v="2"/>
    <x v="1"/>
    <x v="3"/>
    <n v="215"/>
    <s v="USD2022/kW-yr"/>
  </r>
  <r>
    <x v="10"/>
    <x v="2"/>
    <x v="1"/>
    <x v="4"/>
    <n v="0.36"/>
    <s v="fraction_LHV"/>
  </r>
  <r>
    <x v="10"/>
    <x v="2"/>
    <x v="1"/>
    <x v="5"/>
    <n v="4.5830000000000002"/>
    <s v="USD2022/GJ"/>
  </r>
  <r>
    <x v="10"/>
    <x v="2"/>
    <x v="2"/>
    <x v="0"/>
    <n v="5550"/>
    <s v="USD2022/kW"/>
  </r>
  <r>
    <x v="10"/>
    <x v="2"/>
    <x v="2"/>
    <x v="1"/>
    <n v="5550"/>
    <s v="USD2022/kW"/>
  </r>
  <r>
    <x v="10"/>
    <x v="2"/>
    <x v="2"/>
    <x v="2"/>
    <n v="5550"/>
    <s v="USD2022/kW"/>
  </r>
  <r>
    <x v="10"/>
    <x v="2"/>
    <x v="2"/>
    <x v="3"/>
    <n v="195"/>
    <s v="USD2022/kW-yr"/>
  </r>
  <r>
    <x v="10"/>
    <x v="2"/>
    <x v="2"/>
    <x v="4"/>
    <n v="0.39"/>
    <s v="fraction_LHV"/>
  </r>
  <r>
    <x v="10"/>
    <x v="2"/>
    <x v="2"/>
    <x v="5"/>
    <n v="4.5830000000000002"/>
    <s v="USD2022/GJ"/>
  </r>
  <r>
    <x v="10"/>
    <x v="3"/>
    <x v="0"/>
    <x v="0"/>
    <n v="5450"/>
    <s v="USD2022/kW"/>
  </r>
  <r>
    <x v="10"/>
    <x v="3"/>
    <x v="0"/>
    <x v="1"/>
    <n v="5450"/>
    <s v="USD2022/kW"/>
  </r>
  <r>
    <x v="10"/>
    <x v="3"/>
    <x v="0"/>
    <x v="2"/>
    <n v="5450"/>
    <s v="USD2022/kW"/>
  </r>
  <r>
    <x v="10"/>
    <x v="3"/>
    <x v="0"/>
    <x v="3"/>
    <n v="190"/>
    <s v="USD2022/kW-yr"/>
  </r>
  <r>
    <x v="10"/>
    <x v="3"/>
    <x v="0"/>
    <x v="4"/>
    <n v="0.35"/>
    <s v="fraction_LHV"/>
  </r>
  <r>
    <x v="10"/>
    <x v="3"/>
    <x v="0"/>
    <x v="5"/>
    <n v="4.5830000000000002"/>
    <s v="USD2022/GJ"/>
  </r>
  <r>
    <x v="10"/>
    <x v="3"/>
    <x v="1"/>
    <x v="0"/>
    <n v="5300"/>
    <s v="USD2022/kW"/>
  </r>
  <r>
    <x v="10"/>
    <x v="3"/>
    <x v="1"/>
    <x v="1"/>
    <n v="5300"/>
    <s v="USD2022/kW"/>
  </r>
  <r>
    <x v="10"/>
    <x v="3"/>
    <x v="1"/>
    <x v="2"/>
    <n v="5300"/>
    <s v="USD2022/kW"/>
  </r>
  <r>
    <x v="10"/>
    <x v="3"/>
    <x v="1"/>
    <x v="3"/>
    <n v="185"/>
    <s v="USD2022/kW-yr"/>
  </r>
  <r>
    <x v="10"/>
    <x v="3"/>
    <x v="1"/>
    <x v="4"/>
    <n v="0.36"/>
    <s v="fraction_LHV"/>
  </r>
  <r>
    <x v="10"/>
    <x v="3"/>
    <x v="1"/>
    <x v="5"/>
    <n v="4.5830000000000002"/>
    <s v="USD2022/GJ"/>
  </r>
  <r>
    <x v="10"/>
    <x v="3"/>
    <x v="2"/>
    <x v="0"/>
    <n v="4800"/>
    <s v="USD2022/kW"/>
  </r>
  <r>
    <x v="10"/>
    <x v="3"/>
    <x v="2"/>
    <x v="1"/>
    <n v="4800"/>
    <s v="USD2022/kW"/>
  </r>
  <r>
    <x v="10"/>
    <x v="3"/>
    <x v="2"/>
    <x v="2"/>
    <n v="4800"/>
    <s v="USD2022/kW"/>
  </r>
  <r>
    <x v="10"/>
    <x v="3"/>
    <x v="2"/>
    <x v="3"/>
    <n v="170"/>
    <s v="USD2022/kW-yr"/>
  </r>
  <r>
    <x v="10"/>
    <x v="3"/>
    <x v="2"/>
    <x v="4"/>
    <n v="0.39"/>
    <s v="fraction_LHV"/>
  </r>
  <r>
    <x v="10"/>
    <x v="3"/>
    <x v="2"/>
    <x v="5"/>
    <n v="4.5830000000000002"/>
    <s v="USD2022/GJ"/>
  </r>
  <r>
    <x v="10"/>
    <x v="4"/>
    <x v="0"/>
    <x v="0"/>
    <n v="3650"/>
    <s v="USD2022/kW"/>
  </r>
  <r>
    <x v="10"/>
    <x v="4"/>
    <x v="0"/>
    <x v="1"/>
    <n v="3650"/>
    <s v="USD2022/kW"/>
  </r>
  <r>
    <x v="10"/>
    <x v="4"/>
    <x v="0"/>
    <x v="2"/>
    <n v="3650"/>
    <s v="USD2022/kW"/>
  </r>
  <r>
    <x v="10"/>
    <x v="4"/>
    <x v="0"/>
    <x v="3"/>
    <n v="165"/>
    <s v="USD2022/kW-yr"/>
  </r>
  <r>
    <x v="10"/>
    <x v="4"/>
    <x v="0"/>
    <x v="4"/>
    <n v="0.34"/>
    <s v="fraction_LHV"/>
  </r>
  <r>
    <x v="10"/>
    <x v="4"/>
    <x v="0"/>
    <x v="5"/>
    <n v="4.5830000000000002"/>
    <s v="USD2022/GJ"/>
  </r>
  <r>
    <x v="10"/>
    <x v="4"/>
    <x v="1"/>
    <x v="0"/>
    <n v="3550"/>
    <s v="USD2022/kW"/>
  </r>
  <r>
    <x v="10"/>
    <x v="4"/>
    <x v="1"/>
    <x v="1"/>
    <n v="3550"/>
    <s v="USD2022/kW"/>
  </r>
  <r>
    <x v="10"/>
    <x v="4"/>
    <x v="1"/>
    <x v="2"/>
    <n v="3550"/>
    <s v="USD2022/kW"/>
  </r>
  <r>
    <x v="10"/>
    <x v="4"/>
    <x v="1"/>
    <x v="3"/>
    <n v="160"/>
    <s v="USD2022/kW-yr"/>
  </r>
  <r>
    <x v="10"/>
    <x v="4"/>
    <x v="1"/>
    <x v="4"/>
    <n v="0.35"/>
    <s v="fraction_LHV"/>
  </r>
  <r>
    <x v="10"/>
    <x v="4"/>
    <x v="1"/>
    <x v="5"/>
    <n v="4.5830000000000002"/>
    <s v="USD2022/GJ"/>
  </r>
  <r>
    <x v="10"/>
    <x v="4"/>
    <x v="2"/>
    <x v="0"/>
    <n v="3000"/>
    <s v="USD2022/kW"/>
  </r>
  <r>
    <x v="10"/>
    <x v="4"/>
    <x v="2"/>
    <x v="1"/>
    <n v="3000"/>
    <s v="USD2022/kW"/>
  </r>
  <r>
    <x v="10"/>
    <x v="4"/>
    <x v="2"/>
    <x v="2"/>
    <n v="3000"/>
    <s v="USD2022/kW"/>
  </r>
  <r>
    <x v="10"/>
    <x v="4"/>
    <x v="2"/>
    <x v="3"/>
    <n v="135"/>
    <s v="USD2022/kW-yr"/>
  </r>
  <r>
    <x v="10"/>
    <x v="4"/>
    <x v="2"/>
    <x v="4"/>
    <n v="0.38"/>
    <s v="fraction_LHV"/>
  </r>
  <r>
    <x v="10"/>
    <x v="4"/>
    <x v="2"/>
    <x v="5"/>
    <n v="4.5830000000000002"/>
    <s v="USD2022/GJ"/>
  </r>
  <r>
    <x v="10"/>
    <x v="5"/>
    <x v="0"/>
    <x v="0"/>
    <n v="4150"/>
    <s v="USD2022/kW"/>
  </r>
  <r>
    <x v="10"/>
    <x v="5"/>
    <x v="0"/>
    <x v="1"/>
    <n v="4150"/>
    <s v="USD2022/kW"/>
  </r>
  <r>
    <x v="10"/>
    <x v="5"/>
    <x v="0"/>
    <x v="2"/>
    <n v="4150"/>
    <s v="USD2022/kW"/>
  </r>
  <r>
    <x v="10"/>
    <x v="5"/>
    <x v="0"/>
    <x v="3"/>
    <n v="200"/>
    <s v="USD2022/kW-yr"/>
  </r>
  <r>
    <x v="10"/>
    <x v="5"/>
    <x v="0"/>
    <x v="4"/>
    <n v="0.32"/>
    <s v="fraction_LHV"/>
  </r>
  <r>
    <x v="10"/>
    <x v="5"/>
    <x v="0"/>
    <x v="5"/>
    <n v="4.5830000000000002"/>
    <s v="USD2022/GJ"/>
  </r>
  <r>
    <x v="10"/>
    <x v="5"/>
    <x v="1"/>
    <x v="0"/>
    <n v="3950"/>
    <s v="USD2022/kW"/>
  </r>
  <r>
    <x v="10"/>
    <x v="5"/>
    <x v="1"/>
    <x v="1"/>
    <n v="3950"/>
    <s v="USD2022/kW"/>
  </r>
  <r>
    <x v="10"/>
    <x v="5"/>
    <x v="1"/>
    <x v="2"/>
    <n v="3950"/>
    <s v="USD2022/kW"/>
  </r>
  <r>
    <x v="10"/>
    <x v="5"/>
    <x v="1"/>
    <x v="3"/>
    <n v="190"/>
    <s v="USD2022/kW-yr"/>
  </r>
  <r>
    <x v="10"/>
    <x v="5"/>
    <x v="1"/>
    <x v="4"/>
    <n v="0.33"/>
    <s v="fraction_LHV"/>
  </r>
  <r>
    <x v="10"/>
    <x v="5"/>
    <x v="1"/>
    <x v="5"/>
    <n v="4.5830000000000002"/>
    <s v="USD2022/GJ"/>
  </r>
  <r>
    <x v="10"/>
    <x v="5"/>
    <x v="2"/>
    <x v="0"/>
    <n v="3550"/>
    <s v="USD2022/kW"/>
  </r>
  <r>
    <x v="10"/>
    <x v="5"/>
    <x v="2"/>
    <x v="1"/>
    <n v="3550"/>
    <s v="USD2022/kW"/>
  </r>
  <r>
    <x v="10"/>
    <x v="5"/>
    <x v="2"/>
    <x v="2"/>
    <n v="3550"/>
    <s v="USD2022/kW"/>
  </r>
  <r>
    <x v="10"/>
    <x v="5"/>
    <x v="2"/>
    <x v="3"/>
    <n v="170"/>
    <s v="USD2022/kW-yr"/>
  </r>
  <r>
    <x v="10"/>
    <x v="5"/>
    <x v="2"/>
    <x v="4"/>
    <n v="0.36"/>
    <s v="fraction_LHV"/>
  </r>
  <r>
    <x v="10"/>
    <x v="5"/>
    <x v="2"/>
    <x v="5"/>
    <n v="4.5830000000000002"/>
    <s v="USD2022/GJ"/>
  </r>
  <r>
    <x v="10"/>
    <x v="6"/>
    <x v="0"/>
    <x v="0"/>
    <n v="5100"/>
    <s v="USD2022/kW"/>
  </r>
  <r>
    <x v="10"/>
    <x v="6"/>
    <x v="0"/>
    <x v="1"/>
    <n v="5100"/>
    <s v="USD2022/kW"/>
  </r>
  <r>
    <x v="10"/>
    <x v="6"/>
    <x v="0"/>
    <x v="2"/>
    <n v="5100"/>
    <s v="USD2022/kW"/>
  </r>
  <r>
    <x v="10"/>
    <x v="6"/>
    <x v="0"/>
    <x v="3"/>
    <n v="230"/>
    <s v="USD2022/kW-yr"/>
  </r>
  <r>
    <x v="10"/>
    <x v="6"/>
    <x v="0"/>
    <x v="5"/>
    <n v="4.5830000000000002"/>
    <s v="USD2022/GJ"/>
  </r>
  <r>
    <x v="10"/>
    <x v="6"/>
    <x v="1"/>
    <x v="0"/>
    <n v="4900"/>
    <s v="USD2022/kW"/>
  </r>
  <r>
    <x v="10"/>
    <x v="6"/>
    <x v="1"/>
    <x v="1"/>
    <n v="4900"/>
    <s v="USD2022/kW"/>
  </r>
  <r>
    <x v="10"/>
    <x v="6"/>
    <x v="1"/>
    <x v="2"/>
    <n v="4900"/>
    <s v="USD2022/kW"/>
  </r>
  <r>
    <x v="10"/>
    <x v="6"/>
    <x v="1"/>
    <x v="3"/>
    <n v="220"/>
    <s v="USD2022/kW-yr"/>
  </r>
  <r>
    <x v="10"/>
    <x v="6"/>
    <x v="1"/>
    <x v="5"/>
    <n v="4.5830000000000002"/>
    <s v="USD2022/GJ"/>
  </r>
  <r>
    <x v="10"/>
    <x v="6"/>
    <x v="2"/>
    <x v="0"/>
    <n v="4450"/>
    <s v="USD2022/kW"/>
  </r>
  <r>
    <x v="10"/>
    <x v="6"/>
    <x v="2"/>
    <x v="1"/>
    <n v="4450"/>
    <s v="USD2022/kW"/>
  </r>
  <r>
    <x v="10"/>
    <x v="6"/>
    <x v="2"/>
    <x v="2"/>
    <n v="4450"/>
    <s v="USD2022/kW"/>
  </r>
  <r>
    <x v="10"/>
    <x v="6"/>
    <x v="2"/>
    <x v="3"/>
    <n v="200"/>
    <s v="USD2022/kW-yr"/>
  </r>
  <r>
    <x v="10"/>
    <x v="6"/>
    <x v="2"/>
    <x v="5"/>
    <n v="4.5830000000000002"/>
    <s v="USD2022/GJ"/>
  </r>
  <r>
    <x v="10"/>
    <x v="7"/>
    <x v="0"/>
    <x v="0"/>
    <n v="4850"/>
    <s v="USD2022/kW"/>
  </r>
  <r>
    <x v="10"/>
    <x v="7"/>
    <x v="0"/>
    <x v="1"/>
    <n v="4850"/>
    <s v="USD2022/kW"/>
  </r>
  <r>
    <x v="10"/>
    <x v="7"/>
    <x v="0"/>
    <x v="2"/>
    <n v="4850"/>
    <s v="USD2022/kW"/>
  </r>
  <r>
    <x v="10"/>
    <x v="7"/>
    <x v="0"/>
    <x v="3"/>
    <n v="220"/>
    <s v="USD2022/kW-yr"/>
  </r>
  <r>
    <x v="10"/>
    <x v="7"/>
    <x v="0"/>
    <x v="4"/>
    <n v="0.32"/>
    <s v="fraction_LHV"/>
  </r>
  <r>
    <x v="10"/>
    <x v="7"/>
    <x v="0"/>
    <x v="5"/>
    <n v="4.5830000000000002"/>
    <s v="USD2022/GJ"/>
  </r>
  <r>
    <x v="10"/>
    <x v="7"/>
    <x v="1"/>
    <x v="0"/>
    <n v="4650"/>
    <s v="USD2022/kW"/>
  </r>
  <r>
    <x v="10"/>
    <x v="7"/>
    <x v="1"/>
    <x v="1"/>
    <n v="4650"/>
    <s v="USD2022/kW"/>
  </r>
  <r>
    <x v="10"/>
    <x v="7"/>
    <x v="1"/>
    <x v="2"/>
    <n v="4650"/>
    <s v="USD2022/kW"/>
  </r>
  <r>
    <x v="10"/>
    <x v="7"/>
    <x v="1"/>
    <x v="3"/>
    <n v="210"/>
    <s v="USD2022/kW-yr"/>
  </r>
  <r>
    <x v="10"/>
    <x v="7"/>
    <x v="1"/>
    <x v="4"/>
    <n v="0.32"/>
    <s v="fraction_LHV"/>
  </r>
  <r>
    <x v="10"/>
    <x v="7"/>
    <x v="1"/>
    <x v="5"/>
    <n v="4.5830000000000002"/>
    <s v="USD2022/GJ"/>
  </r>
  <r>
    <x v="10"/>
    <x v="7"/>
    <x v="2"/>
    <x v="0"/>
    <n v="4250"/>
    <s v="USD2022/kW"/>
  </r>
  <r>
    <x v="10"/>
    <x v="7"/>
    <x v="2"/>
    <x v="1"/>
    <n v="4250"/>
    <s v="USD2022/kW"/>
  </r>
  <r>
    <x v="10"/>
    <x v="7"/>
    <x v="2"/>
    <x v="2"/>
    <n v="4250"/>
    <s v="USD2022/kW"/>
  </r>
  <r>
    <x v="10"/>
    <x v="7"/>
    <x v="2"/>
    <x v="3"/>
    <n v="190"/>
    <s v="USD2022/kW-yr"/>
  </r>
  <r>
    <x v="10"/>
    <x v="7"/>
    <x v="2"/>
    <x v="4"/>
    <n v="0.35"/>
    <s v="fraction_LHV"/>
  </r>
  <r>
    <x v="10"/>
    <x v="7"/>
    <x v="2"/>
    <x v="5"/>
    <n v="4.5830000000000002"/>
    <s v="USD2022/GJ"/>
  </r>
  <r>
    <x v="10"/>
    <x v="8"/>
    <x v="0"/>
    <x v="0"/>
    <n v="4550"/>
    <s v="USD2022/kW"/>
  </r>
  <r>
    <x v="10"/>
    <x v="8"/>
    <x v="0"/>
    <x v="1"/>
    <n v="4550"/>
    <s v="USD2022/kW"/>
  </r>
  <r>
    <x v="10"/>
    <x v="8"/>
    <x v="0"/>
    <x v="2"/>
    <n v="4550"/>
    <s v="USD2022/kW"/>
  </r>
  <r>
    <x v="10"/>
    <x v="8"/>
    <x v="0"/>
    <x v="3"/>
    <n v="205"/>
    <s v="USD2022/kW-yr"/>
  </r>
  <r>
    <x v="10"/>
    <x v="8"/>
    <x v="0"/>
    <x v="5"/>
    <n v="4.5830000000000002"/>
    <s v="USD2022/GJ"/>
  </r>
  <r>
    <x v="10"/>
    <x v="8"/>
    <x v="1"/>
    <x v="0"/>
    <n v="4350"/>
    <s v="USD2022/kW"/>
  </r>
  <r>
    <x v="10"/>
    <x v="8"/>
    <x v="1"/>
    <x v="1"/>
    <n v="4350"/>
    <s v="USD2022/kW"/>
  </r>
  <r>
    <x v="10"/>
    <x v="8"/>
    <x v="1"/>
    <x v="2"/>
    <n v="4350"/>
    <s v="USD2022/kW"/>
  </r>
  <r>
    <x v="10"/>
    <x v="8"/>
    <x v="1"/>
    <x v="3"/>
    <n v="195"/>
    <s v="USD2022/kW-yr"/>
  </r>
  <r>
    <x v="10"/>
    <x v="8"/>
    <x v="1"/>
    <x v="5"/>
    <n v="4.5830000000000002"/>
    <s v="USD2022/GJ"/>
  </r>
  <r>
    <x v="10"/>
    <x v="8"/>
    <x v="2"/>
    <x v="0"/>
    <n v="4000"/>
    <s v="USD2022/kW"/>
  </r>
  <r>
    <x v="10"/>
    <x v="8"/>
    <x v="2"/>
    <x v="1"/>
    <n v="4000"/>
    <s v="USD2022/kW"/>
  </r>
  <r>
    <x v="10"/>
    <x v="8"/>
    <x v="2"/>
    <x v="2"/>
    <n v="4000"/>
    <s v="USD2022/kW"/>
  </r>
  <r>
    <x v="10"/>
    <x v="8"/>
    <x v="2"/>
    <x v="3"/>
    <n v="180"/>
    <s v="USD2022/kW-yr"/>
  </r>
  <r>
    <x v="10"/>
    <x v="8"/>
    <x v="2"/>
    <x v="5"/>
    <n v="4.5830000000000002"/>
    <s v="USD2022/GJ"/>
  </r>
  <r>
    <x v="11"/>
    <x v="0"/>
    <x v="0"/>
    <x v="0"/>
    <n v="3100"/>
    <s v="USD2022/kW"/>
  </r>
  <r>
    <x v="11"/>
    <x v="0"/>
    <x v="0"/>
    <x v="1"/>
    <n v="3100"/>
    <s v="USD2022/kW"/>
  </r>
  <r>
    <x v="11"/>
    <x v="0"/>
    <x v="0"/>
    <x v="2"/>
    <n v="3100"/>
    <s v="USD2022/kW"/>
  </r>
  <r>
    <x v="11"/>
    <x v="0"/>
    <x v="0"/>
    <x v="3"/>
    <n v="80"/>
    <s v="USD2022/kW-yr"/>
  </r>
  <r>
    <x v="11"/>
    <x v="0"/>
    <x v="0"/>
    <x v="4"/>
    <n v="0.51"/>
    <s v="fraction_LHV"/>
  </r>
  <r>
    <x v="11"/>
    <x v="0"/>
    <x v="0"/>
    <x v="5"/>
    <n v="1.35"/>
    <s v="USD2022/GJ"/>
  </r>
  <r>
    <x v="11"/>
    <x v="0"/>
    <x v="1"/>
    <x v="0"/>
    <n v="3100"/>
    <s v="USD2022/kW"/>
  </r>
  <r>
    <x v="11"/>
    <x v="0"/>
    <x v="1"/>
    <x v="1"/>
    <n v="3366.3"/>
    <s v="USD2022/kW"/>
  </r>
  <r>
    <x v="11"/>
    <x v="0"/>
    <x v="1"/>
    <x v="2"/>
    <n v="2833.7"/>
    <s v="USD2022/kW"/>
  </r>
  <r>
    <x v="11"/>
    <x v="0"/>
    <x v="1"/>
    <x v="3"/>
    <n v="75"/>
    <s v="USD2022/kW-yr"/>
  </r>
  <r>
    <x v="11"/>
    <x v="0"/>
    <x v="1"/>
    <x v="4"/>
    <n v="0.52"/>
    <s v="fraction_LHV"/>
  </r>
  <r>
    <x v="11"/>
    <x v="0"/>
    <x v="1"/>
    <x v="5"/>
    <n v="1.2"/>
    <s v="USD2022/GJ"/>
  </r>
  <r>
    <x v="11"/>
    <x v="0"/>
    <x v="2"/>
    <x v="0"/>
    <n v="2500"/>
    <s v="USD2022/kW"/>
  </r>
  <r>
    <x v="11"/>
    <x v="0"/>
    <x v="2"/>
    <x v="1"/>
    <n v="2910.7"/>
    <s v="USD2022/kW"/>
  </r>
  <r>
    <x v="11"/>
    <x v="0"/>
    <x v="2"/>
    <x v="2"/>
    <n v="2089"/>
    <s v="USD2022/kW"/>
  </r>
  <r>
    <x v="11"/>
    <x v="0"/>
    <x v="2"/>
    <x v="3"/>
    <n v="60"/>
    <s v="USD2022/kW-yr"/>
  </r>
  <r>
    <x v="11"/>
    <x v="0"/>
    <x v="2"/>
    <x v="4"/>
    <n v="0.52"/>
    <s v="fraction_LHV"/>
  </r>
  <r>
    <x v="11"/>
    <x v="0"/>
    <x v="2"/>
    <x v="5"/>
    <n v="0.98899999999999999"/>
    <s v="USD2022/GJ"/>
  </r>
  <r>
    <x v="11"/>
    <x v="1"/>
    <x v="0"/>
    <x v="0"/>
    <n v="3100"/>
    <s v="USD2022/kW"/>
  </r>
  <r>
    <x v="11"/>
    <x v="1"/>
    <x v="0"/>
    <x v="1"/>
    <n v="3100"/>
    <s v="USD2022/kW"/>
  </r>
  <r>
    <x v="11"/>
    <x v="1"/>
    <x v="0"/>
    <x v="2"/>
    <n v="3100"/>
    <s v="USD2022/kW"/>
  </r>
  <r>
    <x v="11"/>
    <x v="1"/>
    <x v="0"/>
    <x v="3"/>
    <n v="80"/>
    <s v="USD2022/kW-yr"/>
  </r>
  <r>
    <x v="11"/>
    <x v="1"/>
    <x v="0"/>
    <x v="4"/>
    <n v="0.51"/>
    <s v="fraction_LHV"/>
  </r>
  <r>
    <x v="11"/>
    <x v="1"/>
    <x v="0"/>
    <x v="5"/>
    <n v="1.35"/>
    <s v="USD2022/GJ"/>
  </r>
  <r>
    <x v="11"/>
    <x v="1"/>
    <x v="1"/>
    <x v="0"/>
    <n v="3100"/>
    <s v="USD2022/kW"/>
  </r>
  <r>
    <x v="11"/>
    <x v="1"/>
    <x v="1"/>
    <x v="1"/>
    <n v="3366.3"/>
    <s v="USD2022/kW"/>
  </r>
  <r>
    <x v="11"/>
    <x v="1"/>
    <x v="1"/>
    <x v="2"/>
    <n v="2833.7"/>
    <s v="USD2022/kW"/>
  </r>
  <r>
    <x v="11"/>
    <x v="1"/>
    <x v="1"/>
    <x v="3"/>
    <n v="75"/>
    <s v="USD2022/kW-yr"/>
  </r>
  <r>
    <x v="11"/>
    <x v="1"/>
    <x v="1"/>
    <x v="4"/>
    <n v="0.52"/>
    <s v="fraction_LHV"/>
  </r>
  <r>
    <x v="11"/>
    <x v="1"/>
    <x v="1"/>
    <x v="5"/>
    <n v="1.2"/>
    <s v="USD2022/GJ"/>
  </r>
  <r>
    <x v="11"/>
    <x v="1"/>
    <x v="2"/>
    <x v="0"/>
    <n v="2400"/>
    <s v="USD2022/kW"/>
  </r>
  <r>
    <x v="11"/>
    <x v="1"/>
    <x v="2"/>
    <x v="1"/>
    <n v="2794.3"/>
    <s v="USD2022/kW"/>
  </r>
  <r>
    <x v="11"/>
    <x v="1"/>
    <x v="2"/>
    <x v="2"/>
    <n v="2005.4"/>
    <s v="USD2022/kW"/>
  </r>
  <r>
    <x v="11"/>
    <x v="1"/>
    <x v="2"/>
    <x v="3"/>
    <n v="60"/>
    <s v="USD2022/kW-yr"/>
  </r>
  <r>
    <x v="11"/>
    <x v="1"/>
    <x v="2"/>
    <x v="4"/>
    <n v="0.52"/>
    <s v="fraction_LHV"/>
  </r>
  <r>
    <x v="11"/>
    <x v="1"/>
    <x v="2"/>
    <x v="5"/>
    <n v="0.98899999999999999"/>
    <s v="USD2022/GJ"/>
  </r>
  <r>
    <x v="11"/>
    <x v="2"/>
    <x v="0"/>
    <x v="0"/>
    <n v="3200"/>
    <s v="USD2022/kW"/>
  </r>
  <r>
    <x v="11"/>
    <x v="2"/>
    <x v="0"/>
    <x v="1"/>
    <n v="3200"/>
    <s v="USD2022/kW"/>
  </r>
  <r>
    <x v="11"/>
    <x v="2"/>
    <x v="0"/>
    <x v="2"/>
    <n v="3200"/>
    <s v="USD2022/kW"/>
  </r>
  <r>
    <x v="11"/>
    <x v="2"/>
    <x v="0"/>
    <x v="3"/>
    <n v="80"/>
    <s v="USD2022/kW-yr"/>
  </r>
  <r>
    <x v="11"/>
    <x v="2"/>
    <x v="0"/>
    <x v="4"/>
    <n v="0.51"/>
    <s v="fraction_LHV"/>
  </r>
  <r>
    <x v="11"/>
    <x v="2"/>
    <x v="0"/>
    <x v="5"/>
    <n v="1.35"/>
    <s v="USD2022/GJ"/>
  </r>
  <r>
    <x v="11"/>
    <x v="2"/>
    <x v="1"/>
    <x v="0"/>
    <n v="3200"/>
    <s v="USD2022/kW"/>
  </r>
  <r>
    <x v="11"/>
    <x v="2"/>
    <x v="1"/>
    <x v="1"/>
    <n v="3474.9"/>
    <s v="USD2022/kW"/>
  </r>
  <r>
    <x v="11"/>
    <x v="2"/>
    <x v="1"/>
    <x v="2"/>
    <n v="2925.1"/>
    <s v="USD2022/kW"/>
  </r>
  <r>
    <x v="11"/>
    <x v="2"/>
    <x v="1"/>
    <x v="3"/>
    <n v="80"/>
    <s v="USD2022/kW-yr"/>
  </r>
  <r>
    <x v="11"/>
    <x v="2"/>
    <x v="1"/>
    <x v="4"/>
    <n v="0.52"/>
    <s v="fraction_LHV"/>
  </r>
  <r>
    <x v="11"/>
    <x v="2"/>
    <x v="1"/>
    <x v="5"/>
    <n v="1.2"/>
    <s v="USD2022/GJ"/>
  </r>
  <r>
    <x v="11"/>
    <x v="2"/>
    <x v="2"/>
    <x v="0"/>
    <n v="2600"/>
    <s v="USD2022/kW"/>
  </r>
  <r>
    <x v="11"/>
    <x v="2"/>
    <x v="2"/>
    <x v="1"/>
    <n v="3027.2"/>
    <s v="USD2022/kW"/>
  </r>
  <r>
    <x v="11"/>
    <x v="2"/>
    <x v="2"/>
    <x v="2"/>
    <n v="2172.6"/>
    <s v="USD2022/kW"/>
  </r>
  <r>
    <x v="11"/>
    <x v="2"/>
    <x v="2"/>
    <x v="3"/>
    <n v="65"/>
    <s v="USD2022/kW-yr"/>
  </r>
  <r>
    <x v="11"/>
    <x v="2"/>
    <x v="2"/>
    <x v="4"/>
    <n v="0.52"/>
    <s v="fraction_LHV"/>
  </r>
  <r>
    <x v="11"/>
    <x v="2"/>
    <x v="2"/>
    <x v="5"/>
    <n v="0.98899999999999999"/>
    <s v="USD2022/GJ"/>
  </r>
  <r>
    <x v="11"/>
    <x v="3"/>
    <x v="0"/>
    <x v="0"/>
    <n v="2650"/>
    <s v="USD2022/kW"/>
  </r>
  <r>
    <x v="11"/>
    <x v="3"/>
    <x v="0"/>
    <x v="1"/>
    <n v="2650"/>
    <s v="USD2022/kW"/>
  </r>
  <r>
    <x v="11"/>
    <x v="3"/>
    <x v="0"/>
    <x v="2"/>
    <n v="2650"/>
    <s v="USD2022/kW"/>
  </r>
  <r>
    <x v="11"/>
    <x v="3"/>
    <x v="0"/>
    <x v="3"/>
    <n v="95"/>
    <s v="USD2022/kW-yr"/>
  </r>
  <r>
    <x v="11"/>
    <x v="3"/>
    <x v="0"/>
    <x v="4"/>
    <n v="0.49"/>
    <s v="fraction_LHV"/>
  </r>
  <r>
    <x v="11"/>
    <x v="3"/>
    <x v="0"/>
    <x v="5"/>
    <n v="1.35"/>
    <s v="USD2022/GJ"/>
  </r>
  <r>
    <x v="11"/>
    <x v="3"/>
    <x v="1"/>
    <x v="0"/>
    <n v="2650"/>
    <s v="USD2022/kW"/>
  </r>
  <r>
    <x v="11"/>
    <x v="3"/>
    <x v="1"/>
    <x v="1"/>
    <n v="2877.6"/>
    <s v="USD2022/kW"/>
  </r>
  <r>
    <x v="11"/>
    <x v="3"/>
    <x v="1"/>
    <x v="2"/>
    <n v="2422.4"/>
    <s v="USD2022/kW"/>
  </r>
  <r>
    <x v="11"/>
    <x v="3"/>
    <x v="1"/>
    <x v="3"/>
    <n v="95"/>
    <s v="USD2022/kW-yr"/>
  </r>
  <r>
    <x v="11"/>
    <x v="3"/>
    <x v="1"/>
    <x v="4"/>
    <n v="0.5"/>
    <s v="fraction_LHV"/>
  </r>
  <r>
    <x v="11"/>
    <x v="3"/>
    <x v="1"/>
    <x v="5"/>
    <n v="1.2"/>
    <s v="USD2022/GJ"/>
  </r>
  <r>
    <x v="11"/>
    <x v="3"/>
    <x v="2"/>
    <x v="0"/>
    <n v="2100"/>
    <s v="USD2022/kW"/>
  </r>
  <r>
    <x v="11"/>
    <x v="3"/>
    <x v="2"/>
    <x v="1"/>
    <n v="2445"/>
    <s v="USD2022/kW"/>
  </r>
  <r>
    <x v="11"/>
    <x v="3"/>
    <x v="2"/>
    <x v="2"/>
    <n v="1754.8"/>
    <s v="USD2022/kW"/>
  </r>
  <r>
    <x v="11"/>
    <x v="3"/>
    <x v="2"/>
    <x v="3"/>
    <n v="75"/>
    <s v="USD2022/kW-yr"/>
  </r>
  <r>
    <x v="11"/>
    <x v="3"/>
    <x v="2"/>
    <x v="4"/>
    <n v="0.5"/>
    <s v="fraction_LHV"/>
  </r>
  <r>
    <x v="11"/>
    <x v="3"/>
    <x v="2"/>
    <x v="5"/>
    <n v="0.98899999999999999"/>
    <s v="USD2022/GJ"/>
  </r>
  <r>
    <x v="11"/>
    <x v="4"/>
    <x v="0"/>
    <x v="0"/>
    <n v="2200"/>
    <s v="USD2022/kW"/>
  </r>
  <r>
    <x v="11"/>
    <x v="4"/>
    <x v="0"/>
    <x v="1"/>
    <n v="2200"/>
    <s v="USD2022/kW"/>
  </r>
  <r>
    <x v="11"/>
    <x v="4"/>
    <x v="0"/>
    <x v="2"/>
    <n v="2200"/>
    <s v="USD2022/kW"/>
  </r>
  <r>
    <x v="11"/>
    <x v="4"/>
    <x v="0"/>
    <x v="3"/>
    <n v="70"/>
    <s v="USD2022/kW-yr"/>
  </r>
  <r>
    <x v="11"/>
    <x v="4"/>
    <x v="0"/>
    <x v="4"/>
    <n v="0.49"/>
    <s v="fraction_LHV"/>
  </r>
  <r>
    <x v="11"/>
    <x v="4"/>
    <x v="0"/>
    <x v="5"/>
    <n v="1.35"/>
    <s v="USD2022/GJ"/>
  </r>
  <r>
    <x v="11"/>
    <x v="4"/>
    <x v="1"/>
    <x v="0"/>
    <n v="2200"/>
    <s v="USD2022/kW"/>
  </r>
  <r>
    <x v="11"/>
    <x v="4"/>
    <x v="1"/>
    <x v="1"/>
    <n v="2389"/>
    <s v="USD2022/kW"/>
  </r>
  <r>
    <x v="11"/>
    <x v="4"/>
    <x v="1"/>
    <x v="2"/>
    <n v="2011"/>
    <s v="USD2022/kW"/>
  </r>
  <r>
    <x v="11"/>
    <x v="4"/>
    <x v="1"/>
    <x v="3"/>
    <n v="70"/>
    <s v="USD2022/kW-yr"/>
  </r>
  <r>
    <x v="11"/>
    <x v="4"/>
    <x v="1"/>
    <x v="4"/>
    <n v="0.5"/>
    <s v="fraction_LHV"/>
  </r>
  <r>
    <x v="11"/>
    <x v="4"/>
    <x v="1"/>
    <x v="5"/>
    <n v="1.2"/>
    <s v="USD2022/GJ"/>
  </r>
  <r>
    <x v="11"/>
    <x v="4"/>
    <x v="2"/>
    <x v="0"/>
    <n v="1650"/>
    <s v="USD2022/kW"/>
  </r>
  <r>
    <x v="11"/>
    <x v="4"/>
    <x v="2"/>
    <x v="1"/>
    <n v="1921.1"/>
    <s v="USD2022/kW"/>
  </r>
  <r>
    <x v="11"/>
    <x v="4"/>
    <x v="2"/>
    <x v="2"/>
    <n v="1378.7"/>
    <s v="USD2022/kW"/>
  </r>
  <r>
    <x v="11"/>
    <x v="4"/>
    <x v="2"/>
    <x v="3"/>
    <n v="55"/>
    <s v="USD2022/kW-yr"/>
  </r>
  <r>
    <x v="11"/>
    <x v="4"/>
    <x v="2"/>
    <x v="4"/>
    <n v="0.5"/>
    <s v="fraction_LHV"/>
  </r>
  <r>
    <x v="11"/>
    <x v="4"/>
    <x v="2"/>
    <x v="5"/>
    <n v="0.98899999999999999"/>
    <s v="USD2022/GJ"/>
  </r>
  <r>
    <x v="11"/>
    <x v="5"/>
    <x v="0"/>
    <x v="0"/>
    <n v="2300"/>
    <s v="USD2022/kW"/>
  </r>
  <r>
    <x v="11"/>
    <x v="5"/>
    <x v="0"/>
    <x v="1"/>
    <n v="2300"/>
    <s v="USD2022/kW"/>
  </r>
  <r>
    <x v="11"/>
    <x v="5"/>
    <x v="0"/>
    <x v="2"/>
    <n v="2300"/>
    <s v="USD2022/kW"/>
  </r>
  <r>
    <x v="11"/>
    <x v="5"/>
    <x v="0"/>
    <x v="3"/>
    <n v="80"/>
    <s v="USD2022/kW-yr"/>
  </r>
  <r>
    <x v="11"/>
    <x v="5"/>
    <x v="0"/>
    <x v="4"/>
    <n v="0.48"/>
    <s v="fraction_LHV"/>
  </r>
  <r>
    <x v="11"/>
    <x v="5"/>
    <x v="0"/>
    <x v="5"/>
    <n v="1.35"/>
    <s v="USD2022/GJ"/>
  </r>
  <r>
    <x v="11"/>
    <x v="5"/>
    <x v="1"/>
    <x v="0"/>
    <n v="2300"/>
    <s v="USD2022/kW"/>
  </r>
  <r>
    <x v="11"/>
    <x v="5"/>
    <x v="1"/>
    <x v="1"/>
    <n v="2497.6"/>
    <s v="USD2022/kW"/>
  </r>
  <r>
    <x v="11"/>
    <x v="5"/>
    <x v="1"/>
    <x v="2"/>
    <n v="2102.4"/>
    <s v="USD2022/kW"/>
  </r>
  <r>
    <x v="11"/>
    <x v="5"/>
    <x v="1"/>
    <x v="3"/>
    <n v="80"/>
    <s v="USD2022/kW-yr"/>
  </r>
  <r>
    <x v="11"/>
    <x v="5"/>
    <x v="1"/>
    <x v="4"/>
    <n v="0.49"/>
    <s v="fraction_LHV"/>
  </r>
  <r>
    <x v="11"/>
    <x v="5"/>
    <x v="1"/>
    <x v="5"/>
    <n v="1.2"/>
    <s v="USD2022/GJ"/>
  </r>
  <r>
    <x v="11"/>
    <x v="5"/>
    <x v="2"/>
    <x v="0"/>
    <n v="1850"/>
    <s v="USD2022/kW"/>
  </r>
  <r>
    <x v="11"/>
    <x v="5"/>
    <x v="2"/>
    <x v="1"/>
    <n v="2154"/>
    <s v="USD2022/kW"/>
  </r>
  <r>
    <x v="11"/>
    <x v="5"/>
    <x v="2"/>
    <x v="2"/>
    <n v="1545.9"/>
    <s v="USD2022/kW"/>
  </r>
  <r>
    <x v="11"/>
    <x v="5"/>
    <x v="2"/>
    <x v="3"/>
    <n v="65"/>
    <s v="USD2022/kW-yr"/>
  </r>
  <r>
    <x v="11"/>
    <x v="5"/>
    <x v="2"/>
    <x v="4"/>
    <n v="0.49"/>
    <s v="fraction_LHV"/>
  </r>
  <r>
    <x v="11"/>
    <x v="5"/>
    <x v="2"/>
    <x v="5"/>
    <n v="0.98899999999999999"/>
    <s v="USD2022/GJ"/>
  </r>
  <r>
    <x v="11"/>
    <x v="6"/>
    <x v="0"/>
    <x v="0"/>
    <n v="2800"/>
    <s v="USD2022/kW"/>
  </r>
  <r>
    <x v="11"/>
    <x v="6"/>
    <x v="0"/>
    <x v="1"/>
    <n v="2800"/>
    <s v="USD2022/kW"/>
  </r>
  <r>
    <x v="11"/>
    <x v="6"/>
    <x v="0"/>
    <x v="2"/>
    <n v="2800"/>
    <s v="USD2022/kW"/>
  </r>
  <r>
    <x v="11"/>
    <x v="6"/>
    <x v="0"/>
    <x v="3"/>
    <n v="100"/>
    <s v="USD2022/kW-yr"/>
  </r>
  <r>
    <x v="11"/>
    <x v="6"/>
    <x v="0"/>
    <x v="4"/>
    <n v="0.49"/>
    <s v="fraction_LHV"/>
  </r>
  <r>
    <x v="11"/>
    <x v="6"/>
    <x v="0"/>
    <x v="5"/>
    <n v="1.35"/>
    <s v="USD2022/GJ"/>
  </r>
  <r>
    <x v="11"/>
    <x v="6"/>
    <x v="1"/>
    <x v="0"/>
    <n v="2800"/>
    <s v="USD2022/kW"/>
  </r>
  <r>
    <x v="11"/>
    <x v="6"/>
    <x v="1"/>
    <x v="1"/>
    <n v="3040.5"/>
    <s v="USD2022/kW"/>
  </r>
  <r>
    <x v="11"/>
    <x v="6"/>
    <x v="1"/>
    <x v="2"/>
    <n v="2559.5"/>
    <s v="USD2022/kW"/>
  </r>
  <r>
    <x v="11"/>
    <x v="6"/>
    <x v="1"/>
    <x v="3"/>
    <n v="100"/>
    <s v="USD2022/kW-yr"/>
  </r>
  <r>
    <x v="11"/>
    <x v="6"/>
    <x v="1"/>
    <x v="4"/>
    <n v="0.5"/>
    <s v="fraction_LHV"/>
  </r>
  <r>
    <x v="11"/>
    <x v="6"/>
    <x v="1"/>
    <x v="5"/>
    <n v="1.2"/>
    <s v="USD2022/GJ"/>
  </r>
  <r>
    <x v="11"/>
    <x v="6"/>
    <x v="2"/>
    <x v="0"/>
    <n v="2250"/>
    <s v="USD2022/kW"/>
  </r>
  <r>
    <x v="11"/>
    <x v="6"/>
    <x v="2"/>
    <x v="1"/>
    <n v="2619.6999999999998"/>
    <s v="USD2022/kW"/>
  </r>
  <r>
    <x v="11"/>
    <x v="6"/>
    <x v="2"/>
    <x v="2"/>
    <n v="1880.1"/>
    <s v="USD2022/kW"/>
  </r>
  <r>
    <x v="11"/>
    <x v="6"/>
    <x v="2"/>
    <x v="3"/>
    <n v="80"/>
    <s v="USD2022/kW-yr"/>
  </r>
  <r>
    <x v="11"/>
    <x v="6"/>
    <x v="2"/>
    <x v="4"/>
    <n v="0.5"/>
    <s v="fraction_LHV"/>
  </r>
  <r>
    <x v="11"/>
    <x v="6"/>
    <x v="2"/>
    <x v="5"/>
    <n v="0.98899999999999999"/>
    <s v="USD2022/GJ"/>
  </r>
  <r>
    <x v="11"/>
    <x v="7"/>
    <x v="0"/>
    <x v="0"/>
    <n v="2450"/>
    <s v="USD2022/kW"/>
  </r>
  <r>
    <x v="11"/>
    <x v="7"/>
    <x v="0"/>
    <x v="1"/>
    <n v="2450"/>
    <s v="USD2022/kW"/>
  </r>
  <r>
    <x v="11"/>
    <x v="7"/>
    <x v="0"/>
    <x v="2"/>
    <n v="2450"/>
    <s v="USD2022/kW"/>
  </r>
  <r>
    <x v="11"/>
    <x v="7"/>
    <x v="0"/>
    <x v="3"/>
    <n v="85"/>
    <s v="USD2022/kW-yr"/>
  </r>
  <r>
    <x v="11"/>
    <x v="7"/>
    <x v="0"/>
    <x v="4"/>
    <n v="0.5"/>
    <s v="fraction_LHV"/>
  </r>
  <r>
    <x v="11"/>
    <x v="7"/>
    <x v="0"/>
    <x v="5"/>
    <n v="1.35"/>
    <s v="USD2022/GJ"/>
  </r>
  <r>
    <x v="11"/>
    <x v="7"/>
    <x v="1"/>
    <x v="0"/>
    <n v="2450"/>
    <s v="USD2022/kW"/>
  </r>
  <r>
    <x v="11"/>
    <x v="7"/>
    <x v="1"/>
    <x v="1"/>
    <n v="2660.5"/>
    <s v="USD2022/kW"/>
  </r>
  <r>
    <x v="11"/>
    <x v="7"/>
    <x v="1"/>
    <x v="2"/>
    <n v="2239.5"/>
    <s v="USD2022/kW"/>
  </r>
  <r>
    <x v="11"/>
    <x v="7"/>
    <x v="1"/>
    <x v="3"/>
    <n v="85"/>
    <s v="USD2022/kW-yr"/>
  </r>
  <r>
    <x v="11"/>
    <x v="7"/>
    <x v="1"/>
    <x v="4"/>
    <n v="0.51"/>
    <s v="fraction_LHV"/>
  </r>
  <r>
    <x v="11"/>
    <x v="7"/>
    <x v="1"/>
    <x v="5"/>
    <n v="1.2"/>
    <s v="USD2022/GJ"/>
  </r>
  <r>
    <x v="11"/>
    <x v="7"/>
    <x v="2"/>
    <x v="0"/>
    <n v="1950"/>
    <s v="USD2022/kW"/>
  </r>
  <r>
    <x v="11"/>
    <x v="7"/>
    <x v="2"/>
    <x v="1"/>
    <n v="2270.4"/>
    <s v="USD2022/kW"/>
  </r>
  <r>
    <x v="11"/>
    <x v="7"/>
    <x v="2"/>
    <x v="2"/>
    <n v="1629.4"/>
    <s v="USD2022/kW"/>
  </r>
  <r>
    <x v="11"/>
    <x v="7"/>
    <x v="2"/>
    <x v="3"/>
    <n v="70"/>
    <s v="USD2022/kW-yr"/>
  </r>
  <r>
    <x v="11"/>
    <x v="7"/>
    <x v="2"/>
    <x v="4"/>
    <n v="0.51"/>
    <s v="fraction_LHV"/>
  </r>
  <r>
    <x v="11"/>
    <x v="7"/>
    <x v="2"/>
    <x v="5"/>
    <n v="0.98899999999999999"/>
    <s v="USD2022/GJ"/>
  </r>
  <r>
    <x v="11"/>
    <x v="8"/>
    <x v="0"/>
    <x v="0"/>
    <n v="1650"/>
    <s v="USD2022/kW"/>
  </r>
  <r>
    <x v="11"/>
    <x v="8"/>
    <x v="0"/>
    <x v="1"/>
    <n v="1650"/>
    <s v="USD2022/kW"/>
  </r>
  <r>
    <x v="11"/>
    <x v="8"/>
    <x v="0"/>
    <x v="2"/>
    <n v="1650"/>
    <s v="USD2022/kW"/>
  </r>
  <r>
    <x v="11"/>
    <x v="8"/>
    <x v="0"/>
    <x v="3"/>
    <n v="55"/>
    <s v="USD2022/kW-yr"/>
  </r>
  <r>
    <x v="11"/>
    <x v="8"/>
    <x v="0"/>
    <x v="5"/>
    <n v="1.35"/>
    <s v="USD2022/GJ"/>
  </r>
  <r>
    <x v="11"/>
    <x v="8"/>
    <x v="1"/>
    <x v="0"/>
    <n v="1650"/>
    <s v="USD2022/kW"/>
  </r>
  <r>
    <x v="11"/>
    <x v="8"/>
    <x v="1"/>
    <x v="1"/>
    <n v="1791.7"/>
    <s v="USD2022/kW"/>
  </r>
  <r>
    <x v="11"/>
    <x v="8"/>
    <x v="1"/>
    <x v="2"/>
    <n v="1508.3"/>
    <s v="USD2022/kW"/>
  </r>
  <r>
    <x v="11"/>
    <x v="8"/>
    <x v="1"/>
    <x v="3"/>
    <n v="55"/>
    <s v="USD2022/kW-yr"/>
  </r>
  <r>
    <x v="11"/>
    <x v="8"/>
    <x v="1"/>
    <x v="5"/>
    <n v="1.2"/>
    <s v="USD2022/GJ"/>
  </r>
  <r>
    <x v="11"/>
    <x v="8"/>
    <x v="2"/>
    <x v="0"/>
    <n v="1350"/>
    <s v="USD2022/kW"/>
  </r>
  <r>
    <x v="11"/>
    <x v="8"/>
    <x v="2"/>
    <x v="1"/>
    <n v="1571.8"/>
    <s v="USD2022/kW"/>
  </r>
  <r>
    <x v="11"/>
    <x v="8"/>
    <x v="2"/>
    <x v="2"/>
    <n v="1128.0999999999999"/>
    <s v="USD2022/kW"/>
  </r>
  <r>
    <x v="11"/>
    <x v="8"/>
    <x v="2"/>
    <x v="3"/>
    <n v="50"/>
    <s v="USD2022/kW-yr"/>
  </r>
  <r>
    <x v="11"/>
    <x v="8"/>
    <x v="2"/>
    <x v="5"/>
    <n v="0.98899999999999999"/>
    <s v="USD2022/GJ"/>
  </r>
  <r>
    <x v="12"/>
    <x v="0"/>
    <x v="0"/>
    <x v="0"/>
    <n v="6600"/>
    <s v="USD2022/kW"/>
  </r>
  <r>
    <x v="12"/>
    <x v="0"/>
    <x v="0"/>
    <x v="1"/>
    <n v="10256.4"/>
    <s v="USD2022/kW"/>
  </r>
  <r>
    <x v="12"/>
    <x v="0"/>
    <x v="0"/>
    <x v="2"/>
    <n v="5608"/>
    <s v="USD2022/kW"/>
  </r>
  <r>
    <x v="12"/>
    <x v="0"/>
    <x v="0"/>
    <x v="3"/>
    <n v="160"/>
    <s v="USD2022/kW-yr"/>
  </r>
  <r>
    <x v="12"/>
    <x v="0"/>
    <x v="1"/>
    <x v="0"/>
    <n v="5100"/>
    <s v="USD2022/kW"/>
  </r>
  <r>
    <x v="12"/>
    <x v="0"/>
    <x v="1"/>
    <x v="1"/>
    <n v="7925.4"/>
    <s v="USD2022/kW"/>
  </r>
  <r>
    <x v="12"/>
    <x v="0"/>
    <x v="1"/>
    <x v="2"/>
    <n v="4333.5"/>
    <s v="USD2022/kW"/>
  </r>
  <r>
    <x v="12"/>
    <x v="0"/>
    <x v="1"/>
    <x v="3"/>
    <n v="160"/>
    <s v="USD2022/kW-yr"/>
  </r>
  <r>
    <x v="12"/>
    <x v="0"/>
    <x v="1"/>
    <x v="5"/>
    <n v="0.77800000000000002"/>
    <s v="USD2022/GJ"/>
  </r>
  <r>
    <x v="12"/>
    <x v="0"/>
    <x v="2"/>
    <x v="0"/>
    <n v="4500"/>
    <s v="USD2022/kW"/>
  </r>
  <r>
    <x v="12"/>
    <x v="0"/>
    <x v="2"/>
    <x v="1"/>
    <n v="8257"/>
    <s v="USD2022/kW"/>
  </r>
  <r>
    <x v="12"/>
    <x v="0"/>
    <x v="2"/>
    <x v="2"/>
    <n v="2552"/>
    <s v="USD2022/kW"/>
  </r>
  <r>
    <x v="12"/>
    <x v="0"/>
    <x v="2"/>
    <x v="3"/>
    <n v="160"/>
    <s v="USD2022/kW-yr"/>
  </r>
  <r>
    <x v="12"/>
    <x v="0"/>
    <x v="2"/>
    <x v="5"/>
    <n v="0.77800000000000002"/>
    <s v="USD2022/GJ"/>
  </r>
  <r>
    <x v="12"/>
    <x v="1"/>
    <x v="0"/>
    <x v="0"/>
    <n v="5000"/>
    <s v="USD2022/kW"/>
  </r>
  <r>
    <x v="12"/>
    <x v="1"/>
    <x v="0"/>
    <x v="1"/>
    <n v="7770"/>
    <s v="USD2022/kW"/>
  </r>
  <r>
    <x v="12"/>
    <x v="1"/>
    <x v="0"/>
    <x v="2"/>
    <n v="4248.5"/>
    <s v="USD2022/kW"/>
  </r>
  <r>
    <x v="12"/>
    <x v="1"/>
    <x v="0"/>
    <x v="3"/>
    <n v="175"/>
    <s v="USD2022/kW-yr"/>
  </r>
  <r>
    <x v="12"/>
    <x v="1"/>
    <x v="1"/>
    <x v="0"/>
    <n v="4800"/>
    <s v="USD2022/kW"/>
  </r>
  <r>
    <x v="12"/>
    <x v="1"/>
    <x v="1"/>
    <x v="1"/>
    <n v="7459.2"/>
    <s v="USD2022/kW"/>
  </r>
  <r>
    <x v="12"/>
    <x v="1"/>
    <x v="1"/>
    <x v="2"/>
    <n v="4078.6"/>
    <s v="USD2022/kW"/>
  </r>
  <r>
    <x v="12"/>
    <x v="1"/>
    <x v="1"/>
    <x v="3"/>
    <n v="175"/>
    <s v="USD2022/kW-yr"/>
  </r>
  <r>
    <x v="12"/>
    <x v="1"/>
    <x v="1"/>
    <x v="5"/>
    <n v="0.77800000000000002"/>
    <s v="USD2022/GJ"/>
  </r>
  <r>
    <x v="12"/>
    <x v="1"/>
    <x v="2"/>
    <x v="0"/>
    <n v="4500"/>
    <s v="USD2022/kW"/>
  </r>
  <r>
    <x v="12"/>
    <x v="1"/>
    <x v="2"/>
    <x v="1"/>
    <n v="8257"/>
    <s v="USD2022/kW"/>
  </r>
  <r>
    <x v="12"/>
    <x v="1"/>
    <x v="2"/>
    <x v="2"/>
    <n v="2552"/>
    <s v="USD2022/kW"/>
  </r>
  <r>
    <x v="12"/>
    <x v="1"/>
    <x v="2"/>
    <x v="3"/>
    <n v="175"/>
    <s v="USD2022/kW-yr"/>
  </r>
  <r>
    <x v="12"/>
    <x v="1"/>
    <x v="2"/>
    <x v="5"/>
    <n v="0.77800000000000002"/>
    <s v="USD2022/GJ"/>
  </r>
  <r>
    <x v="12"/>
    <x v="2"/>
    <x v="0"/>
    <x v="0"/>
    <n v="4200"/>
    <s v="USD2022/kW"/>
  </r>
  <r>
    <x v="12"/>
    <x v="2"/>
    <x v="0"/>
    <x v="1"/>
    <n v="6526.8"/>
    <s v="USD2022/kW"/>
  </r>
  <r>
    <x v="12"/>
    <x v="2"/>
    <x v="0"/>
    <x v="2"/>
    <n v="3568.7"/>
    <s v="USD2022/kW"/>
  </r>
  <r>
    <x v="12"/>
    <x v="2"/>
    <x v="0"/>
    <x v="3"/>
    <n v="225"/>
    <s v="USD2022/kW-yr"/>
  </r>
  <r>
    <x v="12"/>
    <x v="2"/>
    <x v="1"/>
    <x v="0"/>
    <n v="4000"/>
    <s v="USD2022/kW"/>
  </r>
  <r>
    <x v="12"/>
    <x v="2"/>
    <x v="1"/>
    <x v="1"/>
    <n v="6216"/>
    <s v="USD2022/kW"/>
  </r>
  <r>
    <x v="12"/>
    <x v="2"/>
    <x v="1"/>
    <x v="2"/>
    <n v="3398.8"/>
    <s v="USD2022/kW"/>
  </r>
  <r>
    <x v="12"/>
    <x v="2"/>
    <x v="1"/>
    <x v="3"/>
    <n v="225"/>
    <s v="USD2022/kW-yr"/>
  </r>
  <r>
    <x v="12"/>
    <x v="2"/>
    <x v="1"/>
    <x v="5"/>
    <n v="0.77800000000000002"/>
    <s v="USD2022/GJ"/>
  </r>
  <r>
    <x v="12"/>
    <x v="2"/>
    <x v="2"/>
    <x v="0"/>
    <n v="4000"/>
    <s v="USD2022/kW"/>
  </r>
  <r>
    <x v="12"/>
    <x v="2"/>
    <x v="2"/>
    <x v="1"/>
    <n v="7339.6"/>
    <s v="USD2022/kW"/>
  </r>
  <r>
    <x v="12"/>
    <x v="2"/>
    <x v="2"/>
    <x v="2"/>
    <n v="2268.4"/>
    <s v="USD2022/kW"/>
  </r>
  <r>
    <x v="12"/>
    <x v="2"/>
    <x v="2"/>
    <x v="3"/>
    <n v="225"/>
    <s v="USD2022/kW-yr"/>
  </r>
  <r>
    <x v="12"/>
    <x v="2"/>
    <x v="2"/>
    <x v="5"/>
    <n v="0.77800000000000002"/>
    <s v="USD2022/GJ"/>
  </r>
  <r>
    <x v="12"/>
    <x v="3"/>
    <x v="0"/>
    <x v="0"/>
    <n v="3800"/>
    <s v="USD2022/kW"/>
  </r>
  <r>
    <x v="12"/>
    <x v="3"/>
    <x v="0"/>
    <x v="1"/>
    <n v="5905.2"/>
    <s v="USD2022/kW"/>
  </r>
  <r>
    <x v="12"/>
    <x v="3"/>
    <x v="0"/>
    <x v="2"/>
    <n v="3228.9"/>
    <s v="USD2022/kW"/>
  </r>
  <r>
    <x v="12"/>
    <x v="3"/>
    <x v="0"/>
    <x v="3"/>
    <n v="160"/>
    <s v="USD2022/kW-yr"/>
  </r>
  <r>
    <x v="12"/>
    <x v="3"/>
    <x v="1"/>
    <x v="0"/>
    <n v="3800"/>
    <s v="USD2022/kW"/>
  </r>
  <r>
    <x v="12"/>
    <x v="3"/>
    <x v="1"/>
    <x v="1"/>
    <n v="5905.2"/>
    <s v="USD2022/kW"/>
  </r>
  <r>
    <x v="12"/>
    <x v="3"/>
    <x v="1"/>
    <x v="2"/>
    <n v="3228.9"/>
    <s v="USD2022/kW"/>
  </r>
  <r>
    <x v="12"/>
    <x v="3"/>
    <x v="1"/>
    <x v="3"/>
    <n v="160"/>
    <s v="USD2022/kW-yr"/>
  </r>
  <r>
    <x v="12"/>
    <x v="3"/>
    <x v="1"/>
    <x v="5"/>
    <n v="0.77800000000000002"/>
    <s v="USD2022/GJ"/>
  </r>
  <r>
    <x v="12"/>
    <x v="3"/>
    <x v="2"/>
    <x v="0"/>
    <n v="3800"/>
    <s v="USD2022/kW"/>
  </r>
  <r>
    <x v="12"/>
    <x v="3"/>
    <x v="2"/>
    <x v="1"/>
    <n v="6972.6"/>
    <s v="USD2022/kW"/>
  </r>
  <r>
    <x v="12"/>
    <x v="3"/>
    <x v="2"/>
    <x v="2"/>
    <n v="2155"/>
    <s v="USD2022/kW"/>
  </r>
  <r>
    <x v="12"/>
    <x v="3"/>
    <x v="2"/>
    <x v="3"/>
    <n v="160"/>
    <s v="USD2022/kW-yr"/>
  </r>
  <r>
    <x v="12"/>
    <x v="3"/>
    <x v="2"/>
    <x v="5"/>
    <n v="0.77800000000000002"/>
    <s v="USD2022/GJ"/>
  </r>
  <r>
    <x v="12"/>
    <x v="4"/>
    <x v="0"/>
    <x v="0"/>
    <n v="2800"/>
    <s v="USD2022/kW"/>
  </r>
  <r>
    <x v="12"/>
    <x v="4"/>
    <x v="0"/>
    <x v="1"/>
    <n v="4351.2"/>
    <s v="USD2022/kW"/>
  </r>
  <r>
    <x v="12"/>
    <x v="4"/>
    <x v="0"/>
    <x v="2"/>
    <n v="2379.1999999999998"/>
    <s v="USD2022/kW"/>
  </r>
  <r>
    <x v="12"/>
    <x v="4"/>
    <x v="0"/>
    <x v="3"/>
    <n v="120"/>
    <s v="USD2022/kW-yr"/>
  </r>
  <r>
    <x v="12"/>
    <x v="4"/>
    <x v="1"/>
    <x v="0"/>
    <n v="2800"/>
    <s v="USD2022/kW"/>
  </r>
  <r>
    <x v="12"/>
    <x v="4"/>
    <x v="1"/>
    <x v="1"/>
    <n v="4351.2"/>
    <s v="USD2022/kW"/>
  </r>
  <r>
    <x v="12"/>
    <x v="4"/>
    <x v="1"/>
    <x v="2"/>
    <n v="2379.1999999999998"/>
    <s v="USD2022/kW"/>
  </r>
  <r>
    <x v="12"/>
    <x v="4"/>
    <x v="1"/>
    <x v="3"/>
    <n v="120"/>
    <s v="USD2022/kW-yr"/>
  </r>
  <r>
    <x v="12"/>
    <x v="4"/>
    <x v="1"/>
    <x v="5"/>
    <n v="0.77800000000000002"/>
    <s v="USD2022/GJ"/>
  </r>
  <r>
    <x v="12"/>
    <x v="4"/>
    <x v="2"/>
    <x v="0"/>
    <n v="2500"/>
    <s v="USD2022/kW"/>
  </r>
  <r>
    <x v="12"/>
    <x v="4"/>
    <x v="2"/>
    <x v="1"/>
    <n v="4587.2"/>
    <s v="USD2022/kW"/>
  </r>
  <r>
    <x v="12"/>
    <x v="4"/>
    <x v="2"/>
    <x v="2"/>
    <n v="1417.8"/>
    <s v="USD2022/kW"/>
  </r>
  <r>
    <x v="12"/>
    <x v="4"/>
    <x v="2"/>
    <x v="3"/>
    <n v="120"/>
    <s v="USD2022/kW-yr"/>
  </r>
  <r>
    <x v="12"/>
    <x v="4"/>
    <x v="2"/>
    <x v="5"/>
    <n v="0.77800000000000002"/>
    <s v="USD2022/GJ"/>
  </r>
  <r>
    <x v="12"/>
    <x v="5"/>
    <x v="0"/>
    <x v="0"/>
    <n v="2800"/>
    <s v="USD2022/kW"/>
  </r>
  <r>
    <x v="12"/>
    <x v="5"/>
    <x v="0"/>
    <x v="1"/>
    <n v="4351.2"/>
    <s v="USD2022/kW"/>
  </r>
  <r>
    <x v="12"/>
    <x v="5"/>
    <x v="0"/>
    <x v="2"/>
    <n v="2379.1999999999998"/>
    <s v="USD2022/kW"/>
  </r>
  <r>
    <x v="12"/>
    <x v="5"/>
    <x v="0"/>
    <x v="3"/>
    <n v="140"/>
    <s v="USD2022/kW-yr"/>
  </r>
  <r>
    <x v="12"/>
    <x v="5"/>
    <x v="1"/>
    <x v="0"/>
    <n v="2800"/>
    <s v="USD2022/kW"/>
  </r>
  <r>
    <x v="12"/>
    <x v="5"/>
    <x v="1"/>
    <x v="1"/>
    <n v="4351.2"/>
    <s v="USD2022/kW"/>
  </r>
  <r>
    <x v="12"/>
    <x v="5"/>
    <x v="1"/>
    <x v="2"/>
    <n v="2379.1999999999998"/>
    <s v="USD2022/kW"/>
  </r>
  <r>
    <x v="12"/>
    <x v="5"/>
    <x v="1"/>
    <x v="3"/>
    <n v="140"/>
    <s v="USD2022/kW-yr"/>
  </r>
  <r>
    <x v="12"/>
    <x v="5"/>
    <x v="1"/>
    <x v="5"/>
    <n v="0.77800000000000002"/>
    <s v="USD2022/GJ"/>
  </r>
  <r>
    <x v="12"/>
    <x v="5"/>
    <x v="2"/>
    <x v="0"/>
    <n v="2800"/>
    <s v="USD2022/kW"/>
  </r>
  <r>
    <x v="12"/>
    <x v="5"/>
    <x v="2"/>
    <x v="1"/>
    <n v="5137.7"/>
    <s v="USD2022/kW"/>
  </r>
  <r>
    <x v="12"/>
    <x v="5"/>
    <x v="2"/>
    <x v="2"/>
    <n v="1587.9"/>
    <s v="USD2022/kW"/>
  </r>
  <r>
    <x v="12"/>
    <x v="5"/>
    <x v="2"/>
    <x v="3"/>
    <n v="140"/>
    <s v="USD2022/kW-yr"/>
  </r>
  <r>
    <x v="12"/>
    <x v="5"/>
    <x v="2"/>
    <x v="5"/>
    <n v="0.77800000000000002"/>
    <s v="USD2022/GJ"/>
  </r>
  <r>
    <x v="12"/>
    <x v="6"/>
    <x v="0"/>
    <x v="0"/>
    <n v="3500"/>
    <s v="USD2022/kW"/>
  </r>
  <r>
    <x v="12"/>
    <x v="6"/>
    <x v="0"/>
    <x v="1"/>
    <n v="5439"/>
    <s v="USD2022/kW"/>
  </r>
  <r>
    <x v="12"/>
    <x v="6"/>
    <x v="0"/>
    <x v="2"/>
    <n v="2974"/>
    <s v="USD2022/kW"/>
  </r>
  <r>
    <x v="12"/>
    <x v="6"/>
    <x v="0"/>
    <x v="3"/>
    <n v="160"/>
    <s v="USD2022/kW-yr"/>
  </r>
  <r>
    <x v="12"/>
    <x v="6"/>
    <x v="1"/>
    <x v="0"/>
    <n v="3500"/>
    <s v="USD2022/kW"/>
  </r>
  <r>
    <x v="12"/>
    <x v="6"/>
    <x v="1"/>
    <x v="1"/>
    <n v="5439"/>
    <s v="USD2022/kW"/>
  </r>
  <r>
    <x v="12"/>
    <x v="6"/>
    <x v="1"/>
    <x v="2"/>
    <n v="2974"/>
    <s v="USD2022/kW"/>
  </r>
  <r>
    <x v="12"/>
    <x v="6"/>
    <x v="1"/>
    <x v="3"/>
    <n v="160"/>
    <s v="USD2022/kW-yr"/>
  </r>
  <r>
    <x v="12"/>
    <x v="6"/>
    <x v="1"/>
    <x v="5"/>
    <n v="0.77800000000000002"/>
    <s v="USD2022/GJ"/>
  </r>
  <r>
    <x v="12"/>
    <x v="6"/>
    <x v="2"/>
    <x v="0"/>
    <n v="3500"/>
    <s v="USD2022/kW"/>
  </r>
  <r>
    <x v="12"/>
    <x v="6"/>
    <x v="2"/>
    <x v="1"/>
    <n v="6422.2"/>
    <s v="USD2022/kW"/>
  </r>
  <r>
    <x v="12"/>
    <x v="6"/>
    <x v="2"/>
    <x v="2"/>
    <n v="1984.8"/>
    <s v="USD2022/kW"/>
  </r>
  <r>
    <x v="12"/>
    <x v="6"/>
    <x v="2"/>
    <x v="3"/>
    <n v="160"/>
    <s v="USD2022/kW-yr"/>
  </r>
  <r>
    <x v="12"/>
    <x v="6"/>
    <x v="2"/>
    <x v="5"/>
    <n v="0.77800000000000002"/>
    <s v="USD2022/GJ"/>
  </r>
  <r>
    <x v="12"/>
    <x v="7"/>
    <x v="0"/>
    <x v="0"/>
    <n v="4000"/>
    <s v="USD2022/kW"/>
  </r>
  <r>
    <x v="12"/>
    <x v="7"/>
    <x v="0"/>
    <x v="1"/>
    <n v="6216"/>
    <s v="USD2022/kW"/>
  </r>
  <r>
    <x v="12"/>
    <x v="7"/>
    <x v="0"/>
    <x v="2"/>
    <n v="3398.8"/>
    <s v="USD2022/kW"/>
  </r>
  <r>
    <x v="12"/>
    <x v="7"/>
    <x v="0"/>
    <x v="3"/>
    <n v="170"/>
    <s v="USD2022/kW-yr"/>
  </r>
  <r>
    <x v="12"/>
    <x v="7"/>
    <x v="1"/>
    <x v="0"/>
    <n v="4000"/>
    <s v="USD2022/kW"/>
  </r>
  <r>
    <x v="12"/>
    <x v="7"/>
    <x v="1"/>
    <x v="1"/>
    <n v="6216"/>
    <s v="USD2022/kW"/>
  </r>
  <r>
    <x v="12"/>
    <x v="7"/>
    <x v="1"/>
    <x v="2"/>
    <n v="3398.8"/>
    <s v="USD2022/kW"/>
  </r>
  <r>
    <x v="12"/>
    <x v="7"/>
    <x v="1"/>
    <x v="3"/>
    <n v="170"/>
    <s v="USD2022/kW-yr"/>
  </r>
  <r>
    <x v="12"/>
    <x v="7"/>
    <x v="1"/>
    <x v="5"/>
    <n v="0.77800000000000002"/>
    <s v="USD2022/GJ"/>
  </r>
  <r>
    <x v="12"/>
    <x v="7"/>
    <x v="2"/>
    <x v="0"/>
    <n v="4000"/>
    <s v="USD2022/kW"/>
  </r>
  <r>
    <x v="12"/>
    <x v="7"/>
    <x v="2"/>
    <x v="1"/>
    <n v="7339.6"/>
    <s v="USD2022/kW"/>
  </r>
  <r>
    <x v="12"/>
    <x v="7"/>
    <x v="2"/>
    <x v="2"/>
    <n v="2268.4"/>
    <s v="USD2022/kW"/>
  </r>
  <r>
    <x v="12"/>
    <x v="7"/>
    <x v="2"/>
    <x v="3"/>
    <n v="170"/>
    <s v="USD2022/kW-yr"/>
  </r>
  <r>
    <x v="12"/>
    <x v="7"/>
    <x v="2"/>
    <x v="5"/>
    <n v="0.77800000000000002"/>
    <s v="USD2022/GJ"/>
  </r>
  <r>
    <x v="12"/>
    <x v="8"/>
    <x v="0"/>
    <x v="0"/>
    <n v="4000"/>
    <s v="USD2022/kW"/>
  </r>
  <r>
    <x v="12"/>
    <x v="8"/>
    <x v="0"/>
    <x v="1"/>
    <n v="6216"/>
    <s v="USD2022/kW"/>
  </r>
  <r>
    <x v="12"/>
    <x v="8"/>
    <x v="0"/>
    <x v="2"/>
    <n v="3398.8"/>
    <s v="USD2022/kW"/>
  </r>
  <r>
    <x v="12"/>
    <x v="8"/>
    <x v="0"/>
    <x v="3"/>
    <n v="170"/>
    <s v="USD2022/kW-yr"/>
  </r>
  <r>
    <x v="12"/>
    <x v="8"/>
    <x v="1"/>
    <x v="0"/>
    <n v="4000"/>
    <s v="USD2022/kW"/>
  </r>
  <r>
    <x v="12"/>
    <x v="8"/>
    <x v="1"/>
    <x v="1"/>
    <n v="6216"/>
    <s v="USD2022/kW"/>
  </r>
  <r>
    <x v="12"/>
    <x v="8"/>
    <x v="1"/>
    <x v="2"/>
    <n v="3398.8"/>
    <s v="USD2022/kW"/>
  </r>
  <r>
    <x v="12"/>
    <x v="8"/>
    <x v="1"/>
    <x v="3"/>
    <n v="170"/>
    <s v="USD2022/kW-yr"/>
  </r>
  <r>
    <x v="12"/>
    <x v="8"/>
    <x v="1"/>
    <x v="5"/>
    <n v="0.77800000000000002"/>
    <s v="USD2022/GJ"/>
  </r>
  <r>
    <x v="12"/>
    <x v="8"/>
    <x v="2"/>
    <x v="0"/>
    <n v="4000"/>
    <s v="USD2022/kW"/>
  </r>
  <r>
    <x v="12"/>
    <x v="8"/>
    <x v="2"/>
    <x v="1"/>
    <n v="7339.6"/>
    <s v="USD2022/kW"/>
  </r>
  <r>
    <x v="12"/>
    <x v="8"/>
    <x v="2"/>
    <x v="2"/>
    <n v="2268.4"/>
    <s v="USD2022/kW"/>
  </r>
  <r>
    <x v="12"/>
    <x v="8"/>
    <x v="2"/>
    <x v="3"/>
    <n v="170"/>
    <s v="USD2022/kW-yr"/>
  </r>
  <r>
    <x v="12"/>
    <x v="8"/>
    <x v="2"/>
    <x v="5"/>
    <n v="0.77800000000000002"/>
    <s v="USD2022/GJ"/>
  </r>
  <r>
    <x v="13"/>
    <x v="0"/>
    <x v="0"/>
    <x v="0"/>
    <n v="990"/>
    <s v="USD2022/kW"/>
  </r>
  <r>
    <x v="13"/>
    <x v="0"/>
    <x v="0"/>
    <x v="1"/>
    <n v="990"/>
    <s v="USD2022/kW"/>
  </r>
  <r>
    <x v="13"/>
    <x v="0"/>
    <x v="0"/>
    <x v="2"/>
    <n v="990"/>
    <s v="USD2022/kW"/>
  </r>
  <r>
    <x v="13"/>
    <x v="0"/>
    <x v="0"/>
    <x v="3"/>
    <n v="14"/>
    <s v="USD2022/kW-yr"/>
  </r>
  <r>
    <x v="13"/>
    <x v="0"/>
    <x v="0"/>
    <x v="4"/>
    <n v="1"/>
    <s v="fraction_LHV"/>
  </r>
  <r>
    <x v="13"/>
    <x v="0"/>
    <x v="0"/>
    <x v="6"/>
    <n v="0.14000000000000001"/>
    <s v="fraction"/>
  </r>
  <r>
    <x v="13"/>
    <x v="0"/>
    <x v="0"/>
    <x v="5"/>
    <n v="0"/>
    <s v="USD2022/GJ"/>
  </r>
  <r>
    <x v="13"/>
    <x v="0"/>
    <x v="1"/>
    <x v="0"/>
    <n v="620"/>
    <s v="USD2022/kW"/>
  </r>
  <r>
    <x v="13"/>
    <x v="0"/>
    <x v="1"/>
    <x v="1"/>
    <n v="709.1"/>
    <s v="USD2022/kW"/>
  </r>
  <r>
    <x v="13"/>
    <x v="0"/>
    <x v="1"/>
    <x v="2"/>
    <n v="555.6"/>
    <s v="USD2022/kW"/>
  </r>
  <r>
    <x v="13"/>
    <x v="0"/>
    <x v="1"/>
    <x v="3"/>
    <n v="14"/>
    <s v="USD2022/kW-yr"/>
  </r>
  <r>
    <x v="13"/>
    <x v="0"/>
    <x v="1"/>
    <x v="4"/>
    <n v="1"/>
    <s v="fraction_LHV"/>
  </r>
  <r>
    <x v="13"/>
    <x v="0"/>
    <x v="1"/>
    <x v="6"/>
    <n v="0.14000000000000001"/>
    <s v="fraction"/>
  </r>
  <r>
    <x v="13"/>
    <x v="0"/>
    <x v="1"/>
    <x v="5"/>
    <n v="0"/>
    <s v="USD2022/GJ"/>
  </r>
  <r>
    <x v="13"/>
    <x v="0"/>
    <x v="2"/>
    <x v="0"/>
    <n v="450"/>
    <s v="USD2022/kW"/>
  </r>
  <r>
    <x v="13"/>
    <x v="0"/>
    <x v="2"/>
    <x v="1"/>
    <n v="590"/>
    <s v="USD2022/kW"/>
  </r>
  <r>
    <x v="13"/>
    <x v="0"/>
    <x v="2"/>
    <x v="2"/>
    <n v="370.7"/>
    <s v="USD2022/kW"/>
  </r>
  <r>
    <x v="13"/>
    <x v="0"/>
    <x v="2"/>
    <x v="3"/>
    <n v="12"/>
    <s v="USD2022/kW-yr"/>
  </r>
  <r>
    <x v="13"/>
    <x v="0"/>
    <x v="2"/>
    <x v="4"/>
    <n v="1"/>
    <s v="fraction_LHV"/>
  </r>
  <r>
    <x v="13"/>
    <x v="0"/>
    <x v="2"/>
    <x v="6"/>
    <n v="0.14000000000000001"/>
    <s v="fraction"/>
  </r>
  <r>
    <x v="13"/>
    <x v="0"/>
    <x v="2"/>
    <x v="5"/>
    <n v="0"/>
    <s v="USD2022/GJ"/>
  </r>
  <r>
    <x v="13"/>
    <x v="1"/>
    <x v="0"/>
    <x v="0"/>
    <n v="1120"/>
    <s v="USD2022/kW"/>
  </r>
  <r>
    <x v="13"/>
    <x v="1"/>
    <x v="0"/>
    <x v="1"/>
    <n v="1120"/>
    <s v="USD2022/kW"/>
  </r>
  <r>
    <x v="13"/>
    <x v="1"/>
    <x v="0"/>
    <x v="2"/>
    <n v="1120"/>
    <s v="USD2022/kW"/>
  </r>
  <r>
    <x v="13"/>
    <x v="1"/>
    <x v="0"/>
    <x v="3"/>
    <n v="16"/>
    <s v="USD2022/kW-yr"/>
  </r>
  <r>
    <x v="13"/>
    <x v="1"/>
    <x v="0"/>
    <x v="4"/>
    <n v="1"/>
    <s v="fraction_LHV"/>
  </r>
  <r>
    <x v="13"/>
    <x v="1"/>
    <x v="0"/>
    <x v="6"/>
    <n v="0.21"/>
    <s v="fraction"/>
  </r>
  <r>
    <x v="13"/>
    <x v="1"/>
    <x v="0"/>
    <x v="5"/>
    <n v="0"/>
    <s v="USD2022/GJ"/>
  </r>
  <r>
    <x v="13"/>
    <x v="1"/>
    <x v="1"/>
    <x v="0"/>
    <n v="690"/>
    <s v="USD2022/kW"/>
  </r>
  <r>
    <x v="13"/>
    <x v="1"/>
    <x v="1"/>
    <x v="1"/>
    <n v="789.2"/>
    <s v="USD2022/kW"/>
  </r>
  <r>
    <x v="13"/>
    <x v="1"/>
    <x v="1"/>
    <x v="2"/>
    <n v="618.4"/>
    <s v="USD2022/kW"/>
  </r>
  <r>
    <x v="13"/>
    <x v="1"/>
    <x v="1"/>
    <x v="3"/>
    <n v="16"/>
    <s v="USD2022/kW-yr"/>
  </r>
  <r>
    <x v="13"/>
    <x v="1"/>
    <x v="1"/>
    <x v="4"/>
    <n v="1"/>
    <s v="fraction_LHV"/>
  </r>
  <r>
    <x v="13"/>
    <x v="1"/>
    <x v="1"/>
    <x v="6"/>
    <n v="0.22"/>
    <s v="fraction"/>
  </r>
  <r>
    <x v="13"/>
    <x v="1"/>
    <x v="1"/>
    <x v="5"/>
    <n v="0"/>
    <s v="USD2022/GJ"/>
  </r>
  <r>
    <x v="13"/>
    <x v="1"/>
    <x v="2"/>
    <x v="0"/>
    <n v="480"/>
    <s v="USD2022/kW"/>
  </r>
  <r>
    <x v="13"/>
    <x v="1"/>
    <x v="2"/>
    <x v="1"/>
    <n v="629.29999999999995"/>
    <s v="USD2022/kW"/>
  </r>
  <r>
    <x v="13"/>
    <x v="1"/>
    <x v="2"/>
    <x v="2"/>
    <n v="395.4"/>
    <s v="USD2022/kW"/>
  </r>
  <r>
    <x v="13"/>
    <x v="1"/>
    <x v="2"/>
    <x v="3"/>
    <n v="16"/>
    <s v="USD2022/kW-yr"/>
  </r>
  <r>
    <x v="13"/>
    <x v="1"/>
    <x v="2"/>
    <x v="4"/>
    <n v="1"/>
    <s v="fraction_LHV"/>
  </r>
  <r>
    <x v="13"/>
    <x v="1"/>
    <x v="2"/>
    <x v="6"/>
    <n v="0.23"/>
    <s v="fraction"/>
  </r>
  <r>
    <x v="13"/>
    <x v="1"/>
    <x v="2"/>
    <x v="5"/>
    <n v="0"/>
    <s v="USD2022/GJ"/>
  </r>
  <r>
    <x v="13"/>
    <x v="2"/>
    <x v="0"/>
    <x v="0"/>
    <n v="1910"/>
    <s v="USD2022/kW"/>
  </r>
  <r>
    <x v="13"/>
    <x v="2"/>
    <x v="0"/>
    <x v="1"/>
    <n v="1910"/>
    <s v="USD2022/kW"/>
  </r>
  <r>
    <x v="13"/>
    <x v="2"/>
    <x v="0"/>
    <x v="2"/>
    <n v="1910"/>
    <s v="USD2022/kW"/>
  </r>
  <r>
    <x v="13"/>
    <x v="2"/>
    <x v="0"/>
    <x v="3"/>
    <n v="28"/>
    <s v="USD2022/kW-yr"/>
  </r>
  <r>
    <x v="13"/>
    <x v="2"/>
    <x v="0"/>
    <x v="4"/>
    <n v="1"/>
    <s v="fraction_LHV"/>
  </r>
  <r>
    <x v="13"/>
    <x v="2"/>
    <x v="0"/>
    <x v="6"/>
    <n v="0.14000000000000001"/>
    <s v="fraction"/>
  </r>
  <r>
    <x v="13"/>
    <x v="2"/>
    <x v="0"/>
    <x v="5"/>
    <n v="0"/>
    <s v="USD2022/GJ"/>
  </r>
  <r>
    <x v="13"/>
    <x v="2"/>
    <x v="1"/>
    <x v="0"/>
    <n v="1250"/>
    <s v="USD2022/kW"/>
  </r>
  <r>
    <x v="13"/>
    <x v="2"/>
    <x v="1"/>
    <x v="1"/>
    <n v="1429.6"/>
    <s v="USD2022/kW"/>
  </r>
  <r>
    <x v="13"/>
    <x v="2"/>
    <x v="1"/>
    <x v="2"/>
    <n v="1120.2"/>
    <s v="USD2022/kW"/>
  </r>
  <r>
    <x v="13"/>
    <x v="2"/>
    <x v="1"/>
    <x v="3"/>
    <n v="26"/>
    <s v="USD2022/kW-yr"/>
  </r>
  <r>
    <x v="13"/>
    <x v="2"/>
    <x v="1"/>
    <x v="4"/>
    <n v="1"/>
    <s v="fraction_LHV"/>
  </r>
  <r>
    <x v="13"/>
    <x v="2"/>
    <x v="1"/>
    <x v="6"/>
    <n v="0.14000000000000001"/>
    <s v="fraction"/>
  </r>
  <r>
    <x v="13"/>
    <x v="2"/>
    <x v="1"/>
    <x v="5"/>
    <n v="0"/>
    <s v="USD2022/GJ"/>
  </r>
  <r>
    <x v="13"/>
    <x v="2"/>
    <x v="2"/>
    <x v="0"/>
    <n v="940"/>
    <s v="USD2022/kW"/>
  </r>
  <r>
    <x v="13"/>
    <x v="2"/>
    <x v="2"/>
    <x v="1"/>
    <n v="1232.4000000000001"/>
    <s v="USD2022/kW"/>
  </r>
  <r>
    <x v="13"/>
    <x v="2"/>
    <x v="2"/>
    <x v="2"/>
    <n v="774.4"/>
    <s v="USD2022/kW"/>
  </r>
  <r>
    <x v="13"/>
    <x v="2"/>
    <x v="2"/>
    <x v="3"/>
    <n v="24"/>
    <s v="USD2022/kW-yr"/>
  </r>
  <r>
    <x v="13"/>
    <x v="2"/>
    <x v="2"/>
    <x v="4"/>
    <n v="1"/>
    <s v="fraction_LHV"/>
  </r>
  <r>
    <x v="13"/>
    <x v="2"/>
    <x v="2"/>
    <x v="6"/>
    <n v="0.14000000000000001"/>
    <s v="fraction"/>
  </r>
  <r>
    <x v="13"/>
    <x v="2"/>
    <x v="2"/>
    <x v="5"/>
    <n v="0"/>
    <s v="USD2022/GJ"/>
  </r>
  <r>
    <x v="13"/>
    <x v="3"/>
    <x v="0"/>
    <x v="0"/>
    <n v="1710"/>
    <s v="USD2022/kW"/>
  </r>
  <r>
    <x v="13"/>
    <x v="3"/>
    <x v="0"/>
    <x v="1"/>
    <n v="1710"/>
    <s v="USD2022/kW"/>
  </r>
  <r>
    <x v="13"/>
    <x v="3"/>
    <x v="0"/>
    <x v="2"/>
    <n v="1710"/>
    <s v="USD2022/kW"/>
  </r>
  <r>
    <x v="13"/>
    <x v="3"/>
    <x v="0"/>
    <x v="3"/>
    <n v="26"/>
    <s v="USD2022/kW-yr"/>
  </r>
  <r>
    <x v="13"/>
    <x v="3"/>
    <x v="0"/>
    <x v="4"/>
    <n v="1"/>
    <s v="fraction_LHV"/>
  </r>
  <r>
    <x v="13"/>
    <x v="3"/>
    <x v="0"/>
    <x v="6"/>
    <n v="0.13"/>
    <s v="fraction"/>
  </r>
  <r>
    <x v="13"/>
    <x v="3"/>
    <x v="0"/>
    <x v="5"/>
    <n v="0"/>
    <s v="USD2022/GJ"/>
  </r>
  <r>
    <x v="13"/>
    <x v="3"/>
    <x v="1"/>
    <x v="0"/>
    <n v="1090"/>
    <s v="USD2022/kW"/>
  </r>
  <r>
    <x v="13"/>
    <x v="3"/>
    <x v="1"/>
    <x v="1"/>
    <n v="1246.5999999999999"/>
    <s v="USD2022/kW"/>
  </r>
  <r>
    <x v="13"/>
    <x v="3"/>
    <x v="1"/>
    <x v="2"/>
    <n v="976.9"/>
    <s v="USD2022/kW"/>
  </r>
  <r>
    <x v="13"/>
    <x v="3"/>
    <x v="1"/>
    <x v="3"/>
    <n v="24"/>
    <s v="USD2022/kW-yr"/>
  </r>
  <r>
    <x v="13"/>
    <x v="3"/>
    <x v="1"/>
    <x v="4"/>
    <n v="1"/>
    <s v="fraction_LHV"/>
  </r>
  <r>
    <x v="13"/>
    <x v="3"/>
    <x v="1"/>
    <x v="6"/>
    <n v="0.13"/>
    <s v="fraction"/>
  </r>
  <r>
    <x v="13"/>
    <x v="3"/>
    <x v="1"/>
    <x v="5"/>
    <n v="0"/>
    <s v="USD2022/GJ"/>
  </r>
  <r>
    <x v="13"/>
    <x v="3"/>
    <x v="2"/>
    <x v="0"/>
    <n v="770"/>
    <s v="USD2022/kW"/>
  </r>
  <r>
    <x v="13"/>
    <x v="3"/>
    <x v="2"/>
    <x v="1"/>
    <n v="1009.5"/>
    <s v="USD2022/kW"/>
  </r>
  <r>
    <x v="13"/>
    <x v="3"/>
    <x v="2"/>
    <x v="2"/>
    <n v="634.29999999999995"/>
    <s v="USD2022/kW"/>
  </r>
  <r>
    <x v="13"/>
    <x v="3"/>
    <x v="2"/>
    <x v="3"/>
    <n v="22"/>
    <s v="USD2022/kW-yr"/>
  </r>
  <r>
    <x v="13"/>
    <x v="3"/>
    <x v="2"/>
    <x v="4"/>
    <n v="1"/>
    <s v="fraction_LHV"/>
  </r>
  <r>
    <x v="13"/>
    <x v="3"/>
    <x v="2"/>
    <x v="6"/>
    <n v="0.14000000000000001"/>
    <s v="fraction"/>
  </r>
  <r>
    <x v="13"/>
    <x v="3"/>
    <x v="2"/>
    <x v="5"/>
    <n v="0"/>
    <s v="USD2022/GJ"/>
  </r>
  <r>
    <x v="13"/>
    <x v="4"/>
    <x v="0"/>
    <x v="0"/>
    <n v="720"/>
    <s v="USD2022/kW"/>
  </r>
  <r>
    <x v="13"/>
    <x v="4"/>
    <x v="0"/>
    <x v="1"/>
    <n v="720"/>
    <s v="USD2022/kW"/>
  </r>
  <r>
    <x v="13"/>
    <x v="4"/>
    <x v="0"/>
    <x v="2"/>
    <n v="720"/>
    <s v="USD2022/kW"/>
  </r>
  <r>
    <x v="13"/>
    <x v="4"/>
    <x v="0"/>
    <x v="3"/>
    <n v="12"/>
    <s v="USD2022/kW-yr"/>
  </r>
  <r>
    <x v="13"/>
    <x v="4"/>
    <x v="0"/>
    <x v="4"/>
    <n v="1"/>
    <s v="fraction_LHV"/>
  </r>
  <r>
    <x v="13"/>
    <x v="4"/>
    <x v="0"/>
    <x v="6"/>
    <n v="0.13"/>
    <s v="fraction"/>
  </r>
  <r>
    <x v="13"/>
    <x v="4"/>
    <x v="0"/>
    <x v="5"/>
    <n v="0"/>
    <s v="USD2022/GJ"/>
  </r>
  <r>
    <x v="13"/>
    <x v="4"/>
    <x v="1"/>
    <x v="0"/>
    <n v="430"/>
    <s v="USD2022/kW"/>
  </r>
  <r>
    <x v="13"/>
    <x v="4"/>
    <x v="1"/>
    <x v="1"/>
    <n v="491.8"/>
    <s v="USD2022/kW"/>
  </r>
  <r>
    <x v="13"/>
    <x v="4"/>
    <x v="1"/>
    <x v="2"/>
    <n v="385.4"/>
    <s v="USD2022/kW"/>
  </r>
  <r>
    <x v="13"/>
    <x v="4"/>
    <x v="1"/>
    <x v="3"/>
    <n v="10"/>
    <s v="USD2022/kW-yr"/>
  </r>
  <r>
    <x v="13"/>
    <x v="4"/>
    <x v="1"/>
    <x v="4"/>
    <n v="1"/>
    <s v="fraction_LHV"/>
  </r>
  <r>
    <x v="13"/>
    <x v="4"/>
    <x v="1"/>
    <x v="6"/>
    <n v="0.13"/>
    <s v="fraction"/>
  </r>
  <r>
    <x v="13"/>
    <x v="4"/>
    <x v="1"/>
    <x v="5"/>
    <n v="0"/>
    <s v="USD2022/GJ"/>
  </r>
  <r>
    <x v="13"/>
    <x v="4"/>
    <x v="2"/>
    <x v="0"/>
    <n v="300"/>
    <s v="USD2022/kW"/>
  </r>
  <r>
    <x v="13"/>
    <x v="4"/>
    <x v="2"/>
    <x v="1"/>
    <n v="393.3"/>
    <s v="USD2022/kW"/>
  </r>
  <r>
    <x v="13"/>
    <x v="4"/>
    <x v="2"/>
    <x v="2"/>
    <n v="247.1"/>
    <s v="USD2022/kW"/>
  </r>
  <r>
    <x v="13"/>
    <x v="4"/>
    <x v="2"/>
    <x v="3"/>
    <n v="10"/>
    <s v="USD2022/kW-yr"/>
  </r>
  <r>
    <x v="13"/>
    <x v="4"/>
    <x v="2"/>
    <x v="4"/>
    <n v="1"/>
    <s v="fraction_LHV"/>
  </r>
  <r>
    <x v="13"/>
    <x v="4"/>
    <x v="2"/>
    <x v="6"/>
    <n v="0.14000000000000001"/>
    <s v="fraction"/>
  </r>
  <r>
    <x v="13"/>
    <x v="4"/>
    <x v="2"/>
    <x v="5"/>
    <n v="0"/>
    <s v="USD2022/GJ"/>
  </r>
  <r>
    <x v="13"/>
    <x v="5"/>
    <x v="0"/>
    <x v="0"/>
    <n v="640"/>
    <s v="USD2022/kW"/>
  </r>
  <r>
    <x v="13"/>
    <x v="5"/>
    <x v="0"/>
    <x v="1"/>
    <n v="640"/>
    <s v="USD2022/kW"/>
  </r>
  <r>
    <x v="13"/>
    <x v="5"/>
    <x v="0"/>
    <x v="2"/>
    <n v="640"/>
    <s v="USD2022/kW"/>
  </r>
  <r>
    <x v="13"/>
    <x v="5"/>
    <x v="0"/>
    <x v="3"/>
    <n v="10"/>
    <s v="USD2022/kW-yr"/>
  </r>
  <r>
    <x v="13"/>
    <x v="5"/>
    <x v="0"/>
    <x v="4"/>
    <n v="1"/>
    <s v="fraction_LHV"/>
  </r>
  <r>
    <x v="13"/>
    <x v="5"/>
    <x v="0"/>
    <x v="6"/>
    <n v="0.2"/>
    <s v="fraction"/>
  </r>
  <r>
    <x v="13"/>
    <x v="5"/>
    <x v="0"/>
    <x v="5"/>
    <n v="0"/>
    <s v="USD2022/GJ"/>
  </r>
  <r>
    <x v="13"/>
    <x v="5"/>
    <x v="1"/>
    <x v="0"/>
    <n v="390"/>
    <s v="USD2022/kW"/>
  </r>
  <r>
    <x v="13"/>
    <x v="5"/>
    <x v="1"/>
    <x v="1"/>
    <n v="446"/>
    <s v="USD2022/kW"/>
  </r>
  <r>
    <x v="13"/>
    <x v="5"/>
    <x v="1"/>
    <x v="2"/>
    <n v="349.5"/>
    <s v="USD2022/kW"/>
  </r>
  <r>
    <x v="13"/>
    <x v="5"/>
    <x v="1"/>
    <x v="3"/>
    <n v="8"/>
    <s v="USD2022/kW-yr"/>
  </r>
  <r>
    <x v="13"/>
    <x v="5"/>
    <x v="1"/>
    <x v="4"/>
    <n v="1"/>
    <s v="fraction_LHV"/>
  </r>
  <r>
    <x v="13"/>
    <x v="5"/>
    <x v="1"/>
    <x v="6"/>
    <n v="0.21"/>
    <s v="fraction"/>
  </r>
  <r>
    <x v="13"/>
    <x v="5"/>
    <x v="1"/>
    <x v="5"/>
    <n v="0"/>
    <s v="USD2022/GJ"/>
  </r>
  <r>
    <x v="13"/>
    <x v="5"/>
    <x v="2"/>
    <x v="0"/>
    <n v="270"/>
    <s v="USD2022/kW"/>
  </r>
  <r>
    <x v="13"/>
    <x v="5"/>
    <x v="2"/>
    <x v="1"/>
    <n v="354"/>
    <s v="USD2022/kW"/>
  </r>
  <r>
    <x v="13"/>
    <x v="5"/>
    <x v="2"/>
    <x v="2"/>
    <n v="222.4"/>
    <s v="USD2022/kW"/>
  </r>
  <r>
    <x v="13"/>
    <x v="5"/>
    <x v="2"/>
    <x v="3"/>
    <n v="8"/>
    <s v="USD2022/kW-yr"/>
  </r>
  <r>
    <x v="13"/>
    <x v="5"/>
    <x v="2"/>
    <x v="4"/>
    <n v="1"/>
    <s v="fraction_LHV"/>
  </r>
  <r>
    <x v="13"/>
    <x v="5"/>
    <x v="2"/>
    <x v="6"/>
    <n v="0.22"/>
    <s v="fraction"/>
  </r>
  <r>
    <x v="13"/>
    <x v="5"/>
    <x v="2"/>
    <x v="5"/>
    <n v="0"/>
    <s v="USD2022/GJ"/>
  </r>
  <r>
    <x v="13"/>
    <x v="6"/>
    <x v="0"/>
    <x v="0"/>
    <n v="620"/>
    <s v="USD2022/kW"/>
  </r>
  <r>
    <x v="13"/>
    <x v="6"/>
    <x v="0"/>
    <x v="1"/>
    <n v="620"/>
    <s v="USD2022/kW"/>
  </r>
  <r>
    <x v="13"/>
    <x v="6"/>
    <x v="0"/>
    <x v="2"/>
    <n v="620"/>
    <s v="USD2022/kW"/>
  </r>
  <r>
    <x v="13"/>
    <x v="6"/>
    <x v="0"/>
    <x v="3"/>
    <n v="10"/>
    <s v="USD2022/kW-yr"/>
  </r>
  <r>
    <x v="13"/>
    <x v="6"/>
    <x v="0"/>
    <x v="4"/>
    <n v="1"/>
    <s v="fraction_LHV"/>
  </r>
  <r>
    <x v="13"/>
    <x v="6"/>
    <x v="0"/>
    <x v="6"/>
    <n v="0.25"/>
    <s v="fraction"/>
  </r>
  <r>
    <x v="13"/>
    <x v="6"/>
    <x v="0"/>
    <x v="5"/>
    <n v="0"/>
    <s v="USD2022/GJ"/>
  </r>
  <r>
    <x v="13"/>
    <x v="6"/>
    <x v="1"/>
    <x v="0"/>
    <n v="360"/>
    <s v="USD2022/kW"/>
  </r>
  <r>
    <x v="13"/>
    <x v="6"/>
    <x v="1"/>
    <x v="1"/>
    <n v="411.7"/>
    <s v="USD2022/kW"/>
  </r>
  <r>
    <x v="13"/>
    <x v="6"/>
    <x v="1"/>
    <x v="2"/>
    <n v="322.60000000000002"/>
    <s v="USD2022/kW"/>
  </r>
  <r>
    <x v="13"/>
    <x v="6"/>
    <x v="1"/>
    <x v="3"/>
    <n v="8"/>
    <s v="USD2022/kW-yr"/>
  </r>
  <r>
    <x v="13"/>
    <x v="6"/>
    <x v="1"/>
    <x v="4"/>
    <n v="1"/>
    <s v="fraction_LHV"/>
  </r>
  <r>
    <x v="13"/>
    <x v="6"/>
    <x v="1"/>
    <x v="6"/>
    <n v="0.25"/>
    <s v="fraction"/>
  </r>
  <r>
    <x v="13"/>
    <x v="6"/>
    <x v="1"/>
    <x v="5"/>
    <n v="0"/>
    <s v="USD2022/GJ"/>
  </r>
  <r>
    <x v="13"/>
    <x v="6"/>
    <x v="2"/>
    <x v="0"/>
    <n v="250"/>
    <s v="USD2022/kW"/>
  </r>
  <r>
    <x v="13"/>
    <x v="6"/>
    <x v="2"/>
    <x v="1"/>
    <n v="327.8"/>
    <s v="USD2022/kW"/>
  </r>
  <r>
    <x v="13"/>
    <x v="6"/>
    <x v="2"/>
    <x v="2"/>
    <n v="206"/>
    <s v="USD2022/kW"/>
  </r>
  <r>
    <x v="13"/>
    <x v="6"/>
    <x v="2"/>
    <x v="3"/>
    <n v="8"/>
    <s v="USD2022/kW-yr"/>
  </r>
  <r>
    <x v="13"/>
    <x v="6"/>
    <x v="2"/>
    <x v="4"/>
    <n v="1"/>
    <s v="fraction_LHV"/>
  </r>
  <r>
    <x v="13"/>
    <x v="6"/>
    <x v="2"/>
    <x v="6"/>
    <n v="0.26"/>
    <s v="fraction"/>
  </r>
  <r>
    <x v="13"/>
    <x v="6"/>
    <x v="2"/>
    <x v="5"/>
    <n v="0"/>
    <s v="USD2022/GJ"/>
  </r>
  <r>
    <x v="13"/>
    <x v="7"/>
    <x v="0"/>
    <x v="0"/>
    <n v="1420"/>
    <s v="USD2022/kW"/>
  </r>
  <r>
    <x v="13"/>
    <x v="7"/>
    <x v="0"/>
    <x v="1"/>
    <n v="1420"/>
    <s v="USD2022/kW"/>
  </r>
  <r>
    <x v="13"/>
    <x v="7"/>
    <x v="0"/>
    <x v="2"/>
    <n v="1420"/>
    <s v="USD2022/kW"/>
  </r>
  <r>
    <x v="13"/>
    <x v="7"/>
    <x v="0"/>
    <x v="3"/>
    <n v="22"/>
    <s v="USD2022/kW-yr"/>
  </r>
  <r>
    <x v="13"/>
    <x v="7"/>
    <x v="0"/>
    <x v="4"/>
    <n v="1"/>
    <s v="fraction_LHV"/>
  </r>
  <r>
    <x v="13"/>
    <x v="7"/>
    <x v="0"/>
    <x v="6"/>
    <n v="0.22"/>
    <s v="fraction"/>
  </r>
  <r>
    <x v="13"/>
    <x v="7"/>
    <x v="0"/>
    <x v="5"/>
    <n v="0"/>
    <s v="USD2022/GJ"/>
  </r>
  <r>
    <x v="13"/>
    <x v="7"/>
    <x v="1"/>
    <x v="0"/>
    <n v="850"/>
    <s v="USD2022/kW"/>
  </r>
  <r>
    <x v="13"/>
    <x v="7"/>
    <x v="1"/>
    <x v="1"/>
    <n v="972.1"/>
    <s v="USD2022/kW"/>
  </r>
  <r>
    <x v="13"/>
    <x v="7"/>
    <x v="1"/>
    <x v="2"/>
    <n v="761.8"/>
    <s v="USD2022/kW"/>
  </r>
  <r>
    <x v="13"/>
    <x v="7"/>
    <x v="1"/>
    <x v="3"/>
    <n v="20"/>
    <s v="USD2022/kW-yr"/>
  </r>
  <r>
    <x v="13"/>
    <x v="7"/>
    <x v="1"/>
    <x v="4"/>
    <n v="1"/>
    <s v="fraction_LHV"/>
  </r>
  <r>
    <x v="13"/>
    <x v="7"/>
    <x v="1"/>
    <x v="6"/>
    <n v="0.23"/>
    <s v="fraction"/>
  </r>
  <r>
    <x v="13"/>
    <x v="7"/>
    <x v="1"/>
    <x v="5"/>
    <n v="0"/>
    <s v="USD2022/GJ"/>
  </r>
  <r>
    <x v="13"/>
    <x v="7"/>
    <x v="2"/>
    <x v="0"/>
    <n v="580"/>
    <s v="USD2022/kW"/>
  </r>
  <r>
    <x v="13"/>
    <x v="7"/>
    <x v="2"/>
    <x v="1"/>
    <n v="760.4"/>
    <s v="USD2022/kW"/>
  </r>
  <r>
    <x v="13"/>
    <x v="7"/>
    <x v="2"/>
    <x v="2"/>
    <n v="477.8"/>
    <s v="USD2022/kW"/>
  </r>
  <r>
    <x v="13"/>
    <x v="7"/>
    <x v="2"/>
    <x v="3"/>
    <n v="18"/>
    <s v="USD2022/kW-yr"/>
  </r>
  <r>
    <x v="13"/>
    <x v="7"/>
    <x v="2"/>
    <x v="4"/>
    <n v="1"/>
    <s v="fraction_LHV"/>
  </r>
  <r>
    <x v="13"/>
    <x v="7"/>
    <x v="2"/>
    <x v="6"/>
    <n v="0.23"/>
    <s v="fraction"/>
  </r>
  <r>
    <x v="13"/>
    <x v="7"/>
    <x v="2"/>
    <x v="5"/>
    <n v="0"/>
    <s v="USD2022/GJ"/>
  </r>
  <r>
    <x v="13"/>
    <x v="8"/>
    <x v="0"/>
    <x v="0"/>
    <n v="750"/>
    <s v="USD2022/kW"/>
  </r>
  <r>
    <x v="13"/>
    <x v="8"/>
    <x v="0"/>
    <x v="1"/>
    <n v="750"/>
    <s v="USD2022/kW"/>
  </r>
  <r>
    <x v="13"/>
    <x v="8"/>
    <x v="0"/>
    <x v="2"/>
    <n v="750"/>
    <s v="USD2022/kW"/>
  </r>
  <r>
    <x v="13"/>
    <x v="8"/>
    <x v="0"/>
    <x v="3"/>
    <n v="12"/>
    <s v="USD2022/kW-yr"/>
  </r>
  <r>
    <x v="13"/>
    <x v="8"/>
    <x v="0"/>
    <x v="4"/>
    <n v="1"/>
    <s v="fraction_LHV"/>
  </r>
  <r>
    <x v="13"/>
    <x v="8"/>
    <x v="0"/>
    <x v="6"/>
    <n v="0.2"/>
    <s v="fraction"/>
  </r>
  <r>
    <x v="13"/>
    <x v="8"/>
    <x v="0"/>
    <x v="5"/>
    <n v="0"/>
    <s v="USD2022/GJ"/>
  </r>
  <r>
    <x v="13"/>
    <x v="8"/>
    <x v="1"/>
    <x v="0"/>
    <n v="460"/>
    <s v="USD2022/kW"/>
  </r>
  <r>
    <x v="13"/>
    <x v="8"/>
    <x v="1"/>
    <x v="1"/>
    <n v="526.1"/>
    <s v="USD2022/kW"/>
  </r>
  <r>
    <x v="13"/>
    <x v="8"/>
    <x v="1"/>
    <x v="2"/>
    <n v="412.3"/>
    <s v="USD2022/kW"/>
  </r>
  <r>
    <x v="13"/>
    <x v="8"/>
    <x v="1"/>
    <x v="3"/>
    <n v="10"/>
    <s v="USD2022/kW-yr"/>
  </r>
  <r>
    <x v="13"/>
    <x v="8"/>
    <x v="1"/>
    <x v="4"/>
    <n v="1"/>
    <s v="fraction_LHV"/>
  </r>
  <r>
    <x v="13"/>
    <x v="8"/>
    <x v="1"/>
    <x v="6"/>
    <n v="0.21"/>
    <s v="fraction"/>
  </r>
  <r>
    <x v="13"/>
    <x v="8"/>
    <x v="1"/>
    <x v="5"/>
    <n v="0"/>
    <s v="USD2022/GJ"/>
  </r>
  <r>
    <x v="13"/>
    <x v="8"/>
    <x v="2"/>
    <x v="0"/>
    <n v="330"/>
    <s v="USD2022/kW"/>
  </r>
  <r>
    <x v="13"/>
    <x v="8"/>
    <x v="2"/>
    <x v="1"/>
    <n v="432.7"/>
    <s v="USD2022/kW"/>
  </r>
  <r>
    <x v="13"/>
    <x v="8"/>
    <x v="2"/>
    <x v="2"/>
    <n v="271.89999999999998"/>
    <s v="USD2022/kW"/>
  </r>
  <r>
    <x v="13"/>
    <x v="8"/>
    <x v="2"/>
    <x v="3"/>
    <n v="10"/>
    <s v="USD2022/kW-yr"/>
  </r>
  <r>
    <x v="13"/>
    <x v="8"/>
    <x v="2"/>
    <x v="4"/>
    <n v="1"/>
    <s v="fraction_LHV"/>
  </r>
  <r>
    <x v="13"/>
    <x v="8"/>
    <x v="2"/>
    <x v="6"/>
    <n v="0.21"/>
    <s v="fraction"/>
  </r>
  <r>
    <x v="13"/>
    <x v="8"/>
    <x v="2"/>
    <x v="5"/>
    <n v="0"/>
    <s v="USD2022/GJ"/>
  </r>
  <r>
    <x v="14"/>
    <x v="0"/>
    <x v="0"/>
    <x v="0"/>
    <n v="1750"/>
    <s v="USD2022/kW"/>
  </r>
  <r>
    <x v="14"/>
    <x v="0"/>
    <x v="0"/>
    <x v="1"/>
    <n v="1750"/>
    <s v="USD2022/kW"/>
  </r>
  <r>
    <x v="14"/>
    <x v="0"/>
    <x v="0"/>
    <x v="2"/>
    <n v="1750"/>
    <s v="USD2022/kW"/>
  </r>
  <r>
    <x v="14"/>
    <x v="0"/>
    <x v="0"/>
    <x v="3"/>
    <n v="46"/>
    <s v="USD2022/kW-yr"/>
  </r>
  <r>
    <x v="14"/>
    <x v="0"/>
    <x v="0"/>
    <x v="4"/>
    <n v="1"/>
    <s v="fraction_LHV"/>
  </r>
  <r>
    <x v="14"/>
    <x v="0"/>
    <x v="0"/>
    <x v="6"/>
    <n v="0.28999999999999998"/>
    <s v="fraction"/>
  </r>
  <r>
    <x v="14"/>
    <x v="0"/>
    <x v="0"/>
    <x v="5"/>
    <n v="0"/>
    <s v="USD2022/GJ"/>
  </r>
  <r>
    <x v="14"/>
    <x v="0"/>
    <x v="1"/>
    <x v="0"/>
    <n v="1670"/>
    <s v="USD2022/kW"/>
  </r>
  <r>
    <x v="14"/>
    <x v="0"/>
    <x v="1"/>
    <x v="1"/>
    <n v="1870.9"/>
    <s v="USD2022/kW"/>
  </r>
  <r>
    <x v="14"/>
    <x v="0"/>
    <x v="1"/>
    <x v="2"/>
    <n v="1591.3"/>
    <s v="USD2022/kW"/>
  </r>
  <r>
    <x v="14"/>
    <x v="0"/>
    <x v="1"/>
    <x v="3"/>
    <n v="42"/>
    <s v="USD2022/kW-yr"/>
  </r>
  <r>
    <x v="14"/>
    <x v="0"/>
    <x v="1"/>
    <x v="4"/>
    <n v="1"/>
    <s v="fraction_LHV"/>
  </r>
  <r>
    <x v="14"/>
    <x v="0"/>
    <x v="1"/>
    <x v="6"/>
    <n v="0.3"/>
    <s v="fraction"/>
  </r>
  <r>
    <x v="14"/>
    <x v="0"/>
    <x v="1"/>
    <x v="5"/>
    <n v="0"/>
    <s v="USD2022/GJ"/>
  </r>
  <r>
    <x v="14"/>
    <x v="0"/>
    <x v="2"/>
    <x v="0"/>
    <n v="1610"/>
    <s v="USD2022/kW"/>
  </r>
  <r>
    <x v="14"/>
    <x v="0"/>
    <x v="2"/>
    <x v="1"/>
    <n v="1958.7"/>
    <s v="USD2022/kW"/>
  </r>
  <r>
    <x v="14"/>
    <x v="0"/>
    <x v="2"/>
    <x v="2"/>
    <n v="1458.8"/>
    <s v="USD2022/kW"/>
  </r>
  <r>
    <x v="14"/>
    <x v="0"/>
    <x v="2"/>
    <x v="3"/>
    <n v="42"/>
    <s v="USD2022/kW-yr"/>
  </r>
  <r>
    <x v="14"/>
    <x v="0"/>
    <x v="2"/>
    <x v="4"/>
    <n v="1"/>
    <s v="fraction_LHV"/>
  </r>
  <r>
    <x v="14"/>
    <x v="0"/>
    <x v="2"/>
    <x v="6"/>
    <n v="0.3"/>
    <s v="fraction"/>
  </r>
  <r>
    <x v="14"/>
    <x v="0"/>
    <x v="2"/>
    <x v="5"/>
    <n v="0"/>
    <s v="USD2022/GJ"/>
  </r>
  <r>
    <x v="14"/>
    <x v="1"/>
    <x v="0"/>
    <x v="0"/>
    <n v="1220"/>
    <s v="USD2022/kW"/>
  </r>
  <r>
    <x v="14"/>
    <x v="1"/>
    <x v="0"/>
    <x v="1"/>
    <n v="1220"/>
    <s v="USD2022/kW"/>
  </r>
  <r>
    <x v="14"/>
    <x v="1"/>
    <x v="0"/>
    <x v="2"/>
    <n v="1220"/>
    <s v="USD2022/kW"/>
  </r>
  <r>
    <x v="14"/>
    <x v="1"/>
    <x v="0"/>
    <x v="3"/>
    <n v="30"/>
    <s v="USD2022/kW-yr"/>
  </r>
  <r>
    <x v="14"/>
    <x v="1"/>
    <x v="0"/>
    <x v="4"/>
    <n v="1"/>
    <s v="fraction_LHV"/>
  </r>
  <r>
    <x v="14"/>
    <x v="1"/>
    <x v="0"/>
    <x v="6"/>
    <n v="0.42"/>
    <s v="fraction"/>
  </r>
  <r>
    <x v="14"/>
    <x v="1"/>
    <x v="0"/>
    <x v="5"/>
    <n v="0"/>
    <s v="USD2022/GJ"/>
  </r>
  <r>
    <x v="14"/>
    <x v="1"/>
    <x v="1"/>
    <x v="0"/>
    <n v="1160"/>
    <s v="USD2022/kW"/>
  </r>
  <r>
    <x v="14"/>
    <x v="1"/>
    <x v="1"/>
    <x v="1"/>
    <n v="1299.5"/>
    <s v="USD2022/kW"/>
  </r>
  <r>
    <x v="14"/>
    <x v="1"/>
    <x v="1"/>
    <x v="2"/>
    <n v="1105.4000000000001"/>
    <s v="USD2022/kW"/>
  </r>
  <r>
    <x v="14"/>
    <x v="1"/>
    <x v="1"/>
    <x v="3"/>
    <n v="30"/>
    <s v="USD2022/kW-yr"/>
  </r>
  <r>
    <x v="14"/>
    <x v="1"/>
    <x v="1"/>
    <x v="4"/>
    <n v="1"/>
    <s v="fraction_LHV"/>
  </r>
  <r>
    <x v="14"/>
    <x v="1"/>
    <x v="1"/>
    <x v="6"/>
    <n v="0.43"/>
    <s v="fraction"/>
  </r>
  <r>
    <x v="14"/>
    <x v="1"/>
    <x v="1"/>
    <x v="5"/>
    <n v="0"/>
    <s v="USD2022/GJ"/>
  </r>
  <r>
    <x v="14"/>
    <x v="1"/>
    <x v="2"/>
    <x v="0"/>
    <n v="1110"/>
    <s v="USD2022/kW"/>
  </r>
  <r>
    <x v="14"/>
    <x v="1"/>
    <x v="2"/>
    <x v="1"/>
    <n v="1350.4"/>
    <s v="USD2022/kW"/>
  </r>
  <r>
    <x v="14"/>
    <x v="1"/>
    <x v="2"/>
    <x v="2"/>
    <n v="1005.8"/>
    <s v="USD2022/kW"/>
  </r>
  <r>
    <x v="14"/>
    <x v="1"/>
    <x v="2"/>
    <x v="3"/>
    <n v="30"/>
    <s v="USD2022/kW-yr"/>
  </r>
  <r>
    <x v="14"/>
    <x v="1"/>
    <x v="2"/>
    <x v="4"/>
    <n v="1"/>
    <s v="fraction_LHV"/>
  </r>
  <r>
    <x v="14"/>
    <x v="1"/>
    <x v="2"/>
    <x v="6"/>
    <n v="0.44"/>
    <s v="fraction"/>
  </r>
  <r>
    <x v="14"/>
    <x v="1"/>
    <x v="2"/>
    <x v="5"/>
    <n v="0"/>
    <s v="USD2022/GJ"/>
  </r>
  <r>
    <x v="14"/>
    <x v="2"/>
    <x v="0"/>
    <x v="0"/>
    <n v="3520"/>
    <s v="USD2022/kW"/>
  </r>
  <r>
    <x v="14"/>
    <x v="2"/>
    <x v="0"/>
    <x v="1"/>
    <n v="3520"/>
    <s v="USD2022/kW"/>
  </r>
  <r>
    <x v="14"/>
    <x v="2"/>
    <x v="0"/>
    <x v="2"/>
    <n v="3520"/>
    <s v="USD2022/kW"/>
  </r>
  <r>
    <x v="14"/>
    <x v="2"/>
    <x v="0"/>
    <x v="3"/>
    <n v="88"/>
    <s v="USD2022/kW-yr"/>
  </r>
  <r>
    <x v="14"/>
    <x v="2"/>
    <x v="0"/>
    <x v="4"/>
    <n v="1"/>
    <s v="fraction_LHV"/>
  </r>
  <r>
    <x v="14"/>
    <x v="2"/>
    <x v="0"/>
    <x v="6"/>
    <n v="0.26"/>
    <s v="fraction"/>
  </r>
  <r>
    <x v="14"/>
    <x v="2"/>
    <x v="0"/>
    <x v="5"/>
    <n v="0"/>
    <s v="USD2022/GJ"/>
  </r>
  <r>
    <x v="14"/>
    <x v="2"/>
    <x v="1"/>
    <x v="0"/>
    <n v="3320"/>
    <s v="USD2022/kW"/>
  </r>
  <r>
    <x v="14"/>
    <x v="2"/>
    <x v="1"/>
    <x v="1"/>
    <n v="3719.4"/>
    <s v="USD2022/kW"/>
  </r>
  <r>
    <x v="14"/>
    <x v="2"/>
    <x v="1"/>
    <x v="2"/>
    <n v="3163.6"/>
    <s v="USD2022/kW"/>
  </r>
  <r>
    <x v="14"/>
    <x v="2"/>
    <x v="1"/>
    <x v="3"/>
    <n v="84"/>
    <s v="USD2022/kW-yr"/>
  </r>
  <r>
    <x v="14"/>
    <x v="2"/>
    <x v="1"/>
    <x v="4"/>
    <n v="1"/>
    <s v="fraction_LHV"/>
  </r>
  <r>
    <x v="14"/>
    <x v="2"/>
    <x v="1"/>
    <x v="6"/>
    <n v="0.28000000000000003"/>
    <s v="fraction"/>
  </r>
  <r>
    <x v="14"/>
    <x v="2"/>
    <x v="1"/>
    <x v="5"/>
    <n v="0"/>
    <s v="USD2022/GJ"/>
  </r>
  <r>
    <x v="14"/>
    <x v="2"/>
    <x v="2"/>
    <x v="0"/>
    <n v="3170"/>
    <s v="USD2022/kW"/>
  </r>
  <r>
    <x v="14"/>
    <x v="2"/>
    <x v="2"/>
    <x v="1"/>
    <n v="3856.6"/>
    <s v="USD2022/kW"/>
  </r>
  <r>
    <x v="14"/>
    <x v="2"/>
    <x v="2"/>
    <x v="2"/>
    <n v="2872.3"/>
    <s v="USD2022/kW"/>
  </r>
  <r>
    <x v="14"/>
    <x v="2"/>
    <x v="2"/>
    <x v="3"/>
    <n v="82"/>
    <s v="USD2022/kW-yr"/>
  </r>
  <r>
    <x v="14"/>
    <x v="2"/>
    <x v="2"/>
    <x v="4"/>
    <n v="1"/>
    <s v="fraction_LHV"/>
  </r>
  <r>
    <x v="14"/>
    <x v="2"/>
    <x v="2"/>
    <x v="6"/>
    <n v="0.28999999999999998"/>
    <s v="fraction"/>
  </r>
  <r>
    <x v="14"/>
    <x v="2"/>
    <x v="2"/>
    <x v="5"/>
    <n v="0"/>
    <s v="USD2022/GJ"/>
  </r>
  <r>
    <x v="14"/>
    <x v="3"/>
    <x v="0"/>
    <x v="0"/>
    <n v="1640"/>
    <s v="USD2022/kW"/>
  </r>
  <r>
    <x v="14"/>
    <x v="3"/>
    <x v="0"/>
    <x v="1"/>
    <n v="1640"/>
    <s v="USD2022/kW"/>
  </r>
  <r>
    <x v="14"/>
    <x v="3"/>
    <x v="0"/>
    <x v="2"/>
    <n v="1640"/>
    <s v="USD2022/kW"/>
  </r>
  <r>
    <x v="14"/>
    <x v="3"/>
    <x v="0"/>
    <x v="3"/>
    <n v="40"/>
    <s v="USD2022/kW-yr"/>
  </r>
  <r>
    <x v="14"/>
    <x v="3"/>
    <x v="0"/>
    <x v="4"/>
    <n v="1"/>
    <s v="fraction_LHV"/>
  </r>
  <r>
    <x v="14"/>
    <x v="3"/>
    <x v="0"/>
    <x v="6"/>
    <n v="0.26"/>
    <s v="fraction"/>
  </r>
  <r>
    <x v="14"/>
    <x v="3"/>
    <x v="0"/>
    <x v="5"/>
    <n v="0"/>
    <s v="USD2022/GJ"/>
  </r>
  <r>
    <x v="14"/>
    <x v="3"/>
    <x v="1"/>
    <x v="0"/>
    <n v="1550"/>
    <s v="USD2022/kW"/>
  </r>
  <r>
    <x v="14"/>
    <x v="3"/>
    <x v="1"/>
    <x v="1"/>
    <n v="1736.5"/>
    <s v="USD2022/kW"/>
  </r>
  <r>
    <x v="14"/>
    <x v="3"/>
    <x v="1"/>
    <x v="2"/>
    <n v="1477"/>
    <s v="USD2022/kW"/>
  </r>
  <r>
    <x v="14"/>
    <x v="3"/>
    <x v="1"/>
    <x v="3"/>
    <n v="40"/>
    <s v="USD2022/kW-yr"/>
  </r>
  <r>
    <x v="14"/>
    <x v="3"/>
    <x v="1"/>
    <x v="4"/>
    <n v="1"/>
    <s v="fraction_LHV"/>
  </r>
  <r>
    <x v="14"/>
    <x v="3"/>
    <x v="1"/>
    <x v="6"/>
    <n v="0.28999999999999998"/>
    <s v="fraction"/>
  </r>
  <r>
    <x v="14"/>
    <x v="3"/>
    <x v="1"/>
    <x v="5"/>
    <n v="0"/>
    <s v="USD2022/GJ"/>
  </r>
  <r>
    <x v="14"/>
    <x v="3"/>
    <x v="2"/>
    <x v="0"/>
    <n v="1470"/>
    <s v="USD2022/kW"/>
  </r>
  <r>
    <x v="14"/>
    <x v="3"/>
    <x v="2"/>
    <x v="1"/>
    <n v="1788.4"/>
    <s v="USD2022/kW"/>
  </r>
  <r>
    <x v="14"/>
    <x v="3"/>
    <x v="2"/>
    <x v="2"/>
    <n v="1332"/>
    <s v="USD2022/kW"/>
  </r>
  <r>
    <x v="14"/>
    <x v="3"/>
    <x v="2"/>
    <x v="3"/>
    <n v="38"/>
    <s v="USD2022/kW-yr"/>
  </r>
  <r>
    <x v="14"/>
    <x v="3"/>
    <x v="2"/>
    <x v="4"/>
    <n v="1"/>
    <s v="fraction_LHV"/>
  </r>
  <r>
    <x v="14"/>
    <x v="3"/>
    <x v="2"/>
    <x v="6"/>
    <n v="0.31"/>
    <s v="fraction"/>
  </r>
  <r>
    <x v="14"/>
    <x v="3"/>
    <x v="2"/>
    <x v="5"/>
    <n v="0"/>
    <s v="USD2022/GJ"/>
  </r>
  <r>
    <x v="14"/>
    <x v="4"/>
    <x v="0"/>
    <x v="0"/>
    <n v="1100"/>
    <s v="USD2022/kW"/>
  </r>
  <r>
    <x v="14"/>
    <x v="4"/>
    <x v="0"/>
    <x v="1"/>
    <n v="1100"/>
    <s v="USD2022/kW"/>
  </r>
  <r>
    <x v="14"/>
    <x v="4"/>
    <x v="0"/>
    <x v="2"/>
    <n v="1100"/>
    <s v="USD2022/kW"/>
  </r>
  <r>
    <x v="14"/>
    <x v="4"/>
    <x v="0"/>
    <x v="3"/>
    <n v="28"/>
    <s v="USD2022/kW-yr"/>
  </r>
  <r>
    <x v="14"/>
    <x v="4"/>
    <x v="0"/>
    <x v="4"/>
    <n v="1"/>
    <s v="fraction_LHV"/>
  </r>
  <r>
    <x v="14"/>
    <x v="4"/>
    <x v="0"/>
    <x v="6"/>
    <n v="0.26"/>
    <s v="fraction"/>
  </r>
  <r>
    <x v="14"/>
    <x v="4"/>
    <x v="0"/>
    <x v="5"/>
    <n v="0"/>
    <s v="USD2022/GJ"/>
  </r>
  <r>
    <x v="14"/>
    <x v="4"/>
    <x v="1"/>
    <x v="0"/>
    <n v="1040"/>
    <s v="USD2022/kW"/>
  </r>
  <r>
    <x v="14"/>
    <x v="4"/>
    <x v="1"/>
    <x v="1"/>
    <n v="1165.0999999999999"/>
    <s v="USD2022/kW"/>
  </r>
  <r>
    <x v="14"/>
    <x v="4"/>
    <x v="1"/>
    <x v="2"/>
    <n v="991"/>
    <s v="USD2022/kW"/>
  </r>
  <r>
    <x v="14"/>
    <x v="4"/>
    <x v="1"/>
    <x v="3"/>
    <n v="26"/>
    <s v="USD2022/kW-yr"/>
  </r>
  <r>
    <x v="14"/>
    <x v="4"/>
    <x v="1"/>
    <x v="4"/>
    <n v="1"/>
    <s v="fraction_LHV"/>
  </r>
  <r>
    <x v="14"/>
    <x v="4"/>
    <x v="1"/>
    <x v="6"/>
    <n v="0.27"/>
    <s v="fraction"/>
  </r>
  <r>
    <x v="14"/>
    <x v="4"/>
    <x v="1"/>
    <x v="5"/>
    <n v="0"/>
    <s v="USD2022/GJ"/>
  </r>
  <r>
    <x v="14"/>
    <x v="4"/>
    <x v="2"/>
    <x v="0"/>
    <n v="1000"/>
    <s v="USD2022/kW"/>
  </r>
  <r>
    <x v="14"/>
    <x v="4"/>
    <x v="2"/>
    <x v="1"/>
    <n v="1216.5999999999999"/>
    <s v="USD2022/kW"/>
  </r>
  <r>
    <x v="14"/>
    <x v="4"/>
    <x v="2"/>
    <x v="2"/>
    <n v="906.1"/>
    <s v="USD2022/kW"/>
  </r>
  <r>
    <x v="14"/>
    <x v="4"/>
    <x v="2"/>
    <x v="3"/>
    <n v="26"/>
    <s v="USD2022/kW-yr"/>
  </r>
  <r>
    <x v="14"/>
    <x v="4"/>
    <x v="2"/>
    <x v="4"/>
    <n v="1"/>
    <s v="fraction_LHV"/>
  </r>
  <r>
    <x v="14"/>
    <x v="4"/>
    <x v="2"/>
    <x v="6"/>
    <n v="0.28000000000000003"/>
    <s v="fraction"/>
  </r>
  <r>
    <x v="14"/>
    <x v="4"/>
    <x v="2"/>
    <x v="5"/>
    <n v="0"/>
    <s v="USD2022/GJ"/>
  </r>
  <r>
    <x v="14"/>
    <x v="5"/>
    <x v="0"/>
    <x v="0"/>
    <n v="1120"/>
    <s v="USD2022/kW"/>
  </r>
  <r>
    <x v="14"/>
    <x v="5"/>
    <x v="0"/>
    <x v="1"/>
    <n v="1120"/>
    <s v="USD2022/kW"/>
  </r>
  <r>
    <x v="14"/>
    <x v="5"/>
    <x v="0"/>
    <x v="2"/>
    <n v="1120"/>
    <s v="USD2022/kW"/>
  </r>
  <r>
    <x v="14"/>
    <x v="5"/>
    <x v="0"/>
    <x v="3"/>
    <n v="28"/>
    <s v="USD2022/kW-yr"/>
  </r>
  <r>
    <x v="14"/>
    <x v="5"/>
    <x v="0"/>
    <x v="4"/>
    <n v="1"/>
    <s v="fraction_LHV"/>
  </r>
  <r>
    <x v="14"/>
    <x v="5"/>
    <x v="0"/>
    <x v="6"/>
    <n v="0.26"/>
    <s v="fraction"/>
  </r>
  <r>
    <x v="14"/>
    <x v="5"/>
    <x v="0"/>
    <x v="5"/>
    <n v="0"/>
    <s v="USD2022/GJ"/>
  </r>
  <r>
    <x v="14"/>
    <x v="5"/>
    <x v="1"/>
    <x v="0"/>
    <n v="1060"/>
    <s v="USD2022/kW"/>
  </r>
  <r>
    <x v="14"/>
    <x v="5"/>
    <x v="1"/>
    <x v="1"/>
    <n v="1187.5"/>
    <s v="USD2022/kW"/>
  </r>
  <r>
    <x v="14"/>
    <x v="5"/>
    <x v="1"/>
    <x v="2"/>
    <n v="1010.1"/>
    <s v="USD2022/kW"/>
  </r>
  <r>
    <x v="14"/>
    <x v="5"/>
    <x v="1"/>
    <x v="3"/>
    <n v="26"/>
    <s v="USD2022/kW-yr"/>
  </r>
  <r>
    <x v="14"/>
    <x v="5"/>
    <x v="1"/>
    <x v="4"/>
    <n v="1"/>
    <s v="fraction_LHV"/>
  </r>
  <r>
    <x v="14"/>
    <x v="5"/>
    <x v="1"/>
    <x v="6"/>
    <n v="0.28000000000000003"/>
    <s v="fraction"/>
  </r>
  <r>
    <x v="14"/>
    <x v="5"/>
    <x v="1"/>
    <x v="5"/>
    <n v="0"/>
    <s v="USD2022/GJ"/>
  </r>
  <r>
    <x v="14"/>
    <x v="5"/>
    <x v="2"/>
    <x v="0"/>
    <n v="1010"/>
    <s v="USD2022/kW"/>
  </r>
  <r>
    <x v="14"/>
    <x v="5"/>
    <x v="2"/>
    <x v="1"/>
    <n v="1228.8"/>
    <s v="USD2022/kW"/>
  </r>
  <r>
    <x v="14"/>
    <x v="5"/>
    <x v="2"/>
    <x v="2"/>
    <n v="915.2"/>
    <s v="USD2022/kW"/>
  </r>
  <r>
    <x v="14"/>
    <x v="5"/>
    <x v="2"/>
    <x v="3"/>
    <n v="26"/>
    <s v="USD2022/kW-yr"/>
  </r>
  <r>
    <x v="14"/>
    <x v="5"/>
    <x v="2"/>
    <x v="4"/>
    <n v="1"/>
    <s v="fraction_LHV"/>
  </r>
  <r>
    <x v="14"/>
    <x v="5"/>
    <x v="2"/>
    <x v="6"/>
    <n v="0.3"/>
    <s v="fraction"/>
  </r>
  <r>
    <x v="14"/>
    <x v="5"/>
    <x v="2"/>
    <x v="5"/>
    <n v="0"/>
    <s v="USD2022/GJ"/>
  </r>
  <r>
    <x v="14"/>
    <x v="6"/>
    <x v="0"/>
    <x v="0"/>
    <n v="1950"/>
    <s v="USD2022/kW"/>
  </r>
  <r>
    <x v="14"/>
    <x v="6"/>
    <x v="0"/>
    <x v="1"/>
    <n v="1950"/>
    <s v="USD2022/kW"/>
  </r>
  <r>
    <x v="14"/>
    <x v="6"/>
    <x v="0"/>
    <x v="2"/>
    <n v="1950"/>
    <s v="USD2022/kW"/>
  </r>
  <r>
    <x v="14"/>
    <x v="6"/>
    <x v="0"/>
    <x v="3"/>
    <n v="48"/>
    <s v="USD2022/kW-yr"/>
  </r>
  <r>
    <x v="14"/>
    <x v="6"/>
    <x v="0"/>
    <x v="4"/>
    <n v="1"/>
    <s v="fraction_LHV"/>
  </r>
  <r>
    <x v="14"/>
    <x v="6"/>
    <x v="0"/>
    <x v="6"/>
    <n v="0.35"/>
    <s v="fraction"/>
  </r>
  <r>
    <x v="14"/>
    <x v="6"/>
    <x v="0"/>
    <x v="5"/>
    <n v="0"/>
    <s v="USD2022/GJ"/>
  </r>
  <r>
    <x v="14"/>
    <x v="6"/>
    <x v="1"/>
    <x v="0"/>
    <n v="1830"/>
    <s v="USD2022/kW"/>
  </r>
  <r>
    <x v="14"/>
    <x v="6"/>
    <x v="1"/>
    <x v="1"/>
    <n v="2050.1"/>
    <s v="USD2022/kW"/>
  </r>
  <r>
    <x v="14"/>
    <x v="6"/>
    <x v="1"/>
    <x v="2"/>
    <n v="1743.8"/>
    <s v="USD2022/kW"/>
  </r>
  <r>
    <x v="14"/>
    <x v="6"/>
    <x v="1"/>
    <x v="3"/>
    <n v="46"/>
    <s v="USD2022/kW-yr"/>
  </r>
  <r>
    <x v="14"/>
    <x v="6"/>
    <x v="1"/>
    <x v="4"/>
    <n v="1"/>
    <s v="fraction_LHV"/>
  </r>
  <r>
    <x v="14"/>
    <x v="6"/>
    <x v="1"/>
    <x v="6"/>
    <n v="0.35"/>
    <s v="fraction"/>
  </r>
  <r>
    <x v="14"/>
    <x v="6"/>
    <x v="1"/>
    <x v="5"/>
    <n v="0"/>
    <s v="USD2022/GJ"/>
  </r>
  <r>
    <x v="14"/>
    <x v="6"/>
    <x v="2"/>
    <x v="0"/>
    <n v="1710"/>
    <s v="USD2022/kW"/>
  </r>
  <r>
    <x v="14"/>
    <x v="6"/>
    <x v="2"/>
    <x v="1"/>
    <n v="2080.4"/>
    <s v="USD2022/kW"/>
  </r>
  <r>
    <x v="14"/>
    <x v="6"/>
    <x v="2"/>
    <x v="2"/>
    <n v="1549.4"/>
    <s v="USD2022/kW"/>
  </r>
  <r>
    <x v="14"/>
    <x v="6"/>
    <x v="2"/>
    <x v="3"/>
    <n v="44"/>
    <s v="USD2022/kW-yr"/>
  </r>
  <r>
    <x v="14"/>
    <x v="6"/>
    <x v="2"/>
    <x v="4"/>
    <n v="1"/>
    <s v="fraction_LHV"/>
  </r>
  <r>
    <x v="14"/>
    <x v="6"/>
    <x v="2"/>
    <x v="6"/>
    <n v="0.36"/>
    <s v="fraction"/>
  </r>
  <r>
    <x v="14"/>
    <x v="6"/>
    <x v="2"/>
    <x v="5"/>
    <n v="0"/>
    <s v="USD2022/GJ"/>
  </r>
  <r>
    <x v="14"/>
    <x v="7"/>
    <x v="0"/>
    <x v="0"/>
    <n v="1950"/>
    <s v="USD2022/kW"/>
  </r>
  <r>
    <x v="14"/>
    <x v="7"/>
    <x v="0"/>
    <x v="1"/>
    <n v="1950"/>
    <s v="USD2022/kW"/>
  </r>
  <r>
    <x v="14"/>
    <x v="7"/>
    <x v="0"/>
    <x v="2"/>
    <n v="1950"/>
    <s v="USD2022/kW"/>
  </r>
  <r>
    <x v="14"/>
    <x v="7"/>
    <x v="0"/>
    <x v="3"/>
    <n v="48"/>
    <s v="USD2022/kW-yr"/>
  </r>
  <r>
    <x v="14"/>
    <x v="7"/>
    <x v="0"/>
    <x v="4"/>
    <n v="1"/>
    <s v="fraction_LHV"/>
  </r>
  <r>
    <x v="14"/>
    <x v="7"/>
    <x v="0"/>
    <x v="6"/>
    <n v="0.32"/>
    <s v="fraction"/>
  </r>
  <r>
    <x v="14"/>
    <x v="7"/>
    <x v="0"/>
    <x v="5"/>
    <n v="0"/>
    <s v="USD2022/GJ"/>
  </r>
  <r>
    <x v="14"/>
    <x v="7"/>
    <x v="1"/>
    <x v="0"/>
    <n v="1830"/>
    <s v="USD2022/kW"/>
  </r>
  <r>
    <x v="14"/>
    <x v="7"/>
    <x v="1"/>
    <x v="1"/>
    <n v="2050.1"/>
    <s v="USD2022/kW"/>
  </r>
  <r>
    <x v="14"/>
    <x v="7"/>
    <x v="1"/>
    <x v="2"/>
    <n v="1743.8"/>
    <s v="USD2022/kW"/>
  </r>
  <r>
    <x v="14"/>
    <x v="7"/>
    <x v="1"/>
    <x v="3"/>
    <n v="46"/>
    <s v="USD2022/kW-yr"/>
  </r>
  <r>
    <x v="14"/>
    <x v="7"/>
    <x v="1"/>
    <x v="4"/>
    <n v="1"/>
    <s v="fraction_LHV"/>
  </r>
  <r>
    <x v="14"/>
    <x v="7"/>
    <x v="1"/>
    <x v="6"/>
    <n v="0.34"/>
    <s v="fraction"/>
  </r>
  <r>
    <x v="14"/>
    <x v="7"/>
    <x v="1"/>
    <x v="5"/>
    <n v="0"/>
    <s v="USD2022/GJ"/>
  </r>
  <r>
    <x v="14"/>
    <x v="7"/>
    <x v="2"/>
    <x v="0"/>
    <n v="1740"/>
    <s v="USD2022/kW"/>
  </r>
  <r>
    <x v="14"/>
    <x v="7"/>
    <x v="2"/>
    <x v="1"/>
    <n v="2116.9"/>
    <s v="USD2022/kW"/>
  </r>
  <r>
    <x v="14"/>
    <x v="7"/>
    <x v="2"/>
    <x v="2"/>
    <n v="1576.6"/>
    <s v="USD2022/kW"/>
  </r>
  <r>
    <x v="14"/>
    <x v="7"/>
    <x v="2"/>
    <x v="3"/>
    <n v="44"/>
    <s v="USD2022/kW-yr"/>
  </r>
  <r>
    <x v="14"/>
    <x v="7"/>
    <x v="2"/>
    <x v="4"/>
    <n v="1"/>
    <s v="fraction_LHV"/>
  </r>
  <r>
    <x v="14"/>
    <x v="7"/>
    <x v="2"/>
    <x v="6"/>
    <n v="0.35"/>
    <s v="fraction"/>
  </r>
  <r>
    <x v="14"/>
    <x v="7"/>
    <x v="2"/>
    <x v="5"/>
    <n v="0"/>
    <s v="USD2022/GJ"/>
  </r>
  <r>
    <x v="14"/>
    <x v="8"/>
    <x v="0"/>
    <x v="0"/>
    <n v="1050"/>
    <s v="USD2022/kW"/>
  </r>
  <r>
    <x v="14"/>
    <x v="8"/>
    <x v="0"/>
    <x v="1"/>
    <n v="1050"/>
    <s v="USD2022/kW"/>
  </r>
  <r>
    <x v="14"/>
    <x v="8"/>
    <x v="0"/>
    <x v="2"/>
    <n v="1050"/>
    <s v="USD2022/kW"/>
  </r>
  <r>
    <x v="14"/>
    <x v="8"/>
    <x v="0"/>
    <x v="3"/>
    <n v="26"/>
    <s v="USD2022/kW-yr"/>
  </r>
  <r>
    <x v="14"/>
    <x v="8"/>
    <x v="0"/>
    <x v="4"/>
    <n v="1"/>
    <s v="fraction_LHV"/>
  </r>
  <r>
    <x v="14"/>
    <x v="8"/>
    <x v="0"/>
    <x v="6"/>
    <n v="0.44"/>
    <s v="fraction"/>
  </r>
  <r>
    <x v="14"/>
    <x v="8"/>
    <x v="0"/>
    <x v="5"/>
    <n v="0"/>
    <s v="USD2022/GJ"/>
  </r>
  <r>
    <x v="14"/>
    <x v="8"/>
    <x v="1"/>
    <x v="0"/>
    <n v="1000"/>
    <s v="USD2022/kW"/>
  </r>
  <r>
    <x v="14"/>
    <x v="8"/>
    <x v="1"/>
    <x v="1"/>
    <n v="1120.3"/>
    <s v="USD2022/kW"/>
  </r>
  <r>
    <x v="14"/>
    <x v="8"/>
    <x v="1"/>
    <x v="2"/>
    <n v="952.9"/>
    <s v="USD2022/kW"/>
  </r>
  <r>
    <x v="14"/>
    <x v="8"/>
    <x v="1"/>
    <x v="3"/>
    <n v="26"/>
    <s v="USD2022/kW-yr"/>
  </r>
  <r>
    <x v="14"/>
    <x v="8"/>
    <x v="1"/>
    <x v="4"/>
    <n v="1"/>
    <s v="fraction_LHV"/>
  </r>
  <r>
    <x v="14"/>
    <x v="8"/>
    <x v="1"/>
    <x v="6"/>
    <n v="0.44"/>
    <s v="fraction"/>
  </r>
  <r>
    <x v="14"/>
    <x v="8"/>
    <x v="1"/>
    <x v="5"/>
    <n v="0"/>
    <s v="USD2022/GJ"/>
  </r>
  <r>
    <x v="14"/>
    <x v="8"/>
    <x v="2"/>
    <x v="0"/>
    <n v="950"/>
    <s v="USD2022/kW"/>
  </r>
  <r>
    <x v="14"/>
    <x v="8"/>
    <x v="2"/>
    <x v="1"/>
    <n v="1155.8"/>
    <s v="USD2022/kW"/>
  </r>
  <r>
    <x v="14"/>
    <x v="8"/>
    <x v="2"/>
    <x v="2"/>
    <n v="860.8"/>
    <s v="USD2022/kW"/>
  </r>
  <r>
    <x v="14"/>
    <x v="8"/>
    <x v="2"/>
    <x v="3"/>
    <n v="24"/>
    <s v="USD2022/kW-yr"/>
  </r>
  <r>
    <x v="14"/>
    <x v="8"/>
    <x v="2"/>
    <x v="4"/>
    <n v="1"/>
    <s v="fraction_LHV"/>
  </r>
  <r>
    <x v="14"/>
    <x v="8"/>
    <x v="2"/>
    <x v="6"/>
    <n v="0.44"/>
    <s v="fraction"/>
  </r>
  <r>
    <x v="14"/>
    <x v="8"/>
    <x v="2"/>
    <x v="5"/>
    <n v="0"/>
    <s v="USD2022/GJ"/>
  </r>
  <r>
    <x v="15"/>
    <x v="0"/>
    <x v="0"/>
    <x v="0"/>
    <n v="3420"/>
    <s v="USD2022/kW"/>
  </r>
  <r>
    <x v="15"/>
    <x v="0"/>
    <x v="0"/>
    <x v="1"/>
    <n v="4152.8999999999996"/>
    <s v="USD2022/kW"/>
  </r>
  <r>
    <x v="15"/>
    <x v="0"/>
    <x v="0"/>
    <x v="2"/>
    <n v="3004.8"/>
    <s v="USD2022/kW"/>
  </r>
  <r>
    <x v="15"/>
    <x v="0"/>
    <x v="0"/>
    <x v="3"/>
    <n v="70"/>
    <s v="USD2022/kW-yr"/>
  </r>
  <r>
    <x v="15"/>
    <x v="0"/>
    <x v="0"/>
    <x v="4"/>
    <n v="1"/>
    <s v="fraction_LHV"/>
  </r>
  <r>
    <x v="15"/>
    <x v="0"/>
    <x v="0"/>
    <x v="6"/>
    <n v="0.5"/>
    <s v="fraction"/>
  </r>
  <r>
    <x v="15"/>
    <x v="0"/>
    <x v="0"/>
    <x v="5"/>
    <n v="0"/>
    <s v="USD2022/GJ"/>
  </r>
  <r>
    <x v="15"/>
    <x v="0"/>
    <x v="1"/>
    <x v="0"/>
    <n v="2280"/>
    <s v="USD2022/kW"/>
  </r>
  <r>
    <x v="15"/>
    <x v="0"/>
    <x v="1"/>
    <x v="1"/>
    <n v="3557"/>
    <s v="USD2022/kW"/>
  </r>
  <r>
    <x v="15"/>
    <x v="0"/>
    <x v="1"/>
    <x v="2"/>
    <n v="1663.9"/>
    <s v="USD2022/kW"/>
  </r>
  <r>
    <x v="15"/>
    <x v="0"/>
    <x v="1"/>
    <x v="3"/>
    <n v="50"/>
    <s v="USD2022/kW-yr"/>
  </r>
  <r>
    <x v="15"/>
    <x v="0"/>
    <x v="1"/>
    <x v="4"/>
    <n v="1"/>
    <s v="fraction_LHV"/>
  </r>
  <r>
    <x v="15"/>
    <x v="0"/>
    <x v="1"/>
    <x v="6"/>
    <n v="0.56000000000000005"/>
    <s v="fraction"/>
  </r>
  <r>
    <x v="15"/>
    <x v="0"/>
    <x v="1"/>
    <x v="5"/>
    <n v="0"/>
    <s v="USD2022/GJ"/>
  </r>
  <r>
    <x v="15"/>
    <x v="0"/>
    <x v="2"/>
    <x v="0"/>
    <n v="1740"/>
    <s v="USD2022/kW"/>
  </r>
  <r>
    <x v="15"/>
    <x v="0"/>
    <x v="2"/>
    <x v="1"/>
    <n v="2113.4"/>
    <s v="USD2022/kW"/>
  </r>
  <r>
    <x v="15"/>
    <x v="0"/>
    <x v="2"/>
    <x v="2"/>
    <n v="1442.6"/>
    <s v="USD2022/kW"/>
  </r>
  <r>
    <x v="15"/>
    <x v="0"/>
    <x v="2"/>
    <x v="3"/>
    <n v="45"/>
    <s v="USD2022/kW-yr"/>
  </r>
  <r>
    <x v="15"/>
    <x v="0"/>
    <x v="2"/>
    <x v="4"/>
    <n v="1"/>
    <s v="fraction_LHV"/>
  </r>
  <r>
    <x v="15"/>
    <x v="0"/>
    <x v="2"/>
    <x v="6"/>
    <n v="0.59"/>
    <s v="fraction"/>
  </r>
  <r>
    <x v="15"/>
    <x v="0"/>
    <x v="2"/>
    <x v="5"/>
    <n v="0"/>
    <s v="USD2022/GJ"/>
  </r>
  <r>
    <x v="15"/>
    <x v="1"/>
    <x v="0"/>
    <x v="0"/>
    <n v="4060"/>
    <s v="USD2022/kW"/>
  </r>
  <r>
    <x v="15"/>
    <x v="1"/>
    <x v="0"/>
    <x v="1"/>
    <n v="4930.1000000000004"/>
    <s v="USD2022/kW"/>
  </r>
  <r>
    <x v="15"/>
    <x v="1"/>
    <x v="0"/>
    <x v="2"/>
    <n v="3567.1"/>
    <s v="USD2022/kW"/>
  </r>
  <r>
    <x v="15"/>
    <x v="1"/>
    <x v="0"/>
    <x v="3"/>
    <n v="120"/>
    <s v="USD2022/kW-yr"/>
  </r>
  <r>
    <x v="15"/>
    <x v="1"/>
    <x v="0"/>
    <x v="4"/>
    <n v="1"/>
    <s v="fraction_LHV"/>
  </r>
  <r>
    <x v="15"/>
    <x v="1"/>
    <x v="0"/>
    <x v="6"/>
    <n v="0.42"/>
    <s v="fraction"/>
  </r>
  <r>
    <x v="15"/>
    <x v="1"/>
    <x v="0"/>
    <x v="5"/>
    <n v="0"/>
    <s v="USD2022/GJ"/>
  </r>
  <r>
    <x v="15"/>
    <x v="1"/>
    <x v="1"/>
    <x v="0"/>
    <n v="2520"/>
    <s v="USD2022/kW"/>
  </r>
  <r>
    <x v="15"/>
    <x v="1"/>
    <x v="1"/>
    <x v="1"/>
    <n v="3931.5"/>
    <s v="USD2022/kW"/>
  </r>
  <r>
    <x v="15"/>
    <x v="1"/>
    <x v="1"/>
    <x v="2"/>
    <n v="1839.1"/>
    <s v="USD2022/kW"/>
  </r>
  <r>
    <x v="15"/>
    <x v="1"/>
    <x v="1"/>
    <x v="3"/>
    <n v="90"/>
    <s v="USD2022/kW-yr"/>
  </r>
  <r>
    <x v="15"/>
    <x v="1"/>
    <x v="1"/>
    <x v="4"/>
    <n v="1"/>
    <s v="fraction_LHV"/>
  </r>
  <r>
    <x v="15"/>
    <x v="1"/>
    <x v="1"/>
    <x v="6"/>
    <n v="0.46"/>
    <s v="fraction"/>
  </r>
  <r>
    <x v="15"/>
    <x v="1"/>
    <x v="1"/>
    <x v="5"/>
    <n v="0"/>
    <s v="USD2022/GJ"/>
  </r>
  <r>
    <x v="15"/>
    <x v="1"/>
    <x v="2"/>
    <x v="0"/>
    <n v="1900"/>
    <s v="USD2022/kW"/>
  </r>
  <r>
    <x v="15"/>
    <x v="1"/>
    <x v="2"/>
    <x v="1"/>
    <n v="2307.6999999999998"/>
    <s v="USD2022/kW"/>
  </r>
  <r>
    <x v="15"/>
    <x v="1"/>
    <x v="2"/>
    <x v="2"/>
    <n v="1575.3"/>
    <s v="USD2022/kW"/>
  </r>
  <r>
    <x v="15"/>
    <x v="1"/>
    <x v="2"/>
    <x v="3"/>
    <n v="70"/>
    <s v="USD2022/kW-yr"/>
  </r>
  <r>
    <x v="15"/>
    <x v="1"/>
    <x v="2"/>
    <x v="4"/>
    <n v="1"/>
    <s v="fraction_LHV"/>
  </r>
  <r>
    <x v="15"/>
    <x v="1"/>
    <x v="2"/>
    <x v="6"/>
    <n v="0.49"/>
    <s v="fraction"/>
  </r>
  <r>
    <x v="15"/>
    <x v="1"/>
    <x v="2"/>
    <x v="5"/>
    <n v="0"/>
    <s v="USD2022/GJ"/>
  </r>
  <r>
    <x v="15"/>
    <x v="2"/>
    <x v="0"/>
    <x v="0"/>
    <n v="6640"/>
    <s v="USD2022/kW"/>
  </r>
  <r>
    <x v="15"/>
    <x v="2"/>
    <x v="0"/>
    <x v="1"/>
    <n v="8063"/>
    <s v="USD2022/kW"/>
  </r>
  <r>
    <x v="15"/>
    <x v="2"/>
    <x v="0"/>
    <x v="2"/>
    <n v="5833.9"/>
    <s v="USD2022/kW"/>
  </r>
  <r>
    <x v="15"/>
    <x v="2"/>
    <x v="0"/>
    <x v="3"/>
    <n v="165"/>
    <s v="USD2022/kW-yr"/>
  </r>
  <r>
    <x v="15"/>
    <x v="2"/>
    <x v="0"/>
    <x v="4"/>
    <n v="1"/>
    <s v="fraction_LHV"/>
  </r>
  <r>
    <x v="15"/>
    <x v="2"/>
    <x v="0"/>
    <x v="6"/>
    <n v="0.41"/>
    <s v="fraction"/>
  </r>
  <r>
    <x v="15"/>
    <x v="2"/>
    <x v="0"/>
    <x v="5"/>
    <n v="0"/>
    <s v="USD2022/GJ"/>
  </r>
  <r>
    <x v="15"/>
    <x v="2"/>
    <x v="1"/>
    <x v="0"/>
    <n v="4180"/>
    <s v="USD2022/kW"/>
  </r>
  <r>
    <x v="15"/>
    <x v="2"/>
    <x v="1"/>
    <x v="1"/>
    <n v="6521.2"/>
    <s v="USD2022/kW"/>
  </r>
  <r>
    <x v="15"/>
    <x v="2"/>
    <x v="1"/>
    <x v="2"/>
    <n v="3050.6"/>
    <s v="USD2022/kW"/>
  </r>
  <r>
    <x v="15"/>
    <x v="2"/>
    <x v="1"/>
    <x v="3"/>
    <n v="115"/>
    <s v="USD2022/kW-yr"/>
  </r>
  <r>
    <x v="15"/>
    <x v="2"/>
    <x v="1"/>
    <x v="4"/>
    <n v="1"/>
    <s v="fraction_LHV"/>
  </r>
  <r>
    <x v="15"/>
    <x v="2"/>
    <x v="1"/>
    <x v="6"/>
    <n v="0.44"/>
    <s v="fraction"/>
  </r>
  <r>
    <x v="15"/>
    <x v="2"/>
    <x v="1"/>
    <x v="5"/>
    <n v="0"/>
    <s v="USD2022/GJ"/>
  </r>
  <r>
    <x v="15"/>
    <x v="2"/>
    <x v="2"/>
    <x v="0"/>
    <n v="3160"/>
    <s v="USD2022/kW"/>
  </r>
  <r>
    <x v="15"/>
    <x v="2"/>
    <x v="2"/>
    <x v="1"/>
    <n v="3838.1"/>
    <s v="USD2022/kW"/>
  </r>
  <r>
    <x v="15"/>
    <x v="2"/>
    <x v="2"/>
    <x v="2"/>
    <n v="2620"/>
    <s v="USD2022/kW"/>
  </r>
  <r>
    <x v="15"/>
    <x v="2"/>
    <x v="2"/>
    <x v="3"/>
    <n v="95"/>
    <s v="USD2022/kW-yr"/>
  </r>
  <r>
    <x v="15"/>
    <x v="2"/>
    <x v="2"/>
    <x v="4"/>
    <n v="1"/>
    <s v="fraction_LHV"/>
  </r>
  <r>
    <x v="15"/>
    <x v="2"/>
    <x v="2"/>
    <x v="6"/>
    <n v="0.46"/>
    <s v="fraction"/>
  </r>
  <r>
    <x v="15"/>
    <x v="2"/>
    <x v="2"/>
    <x v="5"/>
    <n v="0"/>
    <s v="USD2022/GJ"/>
  </r>
  <r>
    <x v="15"/>
    <x v="3"/>
    <x v="0"/>
    <x v="0"/>
    <n v="4600"/>
    <s v="USD2022/kW"/>
  </r>
  <r>
    <x v="15"/>
    <x v="3"/>
    <x v="0"/>
    <x v="1"/>
    <n v="5585.8"/>
    <s v="USD2022/kW"/>
  </r>
  <r>
    <x v="15"/>
    <x v="3"/>
    <x v="0"/>
    <x v="2"/>
    <n v="4041.6"/>
    <s v="USD2022/kW"/>
  </r>
  <r>
    <x v="15"/>
    <x v="3"/>
    <x v="0"/>
    <x v="3"/>
    <n v="115"/>
    <s v="USD2022/kW-yr"/>
  </r>
  <r>
    <x v="15"/>
    <x v="3"/>
    <x v="0"/>
    <x v="4"/>
    <n v="1"/>
    <s v="fraction_LHV"/>
  </r>
  <r>
    <x v="15"/>
    <x v="3"/>
    <x v="0"/>
    <x v="6"/>
    <n v="0.39"/>
    <s v="fraction"/>
  </r>
  <r>
    <x v="15"/>
    <x v="3"/>
    <x v="0"/>
    <x v="5"/>
    <n v="0"/>
    <s v="USD2022/GJ"/>
  </r>
  <r>
    <x v="15"/>
    <x v="3"/>
    <x v="1"/>
    <x v="0"/>
    <n v="3120"/>
    <s v="USD2022/kW"/>
  </r>
  <r>
    <x v="15"/>
    <x v="3"/>
    <x v="1"/>
    <x v="1"/>
    <n v="4867.5"/>
    <s v="USD2022/kW"/>
  </r>
  <r>
    <x v="15"/>
    <x v="3"/>
    <x v="1"/>
    <x v="2"/>
    <n v="2277"/>
    <s v="USD2022/kW"/>
  </r>
  <r>
    <x v="15"/>
    <x v="3"/>
    <x v="1"/>
    <x v="3"/>
    <n v="85"/>
    <s v="USD2022/kW-yr"/>
  </r>
  <r>
    <x v="15"/>
    <x v="3"/>
    <x v="1"/>
    <x v="4"/>
    <n v="1"/>
    <s v="fraction_LHV"/>
  </r>
  <r>
    <x v="15"/>
    <x v="3"/>
    <x v="1"/>
    <x v="6"/>
    <n v="0.42"/>
    <s v="fraction"/>
  </r>
  <r>
    <x v="15"/>
    <x v="3"/>
    <x v="1"/>
    <x v="5"/>
    <n v="0"/>
    <s v="USD2022/GJ"/>
  </r>
  <r>
    <x v="15"/>
    <x v="3"/>
    <x v="2"/>
    <x v="0"/>
    <n v="2280"/>
    <s v="USD2022/kW"/>
  </r>
  <r>
    <x v="15"/>
    <x v="3"/>
    <x v="2"/>
    <x v="1"/>
    <n v="2769.3"/>
    <s v="USD2022/kW"/>
  </r>
  <r>
    <x v="15"/>
    <x v="3"/>
    <x v="2"/>
    <x v="2"/>
    <n v="1890.3"/>
    <s v="USD2022/kW"/>
  </r>
  <r>
    <x v="15"/>
    <x v="3"/>
    <x v="2"/>
    <x v="3"/>
    <n v="70"/>
    <s v="USD2022/kW-yr"/>
  </r>
  <r>
    <x v="15"/>
    <x v="3"/>
    <x v="2"/>
    <x v="4"/>
    <n v="1"/>
    <s v="fraction_LHV"/>
  </r>
  <r>
    <x v="15"/>
    <x v="3"/>
    <x v="2"/>
    <x v="6"/>
    <n v="0.44"/>
    <s v="fraction"/>
  </r>
  <r>
    <x v="15"/>
    <x v="3"/>
    <x v="2"/>
    <x v="5"/>
    <n v="0"/>
    <s v="USD2022/GJ"/>
  </r>
  <r>
    <x v="15"/>
    <x v="4"/>
    <x v="0"/>
    <x v="0"/>
    <n v="2820"/>
    <s v="USD2022/kW"/>
  </r>
  <r>
    <x v="15"/>
    <x v="4"/>
    <x v="0"/>
    <x v="1"/>
    <n v="3424.3"/>
    <s v="USD2022/kW"/>
  </r>
  <r>
    <x v="15"/>
    <x v="4"/>
    <x v="0"/>
    <x v="2"/>
    <n v="2477.6999999999998"/>
    <s v="USD2022/kW"/>
  </r>
  <r>
    <x v="15"/>
    <x v="4"/>
    <x v="0"/>
    <x v="3"/>
    <n v="70"/>
    <s v="USD2022/kW-yr"/>
  </r>
  <r>
    <x v="15"/>
    <x v="4"/>
    <x v="0"/>
    <x v="4"/>
    <n v="1"/>
    <s v="fraction_LHV"/>
  </r>
  <r>
    <x v="15"/>
    <x v="4"/>
    <x v="0"/>
    <x v="6"/>
    <n v="0.33"/>
    <s v="fraction"/>
  </r>
  <r>
    <x v="15"/>
    <x v="4"/>
    <x v="0"/>
    <x v="5"/>
    <n v="0"/>
    <s v="USD2022/GJ"/>
  </r>
  <r>
    <x v="15"/>
    <x v="4"/>
    <x v="1"/>
    <x v="0"/>
    <n v="1880"/>
    <s v="USD2022/kW"/>
  </r>
  <r>
    <x v="15"/>
    <x v="4"/>
    <x v="1"/>
    <x v="1"/>
    <n v="2933"/>
    <s v="USD2022/kW"/>
  </r>
  <r>
    <x v="15"/>
    <x v="4"/>
    <x v="1"/>
    <x v="2"/>
    <n v="1372"/>
    <s v="USD2022/kW"/>
  </r>
  <r>
    <x v="15"/>
    <x v="4"/>
    <x v="1"/>
    <x v="3"/>
    <n v="50"/>
    <s v="USD2022/kW-yr"/>
  </r>
  <r>
    <x v="15"/>
    <x v="4"/>
    <x v="1"/>
    <x v="4"/>
    <n v="1"/>
    <s v="fraction_LHV"/>
  </r>
  <r>
    <x v="15"/>
    <x v="4"/>
    <x v="1"/>
    <x v="6"/>
    <n v="0.39"/>
    <s v="fraction"/>
  </r>
  <r>
    <x v="15"/>
    <x v="4"/>
    <x v="1"/>
    <x v="5"/>
    <n v="0"/>
    <s v="USD2022/GJ"/>
  </r>
  <r>
    <x v="15"/>
    <x v="4"/>
    <x v="2"/>
    <x v="0"/>
    <n v="1420"/>
    <s v="USD2022/kW"/>
  </r>
  <r>
    <x v="15"/>
    <x v="4"/>
    <x v="2"/>
    <x v="1"/>
    <n v="1724.7"/>
    <s v="USD2022/kW"/>
  </r>
  <r>
    <x v="15"/>
    <x v="4"/>
    <x v="2"/>
    <x v="2"/>
    <n v="1177.3"/>
    <s v="USD2022/kW"/>
  </r>
  <r>
    <x v="15"/>
    <x v="4"/>
    <x v="2"/>
    <x v="3"/>
    <n v="45"/>
    <s v="USD2022/kW-yr"/>
  </r>
  <r>
    <x v="15"/>
    <x v="4"/>
    <x v="2"/>
    <x v="4"/>
    <n v="1"/>
    <s v="fraction_LHV"/>
  </r>
  <r>
    <x v="15"/>
    <x v="4"/>
    <x v="2"/>
    <x v="6"/>
    <n v="0.43"/>
    <s v="fraction"/>
  </r>
  <r>
    <x v="15"/>
    <x v="4"/>
    <x v="2"/>
    <x v="5"/>
    <n v="0"/>
    <s v="USD2022/GJ"/>
  </r>
  <r>
    <x v="15"/>
    <x v="5"/>
    <x v="0"/>
    <x v="0"/>
    <n v="3060"/>
    <s v="USD2022/kW"/>
  </r>
  <r>
    <x v="15"/>
    <x v="5"/>
    <x v="0"/>
    <x v="1"/>
    <n v="3715.8"/>
    <s v="USD2022/kW"/>
  </r>
  <r>
    <x v="15"/>
    <x v="5"/>
    <x v="0"/>
    <x v="2"/>
    <n v="2688.5"/>
    <s v="USD2022/kW"/>
  </r>
  <r>
    <x v="15"/>
    <x v="5"/>
    <x v="0"/>
    <x v="3"/>
    <n v="75"/>
    <s v="USD2022/kW-yr"/>
  </r>
  <r>
    <x v="15"/>
    <x v="5"/>
    <x v="0"/>
    <x v="4"/>
    <n v="1"/>
    <s v="fraction_LHV"/>
  </r>
  <r>
    <x v="15"/>
    <x v="5"/>
    <x v="0"/>
    <x v="6"/>
    <n v="0.33"/>
    <s v="fraction"/>
  </r>
  <r>
    <x v="15"/>
    <x v="5"/>
    <x v="0"/>
    <x v="5"/>
    <n v="0"/>
    <s v="USD2022/GJ"/>
  </r>
  <r>
    <x v="15"/>
    <x v="5"/>
    <x v="1"/>
    <x v="0"/>
    <n v="2060"/>
    <s v="USD2022/kW"/>
  </r>
  <r>
    <x v="15"/>
    <x v="5"/>
    <x v="1"/>
    <x v="1"/>
    <n v="3213.8"/>
    <s v="USD2022/kW"/>
  </r>
  <r>
    <x v="15"/>
    <x v="5"/>
    <x v="1"/>
    <x v="2"/>
    <n v="1503.4"/>
    <s v="USD2022/kW"/>
  </r>
  <r>
    <x v="15"/>
    <x v="5"/>
    <x v="1"/>
    <x v="3"/>
    <n v="55"/>
    <s v="USD2022/kW-yr"/>
  </r>
  <r>
    <x v="15"/>
    <x v="5"/>
    <x v="1"/>
    <x v="4"/>
    <n v="1"/>
    <s v="fraction_LHV"/>
  </r>
  <r>
    <x v="15"/>
    <x v="5"/>
    <x v="1"/>
    <x v="6"/>
    <n v="0.37"/>
    <s v="fraction"/>
  </r>
  <r>
    <x v="15"/>
    <x v="5"/>
    <x v="1"/>
    <x v="5"/>
    <n v="0"/>
    <s v="USD2022/GJ"/>
  </r>
  <r>
    <x v="15"/>
    <x v="5"/>
    <x v="2"/>
    <x v="0"/>
    <n v="1500"/>
    <s v="USD2022/kW"/>
  </r>
  <r>
    <x v="15"/>
    <x v="5"/>
    <x v="2"/>
    <x v="1"/>
    <n v="1821.9"/>
    <s v="USD2022/kW"/>
  </r>
  <r>
    <x v="15"/>
    <x v="5"/>
    <x v="2"/>
    <x v="2"/>
    <n v="1243.5999999999999"/>
    <s v="USD2022/kW"/>
  </r>
  <r>
    <x v="15"/>
    <x v="5"/>
    <x v="2"/>
    <x v="3"/>
    <n v="45"/>
    <s v="USD2022/kW-yr"/>
  </r>
  <r>
    <x v="15"/>
    <x v="5"/>
    <x v="2"/>
    <x v="4"/>
    <n v="1"/>
    <s v="fraction_LHV"/>
  </r>
  <r>
    <x v="15"/>
    <x v="5"/>
    <x v="2"/>
    <x v="6"/>
    <n v="0.39"/>
    <s v="fraction"/>
  </r>
  <r>
    <x v="15"/>
    <x v="5"/>
    <x v="2"/>
    <x v="5"/>
    <n v="0"/>
    <s v="USD2022/GJ"/>
  </r>
  <r>
    <x v="15"/>
    <x v="6"/>
    <x v="0"/>
    <x v="0"/>
    <n v="4400"/>
    <s v="USD2022/kW"/>
  </r>
  <r>
    <x v="15"/>
    <x v="6"/>
    <x v="0"/>
    <x v="1"/>
    <n v="5342.9"/>
    <s v="USD2022/kW"/>
  </r>
  <r>
    <x v="15"/>
    <x v="6"/>
    <x v="0"/>
    <x v="2"/>
    <n v="3865.8"/>
    <s v="USD2022/kW"/>
  </r>
  <r>
    <x v="15"/>
    <x v="6"/>
    <x v="0"/>
    <x v="3"/>
    <n v="110"/>
    <s v="USD2022/kW-yr"/>
  </r>
  <r>
    <x v="15"/>
    <x v="6"/>
    <x v="0"/>
    <x v="4"/>
    <n v="1"/>
    <s v="fraction_LHV"/>
  </r>
  <r>
    <x v="15"/>
    <x v="6"/>
    <x v="0"/>
    <x v="6"/>
    <n v="0.34"/>
    <s v="fraction"/>
  </r>
  <r>
    <x v="15"/>
    <x v="6"/>
    <x v="0"/>
    <x v="5"/>
    <n v="0"/>
    <s v="USD2022/GJ"/>
  </r>
  <r>
    <x v="15"/>
    <x v="6"/>
    <x v="1"/>
    <x v="0"/>
    <n v="3000"/>
    <s v="USD2022/kW"/>
  </r>
  <r>
    <x v="15"/>
    <x v="6"/>
    <x v="1"/>
    <x v="1"/>
    <n v="4680.3"/>
    <s v="USD2022/kW"/>
  </r>
  <r>
    <x v="15"/>
    <x v="6"/>
    <x v="1"/>
    <x v="2"/>
    <n v="2189.4"/>
    <s v="USD2022/kW"/>
  </r>
  <r>
    <x v="15"/>
    <x v="6"/>
    <x v="1"/>
    <x v="3"/>
    <n v="80"/>
    <s v="USD2022/kW-yr"/>
  </r>
  <r>
    <x v="15"/>
    <x v="6"/>
    <x v="1"/>
    <x v="4"/>
    <n v="1"/>
    <s v="fraction_LHV"/>
  </r>
  <r>
    <x v="15"/>
    <x v="6"/>
    <x v="1"/>
    <x v="6"/>
    <n v="0.37"/>
    <s v="fraction"/>
  </r>
  <r>
    <x v="15"/>
    <x v="6"/>
    <x v="1"/>
    <x v="5"/>
    <n v="0"/>
    <s v="USD2022/GJ"/>
  </r>
  <r>
    <x v="15"/>
    <x v="6"/>
    <x v="2"/>
    <x v="0"/>
    <n v="2180"/>
    <s v="USD2022/kW"/>
  </r>
  <r>
    <x v="15"/>
    <x v="6"/>
    <x v="2"/>
    <x v="1"/>
    <n v="2647.8"/>
    <s v="USD2022/kW"/>
  </r>
  <r>
    <x v="15"/>
    <x v="6"/>
    <x v="2"/>
    <x v="2"/>
    <n v="1807.4"/>
    <s v="USD2022/kW"/>
  </r>
  <r>
    <x v="15"/>
    <x v="6"/>
    <x v="2"/>
    <x v="3"/>
    <n v="65"/>
    <s v="USD2022/kW-yr"/>
  </r>
  <r>
    <x v="15"/>
    <x v="6"/>
    <x v="2"/>
    <x v="4"/>
    <n v="1"/>
    <s v="fraction_LHV"/>
  </r>
  <r>
    <x v="15"/>
    <x v="6"/>
    <x v="2"/>
    <x v="6"/>
    <n v="0.39"/>
    <s v="fraction"/>
  </r>
  <r>
    <x v="15"/>
    <x v="6"/>
    <x v="2"/>
    <x v="5"/>
    <n v="0"/>
    <s v="USD2022/GJ"/>
  </r>
  <r>
    <x v="15"/>
    <x v="7"/>
    <x v="0"/>
    <x v="0"/>
    <n v="4260"/>
    <s v="USD2022/kW"/>
  </r>
  <r>
    <x v="15"/>
    <x v="7"/>
    <x v="0"/>
    <x v="1"/>
    <n v="5172.8999999999996"/>
    <s v="USD2022/kW"/>
  </r>
  <r>
    <x v="15"/>
    <x v="7"/>
    <x v="0"/>
    <x v="2"/>
    <n v="3742.8"/>
    <s v="USD2022/kW"/>
  </r>
  <r>
    <x v="15"/>
    <x v="7"/>
    <x v="0"/>
    <x v="3"/>
    <n v="105"/>
    <s v="USD2022/kW-yr"/>
  </r>
  <r>
    <x v="15"/>
    <x v="7"/>
    <x v="0"/>
    <x v="4"/>
    <n v="1"/>
    <s v="fraction_LHV"/>
  </r>
  <r>
    <x v="15"/>
    <x v="7"/>
    <x v="0"/>
    <x v="6"/>
    <n v="0.37"/>
    <s v="fraction"/>
  </r>
  <r>
    <x v="15"/>
    <x v="7"/>
    <x v="0"/>
    <x v="5"/>
    <n v="0"/>
    <s v="USD2022/GJ"/>
  </r>
  <r>
    <x v="15"/>
    <x v="7"/>
    <x v="1"/>
    <x v="0"/>
    <n v="2880"/>
    <s v="USD2022/kW"/>
  </r>
  <r>
    <x v="15"/>
    <x v="7"/>
    <x v="1"/>
    <x v="1"/>
    <n v="4493.1000000000004"/>
    <s v="USD2022/kW"/>
  </r>
  <r>
    <x v="15"/>
    <x v="7"/>
    <x v="1"/>
    <x v="2"/>
    <n v="2101.8000000000002"/>
    <s v="USD2022/kW"/>
  </r>
  <r>
    <x v="15"/>
    <x v="7"/>
    <x v="1"/>
    <x v="3"/>
    <n v="80"/>
    <s v="USD2022/kW-yr"/>
  </r>
  <r>
    <x v="15"/>
    <x v="7"/>
    <x v="1"/>
    <x v="4"/>
    <n v="1"/>
    <s v="fraction_LHV"/>
  </r>
  <r>
    <x v="15"/>
    <x v="7"/>
    <x v="1"/>
    <x v="6"/>
    <n v="0.4"/>
    <s v="fraction"/>
  </r>
  <r>
    <x v="15"/>
    <x v="7"/>
    <x v="1"/>
    <x v="5"/>
    <n v="0"/>
    <s v="USD2022/GJ"/>
  </r>
  <r>
    <x v="15"/>
    <x v="7"/>
    <x v="2"/>
    <x v="0"/>
    <n v="2080"/>
    <s v="USD2022/kW"/>
  </r>
  <r>
    <x v="15"/>
    <x v="7"/>
    <x v="2"/>
    <x v="1"/>
    <n v="2526.4"/>
    <s v="USD2022/kW"/>
  </r>
  <r>
    <x v="15"/>
    <x v="7"/>
    <x v="2"/>
    <x v="2"/>
    <n v="1724.5"/>
    <s v="USD2022/kW"/>
  </r>
  <r>
    <x v="15"/>
    <x v="7"/>
    <x v="2"/>
    <x v="3"/>
    <n v="65"/>
    <s v="USD2022/kW-yr"/>
  </r>
  <r>
    <x v="15"/>
    <x v="7"/>
    <x v="2"/>
    <x v="4"/>
    <n v="1"/>
    <s v="fraction_LHV"/>
  </r>
  <r>
    <x v="15"/>
    <x v="7"/>
    <x v="2"/>
    <x v="6"/>
    <n v="0.43"/>
    <s v="fraction"/>
  </r>
  <r>
    <x v="15"/>
    <x v="7"/>
    <x v="2"/>
    <x v="5"/>
    <n v="0"/>
    <s v="USD2022/GJ"/>
  </r>
  <r>
    <x v="15"/>
    <x v="8"/>
    <x v="0"/>
    <x v="0"/>
    <n v="4440"/>
    <s v="USD2022/kW"/>
  </r>
  <r>
    <x v="15"/>
    <x v="8"/>
    <x v="0"/>
    <x v="1"/>
    <n v="5391.5"/>
    <s v="USD2022/kW"/>
  </r>
  <r>
    <x v="15"/>
    <x v="8"/>
    <x v="0"/>
    <x v="2"/>
    <n v="3901"/>
    <s v="USD2022/kW"/>
  </r>
  <r>
    <x v="15"/>
    <x v="8"/>
    <x v="0"/>
    <x v="3"/>
    <n v="110"/>
    <s v="USD2022/kW-yr"/>
  </r>
  <r>
    <x v="15"/>
    <x v="8"/>
    <x v="0"/>
    <x v="4"/>
    <n v="1"/>
    <s v="fraction_LHV"/>
  </r>
  <r>
    <x v="15"/>
    <x v="8"/>
    <x v="0"/>
    <x v="6"/>
    <n v="0.48"/>
    <s v="fraction"/>
  </r>
  <r>
    <x v="15"/>
    <x v="8"/>
    <x v="0"/>
    <x v="5"/>
    <n v="0"/>
    <s v="USD2022/GJ"/>
  </r>
  <r>
    <x v="15"/>
    <x v="8"/>
    <x v="1"/>
    <x v="0"/>
    <n v="3000"/>
    <s v="USD2022/kW"/>
  </r>
  <r>
    <x v="15"/>
    <x v="8"/>
    <x v="1"/>
    <x v="1"/>
    <n v="4680.3"/>
    <s v="USD2022/kW"/>
  </r>
  <r>
    <x v="15"/>
    <x v="8"/>
    <x v="1"/>
    <x v="2"/>
    <n v="2189.4"/>
    <s v="USD2022/kW"/>
  </r>
  <r>
    <x v="15"/>
    <x v="8"/>
    <x v="1"/>
    <x v="3"/>
    <n v="80"/>
    <s v="USD2022/kW-yr"/>
  </r>
  <r>
    <x v="15"/>
    <x v="8"/>
    <x v="1"/>
    <x v="4"/>
    <n v="1"/>
    <s v="fraction_LHV"/>
  </r>
  <r>
    <x v="15"/>
    <x v="8"/>
    <x v="1"/>
    <x v="6"/>
    <n v="0.52"/>
    <s v="fraction"/>
  </r>
  <r>
    <x v="15"/>
    <x v="8"/>
    <x v="1"/>
    <x v="5"/>
    <n v="0"/>
    <s v="USD2022/GJ"/>
  </r>
  <r>
    <x v="15"/>
    <x v="8"/>
    <x v="2"/>
    <x v="0"/>
    <n v="2160"/>
    <s v="USD2022/kW"/>
  </r>
  <r>
    <x v="15"/>
    <x v="8"/>
    <x v="2"/>
    <x v="1"/>
    <n v="2623.5"/>
    <s v="USD2022/kW"/>
  </r>
  <r>
    <x v="15"/>
    <x v="8"/>
    <x v="2"/>
    <x v="2"/>
    <n v="1790.9"/>
    <s v="USD2022/kW"/>
  </r>
  <r>
    <x v="15"/>
    <x v="8"/>
    <x v="2"/>
    <x v="3"/>
    <n v="65"/>
    <s v="USD2022/kW-yr"/>
  </r>
  <r>
    <x v="15"/>
    <x v="8"/>
    <x v="2"/>
    <x v="4"/>
    <n v="1"/>
    <s v="fraction_LHV"/>
  </r>
  <r>
    <x v="15"/>
    <x v="8"/>
    <x v="2"/>
    <x v="6"/>
    <n v="0.55000000000000004"/>
    <s v="fraction"/>
  </r>
  <r>
    <x v="15"/>
    <x v="8"/>
    <x v="2"/>
    <x v="5"/>
    <n v="0"/>
    <s v="USD2022/GJ"/>
  </r>
  <r>
    <x v="16"/>
    <x v="0"/>
    <x v="0"/>
    <x v="0"/>
    <n v="2650"/>
    <s v="USD2022/kW"/>
  </r>
  <r>
    <x v="16"/>
    <x v="0"/>
    <x v="0"/>
    <x v="1"/>
    <n v="2650"/>
    <s v="USD2022/kW"/>
  </r>
  <r>
    <x v="16"/>
    <x v="0"/>
    <x v="0"/>
    <x v="2"/>
    <n v="2650"/>
    <s v="USD2022/kW"/>
  </r>
  <r>
    <x v="16"/>
    <x v="0"/>
    <x v="0"/>
    <x v="3"/>
    <n v="60"/>
    <s v="USD2022/kW-yr"/>
  </r>
  <r>
    <x v="16"/>
    <x v="0"/>
    <x v="0"/>
    <x v="4"/>
    <n v="1"/>
    <s v="fraction_LHV"/>
  </r>
  <r>
    <x v="16"/>
    <x v="0"/>
    <x v="0"/>
    <x v="6"/>
    <n v="0.4"/>
    <s v="fraction"/>
  </r>
  <r>
    <x v="16"/>
    <x v="0"/>
    <x v="0"/>
    <x v="5"/>
    <n v="0"/>
    <s v="USD2022/GJ"/>
  </r>
  <r>
    <x v="16"/>
    <x v="0"/>
    <x v="1"/>
    <x v="0"/>
    <n v="2650"/>
    <s v="USD2022/kW"/>
  </r>
  <r>
    <x v="16"/>
    <x v="0"/>
    <x v="1"/>
    <x v="1"/>
    <n v="3260.8"/>
    <s v="USD2022/kW"/>
  </r>
  <r>
    <x v="16"/>
    <x v="0"/>
    <x v="1"/>
    <x v="2"/>
    <n v="1936.9"/>
    <s v="USD2022/kW"/>
  </r>
  <r>
    <x v="16"/>
    <x v="0"/>
    <x v="1"/>
    <x v="3"/>
    <n v="60"/>
    <s v="USD2022/kW-yr"/>
  </r>
  <r>
    <x v="16"/>
    <x v="0"/>
    <x v="1"/>
    <x v="4"/>
    <n v="1"/>
    <s v="fraction_LHV"/>
  </r>
  <r>
    <x v="16"/>
    <x v="0"/>
    <x v="1"/>
    <x v="6"/>
    <n v="0.4"/>
    <s v="fraction"/>
  </r>
  <r>
    <x v="16"/>
    <x v="0"/>
    <x v="1"/>
    <x v="5"/>
    <n v="0"/>
    <s v="USD2022/GJ"/>
  </r>
  <r>
    <x v="16"/>
    <x v="0"/>
    <x v="2"/>
    <x v="0"/>
    <n v="2650"/>
    <s v="USD2022/kW"/>
  </r>
  <r>
    <x v="16"/>
    <x v="0"/>
    <x v="2"/>
    <x v="1"/>
    <n v="4414.1000000000004"/>
    <s v="USD2022/kW"/>
  </r>
  <r>
    <x v="16"/>
    <x v="0"/>
    <x v="2"/>
    <x v="2"/>
    <n v="2384.6999999999998"/>
    <s v="USD2022/kW"/>
  </r>
  <r>
    <x v="16"/>
    <x v="0"/>
    <x v="2"/>
    <x v="3"/>
    <n v="60"/>
    <s v="USD2022/kW-yr"/>
  </r>
  <r>
    <x v="16"/>
    <x v="0"/>
    <x v="2"/>
    <x v="4"/>
    <n v="1"/>
    <s v="fraction_LHV"/>
  </r>
  <r>
    <x v="16"/>
    <x v="0"/>
    <x v="2"/>
    <x v="6"/>
    <n v="0.4"/>
    <s v="fraction"/>
  </r>
  <r>
    <x v="16"/>
    <x v="0"/>
    <x v="2"/>
    <x v="5"/>
    <n v="0"/>
    <s v="USD2022/GJ"/>
  </r>
  <r>
    <x v="16"/>
    <x v="1"/>
    <x v="0"/>
    <x v="0"/>
    <n v="2700"/>
    <s v="USD2022/kW"/>
  </r>
  <r>
    <x v="16"/>
    <x v="1"/>
    <x v="0"/>
    <x v="1"/>
    <n v="2700"/>
    <s v="USD2022/kW"/>
  </r>
  <r>
    <x v="16"/>
    <x v="1"/>
    <x v="0"/>
    <x v="2"/>
    <n v="2700"/>
    <s v="USD2022/kW"/>
  </r>
  <r>
    <x v="16"/>
    <x v="1"/>
    <x v="0"/>
    <x v="3"/>
    <n v="65"/>
    <s v="USD2022/kW-yr"/>
  </r>
  <r>
    <x v="16"/>
    <x v="1"/>
    <x v="0"/>
    <x v="4"/>
    <n v="1"/>
    <s v="fraction_LHV"/>
  </r>
  <r>
    <x v="16"/>
    <x v="1"/>
    <x v="0"/>
    <x v="6"/>
    <n v="0.4"/>
    <s v="fraction"/>
  </r>
  <r>
    <x v="16"/>
    <x v="1"/>
    <x v="0"/>
    <x v="5"/>
    <n v="0"/>
    <s v="USD2022/GJ"/>
  </r>
  <r>
    <x v="16"/>
    <x v="1"/>
    <x v="1"/>
    <x v="0"/>
    <n v="2700"/>
    <s v="USD2022/kW"/>
  </r>
  <r>
    <x v="16"/>
    <x v="1"/>
    <x v="1"/>
    <x v="1"/>
    <n v="3322.4"/>
    <s v="USD2022/kW"/>
  </r>
  <r>
    <x v="16"/>
    <x v="1"/>
    <x v="1"/>
    <x v="2"/>
    <n v="1973.4"/>
    <s v="USD2022/kW"/>
  </r>
  <r>
    <x v="16"/>
    <x v="1"/>
    <x v="1"/>
    <x v="3"/>
    <n v="65"/>
    <s v="USD2022/kW-yr"/>
  </r>
  <r>
    <x v="16"/>
    <x v="1"/>
    <x v="1"/>
    <x v="4"/>
    <n v="1"/>
    <s v="fraction_LHV"/>
  </r>
  <r>
    <x v="16"/>
    <x v="1"/>
    <x v="1"/>
    <x v="6"/>
    <n v="0.4"/>
    <s v="fraction"/>
  </r>
  <r>
    <x v="16"/>
    <x v="1"/>
    <x v="1"/>
    <x v="5"/>
    <n v="0"/>
    <s v="USD2022/GJ"/>
  </r>
  <r>
    <x v="16"/>
    <x v="1"/>
    <x v="2"/>
    <x v="0"/>
    <n v="2700"/>
    <s v="USD2022/kW"/>
  </r>
  <r>
    <x v="16"/>
    <x v="1"/>
    <x v="2"/>
    <x v="1"/>
    <n v="4497.3999999999996"/>
    <s v="USD2022/kW"/>
  </r>
  <r>
    <x v="16"/>
    <x v="1"/>
    <x v="2"/>
    <x v="2"/>
    <n v="2429.6999999999998"/>
    <s v="USD2022/kW"/>
  </r>
  <r>
    <x v="16"/>
    <x v="1"/>
    <x v="2"/>
    <x v="3"/>
    <n v="65"/>
    <s v="USD2022/kW-yr"/>
  </r>
  <r>
    <x v="16"/>
    <x v="1"/>
    <x v="2"/>
    <x v="4"/>
    <n v="1"/>
    <s v="fraction_LHV"/>
  </r>
  <r>
    <x v="16"/>
    <x v="1"/>
    <x v="2"/>
    <x v="6"/>
    <n v="0.4"/>
    <s v="fraction"/>
  </r>
  <r>
    <x v="16"/>
    <x v="1"/>
    <x v="2"/>
    <x v="5"/>
    <n v="0"/>
    <s v="USD2022/GJ"/>
  </r>
  <r>
    <x v="16"/>
    <x v="2"/>
    <x v="0"/>
    <x v="0"/>
    <n v="2400"/>
    <s v="USD2022/kW"/>
  </r>
  <r>
    <x v="16"/>
    <x v="2"/>
    <x v="0"/>
    <x v="1"/>
    <n v="2400"/>
    <s v="USD2022/kW"/>
  </r>
  <r>
    <x v="16"/>
    <x v="2"/>
    <x v="0"/>
    <x v="2"/>
    <n v="2400"/>
    <s v="USD2022/kW"/>
  </r>
  <r>
    <x v="16"/>
    <x v="2"/>
    <x v="0"/>
    <x v="3"/>
    <n v="60"/>
    <s v="USD2022/kW-yr"/>
  </r>
  <r>
    <x v="16"/>
    <x v="2"/>
    <x v="0"/>
    <x v="4"/>
    <n v="1"/>
    <s v="fraction_LHV"/>
  </r>
  <r>
    <x v="16"/>
    <x v="2"/>
    <x v="0"/>
    <x v="6"/>
    <n v="0.5"/>
    <s v="fraction"/>
  </r>
  <r>
    <x v="16"/>
    <x v="2"/>
    <x v="0"/>
    <x v="5"/>
    <n v="0"/>
    <s v="USD2022/GJ"/>
  </r>
  <r>
    <x v="16"/>
    <x v="2"/>
    <x v="1"/>
    <x v="0"/>
    <n v="2400"/>
    <s v="USD2022/kW"/>
  </r>
  <r>
    <x v="16"/>
    <x v="2"/>
    <x v="1"/>
    <x v="1"/>
    <n v="2953.2"/>
    <s v="USD2022/kW"/>
  </r>
  <r>
    <x v="16"/>
    <x v="2"/>
    <x v="1"/>
    <x v="2"/>
    <n v="1754.2"/>
    <s v="USD2022/kW"/>
  </r>
  <r>
    <x v="16"/>
    <x v="2"/>
    <x v="1"/>
    <x v="3"/>
    <n v="60"/>
    <s v="USD2022/kW-yr"/>
  </r>
  <r>
    <x v="16"/>
    <x v="2"/>
    <x v="1"/>
    <x v="4"/>
    <n v="1"/>
    <s v="fraction_LHV"/>
  </r>
  <r>
    <x v="16"/>
    <x v="2"/>
    <x v="1"/>
    <x v="6"/>
    <n v="0.5"/>
    <s v="fraction"/>
  </r>
  <r>
    <x v="16"/>
    <x v="2"/>
    <x v="1"/>
    <x v="5"/>
    <n v="0"/>
    <s v="USD2022/GJ"/>
  </r>
  <r>
    <x v="16"/>
    <x v="2"/>
    <x v="2"/>
    <x v="0"/>
    <n v="2400"/>
    <s v="USD2022/kW"/>
  </r>
  <r>
    <x v="16"/>
    <x v="2"/>
    <x v="2"/>
    <x v="1"/>
    <n v="3997.7"/>
    <s v="USD2022/kW"/>
  </r>
  <r>
    <x v="16"/>
    <x v="2"/>
    <x v="2"/>
    <x v="2"/>
    <n v="2159.8000000000002"/>
    <s v="USD2022/kW"/>
  </r>
  <r>
    <x v="16"/>
    <x v="2"/>
    <x v="2"/>
    <x v="3"/>
    <n v="60"/>
    <s v="USD2022/kW-yr"/>
  </r>
  <r>
    <x v="16"/>
    <x v="2"/>
    <x v="2"/>
    <x v="4"/>
    <n v="1"/>
    <s v="fraction_LHV"/>
  </r>
  <r>
    <x v="16"/>
    <x v="2"/>
    <x v="2"/>
    <x v="6"/>
    <n v="0.5"/>
    <s v="fraction"/>
  </r>
  <r>
    <x v="16"/>
    <x v="2"/>
    <x v="2"/>
    <x v="5"/>
    <n v="0"/>
    <s v="USD2022/GJ"/>
  </r>
  <r>
    <x v="16"/>
    <x v="3"/>
    <x v="0"/>
    <x v="0"/>
    <n v="2050"/>
    <s v="USD2022/kW"/>
  </r>
  <r>
    <x v="16"/>
    <x v="3"/>
    <x v="0"/>
    <x v="1"/>
    <n v="2050"/>
    <s v="USD2022/kW"/>
  </r>
  <r>
    <x v="16"/>
    <x v="3"/>
    <x v="0"/>
    <x v="2"/>
    <n v="2050"/>
    <s v="USD2022/kW"/>
  </r>
  <r>
    <x v="16"/>
    <x v="3"/>
    <x v="0"/>
    <x v="3"/>
    <n v="50"/>
    <s v="USD2022/kW-yr"/>
  </r>
  <r>
    <x v="16"/>
    <x v="3"/>
    <x v="0"/>
    <x v="4"/>
    <n v="1"/>
    <s v="fraction_LHV"/>
  </r>
  <r>
    <x v="16"/>
    <x v="3"/>
    <x v="0"/>
    <x v="6"/>
    <n v="0.4"/>
    <s v="fraction"/>
  </r>
  <r>
    <x v="16"/>
    <x v="3"/>
    <x v="0"/>
    <x v="5"/>
    <n v="0"/>
    <s v="USD2022/GJ"/>
  </r>
  <r>
    <x v="16"/>
    <x v="3"/>
    <x v="1"/>
    <x v="0"/>
    <n v="2050"/>
    <s v="USD2022/kW"/>
  </r>
  <r>
    <x v="16"/>
    <x v="3"/>
    <x v="1"/>
    <x v="1"/>
    <n v="2522.5"/>
    <s v="USD2022/kW"/>
  </r>
  <r>
    <x v="16"/>
    <x v="3"/>
    <x v="1"/>
    <x v="2"/>
    <n v="1498.3"/>
    <s v="USD2022/kW"/>
  </r>
  <r>
    <x v="16"/>
    <x v="3"/>
    <x v="1"/>
    <x v="3"/>
    <n v="50"/>
    <s v="USD2022/kW-yr"/>
  </r>
  <r>
    <x v="16"/>
    <x v="3"/>
    <x v="1"/>
    <x v="4"/>
    <n v="1"/>
    <s v="fraction_LHV"/>
  </r>
  <r>
    <x v="16"/>
    <x v="3"/>
    <x v="1"/>
    <x v="6"/>
    <n v="0.4"/>
    <s v="fraction"/>
  </r>
  <r>
    <x v="16"/>
    <x v="3"/>
    <x v="1"/>
    <x v="5"/>
    <n v="0"/>
    <s v="USD2022/GJ"/>
  </r>
  <r>
    <x v="16"/>
    <x v="3"/>
    <x v="2"/>
    <x v="0"/>
    <n v="2050"/>
    <s v="USD2022/kW"/>
  </r>
  <r>
    <x v="16"/>
    <x v="3"/>
    <x v="2"/>
    <x v="1"/>
    <n v="3414.7"/>
    <s v="USD2022/kW"/>
  </r>
  <r>
    <x v="16"/>
    <x v="3"/>
    <x v="2"/>
    <x v="2"/>
    <n v="1844.8"/>
    <s v="USD2022/kW"/>
  </r>
  <r>
    <x v="16"/>
    <x v="3"/>
    <x v="2"/>
    <x v="3"/>
    <n v="50"/>
    <s v="USD2022/kW-yr"/>
  </r>
  <r>
    <x v="16"/>
    <x v="3"/>
    <x v="2"/>
    <x v="4"/>
    <n v="1"/>
    <s v="fraction_LHV"/>
  </r>
  <r>
    <x v="16"/>
    <x v="3"/>
    <x v="2"/>
    <x v="6"/>
    <n v="0.4"/>
    <s v="fraction"/>
  </r>
  <r>
    <x v="16"/>
    <x v="3"/>
    <x v="2"/>
    <x v="5"/>
    <n v="0"/>
    <s v="USD2022/GJ"/>
  </r>
  <r>
    <x v="16"/>
    <x v="4"/>
    <x v="0"/>
    <x v="0"/>
    <n v="1600"/>
    <s v="USD2022/kW"/>
  </r>
  <r>
    <x v="16"/>
    <x v="4"/>
    <x v="0"/>
    <x v="1"/>
    <n v="1600"/>
    <s v="USD2022/kW"/>
  </r>
  <r>
    <x v="16"/>
    <x v="4"/>
    <x v="0"/>
    <x v="2"/>
    <n v="1600"/>
    <s v="USD2022/kW"/>
  </r>
  <r>
    <x v="16"/>
    <x v="4"/>
    <x v="0"/>
    <x v="3"/>
    <n v="40"/>
    <s v="USD2022/kW-yr"/>
  </r>
  <r>
    <x v="16"/>
    <x v="4"/>
    <x v="0"/>
    <x v="4"/>
    <n v="1"/>
    <s v="fraction_LHV"/>
  </r>
  <r>
    <x v="16"/>
    <x v="4"/>
    <x v="0"/>
    <x v="6"/>
    <n v="0.35"/>
    <s v="fraction"/>
  </r>
  <r>
    <x v="16"/>
    <x v="4"/>
    <x v="0"/>
    <x v="5"/>
    <n v="0"/>
    <s v="USD2022/GJ"/>
  </r>
  <r>
    <x v="16"/>
    <x v="4"/>
    <x v="1"/>
    <x v="0"/>
    <n v="1600"/>
    <s v="USD2022/kW"/>
  </r>
  <r>
    <x v="16"/>
    <x v="4"/>
    <x v="1"/>
    <x v="1"/>
    <n v="1968.8"/>
    <s v="USD2022/kW"/>
  </r>
  <r>
    <x v="16"/>
    <x v="4"/>
    <x v="1"/>
    <x v="2"/>
    <n v="1169.4000000000001"/>
    <s v="USD2022/kW"/>
  </r>
  <r>
    <x v="16"/>
    <x v="4"/>
    <x v="1"/>
    <x v="3"/>
    <n v="40"/>
    <s v="USD2022/kW-yr"/>
  </r>
  <r>
    <x v="16"/>
    <x v="4"/>
    <x v="1"/>
    <x v="4"/>
    <n v="1"/>
    <s v="fraction_LHV"/>
  </r>
  <r>
    <x v="16"/>
    <x v="4"/>
    <x v="1"/>
    <x v="6"/>
    <n v="0.35"/>
    <s v="fraction"/>
  </r>
  <r>
    <x v="16"/>
    <x v="4"/>
    <x v="1"/>
    <x v="5"/>
    <n v="0"/>
    <s v="USD2022/GJ"/>
  </r>
  <r>
    <x v="16"/>
    <x v="4"/>
    <x v="2"/>
    <x v="0"/>
    <n v="1600"/>
    <s v="USD2022/kW"/>
  </r>
  <r>
    <x v="16"/>
    <x v="4"/>
    <x v="2"/>
    <x v="1"/>
    <n v="2665.1"/>
    <s v="USD2022/kW"/>
  </r>
  <r>
    <x v="16"/>
    <x v="4"/>
    <x v="2"/>
    <x v="2"/>
    <n v="1439.8"/>
    <s v="USD2022/kW"/>
  </r>
  <r>
    <x v="16"/>
    <x v="4"/>
    <x v="2"/>
    <x v="3"/>
    <n v="40"/>
    <s v="USD2022/kW-yr"/>
  </r>
  <r>
    <x v="16"/>
    <x v="4"/>
    <x v="2"/>
    <x v="4"/>
    <n v="1"/>
    <s v="fraction_LHV"/>
  </r>
  <r>
    <x v="16"/>
    <x v="4"/>
    <x v="2"/>
    <x v="6"/>
    <n v="0.35"/>
    <s v="fraction"/>
  </r>
  <r>
    <x v="16"/>
    <x v="4"/>
    <x v="2"/>
    <x v="5"/>
    <n v="0"/>
    <s v="USD2022/GJ"/>
  </r>
  <r>
    <x v="16"/>
    <x v="5"/>
    <x v="0"/>
    <x v="0"/>
    <n v="2000"/>
    <s v="USD2022/kW"/>
  </r>
  <r>
    <x v="16"/>
    <x v="5"/>
    <x v="0"/>
    <x v="1"/>
    <n v="2000"/>
    <s v="USD2022/kW"/>
  </r>
  <r>
    <x v="16"/>
    <x v="5"/>
    <x v="0"/>
    <x v="2"/>
    <n v="2000"/>
    <s v="USD2022/kW"/>
  </r>
  <r>
    <x v="16"/>
    <x v="5"/>
    <x v="0"/>
    <x v="3"/>
    <n v="50"/>
    <s v="USD2022/kW-yr"/>
  </r>
  <r>
    <x v="16"/>
    <x v="5"/>
    <x v="0"/>
    <x v="4"/>
    <n v="1"/>
    <s v="fraction_LHV"/>
  </r>
  <r>
    <x v="16"/>
    <x v="5"/>
    <x v="0"/>
    <x v="6"/>
    <n v="0.4"/>
    <s v="fraction"/>
  </r>
  <r>
    <x v="16"/>
    <x v="5"/>
    <x v="0"/>
    <x v="5"/>
    <n v="0"/>
    <s v="USD2022/GJ"/>
  </r>
  <r>
    <x v="16"/>
    <x v="5"/>
    <x v="1"/>
    <x v="0"/>
    <n v="2000"/>
    <s v="USD2022/kW"/>
  </r>
  <r>
    <x v="16"/>
    <x v="5"/>
    <x v="1"/>
    <x v="1"/>
    <n v="2461"/>
    <s v="USD2022/kW"/>
  </r>
  <r>
    <x v="16"/>
    <x v="5"/>
    <x v="1"/>
    <x v="2"/>
    <n v="1461.8"/>
    <s v="USD2022/kW"/>
  </r>
  <r>
    <x v="16"/>
    <x v="5"/>
    <x v="1"/>
    <x v="3"/>
    <n v="50"/>
    <s v="USD2022/kW-yr"/>
  </r>
  <r>
    <x v="16"/>
    <x v="5"/>
    <x v="1"/>
    <x v="4"/>
    <n v="1"/>
    <s v="fraction_LHV"/>
  </r>
  <r>
    <x v="16"/>
    <x v="5"/>
    <x v="1"/>
    <x v="6"/>
    <n v="0.4"/>
    <s v="fraction"/>
  </r>
  <r>
    <x v="16"/>
    <x v="5"/>
    <x v="1"/>
    <x v="5"/>
    <n v="0"/>
    <s v="USD2022/GJ"/>
  </r>
  <r>
    <x v="16"/>
    <x v="5"/>
    <x v="2"/>
    <x v="0"/>
    <n v="2000"/>
    <s v="USD2022/kW"/>
  </r>
  <r>
    <x v="16"/>
    <x v="5"/>
    <x v="2"/>
    <x v="1"/>
    <n v="3331.4"/>
    <s v="USD2022/kW"/>
  </r>
  <r>
    <x v="16"/>
    <x v="5"/>
    <x v="2"/>
    <x v="2"/>
    <n v="1799.8"/>
    <s v="USD2022/kW"/>
  </r>
  <r>
    <x v="16"/>
    <x v="5"/>
    <x v="2"/>
    <x v="3"/>
    <n v="50"/>
    <s v="USD2022/kW-yr"/>
  </r>
  <r>
    <x v="16"/>
    <x v="5"/>
    <x v="2"/>
    <x v="4"/>
    <n v="1"/>
    <s v="fraction_LHV"/>
  </r>
  <r>
    <x v="16"/>
    <x v="5"/>
    <x v="2"/>
    <x v="6"/>
    <n v="0.4"/>
    <s v="fraction"/>
  </r>
  <r>
    <x v="16"/>
    <x v="5"/>
    <x v="2"/>
    <x v="5"/>
    <n v="0"/>
    <s v="USD2022/GJ"/>
  </r>
  <r>
    <x v="16"/>
    <x v="6"/>
    <x v="0"/>
    <x v="0"/>
    <n v="2150"/>
    <s v="USD2022/kW"/>
  </r>
  <r>
    <x v="16"/>
    <x v="6"/>
    <x v="0"/>
    <x v="1"/>
    <n v="2150"/>
    <s v="USD2022/kW"/>
  </r>
  <r>
    <x v="16"/>
    <x v="6"/>
    <x v="0"/>
    <x v="2"/>
    <n v="2150"/>
    <s v="USD2022/kW"/>
  </r>
  <r>
    <x v="16"/>
    <x v="6"/>
    <x v="0"/>
    <x v="3"/>
    <n v="55"/>
    <s v="USD2022/kW-yr"/>
  </r>
  <r>
    <x v="16"/>
    <x v="6"/>
    <x v="0"/>
    <x v="4"/>
    <n v="1"/>
    <s v="fraction_LHV"/>
  </r>
  <r>
    <x v="16"/>
    <x v="6"/>
    <x v="0"/>
    <x v="6"/>
    <n v="0.2"/>
    <s v="fraction"/>
  </r>
  <r>
    <x v="16"/>
    <x v="6"/>
    <x v="0"/>
    <x v="5"/>
    <n v="0"/>
    <s v="USD2022/GJ"/>
  </r>
  <r>
    <x v="16"/>
    <x v="6"/>
    <x v="1"/>
    <x v="0"/>
    <n v="2150"/>
    <s v="USD2022/kW"/>
  </r>
  <r>
    <x v="16"/>
    <x v="6"/>
    <x v="1"/>
    <x v="1"/>
    <n v="2645.6"/>
    <s v="USD2022/kW"/>
  </r>
  <r>
    <x v="16"/>
    <x v="6"/>
    <x v="1"/>
    <x v="2"/>
    <n v="1571.4"/>
    <s v="USD2022/kW"/>
  </r>
  <r>
    <x v="16"/>
    <x v="6"/>
    <x v="1"/>
    <x v="3"/>
    <n v="55"/>
    <s v="USD2022/kW-yr"/>
  </r>
  <r>
    <x v="16"/>
    <x v="6"/>
    <x v="1"/>
    <x v="4"/>
    <n v="1"/>
    <s v="fraction_LHV"/>
  </r>
  <r>
    <x v="16"/>
    <x v="6"/>
    <x v="1"/>
    <x v="6"/>
    <n v="0.2"/>
    <s v="fraction"/>
  </r>
  <r>
    <x v="16"/>
    <x v="6"/>
    <x v="1"/>
    <x v="5"/>
    <n v="0"/>
    <s v="USD2022/GJ"/>
  </r>
  <r>
    <x v="16"/>
    <x v="6"/>
    <x v="2"/>
    <x v="0"/>
    <n v="2150"/>
    <s v="USD2022/kW"/>
  </r>
  <r>
    <x v="16"/>
    <x v="6"/>
    <x v="2"/>
    <x v="1"/>
    <n v="3581.3"/>
    <s v="USD2022/kW"/>
  </r>
  <r>
    <x v="16"/>
    <x v="6"/>
    <x v="2"/>
    <x v="2"/>
    <n v="1934.8"/>
    <s v="USD2022/kW"/>
  </r>
  <r>
    <x v="16"/>
    <x v="6"/>
    <x v="2"/>
    <x v="3"/>
    <n v="50"/>
    <s v="USD2022/kW-yr"/>
  </r>
  <r>
    <x v="16"/>
    <x v="6"/>
    <x v="2"/>
    <x v="4"/>
    <n v="1"/>
    <s v="fraction_LHV"/>
  </r>
  <r>
    <x v="16"/>
    <x v="6"/>
    <x v="2"/>
    <x v="6"/>
    <n v="0.2"/>
    <s v="fraction"/>
  </r>
  <r>
    <x v="16"/>
    <x v="6"/>
    <x v="2"/>
    <x v="5"/>
    <n v="0"/>
    <s v="USD2022/GJ"/>
  </r>
  <r>
    <x v="16"/>
    <x v="7"/>
    <x v="0"/>
    <x v="0"/>
    <n v="2100"/>
    <s v="USD2022/kW"/>
  </r>
  <r>
    <x v="16"/>
    <x v="7"/>
    <x v="0"/>
    <x v="1"/>
    <n v="2100"/>
    <s v="USD2022/kW"/>
  </r>
  <r>
    <x v="16"/>
    <x v="7"/>
    <x v="0"/>
    <x v="2"/>
    <n v="2100"/>
    <s v="USD2022/kW"/>
  </r>
  <r>
    <x v="16"/>
    <x v="7"/>
    <x v="0"/>
    <x v="3"/>
    <n v="50"/>
    <s v="USD2022/kW-yr"/>
  </r>
  <r>
    <x v="16"/>
    <x v="7"/>
    <x v="0"/>
    <x v="4"/>
    <n v="1"/>
    <s v="fraction_LHV"/>
  </r>
  <r>
    <x v="16"/>
    <x v="7"/>
    <x v="0"/>
    <x v="6"/>
    <n v="0.5"/>
    <s v="fraction"/>
  </r>
  <r>
    <x v="16"/>
    <x v="7"/>
    <x v="0"/>
    <x v="5"/>
    <n v="0"/>
    <s v="USD2022/GJ"/>
  </r>
  <r>
    <x v="16"/>
    <x v="7"/>
    <x v="1"/>
    <x v="0"/>
    <n v="2100"/>
    <s v="USD2022/kW"/>
  </r>
  <r>
    <x v="16"/>
    <x v="7"/>
    <x v="1"/>
    <x v="1"/>
    <n v="2584"/>
    <s v="USD2022/kW"/>
  </r>
  <r>
    <x v="16"/>
    <x v="7"/>
    <x v="1"/>
    <x v="2"/>
    <n v="1534.9"/>
    <s v="USD2022/kW"/>
  </r>
  <r>
    <x v="16"/>
    <x v="7"/>
    <x v="1"/>
    <x v="3"/>
    <n v="50"/>
    <s v="USD2022/kW-yr"/>
  </r>
  <r>
    <x v="16"/>
    <x v="7"/>
    <x v="1"/>
    <x v="4"/>
    <n v="1"/>
    <s v="fraction_LHV"/>
  </r>
  <r>
    <x v="16"/>
    <x v="7"/>
    <x v="1"/>
    <x v="6"/>
    <n v="0.5"/>
    <s v="fraction"/>
  </r>
  <r>
    <x v="16"/>
    <x v="7"/>
    <x v="1"/>
    <x v="5"/>
    <n v="0"/>
    <s v="USD2022/GJ"/>
  </r>
  <r>
    <x v="16"/>
    <x v="7"/>
    <x v="2"/>
    <x v="0"/>
    <n v="2100"/>
    <s v="USD2022/kW"/>
  </r>
  <r>
    <x v="16"/>
    <x v="7"/>
    <x v="2"/>
    <x v="1"/>
    <n v="3498"/>
    <s v="USD2022/kW"/>
  </r>
  <r>
    <x v="16"/>
    <x v="7"/>
    <x v="2"/>
    <x v="2"/>
    <n v="1889.8"/>
    <s v="USD2022/kW"/>
  </r>
  <r>
    <x v="16"/>
    <x v="7"/>
    <x v="2"/>
    <x v="3"/>
    <n v="50"/>
    <s v="USD2022/kW-yr"/>
  </r>
  <r>
    <x v="16"/>
    <x v="7"/>
    <x v="2"/>
    <x v="4"/>
    <n v="1"/>
    <s v="fraction_LHV"/>
  </r>
  <r>
    <x v="16"/>
    <x v="7"/>
    <x v="2"/>
    <x v="6"/>
    <n v="0.5"/>
    <s v="fraction"/>
  </r>
  <r>
    <x v="16"/>
    <x v="7"/>
    <x v="2"/>
    <x v="5"/>
    <n v="0"/>
    <s v="USD2022/GJ"/>
  </r>
  <r>
    <x v="16"/>
    <x v="8"/>
    <x v="0"/>
    <x v="0"/>
    <n v="2100"/>
    <s v="USD2022/kW"/>
  </r>
  <r>
    <x v="16"/>
    <x v="8"/>
    <x v="0"/>
    <x v="1"/>
    <n v="2100"/>
    <s v="USD2022/kW"/>
  </r>
  <r>
    <x v="16"/>
    <x v="8"/>
    <x v="0"/>
    <x v="2"/>
    <n v="2100"/>
    <s v="USD2022/kW"/>
  </r>
  <r>
    <x v="16"/>
    <x v="8"/>
    <x v="0"/>
    <x v="3"/>
    <n v="55"/>
    <s v="USD2022/kW-yr"/>
  </r>
  <r>
    <x v="16"/>
    <x v="8"/>
    <x v="0"/>
    <x v="4"/>
    <n v="1"/>
    <s v="fraction_LHV"/>
  </r>
  <r>
    <x v="16"/>
    <x v="8"/>
    <x v="0"/>
    <x v="6"/>
    <n v="0.5"/>
    <s v="fraction"/>
  </r>
  <r>
    <x v="16"/>
    <x v="8"/>
    <x v="0"/>
    <x v="5"/>
    <n v="0"/>
    <s v="USD2022/GJ"/>
  </r>
  <r>
    <x v="16"/>
    <x v="8"/>
    <x v="1"/>
    <x v="0"/>
    <n v="2100"/>
    <s v="USD2022/kW"/>
  </r>
  <r>
    <x v="16"/>
    <x v="8"/>
    <x v="1"/>
    <x v="1"/>
    <n v="2584"/>
    <s v="USD2022/kW"/>
  </r>
  <r>
    <x v="16"/>
    <x v="8"/>
    <x v="1"/>
    <x v="2"/>
    <n v="1534.9"/>
    <s v="USD2022/kW"/>
  </r>
  <r>
    <x v="16"/>
    <x v="8"/>
    <x v="1"/>
    <x v="3"/>
    <n v="50"/>
    <s v="USD2022/kW-yr"/>
  </r>
  <r>
    <x v="16"/>
    <x v="8"/>
    <x v="1"/>
    <x v="4"/>
    <n v="1"/>
    <s v="fraction_LHV"/>
  </r>
  <r>
    <x v="16"/>
    <x v="8"/>
    <x v="1"/>
    <x v="6"/>
    <n v="0.5"/>
    <s v="fraction"/>
  </r>
  <r>
    <x v="16"/>
    <x v="8"/>
    <x v="1"/>
    <x v="5"/>
    <n v="0"/>
    <s v="USD2022/GJ"/>
  </r>
  <r>
    <x v="16"/>
    <x v="8"/>
    <x v="2"/>
    <x v="0"/>
    <n v="2100"/>
    <s v="USD2022/kW"/>
  </r>
  <r>
    <x v="16"/>
    <x v="8"/>
    <x v="2"/>
    <x v="1"/>
    <n v="3498"/>
    <s v="USD2022/kW"/>
  </r>
  <r>
    <x v="16"/>
    <x v="8"/>
    <x v="2"/>
    <x v="2"/>
    <n v="1889.8"/>
    <s v="USD2022/kW"/>
  </r>
  <r>
    <x v="16"/>
    <x v="8"/>
    <x v="2"/>
    <x v="3"/>
    <n v="50"/>
    <s v="USD2022/kW-yr"/>
  </r>
  <r>
    <x v="16"/>
    <x v="8"/>
    <x v="2"/>
    <x v="4"/>
    <n v="1"/>
    <s v="fraction_LHV"/>
  </r>
  <r>
    <x v="16"/>
    <x v="8"/>
    <x v="2"/>
    <x v="6"/>
    <n v="0.5"/>
    <s v="fraction"/>
  </r>
  <r>
    <x v="16"/>
    <x v="8"/>
    <x v="2"/>
    <x v="5"/>
    <n v="0"/>
    <s v="USD2022/GJ"/>
  </r>
  <r>
    <x v="17"/>
    <x v="0"/>
    <x v="0"/>
    <x v="0"/>
    <n v="3900"/>
    <s v="USD2022/kW"/>
  </r>
  <r>
    <x v="17"/>
    <x v="0"/>
    <x v="0"/>
    <x v="1"/>
    <n v="3900"/>
    <s v="USD2022/kW"/>
  </r>
  <r>
    <x v="17"/>
    <x v="0"/>
    <x v="0"/>
    <x v="2"/>
    <n v="3900"/>
    <s v="USD2022/kW"/>
  </r>
  <r>
    <x v="17"/>
    <x v="0"/>
    <x v="0"/>
    <x v="3"/>
    <n v="80"/>
    <s v="USD2022/kW-yr"/>
  </r>
  <r>
    <x v="17"/>
    <x v="0"/>
    <x v="0"/>
    <x v="4"/>
    <n v="1"/>
    <s v="fraction_LHV"/>
  </r>
  <r>
    <x v="17"/>
    <x v="0"/>
    <x v="0"/>
    <x v="6"/>
    <n v="0.25"/>
    <s v="fraction"/>
  </r>
  <r>
    <x v="17"/>
    <x v="0"/>
    <x v="0"/>
    <x v="5"/>
    <n v="0.27800000000000002"/>
    <s v="USD2022/GJ"/>
  </r>
  <r>
    <x v="17"/>
    <x v="0"/>
    <x v="1"/>
    <x v="0"/>
    <n v="3900"/>
    <s v="USD2022/kW"/>
  </r>
  <r>
    <x v="17"/>
    <x v="0"/>
    <x v="1"/>
    <x v="1"/>
    <n v="3900"/>
    <s v="USD2022/kW"/>
  </r>
  <r>
    <x v="17"/>
    <x v="0"/>
    <x v="1"/>
    <x v="2"/>
    <n v="3900"/>
    <s v="USD2022/kW"/>
  </r>
  <r>
    <x v="17"/>
    <x v="0"/>
    <x v="1"/>
    <x v="3"/>
    <n v="80"/>
    <s v="USD2022/kW-yr"/>
  </r>
  <r>
    <x v="17"/>
    <x v="0"/>
    <x v="1"/>
    <x v="4"/>
    <n v="1"/>
    <s v="fraction_LHV"/>
  </r>
  <r>
    <x v="17"/>
    <x v="0"/>
    <x v="1"/>
    <x v="6"/>
    <n v="0.25"/>
    <s v="fraction"/>
  </r>
  <r>
    <x v="17"/>
    <x v="0"/>
    <x v="1"/>
    <x v="5"/>
    <n v="0.27800000000000002"/>
    <s v="USD2022/GJ"/>
  </r>
  <r>
    <x v="17"/>
    <x v="0"/>
    <x v="2"/>
    <x v="0"/>
    <n v="3900"/>
    <s v="USD2022/kW"/>
  </r>
  <r>
    <x v="17"/>
    <x v="0"/>
    <x v="2"/>
    <x v="1"/>
    <n v="3900"/>
    <s v="USD2022/kW"/>
  </r>
  <r>
    <x v="17"/>
    <x v="0"/>
    <x v="2"/>
    <x v="2"/>
    <n v="3900"/>
    <s v="USD2022/kW"/>
  </r>
  <r>
    <x v="17"/>
    <x v="0"/>
    <x v="2"/>
    <x v="3"/>
    <n v="80"/>
    <s v="USD2022/kW-yr"/>
  </r>
  <r>
    <x v="17"/>
    <x v="0"/>
    <x v="2"/>
    <x v="4"/>
    <n v="1"/>
    <s v="fraction_LHV"/>
  </r>
  <r>
    <x v="17"/>
    <x v="0"/>
    <x v="2"/>
    <x v="6"/>
    <n v="0.25"/>
    <s v="fraction"/>
  </r>
  <r>
    <x v="17"/>
    <x v="0"/>
    <x v="2"/>
    <x v="5"/>
    <n v="0.27800000000000002"/>
    <s v="USD2022/GJ"/>
  </r>
  <r>
    <x v="17"/>
    <x v="1"/>
    <x v="0"/>
    <x v="0"/>
    <n v="4050"/>
    <s v="USD2022/kW"/>
  </r>
  <r>
    <x v="17"/>
    <x v="1"/>
    <x v="0"/>
    <x v="1"/>
    <n v="4050"/>
    <s v="USD2022/kW"/>
  </r>
  <r>
    <x v="17"/>
    <x v="1"/>
    <x v="0"/>
    <x v="2"/>
    <n v="4050"/>
    <s v="USD2022/kW"/>
  </r>
  <r>
    <x v="17"/>
    <x v="1"/>
    <x v="0"/>
    <x v="3"/>
    <n v="80"/>
    <s v="USD2022/kW-yr"/>
  </r>
  <r>
    <x v="17"/>
    <x v="1"/>
    <x v="0"/>
    <x v="4"/>
    <n v="1"/>
    <s v="fraction_LHV"/>
  </r>
  <r>
    <x v="17"/>
    <x v="1"/>
    <x v="0"/>
    <x v="6"/>
    <n v="0.3"/>
    <s v="fraction"/>
  </r>
  <r>
    <x v="17"/>
    <x v="1"/>
    <x v="0"/>
    <x v="5"/>
    <n v="0.27800000000000002"/>
    <s v="USD2022/GJ"/>
  </r>
  <r>
    <x v="17"/>
    <x v="1"/>
    <x v="1"/>
    <x v="0"/>
    <n v="4050"/>
    <s v="USD2022/kW"/>
  </r>
  <r>
    <x v="17"/>
    <x v="1"/>
    <x v="1"/>
    <x v="1"/>
    <n v="4050"/>
    <s v="USD2022/kW"/>
  </r>
  <r>
    <x v="17"/>
    <x v="1"/>
    <x v="1"/>
    <x v="2"/>
    <n v="4050"/>
    <s v="USD2022/kW"/>
  </r>
  <r>
    <x v="17"/>
    <x v="1"/>
    <x v="1"/>
    <x v="3"/>
    <n v="80"/>
    <s v="USD2022/kW-yr"/>
  </r>
  <r>
    <x v="17"/>
    <x v="1"/>
    <x v="1"/>
    <x v="4"/>
    <n v="1"/>
    <s v="fraction_LHV"/>
  </r>
  <r>
    <x v="17"/>
    <x v="1"/>
    <x v="1"/>
    <x v="6"/>
    <n v="0.3"/>
    <s v="fraction"/>
  </r>
  <r>
    <x v="17"/>
    <x v="1"/>
    <x v="1"/>
    <x v="5"/>
    <n v="0.27800000000000002"/>
    <s v="USD2022/GJ"/>
  </r>
  <r>
    <x v="17"/>
    <x v="1"/>
    <x v="2"/>
    <x v="0"/>
    <n v="4050"/>
    <s v="USD2022/kW"/>
  </r>
  <r>
    <x v="17"/>
    <x v="1"/>
    <x v="2"/>
    <x v="1"/>
    <n v="4050"/>
    <s v="USD2022/kW"/>
  </r>
  <r>
    <x v="17"/>
    <x v="1"/>
    <x v="2"/>
    <x v="2"/>
    <n v="4050"/>
    <s v="USD2022/kW"/>
  </r>
  <r>
    <x v="17"/>
    <x v="1"/>
    <x v="2"/>
    <x v="3"/>
    <n v="80"/>
    <s v="USD2022/kW-yr"/>
  </r>
  <r>
    <x v="17"/>
    <x v="1"/>
    <x v="2"/>
    <x v="4"/>
    <n v="1"/>
    <s v="fraction_LHV"/>
  </r>
  <r>
    <x v="17"/>
    <x v="1"/>
    <x v="2"/>
    <x v="6"/>
    <n v="0.3"/>
    <s v="fraction"/>
  </r>
  <r>
    <x v="17"/>
    <x v="1"/>
    <x v="2"/>
    <x v="5"/>
    <n v="0.27800000000000002"/>
    <s v="USD2022/GJ"/>
  </r>
  <r>
    <x v="17"/>
    <x v="2"/>
    <x v="0"/>
    <x v="0"/>
    <n v="3550"/>
    <s v="USD2022/kW"/>
  </r>
  <r>
    <x v="17"/>
    <x v="2"/>
    <x v="0"/>
    <x v="1"/>
    <n v="3550"/>
    <s v="USD2022/kW"/>
  </r>
  <r>
    <x v="17"/>
    <x v="2"/>
    <x v="0"/>
    <x v="2"/>
    <n v="3550"/>
    <s v="USD2022/kW"/>
  </r>
  <r>
    <x v="17"/>
    <x v="2"/>
    <x v="0"/>
    <x v="3"/>
    <n v="70"/>
    <s v="USD2022/kW-yr"/>
  </r>
  <r>
    <x v="17"/>
    <x v="2"/>
    <x v="0"/>
    <x v="4"/>
    <n v="1"/>
    <s v="fraction_LHV"/>
  </r>
  <r>
    <x v="17"/>
    <x v="2"/>
    <x v="0"/>
    <x v="6"/>
    <n v="0.2"/>
    <s v="fraction"/>
  </r>
  <r>
    <x v="17"/>
    <x v="2"/>
    <x v="0"/>
    <x v="5"/>
    <n v="0.27800000000000002"/>
    <s v="USD2022/GJ"/>
  </r>
  <r>
    <x v="17"/>
    <x v="2"/>
    <x v="1"/>
    <x v="0"/>
    <n v="3550"/>
    <s v="USD2022/kW"/>
  </r>
  <r>
    <x v="17"/>
    <x v="2"/>
    <x v="1"/>
    <x v="1"/>
    <n v="3550"/>
    <s v="USD2022/kW"/>
  </r>
  <r>
    <x v="17"/>
    <x v="2"/>
    <x v="1"/>
    <x v="2"/>
    <n v="3550"/>
    <s v="USD2022/kW"/>
  </r>
  <r>
    <x v="17"/>
    <x v="2"/>
    <x v="1"/>
    <x v="3"/>
    <n v="70"/>
    <s v="USD2022/kW-yr"/>
  </r>
  <r>
    <x v="17"/>
    <x v="2"/>
    <x v="1"/>
    <x v="4"/>
    <n v="1"/>
    <s v="fraction_LHV"/>
  </r>
  <r>
    <x v="17"/>
    <x v="2"/>
    <x v="1"/>
    <x v="6"/>
    <n v="0.2"/>
    <s v="fraction"/>
  </r>
  <r>
    <x v="17"/>
    <x v="2"/>
    <x v="1"/>
    <x v="5"/>
    <n v="0.27800000000000002"/>
    <s v="USD2022/GJ"/>
  </r>
  <r>
    <x v="17"/>
    <x v="2"/>
    <x v="2"/>
    <x v="0"/>
    <n v="3550"/>
    <s v="USD2022/kW"/>
  </r>
  <r>
    <x v="17"/>
    <x v="2"/>
    <x v="2"/>
    <x v="1"/>
    <n v="3550"/>
    <s v="USD2022/kW"/>
  </r>
  <r>
    <x v="17"/>
    <x v="2"/>
    <x v="2"/>
    <x v="2"/>
    <n v="3550"/>
    <s v="USD2022/kW"/>
  </r>
  <r>
    <x v="17"/>
    <x v="2"/>
    <x v="2"/>
    <x v="3"/>
    <n v="70"/>
    <s v="USD2022/kW-yr"/>
  </r>
  <r>
    <x v="17"/>
    <x v="2"/>
    <x v="2"/>
    <x v="4"/>
    <n v="1"/>
    <s v="fraction_LHV"/>
  </r>
  <r>
    <x v="17"/>
    <x v="2"/>
    <x v="2"/>
    <x v="6"/>
    <n v="0.2"/>
    <s v="fraction"/>
  </r>
  <r>
    <x v="17"/>
    <x v="2"/>
    <x v="2"/>
    <x v="5"/>
    <n v="0.27800000000000002"/>
    <s v="USD2022/GJ"/>
  </r>
  <r>
    <x v="17"/>
    <x v="3"/>
    <x v="0"/>
    <x v="0"/>
    <n v="3500"/>
    <s v="USD2022/kW"/>
  </r>
  <r>
    <x v="17"/>
    <x v="3"/>
    <x v="0"/>
    <x v="1"/>
    <n v="3500"/>
    <s v="USD2022/kW"/>
  </r>
  <r>
    <x v="17"/>
    <x v="3"/>
    <x v="0"/>
    <x v="2"/>
    <n v="3500"/>
    <s v="USD2022/kW"/>
  </r>
  <r>
    <x v="17"/>
    <x v="3"/>
    <x v="0"/>
    <x v="3"/>
    <n v="70"/>
    <s v="USD2022/kW-yr"/>
  </r>
  <r>
    <x v="17"/>
    <x v="3"/>
    <x v="0"/>
    <x v="4"/>
    <n v="1"/>
    <s v="fraction_LHV"/>
  </r>
  <r>
    <x v="17"/>
    <x v="3"/>
    <x v="0"/>
    <x v="6"/>
    <n v="0.4"/>
    <s v="fraction"/>
  </r>
  <r>
    <x v="17"/>
    <x v="3"/>
    <x v="0"/>
    <x v="5"/>
    <n v="0.27800000000000002"/>
    <s v="USD2022/GJ"/>
  </r>
  <r>
    <x v="17"/>
    <x v="3"/>
    <x v="1"/>
    <x v="0"/>
    <n v="3500"/>
    <s v="USD2022/kW"/>
  </r>
  <r>
    <x v="17"/>
    <x v="3"/>
    <x v="1"/>
    <x v="1"/>
    <n v="3500"/>
    <s v="USD2022/kW"/>
  </r>
  <r>
    <x v="17"/>
    <x v="3"/>
    <x v="1"/>
    <x v="2"/>
    <n v="3500"/>
    <s v="USD2022/kW"/>
  </r>
  <r>
    <x v="17"/>
    <x v="3"/>
    <x v="1"/>
    <x v="3"/>
    <n v="70"/>
    <s v="USD2022/kW-yr"/>
  </r>
  <r>
    <x v="17"/>
    <x v="3"/>
    <x v="1"/>
    <x v="4"/>
    <n v="1"/>
    <s v="fraction_LHV"/>
  </r>
  <r>
    <x v="17"/>
    <x v="3"/>
    <x v="1"/>
    <x v="6"/>
    <n v="0.4"/>
    <s v="fraction"/>
  </r>
  <r>
    <x v="17"/>
    <x v="3"/>
    <x v="1"/>
    <x v="5"/>
    <n v="0.27800000000000002"/>
    <s v="USD2022/GJ"/>
  </r>
  <r>
    <x v="17"/>
    <x v="3"/>
    <x v="2"/>
    <x v="0"/>
    <n v="3500"/>
    <s v="USD2022/kW"/>
  </r>
  <r>
    <x v="17"/>
    <x v="3"/>
    <x v="2"/>
    <x v="1"/>
    <n v="3500"/>
    <s v="USD2022/kW"/>
  </r>
  <r>
    <x v="17"/>
    <x v="3"/>
    <x v="2"/>
    <x v="2"/>
    <n v="3500"/>
    <s v="USD2022/kW"/>
  </r>
  <r>
    <x v="17"/>
    <x v="3"/>
    <x v="2"/>
    <x v="3"/>
    <n v="70"/>
    <s v="USD2022/kW-yr"/>
  </r>
  <r>
    <x v="17"/>
    <x v="3"/>
    <x v="2"/>
    <x v="4"/>
    <n v="1"/>
    <s v="fraction_LHV"/>
  </r>
  <r>
    <x v="17"/>
    <x v="3"/>
    <x v="2"/>
    <x v="6"/>
    <n v="0.4"/>
    <s v="fraction"/>
  </r>
  <r>
    <x v="17"/>
    <x v="3"/>
    <x v="2"/>
    <x v="5"/>
    <n v="0.27800000000000002"/>
    <s v="USD2022/GJ"/>
  </r>
  <r>
    <x v="17"/>
    <x v="4"/>
    <x v="0"/>
    <x v="0"/>
    <n v="2000"/>
    <s v="USD2022/kW"/>
  </r>
  <r>
    <x v="17"/>
    <x v="4"/>
    <x v="0"/>
    <x v="1"/>
    <n v="2000"/>
    <s v="USD2022/kW"/>
  </r>
  <r>
    <x v="17"/>
    <x v="4"/>
    <x v="0"/>
    <x v="2"/>
    <n v="2000"/>
    <s v="USD2022/kW"/>
  </r>
  <r>
    <x v="17"/>
    <x v="4"/>
    <x v="0"/>
    <x v="3"/>
    <n v="40"/>
    <s v="USD2022/kW-yr"/>
  </r>
  <r>
    <x v="17"/>
    <x v="4"/>
    <x v="0"/>
    <x v="4"/>
    <n v="1"/>
    <s v="fraction_LHV"/>
  </r>
  <r>
    <x v="17"/>
    <x v="4"/>
    <x v="0"/>
    <x v="6"/>
    <n v="0.35"/>
    <s v="fraction"/>
  </r>
  <r>
    <x v="17"/>
    <x v="4"/>
    <x v="0"/>
    <x v="5"/>
    <n v="0.27800000000000002"/>
    <s v="USD2022/GJ"/>
  </r>
  <r>
    <x v="17"/>
    <x v="4"/>
    <x v="1"/>
    <x v="0"/>
    <n v="2000"/>
    <s v="USD2022/kW"/>
  </r>
  <r>
    <x v="17"/>
    <x v="4"/>
    <x v="1"/>
    <x v="1"/>
    <n v="2000"/>
    <s v="USD2022/kW"/>
  </r>
  <r>
    <x v="17"/>
    <x v="4"/>
    <x v="1"/>
    <x v="2"/>
    <n v="2000"/>
    <s v="USD2022/kW"/>
  </r>
  <r>
    <x v="17"/>
    <x v="4"/>
    <x v="1"/>
    <x v="3"/>
    <n v="40"/>
    <s v="USD2022/kW-yr"/>
  </r>
  <r>
    <x v="17"/>
    <x v="4"/>
    <x v="1"/>
    <x v="4"/>
    <n v="1"/>
    <s v="fraction_LHV"/>
  </r>
  <r>
    <x v="17"/>
    <x v="4"/>
    <x v="1"/>
    <x v="6"/>
    <n v="0.35"/>
    <s v="fraction"/>
  </r>
  <r>
    <x v="17"/>
    <x v="4"/>
    <x v="1"/>
    <x v="5"/>
    <n v="0.27800000000000002"/>
    <s v="USD2022/GJ"/>
  </r>
  <r>
    <x v="17"/>
    <x v="4"/>
    <x v="2"/>
    <x v="0"/>
    <n v="2000"/>
    <s v="USD2022/kW"/>
  </r>
  <r>
    <x v="17"/>
    <x v="4"/>
    <x v="2"/>
    <x v="1"/>
    <n v="2000"/>
    <s v="USD2022/kW"/>
  </r>
  <r>
    <x v="17"/>
    <x v="4"/>
    <x v="2"/>
    <x v="2"/>
    <n v="2000"/>
    <s v="USD2022/kW"/>
  </r>
  <r>
    <x v="17"/>
    <x v="4"/>
    <x v="2"/>
    <x v="3"/>
    <n v="40"/>
    <s v="USD2022/kW-yr"/>
  </r>
  <r>
    <x v="17"/>
    <x v="4"/>
    <x v="2"/>
    <x v="4"/>
    <n v="1"/>
    <s v="fraction_LHV"/>
  </r>
  <r>
    <x v="17"/>
    <x v="4"/>
    <x v="2"/>
    <x v="6"/>
    <n v="0.35"/>
    <s v="fraction"/>
  </r>
  <r>
    <x v="17"/>
    <x v="4"/>
    <x v="2"/>
    <x v="5"/>
    <n v="0.27800000000000002"/>
    <s v="USD2022/GJ"/>
  </r>
  <r>
    <x v="17"/>
    <x v="5"/>
    <x v="0"/>
    <x v="0"/>
    <n v="3050"/>
    <s v="USD2022/kW"/>
  </r>
  <r>
    <x v="17"/>
    <x v="5"/>
    <x v="0"/>
    <x v="1"/>
    <n v="3050"/>
    <s v="USD2022/kW"/>
  </r>
  <r>
    <x v="17"/>
    <x v="5"/>
    <x v="0"/>
    <x v="2"/>
    <n v="3050"/>
    <s v="USD2022/kW"/>
  </r>
  <r>
    <x v="17"/>
    <x v="5"/>
    <x v="0"/>
    <x v="3"/>
    <n v="60"/>
    <s v="USD2022/kW-yr"/>
  </r>
  <r>
    <x v="17"/>
    <x v="5"/>
    <x v="0"/>
    <x v="4"/>
    <n v="1"/>
    <s v="fraction_LHV"/>
  </r>
  <r>
    <x v="17"/>
    <x v="5"/>
    <x v="0"/>
    <x v="6"/>
    <n v="0.35"/>
    <s v="fraction"/>
  </r>
  <r>
    <x v="17"/>
    <x v="5"/>
    <x v="0"/>
    <x v="5"/>
    <n v="0.27800000000000002"/>
    <s v="USD2022/GJ"/>
  </r>
  <r>
    <x v="17"/>
    <x v="5"/>
    <x v="1"/>
    <x v="0"/>
    <n v="3050"/>
    <s v="USD2022/kW"/>
  </r>
  <r>
    <x v="17"/>
    <x v="5"/>
    <x v="1"/>
    <x v="1"/>
    <n v="3050"/>
    <s v="USD2022/kW"/>
  </r>
  <r>
    <x v="17"/>
    <x v="5"/>
    <x v="1"/>
    <x v="2"/>
    <n v="3050"/>
    <s v="USD2022/kW"/>
  </r>
  <r>
    <x v="17"/>
    <x v="5"/>
    <x v="1"/>
    <x v="3"/>
    <n v="60"/>
    <s v="USD2022/kW-yr"/>
  </r>
  <r>
    <x v="17"/>
    <x v="5"/>
    <x v="1"/>
    <x v="4"/>
    <n v="1"/>
    <s v="fraction_LHV"/>
  </r>
  <r>
    <x v="17"/>
    <x v="5"/>
    <x v="1"/>
    <x v="6"/>
    <n v="0.35"/>
    <s v="fraction"/>
  </r>
  <r>
    <x v="17"/>
    <x v="5"/>
    <x v="1"/>
    <x v="5"/>
    <n v="0.27800000000000002"/>
    <s v="USD2022/GJ"/>
  </r>
  <r>
    <x v="17"/>
    <x v="5"/>
    <x v="2"/>
    <x v="0"/>
    <n v="3050"/>
    <s v="USD2022/kW"/>
  </r>
  <r>
    <x v="17"/>
    <x v="5"/>
    <x v="2"/>
    <x v="1"/>
    <n v="3050"/>
    <s v="USD2022/kW"/>
  </r>
  <r>
    <x v="17"/>
    <x v="5"/>
    <x v="2"/>
    <x v="2"/>
    <n v="3050"/>
    <s v="USD2022/kW"/>
  </r>
  <r>
    <x v="17"/>
    <x v="5"/>
    <x v="2"/>
    <x v="3"/>
    <n v="60"/>
    <s v="USD2022/kW-yr"/>
  </r>
  <r>
    <x v="17"/>
    <x v="5"/>
    <x v="2"/>
    <x v="4"/>
    <n v="1"/>
    <s v="fraction_LHV"/>
  </r>
  <r>
    <x v="17"/>
    <x v="5"/>
    <x v="2"/>
    <x v="6"/>
    <n v="0.35"/>
    <s v="fraction"/>
  </r>
  <r>
    <x v="17"/>
    <x v="5"/>
    <x v="2"/>
    <x v="5"/>
    <n v="0.27800000000000002"/>
    <s v="USD2022/GJ"/>
  </r>
  <r>
    <x v="17"/>
    <x v="6"/>
    <x v="0"/>
    <x v="0"/>
    <n v="3400"/>
    <s v="USD2022/kW"/>
  </r>
  <r>
    <x v="17"/>
    <x v="6"/>
    <x v="0"/>
    <x v="1"/>
    <n v="3400"/>
    <s v="USD2022/kW"/>
  </r>
  <r>
    <x v="17"/>
    <x v="6"/>
    <x v="0"/>
    <x v="2"/>
    <n v="3400"/>
    <s v="USD2022/kW"/>
  </r>
  <r>
    <x v="17"/>
    <x v="6"/>
    <x v="0"/>
    <x v="3"/>
    <n v="70"/>
    <s v="USD2022/kW-yr"/>
  </r>
  <r>
    <x v="17"/>
    <x v="6"/>
    <x v="0"/>
    <x v="4"/>
    <n v="1"/>
    <s v="fraction_LHV"/>
  </r>
  <r>
    <x v="17"/>
    <x v="6"/>
    <x v="0"/>
    <x v="6"/>
    <n v="0.15"/>
    <s v="fraction"/>
  </r>
  <r>
    <x v="17"/>
    <x v="6"/>
    <x v="0"/>
    <x v="5"/>
    <n v="0.27800000000000002"/>
    <s v="USD2022/GJ"/>
  </r>
  <r>
    <x v="17"/>
    <x v="6"/>
    <x v="1"/>
    <x v="0"/>
    <n v="3400"/>
    <s v="USD2022/kW"/>
  </r>
  <r>
    <x v="17"/>
    <x v="6"/>
    <x v="1"/>
    <x v="1"/>
    <n v="3400"/>
    <s v="USD2022/kW"/>
  </r>
  <r>
    <x v="17"/>
    <x v="6"/>
    <x v="1"/>
    <x v="2"/>
    <n v="3400"/>
    <s v="USD2022/kW"/>
  </r>
  <r>
    <x v="17"/>
    <x v="6"/>
    <x v="1"/>
    <x v="3"/>
    <n v="70"/>
    <s v="USD2022/kW-yr"/>
  </r>
  <r>
    <x v="17"/>
    <x v="6"/>
    <x v="1"/>
    <x v="4"/>
    <n v="1"/>
    <s v="fraction_LHV"/>
  </r>
  <r>
    <x v="17"/>
    <x v="6"/>
    <x v="1"/>
    <x v="6"/>
    <n v="0.15"/>
    <s v="fraction"/>
  </r>
  <r>
    <x v="17"/>
    <x v="6"/>
    <x v="1"/>
    <x v="5"/>
    <n v="0.27800000000000002"/>
    <s v="USD2022/GJ"/>
  </r>
  <r>
    <x v="17"/>
    <x v="6"/>
    <x v="2"/>
    <x v="0"/>
    <n v="3400"/>
    <s v="USD2022/kW"/>
  </r>
  <r>
    <x v="17"/>
    <x v="6"/>
    <x v="2"/>
    <x v="1"/>
    <n v="3400"/>
    <s v="USD2022/kW"/>
  </r>
  <r>
    <x v="17"/>
    <x v="6"/>
    <x v="2"/>
    <x v="2"/>
    <n v="3400"/>
    <s v="USD2022/kW"/>
  </r>
  <r>
    <x v="17"/>
    <x v="6"/>
    <x v="2"/>
    <x v="3"/>
    <n v="70"/>
    <s v="USD2022/kW-yr"/>
  </r>
  <r>
    <x v="17"/>
    <x v="6"/>
    <x v="2"/>
    <x v="4"/>
    <n v="1"/>
    <s v="fraction_LHV"/>
  </r>
  <r>
    <x v="17"/>
    <x v="6"/>
    <x v="2"/>
    <x v="6"/>
    <n v="0.15"/>
    <s v="fraction"/>
  </r>
  <r>
    <x v="17"/>
    <x v="6"/>
    <x v="2"/>
    <x v="5"/>
    <n v="0.27800000000000002"/>
    <s v="USD2022/GJ"/>
  </r>
  <r>
    <x v="17"/>
    <x v="7"/>
    <x v="0"/>
    <x v="0"/>
    <n v="3300"/>
    <s v="USD2022/kW"/>
  </r>
  <r>
    <x v="17"/>
    <x v="7"/>
    <x v="0"/>
    <x v="1"/>
    <n v="3300"/>
    <s v="USD2022/kW"/>
  </r>
  <r>
    <x v="17"/>
    <x v="7"/>
    <x v="0"/>
    <x v="2"/>
    <n v="3300"/>
    <s v="USD2022/kW"/>
  </r>
  <r>
    <x v="17"/>
    <x v="7"/>
    <x v="0"/>
    <x v="3"/>
    <n v="65"/>
    <s v="USD2022/kW-yr"/>
  </r>
  <r>
    <x v="17"/>
    <x v="7"/>
    <x v="0"/>
    <x v="4"/>
    <n v="1"/>
    <s v="fraction_LHV"/>
  </r>
  <r>
    <x v="17"/>
    <x v="7"/>
    <x v="0"/>
    <x v="6"/>
    <n v="0.5"/>
    <s v="fraction"/>
  </r>
  <r>
    <x v="17"/>
    <x v="7"/>
    <x v="0"/>
    <x v="5"/>
    <n v="0.27800000000000002"/>
    <s v="USD2022/GJ"/>
  </r>
  <r>
    <x v="17"/>
    <x v="7"/>
    <x v="1"/>
    <x v="0"/>
    <n v="3300"/>
    <s v="USD2022/kW"/>
  </r>
  <r>
    <x v="17"/>
    <x v="7"/>
    <x v="1"/>
    <x v="1"/>
    <n v="3300"/>
    <s v="USD2022/kW"/>
  </r>
  <r>
    <x v="17"/>
    <x v="7"/>
    <x v="1"/>
    <x v="2"/>
    <n v="3300"/>
    <s v="USD2022/kW"/>
  </r>
  <r>
    <x v="17"/>
    <x v="7"/>
    <x v="1"/>
    <x v="3"/>
    <n v="65"/>
    <s v="USD2022/kW-yr"/>
  </r>
  <r>
    <x v="17"/>
    <x v="7"/>
    <x v="1"/>
    <x v="4"/>
    <n v="1"/>
    <s v="fraction_LHV"/>
  </r>
  <r>
    <x v="17"/>
    <x v="7"/>
    <x v="1"/>
    <x v="6"/>
    <n v="0.5"/>
    <s v="fraction"/>
  </r>
  <r>
    <x v="17"/>
    <x v="7"/>
    <x v="1"/>
    <x v="5"/>
    <n v="0.27800000000000002"/>
    <s v="USD2022/GJ"/>
  </r>
  <r>
    <x v="17"/>
    <x v="7"/>
    <x v="2"/>
    <x v="0"/>
    <n v="3250"/>
    <s v="USD2022/kW"/>
  </r>
  <r>
    <x v="17"/>
    <x v="7"/>
    <x v="2"/>
    <x v="1"/>
    <n v="3250"/>
    <s v="USD2022/kW"/>
  </r>
  <r>
    <x v="17"/>
    <x v="7"/>
    <x v="2"/>
    <x v="2"/>
    <n v="3250"/>
    <s v="USD2022/kW"/>
  </r>
  <r>
    <x v="17"/>
    <x v="7"/>
    <x v="2"/>
    <x v="3"/>
    <n v="65"/>
    <s v="USD2022/kW-yr"/>
  </r>
  <r>
    <x v="17"/>
    <x v="7"/>
    <x v="2"/>
    <x v="4"/>
    <n v="1"/>
    <s v="fraction_LHV"/>
  </r>
  <r>
    <x v="17"/>
    <x v="7"/>
    <x v="2"/>
    <x v="6"/>
    <n v="0.5"/>
    <s v="fraction"/>
  </r>
  <r>
    <x v="17"/>
    <x v="7"/>
    <x v="2"/>
    <x v="5"/>
    <n v="0.27800000000000002"/>
    <s v="USD2022/GJ"/>
  </r>
  <r>
    <x v="17"/>
    <x v="8"/>
    <x v="0"/>
    <x v="0"/>
    <n v="3350"/>
    <s v="USD2022/kW"/>
  </r>
  <r>
    <x v="17"/>
    <x v="8"/>
    <x v="0"/>
    <x v="1"/>
    <n v="3350"/>
    <s v="USD2022/kW"/>
  </r>
  <r>
    <x v="17"/>
    <x v="8"/>
    <x v="0"/>
    <x v="2"/>
    <n v="3350"/>
    <s v="USD2022/kW"/>
  </r>
  <r>
    <x v="17"/>
    <x v="8"/>
    <x v="0"/>
    <x v="3"/>
    <n v="65"/>
    <s v="USD2022/kW-yr"/>
  </r>
  <r>
    <x v="17"/>
    <x v="8"/>
    <x v="0"/>
    <x v="4"/>
    <n v="1"/>
    <s v="fraction_LHV"/>
  </r>
  <r>
    <x v="17"/>
    <x v="8"/>
    <x v="0"/>
    <x v="6"/>
    <n v="0.5"/>
    <s v="fraction"/>
  </r>
  <r>
    <x v="17"/>
    <x v="8"/>
    <x v="0"/>
    <x v="5"/>
    <n v="0.27800000000000002"/>
    <s v="USD2022/GJ"/>
  </r>
  <r>
    <x v="17"/>
    <x v="8"/>
    <x v="1"/>
    <x v="0"/>
    <n v="3350"/>
    <s v="USD2022/kW"/>
  </r>
  <r>
    <x v="17"/>
    <x v="8"/>
    <x v="1"/>
    <x v="1"/>
    <n v="3350"/>
    <s v="USD2022/kW"/>
  </r>
  <r>
    <x v="17"/>
    <x v="8"/>
    <x v="1"/>
    <x v="2"/>
    <n v="3350"/>
    <s v="USD2022/kW"/>
  </r>
  <r>
    <x v="17"/>
    <x v="8"/>
    <x v="1"/>
    <x v="3"/>
    <n v="65"/>
    <s v="USD2022/kW-yr"/>
  </r>
  <r>
    <x v="17"/>
    <x v="8"/>
    <x v="1"/>
    <x v="4"/>
    <n v="1"/>
    <s v="fraction_LHV"/>
  </r>
  <r>
    <x v="17"/>
    <x v="8"/>
    <x v="1"/>
    <x v="6"/>
    <n v="0.5"/>
    <s v="fraction"/>
  </r>
  <r>
    <x v="17"/>
    <x v="8"/>
    <x v="1"/>
    <x v="5"/>
    <n v="0.27800000000000002"/>
    <s v="USD2022/GJ"/>
  </r>
  <r>
    <x v="17"/>
    <x v="8"/>
    <x v="2"/>
    <x v="0"/>
    <n v="3350"/>
    <s v="USD2022/kW"/>
  </r>
  <r>
    <x v="17"/>
    <x v="8"/>
    <x v="2"/>
    <x v="1"/>
    <n v="3350"/>
    <s v="USD2022/kW"/>
  </r>
  <r>
    <x v="17"/>
    <x v="8"/>
    <x v="2"/>
    <x v="2"/>
    <n v="3350"/>
    <s v="USD2022/kW"/>
  </r>
  <r>
    <x v="17"/>
    <x v="8"/>
    <x v="2"/>
    <x v="3"/>
    <n v="65"/>
    <s v="USD2022/kW-yr"/>
  </r>
  <r>
    <x v="17"/>
    <x v="8"/>
    <x v="2"/>
    <x v="4"/>
    <n v="1"/>
    <s v="fraction_LHV"/>
  </r>
  <r>
    <x v="17"/>
    <x v="8"/>
    <x v="2"/>
    <x v="6"/>
    <n v="0.5"/>
    <s v="fraction"/>
  </r>
  <r>
    <x v="17"/>
    <x v="8"/>
    <x v="2"/>
    <x v="5"/>
    <n v="0.27800000000000002"/>
    <s v="USD2022/GJ"/>
  </r>
  <r>
    <x v="18"/>
    <x v="0"/>
    <x v="0"/>
    <x v="0"/>
    <n v="2400"/>
    <s v="USD2022/kW"/>
  </r>
  <r>
    <x v="18"/>
    <x v="0"/>
    <x v="0"/>
    <x v="1"/>
    <n v="2400"/>
    <s v="USD2022/kW"/>
  </r>
  <r>
    <x v="18"/>
    <x v="0"/>
    <x v="0"/>
    <x v="2"/>
    <n v="2400"/>
    <s v="USD2022/kW"/>
  </r>
  <r>
    <x v="18"/>
    <x v="0"/>
    <x v="0"/>
    <x v="3"/>
    <n v="85"/>
    <s v="USD2022/kW-yr"/>
  </r>
  <r>
    <x v="18"/>
    <x v="0"/>
    <x v="0"/>
    <x v="4"/>
    <n v="0.35"/>
    <s v="fraction_LHV"/>
  </r>
  <r>
    <x v="18"/>
    <x v="0"/>
    <x v="0"/>
    <x v="6"/>
    <n v="0.6"/>
    <s v="fraction"/>
  </r>
  <r>
    <x v="18"/>
    <x v="0"/>
    <x v="0"/>
    <x v="5"/>
    <n v="1.4570000000000001"/>
    <s v="USD2022/GJ"/>
  </r>
  <r>
    <x v="18"/>
    <x v="0"/>
    <x v="1"/>
    <x v="0"/>
    <n v="2350"/>
    <s v="USD2022/kW"/>
  </r>
  <r>
    <x v="18"/>
    <x v="0"/>
    <x v="1"/>
    <x v="1"/>
    <n v="2350"/>
    <s v="USD2022/kW"/>
  </r>
  <r>
    <x v="18"/>
    <x v="0"/>
    <x v="1"/>
    <x v="2"/>
    <n v="2350"/>
    <s v="USD2022/kW"/>
  </r>
  <r>
    <x v="18"/>
    <x v="0"/>
    <x v="1"/>
    <x v="3"/>
    <n v="80"/>
    <s v="USD2022/kW-yr"/>
  </r>
  <r>
    <x v="18"/>
    <x v="0"/>
    <x v="1"/>
    <x v="4"/>
    <n v="0.35"/>
    <s v="fraction_LHV"/>
  </r>
  <r>
    <x v="18"/>
    <x v="0"/>
    <x v="1"/>
    <x v="6"/>
    <n v="0.6"/>
    <s v="fraction"/>
  </r>
  <r>
    <x v="18"/>
    <x v="0"/>
    <x v="1"/>
    <x v="5"/>
    <n v="1.4570000000000001"/>
    <s v="USD2022/GJ"/>
  </r>
  <r>
    <x v="18"/>
    <x v="0"/>
    <x v="2"/>
    <x v="0"/>
    <n v="2300"/>
    <s v="USD2022/kW"/>
  </r>
  <r>
    <x v="18"/>
    <x v="0"/>
    <x v="2"/>
    <x v="1"/>
    <n v="2300"/>
    <s v="USD2022/kW"/>
  </r>
  <r>
    <x v="18"/>
    <x v="0"/>
    <x v="2"/>
    <x v="2"/>
    <n v="2300"/>
    <s v="USD2022/kW"/>
  </r>
  <r>
    <x v="18"/>
    <x v="0"/>
    <x v="2"/>
    <x v="3"/>
    <n v="80"/>
    <s v="USD2022/kW-yr"/>
  </r>
  <r>
    <x v="18"/>
    <x v="0"/>
    <x v="2"/>
    <x v="4"/>
    <n v="0.35"/>
    <s v="fraction_LHV"/>
  </r>
  <r>
    <x v="18"/>
    <x v="0"/>
    <x v="2"/>
    <x v="6"/>
    <n v="0.6"/>
    <s v="fraction"/>
  </r>
  <r>
    <x v="18"/>
    <x v="0"/>
    <x v="2"/>
    <x v="5"/>
    <n v="1.4570000000000001"/>
    <s v="USD2022/GJ"/>
  </r>
  <r>
    <x v="18"/>
    <x v="1"/>
    <x v="0"/>
    <x v="0"/>
    <n v="2500"/>
    <s v="USD2022/kW"/>
  </r>
  <r>
    <x v="18"/>
    <x v="1"/>
    <x v="0"/>
    <x v="1"/>
    <n v="2500"/>
    <s v="USD2022/kW"/>
  </r>
  <r>
    <x v="18"/>
    <x v="1"/>
    <x v="0"/>
    <x v="2"/>
    <n v="2500"/>
    <s v="USD2022/kW"/>
  </r>
  <r>
    <x v="18"/>
    <x v="1"/>
    <x v="0"/>
    <x v="3"/>
    <n v="85"/>
    <s v="USD2022/kW-yr"/>
  </r>
  <r>
    <x v="18"/>
    <x v="1"/>
    <x v="0"/>
    <x v="4"/>
    <n v="0.35"/>
    <s v="fraction_LHV"/>
  </r>
  <r>
    <x v="18"/>
    <x v="1"/>
    <x v="0"/>
    <x v="6"/>
    <n v="0.5"/>
    <s v="fraction"/>
  </r>
  <r>
    <x v="18"/>
    <x v="1"/>
    <x v="0"/>
    <x v="5"/>
    <n v="1.4570000000000001"/>
    <s v="USD2022/GJ"/>
  </r>
  <r>
    <x v="18"/>
    <x v="1"/>
    <x v="1"/>
    <x v="0"/>
    <n v="2450"/>
    <s v="USD2022/kW"/>
  </r>
  <r>
    <x v="18"/>
    <x v="1"/>
    <x v="1"/>
    <x v="1"/>
    <n v="2450"/>
    <s v="USD2022/kW"/>
  </r>
  <r>
    <x v="18"/>
    <x v="1"/>
    <x v="1"/>
    <x v="2"/>
    <n v="2450"/>
    <s v="USD2022/kW"/>
  </r>
  <r>
    <x v="18"/>
    <x v="1"/>
    <x v="1"/>
    <x v="3"/>
    <n v="85"/>
    <s v="USD2022/kW-yr"/>
  </r>
  <r>
    <x v="18"/>
    <x v="1"/>
    <x v="1"/>
    <x v="4"/>
    <n v="0.35"/>
    <s v="fraction_LHV"/>
  </r>
  <r>
    <x v="18"/>
    <x v="1"/>
    <x v="1"/>
    <x v="6"/>
    <n v="0.5"/>
    <s v="fraction"/>
  </r>
  <r>
    <x v="18"/>
    <x v="1"/>
    <x v="1"/>
    <x v="5"/>
    <n v="1.4570000000000001"/>
    <s v="USD2022/GJ"/>
  </r>
  <r>
    <x v="18"/>
    <x v="1"/>
    <x v="2"/>
    <x v="0"/>
    <n v="2350"/>
    <s v="USD2022/kW"/>
  </r>
  <r>
    <x v="18"/>
    <x v="1"/>
    <x v="2"/>
    <x v="1"/>
    <n v="2350"/>
    <s v="USD2022/kW"/>
  </r>
  <r>
    <x v="18"/>
    <x v="1"/>
    <x v="2"/>
    <x v="2"/>
    <n v="2350"/>
    <s v="USD2022/kW"/>
  </r>
  <r>
    <x v="18"/>
    <x v="1"/>
    <x v="2"/>
    <x v="3"/>
    <n v="85"/>
    <s v="USD2022/kW-yr"/>
  </r>
  <r>
    <x v="18"/>
    <x v="1"/>
    <x v="2"/>
    <x v="4"/>
    <n v="0.35"/>
    <s v="fraction_LHV"/>
  </r>
  <r>
    <x v="18"/>
    <x v="1"/>
    <x v="2"/>
    <x v="6"/>
    <n v="0.5"/>
    <s v="fraction"/>
  </r>
  <r>
    <x v="18"/>
    <x v="1"/>
    <x v="2"/>
    <x v="5"/>
    <n v="1.4570000000000001"/>
    <s v="USD2022/GJ"/>
  </r>
  <r>
    <x v="18"/>
    <x v="2"/>
    <x v="0"/>
    <x v="0"/>
    <n v="2350"/>
    <s v="USD2022/kW"/>
  </r>
  <r>
    <x v="18"/>
    <x v="2"/>
    <x v="0"/>
    <x v="1"/>
    <n v="2350"/>
    <s v="USD2022/kW"/>
  </r>
  <r>
    <x v="18"/>
    <x v="2"/>
    <x v="0"/>
    <x v="2"/>
    <n v="2350"/>
    <s v="USD2022/kW"/>
  </r>
  <r>
    <x v="18"/>
    <x v="2"/>
    <x v="0"/>
    <x v="3"/>
    <n v="75"/>
    <s v="USD2022/kW-yr"/>
  </r>
  <r>
    <x v="18"/>
    <x v="2"/>
    <x v="0"/>
    <x v="4"/>
    <n v="0.35"/>
    <s v="fraction_LHV"/>
  </r>
  <r>
    <x v="18"/>
    <x v="2"/>
    <x v="0"/>
    <x v="6"/>
    <n v="0.6"/>
    <s v="fraction"/>
  </r>
  <r>
    <x v="18"/>
    <x v="2"/>
    <x v="0"/>
    <x v="5"/>
    <n v="1.4570000000000001"/>
    <s v="USD2022/GJ"/>
  </r>
  <r>
    <x v="18"/>
    <x v="2"/>
    <x v="1"/>
    <x v="0"/>
    <n v="2300"/>
    <s v="USD2022/kW"/>
  </r>
  <r>
    <x v="18"/>
    <x v="2"/>
    <x v="1"/>
    <x v="1"/>
    <n v="2300"/>
    <s v="USD2022/kW"/>
  </r>
  <r>
    <x v="18"/>
    <x v="2"/>
    <x v="1"/>
    <x v="2"/>
    <n v="2300"/>
    <s v="USD2022/kW"/>
  </r>
  <r>
    <x v="18"/>
    <x v="2"/>
    <x v="1"/>
    <x v="3"/>
    <n v="80"/>
    <s v="USD2022/kW-yr"/>
  </r>
  <r>
    <x v="18"/>
    <x v="2"/>
    <x v="1"/>
    <x v="4"/>
    <n v="0.35"/>
    <s v="fraction_LHV"/>
  </r>
  <r>
    <x v="18"/>
    <x v="2"/>
    <x v="1"/>
    <x v="6"/>
    <n v="0.6"/>
    <s v="fraction"/>
  </r>
  <r>
    <x v="18"/>
    <x v="2"/>
    <x v="1"/>
    <x v="5"/>
    <n v="1.4570000000000001"/>
    <s v="USD2022/GJ"/>
  </r>
  <r>
    <x v="18"/>
    <x v="2"/>
    <x v="2"/>
    <x v="0"/>
    <n v="2250"/>
    <s v="USD2022/kW"/>
  </r>
  <r>
    <x v="18"/>
    <x v="2"/>
    <x v="2"/>
    <x v="1"/>
    <n v="2250"/>
    <s v="USD2022/kW"/>
  </r>
  <r>
    <x v="18"/>
    <x v="2"/>
    <x v="2"/>
    <x v="2"/>
    <n v="2250"/>
    <s v="USD2022/kW"/>
  </r>
  <r>
    <x v="18"/>
    <x v="2"/>
    <x v="2"/>
    <x v="3"/>
    <n v="80"/>
    <s v="USD2022/kW-yr"/>
  </r>
  <r>
    <x v="18"/>
    <x v="2"/>
    <x v="2"/>
    <x v="4"/>
    <n v="0.35"/>
    <s v="fraction_LHV"/>
  </r>
  <r>
    <x v="18"/>
    <x v="2"/>
    <x v="2"/>
    <x v="6"/>
    <n v="0.6"/>
    <s v="fraction"/>
  </r>
  <r>
    <x v="18"/>
    <x v="2"/>
    <x v="2"/>
    <x v="5"/>
    <n v="1.4570000000000001"/>
    <s v="USD2022/GJ"/>
  </r>
  <r>
    <x v="18"/>
    <x v="3"/>
    <x v="0"/>
    <x v="0"/>
    <n v="2250"/>
    <s v="USD2022/kW"/>
  </r>
  <r>
    <x v="18"/>
    <x v="3"/>
    <x v="0"/>
    <x v="1"/>
    <n v="2250"/>
    <s v="USD2022/kW"/>
  </r>
  <r>
    <x v="18"/>
    <x v="3"/>
    <x v="0"/>
    <x v="2"/>
    <n v="2250"/>
    <s v="USD2022/kW"/>
  </r>
  <r>
    <x v="18"/>
    <x v="3"/>
    <x v="0"/>
    <x v="3"/>
    <n v="80"/>
    <s v="USD2022/kW-yr"/>
  </r>
  <r>
    <x v="18"/>
    <x v="3"/>
    <x v="0"/>
    <x v="4"/>
    <n v="0.35"/>
    <s v="fraction_LHV"/>
  </r>
  <r>
    <x v="18"/>
    <x v="3"/>
    <x v="0"/>
    <x v="6"/>
    <n v="0.5"/>
    <s v="fraction"/>
  </r>
  <r>
    <x v="18"/>
    <x v="3"/>
    <x v="0"/>
    <x v="5"/>
    <n v="1.4570000000000001"/>
    <s v="USD2022/GJ"/>
  </r>
  <r>
    <x v="18"/>
    <x v="3"/>
    <x v="1"/>
    <x v="0"/>
    <n v="2200"/>
    <s v="USD2022/kW"/>
  </r>
  <r>
    <x v="18"/>
    <x v="3"/>
    <x v="1"/>
    <x v="1"/>
    <n v="2200"/>
    <s v="USD2022/kW"/>
  </r>
  <r>
    <x v="18"/>
    <x v="3"/>
    <x v="1"/>
    <x v="2"/>
    <n v="2200"/>
    <s v="USD2022/kW"/>
  </r>
  <r>
    <x v="18"/>
    <x v="3"/>
    <x v="1"/>
    <x v="3"/>
    <n v="75"/>
    <s v="USD2022/kW-yr"/>
  </r>
  <r>
    <x v="18"/>
    <x v="3"/>
    <x v="1"/>
    <x v="4"/>
    <n v="0.35"/>
    <s v="fraction_LHV"/>
  </r>
  <r>
    <x v="18"/>
    <x v="3"/>
    <x v="1"/>
    <x v="6"/>
    <n v="0.5"/>
    <s v="fraction"/>
  </r>
  <r>
    <x v="18"/>
    <x v="3"/>
    <x v="1"/>
    <x v="5"/>
    <n v="1.4570000000000001"/>
    <s v="USD2022/GJ"/>
  </r>
  <r>
    <x v="18"/>
    <x v="3"/>
    <x v="2"/>
    <x v="0"/>
    <n v="2100"/>
    <s v="USD2022/kW"/>
  </r>
  <r>
    <x v="18"/>
    <x v="3"/>
    <x v="2"/>
    <x v="1"/>
    <n v="2100"/>
    <s v="USD2022/kW"/>
  </r>
  <r>
    <x v="18"/>
    <x v="3"/>
    <x v="2"/>
    <x v="2"/>
    <n v="2100"/>
    <s v="USD2022/kW"/>
  </r>
  <r>
    <x v="18"/>
    <x v="3"/>
    <x v="2"/>
    <x v="3"/>
    <n v="75"/>
    <s v="USD2022/kW-yr"/>
  </r>
  <r>
    <x v="18"/>
    <x v="3"/>
    <x v="2"/>
    <x v="4"/>
    <n v="0.35"/>
    <s v="fraction_LHV"/>
  </r>
  <r>
    <x v="18"/>
    <x v="3"/>
    <x v="2"/>
    <x v="6"/>
    <n v="0.5"/>
    <s v="fraction"/>
  </r>
  <r>
    <x v="18"/>
    <x v="3"/>
    <x v="2"/>
    <x v="5"/>
    <n v="1.4570000000000001"/>
    <s v="USD2022/GJ"/>
  </r>
  <r>
    <x v="18"/>
    <x v="4"/>
    <x v="0"/>
    <x v="0"/>
    <n v="1600"/>
    <s v="USD2022/kW"/>
  </r>
  <r>
    <x v="18"/>
    <x v="4"/>
    <x v="0"/>
    <x v="1"/>
    <n v="1600"/>
    <s v="USD2022/kW"/>
  </r>
  <r>
    <x v="18"/>
    <x v="4"/>
    <x v="0"/>
    <x v="2"/>
    <n v="1600"/>
    <s v="USD2022/kW"/>
  </r>
  <r>
    <x v="18"/>
    <x v="4"/>
    <x v="0"/>
    <x v="3"/>
    <n v="55"/>
    <s v="USD2022/kW-yr"/>
  </r>
  <r>
    <x v="18"/>
    <x v="4"/>
    <x v="0"/>
    <x v="4"/>
    <n v="0.35"/>
    <s v="fraction_LHV"/>
  </r>
  <r>
    <x v="18"/>
    <x v="4"/>
    <x v="0"/>
    <x v="6"/>
    <n v="0.7"/>
    <s v="fraction"/>
  </r>
  <r>
    <x v="18"/>
    <x v="4"/>
    <x v="0"/>
    <x v="5"/>
    <n v="1.4570000000000001"/>
    <s v="USD2022/GJ"/>
  </r>
  <r>
    <x v="18"/>
    <x v="4"/>
    <x v="1"/>
    <x v="0"/>
    <n v="1550"/>
    <s v="USD2022/kW"/>
  </r>
  <r>
    <x v="18"/>
    <x v="4"/>
    <x v="1"/>
    <x v="1"/>
    <n v="1550"/>
    <s v="USD2022/kW"/>
  </r>
  <r>
    <x v="18"/>
    <x v="4"/>
    <x v="1"/>
    <x v="2"/>
    <n v="1550"/>
    <s v="USD2022/kW"/>
  </r>
  <r>
    <x v="18"/>
    <x v="4"/>
    <x v="1"/>
    <x v="3"/>
    <n v="55"/>
    <s v="USD2022/kW-yr"/>
  </r>
  <r>
    <x v="18"/>
    <x v="4"/>
    <x v="1"/>
    <x v="4"/>
    <n v="0.35"/>
    <s v="fraction_LHV"/>
  </r>
  <r>
    <x v="18"/>
    <x v="4"/>
    <x v="1"/>
    <x v="6"/>
    <n v="0.7"/>
    <s v="fraction"/>
  </r>
  <r>
    <x v="18"/>
    <x v="4"/>
    <x v="1"/>
    <x v="5"/>
    <n v="1.4570000000000001"/>
    <s v="USD2022/GJ"/>
  </r>
  <r>
    <x v="18"/>
    <x v="4"/>
    <x v="2"/>
    <x v="0"/>
    <n v="1500"/>
    <s v="USD2022/kW"/>
  </r>
  <r>
    <x v="18"/>
    <x v="4"/>
    <x v="2"/>
    <x v="1"/>
    <n v="1500"/>
    <s v="USD2022/kW"/>
  </r>
  <r>
    <x v="18"/>
    <x v="4"/>
    <x v="2"/>
    <x v="2"/>
    <n v="1500"/>
    <s v="USD2022/kW"/>
  </r>
  <r>
    <x v="18"/>
    <x v="4"/>
    <x v="2"/>
    <x v="3"/>
    <n v="55"/>
    <s v="USD2022/kW-yr"/>
  </r>
  <r>
    <x v="18"/>
    <x v="4"/>
    <x v="2"/>
    <x v="4"/>
    <n v="0.35"/>
    <s v="fraction_LHV"/>
  </r>
  <r>
    <x v="18"/>
    <x v="4"/>
    <x v="2"/>
    <x v="6"/>
    <n v="0.7"/>
    <s v="fraction"/>
  </r>
  <r>
    <x v="18"/>
    <x v="4"/>
    <x v="2"/>
    <x v="5"/>
    <n v="1.4570000000000001"/>
    <s v="USD2022/GJ"/>
  </r>
  <r>
    <x v="18"/>
    <x v="5"/>
    <x v="0"/>
    <x v="0"/>
    <n v="2150"/>
    <s v="USD2022/kW"/>
  </r>
  <r>
    <x v="18"/>
    <x v="5"/>
    <x v="0"/>
    <x v="1"/>
    <n v="2150"/>
    <s v="USD2022/kW"/>
  </r>
  <r>
    <x v="18"/>
    <x v="5"/>
    <x v="0"/>
    <x v="2"/>
    <n v="2150"/>
    <s v="USD2022/kW"/>
  </r>
  <r>
    <x v="18"/>
    <x v="5"/>
    <x v="0"/>
    <x v="3"/>
    <n v="75"/>
    <s v="USD2022/kW-yr"/>
  </r>
  <r>
    <x v="18"/>
    <x v="5"/>
    <x v="0"/>
    <x v="4"/>
    <n v="0.35"/>
    <s v="fraction_LHV"/>
  </r>
  <r>
    <x v="18"/>
    <x v="5"/>
    <x v="0"/>
    <x v="6"/>
    <n v="0.6"/>
    <s v="fraction"/>
  </r>
  <r>
    <x v="18"/>
    <x v="5"/>
    <x v="0"/>
    <x v="5"/>
    <n v="1.4570000000000001"/>
    <s v="USD2022/GJ"/>
  </r>
  <r>
    <x v="18"/>
    <x v="5"/>
    <x v="1"/>
    <x v="0"/>
    <n v="2100"/>
    <s v="USD2022/kW"/>
  </r>
  <r>
    <x v="18"/>
    <x v="5"/>
    <x v="1"/>
    <x v="1"/>
    <n v="2100"/>
    <s v="USD2022/kW"/>
  </r>
  <r>
    <x v="18"/>
    <x v="5"/>
    <x v="1"/>
    <x v="2"/>
    <n v="2100"/>
    <s v="USD2022/kW"/>
  </r>
  <r>
    <x v="18"/>
    <x v="5"/>
    <x v="1"/>
    <x v="3"/>
    <n v="75"/>
    <s v="USD2022/kW-yr"/>
  </r>
  <r>
    <x v="18"/>
    <x v="5"/>
    <x v="1"/>
    <x v="4"/>
    <n v="0.35"/>
    <s v="fraction_LHV"/>
  </r>
  <r>
    <x v="18"/>
    <x v="5"/>
    <x v="1"/>
    <x v="6"/>
    <n v="0.6"/>
    <s v="fraction"/>
  </r>
  <r>
    <x v="18"/>
    <x v="5"/>
    <x v="1"/>
    <x v="5"/>
    <n v="1.4570000000000001"/>
    <s v="USD2022/GJ"/>
  </r>
  <r>
    <x v="18"/>
    <x v="5"/>
    <x v="2"/>
    <x v="0"/>
    <n v="2050"/>
    <s v="USD2022/kW"/>
  </r>
  <r>
    <x v="18"/>
    <x v="5"/>
    <x v="2"/>
    <x v="1"/>
    <n v="2050"/>
    <s v="USD2022/kW"/>
  </r>
  <r>
    <x v="18"/>
    <x v="5"/>
    <x v="2"/>
    <x v="2"/>
    <n v="2050"/>
    <s v="USD2022/kW"/>
  </r>
  <r>
    <x v="18"/>
    <x v="5"/>
    <x v="2"/>
    <x v="3"/>
    <n v="70"/>
    <s v="USD2022/kW-yr"/>
  </r>
  <r>
    <x v="18"/>
    <x v="5"/>
    <x v="2"/>
    <x v="4"/>
    <n v="0.35"/>
    <s v="fraction_LHV"/>
  </r>
  <r>
    <x v="18"/>
    <x v="5"/>
    <x v="2"/>
    <x v="6"/>
    <n v="0.6"/>
    <s v="fraction"/>
  </r>
  <r>
    <x v="18"/>
    <x v="5"/>
    <x v="2"/>
    <x v="5"/>
    <n v="1.4570000000000001"/>
    <s v="USD2022/GJ"/>
  </r>
  <r>
    <x v="18"/>
    <x v="6"/>
    <x v="0"/>
    <x v="0"/>
    <n v="2300"/>
    <s v="USD2022/kW"/>
  </r>
  <r>
    <x v="18"/>
    <x v="6"/>
    <x v="0"/>
    <x v="1"/>
    <n v="2300"/>
    <s v="USD2022/kW"/>
  </r>
  <r>
    <x v="18"/>
    <x v="6"/>
    <x v="0"/>
    <x v="2"/>
    <n v="2300"/>
    <s v="USD2022/kW"/>
  </r>
  <r>
    <x v="18"/>
    <x v="6"/>
    <x v="0"/>
    <x v="3"/>
    <n v="80"/>
    <s v="USD2022/kW-yr"/>
  </r>
  <r>
    <x v="18"/>
    <x v="6"/>
    <x v="0"/>
    <x v="4"/>
    <n v="0.35"/>
    <s v="fraction_LHV"/>
  </r>
  <r>
    <x v="18"/>
    <x v="6"/>
    <x v="0"/>
    <x v="6"/>
    <n v="0.8"/>
    <s v="fraction"/>
  </r>
  <r>
    <x v="18"/>
    <x v="6"/>
    <x v="0"/>
    <x v="5"/>
    <n v="1.4570000000000001"/>
    <s v="USD2022/GJ"/>
  </r>
  <r>
    <x v="18"/>
    <x v="6"/>
    <x v="1"/>
    <x v="0"/>
    <n v="2200"/>
    <s v="USD2022/kW"/>
  </r>
  <r>
    <x v="18"/>
    <x v="6"/>
    <x v="1"/>
    <x v="1"/>
    <n v="2200"/>
    <s v="USD2022/kW"/>
  </r>
  <r>
    <x v="18"/>
    <x v="6"/>
    <x v="1"/>
    <x v="2"/>
    <n v="2200"/>
    <s v="USD2022/kW"/>
  </r>
  <r>
    <x v="18"/>
    <x v="6"/>
    <x v="1"/>
    <x v="3"/>
    <n v="75"/>
    <s v="USD2022/kW-yr"/>
  </r>
  <r>
    <x v="18"/>
    <x v="6"/>
    <x v="1"/>
    <x v="4"/>
    <n v="0.35"/>
    <s v="fraction_LHV"/>
  </r>
  <r>
    <x v="18"/>
    <x v="6"/>
    <x v="1"/>
    <x v="6"/>
    <n v="0.8"/>
    <s v="fraction"/>
  </r>
  <r>
    <x v="18"/>
    <x v="6"/>
    <x v="1"/>
    <x v="5"/>
    <n v="1.4570000000000001"/>
    <s v="USD2022/GJ"/>
  </r>
  <r>
    <x v="18"/>
    <x v="6"/>
    <x v="2"/>
    <x v="0"/>
    <n v="2100"/>
    <s v="USD2022/kW"/>
  </r>
  <r>
    <x v="18"/>
    <x v="6"/>
    <x v="2"/>
    <x v="1"/>
    <n v="2100"/>
    <s v="USD2022/kW"/>
  </r>
  <r>
    <x v="18"/>
    <x v="6"/>
    <x v="2"/>
    <x v="2"/>
    <n v="2100"/>
    <s v="USD2022/kW"/>
  </r>
  <r>
    <x v="18"/>
    <x v="6"/>
    <x v="2"/>
    <x v="3"/>
    <n v="75"/>
    <s v="USD2022/kW-yr"/>
  </r>
  <r>
    <x v="18"/>
    <x v="6"/>
    <x v="2"/>
    <x v="4"/>
    <n v="0.35"/>
    <s v="fraction_LHV"/>
  </r>
  <r>
    <x v="18"/>
    <x v="6"/>
    <x v="2"/>
    <x v="6"/>
    <n v="0.8"/>
    <s v="fraction"/>
  </r>
  <r>
    <x v="18"/>
    <x v="6"/>
    <x v="2"/>
    <x v="5"/>
    <n v="1.4570000000000001"/>
    <s v="USD2022/GJ"/>
  </r>
  <r>
    <x v="18"/>
    <x v="7"/>
    <x v="0"/>
    <x v="0"/>
    <n v="2150"/>
    <s v="USD2022/kW"/>
  </r>
  <r>
    <x v="18"/>
    <x v="7"/>
    <x v="0"/>
    <x v="1"/>
    <n v="2150"/>
    <s v="USD2022/kW"/>
  </r>
  <r>
    <x v="18"/>
    <x v="7"/>
    <x v="0"/>
    <x v="2"/>
    <n v="2150"/>
    <s v="USD2022/kW"/>
  </r>
  <r>
    <x v="18"/>
    <x v="7"/>
    <x v="0"/>
    <x v="3"/>
    <n v="75"/>
    <s v="USD2022/kW-yr"/>
  </r>
  <r>
    <x v="18"/>
    <x v="7"/>
    <x v="0"/>
    <x v="4"/>
    <n v="0.35"/>
    <s v="fraction_LHV"/>
  </r>
  <r>
    <x v="18"/>
    <x v="7"/>
    <x v="0"/>
    <x v="6"/>
    <n v="0.5"/>
    <s v="fraction"/>
  </r>
  <r>
    <x v="18"/>
    <x v="7"/>
    <x v="0"/>
    <x v="5"/>
    <n v="1.4570000000000001"/>
    <s v="USD2022/GJ"/>
  </r>
  <r>
    <x v="18"/>
    <x v="7"/>
    <x v="1"/>
    <x v="0"/>
    <n v="2100"/>
    <s v="USD2022/kW"/>
  </r>
  <r>
    <x v="18"/>
    <x v="7"/>
    <x v="1"/>
    <x v="1"/>
    <n v="2100"/>
    <s v="USD2022/kW"/>
  </r>
  <r>
    <x v="18"/>
    <x v="7"/>
    <x v="1"/>
    <x v="2"/>
    <n v="2100"/>
    <s v="USD2022/kW"/>
  </r>
  <r>
    <x v="18"/>
    <x v="7"/>
    <x v="1"/>
    <x v="3"/>
    <n v="75"/>
    <s v="USD2022/kW-yr"/>
  </r>
  <r>
    <x v="18"/>
    <x v="7"/>
    <x v="1"/>
    <x v="4"/>
    <n v="0.35"/>
    <s v="fraction_LHV"/>
  </r>
  <r>
    <x v="18"/>
    <x v="7"/>
    <x v="1"/>
    <x v="6"/>
    <n v="0.5"/>
    <s v="fraction"/>
  </r>
  <r>
    <x v="18"/>
    <x v="7"/>
    <x v="1"/>
    <x v="5"/>
    <n v="1.4570000000000001"/>
    <s v="USD2022/GJ"/>
  </r>
  <r>
    <x v="18"/>
    <x v="7"/>
    <x v="2"/>
    <x v="0"/>
    <n v="2000"/>
    <s v="USD2022/kW"/>
  </r>
  <r>
    <x v="18"/>
    <x v="7"/>
    <x v="2"/>
    <x v="1"/>
    <n v="2000"/>
    <s v="USD2022/kW"/>
  </r>
  <r>
    <x v="18"/>
    <x v="7"/>
    <x v="2"/>
    <x v="2"/>
    <n v="2000"/>
    <s v="USD2022/kW"/>
  </r>
  <r>
    <x v="18"/>
    <x v="7"/>
    <x v="2"/>
    <x v="3"/>
    <n v="70"/>
    <s v="USD2022/kW-yr"/>
  </r>
  <r>
    <x v="18"/>
    <x v="7"/>
    <x v="2"/>
    <x v="4"/>
    <n v="0.35"/>
    <s v="fraction_LHV"/>
  </r>
  <r>
    <x v="18"/>
    <x v="7"/>
    <x v="2"/>
    <x v="6"/>
    <n v="0.5"/>
    <s v="fraction"/>
  </r>
  <r>
    <x v="18"/>
    <x v="7"/>
    <x v="2"/>
    <x v="5"/>
    <n v="1.4570000000000001"/>
    <s v="USD2022/GJ"/>
  </r>
  <r>
    <x v="18"/>
    <x v="8"/>
    <x v="0"/>
    <x v="0"/>
    <n v="2200"/>
    <s v="USD2022/kW"/>
  </r>
  <r>
    <x v="18"/>
    <x v="8"/>
    <x v="0"/>
    <x v="1"/>
    <n v="2200"/>
    <s v="USD2022/kW"/>
  </r>
  <r>
    <x v="18"/>
    <x v="8"/>
    <x v="0"/>
    <x v="2"/>
    <n v="2200"/>
    <s v="USD2022/kW"/>
  </r>
  <r>
    <x v="18"/>
    <x v="8"/>
    <x v="0"/>
    <x v="3"/>
    <n v="75"/>
    <s v="USD2022/kW-yr"/>
  </r>
  <r>
    <x v="18"/>
    <x v="8"/>
    <x v="0"/>
    <x v="4"/>
    <n v="0.35"/>
    <s v="fraction_LHV"/>
  </r>
  <r>
    <x v="18"/>
    <x v="8"/>
    <x v="0"/>
    <x v="6"/>
    <n v="0.4"/>
    <s v="fraction"/>
  </r>
  <r>
    <x v="18"/>
    <x v="8"/>
    <x v="0"/>
    <x v="5"/>
    <n v="1.4570000000000001"/>
    <s v="USD2022/GJ"/>
  </r>
  <r>
    <x v="18"/>
    <x v="8"/>
    <x v="1"/>
    <x v="0"/>
    <n v="2150"/>
    <s v="USD2022/kW"/>
  </r>
  <r>
    <x v="18"/>
    <x v="8"/>
    <x v="1"/>
    <x v="1"/>
    <n v="2150"/>
    <s v="USD2022/kW"/>
  </r>
  <r>
    <x v="18"/>
    <x v="8"/>
    <x v="1"/>
    <x v="2"/>
    <n v="2150"/>
    <s v="USD2022/kW"/>
  </r>
  <r>
    <x v="18"/>
    <x v="8"/>
    <x v="1"/>
    <x v="3"/>
    <n v="75"/>
    <s v="USD2022/kW-yr"/>
  </r>
  <r>
    <x v="18"/>
    <x v="8"/>
    <x v="1"/>
    <x v="4"/>
    <n v="0.35"/>
    <s v="fraction_LHV"/>
  </r>
  <r>
    <x v="18"/>
    <x v="8"/>
    <x v="1"/>
    <x v="6"/>
    <n v="0.4"/>
    <s v="fraction"/>
  </r>
  <r>
    <x v="18"/>
    <x v="8"/>
    <x v="1"/>
    <x v="5"/>
    <n v="1.4570000000000001"/>
    <s v="USD2022/GJ"/>
  </r>
  <r>
    <x v="18"/>
    <x v="8"/>
    <x v="2"/>
    <x v="0"/>
    <n v="2100"/>
    <s v="USD2022/kW"/>
  </r>
  <r>
    <x v="18"/>
    <x v="8"/>
    <x v="2"/>
    <x v="1"/>
    <n v="2100"/>
    <s v="USD2022/kW"/>
  </r>
  <r>
    <x v="18"/>
    <x v="8"/>
    <x v="2"/>
    <x v="2"/>
    <n v="2100"/>
    <s v="USD2022/kW"/>
  </r>
  <r>
    <x v="18"/>
    <x v="8"/>
    <x v="2"/>
    <x v="3"/>
    <n v="75"/>
    <s v="USD2022/kW-yr"/>
  </r>
  <r>
    <x v="18"/>
    <x v="8"/>
    <x v="2"/>
    <x v="4"/>
    <n v="0.35"/>
    <s v="fraction_LHV"/>
  </r>
  <r>
    <x v="18"/>
    <x v="8"/>
    <x v="2"/>
    <x v="6"/>
    <n v="0.4"/>
    <s v="fraction"/>
  </r>
  <r>
    <x v="18"/>
    <x v="8"/>
    <x v="2"/>
    <x v="5"/>
    <n v="1.4570000000000001"/>
    <s v="USD2022/GJ"/>
  </r>
  <r>
    <x v="19"/>
    <x v="0"/>
    <x v="0"/>
    <x v="0"/>
    <n v="600"/>
    <s v="USD2022/kW"/>
  </r>
  <r>
    <x v="19"/>
    <x v="0"/>
    <x v="0"/>
    <x v="1"/>
    <n v="600"/>
    <s v="USD2022/kW"/>
  </r>
  <r>
    <x v="19"/>
    <x v="0"/>
    <x v="0"/>
    <x v="2"/>
    <n v="600"/>
    <s v="USD2022/kW"/>
  </r>
  <r>
    <x v="19"/>
    <x v="0"/>
    <x v="0"/>
    <x v="3"/>
    <n v="25"/>
    <s v="USD2022/kW-yr"/>
  </r>
  <r>
    <x v="19"/>
    <x v="0"/>
    <x v="0"/>
    <x v="4"/>
    <n v="0.37"/>
    <s v="fraction_LHV"/>
  </r>
  <r>
    <x v="19"/>
    <x v="0"/>
    <x v="0"/>
    <x v="6"/>
    <n v="0.6"/>
    <s v="fraction"/>
  </r>
  <r>
    <x v="19"/>
    <x v="0"/>
    <x v="0"/>
    <x v="5"/>
    <n v="1.111"/>
    <s v="USD2022/GJ"/>
  </r>
  <r>
    <x v="19"/>
    <x v="0"/>
    <x v="1"/>
    <x v="0"/>
    <n v="575"/>
    <s v="USD2022/kW"/>
  </r>
  <r>
    <x v="19"/>
    <x v="0"/>
    <x v="1"/>
    <x v="1"/>
    <n v="575"/>
    <s v="USD2022/kW"/>
  </r>
  <r>
    <x v="19"/>
    <x v="0"/>
    <x v="1"/>
    <x v="2"/>
    <n v="575"/>
    <s v="USD2022/kW"/>
  </r>
  <r>
    <x v="19"/>
    <x v="0"/>
    <x v="1"/>
    <x v="3"/>
    <n v="20"/>
    <s v="USD2022/kW-yr"/>
  </r>
  <r>
    <x v="19"/>
    <x v="0"/>
    <x v="1"/>
    <x v="4"/>
    <n v="0.37"/>
    <s v="fraction_LHV"/>
  </r>
  <r>
    <x v="19"/>
    <x v="0"/>
    <x v="1"/>
    <x v="6"/>
    <n v="0.6"/>
    <s v="fraction"/>
  </r>
  <r>
    <x v="19"/>
    <x v="0"/>
    <x v="1"/>
    <x v="5"/>
    <n v="1.111"/>
    <s v="USD2022/GJ"/>
  </r>
  <r>
    <x v="19"/>
    <x v="0"/>
    <x v="2"/>
    <x v="0"/>
    <n v="575"/>
    <s v="USD2022/kW"/>
  </r>
  <r>
    <x v="19"/>
    <x v="0"/>
    <x v="2"/>
    <x v="1"/>
    <n v="575"/>
    <s v="USD2022/kW"/>
  </r>
  <r>
    <x v="19"/>
    <x v="0"/>
    <x v="2"/>
    <x v="2"/>
    <n v="575"/>
    <s v="USD2022/kW"/>
  </r>
  <r>
    <x v="19"/>
    <x v="0"/>
    <x v="2"/>
    <x v="3"/>
    <n v="20"/>
    <s v="USD2022/kW-yr"/>
  </r>
  <r>
    <x v="19"/>
    <x v="0"/>
    <x v="2"/>
    <x v="4"/>
    <n v="0.37"/>
    <s v="fraction_LHV"/>
  </r>
  <r>
    <x v="19"/>
    <x v="0"/>
    <x v="2"/>
    <x v="6"/>
    <n v="0.6"/>
    <s v="fraction"/>
  </r>
  <r>
    <x v="19"/>
    <x v="0"/>
    <x v="2"/>
    <x v="5"/>
    <n v="1.111"/>
    <s v="USD2022/GJ"/>
  </r>
  <r>
    <x v="19"/>
    <x v="1"/>
    <x v="0"/>
    <x v="0"/>
    <n v="625"/>
    <s v="USD2022/kW"/>
  </r>
  <r>
    <x v="19"/>
    <x v="1"/>
    <x v="0"/>
    <x v="1"/>
    <n v="625"/>
    <s v="USD2022/kW"/>
  </r>
  <r>
    <x v="19"/>
    <x v="1"/>
    <x v="0"/>
    <x v="2"/>
    <n v="625"/>
    <s v="USD2022/kW"/>
  </r>
  <r>
    <x v="19"/>
    <x v="1"/>
    <x v="0"/>
    <x v="3"/>
    <n v="25"/>
    <s v="USD2022/kW-yr"/>
  </r>
  <r>
    <x v="19"/>
    <x v="1"/>
    <x v="0"/>
    <x v="4"/>
    <n v="0.37"/>
    <s v="fraction_LHV"/>
  </r>
  <r>
    <x v="19"/>
    <x v="1"/>
    <x v="0"/>
    <x v="6"/>
    <n v="0.7"/>
    <s v="fraction"/>
  </r>
  <r>
    <x v="19"/>
    <x v="1"/>
    <x v="0"/>
    <x v="5"/>
    <n v="1.111"/>
    <s v="USD2022/GJ"/>
  </r>
  <r>
    <x v="19"/>
    <x v="1"/>
    <x v="1"/>
    <x v="0"/>
    <n v="625"/>
    <s v="USD2022/kW"/>
  </r>
  <r>
    <x v="19"/>
    <x v="1"/>
    <x v="1"/>
    <x v="1"/>
    <n v="625"/>
    <s v="USD2022/kW"/>
  </r>
  <r>
    <x v="19"/>
    <x v="1"/>
    <x v="1"/>
    <x v="2"/>
    <n v="625"/>
    <s v="USD2022/kW"/>
  </r>
  <r>
    <x v="19"/>
    <x v="1"/>
    <x v="1"/>
    <x v="3"/>
    <n v="25"/>
    <s v="USD2022/kW-yr"/>
  </r>
  <r>
    <x v="19"/>
    <x v="1"/>
    <x v="1"/>
    <x v="4"/>
    <n v="0.37"/>
    <s v="fraction_LHV"/>
  </r>
  <r>
    <x v="19"/>
    <x v="1"/>
    <x v="1"/>
    <x v="6"/>
    <n v="0.7"/>
    <s v="fraction"/>
  </r>
  <r>
    <x v="19"/>
    <x v="1"/>
    <x v="1"/>
    <x v="5"/>
    <n v="1.111"/>
    <s v="USD2022/GJ"/>
  </r>
  <r>
    <x v="19"/>
    <x v="1"/>
    <x v="2"/>
    <x v="0"/>
    <n v="600"/>
    <s v="USD2022/kW"/>
  </r>
  <r>
    <x v="19"/>
    <x v="1"/>
    <x v="2"/>
    <x v="1"/>
    <n v="600"/>
    <s v="USD2022/kW"/>
  </r>
  <r>
    <x v="19"/>
    <x v="1"/>
    <x v="2"/>
    <x v="2"/>
    <n v="600"/>
    <s v="USD2022/kW"/>
  </r>
  <r>
    <x v="19"/>
    <x v="1"/>
    <x v="2"/>
    <x v="3"/>
    <n v="25"/>
    <s v="USD2022/kW-yr"/>
  </r>
  <r>
    <x v="19"/>
    <x v="1"/>
    <x v="2"/>
    <x v="4"/>
    <n v="0.37"/>
    <s v="fraction_LHV"/>
  </r>
  <r>
    <x v="19"/>
    <x v="1"/>
    <x v="2"/>
    <x v="6"/>
    <n v="0.7"/>
    <s v="fraction"/>
  </r>
  <r>
    <x v="19"/>
    <x v="1"/>
    <x v="2"/>
    <x v="5"/>
    <n v="1.111"/>
    <s v="USD2022/GJ"/>
  </r>
  <r>
    <x v="19"/>
    <x v="2"/>
    <x v="0"/>
    <x v="0"/>
    <n v="600"/>
    <s v="USD2022/kW"/>
  </r>
  <r>
    <x v="19"/>
    <x v="2"/>
    <x v="0"/>
    <x v="1"/>
    <n v="600"/>
    <s v="USD2022/kW"/>
  </r>
  <r>
    <x v="19"/>
    <x v="2"/>
    <x v="0"/>
    <x v="2"/>
    <n v="600"/>
    <s v="USD2022/kW"/>
  </r>
  <r>
    <x v="19"/>
    <x v="2"/>
    <x v="0"/>
    <x v="3"/>
    <n v="25"/>
    <s v="USD2022/kW-yr"/>
  </r>
  <r>
    <x v="19"/>
    <x v="2"/>
    <x v="0"/>
    <x v="4"/>
    <n v="0.37"/>
    <s v="fraction_LHV"/>
  </r>
  <r>
    <x v="19"/>
    <x v="2"/>
    <x v="0"/>
    <x v="6"/>
    <n v="0.8"/>
    <s v="fraction"/>
  </r>
  <r>
    <x v="19"/>
    <x v="2"/>
    <x v="0"/>
    <x v="5"/>
    <n v="1.111"/>
    <s v="USD2022/GJ"/>
  </r>
  <r>
    <x v="19"/>
    <x v="2"/>
    <x v="1"/>
    <x v="0"/>
    <n v="575"/>
    <s v="USD2022/kW"/>
  </r>
  <r>
    <x v="19"/>
    <x v="2"/>
    <x v="1"/>
    <x v="1"/>
    <n v="575"/>
    <s v="USD2022/kW"/>
  </r>
  <r>
    <x v="19"/>
    <x v="2"/>
    <x v="1"/>
    <x v="2"/>
    <n v="575"/>
    <s v="USD2022/kW"/>
  </r>
  <r>
    <x v="19"/>
    <x v="2"/>
    <x v="1"/>
    <x v="3"/>
    <n v="20"/>
    <s v="USD2022/kW-yr"/>
  </r>
  <r>
    <x v="19"/>
    <x v="2"/>
    <x v="1"/>
    <x v="4"/>
    <n v="0.37"/>
    <s v="fraction_LHV"/>
  </r>
  <r>
    <x v="19"/>
    <x v="2"/>
    <x v="1"/>
    <x v="6"/>
    <n v="0.8"/>
    <s v="fraction"/>
  </r>
  <r>
    <x v="19"/>
    <x v="2"/>
    <x v="1"/>
    <x v="5"/>
    <n v="1.111"/>
    <s v="USD2022/GJ"/>
  </r>
  <r>
    <x v="19"/>
    <x v="2"/>
    <x v="2"/>
    <x v="0"/>
    <n v="575"/>
    <s v="USD2022/kW"/>
  </r>
  <r>
    <x v="19"/>
    <x v="2"/>
    <x v="2"/>
    <x v="1"/>
    <n v="575"/>
    <s v="USD2022/kW"/>
  </r>
  <r>
    <x v="19"/>
    <x v="2"/>
    <x v="2"/>
    <x v="2"/>
    <n v="575"/>
    <s v="USD2022/kW"/>
  </r>
  <r>
    <x v="19"/>
    <x v="2"/>
    <x v="2"/>
    <x v="3"/>
    <n v="20"/>
    <s v="USD2022/kW-yr"/>
  </r>
  <r>
    <x v="19"/>
    <x v="2"/>
    <x v="2"/>
    <x v="4"/>
    <n v="0.37"/>
    <s v="fraction_LHV"/>
  </r>
  <r>
    <x v="19"/>
    <x v="2"/>
    <x v="2"/>
    <x v="6"/>
    <n v="0.8"/>
    <s v="fraction"/>
  </r>
  <r>
    <x v="19"/>
    <x v="2"/>
    <x v="2"/>
    <x v="5"/>
    <n v="1.111"/>
    <s v="USD2022/GJ"/>
  </r>
  <r>
    <x v="19"/>
    <x v="3"/>
    <x v="0"/>
    <x v="0"/>
    <n v="575"/>
    <s v="USD2022/kW"/>
  </r>
  <r>
    <x v="19"/>
    <x v="3"/>
    <x v="0"/>
    <x v="1"/>
    <n v="575"/>
    <s v="USD2022/kW"/>
  </r>
  <r>
    <x v="19"/>
    <x v="3"/>
    <x v="0"/>
    <x v="2"/>
    <n v="575"/>
    <s v="USD2022/kW"/>
  </r>
  <r>
    <x v="19"/>
    <x v="3"/>
    <x v="0"/>
    <x v="3"/>
    <n v="20"/>
    <s v="USD2022/kW-yr"/>
  </r>
  <r>
    <x v="19"/>
    <x v="3"/>
    <x v="0"/>
    <x v="4"/>
    <n v="0.37"/>
    <s v="fraction_LHV"/>
  </r>
  <r>
    <x v="19"/>
    <x v="3"/>
    <x v="0"/>
    <x v="6"/>
    <n v="0.6"/>
    <s v="fraction"/>
  </r>
  <r>
    <x v="19"/>
    <x v="3"/>
    <x v="0"/>
    <x v="5"/>
    <n v="1.111"/>
    <s v="USD2022/GJ"/>
  </r>
  <r>
    <x v="19"/>
    <x v="3"/>
    <x v="1"/>
    <x v="0"/>
    <n v="550"/>
    <s v="USD2022/kW"/>
  </r>
  <r>
    <x v="19"/>
    <x v="3"/>
    <x v="1"/>
    <x v="1"/>
    <n v="550"/>
    <s v="USD2022/kW"/>
  </r>
  <r>
    <x v="19"/>
    <x v="3"/>
    <x v="1"/>
    <x v="2"/>
    <n v="550"/>
    <s v="USD2022/kW"/>
  </r>
  <r>
    <x v="19"/>
    <x v="3"/>
    <x v="1"/>
    <x v="3"/>
    <n v="20"/>
    <s v="USD2022/kW-yr"/>
  </r>
  <r>
    <x v="19"/>
    <x v="3"/>
    <x v="1"/>
    <x v="4"/>
    <n v="0.37"/>
    <s v="fraction_LHV"/>
  </r>
  <r>
    <x v="19"/>
    <x v="3"/>
    <x v="1"/>
    <x v="6"/>
    <n v="0.6"/>
    <s v="fraction"/>
  </r>
  <r>
    <x v="19"/>
    <x v="3"/>
    <x v="1"/>
    <x v="5"/>
    <n v="1.111"/>
    <s v="USD2022/GJ"/>
  </r>
  <r>
    <x v="19"/>
    <x v="3"/>
    <x v="2"/>
    <x v="0"/>
    <n v="525"/>
    <s v="USD2022/kW"/>
  </r>
  <r>
    <x v="19"/>
    <x v="3"/>
    <x v="2"/>
    <x v="1"/>
    <n v="525"/>
    <s v="USD2022/kW"/>
  </r>
  <r>
    <x v="19"/>
    <x v="3"/>
    <x v="2"/>
    <x v="2"/>
    <n v="525"/>
    <s v="USD2022/kW"/>
  </r>
  <r>
    <x v="19"/>
    <x v="3"/>
    <x v="2"/>
    <x v="3"/>
    <n v="20"/>
    <s v="USD2022/kW-yr"/>
  </r>
  <r>
    <x v="19"/>
    <x v="3"/>
    <x v="2"/>
    <x v="4"/>
    <n v="0.37"/>
    <s v="fraction_LHV"/>
  </r>
  <r>
    <x v="19"/>
    <x v="3"/>
    <x v="2"/>
    <x v="6"/>
    <n v="0.6"/>
    <s v="fraction"/>
  </r>
  <r>
    <x v="19"/>
    <x v="3"/>
    <x v="2"/>
    <x v="5"/>
    <n v="1.111"/>
    <s v="USD2022/GJ"/>
  </r>
  <r>
    <x v="19"/>
    <x v="4"/>
    <x v="0"/>
    <x v="0"/>
    <n v="400"/>
    <s v="USD2022/kW"/>
  </r>
  <r>
    <x v="19"/>
    <x v="4"/>
    <x v="0"/>
    <x v="1"/>
    <n v="400"/>
    <s v="USD2022/kW"/>
  </r>
  <r>
    <x v="19"/>
    <x v="4"/>
    <x v="0"/>
    <x v="2"/>
    <n v="400"/>
    <s v="USD2022/kW"/>
  </r>
  <r>
    <x v="19"/>
    <x v="4"/>
    <x v="0"/>
    <x v="3"/>
    <n v="15"/>
    <s v="USD2022/kW-yr"/>
  </r>
  <r>
    <x v="19"/>
    <x v="4"/>
    <x v="0"/>
    <x v="4"/>
    <n v="0.37"/>
    <s v="fraction_LHV"/>
  </r>
  <r>
    <x v="19"/>
    <x v="4"/>
    <x v="0"/>
    <x v="6"/>
    <n v="0.8"/>
    <s v="fraction"/>
  </r>
  <r>
    <x v="19"/>
    <x v="4"/>
    <x v="0"/>
    <x v="5"/>
    <n v="1.111"/>
    <s v="USD2022/GJ"/>
  </r>
  <r>
    <x v="19"/>
    <x v="4"/>
    <x v="1"/>
    <x v="0"/>
    <n v="400"/>
    <s v="USD2022/kW"/>
  </r>
  <r>
    <x v="19"/>
    <x v="4"/>
    <x v="1"/>
    <x v="1"/>
    <n v="400"/>
    <s v="USD2022/kW"/>
  </r>
  <r>
    <x v="19"/>
    <x v="4"/>
    <x v="1"/>
    <x v="2"/>
    <n v="400"/>
    <s v="USD2022/kW"/>
  </r>
  <r>
    <x v="19"/>
    <x v="4"/>
    <x v="1"/>
    <x v="3"/>
    <n v="15"/>
    <s v="USD2022/kW-yr"/>
  </r>
  <r>
    <x v="19"/>
    <x v="4"/>
    <x v="1"/>
    <x v="4"/>
    <n v="0.37"/>
    <s v="fraction_LHV"/>
  </r>
  <r>
    <x v="19"/>
    <x v="4"/>
    <x v="1"/>
    <x v="6"/>
    <n v="0.8"/>
    <s v="fraction"/>
  </r>
  <r>
    <x v="19"/>
    <x v="4"/>
    <x v="1"/>
    <x v="5"/>
    <n v="1.111"/>
    <s v="USD2022/GJ"/>
  </r>
  <r>
    <x v="19"/>
    <x v="4"/>
    <x v="2"/>
    <x v="0"/>
    <n v="375"/>
    <s v="USD2022/kW"/>
  </r>
  <r>
    <x v="19"/>
    <x v="4"/>
    <x v="2"/>
    <x v="1"/>
    <n v="375"/>
    <s v="USD2022/kW"/>
  </r>
  <r>
    <x v="19"/>
    <x v="4"/>
    <x v="2"/>
    <x v="2"/>
    <n v="375"/>
    <s v="USD2022/kW"/>
  </r>
  <r>
    <x v="19"/>
    <x v="4"/>
    <x v="2"/>
    <x v="3"/>
    <n v="15"/>
    <s v="USD2022/kW-yr"/>
  </r>
  <r>
    <x v="19"/>
    <x v="4"/>
    <x v="2"/>
    <x v="4"/>
    <n v="0.37"/>
    <s v="fraction_LHV"/>
  </r>
  <r>
    <x v="19"/>
    <x v="4"/>
    <x v="2"/>
    <x v="6"/>
    <n v="0.8"/>
    <s v="fraction"/>
  </r>
  <r>
    <x v="19"/>
    <x v="4"/>
    <x v="2"/>
    <x v="5"/>
    <n v="1.111"/>
    <s v="USD2022/GJ"/>
  </r>
  <r>
    <x v="19"/>
    <x v="5"/>
    <x v="0"/>
    <x v="0"/>
    <n v="550"/>
    <s v="USD2022/kW"/>
  </r>
  <r>
    <x v="19"/>
    <x v="5"/>
    <x v="0"/>
    <x v="1"/>
    <n v="550"/>
    <s v="USD2022/kW"/>
  </r>
  <r>
    <x v="19"/>
    <x v="5"/>
    <x v="0"/>
    <x v="2"/>
    <n v="550"/>
    <s v="USD2022/kW"/>
  </r>
  <r>
    <x v="19"/>
    <x v="5"/>
    <x v="0"/>
    <x v="3"/>
    <n v="20"/>
    <s v="USD2022/kW-yr"/>
  </r>
  <r>
    <x v="19"/>
    <x v="5"/>
    <x v="0"/>
    <x v="4"/>
    <n v="0.37"/>
    <s v="fraction_LHV"/>
  </r>
  <r>
    <x v="19"/>
    <x v="5"/>
    <x v="0"/>
    <x v="6"/>
    <n v="0.6"/>
    <s v="fraction"/>
  </r>
  <r>
    <x v="19"/>
    <x v="5"/>
    <x v="0"/>
    <x v="5"/>
    <n v="1.111"/>
    <s v="USD2022/GJ"/>
  </r>
  <r>
    <x v="19"/>
    <x v="5"/>
    <x v="1"/>
    <x v="0"/>
    <n v="550"/>
    <s v="USD2022/kW"/>
  </r>
  <r>
    <x v="19"/>
    <x v="5"/>
    <x v="1"/>
    <x v="1"/>
    <n v="550"/>
    <s v="USD2022/kW"/>
  </r>
  <r>
    <x v="19"/>
    <x v="5"/>
    <x v="1"/>
    <x v="2"/>
    <n v="550"/>
    <s v="USD2022/kW"/>
  </r>
  <r>
    <x v="19"/>
    <x v="5"/>
    <x v="1"/>
    <x v="3"/>
    <n v="20"/>
    <s v="USD2022/kW-yr"/>
  </r>
  <r>
    <x v="19"/>
    <x v="5"/>
    <x v="1"/>
    <x v="4"/>
    <n v="0.37"/>
    <s v="fraction_LHV"/>
  </r>
  <r>
    <x v="19"/>
    <x v="5"/>
    <x v="1"/>
    <x v="6"/>
    <n v="0.6"/>
    <s v="fraction"/>
  </r>
  <r>
    <x v="19"/>
    <x v="5"/>
    <x v="1"/>
    <x v="5"/>
    <n v="1.111"/>
    <s v="USD2022/GJ"/>
  </r>
  <r>
    <x v="19"/>
    <x v="5"/>
    <x v="2"/>
    <x v="0"/>
    <n v="525"/>
    <s v="USD2022/kW"/>
  </r>
  <r>
    <x v="19"/>
    <x v="5"/>
    <x v="2"/>
    <x v="1"/>
    <n v="525"/>
    <s v="USD2022/kW"/>
  </r>
  <r>
    <x v="19"/>
    <x v="5"/>
    <x v="2"/>
    <x v="2"/>
    <n v="525"/>
    <s v="USD2022/kW"/>
  </r>
  <r>
    <x v="19"/>
    <x v="5"/>
    <x v="2"/>
    <x v="3"/>
    <n v="20"/>
    <s v="USD2022/kW-yr"/>
  </r>
  <r>
    <x v="19"/>
    <x v="5"/>
    <x v="2"/>
    <x v="4"/>
    <n v="0.37"/>
    <s v="fraction_LHV"/>
  </r>
  <r>
    <x v="19"/>
    <x v="5"/>
    <x v="2"/>
    <x v="6"/>
    <n v="0.6"/>
    <s v="fraction"/>
  </r>
  <r>
    <x v="19"/>
    <x v="5"/>
    <x v="2"/>
    <x v="5"/>
    <n v="1.111"/>
    <s v="USD2022/GJ"/>
  </r>
  <r>
    <x v="19"/>
    <x v="6"/>
    <x v="0"/>
    <x v="0"/>
    <n v="575"/>
    <s v="USD2022/kW"/>
  </r>
  <r>
    <x v="19"/>
    <x v="6"/>
    <x v="0"/>
    <x v="1"/>
    <n v="575"/>
    <s v="USD2022/kW"/>
  </r>
  <r>
    <x v="19"/>
    <x v="6"/>
    <x v="0"/>
    <x v="2"/>
    <n v="575"/>
    <s v="USD2022/kW"/>
  </r>
  <r>
    <x v="19"/>
    <x v="6"/>
    <x v="0"/>
    <x v="3"/>
    <n v="20"/>
    <s v="USD2022/kW-yr"/>
  </r>
  <r>
    <x v="19"/>
    <x v="6"/>
    <x v="0"/>
    <x v="4"/>
    <n v="0.37"/>
    <s v="fraction_LHV"/>
  </r>
  <r>
    <x v="19"/>
    <x v="6"/>
    <x v="0"/>
    <x v="6"/>
    <n v="0.6"/>
    <s v="fraction"/>
  </r>
  <r>
    <x v="19"/>
    <x v="6"/>
    <x v="0"/>
    <x v="5"/>
    <n v="1.111"/>
    <s v="USD2022/GJ"/>
  </r>
  <r>
    <x v="19"/>
    <x v="6"/>
    <x v="1"/>
    <x v="0"/>
    <n v="550"/>
    <s v="USD2022/kW"/>
  </r>
  <r>
    <x v="19"/>
    <x v="6"/>
    <x v="1"/>
    <x v="1"/>
    <n v="550"/>
    <s v="USD2022/kW"/>
  </r>
  <r>
    <x v="19"/>
    <x v="6"/>
    <x v="1"/>
    <x v="2"/>
    <n v="550"/>
    <s v="USD2022/kW"/>
  </r>
  <r>
    <x v="19"/>
    <x v="6"/>
    <x v="1"/>
    <x v="3"/>
    <n v="20"/>
    <s v="USD2022/kW-yr"/>
  </r>
  <r>
    <x v="19"/>
    <x v="6"/>
    <x v="1"/>
    <x v="4"/>
    <n v="0.37"/>
    <s v="fraction_LHV"/>
  </r>
  <r>
    <x v="19"/>
    <x v="6"/>
    <x v="1"/>
    <x v="6"/>
    <n v="0.6"/>
    <s v="fraction"/>
  </r>
  <r>
    <x v="19"/>
    <x v="6"/>
    <x v="1"/>
    <x v="5"/>
    <n v="1.111"/>
    <s v="USD2022/GJ"/>
  </r>
  <r>
    <x v="19"/>
    <x v="6"/>
    <x v="2"/>
    <x v="0"/>
    <n v="525"/>
    <s v="USD2022/kW"/>
  </r>
  <r>
    <x v="19"/>
    <x v="6"/>
    <x v="2"/>
    <x v="1"/>
    <n v="525"/>
    <s v="USD2022/kW"/>
  </r>
  <r>
    <x v="19"/>
    <x v="6"/>
    <x v="2"/>
    <x v="2"/>
    <n v="525"/>
    <s v="USD2022/kW"/>
  </r>
  <r>
    <x v="19"/>
    <x v="6"/>
    <x v="2"/>
    <x v="3"/>
    <n v="20"/>
    <s v="USD2022/kW-yr"/>
  </r>
  <r>
    <x v="19"/>
    <x v="6"/>
    <x v="2"/>
    <x v="4"/>
    <n v="0.37"/>
    <s v="fraction_LHV"/>
  </r>
  <r>
    <x v="19"/>
    <x v="6"/>
    <x v="2"/>
    <x v="6"/>
    <n v="0.6"/>
    <s v="fraction"/>
  </r>
  <r>
    <x v="19"/>
    <x v="6"/>
    <x v="2"/>
    <x v="5"/>
    <n v="1.111"/>
    <s v="USD2022/GJ"/>
  </r>
  <r>
    <x v="19"/>
    <x v="7"/>
    <x v="0"/>
    <x v="0"/>
    <n v="525"/>
    <s v="USD2022/kW"/>
  </r>
  <r>
    <x v="19"/>
    <x v="7"/>
    <x v="0"/>
    <x v="1"/>
    <n v="525"/>
    <s v="USD2022/kW"/>
  </r>
  <r>
    <x v="19"/>
    <x v="7"/>
    <x v="0"/>
    <x v="2"/>
    <n v="525"/>
    <s v="USD2022/kW"/>
  </r>
  <r>
    <x v="19"/>
    <x v="7"/>
    <x v="0"/>
    <x v="3"/>
    <n v="20"/>
    <s v="USD2022/kW-yr"/>
  </r>
  <r>
    <x v="19"/>
    <x v="7"/>
    <x v="0"/>
    <x v="4"/>
    <n v="0.37"/>
    <s v="fraction_LHV"/>
  </r>
  <r>
    <x v="19"/>
    <x v="7"/>
    <x v="0"/>
    <x v="6"/>
    <n v="0.4"/>
    <s v="fraction"/>
  </r>
  <r>
    <x v="19"/>
    <x v="7"/>
    <x v="0"/>
    <x v="5"/>
    <n v="1.111"/>
    <s v="USD2022/GJ"/>
  </r>
  <r>
    <x v="19"/>
    <x v="7"/>
    <x v="1"/>
    <x v="0"/>
    <n v="500"/>
    <s v="USD2022/kW"/>
  </r>
  <r>
    <x v="19"/>
    <x v="7"/>
    <x v="1"/>
    <x v="1"/>
    <n v="500"/>
    <s v="USD2022/kW"/>
  </r>
  <r>
    <x v="19"/>
    <x v="7"/>
    <x v="1"/>
    <x v="2"/>
    <n v="500"/>
    <s v="USD2022/kW"/>
  </r>
  <r>
    <x v="19"/>
    <x v="7"/>
    <x v="1"/>
    <x v="3"/>
    <n v="20"/>
    <s v="USD2022/kW-yr"/>
  </r>
  <r>
    <x v="19"/>
    <x v="7"/>
    <x v="1"/>
    <x v="4"/>
    <n v="0.37"/>
    <s v="fraction_LHV"/>
  </r>
  <r>
    <x v="19"/>
    <x v="7"/>
    <x v="1"/>
    <x v="6"/>
    <n v="0.4"/>
    <s v="fraction"/>
  </r>
  <r>
    <x v="19"/>
    <x v="7"/>
    <x v="1"/>
    <x v="5"/>
    <n v="1.111"/>
    <s v="USD2022/GJ"/>
  </r>
  <r>
    <x v="19"/>
    <x v="7"/>
    <x v="2"/>
    <x v="0"/>
    <n v="500"/>
    <s v="USD2022/kW"/>
  </r>
  <r>
    <x v="19"/>
    <x v="7"/>
    <x v="2"/>
    <x v="1"/>
    <n v="500"/>
    <s v="USD2022/kW"/>
  </r>
  <r>
    <x v="19"/>
    <x v="7"/>
    <x v="2"/>
    <x v="2"/>
    <n v="500"/>
    <s v="USD2022/kW"/>
  </r>
  <r>
    <x v="19"/>
    <x v="7"/>
    <x v="2"/>
    <x v="3"/>
    <n v="20"/>
    <s v="USD2022/kW-yr"/>
  </r>
  <r>
    <x v="19"/>
    <x v="7"/>
    <x v="2"/>
    <x v="4"/>
    <n v="0.37"/>
    <s v="fraction_LHV"/>
  </r>
  <r>
    <x v="19"/>
    <x v="7"/>
    <x v="2"/>
    <x v="6"/>
    <n v="0.4"/>
    <s v="fraction"/>
  </r>
  <r>
    <x v="19"/>
    <x v="7"/>
    <x v="2"/>
    <x v="5"/>
    <n v="1.111"/>
    <s v="USD2022/GJ"/>
  </r>
  <r>
    <x v="19"/>
    <x v="8"/>
    <x v="0"/>
    <x v="0"/>
    <n v="550"/>
    <s v="USD2022/kW"/>
  </r>
  <r>
    <x v="19"/>
    <x v="8"/>
    <x v="0"/>
    <x v="1"/>
    <n v="550"/>
    <s v="USD2022/kW"/>
  </r>
  <r>
    <x v="19"/>
    <x v="8"/>
    <x v="0"/>
    <x v="2"/>
    <n v="550"/>
    <s v="USD2022/kW"/>
  </r>
  <r>
    <x v="19"/>
    <x v="8"/>
    <x v="0"/>
    <x v="3"/>
    <n v="20"/>
    <s v="USD2022/kW-yr"/>
  </r>
  <r>
    <x v="19"/>
    <x v="8"/>
    <x v="0"/>
    <x v="4"/>
    <n v="0.37"/>
    <s v="fraction_LHV"/>
  </r>
  <r>
    <x v="19"/>
    <x v="8"/>
    <x v="0"/>
    <x v="6"/>
    <n v="0.7"/>
    <s v="fraction"/>
  </r>
  <r>
    <x v="19"/>
    <x v="8"/>
    <x v="0"/>
    <x v="5"/>
    <n v="1.111"/>
    <s v="USD2022/GJ"/>
  </r>
  <r>
    <x v="19"/>
    <x v="8"/>
    <x v="1"/>
    <x v="0"/>
    <n v="550"/>
    <s v="USD2022/kW"/>
  </r>
  <r>
    <x v="19"/>
    <x v="8"/>
    <x v="1"/>
    <x v="1"/>
    <n v="550"/>
    <s v="USD2022/kW"/>
  </r>
  <r>
    <x v="19"/>
    <x v="8"/>
    <x v="1"/>
    <x v="2"/>
    <n v="550"/>
    <s v="USD2022/kW"/>
  </r>
  <r>
    <x v="19"/>
    <x v="8"/>
    <x v="1"/>
    <x v="3"/>
    <n v="20"/>
    <s v="USD2022/kW-yr"/>
  </r>
  <r>
    <x v="19"/>
    <x v="8"/>
    <x v="1"/>
    <x v="4"/>
    <n v="0.37"/>
    <s v="fraction_LHV"/>
  </r>
  <r>
    <x v="19"/>
    <x v="8"/>
    <x v="1"/>
    <x v="6"/>
    <n v="0.7"/>
    <s v="fraction"/>
  </r>
  <r>
    <x v="19"/>
    <x v="8"/>
    <x v="1"/>
    <x v="5"/>
    <n v="1.111"/>
    <s v="USD2022/GJ"/>
  </r>
  <r>
    <x v="19"/>
    <x v="8"/>
    <x v="2"/>
    <x v="0"/>
    <n v="525"/>
    <s v="USD2022/kW"/>
  </r>
  <r>
    <x v="19"/>
    <x v="8"/>
    <x v="2"/>
    <x v="1"/>
    <n v="525"/>
    <s v="USD2022/kW"/>
  </r>
  <r>
    <x v="19"/>
    <x v="8"/>
    <x v="2"/>
    <x v="2"/>
    <n v="525"/>
    <s v="USD2022/kW"/>
  </r>
  <r>
    <x v="19"/>
    <x v="8"/>
    <x v="2"/>
    <x v="3"/>
    <n v="20"/>
    <s v="USD2022/kW-yr"/>
  </r>
  <r>
    <x v="19"/>
    <x v="8"/>
    <x v="2"/>
    <x v="4"/>
    <n v="0.37"/>
    <s v="fraction_LHV"/>
  </r>
  <r>
    <x v="19"/>
    <x v="8"/>
    <x v="2"/>
    <x v="6"/>
    <n v="0.7"/>
    <s v="fraction"/>
  </r>
  <r>
    <x v="19"/>
    <x v="8"/>
    <x v="2"/>
    <x v="5"/>
    <n v="1.111"/>
    <s v="USD2022/GJ"/>
  </r>
  <r>
    <x v="20"/>
    <x v="0"/>
    <x v="0"/>
    <x v="0"/>
    <n v="3750"/>
    <s v="USD2022/kW"/>
  </r>
  <r>
    <x v="20"/>
    <x v="0"/>
    <x v="0"/>
    <x v="1"/>
    <n v="3750"/>
    <s v="USD2022/kW"/>
  </r>
  <r>
    <x v="20"/>
    <x v="0"/>
    <x v="0"/>
    <x v="2"/>
    <n v="3750"/>
    <s v="USD2022/kW"/>
  </r>
  <r>
    <x v="20"/>
    <x v="0"/>
    <x v="0"/>
    <x v="3"/>
    <n v="140"/>
    <s v="USD2022/kW-yr"/>
  </r>
  <r>
    <x v="20"/>
    <x v="0"/>
    <x v="0"/>
    <x v="4"/>
    <n v="0.38500000000000001"/>
    <s v="fraction_LHV"/>
  </r>
  <r>
    <x v="20"/>
    <x v="0"/>
    <x v="0"/>
    <x v="6"/>
    <n v="0.7"/>
    <s v="fraction"/>
  </r>
  <r>
    <x v="20"/>
    <x v="0"/>
    <x v="0"/>
    <x v="5"/>
    <n v="1.667"/>
    <s v="USD2022/GJ"/>
  </r>
  <r>
    <x v="20"/>
    <x v="0"/>
    <x v="1"/>
    <x v="0"/>
    <n v="3650"/>
    <s v="USD2022/kW"/>
  </r>
  <r>
    <x v="20"/>
    <x v="0"/>
    <x v="1"/>
    <x v="1"/>
    <n v="3650"/>
    <s v="USD2022/kW"/>
  </r>
  <r>
    <x v="20"/>
    <x v="0"/>
    <x v="1"/>
    <x v="2"/>
    <n v="3650"/>
    <s v="USD2022/kW"/>
  </r>
  <r>
    <x v="20"/>
    <x v="0"/>
    <x v="1"/>
    <x v="3"/>
    <n v="140"/>
    <s v="USD2022/kW-yr"/>
  </r>
  <r>
    <x v="20"/>
    <x v="0"/>
    <x v="1"/>
    <x v="4"/>
    <n v="0.38500000000000001"/>
    <s v="fraction_LHV"/>
  </r>
  <r>
    <x v="20"/>
    <x v="0"/>
    <x v="1"/>
    <x v="6"/>
    <n v="0.7"/>
    <s v="fraction"/>
  </r>
  <r>
    <x v="20"/>
    <x v="0"/>
    <x v="1"/>
    <x v="5"/>
    <n v="1.667"/>
    <s v="USD2022/GJ"/>
  </r>
  <r>
    <x v="20"/>
    <x v="0"/>
    <x v="2"/>
    <x v="0"/>
    <n v="3550"/>
    <s v="USD2022/kW"/>
  </r>
  <r>
    <x v="20"/>
    <x v="0"/>
    <x v="2"/>
    <x v="1"/>
    <n v="3550"/>
    <s v="USD2022/kW"/>
  </r>
  <r>
    <x v="20"/>
    <x v="0"/>
    <x v="2"/>
    <x v="2"/>
    <n v="3550"/>
    <s v="USD2022/kW"/>
  </r>
  <r>
    <x v="20"/>
    <x v="0"/>
    <x v="2"/>
    <x v="3"/>
    <n v="130"/>
    <s v="USD2022/kW-yr"/>
  </r>
  <r>
    <x v="20"/>
    <x v="0"/>
    <x v="2"/>
    <x v="4"/>
    <n v="0.38500000000000001"/>
    <s v="fraction_LHV"/>
  </r>
  <r>
    <x v="20"/>
    <x v="0"/>
    <x v="2"/>
    <x v="6"/>
    <n v="0.7"/>
    <s v="fraction"/>
  </r>
  <r>
    <x v="20"/>
    <x v="0"/>
    <x v="2"/>
    <x v="5"/>
    <n v="1.667"/>
    <s v="USD2022/GJ"/>
  </r>
  <r>
    <x v="20"/>
    <x v="1"/>
    <x v="0"/>
    <x v="0"/>
    <n v="4050"/>
    <s v="USD2022/kW"/>
  </r>
  <r>
    <x v="20"/>
    <x v="1"/>
    <x v="0"/>
    <x v="1"/>
    <n v="4050"/>
    <s v="USD2022/kW"/>
  </r>
  <r>
    <x v="20"/>
    <x v="1"/>
    <x v="0"/>
    <x v="2"/>
    <n v="4050"/>
    <s v="USD2022/kW"/>
  </r>
  <r>
    <x v="20"/>
    <x v="1"/>
    <x v="0"/>
    <x v="3"/>
    <n v="150"/>
    <s v="USD2022/kW-yr"/>
  </r>
  <r>
    <x v="20"/>
    <x v="1"/>
    <x v="0"/>
    <x v="4"/>
    <n v="0.38500000000000001"/>
    <s v="fraction_LHV"/>
  </r>
  <r>
    <x v="20"/>
    <x v="1"/>
    <x v="0"/>
    <x v="6"/>
    <n v="0.5"/>
    <s v="fraction"/>
  </r>
  <r>
    <x v="20"/>
    <x v="1"/>
    <x v="0"/>
    <x v="5"/>
    <n v="1.667"/>
    <s v="USD2022/GJ"/>
  </r>
  <r>
    <x v="20"/>
    <x v="1"/>
    <x v="1"/>
    <x v="0"/>
    <n v="3950"/>
    <s v="USD2022/kW"/>
  </r>
  <r>
    <x v="20"/>
    <x v="1"/>
    <x v="1"/>
    <x v="1"/>
    <n v="3950"/>
    <s v="USD2022/kW"/>
  </r>
  <r>
    <x v="20"/>
    <x v="1"/>
    <x v="1"/>
    <x v="2"/>
    <n v="3950"/>
    <s v="USD2022/kW"/>
  </r>
  <r>
    <x v="20"/>
    <x v="1"/>
    <x v="1"/>
    <x v="3"/>
    <n v="150"/>
    <s v="USD2022/kW-yr"/>
  </r>
  <r>
    <x v="20"/>
    <x v="1"/>
    <x v="1"/>
    <x v="4"/>
    <n v="0.38500000000000001"/>
    <s v="fraction_LHV"/>
  </r>
  <r>
    <x v="20"/>
    <x v="1"/>
    <x v="1"/>
    <x v="6"/>
    <n v="0.5"/>
    <s v="fraction"/>
  </r>
  <r>
    <x v="20"/>
    <x v="1"/>
    <x v="1"/>
    <x v="5"/>
    <n v="1.667"/>
    <s v="USD2022/GJ"/>
  </r>
  <r>
    <x v="20"/>
    <x v="1"/>
    <x v="2"/>
    <x v="0"/>
    <n v="3850"/>
    <s v="USD2022/kW"/>
  </r>
  <r>
    <x v="20"/>
    <x v="1"/>
    <x v="2"/>
    <x v="1"/>
    <n v="3850"/>
    <s v="USD2022/kW"/>
  </r>
  <r>
    <x v="20"/>
    <x v="1"/>
    <x v="2"/>
    <x v="2"/>
    <n v="3850"/>
    <s v="USD2022/kW"/>
  </r>
  <r>
    <x v="20"/>
    <x v="1"/>
    <x v="2"/>
    <x v="3"/>
    <n v="145"/>
    <s v="USD2022/kW-yr"/>
  </r>
  <r>
    <x v="20"/>
    <x v="1"/>
    <x v="2"/>
    <x v="4"/>
    <n v="0.38500000000000001"/>
    <s v="fraction_LHV"/>
  </r>
  <r>
    <x v="20"/>
    <x v="1"/>
    <x v="2"/>
    <x v="6"/>
    <n v="0.5"/>
    <s v="fraction"/>
  </r>
  <r>
    <x v="20"/>
    <x v="1"/>
    <x v="2"/>
    <x v="5"/>
    <n v="1.667"/>
    <s v="USD2022/GJ"/>
  </r>
  <r>
    <x v="20"/>
    <x v="2"/>
    <x v="0"/>
    <x v="0"/>
    <n v="3900"/>
    <s v="USD2022/kW"/>
  </r>
  <r>
    <x v="20"/>
    <x v="2"/>
    <x v="0"/>
    <x v="1"/>
    <n v="3900"/>
    <s v="USD2022/kW"/>
  </r>
  <r>
    <x v="20"/>
    <x v="2"/>
    <x v="0"/>
    <x v="2"/>
    <n v="3900"/>
    <s v="USD2022/kW"/>
  </r>
  <r>
    <x v="20"/>
    <x v="2"/>
    <x v="0"/>
    <x v="3"/>
    <n v="145"/>
    <s v="USD2022/kW-yr"/>
  </r>
  <r>
    <x v="20"/>
    <x v="2"/>
    <x v="0"/>
    <x v="4"/>
    <n v="0.38500000000000001"/>
    <s v="fraction_LHV"/>
  </r>
  <r>
    <x v="20"/>
    <x v="2"/>
    <x v="0"/>
    <x v="6"/>
    <n v="0.6"/>
    <s v="fraction"/>
  </r>
  <r>
    <x v="20"/>
    <x v="2"/>
    <x v="0"/>
    <x v="5"/>
    <n v="1.667"/>
    <s v="USD2022/GJ"/>
  </r>
  <r>
    <x v="20"/>
    <x v="2"/>
    <x v="1"/>
    <x v="0"/>
    <n v="3800"/>
    <s v="USD2022/kW"/>
  </r>
  <r>
    <x v="20"/>
    <x v="2"/>
    <x v="1"/>
    <x v="1"/>
    <n v="3800"/>
    <s v="USD2022/kW"/>
  </r>
  <r>
    <x v="20"/>
    <x v="2"/>
    <x v="1"/>
    <x v="2"/>
    <n v="3800"/>
    <s v="USD2022/kW"/>
  </r>
  <r>
    <x v="20"/>
    <x v="2"/>
    <x v="1"/>
    <x v="3"/>
    <n v="145"/>
    <s v="USD2022/kW-yr"/>
  </r>
  <r>
    <x v="20"/>
    <x v="2"/>
    <x v="1"/>
    <x v="4"/>
    <n v="0.38500000000000001"/>
    <s v="fraction_LHV"/>
  </r>
  <r>
    <x v="20"/>
    <x v="2"/>
    <x v="1"/>
    <x v="6"/>
    <n v="0.6"/>
    <s v="fraction"/>
  </r>
  <r>
    <x v="20"/>
    <x v="2"/>
    <x v="1"/>
    <x v="5"/>
    <n v="1.667"/>
    <s v="USD2022/GJ"/>
  </r>
  <r>
    <x v="20"/>
    <x v="2"/>
    <x v="2"/>
    <x v="0"/>
    <n v="3700"/>
    <s v="USD2022/kW"/>
  </r>
  <r>
    <x v="20"/>
    <x v="2"/>
    <x v="2"/>
    <x v="1"/>
    <n v="3700"/>
    <s v="USD2022/kW"/>
  </r>
  <r>
    <x v="20"/>
    <x v="2"/>
    <x v="2"/>
    <x v="2"/>
    <n v="3700"/>
    <s v="USD2022/kW"/>
  </r>
  <r>
    <x v="20"/>
    <x v="2"/>
    <x v="2"/>
    <x v="3"/>
    <n v="140"/>
    <s v="USD2022/kW-yr"/>
  </r>
  <r>
    <x v="20"/>
    <x v="2"/>
    <x v="2"/>
    <x v="4"/>
    <n v="0.38500000000000001"/>
    <s v="fraction_LHV"/>
  </r>
  <r>
    <x v="20"/>
    <x v="2"/>
    <x v="2"/>
    <x v="6"/>
    <n v="0.6"/>
    <s v="fraction"/>
  </r>
  <r>
    <x v="20"/>
    <x v="2"/>
    <x v="2"/>
    <x v="5"/>
    <n v="1.667"/>
    <s v="USD2022/GJ"/>
  </r>
  <r>
    <x v="20"/>
    <x v="3"/>
    <x v="0"/>
    <x v="0"/>
    <n v="3500"/>
    <s v="USD2022/kW"/>
  </r>
  <r>
    <x v="20"/>
    <x v="3"/>
    <x v="0"/>
    <x v="1"/>
    <n v="3500"/>
    <s v="USD2022/kW"/>
  </r>
  <r>
    <x v="20"/>
    <x v="3"/>
    <x v="0"/>
    <x v="2"/>
    <n v="3500"/>
    <s v="USD2022/kW"/>
  </r>
  <r>
    <x v="20"/>
    <x v="3"/>
    <x v="0"/>
    <x v="3"/>
    <n v="130"/>
    <s v="USD2022/kW-yr"/>
  </r>
  <r>
    <x v="20"/>
    <x v="3"/>
    <x v="0"/>
    <x v="4"/>
    <n v="0.38500000000000001"/>
    <s v="fraction_LHV"/>
  </r>
  <r>
    <x v="20"/>
    <x v="3"/>
    <x v="0"/>
    <x v="6"/>
    <n v="0.4"/>
    <s v="fraction"/>
  </r>
  <r>
    <x v="20"/>
    <x v="3"/>
    <x v="0"/>
    <x v="5"/>
    <n v="1.667"/>
    <s v="USD2022/GJ"/>
  </r>
  <r>
    <x v="20"/>
    <x v="3"/>
    <x v="1"/>
    <x v="0"/>
    <n v="3400"/>
    <s v="USD2022/kW"/>
  </r>
  <r>
    <x v="20"/>
    <x v="3"/>
    <x v="1"/>
    <x v="1"/>
    <n v="3400"/>
    <s v="USD2022/kW"/>
  </r>
  <r>
    <x v="20"/>
    <x v="3"/>
    <x v="1"/>
    <x v="2"/>
    <n v="3400"/>
    <s v="USD2022/kW"/>
  </r>
  <r>
    <x v="20"/>
    <x v="3"/>
    <x v="1"/>
    <x v="3"/>
    <n v="130"/>
    <s v="USD2022/kW-yr"/>
  </r>
  <r>
    <x v="20"/>
    <x v="3"/>
    <x v="1"/>
    <x v="4"/>
    <n v="0.38500000000000001"/>
    <s v="fraction_LHV"/>
  </r>
  <r>
    <x v="20"/>
    <x v="3"/>
    <x v="1"/>
    <x v="6"/>
    <n v="0.4"/>
    <s v="fraction"/>
  </r>
  <r>
    <x v="20"/>
    <x v="3"/>
    <x v="1"/>
    <x v="5"/>
    <n v="1.667"/>
    <s v="USD2022/GJ"/>
  </r>
  <r>
    <x v="20"/>
    <x v="3"/>
    <x v="2"/>
    <x v="0"/>
    <n v="3250"/>
    <s v="USD2022/kW"/>
  </r>
  <r>
    <x v="20"/>
    <x v="3"/>
    <x v="2"/>
    <x v="1"/>
    <n v="3250"/>
    <s v="USD2022/kW"/>
  </r>
  <r>
    <x v="20"/>
    <x v="3"/>
    <x v="2"/>
    <x v="2"/>
    <n v="3250"/>
    <s v="USD2022/kW"/>
  </r>
  <r>
    <x v="20"/>
    <x v="3"/>
    <x v="2"/>
    <x v="3"/>
    <n v="120"/>
    <s v="USD2022/kW-yr"/>
  </r>
  <r>
    <x v="20"/>
    <x v="3"/>
    <x v="2"/>
    <x v="4"/>
    <n v="0.38500000000000001"/>
    <s v="fraction_LHV"/>
  </r>
  <r>
    <x v="20"/>
    <x v="3"/>
    <x v="2"/>
    <x v="6"/>
    <n v="0.4"/>
    <s v="fraction"/>
  </r>
  <r>
    <x v="20"/>
    <x v="3"/>
    <x v="2"/>
    <x v="5"/>
    <n v="1.667"/>
    <s v="USD2022/GJ"/>
  </r>
  <r>
    <x v="20"/>
    <x v="4"/>
    <x v="0"/>
    <x v="0"/>
    <n v="2500"/>
    <s v="USD2022/kW"/>
  </r>
  <r>
    <x v="20"/>
    <x v="4"/>
    <x v="0"/>
    <x v="1"/>
    <n v="2500"/>
    <s v="USD2022/kW"/>
  </r>
  <r>
    <x v="20"/>
    <x v="4"/>
    <x v="0"/>
    <x v="2"/>
    <n v="2500"/>
    <s v="USD2022/kW"/>
  </r>
  <r>
    <x v="20"/>
    <x v="4"/>
    <x v="0"/>
    <x v="3"/>
    <n v="95"/>
    <s v="USD2022/kW-yr"/>
  </r>
  <r>
    <x v="20"/>
    <x v="4"/>
    <x v="0"/>
    <x v="4"/>
    <n v="0.38500000000000001"/>
    <s v="fraction_LHV"/>
  </r>
  <r>
    <x v="20"/>
    <x v="4"/>
    <x v="0"/>
    <x v="6"/>
    <n v="0.6"/>
    <s v="fraction"/>
  </r>
  <r>
    <x v="20"/>
    <x v="4"/>
    <x v="0"/>
    <x v="5"/>
    <n v="1.667"/>
    <s v="USD2022/GJ"/>
  </r>
  <r>
    <x v="20"/>
    <x v="4"/>
    <x v="1"/>
    <x v="0"/>
    <n v="2450"/>
    <s v="USD2022/kW"/>
  </r>
  <r>
    <x v="20"/>
    <x v="4"/>
    <x v="1"/>
    <x v="1"/>
    <n v="2450"/>
    <s v="USD2022/kW"/>
  </r>
  <r>
    <x v="20"/>
    <x v="4"/>
    <x v="1"/>
    <x v="2"/>
    <n v="2450"/>
    <s v="USD2022/kW"/>
  </r>
  <r>
    <x v="20"/>
    <x v="4"/>
    <x v="1"/>
    <x v="3"/>
    <n v="90"/>
    <s v="USD2022/kW-yr"/>
  </r>
  <r>
    <x v="20"/>
    <x v="4"/>
    <x v="1"/>
    <x v="4"/>
    <n v="0.38500000000000001"/>
    <s v="fraction_LHV"/>
  </r>
  <r>
    <x v="20"/>
    <x v="4"/>
    <x v="1"/>
    <x v="6"/>
    <n v="0.6"/>
    <s v="fraction"/>
  </r>
  <r>
    <x v="20"/>
    <x v="4"/>
    <x v="1"/>
    <x v="5"/>
    <n v="1.667"/>
    <s v="USD2022/GJ"/>
  </r>
  <r>
    <x v="20"/>
    <x v="4"/>
    <x v="2"/>
    <x v="0"/>
    <n v="2350"/>
    <s v="USD2022/kW"/>
  </r>
  <r>
    <x v="20"/>
    <x v="4"/>
    <x v="2"/>
    <x v="1"/>
    <n v="2350"/>
    <s v="USD2022/kW"/>
  </r>
  <r>
    <x v="20"/>
    <x v="4"/>
    <x v="2"/>
    <x v="2"/>
    <n v="2350"/>
    <s v="USD2022/kW"/>
  </r>
  <r>
    <x v="20"/>
    <x v="4"/>
    <x v="2"/>
    <x v="3"/>
    <n v="90"/>
    <s v="USD2022/kW-yr"/>
  </r>
  <r>
    <x v="20"/>
    <x v="4"/>
    <x v="2"/>
    <x v="4"/>
    <n v="0.38500000000000001"/>
    <s v="fraction_LHV"/>
  </r>
  <r>
    <x v="20"/>
    <x v="4"/>
    <x v="2"/>
    <x v="6"/>
    <n v="0.6"/>
    <s v="fraction"/>
  </r>
  <r>
    <x v="20"/>
    <x v="4"/>
    <x v="2"/>
    <x v="5"/>
    <n v="1.667"/>
    <s v="USD2022/GJ"/>
  </r>
  <r>
    <x v="20"/>
    <x v="5"/>
    <x v="0"/>
    <x v="0"/>
    <n v="2800"/>
    <s v="USD2022/kW"/>
  </r>
  <r>
    <x v="20"/>
    <x v="5"/>
    <x v="0"/>
    <x v="1"/>
    <n v="2800"/>
    <s v="USD2022/kW"/>
  </r>
  <r>
    <x v="20"/>
    <x v="5"/>
    <x v="0"/>
    <x v="2"/>
    <n v="2800"/>
    <s v="USD2022/kW"/>
  </r>
  <r>
    <x v="20"/>
    <x v="5"/>
    <x v="0"/>
    <x v="3"/>
    <n v="105"/>
    <s v="USD2022/kW-yr"/>
  </r>
  <r>
    <x v="20"/>
    <x v="5"/>
    <x v="0"/>
    <x v="4"/>
    <n v="0.38500000000000001"/>
    <s v="fraction_LHV"/>
  </r>
  <r>
    <x v="20"/>
    <x v="5"/>
    <x v="0"/>
    <x v="6"/>
    <n v="0.5"/>
    <s v="fraction"/>
  </r>
  <r>
    <x v="20"/>
    <x v="5"/>
    <x v="0"/>
    <x v="5"/>
    <n v="1.667"/>
    <s v="USD2022/GJ"/>
  </r>
  <r>
    <x v="20"/>
    <x v="5"/>
    <x v="1"/>
    <x v="0"/>
    <n v="2750"/>
    <s v="USD2022/kW"/>
  </r>
  <r>
    <x v="20"/>
    <x v="5"/>
    <x v="1"/>
    <x v="1"/>
    <n v="2750"/>
    <s v="USD2022/kW"/>
  </r>
  <r>
    <x v="20"/>
    <x v="5"/>
    <x v="1"/>
    <x v="2"/>
    <n v="2750"/>
    <s v="USD2022/kW"/>
  </r>
  <r>
    <x v="20"/>
    <x v="5"/>
    <x v="1"/>
    <x v="3"/>
    <n v="105"/>
    <s v="USD2022/kW-yr"/>
  </r>
  <r>
    <x v="20"/>
    <x v="5"/>
    <x v="1"/>
    <x v="4"/>
    <n v="0.38500000000000001"/>
    <s v="fraction_LHV"/>
  </r>
  <r>
    <x v="20"/>
    <x v="5"/>
    <x v="1"/>
    <x v="6"/>
    <n v="0.5"/>
    <s v="fraction"/>
  </r>
  <r>
    <x v="20"/>
    <x v="5"/>
    <x v="1"/>
    <x v="5"/>
    <n v="1.667"/>
    <s v="USD2022/GJ"/>
  </r>
  <r>
    <x v="20"/>
    <x v="5"/>
    <x v="2"/>
    <x v="0"/>
    <n v="2650"/>
    <s v="USD2022/kW"/>
  </r>
  <r>
    <x v="20"/>
    <x v="5"/>
    <x v="2"/>
    <x v="1"/>
    <n v="2650"/>
    <s v="USD2022/kW"/>
  </r>
  <r>
    <x v="20"/>
    <x v="5"/>
    <x v="2"/>
    <x v="2"/>
    <n v="2650"/>
    <s v="USD2022/kW"/>
  </r>
  <r>
    <x v="20"/>
    <x v="5"/>
    <x v="2"/>
    <x v="3"/>
    <n v="100"/>
    <s v="USD2022/kW-yr"/>
  </r>
  <r>
    <x v="20"/>
    <x v="5"/>
    <x v="2"/>
    <x v="4"/>
    <n v="0.38500000000000001"/>
    <s v="fraction_LHV"/>
  </r>
  <r>
    <x v="20"/>
    <x v="5"/>
    <x v="2"/>
    <x v="6"/>
    <n v="0.5"/>
    <s v="fraction"/>
  </r>
  <r>
    <x v="20"/>
    <x v="5"/>
    <x v="2"/>
    <x v="5"/>
    <n v="1.667"/>
    <s v="USD2022/GJ"/>
  </r>
  <r>
    <x v="20"/>
    <x v="6"/>
    <x v="0"/>
    <x v="0"/>
    <n v="2950"/>
    <s v="USD2022/kW"/>
  </r>
  <r>
    <x v="20"/>
    <x v="6"/>
    <x v="0"/>
    <x v="1"/>
    <n v="2950"/>
    <s v="USD2022/kW"/>
  </r>
  <r>
    <x v="20"/>
    <x v="6"/>
    <x v="0"/>
    <x v="2"/>
    <n v="2950"/>
    <s v="USD2022/kW"/>
  </r>
  <r>
    <x v="20"/>
    <x v="6"/>
    <x v="0"/>
    <x v="3"/>
    <n v="110"/>
    <s v="USD2022/kW-yr"/>
  </r>
  <r>
    <x v="20"/>
    <x v="6"/>
    <x v="0"/>
    <x v="4"/>
    <n v="0.38500000000000001"/>
    <s v="fraction_LHV"/>
  </r>
  <r>
    <x v="20"/>
    <x v="6"/>
    <x v="0"/>
    <x v="6"/>
    <n v="0.5"/>
    <s v="fraction"/>
  </r>
  <r>
    <x v="20"/>
    <x v="6"/>
    <x v="0"/>
    <x v="5"/>
    <n v="1.667"/>
    <s v="USD2022/GJ"/>
  </r>
  <r>
    <x v="20"/>
    <x v="6"/>
    <x v="1"/>
    <x v="0"/>
    <n v="2850"/>
    <s v="USD2022/kW"/>
  </r>
  <r>
    <x v="20"/>
    <x v="6"/>
    <x v="1"/>
    <x v="1"/>
    <n v="2850"/>
    <s v="USD2022/kW"/>
  </r>
  <r>
    <x v="20"/>
    <x v="6"/>
    <x v="1"/>
    <x v="2"/>
    <n v="2850"/>
    <s v="USD2022/kW"/>
  </r>
  <r>
    <x v="20"/>
    <x v="6"/>
    <x v="1"/>
    <x v="3"/>
    <n v="105"/>
    <s v="USD2022/kW-yr"/>
  </r>
  <r>
    <x v="20"/>
    <x v="6"/>
    <x v="1"/>
    <x v="4"/>
    <n v="0.38500000000000001"/>
    <s v="fraction_LHV"/>
  </r>
  <r>
    <x v="20"/>
    <x v="6"/>
    <x v="1"/>
    <x v="6"/>
    <n v="0.5"/>
    <s v="fraction"/>
  </r>
  <r>
    <x v="20"/>
    <x v="6"/>
    <x v="1"/>
    <x v="5"/>
    <n v="1.667"/>
    <s v="USD2022/GJ"/>
  </r>
  <r>
    <x v="20"/>
    <x v="6"/>
    <x v="2"/>
    <x v="0"/>
    <n v="2700"/>
    <s v="USD2022/kW"/>
  </r>
  <r>
    <x v="20"/>
    <x v="6"/>
    <x v="2"/>
    <x v="1"/>
    <n v="2700"/>
    <s v="USD2022/kW"/>
  </r>
  <r>
    <x v="20"/>
    <x v="6"/>
    <x v="2"/>
    <x v="2"/>
    <n v="2700"/>
    <s v="USD2022/kW"/>
  </r>
  <r>
    <x v="20"/>
    <x v="6"/>
    <x v="2"/>
    <x v="3"/>
    <n v="100"/>
    <s v="USD2022/kW-yr"/>
  </r>
  <r>
    <x v="20"/>
    <x v="6"/>
    <x v="2"/>
    <x v="4"/>
    <n v="0.38500000000000001"/>
    <s v="fraction_LHV"/>
  </r>
  <r>
    <x v="20"/>
    <x v="6"/>
    <x v="2"/>
    <x v="6"/>
    <n v="0.5"/>
    <s v="fraction"/>
  </r>
  <r>
    <x v="20"/>
    <x v="6"/>
    <x v="2"/>
    <x v="5"/>
    <n v="1.667"/>
    <s v="USD2022/GJ"/>
  </r>
  <r>
    <x v="20"/>
    <x v="7"/>
    <x v="0"/>
    <x v="0"/>
    <n v="2850"/>
    <s v="USD2022/kW"/>
  </r>
  <r>
    <x v="20"/>
    <x v="7"/>
    <x v="0"/>
    <x v="1"/>
    <n v="2850"/>
    <s v="USD2022/kW"/>
  </r>
  <r>
    <x v="20"/>
    <x v="7"/>
    <x v="0"/>
    <x v="2"/>
    <n v="2850"/>
    <s v="USD2022/kW"/>
  </r>
  <r>
    <x v="20"/>
    <x v="7"/>
    <x v="0"/>
    <x v="3"/>
    <n v="105"/>
    <s v="USD2022/kW-yr"/>
  </r>
  <r>
    <x v="20"/>
    <x v="7"/>
    <x v="0"/>
    <x v="4"/>
    <n v="0.38500000000000001"/>
    <s v="fraction_LHV"/>
  </r>
  <r>
    <x v="20"/>
    <x v="7"/>
    <x v="0"/>
    <x v="6"/>
    <n v="0.5"/>
    <s v="fraction"/>
  </r>
  <r>
    <x v="20"/>
    <x v="7"/>
    <x v="0"/>
    <x v="5"/>
    <n v="1.667"/>
    <s v="USD2022/GJ"/>
  </r>
  <r>
    <x v="20"/>
    <x v="7"/>
    <x v="1"/>
    <x v="0"/>
    <n v="2750"/>
    <s v="USD2022/kW"/>
  </r>
  <r>
    <x v="20"/>
    <x v="7"/>
    <x v="1"/>
    <x v="1"/>
    <n v="2750"/>
    <s v="USD2022/kW"/>
  </r>
  <r>
    <x v="20"/>
    <x v="7"/>
    <x v="1"/>
    <x v="2"/>
    <n v="2750"/>
    <s v="USD2022/kW"/>
  </r>
  <r>
    <x v="20"/>
    <x v="7"/>
    <x v="1"/>
    <x v="3"/>
    <n v="105"/>
    <s v="USD2022/kW-yr"/>
  </r>
  <r>
    <x v="20"/>
    <x v="7"/>
    <x v="1"/>
    <x v="4"/>
    <n v="0.38500000000000001"/>
    <s v="fraction_LHV"/>
  </r>
  <r>
    <x v="20"/>
    <x v="7"/>
    <x v="1"/>
    <x v="6"/>
    <n v="0.5"/>
    <s v="fraction"/>
  </r>
  <r>
    <x v="20"/>
    <x v="7"/>
    <x v="1"/>
    <x v="5"/>
    <n v="1.667"/>
    <s v="USD2022/GJ"/>
  </r>
  <r>
    <x v="20"/>
    <x v="7"/>
    <x v="2"/>
    <x v="0"/>
    <n v="2650"/>
    <s v="USD2022/kW"/>
  </r>
  <r>
    <x v="20"/>
    <x v="7"/>
    <x v="2"/>
    <x v="1"/>
    <n v="2650"/>
    <s v="USD2022/kW"/>
  </r>
  <r>
    <x v="20"/>
    <x v="7"/>
    <x v="2"/>
    <x v="2"/>
    <n v="2650"/>
    <s v="USD2022/kW"/>
  </r>
  <r>
    <x v="20"/>
    <x v="7"/>
    <x v="2"/>
    <x v="3"/>
    <n v="100"/>
    <s v="USD2022/kW-yr"/>
  </r>
  <r>
    <x v="20"/>
    <x v="7"/>
    <x v="2"/>
    <x v="4"/>
    <n v="0.38500000000000001"/>
    <s v="fraction_LHV"/>
  </r>
  <r>
    <x v="20"/>
    <x v="7"/>
    <x v="2"/>
    <x v="6"/>
    <n v="0.5"/>
    <s v="fraction"/>
  </r>
  <r>
    <x v="20"/>
    <x v="7"/>
    <x v="2"/>
    <x v="5"/>
    <n v="1.667"/>
    <s v="USD2022/GJ"/>
  </r>
  <r>
    <x v="20"/>
    <x v="8"/>
    <x v="0"/>
    <x v="0"/>
    <n v="2900"/>
    <s v="USD2022/kW"/>
  </r>
  <r>
    <x v="20"/>
    <x v="8"/>
    <x v="0"/>
    <x v="1"/>
    <n v="2900"/>
    <s v="USD2022/kW"/>
  </r>
  <r>
    <x v="20"/>
    <x v="8"/>
    <x v="0"/>
    <x v="2"/>
    <n v="2900"/>
    <s v="USD2022/kW"/>
  </r>
  <r>
    <x v="20"/>
    <x v="8"/>
    <x v="0"/>
    <x v="3"/>
    <n v="110"/>
    <s v="USD2022/kW-yr"/>
  </r>
  <r>
    <x v="20"/>
    <x v="8"/>
    <x v="0"/>
    <x v="4"/>
    <n v="0.38500000000000001"/>
    <s v="fraction_LHV"/>
  </r>
  <r>
    <x v="20"/>
    <x v="8"/>
    <x v="0"/>
    <x v="6"/>
    <n v="0.5"/>
    <s v="fraction"/>
  </r>
  <r>
    <x v="20"/>
    <x v="8"/>
    <x v="0"/>
    <x v="5"/>
    <n v="1.667"/>
    <s v="USD2022/GJ"/>
  </r>
  <r>
    <x v="20"/>
    <x v="8"/>
    <x v="1"/>
    <x v="0"/>
    <n v="2850"/>
    <s v="USD2022/kW"/>
  </r>
  <r>
    <x v="20"/>
    <x v="8"/>
    <x v="1"/>
    <x v="1"/>
    <n v="2850"/>
    <s v="USD2022/kW"/>
  </r>
  <r>
    <x v="20"/>
    <x v="8"/>
    <x v="1"/>
    <x v="2"/>
    <n v="2850"/>
    <s v="USD2022/kW"/>
  </r>
  <r>
    <x v="20"/>
    <x v="8"/>
    <x v="1"/>
    <x v="3"/>
    <n v="105"/>
    <s v="USD2022/kW-yr"/>
  </r>
  <r>
    <x v="20"/>
    <x v="8"/>
    <x v="1"/>
    <x v="4"/>
    <n v="0.38500000000000001"/>
    <s v="fraction_LHV"/>
  </r>
  <r>
    <x v="20"/>
    <x v="8"/>
    <x v="1"/>
    <x v="6"/>
    <n v="0.5"/>
    <s v="fraction"/>
  </r>
  <r>
    <x v="20"/>
    <x v="8"/>
    <x v="1"/>
    <x v="5"/>
    <n v="1.667"/>
    <s v="USD2022/GJ"/>
  </r>
  <r>
    <x v="20"/>
    <x v="8"/>
    <x v="2"/>
    <x v="0"/>
    <n v="2750"/>
    <s v="USD2022/kW"/>
  </r>
  <r>
    <x v="20"/>
    <x v="8"/>
    <x v="2"/>
    <x v="1"/>
    <n v="2750"/>
    <s v="USD2022/kW"/>
  </r>
  <r>
    <x v="20"/>
    <x v="8"/>
    <x v="2"/>
    <x v="2"/>
    <n v="2750"/>
    <s v="USD2022/kW"/>
  </r>
  <r>
    <x v="20"/>
    <x v="8"/>
    <x v="2"/>
    <x v="3"/>
    <n v="105"/>
    <s v="USD2022/kW-yr"/>
  </r>
  <r>
    <x v="20"/>
    <x v="8"/>
    <x v="2"/>
    <x v="4"/>
    <n v="0.38500000000000001"/>
    <s v="fraction_LHV"/>
  </r>
  <r>
    <x v="20"/>
    <x v="8"/>
    <x v="2"/>
    <x v="6"/>
    <n v="0.5"/>
    <s v="fraction"/>
  </r>
  <r>
    <x v="20"/>
    <x v="8"/>
    <x v="2"/>
    <x v="5"/>
    <n v="1.667"/>
    <s v="USD2022/GJ"/>
  </r>
  <r>
    <x v="21"/>
    <x v="0"/>
    <x v="0"/>
    <x v="0"/>
    <n v="5750"/>
    <s v="USD2022/kW"/>
  </r>
  <r>
    <x v="21"/>
    <x v="0"/>
    <x v="0"/>
    <x v="1"/>
    <n v="5750"/>
    <s v="USD2022/kW"/>
  </r>
  <r>
    <x v="21"/>
    <x v="0"/>
    <x v="0"/>
    <x v="2"/>
    <n v="5750"/>
    <s v="USD2022/kW"/>
  </r>
  <r>
    <x v="21"/>
    <x v="0"/>
    <x v="0"/>
    <x v="3"/>
    <n v="205"/>
    <s v="USD2022/kW-yr"/>
  </r>
  <r>
    <x v="21"/>
    <x v="0"/>
    <x v="0"/>
    <x v="4"/>
    <n v="0.3"/>
    <s v="fraction_LHV"/>
  </r>
  <r>
    <x v="21"/>
    <x v="0"/>
    <x v="0"/>
    <x v="6"/>
    <n v="0.6"/>
    <s v="fraction"/>
  </r>
  <r>
    <x v="21"/>
    <x v="0"/>
    <x v="0"/>
    <x v="5"/>
    <n v="2.3610000000000002"/>
    <s v="USD2022/GJ"/>
  </r>
  <r>
    <x v="21"/>
    <x v="0"/>
    <x v="1"/>
    <x v="0"/>
    <n v="5700"/>
    <s v="USD2022/kW"/>
  </r>
  <r>
    <x v="21"/>
    <x v="0"/>
    <x v="1"/>
    <x v="1"/>
    <n v="5700"/>
    <s v="USD2022/kW"/>
  </r>
  <r>
    <x v="21"/>
    <x v="0"/>
    <x v="1"/>
    <x v="2"/>
    <n v="5700"/>
    <s v="USD2022/kW"/>
  </r>
  <r>
    <x v="21"/>
    <x v="0"/>
    <x v="1"/>
    <x v="3"/>
    <n v="200"/>
    <s v="USD2022/kW-yr"/>
  </r>
  <r>
    <x v="21"/>
    <x v="0"/>
    <x v="1"/>
    <x v="4"/>
    <n v="0.3"/>
    <s v="fraction_LHV"/>
  </r>
  <r>
    <x v="21"/>
    <x v="0"/>
    <x v="1"/>
    <x v="6"/>
    <n v="0.6"/>
    <s v="fraction"/>
  </r>
  <r>
    <x v="21"/>
    <x v="0"/>
    <x v="1"/>
    <x v="5"/>
    <n v="2.3610000000000002"/>
    <s v="USD2022/GJ"/>
  </r>
  <r>
    <x v="21"/>
    <x v="0"/>
    <x v="2"/>
    <x v="0"/>
    <n v="5100"/>
    <s v="USD2022/kW"/>
  </r>
  <r>
    <x v="21"/>
    <x v="0"/>
    <x v="2"/>
    <x v="1"/>
    <n v="5100"/>
    <s v="USD2022/kW"/>
  </r>
  <r>
    <x v="21"/>
    <x v="0"/>
    <x v="2"/>
    <x v="2"/>
    <n v="5100"/>
    <s v="USD2022/kW"/>
  </r>
  <r>
    <x v="21"/>
    <x v="0"/>
    <x v="2"/>
    <x v="3"/>
    <n v="180"/>
    <s v="USD2022/kW-yr"/>
  </r>
  <r>
    <x v="21"/>
    <x v="0"/>
    <x v="2"/>
    <x v="4"/>
    <n v="0.3"/>
    <s v="fraction_LHV"/>
  </r>
  <r>
    <x v="21"/>
    <x v="0"/>
    <x v="2"/>
    <x v="6"/>
    <n v="0.6"/>
    <s v="fraction"/>
  </r>
  <r>
    <x v="21"/>
    <x v="0"/>
    <x v="2"/>
    <x v="5"/>
    <n v="2.3610000000000002"/>
    <s v="USD2022/GJ"/>
  </r>
  <r>
    <x v="21"/>
    <x v="1"/>
    <x v="0"/>
    <x v="0"/>
    <n v="5850"/>
    <s v="USD2022/kW"/>
  </r>
  <r>
    <x v="21"/>
    <x v="1"/>
    <x v="0"/>
    <x v="1"/>
    <n v="5850"/>
    <s v="USD2022/kW"/>
  </r>
  <r>
    <x v="21"/>
    <x v="1"/>
    <x v="0"/>
    <x v="2"/>
    <n v="5850"/>
    <s v="USD2022/kW"/>
  </r>
  <r>
    <x v="21"/>
    <x v="1"/>
    <x v="0"/>
    <x v="3"/>
    <n v="200"/>
    <s v="USD2022/kW-yr"/>
  </r>
  <r>
    <x v="21"/>
    <x v="1"/>
    <x v="0"/>
    <x v="4"/>
    <n v="0.3"/>
    <s v="fraction_LHV"/>
  </r>
  <r>
    <x v="21"/>
    <x v="1"/>
    <x v="0"/>
    <x v="6"/>
    <n v="0.5"/>
    <s v="fraction"/>
  </r>
  <r>
    <x v="21"/>
    <x v="1"/>
    <x v="0"/>
    <x v="5"/>
    <n v="2.3610000000000002"/>
    <s v="USD2022/GJ"/>
  </r>
  <r>
    <x v="21"/>
    <x v="1"/>
    <x v="1"/>
    <x v="0"/>
    <n v="5800"/>
    <s v="USD2022/kW"/>
  </r>
  <r>
    <x v="21"/>
    <x v="1"/>
    <x v="1"/>
    <x v="1"/>
    <n v="5800"/>
    <s v="USD2022/kW"/>
  </r>
  <r>
    <x v="21"/>
    <x v="1"/>
    <x v="1"/>
    <x v="2"/>
    <n v="5800"/>
    <s v="USD2022/kW"/>
  </r>
  <r>
    <x v="21"/>
    <x v="1"/>
    <x v="1"/>
    <x v="3"/>
    <n v="205"/>
    <s v="USD2022/kW-yr"/>
  </r>
  <r>
    <x v="21"/>
    <x v="1"/>
    <x v="1"/>
    <x v="4"/>
    <n v="0.3"/>
    <s v="fraction_LHV"/>
  </r>
  <r>
    <x v="21"/>
    <x v="1"/>
    <x v="1"/>
    <x v="6"/>
    <n v="0.5"/>
    <s v="fraction"/>
  </r>
  <r>
    <x v="21"/>
    <x v="1"/>
    <x v="1"/>
    <x v="5"/>
    <n v="2.3610000000000002"/>
    <s v="USD2022/GJ"/>
  </r>
  <r>
    <x v="21"/>
    <x v="1"/>
    <x v="2"/>
    <x v="0"/>
    <n v="5150"/>
    <s v="USD2022/kW"/>
  </r>
  <r>
    <x v="21"/>
    <x v="1"/>
    <x v="2"/>
    <x v="1"/>
    <n v="5150"/>
    <s v="USD2022/kW"/>
  </r>
  <r>
    <x v="21"/>
    <x v="1"/>
    <x v="2"/>
    <x v="2"/>
    <n v="5150"/>
    <s v="USD2022/kW"/>
  </r>
  <r>
    <x v="21"/>
    <x v="1"/>
    <x v="2"/>
    <x v="3"/>
    <n v="180"/>
    <s v="USD2022/kW-yr"/>
  </r>
  <r>
    <x v="21"/>
    <x v="1"/>
    <x v="2"/>
    <x v="4"/>
    <n v="0.3"/>
    <s v="fraction_LHV"/>
  </r>
  <r>
    <x v="21"/>
    <x v="1"/>
    <x v="2"/>
    <x v="6"/>
    <n v="0.5"/>
    <s v="fraction"/>
  </r>
  <r>
    <x v="21"/>
    <x v="1"/>
    <x v="2"/>
    <x v="5"/>
    <n v="2.3610000000000002"/>
    <s v="USD2022/GJ"/>
  </r>
  <r>
    <x v="21"/>
    <x v="2"/>
    <x v="0"/>
    <x v="0"/>
    <n v="5700"/>
    <s v="USD2022/kW"/>
  </r>
  <r>
    <x v="21"/>
    <x v="2"/>
    <x v="0"/>
    <x v="1"/>
    <n v="5700"/>
    <s v="USD2022/kW"/>
  </r>
  <r>
    <x v="21"/>
    <x v="2"/>
    <x v="0"/>
    <x v="2"/>
    <n v="5700"/>
    <s v="USD2022/kW"/>
  </r>
  <r>
    <x v="21"/>
    <x v="2"/>
    <x v="0"/>
    <x v="3"/>
    <n v="195"/>
    <s v="USD2022/kW-yr"/>
  </r>
  <r>
    <x v="21"/>
    <x v="2"/>
    <x v="0"/>
    <x v="4"/>
    <n v="0.3"/>
    <s v="fraction_LHV"/>
  </r>
  <r>
    <x v="21"/>
    <x v="2"/>
    <x v="0"/>
    <x v="6"/>
    <n v="0.6"/>
    <s v="fraction"/>
  </r>
  <r>
    <x v="21"/>
    <x v="2"/>
    <x v="0"/>
    <x v="5"/>
    <n v="2.3610000000000002"/>
    <s v="USD2022/GJ"/>
  </r>
  <r>
    <x v="21"/>
    <x v="2"/>
    <x v="1"/>
    <x v="0"/>
    <n v="5650"/>
    <s v="USD2022/kW"/>
  </r>
  <r>
    <x v="21"/>
    <x v="2"/>
    <x v="1"/>
    <x v="1"/>
    <n v="5650"/>
    <s v="USD2022/kW"/>
  </r>
  <r>
    <x v="21"/>
    <x v="2"/>
    <x v="1"/>
    <x v="2"/>
    <n v="5650"/>
    <s v="USD2022/kW"/>
  </r>
  <r>
    <x v="21"/>
    <x v="2"/>
    <x v="1"/>
    <x v="3"/>
    <n v="200"/>
    <s v="USD2022/kW-yr"/>
  </r>
  <r>
    <x v="21"/>
    <x v="2"/>
    <x v="1"/>
    <x v="4"/>
    <n v="0.3"/>
    <s v="fraction_LHV"/>
  </r>
  <r>
    <x v="21"/>
    <x v="2"/>
    <x v="1"/>
    <x v="6"/>
    <n v="0.6"/>
    <s v="fraction"/>
  </r>
  <r>
    <x v="21"/>
    <x v="2"/>
    <x v="1"/>
    <x v="5"/>
    <n v="2.3610000000000002"/>
    <s v="USD2022/GJ"/>
  </r>
  <r>
    <x v="21"/>
    <x v="2"/>
    <x v="2"/>
    <x v="0"/>
    <n v="5100"/>
    <s v="USD2022/kW"/>
  </r>
  <r>
    <x v="21"/>
    <x v="2"/>
    <x v="2"/>
    <x v="1"/>
    <n v="5100"/>
    <s v="USD2022/kW"/>
  </r>
  <r>
    <x v="21"/>
    <x v="2"/>
    <x v="2"/>
    <x v="2"/>
    <n v="5100"/>
    <s v="USD2022/kW"/>
  </r>
  <r>
    <x v="21"/>
    <x v="2"/>
    <x v="2"/>
    <x v="3"/>
    <n v="175"/>
    <s v="USD2022/kW-yr"/>
  </r>
  <r>
    <x v="21"/>
    <x v="2"/>
    <x v="2"/>
    <x v="4"/>
    <n v="0.3"/>
    <s v="fraction_LHV"/>
  </r>
  <r>
    <x v="21"/>
    <x v="2"/>
    <x v="2"/>
    <x v="6"/>
    <n v="0.6"/>
    <s v="fraction"/>
  </r>
  <r>
    <x v="21"/>
    <x v="2"/>
    <x v="2"/>
    <x v="5"/>
    <n v="2.3610000000000002"/>
    <s v="USD2022/GJ"/>
  </r>
  <r>
    <x v="21"/>
    <x v="3"/>
    <x v="0"/>
    <x v="0"/>
    <n v="5200"/>
    <s v="USD2022/kW"/>
  </r>
  <r>
    <x v="21"/>
    <x v="3"/>
    <x v="0"/>
    <x v="1"/>
    <n v="5200"/>
    <s v="USD2022/kW"/>
  </r>
  <r>
    <x v="21"/>
    <x v="3"/>
    <x v="0"/>
    <x v="2"/>
    <n v="5200"/>
    <s v="USD2022/kW"/>
  </r>
  <r>
    <x v="21"/>
    <x v="3"/>
    <x v="0"/>
    <x v="3"/>
    <n v="180"/>
    <s v="USD2022/kW-yr"/>
  </r>
  <r>
    <x v="21"/>
    <x v="3"/>
    <x v="0"/>
    <x v="4"/>
    <n v="0.3"/>
    <s v="fraction_LHV"/>
  </r>
  <r>
    <x v="21"/>
    <x v="3"/>
    <x v="0"/>
    <x v="6"/>
    <n v="0.5"/>
    <s v="fraction"/>
  </r>
  <r>
    <x v="21"/>
    <x v="3"/>
    <x v="0"/>
    <x v="5"/>
    <n v="2.3610000000000002"/>
    <s v="USD2022/GJ"/>
  </r>
  <r>
    <x v="21"/>
    <x v="3"/>
    <x v="1"/>
    <x v="0"/>
    <n v="5150"/>
    <s v="USD2022/kW"/>
  </r>
  <r>
    <x v="21"/>
    <x v="3"/>
    <x v="1"/>
    <x v="1"/>
    <n v="5150"/>
    <s v="USD2022/kW"/>
  </r>
  <r>
    <x v="21"/>
    <x v="3"/>
    <x v="1"/>
    <x v="2"/>
    <n v="5150"/>
    <s v="USD2022/kW"/>
  </r>
  <r>
    <x v="21"/>
    <x v="3"/>
    <x v="1"/>
    <x v="3"/>
    <n v="180"/>
    <s v="USD2022/kW-yr"/>
  </r>
  <r>
    <x v="21"/>
    <x v="3"/>
    <x v="1"/>
    <x v="4"/>
    <n v="0.3"/>
    <s v="fraction_LHV"/>
  </r>
  <r>
    <x v="21"/>
    <x v="3"/>
    <x v="1"/>
    <x v="6"/>
    <n v="0.5"/>
    <s v="fraction"/>
  </r>
  <r>
    <x v="21"/>
    <x v="3"/>
    <x v="1"/>
    <x v="5"/>
    <n v="2.3610000000000002"/>
    <s v="USD2022/GJ"/>
  </r>
  <r>
    <x v="21"/>
    <x v="3"/>
    <x v="2"/>
    <x v="0"/>
    <n v="4600"/>
    <s v="USD2022/kW"/>
  </r>
  <r>
    <x v="21"/>
    <x v="3"/>
    <x v="2"/>
    <x v="1"/>
    <n v="4600"/>
    <s v="USD2022/kW"/>
  </r>
  <r>
    <x v="21"/>
    <x v="3"/>
    <x v="2"/>
    <x v="2"/>
    <n v="4600"/>
    <s v="USD2022/kW"/>
  </r>
  <r>
    <x v="21"/>
    <x v="3"/>
    <x v="2"/>
    <x v="3"/>
    <n v="160"/>
    <s v="USD2022/kW-yr"/>
  </r>
  <r>
    <x v="21"/>
    <x v="3"/>
    <x v="2"/>
    <x v="4"/>
    <n v="0.3"/>
    <s v="fraction_LHV"/>
  </r>
  <r>
    <x v="21"/>
    <x v="3"/>
    <x v="2"/>
    <x v="6"/>
    <n v="0.5"/>
    <s v="fraction"/>
  </r>
  <r>
    <x v="21"/>
    <x v="3"/>
    <x v="2"/>
    <x v="5"/>
    <n v="2.3610000000000002"/>
    <s v="USD2022/GJ"/>
  </r>
  <r>
    <x v="21"/>
    <x v="4"/>
    <x v="0"/>
    <x v="0"/>
    <n v="4150"/>
    <s v="USD2022/kW"/>
  </r>
  <r>
    <x v="21"/>
    <x v="4"/>
    <x v="0"/>
    <x v="1"/>
    <n v="4150"/>
    <s v="USD2022/kW"/>
  </r>
  <r>
    <x v="21"/>
    <x v="4"/>
    <x v="0"/>
    <x v="2"/>
    <n v="4150"/>
    <s v="USD2022/kW"/>
  </r>
  <r>
    <x v="21"/>
    <x v="4"/>
    <x v="0"/>
    <x v="3"/>
    <n v="145"/>
    <s v="USD2022/kW-yr"/>
  </r>
  <r>
    <x v="21"/>
    <x v="4"/>
    <x v="0"/>
    <x v="4"/>
    <n v="0.3"/>
    <s v="fraction_LHV"/>
  </r>
  <r>
    <x v="21"/>
    <x v="4"/>
    <x v="0"/>
    <x v="6"/>
    <n v="0.7"/>
    <s v="fraction"/>
  </r>
  <r>
    <x v="21"/>
    <x v="4"/>
    <x v="0"/>
    <x v="5"/>
    <n v="2.3610000000000002"/>
    <s v="USD2022/GJ"/>
  </r>
  <r>
    <x v="21"/>
    <x v="4"/>
    <x v="1"/>
    <x v="0"/>
    <n v="4100"/>
    <s v="USD2022/kW"/>
  </r>
  <r>
    <x v="21"/>
    <x v="4"/>
    <x v="1"/>
    <x v="1"/>
    <n v="4100"/>
    <s v="USD2022/kW"/>
  </r>
  <r>
    <x v="21"/>
    <x v="4"/>
    <x v="1"/>
    <x v="2"/>
    <n v="4100"/>
    <s v="USD2022/kW"/>
  </r>
  <r>
    <x v="21"/>
    <x v="4"/>
    <x v="1"/>
    <x v="3"/>
    <n v="145"/>
    <s v="USD2022/kW-yr"/>
  </r>
  <r>
    <x v="21"/>
    <x v="4"/>
    <x v="1"/>
    <x v="4"/>
    <n v="0.3"/>
    <s v="fraction_LHV"/>
  </r>
  <r>
    <x v="21"/>
    <x v="4"/>
    <x v="1"/>
    <x v="6"/>
    <n v="0.7"/>
    <s v="fraction"/>
  </r>
  <r>
    <x v="21"/>
    <x v="4"/>
    <x v="1"/>
    <x v="5"/>
    <n v="2.3610000000000002"/>
    <s v="USD2022/GJ"/>
  </r>
  <r>
    <x v="21"/>
    <x v="4"/>
    <x v="2"/>
    <x v="0"/>
    <n v="3650"/>
    <s v="USD2022/kW"/>
  </r>
  <r>
    <x v="21"/>
    <x v="4"/>
    <x v="2"/>
    <x v="1"/>
    <n v="3650"/>
    <s v="USD2022/kW"/>
  </r>
  <r>
    <x v="21"/>
    <x v="4"/>
    <x v="2"/>
    <x v="2"/>
    <n v="3650"/>
    <s v="USD2022/kW"/>
  </r>
  <r>
    <x v="21"/>
    <x v="4"/>
    <x v="2"/>
    <x v="3"/>
    <n v="125"/>
    <s v="USD2022/kW-yr"/>
  </r>
  <r>
    <x v="21"/>
    <x v="4"/>
    <x v="2"/>
    <x v="4"/>
    <n v="0.3"/>
    <s v="fraction_LHV"/>
  </r>
  <r>
    <x v="21"/>
    <x v="4"/>
    <x v="2"/>
    <x v="6"/>
    <n v="0.7"/>
    <s v="fraction"/>
  </r>
  <r>
    <x v="21"/>
    <x v="4"/>
    <x v="2"/>
    <x v="5"/>
    <n v="2.3610000000000002"/>
    <s v="USD2022/GJ"/>
  </r>
  <r>
    <x v="21"/>
    <x v="5"/>
    <x v="0"/>
    <x v="0"/>
    <n v="4700"/>
    <s v="USD2022/kW"/>
  </r>
  <r>
    <x v="21"/>
    <x v="5"/>
    <x v="0"/>
    <x v="1"/>
    <n v="4700"/>
    <s v="USD2022/kW"/>
  </r>
  <r>
    <x v="21"/>
    <x v="5"/>
    <x v="0"/>
    <x v="2"/>
    <n v="4700"/>
    <s v="USD2022/kW"/>
  </r>
  <r>
    <x v="21"/>
    <x v="5"/>
    <x v="0"/>
    <x v="3"/>
    <n v="165"/>
    <s v="USD2022/kW-yr"/>
  </r>
  <r>
    <x v="21"/>
    <x v="5"/>
    <x v="0"/>
    <x v="4"/>
    <n v="0.3"/>
    <s v="fraction_LHV"/>
  </r>
  <r>
    <x v="21"/>
    <x v="5"/>
    <x v="0"/>
    <x v="6"/>
    <n v="0.6"/>
    <s v="fraction"/>
  </r>
  <r>
    <x v="21"/>
    <x v="5"/>
    <x v="0"/>
    <x v="5"/>
    <n v="2.3610000000000002"/>
    <s v="USD2022/GJ"/>
  </r>
  <r>
    <x v="21"/>
    <x v="5"/>
    <x v="1"/>
    <x v="0"/>
    <n v="4650"/>
    <s v="USD2022/kW"/>
  </r>
  <r>
    <x v="21"/>
    <x v="5"/>
    <x v="1"/>
    <x v="1"/>
    <n v="4650"/>
    <s v="USD2022/kW"/>
  </r>
  <r>
    <x v="21"/>
    <x v="5"/>
    <x v="1"/>
    <x v="2"/>
    <n v="4650"/>
    <s v="USD2022/kW"/>
  </r>
  <r>
    <x v="21"/>
    <x v="5"/>
    <x v="1"/>
    <x v="3"/>
    <n v="165"/>
    <s v="USD2022/kW-yr"/>
  </r>
  <r>
    <x v="21"/>
    <x v="5"/>
    <x v="1"/>
    <x v="4"/>
    <n v="0.3"/>
    <s v="fraction_LHV"/>
  </r>
  <r>
    <x v="21"/>
    <x v="5"/>
    <x v="1"/>
    <x v="6"/>
    <n v="0.6"/>
    <s v="fraction"/>
  </r>
  <r>
    <x v="21"/>
    <x v="5"/>
    <x v="1"/>
    <x v="5"/>
    <n v="2.3610000000000002"/>
    <s v="USD2022/GJ"/>
  </r>
  <r>
    <x v="21"/>
    <x v="5"/>
    <x v="2"/>
    <x v="0"/>
    <n v="4200"/>
    <s v="USD2022/kW"/>
  </r>
  <r>
    <x v="21"/>
    <x v="5"/>
    <x v="2"/>
    <x v="1"/>
    <n v="4200"/>
    <s v="USD2022/kW"/>
  </r>
  <r>
    <x v="21"/>
    <x v="5"/>
    <x v="2"/>
    <x v="2"/>
    <n v="4200"/>
    <s v="USD2022/kW"/>
  </r>
  <r>
    <x v="21"/>
    <x v="5"/>
    <x v="2"/>
    <x v="3"/>
    <n v="145"/>
    <s v="USD2022/kW-yr"/>
  </r>
  <r>
    <x v="21"/>
    <x v="5"/>
    <x v="2"/>
    <x v="4"/>
    <n v="0.3"/>
    <s v="fraction_LHV"/>
  </r>
  <r>
    <x v="21"/>
    <x v="5"/>
    <x v="2"/>
    <x v="6"/>
    <n v="0.6"/>
    <s v="fraction"/>
  </r>
  <r>
    <x v="21"/>
    <x v="5"/>
    <x v="2"/>
    <x v="5"/>
    <n v="2.3610000000000002"/>
    <s v="USD2022/GJ"/>
  </r>
  <r>
    <x v="21"/>
    <x v="6"/>
    <x v="0"/>
    <x v="0"/>
    <n v="5150"/>
    <s v="USD2022/kW"/>
  </r>
  <r>
    <x v="21"/>
    <x v="6"/>
    <x v="0"/>
    <x v="1"/>
    <n v="5150"/>
    <s v="USD2022/kW"/>
  </r>
  <r>
    <x v="21"/>
    <x v="6"/>
    <x v="0"/>
    <x v="2"/>
    <n v="5150"/>
    <s v="USD2022/kW"/>
  </r>
  <r>
    <x v="21"/>
    <x v="6"/>
    <x v="0"/>
    <x v="3"/>
    <n v="180"/>
    <s v="USD2022/kW-yr"/>
  </r>
  <r>
    <x v="21"/>
    <x v="6"/>
    <x v="0"/>
    <x v="4"/>
    <n v="0.3"/>
    <s v="fraction_LHV"/>
  </r>
  <r>
    <x v="21"/>
    <x v="6"/>
    <x v="0"/>
    <x v="6"/>
    <n v="0.8"/>
    <s v="fraction"/>
  </r>
  <r>
    <x v="21"/>
    <x v="6"/>
    <x v="0"/>
    <x v="5"/>
    <n v="2.3610000000000002"/>
    <s v="USD2022/GJ"/>
  </r>
  <r>
    <x v="21"/>
    <x v="6"/>
    <x v="1"/>
    <x v="0"/>
    <n v="5050"/>
    <s v="USD2022/kW"/>
  </r>
  <r>
    <x v="21"/>
    <x v="6"/>
    <x v="1"/>
    <x v="1"/>
    <n v="5050"/>
    <s v="USD2022/kW"/>
  </r>
  <r>
    <x v="21"/>
    <x v="6"/>
    <x v="1"/>
    <x v="2"/>
    <n v="5050"/>
    <s v="USD2022/kW"/>
  </r>
  <r>
    <x v="21"/>
    <x v="6"/>
    <x v="1"/>
    <x v="3"/>
    <n v="175"/>
    <s v="USD2022/kW-yr"/>
  </r>
  <r>
    <x v="21"/>
    <x v="6"/>
    <x v="1"/>
    <x v="4"/>
    <n v="0.3"/>
    <s v="fraction_LHV"/>
  </r>
  <r>
    <x v="21"/>
    <x v="6"/>
    <x v="1"/>
    <x v="6"/>
    <n v="0.8"/>
    <s v="fraction"/>
  </r>
  <r>
    <x v="21"/>
    <x v="6"/>
    <x v="1"/>
    <x v="5"/>
    <n v="2.3610000000000002"/>
    <s v="USD2022/GJ"/>
  </r>
  <r>
    <x v="21"/>
    <x v="6"/>
    <x v="2"/>
    <x v="0"/>
    <n v="4500"/>
    <s v="USD2022/kW"/>
  </r>
  <r>
    <x v="21"/>
    <x v="6"/>
    <x v="2"/>
    <x v="1"/>
    <n v="4500"/>
    <s v="USD2022/kW"/>
  </r>
  <r>
    <x v="21"/>
    <x v="6"/>
    <x v="2"/>
    <x v="2"/>
    <n v="4500"/>
    <s v="USD2022/kW"/>
  </r>
  <r>
    <x v="21"/>
    <x v="6"/>
    <x v="2"/>
    <x v="3"/>
    <n v="160"/>
    <s v="USD2022/kW-yr"/>
  </r>
  <r>
    <x v="21"/>
    <x v="6"/>
    <x v="2"/>
    <x v="4"/>
    <n v="0.3"/>
    <s v="fraction_LHV"/>
  </r>
  <r>
    <x v="21"/>
    <x v="6"/>
    <x v="2"/>
    <x v="6"/>
    <n v="0.8"/>
    <s v="fraction"/>
  </r>
  <r>
    <x v="21"/>
    <x v="6"/>
    <x v="2"/>
    <x v="5"/>
    <n v="2.3610000000000002"/>
    <s v="USD2022/GJ"/>
  </r>
  <r>
    <x v="21"/>
    <x v="7"/>
    <x v="0"/>
    <x v="0"/>
    <n v="4900"/>
    <s v="USD2022/kW"/>
  </r>
  <r>
    <x v="21"/>
    <x v="7"/>
    <x v="0"/>
    <x v="1"/>
    <n v="4900"/>
    <s v="USD2022/kW"/>
  </r>
  <r>
    <x v="21"/>
    <x v="7"/>
    <x v="0"/>
    <x v="2"/>
    <n v="4900"/>
    <s v="USD2022/kW"/>
  </r>
  <r>
    <x v="21"/>
    <x v="7"/>
    <x v="0"/>
    <x v="3"/>
    <n v="170"/>
    <s v="USD2022/kW-yr"/>
  </r>
  <r>
    <x v="21"/>
    <x v="7"/>
    <x v="0"/>
    <x v="4"/>
    <n v="0.3"/>
    <s v="fraction_LHV"/>
  </r>
  <r>
    <x v="21"/>
    <x v="7"/>
    <x v="0"/>
    <x v="6"/>
    <n v="0.5"/>
    <s v="fraction"/>
  </r>
  <r>
    <x v="21"/>
    <x v="7"/>
    <x v="0"/>
    <x v="5"/>
    <n v="2.3610000000000002"/>
    <s v="USD2022/GJ"/>
  </r>
  <r>
    <x v="21"/>
    <x v="7"/>
    <x v="1"/>
    <x v="0"/>
    <n v="4850"/>
    <s v="USD2022/kW"/>
  </r>
  <r>
    <x v="21"/>
    <x v="7"/>
    <x v="1"/>
    <x v="1"/>
    <n v="4850"/>
    <s v="USD2022/kW"/>
  </r>
  <r>
    <x v="21"/>
    <x v="7"/>
    <x v="1"/>
    <x v="2"/>
    <n v="4850"/>
    <s v="USD2022/kW"/>
  </r>
  <r>
    <x v="21"/>
    <x v="7"/>
    <x v="1"/>
    <x v="3"/>
    <n v="170"/>
    <s v="USD2022/kW-yr"/>
  </r>
  <r>
    <x v="21"/>
    <x v="7"/>
    <x v="1"/>
    <x v="4"/>
    <n v="0.3"/>
    <s v="fraction_LHV"/>
  </r>
  <r>
    <x v="21"/>
    <x v="7"/>
    <x v="1"/>
    <x v="6"/>
    <n v="0.5"/>
    <s v="fraction"/>
  </r>
  <r>
    <x v="21"/>
    <x v="7"/>
    <x v="1"/>
    <x v="5"/>
    <n v="2.3610000000000002"/>
    <s v="USD2022/GJ"/>
  </r>
  <r>
    <x v="21"/>
    <x v="7"/>
    <x v="2"/>
    <x v="0"/>
    <n v="4350"/>
    <s v="USD2022/kW"/>
  </r>
  <r>
    <x v="21"/>
    <x v="7"/>
    <x v="2"/>
    <x v="1"/>
    <n v="4350"/>
    <s v="USD2022/kW"/>
  </r>
  <r>
    <x v="21"/>
    <x v="7"/>
    <x v="2"/>
    <x v="2"/>
    <n v="4350"/>
    <s v="USD2022/kW"/>
  </r>
  <r>
    <x v="21"/>
    <x v="7"/>
    <x v="2"/>
    <x v="3"/>
    <n v="150"/>
    <s v="USD2022/kW-yr"/>
  </r>
  <r>
    <x v="21"/>
    <x v="7"/>
    <x v="2"/>
    <x v="4"/>
    <n v="0.3"/>
    <s v="fraction_LHV"/>
  </r>
  <r>
    <x v="21"/>
    <x v="7"/>
    <x v="2"/>
    <x v="6"/>
    <n v="0.5"/>
    <s v="fraction"/>
  </r>
  <r>
    <x v="21"/>
    <x v="7"/>
    <x v="2"/>
    <x v="5"/>
    <n v="2.3610000000000002"/>
    <s v="USD2022/GJ"/>
  </r>
  <r>
    <x v="21"/>
    <x v="8"/>
    <x v="0"/>
    <x v="0"/>
    <n v="4550"/>
    <s v="USD2022/kW"/>
  </r>
  <r>
    <x v="21"/>
    <x v="8"/>
    <x v="0"/>
    <x v="1"/>
    <n v="4550"/>
    <s v="USD2022/kW"/>
  </r>
  <r>
    <x v="21"/>
    <x v="8"/>
    <x v="0"/>
    <x v="2"/>
    <n v="4550"/>
    <s v="USD2022/kW"/>
  </r>
  <r>
    <x v="21"/>
    <x v="8"/>
    <x v="0"/>
    <x v="3"/>
    <n v="160"/>
    <s v="USD2022/kW-yr"/>
  </r>
  <r>
    <x v="21"/>
    <x v="8"/>
    <x v="0"/>
    <x v="4"/>
    <n v="0.3"/>
    <s v="fraction_LHV"/>
  </r>
  <r>
    <x v="21"/>
    <x v="8"/>
    <x v="0"/>
    <x v="6"/>
    <n v="0.4"/>
    <s v="fraction"/>
  </r>
  <r>
    <x v="21"/>
    <x v="8"/>
    <x v="0"/>
    <x v="5"/>
    <n v="2.3610000000000002"/>
    <s v="USD2022/GJ"/>
  </r>
  <r>
    <x v="21"/>
    <x v="8"/>
    <x v="1"/>
    <x v="0"/>
    <n v="4500"/>
    <s v="USD2022/kW"/>
  </r>
  <r>
    <x v="21"/>
    <x v="8"/>
    <x v="1"/>
    <x v="1"/>
    <n v="4500"/>
    <s v="USD2022/kW"/>
  </r>
  <r>
    <x v="21"/>
    <x v="8"/>
    <x v="1"/>
    <x v="2"/>
    <n v="4500"/>
    <s v="USD2022/kW"/>
  </r>
  <r>
    <x v="21"/>
    <x v="8"/>
    <x v="1"/>
    <x v="3"/>
    <n v="160"/>
    <s v="USD2022/kW-yr"/>
  </r>
  <r>
    <x v="21"/>
    <x v="8"/>
    <x v="1"/>
    <x v="4"/>
    <n v="0.3"/>
    <s v="fraction_LHV"/>
  </r>
  <r>
    <x v="21"/>
    <x v="8"/>
    <x v="1"/>
    <x v="6"/>
    <n v="0.4"/>
    <s v="fraction"/>
  </r>
  <r>
    <x v="21"/>
    <x v="8"/>
    <x v="1"/>
    <x v="5"/>
    <n v="2.3610000000000002"/>
    <s v="USD2022/GJ"/>
  </r>
  <r>
    <x v="21"/>
    <x v="8"/>
    <x v="2"/>
    <x v="0"/>
    <n v="4050"/>
    <s v="USD2022/kW"/>
  </r>
  <r>
    <x v="21"/>
    <x v="8"/>
    <x v="2"/>
    <x v="1"/>
    <n v="4050"/>
    <s v="USD2022/kW"/>
  </r>
  <r>
    <x v="21"/>
    <x v="8"/>
    <x v="2"/>
    <x v="2"/>
    <n v="4050"/>
    <s v="USD2022/kW"/>
  </r>
  <r>
    <x v="21"/>
    <x v="8"/>
    <x v="2"/>
    <x v="3"/>
    <n v="145"/>
    <s v="USD2022/kW-yr"/>
  </r>
  <r>
    <x v="21"/>
    <x v="8"/>
    <x v="2"/>
    <x v="4"/>
    <n v="0.3"/>
    <s v="fraction_LHV"/>
  </r>
  <r>
    <x v="21"/>
    <x v="8"/>
    <x v="2"/>
    <x v="6"/>
    <n v="0.4"/>
    <s v="fraction"/>
  </r>
  <r>
    <x v="21"/>
    <x v="8"/>
    <x v="2"/>
    <x v="5"/>
    <n v="2.3610000000000002"/>
    <s v="USD2022/GJ"/>
  </r>
  <r>
    <x v="22"/>
    <x v="0"/>
    <x v="0"/>
    <x v="0"/>
    <n v="5650"/>
    <s v="USD2022/kW"/>
  </r>
  <r>
    <x v="22"/>
    <x v="0"/>
    <x v="0"/>
    <x v="1"/>
    <n v="5650"/>
    <s v="USD2022/kW"/>
  </r>
  <r>
    <x v="22"/>
    <x v="0"/>
    <x v="0"/>
    <x v="2"/>
    <n v="5650"/>
    <s v="USD2022/kW"/>
  </r>
  <r>
    <x v="22"/>
    <x v="0"/>
    <x v="0"/>
    <x v="3"/>
    <n v="230"/>
    <s v="USD2022/kW-yr"/>
  </r>
  <r>
    <x v="22"/>
    <x v="0"/>
    <x v="0"/>
    <x v="4"/>
    <n v="0.4"/>
    <s v="fraction_LHV"/>
  </r>
  <r>
    <x v="22"/>
    <x v="0"/>
    <x v="0"/>
    <x v="6"/>
    <n v="0.3"/>
    <s v="fraction"/>
  </r>
  <r>
    <x v="22"/>
    <x v="0"/>
    <x v="0"/>
    <x v="5"/>
    <n v="1.099"/>
    <s v="USD2022/GJ"/>
  </r>
  <r>
    <x v="22"/>
    <x v="0"/>
    <x v="1"/>
    <x v="0"/>
    <n v="4950"/>
    <s v="USD2022/kW"/>
  </r>
  <r>
    <x v="22"/>
    <x v="0"/>
    <x v="1"/>
    <x v="1"/>
    <n v="7560.6"/>
    <s v="USD2022/kW"/>
  </r>
  <r>
    <x v="22"/>
    <x v="0"/>
    <x v="1"/>
    <x v="2"/>
    <n v="3980.3"/>
    <s v="USD2022/kW"/>
  </r>
  <r>
    <x v="22"/>
    <x v="0"/>
    <x v="1"/>
    <x v="3"/>
    <n v="200"/>
    <s v="USD2022/kW-yr"/>
  </r>
  <r>
    <x v="22"/>
    <x v="0"/>
    <x v="1"/>
    <x v="4"/>
    <n v="0.4"/>
    <s v="fraction_LHV"/>
  </r>
  <r>
    <x v="22"/>
    <x v="0"/>
    <x v="1"/>
    <x v="6"/>
    <n v="0.36"/>
    <s v="fraction"/>
  </r>
  <r>
    <x v="22"/>
    <x v="0"/>
    <x v="1"/>
    <x v="5"/>
    <n v="0.83299999999999996"/>
    <s v="USD2022/GJ"/>
  </r>
  <r>
    <x v="22"/>
    <x v="0"/>
    <x v="2"/>
    <x v="0"/>
    <n v="3850"/>
    <s v="USD2022/kW"/>
  </r>
  <r>
    <x v="22"/>
    <x v="0"/>
    <x v="2"/>
    <x v="1"/>
    <n v="6837.2"/>
    <s v="USD2022/kW"/>
  </r>
  <r>
    <x v="22"/>
    <x v="0"/>
    <x v="2"/>
    <x v="2"/>
    <n v="2722.7"/>
    <s v="USD2022/kW"/>
  </r>
  <r>
    <x v="22"/>
    <x v="0"/>
    <x v="2"/>
    <x v="3"/>
    <n v="150"/>
    <s v="USD2022/kW-yr"/>
  </r>
  <r>
    <x v="22"/>
    <x v="0"/>
    <x v="2"/>
    <x v="4"/>
    <n v="0.4"/>
    <s v="fraction_LHV"/>
  </r>
  <r>
    <x v="22"/>
    <x v="0"/>
    <x v="2"/>
    <x v="6"/>
    <n v="0.42"/>
    <s v="fraction"/>
  </r>
  <r>
    <x v="22"/>
    <x v="0"/>
    <x v="2"/>
    <x v="5"/>
    <n v="0.83299999999999996"/>
    <s v="USD2022/GJ"/>
  </r>
  <r>
    <x v="22"/>
    <x v="1"/>
    <x v="0"/>
    <x v="0"/>
    <n v="6500"/>
    <s v="USD2022/kW"/>
  </r>
  <r>
    <x v="22"/>
    <x v="1"/>
    <x v="0"/>
    <x v="1"/>
    <n v="6500"/>
    <s v="USD2022/kW"/>
  </r>
  <r>
    <x v="22"/>
    <x v="1"/>
    <x v="0"/>
    <x v="2"/>
    <n v="6500"/>
    <s v="USD2022/kW"/>
  </r>
  <r>
    <x v="22"/>
    <x v="1"/>
    <x v="0"/>
    <x v="3"/>
    <n v="260"/>
    <s v="USD2022/kW-yr"/>
  </r>
  <r>
    <x v="22"/>
    <x v="1"/>
    <x v="0"/>
    <x v="4"/>
    <n v="0.4"/>
    <s v="fraction_LHV"/>
  </r>
  <r>
    <x v="22"/>
    <x v="1"/>
    <x v="0"/>
    <x v="6"/>
    <n v="0.28000000000000003"/>
    <s v="fraction"/>
  </r>
  <r>
    <x v="22"/>
    <x v="1"/>
    <x v="0"/>
    <x v="5"/>
    <n v="1.099"/>
    <s v="USD2022/GJ"/>
  </r>
  <r>
    <x v="22"/>
    <x v="1"/>
    <x v="1"/>
    <x v="0"/>
    <n v="5850"/>
    <s v="USD2022/kW"/>
  </r>
  <r>
    <x v="22"/>
    <x v="1"/>
    <x v="1"/>
    <x v="1"/>
    <n v="8935.2999999999993"/>
    <s v="USD2022/kW"/>
  </r>
  <r>
    <x v="22"/>
    <x v="1"/>
    <x v="1"/>
    <x v="2"/>
    <n v="4704"/>
    <s v="USD2022/kW"/>
  </r>
  <r>
    <x v="22"/>
    <x v="1"/>
    <x v="1"/>
    <x v="3"/>
    <n v="230"/>
    <s v="USD2022/kW-yr"/>
  </r>
  <r>
    <x v="22"/>
    <x v="1"/>
    <x v="1"/>
    <x v="4"/>
    <n v="0.4"/>
    <s v="fraction_LHV"/>
  </r>
  <r>
    <x v="22"/>
    <x v="1"/>
    <x v="1"/>
    <x v="6"/>
    <n v="0.34"/>
    <s v="fraction"/>
  </r>
  <r>
    <x v="22"/>
    <x v="1"/>
    <x v="1"/>
    <x v="5"/>
    <n v="0.83299999999999996"/>
    <s v="USD2022/GJ"/>
  </r>
  <r>
    <x v="22"/>
    <x v="1"/>
    <x v="2"/>
    <x v="0"/>
    <n v="4550"/>
    <s v="USD2022/kW"/>
  </r>
  <r>
    <x v="22"/>
    <x v="1"/>
    <x v="2"/>
    <x v="1"/>
    <n v="8080.3"/>
    <s v="USD2022/kW"/>
  </r>
  <r>
    <x v="22"/>
    <x v="1"/>
    <x v="2"/>
    <x v="2"/>
    <n v="3217.8"/>
    <s v="USD2022/kW"/>
  </r>
  <r>
    <x v="22"/>
    <x v="1"/>
    <x v="2"/>
    <x v="3"/>
    <n v="180"/>
    <s v="USD2022/kW-yr"/>
  </r>
  <r>
    <x v="22"/>
    <x v="1"/>
    <x v="2"/>
    <x v="4"/>
    <n v="0.4"/>
    <s v="fraction_LHV"/>
  </r>
  <r>
    <x v="22"/>
    <x v="1"/>
    <x v="2"/>
    <x v="6"/>
    <n v="0.4"/>
    <s v="fraction"/>
  </r>
  <r>
    <x v="22"/>
    <x v="1"/>
    <x v="2"/>
    <x v="5"/>
    <n v="0.83299999999999996"/>
    <s v="USD2022/GJ"/>
  </r>
  <r>
    <x v="22"/>
    <x v="2"/>
    <x v="0"/>
    <x v="5"/>
    <n v="1.099"/>
    <s v="USD2022/GJ"/>
  </r>
  <r>
    <x v="22"/>
    <x v="2"/>
    <x v="1"/>
    <x v="5"/>
    <n v="0.83299999999999996"/>
    <s v="USD2022/GJ"/>
  </r>
  <r>
    <x v="22"/>
    <x v="2"/>
    <x v="2"/>
    <x v="5"/>
    <n v="0.83299999999999996"/>
    <s v="USD2022/GJ"/>
  </r>
  <r>
    <x v="22"/>
    <x v="3"/>
    <x v="0"/>
    <x v="5"/>
    <n v="1.099"/>
    <s v="USD2022/GJ"/>
  </r>
  <r>
    <x v="22"/>
    <x v="3"/>
    <x v="1"/>
    <x v="5"/>
    <n v="0.83299999999999996"/>
    <s v="USD2022/GJ"/>
  </r>
  <r>
    <x v="22"/>
    <x v="3"/>
    <x v="2"/>
    <x v="5"/>
    <n v="0.83299999999999996"/>
    <s v="USD2022/GJ"/>
  </r>
  <r>
    <x v="22"/>
    <x v="4"/>
    <x v="0"/>
    <x v="0"/>
    <n v="4900"/>
    <s v="USD2022/kW"/>
  </r>
  <r>
    <x v="22"/>
    <x v="4"/>
    <x v="0"/>
    <x v="1"/>
    <n v="4900"/>
    <s v="USD2022/kW"/>
  </r>
  <r>
    <x v="22"/>
    <x v="4"/>
    <x v="0"/>
    <x v="2"/>
    <n v="4900"/>
    <s v="USD2022/kW"/>
  </r>
  <r>
    <x v="22"/>
    <x v="4"/>
    <x v="0"/>
    <x v="3"/>
    <n v="200"/>
    <s v="USD2022/kW-yr"/>
  </r>
  <r>
    <x v="22"/>
    <x v="4"/>
    <x v="0"/>
    <x v="4"/>
    <n v="0.4"/>
    <s v="fraction_LHV"/>
  </r>
  <r>
    <x v="22"/>
    <x v="4"/>
    <x v="0"/>
    <x v="6"/>
    <n v="0.28000000000000003"/>
    <s v="fraction"/>
  </r>
  <r>
    <x v="22"/>
    <x v="4"/>
    <x v="0"/>
    <x v="5"/>
    <n v="1.099"/>
    <s v="USD2022/GJ"/>
  </r>
  <r>
    <x v="22"/>
    <x v="4"/>
    <x v="1"/>
    <x v="0"/>
    <n v="4200"/>
    <s v="USD2022/kW"/>
  </r>
  <r>
    <x v="22"/>
    <x v="4"/>
    <x v="1"/>
    <x v="1"/>
    <n v="6415.1"/>
    <s v="USD2022/kW"/>
  </r>
  <r>
    <x v="22"/>
    <x v="4"/>
    <x v="1"/>
    <x v="2"/>
    <n v="3377.2"/>
    <s v="USD2022/kW"/>
  </r>
  <r>
    <x v="22"/>
    <x v="4"/>
    <x v="1"/>
    <x v="3"/>
    <n v="170"/>
    <s v="USD2022/kW-yr"/>
  </r>
  <r>
    <x v="22"/>
    <x v="4"/>
    <x v="1"/>
    <x v="4"/>
    <n v="0.4"/>
    <s v="fraction_LHV"/>
  </r>
  <r>
    <x v="22"/>
    <x v="4"/>
    <x v="1"/>
    <x v="6"/>
    <n v="0.34"/>
    <s v="fraction"/>
  </r>
  <r>
    <x v="22"/>
    <x v="4"/>
    <x v="1"/>
    <x v="5"/>
    <n v="0.83299999999999996"/>
    <s v="USD2022/GJ"/>
  </r>
  <r>
    <x v="22"/>
    <x v="4"/>
    <x v="2"/>
    <x v="0"/>
    <n v="3250"/>
    <s v="USD2022/kW"/>
  </r>
  <r>
    <x v="22"/>
    <x v="4"/>
    <x v="2"/>
    <x v="1"/>
    <n v="5771.7"/>
    <s v="USD2022/kW"/>
  </r>
  <r>
    <x v="22"/>
    <x v="4"/>
    <x v="2"/>
    <x v="2"/>
    <n v="2298.4"/>
    <s v="USD2022/kW"/>
  </r>
  <r>
    <x v="22"/>
    <x v="4"/>
    <x v="2"/>
    <x v="3"/>
    <n v="130"/>
    <s v="USD2022/kW-yr"/>
  </r>
  <r>
    <x v="22"/>
    <x v="4"/>
    <x v="2"/>
    <x v="4"/>
    <n v="0.4"/>
    <s v="fraction_LHV"/>
  </r>
  <r>
    <x v="22"/>
    <x v="4"/>
    <x v="2"/>
    <x v="6"/>
    <n v="0.4"/>
    <s v="fraction"/>
  </r>
  <r>
    <x v="22"/>
    <x v="4"/>
    <x v="2"/>
    <x v="5"/>
    <n v="0.83299999999999996"/>
    <s v="USD2022/GJ"/>
  </r>
  <r>
    <x v="22"/>
    <x v="5"/>
    <x v="0"/>
    <x v="0"/>
    <n v="5700"/>
    <s v="USD2022/kW"/>
  </r>
  <r>
    <x v="22"/>
    <x v="5"/>
    <x v="0"/>
    <x v="1"/>
    <n v="5700"/>
    <s v="USD2022/kW"/>
  </r>
  <r>
    <x v="22"/>
    <x v="5"/>
    <x v="0"/>
    <x v="2"/>
    <n v="5700"/>
    <s v="USD2022/kW"/>
  </r>
  <r>
    <x v="22"/>
    <x v="5"/>
    <x v="0"/>
    <x v="3"/>
    <n v="230"/>
    <s v="USD2022/kW-yr"/>
  </r>
  <r>
    <x v="22"/>
    <x v="5"/>
    <x v="0"/>
    <x v="4"/>
    <n v="0.4"/>
    <s v="fraction_LHV"/>
  </r>
  <r>
    <x v="22"/>
    <x v="5"/>
    <x v="0"/>
    <x v="6"/>
    <n v="0.26"/>
    <s v="fraction"/>
  </r>
  <r>
    <x v="22"/>
    <x v="5"/>
    <x v="0"/>
    <x v="5"/>
    <n v="1.099"/>
    <s v="USD2022/GJ"/>
  </r>
  <r>
    <x v="22"/>
    <x v="5"/>
    <x v="1"/>
    <x v="0"/>
    <n v="5000"/>
    <s v="USD2022/kW"/>
  </r>
  <r>
    <x v="22"/>
    <x v="5"/>
    <x v="1"/>
    <x v="1"/>
    <n v="7637"/>
    <s v="USD2022/kW"/>
  </r>
  <r>
    <x v="22"/>
    <x v="5"/>
    <x v="1"/>
    <x v="2"/>
    <n v="4020.5"/>
    <s v="USD2022/kW"/>
  </r>
  <r>
    <x v="22"/>
    <x v="5"/>
    <x v="1"/>
    <x v="3"/>
    <n v="200"/>
    <s v="USD2022/kW-yr"/>
  </r>
  <r>
    <x v="22"/>
    <x v="5"/>
    <x v="1"/>
    <x v="4"/>
    <n v="0.4"/>
    <s v="fraction_LHV"/>
  </r>
  <r>
    <x v="22"/>
    <x v="5"/>
    <x v="1"/>
    <x v="6"/>
    <n v="0.3"/>
    <s v="fraction"/>
  </r>
  <r>
    <x v="22"/>
    <x v="5"/>
    <x v="1"/>
    <x v="5"/>
    <n v="0.83299999999999996"/>
    <s v="USD2022/GJ"/>
  </r>
  <r>
    <x v="22"/>
    <x v="5"/>
    <x v="2"/>
    <x v="0"/>
    <n v="3800"/>
    <s v="USD2022/kW"/>
  </r>
  <r>
    <x v="22"/>
    <x v="5"/>
    <x v="2"/>
    <x v="1"/>
    <n v="6748.4"/>
    <s v="USD2022/kW"/>
  </r>
  <r>
    <x v="22"/>
    <x v="5"/>
    <x v="2"/>
    <x v="2"/>
    <n v="2687.4"/>
    <s v="USD2022/kW"/>
  </r>
  <r>
    <x v="22"/>
    <x v="5"/>
    <x v="2"/>
    <x v="3"/>
    <n v="150"/>
    <s v="USD2022/kW-yr"/>
  </r>
  <r>
    <x v="22"/>
    <x v="5"/>
    <x v="2"/>
    <x v="4"/>
    <n v="0.4"/>
    <s v="fraction_LHV"/>
  </r>
  <r>
    <x v="22"/>
    <x v="5"/>
    <x v="2"/>
    <x v="6"/>
    <n v="0.36"/>
    <s v="fraction"/>
  </r>
  <r>
    <x v="22"/>
    <x v="5"/>
    <x v="2"/>
    <x v="5"/>
    <n v="0.83299999999999996"/>
    <s v="USD2022/GJ"/>
  </r>
  <r>
    <x v="22"/>
    <x v="6"/>
    <x v="0"/>
    <x v="0"/>
    <n v="5250"/>
    <s v="USD2022/kW"/>
  </r>
  <r>
    <x v="22"/>
    <x v="6"/>
    <x v="0"/>
    <x v="1"/>
    <n v="5250"/>
    <s v="USD2022/kW"/>
  </r>
  <r>
    <x v="22"/>
    <x v="6"/>
    <x v="0"/>
    <x v="2"/>
    <n v="5250"/>
    <s v="USD2022/kW"/>
  </r>
  <r>
    <x v="22"/>
    <x v="6"/>
    <x v="0"/>
    <x v="3"/>
    <n v="210"/>
    <s v="USD2022/kW-yr"/>
  </r>
  <r>
    <x v="22"/>
    <x v="6"/>
    <x v="0"/>
    <x v="4"/>
    <n v="0.4"/>
    <s v="fraction_LHV"/>
  </r>
  <r>
    <x v="22"/>
    <x v="6"/>
    <x v="0"/>
    <x v="6"/>
    <n v="0.3"/>
    <s v="fraction"/>
  </r>
  <r>
    <x v="22"/>
    <x v="6"/>
    <x v="0"/>
    <x v="5"/>
    <n v="1.099"/>
    <s v="USD2022/GJ"/>
  </r>
  <r>
    <x v="22"/>
    <x v="6"/>
    <x v="1"/>
    <x v="0"/>
    <n v="4500"/>
    <s v="USD2022/kW"/>
  </r>
  <r>
    <x v="22"/>
    <x v="6"/>
    <x v="1"/>
    <x v="1"/>
    <n v="6873.3"/>
    <s v="USD2022/kW"/>
  </r>
  <r>
    <x v="22"/>
    <x v="6"/>
    <x v="1"/>
    <x v="2"/>
    <n v="3618.4"/>
    <s v="USD2022/kW"/>
  </r>
  <r>
    <x v="22"/>
    <x v="6"/>
    <x v="1"/>
    <x v="3"/>
    <n v="180"/>
    <s v="USD2022/kW-yr"/>
  </r>
  <r>
    <x v="22"/>
    <x v="6"/>
    <x v="1"/>
    <x v="4"/>
    <n v="0.4"/>
    <s v="fraction_LHV"/>
  </r>
  <r>
    <x v="22"/>
    <x v="6"/>
    <x v="1"/>
    <x v="6"/>
    <n v="0.36"/>
    <s v="fraction"/>
  </r>
  <r>
    <x v="22"/>
    <x v="6"/>
    <x v="1"/>
    <x v="5"/>
    <n v="0.83299999999999996"/>
    <s v="USD2022/GJ"/>
  </r>
  <r>
    <x v="22"/>
    <x v="6"/>
    <x v="2"/>
    <x v="0"/>
    <n v="3400"/>
    <s v="USD2022/kW"/>
  </r>
  <r>
    <x v="22"/>
    <x v="6"/>
    <x v="2"/>
    <x v="1"/>
    <n v="6038.1"/>
    <s v="USD2022/kW"/>
  </r>
  <r>
    <x v="22"/>
    <x v="6"/>
    <x v="2"/>
    <x v="2"/>
    <n v="2404.5"/>
    <s v="USD2022/kW"/>
  </r>
  <r>
    <x v="22"/>
    <x v="6"/>
    <x v="2"/>
    <x v="3"/>
    <n v="140"/>
    <s v="USD2022/kW-yr"/>
  </r>
  <r>
    <x v="22"/>
    <x v="6"/>
    <x v="2"/>
    <x v="4"/>
    <n v="0.4"/>
    <s v="fraction_LHV"/>
  </r>
  <r>
    <x v="22"/>
    <x v="6"/>
    <x v="2"/>
    <x v="6"/>
    <n v="0.42"/>
    <s v="fraction"/>
  </r>
  <r>
    <x v="22"/>
    <x v="6"/>
    <x v="2"/>
    <x v="5"/>
    <n v="0.83299999999999996"/>
    <s v="USD2022/GJ"/>
  </r>
  <r>
    <x v="22"/>
    <x v="7"/>
    <x v="0"/>
    <x v="0"/>
    <n v="5050"/>
    <s v="USD2022/kW"/>
  </r>
  <r>
    <x v="22"/>
    <x v="7"/>
    <x v="0"/>
    <x v="1"/>
    <n v="5050"/>
    <s v="USD2022/kW"/>
  </r>
  <r>
    <x v="22"/>
    <x v="7"/>
    <x v="0"/>
    <x v="2"/>
    <n v="5050"/>
    <s v="USD2022/kW"/>
  </r>
  <r>
    <x v="22"/>
    <x v="7"/>
    <x v="0"/>
    <x v="3"/>
    <n v="200"/>
    <s v="USD2022/kW-yr"/>
  </r>
  <r>
    <x v="22"/>
    <x v="7"/>
    <x v="0"/>
    <x v="4"/>
    <n v="0.4"/>
    <s v="fraction_LHV"/>
  </r>
  <r>
    <x v="22"/>
    <x v="7"/>
    <x v="0"/>
    <x v="6"/>
    <n v="0.3"/>
    <s v="fraction"/>
  </r>
  <r>
    <x v="22"/>
    <x v="7"/>
    <x v="0"/>
    <x v="5"/>
    <n v="1.099"/>
    <s v="USD2022/GJ"/>
  </r>
  <r>
    <x v="22"/>
    <x v="7"/>
    <x v="1"/>
    <x v="0"/>
    <n v="4450"/>
    <s v="USD2022/kW"/>
  </r>
  <r>
    <x v="22"/>
    <x v="7"/>
    <x v="1"/>
    <x v="1"/>
    <n v="6796.9"/>
    <s v="USD2022/kW"/>
  </r>
  <r>
    <x v="22"/>
    <x v="7"/>
    <x v="1"/>
    <x v="2"/>
    <n v="3578.2"/>
    <s v="USD2022/kW"/>
  </r>
  <r>
    <x v="22"/>
    <x v="7"/>
    <x v="1"/>
    <x v="3"/>
    <n v="180"/>
    <s v="USD2022/kW-yr"/>
  </r>
  <r>
    <x v="22"/>
    <x v="7"/>
    <x v="1"/>
    <x v="4"/>
    <n v="0.4"/>
    <s v="fraction_LHV"/>
  </r>
  <r>
    <x v="22"/>
    <x v="7"/>
    <x v="1"/>
    <x v="6"/>
    <n v="0.36"/>
    <s v="fraction"/>
  </r>
  <r>
    <x v="22"/>
    <x v="7"/>
    <x v="1"/>
    <x v="5"/>
    <n v="0.83299999999999996"/>
    <s v="USD2022/GJ"/>
  </r>
  <r>
    <x v="22"/>
    <x v="7"/>
    <x v="2"/>
    <x v="0"/>
    <n v="3450"/>
    <s v="USD2022/kW"/>
  </r>
  <r>
    <x v="22"/>
    <x v="7"/>
    <x v="2"/>
    <x v="1"/>
    <n v="6126.9"/>
    <s v="USD2022/kW"/>
  </r>
  <r>
    <x v="22"/>
    <x v="7"/>
    <x v="2"/>
    <x v="2"/>
    <n v="2439.8000000000002"/>
    <s v="USD2022/kW"/>
  </r>
  <r>
    <x v="22"/>
    <x v="7"/>
    <x v="2"/>
    <x v="3"/>
    <n v="140"/>
    <s v="USD2022/kW-yr"/>
  </r>
  <r>
    <x v="22"/>
    <x v="7"/>
    <x v="2"/>
    <x v="4"/>
    <n v="0.4"/>
    <s v="fraction_LHV"/>
  </r>
  <r>
    <x v="22"/>
    <x v="7"/>
    <x v="2"/>
    <x v="6"/>
    <n v="0.42"/>
    <s v="fraction"/>
  </r>
  <r>
    <x v="22"/>
    <x v="7"/>
    <x v="2"/>
    <x v="5"/>
    <n v="0.83299999999999996"/>
    <s v="USD2022/GJ"/>
  </r>
  <r>
    <x v="22"/>
    <x v="8"/>
    <x v="0"/>
    <x v="0"/>
    <n v="5350"/>
    <s v="USD2022/kW"/>
  </r>
  <r>
    <x v="22"/>
    <x v="8"/>
    <x v="0"/>
    <x v="1"/>
    <n v="5350"/>
    <s v="USD2022/kW"/>
  </r>
  <r>
    <x v="22"/>
    <x v="8"/>
    <x v="0"/>
    <x v="2"/>
    <n v="5350"/>
    <s v="USD2022/kW"/>
  </r>
  <r>
    <x v="22"/>
    <x v="8"/>
    <x v="0"/>
    <x v="3"/>
    <n v="210"/>
    <s v="USD2022/kW-yr"/>
  </r>
  <r>
    <x v="22"/>
    <x v="8"/>
    <x v="0"/>
    <x v="4"/>
    <n v="0.4"/>
    <s v="fraction_LHV"/>
  </r>
  <r>
    <x v="22"/>
    <x v="8"/>
    <x v="0"/>
    <x v="6"/>
    <n v="0.28000000000000003"/>
    <s v="fraction"/>
  </r>
  <r>
    <x v="22"/>
    <x v="8"/>
    <x v="0"/>
    <x v="5"/>
    <n v="1.099"/>
    <s v="USD2022/GJ"/>
  </r>
  <r>
    <x v="22"/>
    <x v="8"/>
    <x v="1"/>
    <x v="0"/>
    <n v="4650"/>
    <s v="USD2022/kW"/>
  </r>
  <r>
    <x v="22"/>
    <x v="8"/>
    <x v="1"/>
    <x v="1"/>
    <n v="7102.4"/>
    <s v="USD2022/kW"/>
  </r>
  <r>
    <x v="22"/>
    <x v="8"/>
    <x v="1"/>
    <x v="2"/>
    <n v="3739.1"/>
    <s v="USD2022/kW"/>
  </r>
  <r>
    <x v="22"/>
    <x v="8"/>
    <x v="1"/>
    <x v="3"/>
    <n v="190"/>
    <s v="USD2022/kW-yr"/>
  </r>
  <r>
    <x v="22"/>
    <x v="8"/>
    <x v="1"/>
    <x v="4"/>
    <n v="0.4"/>
    <s v="fraction_LHV"/>
  </r>
  <r>
    <x v="22"/>
    <x v="8"/>
    <x v="1"/>
    <x v="6"/>
    <n v="0.34"/>
    <s v="fraction"/>
  </r>
  <r>
    <x v="22"/>
    <x v="8"/>
    <x v="1"/>
    <x v="5"/>
    <n v="0.83299999999999996"/>
    <s v="USD2022/GJ"/>
  </r>
  <r>
    <x v="22"/>
    <x v="8"/>
    <x v="2"/>
    <x v="0"/>
    <n v="3450"/>
    <s v="USD2022/kW"/>
  </r>
  <r>
    <x v="22"/>
    <x v="8"/>
    <x v="2"/>
    <x v="1"/>
    <n v="6126.9"/>
    <s v="USD2022/kW"/>
  </r>
  <r>
    <x v="22"/>
    <x v="8"/>
    <x v="2"/>
    <x v="2"/>
    <n v="2439.8000000000002"/>
    <s v="USD2022/kW"/>
  </r>
  <r>
    <x v="22"/>
    <x v="8"/>
    <x v="2"/>
    <x v="3"/>
    <n v="140"/>
    <s v="USD2022/kW-yr"/>
  </r>
  <r>
    <x v="22"/>
    <x v="8"/>
    <x v="2"/>
    <x v="4"/>
    <n v="0.4"/>
    <s v="fraction_LHV"/>
  </r>
  <r>
    <x v="22"/>
    <x v="8"/>
    <x v="2"/>
    <x v="6"/>
    <n v="0.4"/>
    <s v="fraction"/>
  </r>
  <r>
    <x v="22"/>
    <x v="8"/>
    <x v="2"/>
    <x v="5"/>
    <n v="0.83299999999999996"/>
    <s v="USD2022/GJ"/>
  </r>
  <r>
    <x v="23"/>
    <x v="0"/>
    <x v="0"/>
    <x v="0"/>
    <n v="2850"/>
    <s v="USD2022/kW"/>
  </r>
  <r>
    <x v="23"/>
    <x v="0"/>
    <x v="0"/>
    <x v="1"/>
    <n v="2850"/>
    <s v="USD2022/kW"/>
  </r>
  <r>
    <x v="23"/>
    <x v="0"/>
    <x v="0"/>
    <x v="2"/>
    <n v="2850"/>
    <s v="USD2022/kW"/>
  </r>
  <r>
    <x v="23"/>
    <x v="0"/>
    <x v="0"/>
    <x v="3"/>
    <n v="55"/>
    <s v="USD2022/kW-yr"/>
  </r>
  <r>
    <x v="23"/>
    <x v="0"/>
    <x v="0"/>
    <x v="4"/>
    <n v="0.1"/>
    <s v="fraction_LHV"/>
  </r>
  <r>
    <x v="23"/>
    <x v="0"/>
    <x v="0"/>
    <x v="6"/>
    <n v="0.85"/>
    <s v="fraction"/>
  </r>
  <r>
    <x v="23"/>
    <x v="0"/>
    <x v="0"/>
    <x v="5"/>
    <n v="0"/>
    <s v="USD2022/GJ"/>
  </r>
  <r>
    <x v="23"/>
    <x v="0"/>
    <x v="1"/>
    <x v="0"/>
    <n v="2750"/>
    <s v="USD2022/kW"/>
  </r>
  <r>
    <x v="23"/>
    <x v="0"/>
    <x v="1"/>
    <x v="1"/>
    <n v="2942.5"/>
    <s v="USD2022/kW"/>
  </r>
  <r>
    <x v="23"/>
    <x v="0"/>
    <x v="1"/>
    <x v="2"/>
    <n v="2487.4"/>
    <s v="USD2022/kW"/>
  </r>
  <r>
    <x v="23"/>
    <x v="0"/>
    <x v="1"/>
    <x v="3"/>
    <n v="55"/>
    <s v="USD2022/kW-yr"/>
  </r>
  <r>
    <x v="23"/>
    <x v="0"/>
    <x v="1"/>
    <x v="4"/>
    <n v="0.1"/>
    <s v="fraction_LHV"/>
  </r>
  <r>
    <x v="23"/>
    <x v="0"/>
    <x v="1"/>
    <x v="6"/>
    <n v="0.85"/>
    <s v="fraction"/>
  </r>
  <r>
    <x v="23"/>
    <x v="0"/>
    <x v="1"/>
    <x v="5"/>
    <n v="0"/>
    <s v="USD2022/GJ"/>
  </r>
  <r>
    <x v="23"/>
    <x v="0"/>
    <x v="2"/>
    <x v="0"/>
    <n v="2550"/>
    <s v="USD2022/kW"/>
  </r>
  <r>
    <x v="23"/>
    <x v="0"/>
    <x v="2"/>
    <x v="1"/>
    <n v="2795.8"/>
    <s v="USD2022/kW"/>
  </r>
  <r>
    <x v="23"/>
    <x v="0"/>
    <x v="2"/>
    <x v="2"/>
    <n v="2165.6999999999998"/>
    <s v="USD2022/kW"/>
  </r>
  <r>
    <x v="23"/>
    <x v="0"/>
    <x v="2"/>
    <x v="3"/>
    <n v="50"/>
    <s v="USD2022/kW-yr"/>
  </r>
  <r>
    <x v="23"/>
    <x v="0"/>
    <x v="2"/>
    <x v="4"/>
    <n v="0.1"/>
    <s v="fraction_LHV"/>
  </r>
  <r>
    <x v="23"/>
    <x v="0"/>
    <x v="2"/>
    <x v="6"/>
    <n v="0.85"/>
    <s v="fraction"/>
  </r>
  <r>
    <x v="23"/>
    <x v="0"/>
    <x v="2"/>
    <x v="5"/>
    <n v="0"/>
    <s v="USD2022/GJ"/>
  </r>
  <r>
    <x v="23"/>
    <x v="1"/>
    <x v="0"/>
    <x v="0"/>
    <n v="2150"/>
    <s v="USD2022/kW"/>
  </r>
  <r>
    <x v="23"/>
    <x v="1"/>
    <x v="0"/>
    <x v="1"/>
    <n v="2150"/>
    <s v="USD2022/kW"/>
  </r>
  <r>
    <x v="23"/>
    <x v="1"/>
    <x v="0"/>
    <x v="2"/>
    <n v="2150"/>
    <s v="USD2022/kW"/>
  </r>
  <r>
    <x v="23"/>
    <x v="1"/>
    <x v="0"/>
    <x v="3"/>
    <n v="45"/>
    <s v="USD2022/kW-yr"/>
  </r>
  <r>
    <x v="23"/>
    <x v="1"/>
    <x v="0"/>
    <x v="4"/>
    <n v="0.1"/>
    <s v="fraction_LHV"/>
  </r>
  <r>
    <x v="23"/>
    <x v="1"/>
    <x v="0"/>
    <x v="6"/>
    <n v="0.6"/>
    <s v="fraction"/>
  </r>
  <r>
    <x v="23"/>
    <x v="1"/>
    <x v="0"/>
    <x v="5"/>
    <n v="0"/>
    <s v="USD2022/GJ"/>
  </r>
  <r>
    <x v="23"/>
    <x v="1"/>
    <x v="1"/>
    <x v="0"/>
    <n v="2100"/>
    <s v="USD2022/kW"/>
  </r>
  <r>
    <x v="23"/>
    <x v="1"/>
    <x v="1"/>
    <x v="1"/>
    <n v="2247"/>
    <s v="USD2022/kW"/>
  </r>
  <r>
    <x v="23"/>
    <x v="1"/>
    <x v="1"/>
    <x v="2"/>
    <n v="1899.4"/>
    <s v="USD2022/kW"/>
  </r>
  <r>
    <x v="23"/>
    <x v="1"/>
    <x v="1"/>
    <x v="3"/>
    <n v="40"/>
    <s v="USD2022/kW-yr"/>
  </r>
  <r>
    <x v="23"/>
    <x v="1"/>
    <x v="1"/>
    <x v="4"/>
    <n v="0.1"/>
    <s v="fraction_LHV"/>
  </r>
  <r>
    <x v="23"/>
    <x v="1"/>
    <x v="1"/>
    <x v="6"/>
    <n v="0.6"/>
    <s v="fraction"/>
  </r>
  <r>
    <x v="23"/>
    <x v="1"/>
    <x v="1"/>
    <x v="5"/>
    <n v="0"/>
    <s v="USD2022/GJ"/>
  </r>
  <r>
    <x v="23"/>
    <x v="1"/>
    <x v="2"/>
    <x v="0"/>
    <n v="1950"/>
    <s v="USD2022/kW"/>
  </r>
  <r>
    <x v="23"/>
    <x v="1"/>
    <x v="2"/>
    <x v="1"/>
    <n v="2138"/>
    <s v="USD2022/kW"/>
  </r>
  <r>
    <x v="23"/>
    <x v="1"/>
    <x v="2"/>
    <x v="2"/>
    <n v="1656.1"/>
    <s v="USD2022/kW"/>
  </r>
  <r>
    <x v="23"/>
    <x v="1"/>
    <x v="2"/>
    <x v="3"/>
    <n v="40"/>
    <s v="USD2022/kW-yr"/>
  </r>
  <r>
    <x v="23"/>
    <x v="1"/>
    <x v="2"/>
    <x v="4"/>
    <n v="0.1"/>
    <s v="fraction_LHV"/>
  </r>
  <r>
    <x v="23"/>
    <x v="1"/>
    <x v="2"/>
    <x v="6"/>
    <n v="0.6"/>
    <s v="fraction"/>
  </r>
  <r>
    <x v="23"/>
    <x v="1"/>
    <x v="2"/>
    <x v="5"/>
    <n v="0"/>
    <s v="USD2022/GJ"/>
  </r>
  <r>
    <x v="23"/>
    <x v="2"/>
    <x v="0"/>
    <x v="0"/>
    <n v="2800"/>
    <s v="USD2022/kW"/>
  </r>
  <r>
    <x v="23"/>
    <x v="2"/>
    <x v="0"/>
    <x v="1"/>
    <n v="2800"/>
    <s v="USD2022/kW"/>
  </r>
  <r>
    <x v="23"/>
    <x v="2"/>
    <x v="0"/>
    <x v="2"/>
    <n v="2800"/>
    <s v="USD2022/kW"/>
  </r>
  <r>
    <x v="23"/>
    <x v="2"/>
    <x v="0"/>
    <x v="3"/>
    <n v="55"/>
    <s v="USD2022/kW-yr"/>
  </r>
  <r>
    <x v="23"/>
    <x v="2"/>
    <x v="0"/>
    <x v="4"/>
    <n v="0.1"/>
    <s v="fraction_LHV"/>
  </r>
  <r>
    <x v="23"/>
    <x v="2"/>
    <x v="0"/>
    <x v="6"/>
    <n v="0.6"/>
    <s v="fraction"/>
  </r>
  <r>
    <x v="23"/>
    <x v="2"/>
    <x v="0"/>
    <x v="5"/>
    <n v="0"/>
    <s v="USD2022/GJ"/>
  </r>
  <r>
    <x v="23"/>
    <x v="2"/>
    <x v="1"/>
    <x v="0"/>
    <n v="2700"/>
    <s v="USD2022/kW"/>
  </r>
  <r>
    <x v="23"/>
    <x v="2"/>
    <x v="1"/>
    <x v="1"/>
    <n v="2889"/>
    <s v="USD2022/kW"/>
  </r>
  <r>
    <x v="23"/>
    <x v="2"/>
    <x v="1"/>
    <x v="2"/>
    <n v="2442.1999999999998"/>
    <s v="USD2022/kW"/>
  </r>
  <r>
    <x v="23"/>
    <x v="2"/>
    <x v="1"/>
    <x v="3"/>
    <n v="55"/>
    <s v="USD2022/kW-yr"/>
  </r>
  <r>
    <x v="23"/>
    <x v="2"/>
    <x v="1"/>
    <x v="4"/>
    <n v="0.1"/>
    <s v="fraction_LHV"/>
  </r>
  <r>
    <x v="23"/>
    <x v="2"/>
    <x v="1"/>
    <x v="6"/>
    <n v="0.6"/>
    <s v="fraction"/>
  </r>
  <r>
    <x v="23"/>
    <x v="2"/>
    <x v="1"/>
    <x v="5"/>
    <n v="0"/>
    <s v="USD2022/GJ"/>
  </r>
  <r>
    <x v="23"/>
    <x v="2"/>
    <x v="2"/>
    <x v="0"/>
    <n v="2500"/>
    <s v="USD2022/kW"/>
  </r>
  <r>
    <x v="23"/>
    <x v="2"/>
    <x v="2"/>
    <x v="1"/>
    <n v="2741"/>
    <s v="USD2022/kW"/>
  </r>
  <r>
    <x v="23"/>
    <x v="2"/>
    <x v="2"/>
    <x v="2"/>
    <n v="2123.1999999999998"/>
    <s v="USD2022/kW"/>
  </r>
  <r>
    <x v="23"/>
    <x v="2"/>
    <x v="2"/>
    <x v="3"/>
    <n v="50"/>
    <s v="USD2022/kW-yr"/>
  </r>
  <r>
    <x v="23"/>
    <x v="2"/>
    <x v="2"/>
    <x v="4"/>
    <n v="0.1"/>
    <s v="fraction_LHV"/>
  </r>
  <r>
    <x v="23"/>
    <x v="2"/>
    <x v="2"/>
    <x v="6"/>
    <n v="0.6"/>
    <s v="fraction"/>
  </r>
  <r>
    <x v="23"/>
    <x v="2"/>
    <x v="2"/>
    <x v="5"/>
    <n v="0"/>
    <s v="USD2022/GJ"/>
  </r>
  <r>
    <x v="23"/>
    <x v="3"/>
    <x v="0"/>
    <x v="0"/>
    <n v="2200"/>
    <s v="USD2022/kW"/>
  </r>
  <r>
    <x v="23"/>
    <x v="3"/>
    <x v="0"/>
    <x v="1"/>
    <n v="2200"/>
    <s v="USD2022/kW"/>
  </r>
  <r>
    <x v="23"/>
    <x v="3"/>
    <x v="0"/>
    <x v="2"/>
    <n v="2200"/>
    <s v="USD2022/kW"/>
  </r>
  <r>
    <x v="23"/>
    <x v="3"/>
    <x v="0"/>
    <x v="3"/>
    <n v="45"/>
    <s v="USD2022/kW-yr"/>
  </r>
  <r>
    <x v="23"/>
    <x v="3"/>
    <x v="0"/>
    <x v="4"/>
    <n v="0.1"/>
    <s v="fraction_LHV"/>
  </r>
  <r>
    <x v="23"/>
    <x v="3"/>
    <x v="0"/>
    <x v="6"/>
    <n v="0.65"/>
    <s v="fraction"/>
  </r>
  <r>
    <x v="23"/>
    <x v="3"/>
    <x v="0"/>
    <x v="5"/>
    <n v="0"/>
    <s v="USD2022/GJ"/>
  </r>
  <r>
    <x v="23"/>
    <x v="3"/>
    <x v="1"/>
    <x v="0"/>
    <n v="2100"/>
    <s v="USD2022/kW"/>
  </r>
  <r>
    <x v="23"/>
    <x v="3"/>
    <x v="1"/>
    <x v="1"/>
    <n v="2247"/>
    <s v="USD2022/kW"/>
  </r>
  <r>
    <x v="23"/>
    <x v="3"/>
    <x v="1"/>
    <x v="2"/>
    <n v="1899.4"/>
    <s v="USD2022/kW"/>
  </r>
  <r>
    <x v="23"/>
    <x v="3"/>
    <x v="1"/>
    <x v="3"/>
    <n v="40"/>
    <s v="USD2022/kW-yr"/>
  </r>
  <r>
    <x v="23"/>
    <x v="3"/>
    <x v="1"/>
    <x v="4"/>
    <n v="0.1"/>
    <s v="fraction_LHV"/>
  </r>
  <r>
    <x v="23"/>
    <x v="3"/>
    <x v="1"/>
    <x v="6"/>
    <n v="0.65"/>
    <s v="fraction"/>
  </r>
  <r>
    <x v="23"/>
    <x v="3"/>
    <x v="1"/>
    <x v="5"/>
    <n v="0"/>
    <s v="USD2022/GJ"/>
  </r>
  <r>
    <x v="23"/>
    <x v="3"/>
    <x v="2"/>
    <x v="0"/>
    <n v="1950"/>
    <s v="USD2022/kW"/>
  </r>
  <r>
    <x v="23"/>
    <x v="3"/>
    <x v="2"/>
    <x v="1"/>
    <n v="2138"/>
    <s v="USD2022/kW"/>
  </r>
  <r>
    <x v="23"/>
    <x v="3"/>
    <x v="2"/>
    <x v="2"/>
    <n v="1656.1"/>
    <s v="USD2022/kW"/>
  </r>
  <r>
    <x v="23"/>
    <x v="3"/>
    <x v="2"/>
    <x v="3"/>
    <n v="40"/>
    <s v="USD2022/kW-yr"/>
  </r>
  <r>
    <x v="23"/>
    <x v="3"/>
    <x v="2"/>
    <x v="4"/>
    <n v="0.1"/>
    <s v="fraction_LHV"/>
  </r>
  <r>
    <x v="23"/>
    <x v="3"/>
    <x v="2"/>
    <x v="6"/>
    <n v="0.65"/>
    <s v="fraction"/>
  </r>
  <r>
    <x v="23"/>
    <x v="3"/>
    <x v="2"/>
    <x v="5"/>
    <n v="0"/>
    <s v="USD2022/GJ"/>
  </r>
  <r>
    <x v="23"/>
    <x v="4"/>
    <x v="0"/>
    <x v="0"/>
    <n v="2300"/>
    <s v="USD2022/kW"/>
  </r>
  <r>
    <x v="23"/>
    <x v="4"/>
    <x v="0"/>
    <x v="1"/>
    <n v="2300"/>
    <s v="USD2022/kW"/>
  </r>
  <r>
    <x v="23"/>
    <x v="4"/>
    <x v="0"/>
    <x v="2"/>
    <n v="2300"/>
    <s v="USD2022/kW"/>
  </r>
  <r>
    <x v="23"/>
    <x v="4"/>
    <x v="0"/>
    <x v="3"/>
    <n v="45"/>
    <s v="USD2022/kW-yr"/>
  </r>
  <r>
    <x v="23"/>
    <x v="4"/>
    <x v="0"/>
    <x v="4"/>
    <n v="0.1"/>
    <s v="fraction_LHV"/>
  </r>
  <r>
    <x v="23"/>
    <x v="4"/>
    <x v="0"/>
    <x v="6"/>
    <n v="0.5"/>
    <s v="fraction"/>
  </r>
  <r>
    <x v="23"/>
    <x v="4"/>
    <x v="0"/>
    <x v="5"/>
    <n v="0"/>
    <s v="USD2022/GJ"/>
  </r>
  <r>
    <x v="23"/>
    <x v="4"/>
    <x v="1"/>
    <x v="0"/>
    <n v="2200"/>
    <s v="USD2022/kW"/>
  </r>
  <r>
    <x v="23"/>
    <x v="4"/>
    <x v="1"/>
    <x v="1"/>
    <n v="2354"/>
    <s v="USD2022/kW"/>
  </r>
  <r>
    <x v="23"/>
    <x v="4"/>
    <x v="1"/>
    <x v="2"/>
    <n v="1989.9"/>
    <s v="USD2022/kW"/>
  </r>
  <r>
    <x v="23"/>
    <x v="4"/>
    <x v="1"/>
    <x v="3"/>
    <n v="45"/>
    <s v="USD2022/kW-yr"/>
  </r>
  <r>
    <x v="23"/>
    <x v="4"/>
    <x v="1"/>
    <x v="4"/>
    <n v="0.1"/>
    <s v="fraction_LHV"/>
  </r>
  <r>
    <x v="23"/>
    <x v="4"/>
    <x v="1"/>
    <x v="6"/>
    <n v="0.5"/>
    <s v="fraction"/>
  </r>
  <r>
    <x v="23"/>
    <x v="4"/>
    <x v="1"/>
    <x v="5"/>
    <n v="0"/>
    <s v="USD2022/GJ"/>
  </r>
  <r>
    <x v="23"/>
    <x v="4"/>
    <x v="2"/>
    <x v="0"/>
    <n v="2000"/>
    <s v="USD2022/kW"/>
  </r>
  <r>
    <x v="23"/>
    <x v="4"/>
    <x v="2"/>
    <x v="1"/>
    <n v="2192.8000000000002"/>
    <s v="USD2022/kW"/>
  </r>
  <r>
    <x v="23"/>
    <x v="4"/>
    <x v="2"/>
    <x v="2"/>
    <n v="1698.6"/>
    <s v="USD2022/kW"/>
  </r>
  <r>
    <x v="23"/>
    <x v="4"/>
    <x v="2"/>
    <x v="3"/>
    <n v="40"/>
    <s v="USD2022/kW-yr"/>
  </r>
  <r>
    <x v="23"/>
    <x v="4"/>
    <x v="2"/>
    <x v="4"/>
    <n v="0.1"/>
    <s v="fraction_LHV"/>
  </r>
  <r>
    <x v="23"/>
    <x v="4"/>
    <x v="2"/>
    <x v="6"/>
    <n v="0.5"/>
    <s v="fraction"/>
  </r>
  <r>
    <x v="23"/>
    <x v="4"/>
    <x v="2"/>
    <x v="5"/>
    <n v="0"/>
    <s v="USD2022/GJ"/>
  </r>
  <r>
    <x v="23"/>
    <x v="5"/>
    <x v="0"/>
    <x v="0"/>
    <n v="3600"/>
    <s v="USD2022/kW"/>
  </r>
  <r>
    <x v="23"/>
    <x v="5"/>
    <x v="0"/>
    <x v="1"/>
    <n v="3600"/>
    <s v="USD2022/kW"/>
  </r>
  <r>
    <x v="23"/>
    <x v="5"/>
    <x v="0"/>
    <x v="2"/>
    <n v="3600"/>
    <s v="USD2022/kW"/>
  </r>
  <r>
    <x v="23"/>
    <x v="5"/>
    <x v="0"/>
    <x v="3"/>
    <n v="70"/>
    <s v="USD2022/kW-yr"/>
  </r>
  <r>
    <x v="23"/>
    <x v="5"/>
    <x v="0"/>
    <x v="4"/>
    <n v="0.1"/>
    <s v="fraction_LHV"/>
  </r>
  <r>
    <x v="23"/>
    <x v="5"/>
    <x v="0"/>
    <x v="6"/>
    <n v="0.5"/>
    <s v="fraction"/>
  </r>
  <r>
    <x v="23"/>
    <x v="5"/>
    <x v="0"/>
    <x v="5"/>
    <n v="0"/>
    <s v="USD2022/GJ"/>
  </r>
  <r>
    <x v="23"/>
    <x v="5"/>
    <x v="1"/>
    <x v="0"/>
    <n v="3450"/>
    <s v="USD2022/kW"/>
  </r>
  <r>
    <x v="23"/>
    <x v="5"/>
    <x v="1"/>
    <x v="1"/>
    <n v="3691.5"/>
    <s v="USD2022/kW"/>
  </r>
  <r>
    <x v="23"/>
    <x v="5"/>
    <x v="1"/>
    <x v="2"/>
    <n v="3120.5"/>
    <s v="USD2022/kW"/>
  </r>
  <r>
    <x v="23"/>
    <x v="5"/>
    <x v="1"/>
    <x v="3"/>
    <n v="70"/>
    <s v="USD2022/kW-yr"/>
  </r>
  <r>
    <x v="23"/>
    <x v="5"/>
    <x v="1"/>
    <x v="4"/>
    <n v="0.1"/>
    <s v="fraction_LHV"/>
  </r>
  <r>
    <x v="23"/>
    <x v="5"/>
    <x v="1"/>
    <x v="6"/>
    <n v="0.5"/>
    <s v="fraction"/>
  </r>
  <r>
    <x v="23"/>
    <x v="5"/>
    <x v="1"/>
    <x v="5"/>
    <n v="0"/>
    <s v="USD2022/GJ"/>
  </r>
  <r>
    <x v="23"/>
    <x v="5"/>
    <x v="2"/>
    <x v="0"/>
    <n v="3200"/>
    <s v="USD2022/kW"/>
  </r>
  <r>
    <x v="23"/>
    <x v="5"/>
    <x v="2"/>
    <x v="1"/>
    <n v="3508.5"/>
    <s v="USD2022/kW"/>
  </r>
  <r>
    <x v="23"/>
    <x v="5"/>
    <x v="2"/>
    <x v="2"/>
    <n v="2717.8"/>
    <s v="USD2022/kW"/>
  </r>
  <r>
    <x v="23"/>
    <x v="5"/>
    <x v="2"/>
    <x v="3"/>
    <n v="65"/>
    <s v="USD2022/kW-yr"/>
  </r>
  <r>
    <x v="23"/>
    <x v="5"/>
    <x v="2"/>
    <x v="4"/>
    <n v="0.1"/>
    <s v="fraction_LHV"/>
  </r>
  <r>
    <x v="23"/>
    <x v="5"/>
    <x v="2"/>
    <x v="6"/>
    <n v="0.5"/>
    <s v="fraction"/>
  </r>
  <r>
    <x v="23"/>
    <x v="5"/>
    <x v="2"/>
    <x v="5"/>
    <n v="0"/>
    <s v="USD2022/GJ"/>
  </r>
  <r>
    <x v="23"/>
    <x v="6"/>
    <x v="0"/>
    <x v="0"/>
    <n v="2200"/>
    <s v="USD2022/kW"/>
  </r>
  <r>
    <x v="23"/>
    <x v="6"/>
    <x v="0"/>
    <x v="1"/>
    <n v="2200"/>
    <s v="USD2022/kW"/>
  </r>
  <r>
    <x v="23"/>
    <x v="6"/>
    <x v="0"/>
    <x v="2"/>
    <n v="2200"/>
    <s v="USD2022/kW"/>
  </r>
  <r>
    <x v="23"/>
    <x v="6"/>
    <x v="0"/>
    <x v="3"/>
    <n v="45"/>
    <s v="USD2022/kW-yr"/>
  </r>
  <r>
    <x v="23"/>
    <x v="6"/>
    <x v="0"/>
    <x v="4"/>
    <n v="0.1"/>
    <s v="fraction_LHV"/>
  </r>
  <r>
    <x v="23"/>
    <x v="6"/>
    <x v="0"/>
    <x v="6"/>
    <n v="0.8"/>
    <s v="fraction"/>
  </r>
  <r>
    <x v="23"/>
    <x v="6"/>
    <x v="0"/>
    <x v="5"/>
    <n v="0"/>
    <s v="USD2022/GJ"/>
  </r>
  <r>
    <x v="23"/>
    <x v="6"/>
    <x v="1"/>
    <x v="0"/>
    <n v="2100"/>
    <s v="USD2022/kW"/>
  </r>
  <r>
    <x v="23"/>
    <x v="6"/>
    <x v="1"/>
    <x v="1"/>
    <n v="2247"/>
    <s v="USD2022/kW"/>
  </r>
  <r>
    <x v="23"/>
    <x v="6"/>
    <x v="1"/>
    <x v="2"/>
    <n v="1899.4"/>
    <s v="USD2022/kW"/>
  </r>
  <r>
    <x v="23"/>
    <x v="6"/>
    <x v="1"/>
    <x v="3"/>
    <n v="40"/>
    <s v="USD2022/kW-yr"/>
  </r>
  <r>
    <x v="23"/>
    <x v="6"/>
    <x v="1"/>
    <x v="4"/>
    <n v="0.1"/>
    <s v="fraction_LHV"/>
  </r>
  <r>
    <x v="23"/>
    <x v="6"/>
    <x v="1"/>
    <x v="6"/>
    <n v="0.8"/>
    <s v="fraction"/>
  </r>
  <r>
    <x v="23"/>
    <x v="6"/>
    <x v="1"/>
    <x v="5"/>
    <n v="0"/>
    <s v="USD2022/GJ"/>
  </r>
  <r>
    <x v="23"/>
    <x v="6"/>
    <x v="2"/>
    <x v="0"/>
    <n v="2000"/>
    <s v="USD2022/kW"/>
  </r>
  <r>
    <x v="23"/>
    <x v="6"/>
    <x v="2"/>
    <x v="1"/>
    <n v="2192.8000000000002"/>
    <s v="USD2022/kW"/>
  </r>
  <r>
    <x v="23"/>
    <x v="6"/>
    <x v="2"/>
    <x v="2"/>
    <n v="1698.6"/>
    <s v="USD2022/kW"/>
  </r>
  <r>
    <x v="23"/>
    <x v="6"/>
    <x v="2"/>
    <x v="3"/>
    <n v="40"/>
    <s v="USD2022/kW-yr"/>
  </r>
  <r>
    <x v="23"/>
    <x v="6"/>
    <x v="2"/>
    <x v="4"/>
    <n v="0.1"/>
    <s v="fraction_LHV"/>
  </r>
  <r>
    <x v="23"/>
    <x v="6"/>
    <x v="2"/>
    <x v="6"/>
    <n v="0.8"/>
    <s v="fraction"/>
  </r>
  <r>
    <x v="23"/>
    <x v="6"/>
    <x v="2"/>
    <x v="5"/>
    <n v="0"/>
    <s v="USD2022/GJ"/>
  </r>
  <r>
    <x v="23"/>
    <x v="7"/>
    <x v="0"/>
    <x v="0"/>
    <n v="3050"/>
    <s v="USD2022/kW"/>
  </r>
  <r>
    <x v="23"/>
    <x v="7"/>
    <x v="0"/>
    <x v="1"/>
    <n v="3050"/>
    <s v="USD2022/kW"/>
  </r>
  <r>
    <x v="23"/>
    <x v="7"/>
    <x v="0"/>
    <x v="2"/>
    <n v="3050"/>
    <s v="USD2022/kW"/>
  </r>
  <r>
    <x v="23"/>
    <x v="7"/>
    <x v="0"/>
    <x v="3"/>
    <n v="60"/>
    <s v="USD2022/kW-yr"/>
  </r>
  <r>
    <x v="23"/>
    <x v="7"/>
    <x v="0"/>
    <x v="4"/>
    <n v="0.1"/>
    <s v="fraction_LHV"/>
  </r>
  <r>
    <x v="23"/>
    <x v="7"/>
    <x v="0"/>
    <x v="6"/>
    <n v="0.8"/>
    <s v="fraction"/>
  </r>
  <r>
    <x v="23"/>
    <x v="7"/>
    <x v="0"/>
    <x v="5"/>
    <n v="0"/>
    <s v="USD2022/GJ"/>
  </r>
  <r>
    <x v="23"/>
    <x v="7"/>
    <x v="1"/>
    <x v="0"/>
    <n v="2900"/>
    <s v="USD2022/kW"/>
  </r>
  <r>
    <x v="23"/>
    <x v="7"/>
    <x v="1"/>
    <x v="1"/>
    <n v="3103"/>
    <s v="USD2022/kW"/>
  </r>
  <r>
    <x v="23"/>
    <x v="7"/>
    <x v="1"/>
    <x v="2"/>
    <n v="2623"/>
    <s v="USD2022/kW"/>
  </r>
  <r>
    <x v="23"/>
    <x v="7"/>
    <x v="1"/>
    <x v="3"/>
    <n v="60"/>
    <s v="USD2022/kW-yr"/>
  </r>
  <r>
    <x v="23"/>
    <x v="7"/>
    <x v="1"/>
    <x v="4"/>
    <n v="0.1"/>
    <s v="fraction_LHV"/>
  </r>
  <r>
    <x v="23"/>
    <x v="7"/>
    <x v="1"/>
    <x v="6"/>
    <n v="0.8"/>
    <s v="fraction"/>
  </r>
  <r>
    <x v="23"/>
    <x v="7"/>
    <x v="1"/>
    <x v="5"/>
    <n v="0"/>
    <s v="USD2022/GJ"/>
  </r>
  <r>
    <x v="23"/>
    <x v="7"/>
    <x v="2"/>
    <x v="0"/>
    <n v="2700"/>
    <s v="USD2022/kW"/>
  </r>
  <r>
    <x v="23"/>
    <x v="7"/>
    <x v="2"/>
    <x v="1"/>
    <n v="2960.3"/>
    <s v="USD2022/kW"/>
  </r>
  <r>
    <x v="23"/>
    <x v="7"/>
    <x v="2"/>
    <x v="2"/>
    <n v="2293.1"/>
    <s v="USD2022/kW"/>
  </r>
  <r>
    <x v="23"/>
    <x v="7"/>
    <x v="2"/>
    <x v="3"/>
    <n v="55"/>
    <s v="USD2022/kW-yr"/>
  </r>
  <r>
    <x v="23"/>
    <x v="7"/>
    <x v="2"/>
    <x v="4"/>
    <n v="0.1"/>
    <s v="fraction_LHV"/>
  </r>
  <r>
    <x v="23"/>
    <x v="7"/>
    <x v="2"/>
    <x v="6"/>
    <n v="0.8"/>
    <s v="fraction"/>
  </r>
  <r>
    <x v="23"/>
    <x v="7"/>
    <x v="2"/>
    <x v="5"/>
    <n v="0"/>
    <s v="USD2022/GJ"/>
  </r>
  <r>
    <x v="23"/>
    <x v="8"/>
    <x v="0"/>
    <x v="5"/>
    <n v="0"/>
    <s v="USD2022/GJ"/>
  </r>
  <r>
    <x v="23"/>
    <x v="8"/>
    <x v="1"/>
    <x v="5"/>
    <n v="0"/>
    <s v="USD2022/GJ"/>
  </r>
  <r>
    <x v="23"/>
    <x v="8"/>
    <x v="2"/>
    <x v="5"/>
    <n v="0"/>
    <s v="USD2022/GJ"/>
  </r>
  <r>
    <x v="24"/>
    <x v="0"/>
    <x v="0"/>
    <x v="0"/>
    <n v="2100.8000000000002"/>
    <s v="USD2022/kW"/>
  </r>
  <r>
    <x v="24"/>
    <x v="0"/>
    <x v="0"/>
    <x v="3"/>
    <n v="48.2"/>
    <s v="USD2022/kW-yr"/>
  </r>
  <r>
    <x v="24"/>
    <x v="0"/>
    <x v="0"/>
    <x v="7"/>
    <n v="0.86"/>
    <s v="fraction"/>
  </r>
  <r>
    <x v="24"/>
    <x v="0"/>
    <x v="0"/>
    <x v="5"/>
    <n v="0.13900000000000001"/>
    <s v="USD2022/GJ"/>
  </r>
  <r>
    <x v="24"/>
    <x v="1"/>
    <x v="0"/>
    <x v="0"/>
    <n v="2100.8000000000002"/>
    <s v="USD2022/kW"/>
  </r>
  <r>
    <x v="24"/>
    <x v="1"/>
    <x v="0"/>
    <x v="3"/>
    <n v="48.2"/>
    <s v="USD2022/kW-yr"/>
  </r>
  <r>
    <x v="24"/>
    <x v="1"/>
    <x v="0"/>
    <x v="7"/>
    <n v="0.86"/>
    <s v="fraction"/>
  </r>
  <r>
    <x v="24"/>
    <x v="1"/>
    <x v="0"/>
    <x v="5"/>
    <n v="0.13900000000000001"/>
    <s v="USD2022/GJ"/>
  </r>
  <r>
    <x v="24"/>
    <x v="2"/>
    <x v="0"/>
    <x v="0"/>
    <n v="2100.8000000000002"/>
    <s v="USD2022/kW"/>
  </r>
  <r>
    <x v="24"/>
    <x v="2"/>
    <x v="0"/>
    <x v="3"/>
    <n v="48.2"/>
    <s v="USD2022/kW-yr"/>
  </r>
  <r>
    <x v="24"/>
    <x v="2"/>
    <x v="0"/>
    <x v="7"/>
    <n v="0.86"/>
    <s v="fraction"/>
  </r>
  <r>
    <x v="24"/>
    <x v="2"/>
    <x v="0"/>
    <x v="5"/>
    <n v="0.13900000000000001"/>
    <s v="USD2022/GJ"/>
  </r>
  <r>
    <x v="24"/>
    <x v="3"/>
    <x v="0"/>
    <x v="0"/>
    <n v="2100.8000000000002"/>
    <s v="USD2022/kW"/>
  </r>
  <r>
    <x v="24"/>
    <x v="3"/>
    <x v="0"/>
    <x v="3"/>
    <n v="48.2"/>
    <s v="USD2022/kW-yr"/>
  </r>
  <r>
    <x v="24"/>
    <x v="3"/>
    <x v="0"/>
    <x v="7"/>
    <n v="0.86"/>
    <s v="fraction"/>
  </r>
  <r>
    <x v="24"/>
    <x v="3"/>
    <x v="0"/>
    <x v="5"/>
    <n v="0.13900000000000001"/>
    <s v="USD2022/GJ"/>
  </r>
  <r>
    <x v="24"/>
    <x v="4"/>
    <x v="0"/>
    <x v="0"/>
    <n v="2100.8000000000002"/>
    <s v="USD2022/kW"/>
  </r>
  <r>
    <x v="24"/>
    <x v="4"/>
    <x v="0"/>
    <x v="3"/>
    <n v="48.2"/>
    <s v="USD2022/kW-yr"/>
  </r>
  <r>
    <x v="24"/>
    <x v="4"/>
    <x v="0"/>
    <x v="7"/>
    <n v="0.86"/>
    <s v="fraction"/>
  </r>
  <r>
    <x v="24"/>
    <x v="4"/>
    <x v="0"/>
    <x v="5"/>
    <n v="0.13900000000000001"/>
    <s v="USD2022/GJ"/>
  </r>
  <r>
    <x v="24"/>
    <x v="5"/>
    <x v="0"/>
    <x v="0"/>
    <n v="2100.8000000000002"/>
    <s v="USD2022/kW"/>
  </r>
  <r>
    <x v="24"/>
    <x v="5"/>
    <x v="0"/>
    <x v="3"/>
    <n v="48.2"/>
    <s v="USD2022/kW-yr"/>
  </r>
  <r>
    <x v="24"/>
    <x v="5"/>
    <x v="0"/>
    <x v="7"/>
    <n v="0.86"/>
    <s v="fraction"/>
  </r>
  <r>
    <x v="24"/>
    <x v="5"/>
    <x v="0"/>
    <x v="5"/>
    <n v="0.13900000000000001"/>
    <s v="USD2022/GJ"/>
  </r>
  <r>
    <x v="24"/>
    <x v="6"/>
    <x v="0"/>
    <x v="0"/>
    <n v="2100.8000000000002"/>
    <s v="USD2022/kW"/>
  </r>
  <r>
    <x v="24"/>
    <x v="6"/>
    <x v="0"/>
    <x v="3"/>
    <n v="48.2"/>
    <s v="USD2022/kW-yr"/>
  </r>
  <r>
    <x v="24"/>
    <x v="6"/>
    <x v="0"/>
    <x v="7"/>
    <n v="0.86"/>
    <s v="fraction"/>
  </r>
  <r>
    <x v="24"/>
    <x v="6"/>
    <x v="0"/>
    <x v="5"/>
    <n v="0.13900000000000001"/>
    <s v="USD2022/GJ"/>
  </r>
  <r>
    <x v="24"/>
    <x v="7"/>
    <x v="0"/>
    <x v="0"/>
    <n v="2100.8000000000002"/>
    <s v="USD2022/kW"/>
  </r>
  <r>
    <x v="24"/>
    <x v="7"/>
    <x v="0"/>
    <x v="3"/>
    <n v="48.2"/>
    <s v="USD2022/kW-yr"/>
  </r>
  <r>
    <x v="24"/>
    <x v="7"/>
    <x v="0"/>
    <x v="7"/>
    <n v="0.86"/>
    <s v="fraction"/>
  </r>
  <r>
    <x v="24"/>
    <x v="7"/>
    <x v="0"/>
    <x v="5"/>
    <n v="0.13900000000000001"/>
    <s v="USD2022/GJ"/>
  </r>
  <r>
    <x v="24"/>
    <x v="8"/>
    <x v="0"/>
    <x v="0"/>
    <n v="2100.8000000000002"/>
    <s v="USD2022/kW"/>
  </r>
  <r>
    <x v="24"/>
    <x v="8"/>
    <x v="0"/>
    <x v="3"/>
    <n v="48.2"/>
    <s v="USD2022/kW-yr"/>
  </r>
  <r>
    <x v="24"/>
    <x v="8"/>
    <x v="0"/>
    <x v="7"/>
    <n v="0.86"/>
    <s v="fraction"/>
  </r>
  <r>
    <x v="24"/>
    <x v="8"/>
    <x v="0"/>
    <x v="5"/>
    <n v="0.13900000000000001"/>
    <s v="USD2022/GJ"/>
  </r>
  <r>
    <x v="24"/>
    <x v="0"/>
    <x v="0"/>
    <x v="1"/>
    <n v="2100.8000000000002"/>
    <s v="USD2022/kW"/>
  </r>
  <r>
    <x v="24"/>
    <x v="1"/>
    <x v="0"/>
    <x v="1"/>
    <n v="2100.8000000000002"/>
    <s v="USD2022/kW"/>
  </r>
  <r>
    <x v="24"/>
    <x v="2"/>
    <x v="0"/>
    <x v="1"/>
    <n v="2100.8000000000002"/>
    <s v="USD2022/kW"/>
  </r>
  <r>
    <x v="24"/>
    <x v="3"/>
    <x v="0"/>
    <x v="1"/>
    <n v="2100.8000000000002"/>
    <s v="USD2022/kW"/>
  </r>
  <r>
    <x v="24"/>
    <x v="4"/>
    <x v="0"/>
    <x v="1"/>
    <n v="2100.8000000000002"/>
    <s v="USD2022/kW"/>
  </r>
  <r>
    <x v="24"/>
    <x v="5"/>
    <x v="0"/>
    <x v="1"/>
    <n v="2100.8000000000002"/>
    <s v="USD2022/kW"/>
  </r>
  <r>
    <x v="24"/>
    <x v="6"/>
    <x v="0"/>
    <x v="1"/>
    <n v="2100.8000000000002"/>
    <s v="USD2022/kW"/>
  </r>
  <r>
    <x v="24"/>
    <x v="7"/>
    <x v="0"/>
    <x v="1"/>
    <n v="2100.8000000000002"/>
    <s v="USD2022/kW"/>
  </r>
  <r>
    <x v="24"/>
    <x v="8"/>
    <x v="0"/>
    <x v="1"/>
    <n v="2100.8000000000002"/>
    <s v="USD2022/kW"/>
  </r>
  <r>
    <x v="24"/>
    <x v="0"/>
    <x v="0"/>
    <x v="2"/>
    <n v="2100.8000000000002"/>
    <s v="USD2022/kW"/>
  </r>
  <r>
    <x v="24"/>
    <x v="1"/>
    <x v="0"/>
    <x v="2"/>
    <n v="2100.8000000000002"/>
    <s v="USD2022/kW"/>
  </r>
  <r>
    <x v="24"/>
    <x v="2"/>
    <x v="0"/>
    <x v="2"/>
    <n v="2100.8000000000002"/>
    <s v="USD2022/kW"/>
  </r>
  <r>
    <x v="24"/>
    <x v="3"/>
    <x v="0"/>
    <x v="2"/>
    <n v="2100.8000000000002"/>
    <s v="USD2022/kW"/>
  </r>
  <r>
    <x v="24"/>
    <x v="4"/>
    <x v="0"/>
    <x v="2"/>
    <n v="2100.8000000000002"/>
    <s v="USD2022/kW"/>
  </r>
  <r>
    <x v="24"/>
    <x v="5"/>
    <x v="0"/>
    <x v="2"/>
    <n v="2100.8000000000002"/>
    <s v="USD2022/kW"/>
  </r>
  <r>
    <x v="24"/>
    <x v="6"/>
    <x v="0"/>
    <x v="2"/>
    <n v="2100.8000000000002"/>
    <s v="USD2022/kW"/>
  </r>
  <r>
    <x v="24"/>
    <x v="7"/>
    <x v="0"/>
    <x v="2"/>
    <n v="2100.8000000000002"/>
    <s v="USD2022/kW"/>
  </r>
  <r>
    <x v="24"/>
    <x v="8"/>
    <x v="0"/>
    <x v="2"/>
    <n v="2100.8000000000002"/>
    <s v="USD2022/kW"/>
  </r>
  <r>
    <x v="24"/>
    <x v="0"/>
    <x v="3"/>
    <x v="0"/>
    <n v="1711.4"/>
    <s v="USD2022/kW"/>
  </r>
  <r>
    <x v="24"/>
    <x v="0"/>
    <x v="3"/>
    <x v="3"/>
    <n v="38.799999999999997"/>
    <s v="USD2022/kW-yr"/>
  </r>
  <r>
    <x v="24"/>
    <x v="0"/>
    <x v="3"/>
    <x v="7"/>
    <n v="0.86"/>
    <s v="fraction"/>
  </r>
  <r>
    <x v="24"/>
    <x v="0"/>
    <x v="3"/>
    <x v="5"/>
    <n v="0.13900000000000001"/>
    <s v="USD2022/GJ"/>
  </r>
  <r>
    <x v="24"/>
    <x v="1"/>
    <x v="3"/>
    <x v="0"/>
    <n v="1711.4"/>
    <s v="USD2022/kW"/>
  </r>
  <r>
    <x v="24"/>
    <x v="1"/>
    <x v="3"/>
    <x v="3"/>
    <n v="38.799999999999997"/>
    <s v="USD2022/kW-yr"/>
  </r>
  <r>
    <x v="24"/>
    <x v="1"/>
    <x v="3"/>
    <x v="7"/>
    <n v="0.86"/>
    <s v="fraction"/>
  </r>
  <r>
    <x v="24"/>
    <x v="1"/>
    <x v="3"/>
    <x v="5"/>
    <n v="0.13900000000000001"/>
    <s v="USD2022/GJ"/>
  </r>
  <r>
    <x v="24"/>
    <x v="2"/>
    <x v="3"/>
    <x v="0"/>
    <n v="1711.4"/>
    <s v="USD2022/kW"/>
  </r>
  <r>
    <x v="24"/>
    <x v="2"/>
    <x v="3"/>
    <x v="3"/>
    <n v="38.799999999999997"/>
    <s v="USD2022/kW-yr"/>
  </r>
  <r>
    <x v="24"/>
    <x v="2"/>
    <x v="3"/>
    <x v="7"/>
    <n v="0.86"/>
    <s v="fraction"/>
  </r>
  <r>
    <x v="24"/>
    <x v="2"/>
    <x v="3"/>
    <x v="5"/>
    <n v="0.13900000000000001"/>
    <s v="USD2022/GJ"/>
  </r>
  <r>
    <x v="24"/>
    <x v="3"/>
    <x v="3"/>
    <x v="0"/>
    <n v="1711.4"/>
    <s v="USD2022/kW"/>
  </r>
  <r>
    <x v="24"/>
    <x v="3"/>
    <x v="3"/>
    <x v="3"/>
    <n v="38.799999999999997"/>
    <s v="USD2022/kW-yr"/>
  </r>
  <r>
    <x v="24"/>
    <x v="3"/>
    <x v="3"/>
    <x v="7"/>
    <n v="0.86"/>
    <s v="fraction"/>
  </r>
  <r>
    <x v="24"/>
    <x v="3"/>
    <x v="3"/>
    <x v="5"/>
    <n v="0.13900000000000001"/>
    <s v="USD2022/GJ"/>
  </r>
  <r>
    <x v="24"/>
    <x v="4"/>
    <x v="3"/>
    <x v="0"/>
    <n v="1711.4"/>
    <s v="USD2022/kW"/>
  </r>
  <r>
    <x v="24"/>
    <x v="4"/>
    <x v="3"/>
    <x v="3"/>
    <n v="38.799999999999997"/>
    <s v="USD2022/kW-yr"/>
  </r>
  <r>
    <x v="24"/>
    <x v="4"/>
    <x v="3"/>
    <x v="7"/>
    <n v="0.86"/>
    <s v="fraction"/>
  </r>
  <r>
    <x v="24"/>
    <x v="4"/>
    <x v="3"/>
    <x v="5"/>
    <n v="0.13900000000000001"/>
    <s v="USD2022/GJ"/>
  </r>
  <r>
    <x v="24"/>
    <x v="5"/>
    <x v="3"/>
    <x v="0"/>
    <n v="1711.4"/>
    <s v="USD2022/kW"/>
  </r>
  <r>
    <x v="24"/>
    <x v="5"/>
    <x v="3"/>
    <x v="3"/>
    <n v="38.799999999999997"/>
    <s v="USD2022/kW-yr"/>
  </r>
  <r>
    <x v="24"/>
    <x v="5"/>
    <x v="3"/>
    <x v="7"/>
    <n v="0.86"/>
    <s v="fraction"/>
  </r>
  <r>
    <x v="24"/>
    <x v="5"/>
    <x v="3"/>
    <x v="5"/>
    <n v="0.13900000000000001"/>
    <s v="USD2022/GJ"/>
  </r>
  <r>
    <x v="24"/>
    <x v="6"/>
    <x v="3"/>
    <x v="0"/>
    <n v="1711.4"/>
    <s v="USD2022/kW"/>
  </r>
  <r>
    <x v="24"/>
    <x v="6"/>
    <x v="3"/>
    <x v="3"/>
    <n v="38.799999999999997"/>
    <s v="USD2022/kW-yr"/>
  </r>
  <r>
    <x v="24"/>
    <x v="6"/>
    <x v="3"/>
    <x v="7"/>
    <n v="0.86"/>
    <s v="fraction"/>
  </r>
  <r>
    <x v="24"/>
    <x v="6"/>
    <x v="3"/>
    <x v="5"/>
    <n v="0.13900000000000001"/>
    <s v="USD2022/GJ"/>
  </r>
  <r>
    <x v="24"/>
    <x v="7"/>
    <x v="3"/>
    <x v="0"/>
    <n v="1711.4"/>
    <s v="USD2022/kW"/>
  </r>
  <r>
    <x v="24"/>
    <x v="7"/>
    <x v="3"/>
    <x v="3"/>
    <n v="38.799999999999997"/>
    <s v="USD2022/kW-yr"/>
  </r>
  <r>
    <x v="24"/>
    <x v="7"/>
    <x v="3"/>
    <x v="7"/>
    <n v="0.86"/>
    <s v="fraction"/>
  </r>
  <r>
    <x v="24"/>
    <x v="7"/>
    <x v="3"/>
    <x v="5"/>
    <n v="0.13900000000000001"/>
    <s v="USD2022/GJ"/>
  </r>
  <r>
    <x v="24"/>
    <x v="8"/>
    <x v="3"/>
    <x v="0"/>
    <n v="1711.4"/>
    <s v="USD2022/kW"/>
  </r>
  <r>
    <x v="24"/>
    <x v="8"/>
    <x v="3"/>
    <x v="3"/>
    <n v="38.799999999999997"/>
    <s v="USD2022/kW-yr"/>
  </r>
  <r>
    <x v="24"/>
    <x v="8"/>
    <x v="3"/>
    <x v="7"/>
    <n v="0.86"/>
    <s v="fraction"/>
  </r>
  <r>
    <x v="24"/>
    <x v="8"/>
    <x v="3"/>
    <x v="5"/>
    <n v="0.13900000000000001"/>
    <s v="USD2022/GJ"/>
  </r>
  <r>
    <x v="24"/>
    <x v="0"/>
    <x v="3"/>
    <x v="1"/>
    <n v="2159.9"/>
    <s v="USD2022/kW"/>
  </r>
  <r>
    <x v="24"/>
    <x v="0"/>
    <x v="3"/>
    <x v="3"/>
    <n v="49.6"/>
    <s v="USD2022/kW-yr"/>
  </r>
  <r>
    <x v="24"/>
    <x v="1"/>
    <x v="3"/>
    <x v="1"/>
    <n v="2159.9"/>
    <s v="USD2022/kW"/>
  </r>
  <r>
    <x v="24"/>
    <x v="1"/>
    <x v="3"/>
    <x v="3"/>
    <n v="49.6"/>
    <s v="USD2022/kW-yr"/>
  </r>
  <r>
    <x v="24"/>
    <x v="2"/>
    <x v="3"/>
    <x v="1"/>
    <n v="2159.9"/>
    <s v="USD2022/kW"/>
  </r>
  <r>
    <x v="24"/>
    <x v="2"/>
    <x v="3"/>
    <x v="3"/>
    <n v="49.6"/>
    <s v="USD2022/kW-yr"/>
  </r>
  <r>
    <x v="24"/>
    <x v="3"/>
    <x v="3"/>
    <x v="1"/>
    <n v="2159.9"/>
    <s v="USD2022/kW"/>
  </r>
  <r>
    <x v="24"/>
    <x v="3"/>
    <x v="3"/>
    <x v="3"/>
    <n v="49.6"/>
    <s v="USD2022/kW-yr"/>
  </r>
  <r>
    <x v="24"/>
    <x v="4"/>
    <x v="3"/>
    <x v="1"/>
    <n v="2159.9"/>
    <s v="USD2022/kW"/>
  </r>
  <r>
    <x v="24"/>
    <x v="4"/>
    <x v="3"/>
    <x v="3"/>
    <n v="49.6"/>
    <s v="USD2022/kW-yr"/>
  </r>
  <r>
    <x v="24"/>
    <x v="5"/>
    <x v="3"/>
    <x v="1"/>
    <n v="2159.9"/>
    <s v="USD2022/kW"/>
  </r>
  <r>
    <x v="24"/>
    <x v="5"/>
    <x v="3"/>
    <x v="3"/>
    <n v="49.6"/>
    <s v="USD2022/kW-yr"/>
  </r>
  <r>
    <x v="24"/>
    <x v="6"/>
    <x v="3"/>
    <x v="1"/>
    <n v="2159.9"/>
    <s v="USD2022/kW"/>
  </r>
  <r>
    <x v="24"/>
    <x v="6"/>
    <x v="3"/>
    <x v="3"/>
    <n v="49.6"/>
    <s v="USD2022/kW-yr"/>
  </r>
  <r>
    <x v="24"/>
    <x v="7"/>
    <x v="3"/>
    <x v="1"/>
    <n v="2159.9"/>
    <s v="USD2022/kW"/>
  </r>
  <r>
    <x v="24"/>
    <x v="7"/>
    <x v="3"/>
    <x v="3"/>
    <n v="49.6"/>
    <s v="USD2022/kW-yr"/>
  </r>
  <r>
    <x v="24"/>
    <x v="8"/>
    <x v="3"/>
    <x v="1"/>
    <n v="2159.9"/>
    <s v="USD2022/kW"/>
  </r>
  <r>
    <x v="24"/>
    <x v="8"/>
    <x v="3"/>
    <x v="3"/>
    <n v="49.6"/>
    <s v="USD2022/kW-yr"/>
  </r>
  <r>
    <x v="24"/>
    <x v="0"/>
    <x v="3"/>
    <x v="2"/>
    <n v="1390.7"/>
    <s v="USD2022/kW"/>
  </r>
  <r>
    <x v="24"/>
    <x v="0"/>
    <x v="3"/>
    <x v="3"/>
    <n v="31"/>
    <s v="USD2022/kW-yr"/>
  </r>
  <r>
    <x v="24"/>
    <x v="1"/>
    <x v="3"/>
    <x v="2"/>
    <n v="1390.7"/>
    <s v="USD2022/kW"/>
  </r>
  <r>
    <x v="24"/>
    <x v="1"/>
    <x v="3"/>
    <x v="3"/>
    <n v="31"/>
    <s v="USD2022/kW-yr"/>
  </r>
  <r>
    <x v="24"/>
    <x v="2"/>
    <x v="3"/>
    <x v="2"/>
    <n v="1390.7"/>
    <s v="USD2022/kW"/>
  </r>
  <r>
    <x v="24"/>
    <x v="2"/>
    <x v="3"/>
    <x v="3"/>
    <n v="31"/>
    <s v="USD2022/kW-yr"/>
  </r>
  <r>
    <x v="24"/>
    <x v="3"/>
    <x v="3"/>
    <x v="2"/>
    <n v="1390.7"/>
    <s v="USD2022/kW"/>
  </r>
  <r>
    <x v="24"/>
    <x v="3"/>
    <x v="3"/>
    <x v="3"/>
    <n v="31"/>
    <s v="USD2022/kW-yr"/>
  </r>
  <r>
    <x v="24"/>
    <x v="4"/>
    <x v="3"/>
    <x v="2"/>
    <n v="1390.7"/>
    <s v="USD2022/kW"/>
  </r>
  <r>
    <x v="24"/>
    <x v="4"/>
    <x v="3"/>
    <x v="3"/>
    <n v="31"/>
    <s v="USD2022/kW-yr"/>
  </r>
  <r>
    <x v="24"/>
    <x v="5"/>
    <x v="3"/>
    <x v="2"/>
    <n v="1390.7"/>
    <s v="USD2022/kW"/>
  </r>
  <r>
    <x v="24"/>
    <x v="5"/>
    <x v="3"/>
    <x v="3"/>
    <n v="31"/>
    <s v="USD2022/kW-yr"/>
  </r>
  <r>
    <x v="24"/>
    <x v="6"/>
    <x v="3"/>
    <x v="2"/>
    <n v="1390.7"/>
    <s v="USD2022/kW"/>
  </r>
  <r>
    <x v="24"/>
    <x v="6"/>
    <x v="3"/>
    <x v="3"/>
    <n v="31"/>
    <s v="USD2022/kW-yr"/>
  </r>
  <r>
    <x v="24"/>
    <x v="7"/>
    <x v="3"/>
    <x v="2"/>
    <n v="1390.7"/>
    <s v="USD2022/kW"/>
  </r>
  <r>
    <x v="24"/>
    <x v="7"/>
    <x v="3"/>
    <x v="3"/>
    <n v="31"/>
    <s v="USD2022/kW-yr"/>
  </r>
  <r>
    <x v="24"/>
    <x v="8"/>
    <x v="3"/>
    <x v="2"/>
    <n v="1390.7"/>
    <s v="USD2022/kW"/>
  </r>
  <r>
    <x v="24"/>
    <x v="8"/>
    <x v="3"/>
    <x v="3"/>
    <n v="31"/>
    <s v="USD2022/kW-yr"/>
  </r>
  <r>
    <x v="24"/>
    <x v="0"/>
    <x v="1"/>
    <x v="0"/>
    <n v="1451.3"/>
    <s v="USD2022/kW"/>
  </r>
  <r>
    <x v="24"/>
    <x v="0"/>
    <x v="1"/>
    <x v="3"/>
    <n v="32.5"/>
    <s v="USD2022/kW-yr"/>
  </r>
  <r>
    <x v="24"/>
    <x v="0"/>
    <x v="1"/>
    <x v="7"/>
    <n v="0.86"/>
    <s v="fraction"/>
  </r>
  <r>
    <x v="24"/>
    <x v="0"/>
    <x v="1"/>
    <x v="5"/>
    <n v="0.13900000000000001"/>
    <s v="USD2022/GJ"/>
  </r>
  <r>
    <x v="24"/>
    <x v="1"/>
    <x v="1"/>
    <x v="0"/>
    <n v="1451.3"/>
    <s v="USD2022/kW"/>
  </r>
  <r>
    <x v="24"/>
    <x v="1"/>
    <x v="1"/>
    <x v="3"/>
    <n v="32.5"/>
    <s v="USD2022/kW-yr"/>
  </r>
  <r>
    <x v="24"/>
    <x v="1"/>
    <x v="1"/>
    <x v="7"/>
    <n v="0.86"/>
    <s v="fraction"/>
  </r>
  <r>
    <x v="24"/>
    <x v="1"/>
    <x v="1"/>
    <x v="5"/>
    <n v="0.13900000000000001"/>
    <s v="USD2022/GJ"/>
  </r>
  <r>
    <x v="24"/>
    <x v="2"/>
    <x v="1"/>
    <x v="0"/>
    <n v="1451.3"/>
    <s v="USD2022/kW"/>
  </r>
  <r>
    <x v="24"/>
    <x v="2"/>
    <x v="1"/>
    <x v="3"/>
    <n v="32.5"/>
    <s v="USD2022/kW-yr"/>
  </r>
  <r>
    <x v="24"/>
    <x v="2"/>
    <x v="1"/>
    <x v="7"/>
    <n v="0.86"/>
    <s v="fraction"/>
  </r>
  <r>
    <x v="24"/>
    <x v="2"/>
    <x v="1"/>
    <x v="5"/>
    <n v="0.13900000000000001"/>
    <s v="USD2022/GJ"/>
  </r>
  <r>
    <x v="24"/>
    <x v="3"/>
    <x v="1"/>
    <x v="0"/>
    <n v="1451.3"/>
    <s v="USD2022/kW"/>
  </r>
  <r>
    <x v="24"/>
    <x v="3"/>
    <x v="1"/>
    <x v="3"/>
    <n v="32.5"/>
    <s v="USD2022/kW-yr"/>
  </r>
  <r>
    <x v="24"/>
    <x v="3"/>
    <x v="1"/>
    <x v="7"/>
    <n v="0.86"/>
    <s v="fraction"/>
  </r>
  <r>
    <x v="24"/>
    <x v="3"/>
    <x v="1"/>
    <x v="5"/>
    <n v="0.13900000000000001"/>
    <s v="USD2022/GJ"/>
  </r>
  <r>
    <x v="24"/>
    <x v="4"/>
    <x v="1"/>
    <x v="0"/>
    <n v="1451.3"/>
    <s v="USD2022/kW"/>
  </r>
  <r>
    <x v="24"/>
    <x v="4"/>
    <x v="1"/>
    <x v="3"/>
    <n v="32.5"/>
    <s v="USD2022/kW-yr"/>
  </r>
  <r>
    <x v="24"/>
    <x v="4"/>
    <x v="1"/>
    <x v="7"/>
    <n v="0.86"/>
    <s v="fraction"/>
  </r>
  <r>
    <x v="24"/>
    <x v="4"/>
    <x v="1"/>
    <x v="5"/>
    <n v="0.13900000000000001"/>
    <s v="USD2022/GJ"/>
  </r>
  <r>
    <x v="24"/>
    <x v="5"/>
    <x v="1"/>
    <x v="0"/>
    <n v="1451.3"/>
    <s v="USD2022/kW"/>
  </r>
  <r>
    <x v="24"/>
    <x v="5"/>
    <x v="1"/>
    <x v="3"/>
    <n v="32.5"/>
    <s v="USD2022/kW-yr"/>
  </r>
  <r>
    <x v="24"/>
    <x v="5"/>
    <x v="1"/>
    <x v="7"/>
    <n v="0.86"/>
    <s v="fraction"/>
  </r>
  <r>
    <x v="24"/>
    <x v="5"/>
    <x v="1"/>
    <x v="5"/>
    <n v="0.13900000000000001"/>
    <s v="USD2022/GJ"/>
  </r>
  <r>
    <x v="24"/>
    <x v="6"/>
    <x v="1"/>
    <x v="0"/>
    <n v="1451.3"/>
    <s v="USD2022/kW"/>
  </r>
  <r>
    <x v="24"/>
    <x v="6"/>
    <x v="1"/>
    <x v="3"/>
    <n v="32.5"/>
    <s v="USD2022/kW-yr"/>
  </r>
  <r>
    <x v="24"/>
    <x v="6"/>
    <x v="1"/>
    <x v="7"/>
    <n v="0.86"/>
    <s v="fraction"/>
  </r>
  <r>
    <x v="24"/>
    <x v="6"/>
    <x v="1"/>
    <x v="5"/>
    <n v="0.13900000000000001"/>
    <s v="USD2022/GJ"/>
  </r>
  <r>
    <x v="24"/>
    <x v="7"/>
    <x v="1"/>
    <x v="0"/>
    <n v="1451.3"/>
    <s v="USD2022/kW"/>
  </r>
  <r>
    <x v="24"/>
    <x v="7"/>
    <x v="1"/>
    <x v="3"/>
    <n v="32.5"/>
    <s v="USD2022/kW-yr"/>
  </r>
  <r>
    <x v="24"/>
    <x v="7"/>
    <x v="1"/>
    <x v="7"/>
    <n v="0.86"/>
    <s v="fraction"/>
  </r>
  <r>
    <x v="24"/>
    <x v="7"/>
    <x v="1"/>
    <x v="5"/>
    <n v="0.13900000000000001"/>
    <s v="USD2022/GJ"/>
  </r>
  <r>
    <x v="24"/>
    <x v="8"/>
    <x v="1"/>
    <x v="0"/>
    <n v="1451.3"/>
    <s v="USD2022/kW"/>
  </r>
  <r>
    <x v="24"/>
    <x v="8"/>
    <x v="1"/>
    <x v="3"/>
    <n v="32.5"/>
    <s v="USD2022/kW-yr"/>
  </r>
  <r>
    <x v="24"/>
    <x v="8"/>
    <x v="1"/>
    <x v="7"/>
    <n v="0.86"/>
    <s v="fraction"/>
  </r>
  <r>
    <x v="24"/>
    <x v="8"/>
    <x v="1"/>
    <x v="5"/>
    <n v="0.13900000000000001"/>
    <s v="USD2022/GJ"/>
  </r>
  <r>
    <x v="24"/>
    <x v="0"/>
    <x v="1"/>
    <x v="1"/>
    <n v="1774.9"/>
    <s v="USD2022/kW"/>
  </r>
  <r>
    <x v="24"/>
    <x v="0"/>
    <x v="1"/>
    <x v="3"/>
    <n v="40.299999999999997"/>
    <s v="USD2022/kW-yr"/>
  </r>
  <r>
    <x v="24"/>
    <x v="1"/>
    <x v="1"/>
    <x v="1"/>
    <n v="1774.9"/>
    <s v="USD2022/kW"/>
  </r>
  <r>
    <x v="24"/>
    <x v="1"/>
    <x v="1"/>
    <x v="3"/>
    <n v="40.299999999999997"/>
    <s v="USD2022/kW-yr"/>
  </r>
  <r>
    <x v="24"/>
    <x v="2"/>
    <x v="1"/>
    <x v="1"/>
    <n v="1774.9"/>
    <s v="USD2022/kW"/>
  </r>
  <r>
    <x v="24"/>
    <x v="2"/>
    <x v="1"/>
    <x v="3"/>
    <n v="40.299999999999997"/>
    <s v="USD2022/kW-yr"/>
  </r>
  <r>
    <x v="24"/>
    <x v="3"/>
    <x v="1"/>
    <x v="1"/>
    <n v="1774.9"/>
    <s v="USD2022/kW"/>
  </r>
  <r>
    <x v="24"/>
    <x v="3"/>
    <x v="1"/>
    <x v="3"/>
    <n v="40.299999999999997"/>
    <s v="USD2022/kW-yr"/>
  </r>
  <r>
    <x v="24"/>
    <x v="4"/>
    <x v="1"/>
    <x v="1"/>
    <n v="1774.9"/>
    <s v="USD2022/kW"/>
  </r>
  <r>
    <x v="24"/>
    <x v="4"/>
    <x v="1"/>
    <x v="3"/>
    <n v="40.299999999999997"/>
    <s v="USD2022/kW-yr"/>
  </r>
  <r>
    <x v="24"/>
    <x v="5"/>
    <x v="1"/>
    <x v="1"/>
    <n v="1774.9"/>
    <s v="USD2022/kW"/>
  </r>
  <r>
    <x v="24"/>
    <x v="5"/>
    <x v="1"/>
    <x v="3"/>
    <n v="40.299999999999997"/>
    <s v="USD2022/kW-yr"/>
  </r>
  <r>
    <x v="24"/>
    <x v="6"/>
    <x v="1"/>
    <x v="1"/>
    <n v="1774.9"/>
    <s v="USD2022/kW"/>
  </r>
  <r>
    <x v="24"/>
    <x v="6"/>
    <x v="1"/>
    <x v="3"/>
    <n v="40.299999999999997"/>
    <s v="USD2022/kW-yr"/>
  </r>
  <r>
    <x v="24"/>
    <x v="7"/>
    <x v="1"/>
    <x v="1"/>
    <n v="1774.9"/>
    <s v="USD2022/kW"/>
  </r>
  <r>
    <x v="24"/>
    <x v="7"/>
    <x v="1"/>
    <x v="3"/>
    <n v="40.299999999999997"/>
    <s v="USD2022/kW-yr"/>
  </r>
  <r>
    <x v="24"/>
    <x v="8"/>
    <x v="1"/>
    <x v="1"/>
    <n v="1774.9"/>
    <s v="USD2022/kW"/>
  </r>
  <r>
    <x v="24"/>
    <x v="8"/>
    <x v="1"/>
    <x v="3"/>
    <n v="40.299999999999997"/>
    <s v="USD2022/kW-yr"/>
  </r>
  <r>
    <x v="24"/>
    <x v="0"/>
    <x v="1"/>
    <x v="2"/>
    <n v="1117.5999999999999"/>
    <s v="USD2022/kW"/>
  </r>
  <r>
    <x v="24"/>
    <x v="0"/>
    <x v="1"/>
    <x v="3"/>
    <n v="24.5"/>
    <s v="USD2022/kW-yr"/>
  </r>
  <r>
    <x v="24"/>
    <x v="1"/>
    <x v="1"/>
    <x v="2"/>
    <n v="1117.5999999999999"/>
    <s v="USD2022/kW"/>
  </r>
  <r>
    <x v="24"/>
    <x v="1"/>
    <x v="1"/>
    <x v="3"/>
    <n v="24.5"/>
    <s v="USD2022/kW-yr"/>
  </r>
  <r>
    <x v="24"/>
    <x v="2"/>
    <x v="1"/>
    <x v="2"/>
    <n v="1117.5999999999999"/>
    <s v="USD2022/kW"/>
  </r>
  <r>
    <x v="24"/>
    <x v="2"/>
    <x v="1"/>
    <x v="3"/>
    <n v="24.5"/>
    <s v="USD2022/kW-yr"/>
  </r>
  <r>
    <x v="24"/>
    <x v="3"/>
    <x v="1"/>
    <x v="2"/>
    <n v="1117.5999999999999"/>
    <s v="USD2022/kW"/>
  </r>
  <r>
    <x v="24"/>
    <x v="3"/>
    <x v="1"/>
    <x v="3"/>
    <n v="24.5"/>
    <s v="USD2022/kW-yr"/>
  </r>
  <r>
    <x v="24"/>
    <x v="4"/>
    <x v="1"/>
    <x v="2"/>
    <n v="1117.5999999999999"/>
    <s v="USD2022/kW"/>
  </r>
  <r>
    <x v="24"/>
    <x v="4"/>
    <x v="1"/>
    <x v="3"/>
    <n v="24.5"/>
    <s v="USD2022/kW-yr"/>
  </r>
  <r>
    <x v="24"/>
    <x v="5"/>
    <x v="1"/>
    <x v="2"/>
    <n v="1117.5999999999999"/>
    <s v="USD2022/kW"/>
  </r>
  <r>
    <x v="24"/>
    <x v="5"/>
    <x v="1"/>
    <x v="3"/>
    <n v="24.5"/>
    <s v="USD2022/kW-yr"/>
  </r>
  <r>
    <x v="24"/>
    <x v="6"/>
    <x v="1"/>
    <x v="2"/>
    <n v="1117.5999999999999"/>
    <s v="USD2022/kW"/>
  </r>
  <r>
    <x v="24"/>
    <x v="6"/>
    <x v="1"/>
    <x v="3"/>
    <n v="24.5"/>
    <s v="USD2022/kW-yr"/>
  </r>
  <r>
    <x v="24"/>
    <x v="7"/>
    <x v="1"/>
    <x v="2"/>
    <n v="1117.5999999999999"/>
    <s v="USD2022/kW"/>
  </r>
  <r>
    <x v="24"/>
    <x v="7"/>
    <x v="1"/>
    <x v="3"/>
    <n v="24.5"/>
    <s v="USD2022/kW-yr"/>
  </r>
  <r>
    <x v="24"/>
    <x v="8"/>
    <x v="1"/>
    <x v="2"/>
    <n v="1117.5999999999999"/>
    <s v="USD2022/kW"/>
  </r>
  <r>
    <x v="24"/>
    <x v="8"/>
    <x v="1"/>
    <x v="3"/>
    <n v="24.5"/>
    <s v="USD2022/kW-yr"/>
  </r>
  <r>
    <x v="24"/>
    <x v="0"/>
    <x v="4"/>
    <x v="0"/>
    <n v="1347.4"/>
    <s v="USD2022/kW"/>
  </r>
  <r>
    <x v="24"/>
    <x v="0"/>
    <x v="4"/>
    <x v="3"/>
    <n v="30"/>
    <s v="USD2022/kW-yr"/>
  </r>
  <r>
    <x v="24"/>
    <x v="0"/>
    <x v="4"/>
    <x v="7"/>
    <n v="0.86"/>
    <s v="fraction"/>
  </r>
  <r>
    <x v="24"/>
    <x v="0"/>
    <x v="4"/>
    <x v="5"/>
    <n v="0.13900000000000001"/>
    <s v="USD2022/GJ"/>
  </r>
  <r>
    <x v="24"/>
    <x v="1"/>
    <x v="4"/>
    <x v="0"/>
    <n v="1347.4"/>
    <s v="USD2022/kW"/>
  </r>
  <r>
    <x v="24"/>
    <x v="1"/>
    <x v="4"/>
    <x v="3"/>
    <n v="30"/>
    <s v="USD2022/kW-yr"/>
  </r>
  <r>
    <x v="24"/>
    <x v="1"/>
    <x v="4"/>
    <x v="7"/>
    <n v="0.86"/>
    <s v="fraction"/>
  </r>
  <r>
    <x v="24"/>
    <x v="1"/>
    <x v="4"/>
    <x v="5"/>
    <n v="0.13900000000000001"/>
    <s v="USD2022/GJ"/>
  </r>
  <r>
    <x v="24"/>
    <x v="2"/>
    <x v="4"/>
    <x v="0"/>
    <n v="1347.4"/>
    <s v="USD2022/kW"/>
  </r>
  <r>
    <x v="24"/>
    <x v="2"/>
    <x v="4"/>
    <x v="3"/>
    <n v="30"/>
    <s v="USD2022/kW-yr"/>
  </r>
  <r>
    <x v="24"/>
    <x v="2"/>
    <x v="4"/>
    <x v="7"/>
    <n v="0.86"/>
    <s v="fraction"/>
  </r>
  <r>
    <x v="24"/>
    <x v="2"/>
    <x v="4"/>
    <x v="5"/>
    <n v="0.13900000000000001"/>
    <s v="USD2022/GJ"/>
  </r>
  <r>
    <x v="24"/>
    <x v="3"/>
    <x v="4"/>
    <x v="0"/>
    <n v="1347.4"/>
    <s v="USD2022/kW"/>
  </r>
  <r>
    <x v="24"/>
    <x v="3"/>
    <x v="4"/>
    <x v="3"/>
    <n v="30"/>
    <s v="USD2022/kW-yr"/>
  </r>
  <r>
    <x v="24"/>
    <x v="3"/>
    <x v="4"/>
    <x v="7"/>
    <n v="0.86"/>
    <s v="fraction"/>
  </r>
  <r>
    <x v="24"/>
    <x v="3"/>
    <x v="4"/>
    <x v="5"/>
    <n v="0.13900000000000001"/>
    <s v="USD2022/GJ"/>
  </r>
  <r>
    <x v="24"/>
    <x v="4"/>
    <x v="4"/>
    <x v="0"/>
    <n v="1347.4"/>
    <s v="USD2022/kW"/>
  </r>
  <r>
    <x v="24"/>
    <x v="4"/>
    <x v="4"/>
    <x v="3"/>
    <n v="30"/>
    <s v="USD2022/kW-yr"/>
  </r>
  <r>
    <x v="24"/>
    <x v="4"/>
    <x v="4"/>
    <x v="7"/>
    <n v="0.86"/>
    <s v="fraction"/>
  </r>
  <r>
    <x v="24"/>
    <x v="4"/>
    <x v="4"/>
    <x v="5"/>
    <n v="0.13900000000000001"/>
    <s v="USD2022/GJ"/>
  </r>
  <r>
    <x v="24"/>
    <x v="5"/>
    <x v="4"/>
    <x v="0"/>
    <n v="1347.4"/>
    <s v="USD2022/kW"/>
  </r>
  <r>
    <x v="24"/>
    <x v="5"/>
    <x v="4"/>
    <x v="3"/>
    <n v="30"/>
    <s v="USD2022/kW-yr"/>
  </r>
  <r>
    <x v="24"/>
    <x v="5"/>
    <x v="4"/>
    <x v="7"/>
    <n v="0.86"/>
    <s v="fraction"/>
  </r>
  <r>
    <x v="24"/>
    <x v="5"/>
    <x v="4"/>
    <x v="5"/>
    <n v="0.13900000000000001"/>
    <s v="USD2022/GJ"/>
  </r>
  <r>
    <x v="24"/>
    <x v="6"/>
    <x v="4"/>
    <x v="0"/>
    <n v="1347.4"/>
    <s v="USD2022/kW"/>
  </r>
  <r>
    <x v="24"/>
    <x v="6"/>
    <x v="4"/>
    <x v="3"/>
    <n v="30"/>
    <s v="USD2022/kW-yr"/>
  </r>
  <r>
    <x v="24"/>
    <x v="6"/>
    <x v="4"/>
    <x v="7"/>
    <n v="0.86"/>
    <s v="fraction"/>
  </r>
  <r>
    <x v="24"/>
    <x v="6"/>
    <x v="4"/>
    <x v="5"/>
    <n v="0.13900000000000001"/>
    <s v="USD2022/GJ"/>
  </r>
  <r>
    <x v="24"/>
    <x v="7"/>
    <x v="4"/>
    <x v="0"/>
    <n v="1347.4"/>
    <s v="USD2022/kW"/>
  </r>
  <r>
    <x v="24"/>
    <x v="7"/>
    <x v="4"/>
    <x v="3"/>
    <n v="30"/>
    <s v="USD2022/kW-yr"/>
  </r>
  <r>
    <x v="24"/>
    <x v="7"/>
    <x v="4"/>
    <x v="7"/>
    <n v="0.86"/>
    <s v="fraction"/>
  </r>
  <r>
    <x v="24"/>
    <x v="7"/>
    <x v="4"/>
    <x v="5"/>
    <n v="0.13900000000000001"/>
    <s v="USD2022/GJ"/>
  </r>
  <r>
    <x v="24"/>
    <x v="8"/>
    <x v="4"/>
    <x v="0"/>
    <n v="1347.4"/>
    <s v="USD2022/kW"/>
  </r>
  <r>
    <x v="24"/>
    <x v="8"/>
    <x v="4"/>
    <x v="3"/>
    <n v="30"/>
    <s v="USD2022/kW-yr"/>
  </r>
  <r>
    <x v="24"/>
    <x v="8"/>
    <x v="4"/>
    <x v="7"/>
    <n v="0.86"/>
    <s v="fraction"/>
  </r>
  <r>
    <x v="24"/>
    <x v="8"/>
    <x v="4"/>
    <x v="5"/>
    <n v="0.13900000000000001"/>
    <s v="USD2022/GJ"/>
  </r>
  <r>
    <x v="24"/>
    <x v="0"/>
    <x v="4"/>
    <x v="1"/>
    <n v="1717.7"/>
    <s v="USD2022/kW"/>
  </r>
  <r>
    <x v="24"/>
    <x v="0"/>
    <x v="4"/>
    <x v="3"/>
    <n v="38.9"/>
    <s v="USD2022/kW-yr"/>
  </r>
  <r>
    <x v="24"/>
    <x v="1"/>
    <x v="4"/>
    <x v="1"/>
    <n v="1717.7"/>
    <s v="USD2022/kW"/>
  </r>
  <r>
    <x v="24"/>
    <x v="1"/>
    <x v="4"/>
    <x v="3"/>
    <n v="38.9"/>
    <s v="USD2022/kW-yr"/>
  </r>
  <r>
    <x v="24"/>
    <x v="2"/>
    <x v="4"/>
    <x v="1"/>
    <n v="1717.7"/>
    <s v="USD2022/kW"/>
  </r>
  <r>
    <x v="24"/>
    <x v="2"/>
    <x v="4"/>
    <x v="3"/>
    <n v="38.9"/>
    <s v="USD2022/kW-yr"/>
  </r>
  <r>
    <x v="24"/>
    <x v="3"/>
    <x v="4"/>
    <x v="1"/>
    <n v="1717.7"/>
    <s v="USD2022/kW"/>
  </r>
  <r>
    <x v="24"/>
    <x v="3"/>
    <x v="4"/>
    <x v="3"/>
    <n v="38.9"/>
    <s v="USD2022/kW-yr"/>
  </r>
  <r>
    <x v="24"/>
    <x v="4"/>
    <x v="4"/>
    <x v="1"/>
    <n v="1717.7"/>
    <s v="USD2022/kW"/>
  </r>
  <r>
    <x v="24"/>
    <x v="4"/>
    <x v="4"/>
    <x v="3"/>
    <n v="38.9"/>
    <s v="USD2022/kW-yr"/>
  </r>
  <r>
    <x v="24"/>
    <x v="5"/>
    <x v="4"/>
    <x v="1"/>
    <n v="1717.7"/>
    <s v="USD2022/kW"/>
  </r>
  <r>
    <x v="24"/>
    <x v="5"/>
    <x v="4"/>
    <x v="3"/>
    <n v="38.9"/>
    <s v="USD2022/kW-yr"/>
  </r>
  <r>
    <x v="24"/>
    <x v="6"/>
    <x v="4"/>
    <x v="1"/>
    <n v="1717.7"/>
    <s v="USD2022/kW"/>
  </r>
  <r>
    <x v="24"/>
    <x v="6"/>
    <x v="4"/>
    <x v="3"/>
    <n v="38.9"/>
    <s v="USD2022/kW-yr"/>
  </r>
  <r>
    <x v="24"/>
    <x v="7"/>
    <x v="4"/>
    <x v="1"/>
    <n v="1717.7"/>
    <s v="USD2022/kW"/>
  </r>
  <r>
    <x v="24"/>
    <x v="7"/>
    <x v="4"/>
    <x v="3"/>
    <n v="38.9"/>
    <s v="USD2022/kW-yr"/>
  </r>
  <r>
    <x v="24"/>
    <x v="8"/>
    <x v="4"/>
    <x v="1"/>
    <n v="1717.7"/>
    <s v="USD2022/kW"/>
  </r>
  <r>
    <x v="24"/>
    <x v="8"/>
    <x v="4"/>
    <x v="3"/>
    <n v="38.9"/>
    <s v="USD2022/kW-yr"/>
  </r>
  <r>
    <x v="24"/>
    <x v="0"/>
    <x v="4"/>
    <x v="2"/>
    <n v="1028.7"/>
    <s v="USD2022/kW"/>
  </r>
  <r>
    <x v="24"/>
    <x v="0"/>
    <x v="4"/>
    <x v="3"/>
    <n v="22.3"/>
    <s v="USD2022/kW-yr"/>
  </r>
  <r>
    <x v="24"/>
    <x v="1"/>
    <x v="4"/>
    <x v="2"/>
    <n v="1028.7"/>
    <s v="USD2022/kW"/>
  </r>
  <r>
    <x v="24"/>
    <x v="1"/>
    <x v="4"/>
    <x v="3"/>
    <n v="22.3"/>
    <s v="USD2022/kW-yr"/>
  </r>
  <r>
    <x v="24"/>
    <x v="2"/>
    <x v="4"/>
    <x v="2"/>
    <n v="1028.7"/>
    <s v="USD2022/kW"/>
  </r>
  <r>
    <x v="24"/>
    <x v="2"/>
    <x v="4"/>
    <x v="3"/>
    <n v="22.3"/>
    <s v="USD2022/kW-yr"/>
  </r>
  <r>
    <x v="24"/>
    <x v="3"/>
    <x v="4"/>
    <x v="2"/>
    <n v="1028.7"/>
    <s v="USD2022/kW"/>
  </r>
  <r>
    <x v="24"/>
    <x v="3"/>
    <x v="4"/>
    <x v="3"/>
    <n v="22.3"/>
    <s v="USD2022/kW-yr"/>
  </r>
  <r>
    <x v="24"/>
    <x v="4"/>
    <x v="4"/>
    <x v="2"/>
    <n v="1028.7"/>
    <s v="USD2022/kW"/>
  </r>
  <r>
    <x v="24"/>
    <x v="4"/>
    <x v="4"/>
    <x v="3"/>
    <n v="22.3"/>
    <s v="USD2022/kW-yr"/>
  </r>
  <r>
    <x v="24"/>
    <x v="5"/>
    <x v="4"/>
    <x v="2"/>
    <n v="1028.7"/>
    <s v="USD2022/kW"/>
  </r>
  <r>
    <x v="24"/>
    <x v="5"/>
    <x v="4"/>
    <x v="3"/>
    <n v="22.3"/>
    <s v="USD2022/kW-yr"/>
  </r>
  <r>
    <x v="24"/>
    <x v="6"/>
    <x v="4"/>
    <x v="2"/>
    <n v="1028.7"/>
    <s v="USD2022/kW"/>
  </r>
  <r>
    <x v="24"/>
    <x v="6"/>
    <x v="4"/>
    <x v="3"/>
    <n v="22.3"/>
    <s v="USD2022/kW-yr"/>
  </r>
  <r>
    <x v="24"/>
    <x v="7"/>
    <x v="4"/>
    <x v="2"/>
    <n v="1028.7"/>
    <s v="USD2022/kW"/>
  </r>
  <r>
    <x v="24"/>
    <x v="7"/>
    <x v="4"/>
    <x v="3"/>
    <n v="22.3"/>
    <s v="USD2022/kW-yr"/>
  </r>
  <r>
    <x v="24"/>
    <x v="8"/>
    <x v="4"/>
    <x v="2"/>
    <n v="1028.7"/>
    <s v="USD2022/kW"/>
  </r>
  <r>
    <x v="24"/>
    <x v="8"/>
    <x v="4"/>
    <x v="3"/>
    <n v="22.3"/>
    <s v="USD2022/kW-yr"/>
  </r>
  <r>
    <x v="24"/>
    <x v="0"/>
    <x v="5"/>
    <x v="0"/>
    <n v="1243.5"/>
    <s v="USD2022/kW"/>
  </r>
  <r>
    <x v="24"/>
    <x v="0"/>
    <x v="5"/>
    <x v="3"/>
    <n v="27.5"/>
    <s v="USD2022/kW-yr"/>
  </r>
  <r>
    <x v="24"/>
    <x v="0"/>
    <x v="5"/>
    <x v="7"/>
    <n v="0.86"/>
    <s v="fraction"/>
  </r>
  <r>
    <x v="24"/>
    <x v="0"/>
    <x v="5"/>
    <x v="5"/>
    <n v="0.13900000000000001"/>
    <s v="USD2022/GJ"/>
  </r>
  <r>
    <x v="24"/>
    <x v="1"/>
    <x v="5"/>
    <x v="0"/>
    <n v="1243.5"/>
    <s v="USD2022/kW"/>
  </r>
  <r>
    <x v="24"/>
    <x v="1"/>
    <x v="5"/>
    <x v="3"/>
    <n v="27.5"/>
    <s v="USD2022/kW-yr"/>
  </r>
  <r>
    <x v="24"/>
    <x v="1"/>
    <x v="5"/>
    <x v="7"/>
    <n v="0.86"/>
    <s v="fraction"/>
  </r>
  <r>
    <x v="24"/>
    <x v="1"/>
    <x v="5"/>
    <x v="5"/>
    <n v="0.13900000000000001"/>
    <s v="USD2022/GJ"/>
  </r>
  <r>
    <x v="24"/>
    <x v="2"/>
    <x v="5"/>
    <x v="0"/>
    <n v="1243.5"/>
    <s v="USD2022/kW"/>
  </r>
  <r>
    <x v="24"/>
    <x v="2"/>
    <x v="5"/>
    <x v="3"/>
    <n v="27.5"/>
    <s v="USD2022/kW-yr"/>
  </r>
  <r>
    <x v="24"/>
    <x v="2"/>
    <x v="5"/>
    <x v="7"/>
    <n v="0.86"/>
    <s v="fraction"/>
  </r>
  <r>
    <x v="24"/>
    <x v="2"/>
    <x v="5"/>
    <x v="5"/>
    <n v="0.13900000000000001"/>
    <s v="USD2022/GJ"/>
  </r>
  <r>
    <x v="24"/>
    <x v="3"/>
    <x v="5"/>
    <x v="0"/>
    <n v="1243.5"/>
    <s v="USD2022/kW"/>
  </r>
  <r>
    <x v="24"/>
    <x v="3"/>
    <x v="5"/>
    <x v="3"/>
    <n v="27.5"/>
    <s v="USD2022/kW-yr"/>
  </r>
  <r>
    <x v="24"/>
    <x v="3"/>
    <x v="5"/>
    <x v="7"/>
    <n v="0.86"/>
    <s v="fraction"/>
  </r>
  <r>
    <x v="24"/>
    <x v="3"/>
    <x v="5"/>
    <x v="5"/>
    <n v="0.13900000000000001"/>
    <s v="USD2022/GJ"/>
  </r>
  <r>
    <x v="24"/>
    <x v="4"/>
    <x v="5"/>
    <x v="0"/>
    <n v="1243.5"/>
    <s v="USD2022/kW"/>
  </r>
  <r>
    <x v="24"/>
    <x v="4"/>
    <x v="5"/>
    <x v="3"/>
    <n v="27.5"/>
    <s v="USD2022/kW-yr"/>
  </r>
  <r>
    <x v="24"/>
    <x v="4"/>
    <x v="5"/>
    <x v="7"/>
    <n v="0.86"/>
    <s v="fraction"/>
  </r>
  <r>
    <x v="24"/>
    <x v="4"/>
    <x v="5"/>
    <x v="5"/>
    <n v="0.13900000000000001"/>
    <s v="USD2022/GJ"/>
  </r>
  <r>
    <x v="24"/>
    <x v="5"/>
    <x v="5"/>
    <x v="0"/>
    <n v="1243.5"/>
    <s v="USD2022/kW"/>
  </r>
  <r>
    <x v="24"/>
    <x v="5"/>
    <x v="5"/>
    <x v="3"/>
    <n v="27.5"/>
    <s v="USD2022/kW-yr"/>
  </r>
  <r>
    <x v="24"/>
    <x v="5"/>
    <x v="5"/>
    <x v="7"/>
    <n v="0.86"/>
    <s v="fraction"/>
  </r>
  <r>
    <x v="24"/>
    <x v="5"/>
    <x v="5"/>
    <x v="5"/>
    <n v="0.13900000000000001"/>
    <s v="USD2022/GJ"/>
  </r>
  <r>
    <x v="24"/>
    <x v="6"/>
    <x v="5"/>
    <x v="0"/>
    <n v="1243.5"/>
    <s v="USD2022/kW"/>
  </r>
  <r>
    <x v="24"/>
    <x v="6"/>
    <x v="5"/>
    <x v="3"/>
    <n v="27.5"/>
    <s v="USD2022/kW-yr"/>
  </r>
  <r>
    <x v="24"/>
    <x v="6"/>
    <x v="5"/>
    <x v="7"/>
    <n v="0.86"/>
    <s v="fraction"/>
  </r>
  <r>
    <x v="24"/>
    <x v="6"/>
    <x v="5"/>
    <x v="5"/>
    <n v="0.13900000000000001"/>
    <s v="USD2022/GJ"/>
  </r>
  <r>
    <x v="24"/>
    <x v="7"/>
    <x v="5"/>
    <x v="0"/>
    <n v="1243.5"/>
    <s v="USD2022/kW"/>
  </r>
  <r>
    <x v="24"/>
    <x v="7"/>
    <x v="5"/>
    <x v="3"/>
    <n v="27.5"/>
    <s v="USD2022/kW-yr"/>
  </r>
  <r>
    <x v="24"/>
    <x v="7"/>
    <x v="5"/>
    <x v="7"/>
    <n v="0.86"/>
    <s v="fraction"/>
  </r>
  <r>
    <x v="24"/>
    <x v="7"/>
    <x v="5"/>
    <x v="5"/>
    <n v="0.13900000000000001"/>
    <s v="USD2022/GJ"/>
  </r>
  <r>
    <x v="24"/>
    <x v="8"/>
    <x v="5"/>
    <x v="0"/>
    <n v="1243.5"/>
    <s v="USD2022/kW"/>
  </r>
  <r>
    <x v="24"/>
    <x v="8"/>
    <x v="5"/>
    <x v="3"/>
    <n v="27.5"/>
    <s v="USD2022/kW-yr"/>
  </r>
  <r>
    <x v="24"/>
    <x v="8"/>
    <x v="5"/>
    <x v="7"/>
    <n v="0.86"/>
    <s v="fraction"/>
  </r>
  <r>
    <x v="24"/>
    <x v="8"/>
    <x v="5"/>
    <x v="5"/>
    <n v="0.13900000000000001"/>
    <s v="USD2022/GJ"/>
  </r>
  <r>
    <x v="24"/>
    <x v="0"/>
    <x v="5"/>
    <x v="1"/>
    <n v="1660.5"/>
    <s v="USD2022/kW"/>
  </r>
  <r>
    <x v="24"/>
    <x v="0"/>
    <x v="5"/>
    <x v="3"/>
    <n v="37.5"/>
    <s v="USD2022/kW-yr"/>
  </r>
  <r>
    <x v="24"/>
    <x v="1"/>
    <x v="5"/>
    <x v="1"/>
    <n v="1660.5"/>
    <s v="USD2022/kW"/>
  </r>
  <r>
    <x v="24"/>
    <x v="1"/>
    <x v="5"/>
    <x v="3"/>
    <n v="37.5"/>
    <s v="USD2022/kW-yr"/>
  </r>
  <r>
    <x v="24"/>
    <x v="2"/>
    <x v="5"/>
    <x v="1"/>
    <n v="1660.5"/>
    <s v="USD2022/kW"/>
  </r>
  <r>
    <x v="24"/>
    <x v="2"/>
    <x v="5"/>
    <x v="3"/>
    <n v="37.5"/>
    <s v="USD2022/kW-yr"/>
  </r>
  <r>
    <x v="24"/>
    <x v="3"/>
    <x v="5"/>
    <x v="1"/>
    <n v="1660.5"/>
    <s v="USD2022/kW"/>
  </r>
  <r>
    <x v="24"/>
    <x v="3"/>
    <x v="5"/>
    <x v="3"/>
    <n v="37.5"/>
    <s v="USD2022/kW-yr"/>
  </r>
  <r>
    <x v="24"/>
    <x v="4"/>
    <x v="5"/>
    <x v="1"/>
    <n v="1660.5"/>
    <s v="USD2022/kW"/>
  </r>
  <r>
    <x v="24"/>
    <x v="4"/>
    <x v="5"/>
    <x v="3"/>
    <n v="37.5"/>
    <s v="USD2022/kW-yr"/>
  </r>
  <r>
    <x v="24"/>
    <x v="5"/>
    <x v="5"/>
    <x v="1"/>
    <n v="1660.5"/>
    <s v="USD2022/kW"/>
  </r>
  <r>
    <x v="24"/>
    <x v="5"/>
    <x v="5"/>
    <x v="3"/>
    <n v="37.5"/>
    <s v="USD2022/kW-yr"/>
  </r>
  <r>
    <x v="24"/>
    <x v="6"/>
    <x v="5"/>
    <x v="1"/>
    <n v="1660.5"/>
    <s v="USD2022/kW"/>
  </r>
  <r>
    <x v="24"/>
    <x v="6"/>
    <x v="5"/>
    <x v="3"/>
    <n v="37.5"/>
    <s v="USD2022/kW-yr"/>
  </r>
  <r>
    <x v="24"/>
    <x v="7"/>
    <x v="5"/>
    <x v="1"/>
    <n v="1660.5"/>
    <s v="USD2022/kW"/>
  </r>
  <r>
    <x v="24"/>
    <x v="7"/>
    <x v="5"/>
    <x v="3"/>
    <n v="37.5"/>
    <s v="USD2022/kW-yr"/>
  </r>
  <r>
    <x v="24"/>
    <x v="8"/>
    <x v="5"/>
    <x v="1"/>
    <n v="1660.5"/>
    <s v="USD2022/kW"/>
  </r>
  <r>
    <x v="24"/>
    <x v="8"/>
    <x v="5"/>
    <x v="3"/>
    <n v="37.5"/>
    <s v="USD2022/kW-yr"/>
  </r>
  <r>
    <x v="24"/>
    <x v="0"/>
    <x v="5"/>
    <x v="2"/>
    <n v="939.8"/>
    <s v="USD2022/kW"/>
  </r>
  <r>
    <x v="24"/>
    <x v="0"/>
    <x v="5"/>
    <x v="3"/>
    <n v="20.2"/>
    <s v="USD2022/kW-yr"/>
  </r>
  <r>
    <x v="24"/>
    <x v="1"/>
    <x v="5"/>
    <x v="2"/>
    <n v="939.8"/>
    <s v="USD2022/kW"/>
  </r>
  <r>
    <x v="24"/>
    <x v="1"/>
    <x v="5"/>
    <x v="3"/>
    <n v="20.2"/>
    <s v="USD2022/kW-yr"/>
  </r>
  <r>
    <x v="24"/>
    <x v="2"/>
    <x v="5"/>
    <x v="2"/>
    <n v="939.8"/>
    <s v="USD2022/kW"/>
  </r>
  <r>
    <x v="24"/>
    <x v="2"/>
    <x v="5"/>
    <x v="3"/>
    <n v="20.2"/>
    <s v="USD2022/kW-yr"/>
  </r>
  <r>
    <x v="24"/>
    <x v="3"/>
    <x v="5"/>
    <x v="2"/>
    <n v="939.8"/>
    <s v="USD2022/kW"/>
  </r>
  <r>
    <x v="24"/>
    <x v="3"/>
    <x v="5"/>
    <x v="3"/>
    <n v="20.2"/>
    <s v="USD2022/kW-yr"/>
  </r>
  <r>
    <x v="24"/>
    <x v="4"/>
    <x v="5"/>
    <x v="2"/>
    <n v="939.8"/>
    <s v="USD2022/kW"/>
  </r>
  <r>
    <x v="24"/>
    <x v="4"/>
    <x v="5"/>
    <x v="3"/>
    <n v="20.2"/>
    <s v="USD2022/kW-yr"/>
  </r>
  <r>
    <x v="24"/>
    <x v="5"/>
    <x v="5"/>
    <x v="2"/>
    <n v="939.8"/>
    <s v="USD2022/kW"/>
  </r>
  <r>
    <x v="24"/>
    <x v="5"/>
    <x v="5"/>
    <x v="3"/>
    <n v="20.2"/>
    <s v="USD2022/kW-yr"/>
  </r>
  <r>
    <x v="24"/>
    <x v="6"/>
    <x v="5"/>
    <x v="2"/>
    <n v="939.8"/>
    <s v="USD2022/kW"/>
  </r>
  <r>
    <x v="24"/>
    <x v="6"/>
    <x v="5"/>
    <x v="3"/>
    <n v="20.2"/>
    <s v="USD2022/kW-yr"/>
  </r>
  <r>
    <x v="24"/>
    <x v="7"/>
    <x v="5"/>
    <x v="2"/>
    <n v="939.8"/>
    <s v="USD2022/kW"/>
  </r>
  <r>
    <x v="24"/>
    <x v="7"/>
    <x v="5"/>
    <x v="3"/>
    <n v="20.2"/>
    <s v="USD2022/kW-yr"/>
  </r>
  <r>
    <x v="24"/>
    <x v="8"/>
    <x v="5"/>
    <x v="2"/>
    <n v="939.8"/>
    <s v="USD2022/kW"/>
  </r>
  <r>
    <x v="24"/>
    <x v="8"/>
    <x v="5"/>
    <x v="3"/>
    <n v="20.2"/>
    <s v="USD2022/kW-yr"/>
  </r>
  <r>
    <x v="24"/>
    <x v="0"/>
    <x v="6"/>
    <x v="0"/>
    <n v="1139.5999999999999"/>
    <s v="USD2022/kW"/>
  </r>
  <r>
    <x v="24"/>
    <x v="0"/>
    <x v="6"/>
    <x v="3"/>
    <n v="25"/>
    <s v="USD2022/kW-yr"/>
  </r>
  <r>
    <x v="24"/>
    <x v="0"/>
    <x v="6"/>
    <x v="7"/>
    <n v="0.86"/>
    <s v="fraction"/>
  </r>
  <r>
    <x v="24"/>
    <x v="0"/>
    <x v="6"/>
    <x v="5"/>
    <n v="0.13900000000000001"/>
    <s v="USD2022/GJ"/>
  </r>
  <r>
    <x v="24"/>
    <x v="1"/>
    <x v="6"/>
    <x v="0"/>
    <n v="1139.5999999999999"/>
    <s v="USD2022/kW"/>
  </r>
  <r>
    <x v="24"/>
    <x v="1"/>
    <x v="6"/>
    <x v="3"/>
    <n v="25"/>
    <s v="USD2022/kW-yr"/>
  </r>
  <r>
    <x v="24"/>
    <x v="1"/>
    <x v="6"/>
    <x v="7"/>
    <n v="0.86"/>
    <s v="fraction"/>
  </r>
  <r>
    <x v="24"/>
    <x v="1"/>
    <x v="6"/>
    <x v="5"/>
    <n v="0.13900000000000001"/>
    <s v="USD2022/GJ"/>
  </r>
  <r>
    <x v="24"/>
    <x v="2"/>
    <x v="6"/>
    <x v="0"/>
    <n v="1139.5999999999999"/>
    <s v="USD2022/kW"/>
  </r>
  <r>
    <x v="24"/>
    <x v="2"/>
    <x v="6"/>
    <x v="3"/>
    <n v="25"/>
    <s v="USD2022/kW-yr"/>
  </r>
  <r>
    <x v="24"/>
    <x v="2"/>
    <x v="6"/>
    <x v="7"/>
    <n v="0.86"/>
    <s v="fraction"/>
  </r>
  <r>
    <x v="24"/>
    <x v="2"/>
    <x v="6"/>
    <x v="5"/>
    <n v="0.13900000000000001"/>
    <s v="USD2022/GJ"/>
  </r>
  <r>
    <x v="24"/>
    <x v="3"/>
    <x v="6"/>
    <x v="0"/>
    <n v="1139.5999999999999"/>
    <s v="USD2022/kW"/>
  </r>
  <r>
    <x v="24"/>
    <x v="3"/>
    <x v="6"/>
    <x v="3"/>
    <n v="25"/>
    <s v="USD2022/kW-yr"/>
  </r>
  <r>
    <x v="24"/>
    <x v="3"/>
    <x v="6"/>
    <x v="7"/>
    <n v="0.86"/>
    <s v="fraction"/>
  </r>
  <r>
    <x v="24"/>
    <x v="3"/>
    <x v="6"/>
    <x v="5"/>
    <n v="0.13900000000000001"/>
    <s v="USD2022/GJ"/>
  </r>
  <r>
    <x v="24"/>
    <x v="4"/>
    <x v="6"/>
    <x v="0"/>
    <n v="1139.5999999999999"/>
    <s v="USD2022/kW"/>
  </r>
  <r>
    <x v="24"/>
    <x v="4"/>
    <x v="6"/>
    <x v="3"/>
    <n v="25"/>
    <s v="USD2022/kW-yr"/>
  </r>
  <r>
    <x v="24"/>
    <x v="4"/>
    <x v="6"/>
    <x v="7"/>
    <n v="0.86"/>
    <s v="fraction"/>
  </r>
  <r>
    <x v="24"/>
    <x v="4"/>
    <x v="6"/>
    <x v="5"/>
    <n v="0.13900000000000001"/>
    <s v="USD2022/GJ"/>
  </r>
  <r>
    <x v="24"/>
    <x v="5"/>
    <x v="6"/>
    <x v="0"/>
    <n v="1139.5999999999999"/>
    <s v="USD2022/kW"/>
  </r>
  <r>
    <x v="24"/>
    <x v="5"/>
    <x v="6"/>
    <x v="3"/>
    <n v="25"/>
    <s v="USD2022/kW-yr"/>
  </r>
  <r>
    <x v="24"/>
    <x v="5"/>
    <x v="6"/>
    <x v="7"/>
    <n v="0.86"/>
    <s v="fraction"/>
  </r>
  <r>
    <x v="24"/>
    <x v="5"/>
    <x v="6"/>
    <x v="5"/>
    <n v="0.13900000000000001"/>
    <s v="USD2022/GJ"/>
  </r>
  <r>
    <x v="24"/>
    <x v="6"/>
    <x v="6"/>
    <x v="0"/>
    <n v="1139.5999999999999"/>
    <s v="USD2022/kW"/>
  </r>
  <r>
    <x v="24"/>
    <x v="6"/>
    <x v="6"/>
    <x v="3"/>
    <n v="25"/>
    <s v="USD2022/kW-yr"/>
  </r>
  <r>
    <x v="24"/>
    <x v="6"/>
    <x v="6"/>
    <x v="7"/>
    <n v="0.86"/>
    <s v="fraction"/>
  </r>
  <r>
    <x v="24"/>
    <x v="6"/>
    <x v="6"/>
    <x v="5"/>
    <n v="0.13900000000000001"/>
    <s v="USD2022/GJ"/>
  </r>
  <r>
    <x v="24"/>
    <x v="7"/>
    <x v="6"/>
    <x v="0"/>
    <n v="1139.5999999999999"/>
    <s v="USD2022/kW"/>
  </r>
  <r>
    <x v="24"/>
    <x v="7"/>
    <x v="6"/>
    <x v="3"/>
    <n v="25"/>
    <s v="USD2022/kW-yr"/>
  </r>
  <r>
    <x v="24"/>
    <x v="7"/>
    <x v="6"/>
    <x v="7"/>
    <n v="0.86"/>
    <s v="fraction"/>
  </r>
  <r>
    <x v="24"/>
    <x v="7"/>
    <x v="6"/>
    <x v="5"/>
    <n v="0.13900000000000001"/>
    <s v="USD2022/GJ"/>
  </r>
  <r>
    <x v="24"/>
    <x v="8"/>
    <x v="6"/>
    <x v="0"/>
    <n v="1139.5999999999999"/>
    <s v="USD2022/kW"/>
  </r>
  <r>
    <x v="24"/>
    <x v="8"/>
    <x v="6"/>
    <x v="3"/>
    <n v="25"/>
    <s v="USD2022/kW-yr"/>
  </r>
  <r>
    <x v="24"/>
    <x v="8"/>
    <x v="6"/>
    <x v="7"/>
    <n v="0.86"/>
    <s v="fraction"/>
  </r>
  <r>
    <x v="24"/>
    <x v="8"/>
    <x v="6"/>
    <x v="5"/>
    <n v="0.13900000000000001"/>
    <s v="USD2022/GJ"/>
  </r>
  <r>
    <x v="24"/>
    <x v="0"/>
    <x v="6"/>
    <x v="1"/>
    <n v="1603.3"/>
    <s v="USD2022/kW"/>
  </r>
  <r>
    <x v="24"/>
    <x v="0"/>
    <x v="6"/>
    <x v="3"/>
    <n v="36.200000000000003"/>
    <s v="USD2022/kW-yr"/>
  </r>
  <r>
    <x v="24"/>
    <x v="1"/>
    <x v="6"/>
    <x v="1"/>
    <n v="1603.3"/>
    <s v="USD2022/kW"/>
  </r>
  <r>
    <x v="24"/>
    <x v="1"/>
    <x v="6"/>
    <x v="3"/>
    <n v="36.200000000000003"/>
    <s v="USD2022/kW-yr"/>
  </r>
  <r>
    <x v="24"/>
    <x v="2"/>
    <x v="6"/>
    <x v="1"/>
    <n v="1603.3"/>
    <s v="USD2022/kW"/>
  </r>
  <r>
    <x v="24"/>
    <x v="2"/>
    <x v="6"/>
    <x v="3"/>
    <n v="36.200000000000003"/>
    <s v="USD2022/kW-yr"/>
  </r>
  <r>
    <x v="24"/>
    <x v="3"/>
    <x v="6"/>
    <x v="1"/>
    <n v="1603.3"/>
    <s v="USD2022/kW"/>
  </r>
  <r>
    <x v="24"/>
    <x v="3"/>
    <x v="6"/>
    <x v="3"/>
    <n v="36.200000000000003"/>
    <s v="USD2022/kW-yr"/>
  </r>
  <r>
    <x v="24"/>
    <x v="4"/>
    <x v="6"/>
    <x v="1"/>
    <n v="1603.3"/>
    <s v="USD2022/kW"/>
  </r>
  <r>
    <x v="24"/>
    <x v="4"/>
    <x v="6"/>
    <x v="3"/>
    <n v="36.200000000000003"/>
    <s v="USD2022/kW-yr"/>
  </r>
  <r>
    <x v="24"/>
    <x v="5"/>
    <x v="6"/>
    <x v="1"/>
    <n v="1603.3"/>
    <s v="USD2022/kW"/>
  </r>
  <r>
    <x v="24"/>
    <x v="5"/>
    <x v="6"/>
    <x v="3"/>
    <n v="36.200000000000003"/>
    <s v="USD2022/kW-yr"/>
  </r>
  <r>
    <x v="24"/>
    <x v="6"/>
    <x v="6"/>
    <x v="1"/>
    <n v="1603.3"/>
    <s v="USD2022/kW"/>
  </r>
  <r>
    <x v="24"/>
    <x v="6"/>
    <x v="6"/>
    <x v="3"/>
    <n v="36.200000000000003"/>
    <s v="USD2022/kW-yr"/>
  </r>
  <r>
    <x v="24"/>
    <x v="7"/>
    <x v="6"/>
    <x v="1"/>
    <n v="1603.3"/>
    <s v="USD2022/kW"/>
  </r>
  <r>
    <x v="24"/>
    <x v="7"/>
    <x v="6"/>
    <x v="3"/>
    <n v="36.200000000000003"/>
    <s v="USD2022/kW-yr"/>
  </r>
  <r>
    <x v="24"/>
    <x v="8"/>
    <x v="6"/>
    <x v="1"/>
    <n v="1603.3"/>
    <s v="USD2022/kW"/>
  </r>
  <r>
    <x v="24"/>
    <x v="8"/>
    <x v="6"/>
    <x v="3"/>
    <n v="36.200000000000003"/>
    <s v="USD2022/kW-yr"/>
  </r>
  <r>
    <x v="24"/>
    <x v="0"/>
    <x v="6"/>
    <x v="2"/>
    <n v="850.9"/>
    <s v="USD2022/kW"/>
  </r>
  <r>
    <x v="24"/>
    <x v="0"/>
    <x v="6"/>
    <x v="3"/>
    <n v="18"/>
    <s v="USD2022/kW-yr"/>
  </r>
  <r>
    <x v="24"/>
    <x v="1"/>
    <x v="6"/>
    <x v="2"/>
    <n v="850.9"/>
    <s v="USD2022/kW"/>
  </r>
  <r>
    <x v="24"/>
    <x v="1"/>
    <x v="6"/>
    <x v="3"/>
    <n v="18"/>
    <s v="USD2022/kW-yr"/>
  </r>
  <r>
    <x v="24"/>
    <x v="2"/>
    <x v="6"/>
    <x v="2"/>
    <n v="850.9"/>
    <s v="USD2022/kW"/>
  </r>
  <r>
    <x v="24"/>
    <x v="2"/>
    <x v="6"/>
    <x v="3"/>
    <n v="18"/>
    <s v="USD2022/kW-yr"/>
  </r>
  <r>
    <x v="24"/>
    <x v="3"/>
    <x v="6"/>
    <x v="2"/>
    <n v="850.9"/>
    <s v="USD2022/kW"/>
  </r>
  <r>
    <x v="24"/>
    <x v="3"/>
    <x v="6"/>
    <x v="3"/>
    <n v="18"/>
    <s v="USD2022/kW-yr"/>
  </r>
  <r>
    <x v="24"/>
    <x v="4"/>
    <x v="6"/>
    <x v="2"/>
    <n v="850.9"/>
    <s v="USD2022/kW"/>
  </r>
  <r>
    <x v="24"/>
    <x v="4"/>
    <x v="6"/>
    <x v="3"/>
    <n v="18"/>
    <s v="USD2022/kW-yr"/>
  </r>
  <r>
    <x v="24"/>
    <x v="5"/>
    <x v="6"/>
    <x v="2"/>
    <n v="850.9"/>
    <s v="USD2022/kW"/>
  </r>
  <r>
    <x v="24"/>
    <x v="5"/>
    <x v="6"/>
    <x v="3"/>
    <n v="18"/>
    <s v="USD2022/kW-yr"/>
  </r>
  <r>
    <x v="24"/>
    <x v="6"/>
    <x v="6"/>
    <x v="2"/>
    <n v="850.9"/>
    <s v="USD2022/kW"/>
  </r>
  <r>
    <x v="24"/>
    <x v="6"/>
    <x v="6"/>
    <x v="3"/>
    <n v="18"/>
    <s v="USD2022/kW-yr"/>
  </r>
  <r>
    <x v="24"/>
    <x v="7"/>
    <x v="6"/>
    <x v="2"/>
    <n v="850.9"/>
    <s v="USD2022/kW"/>
  </r>
  <r>
    <x v="24"/>
    <x v="7"/>
    <x v="6"/>
    <x v="3"/>
    <n v="18"/>
    <s v="USD2022/kW-yr"/>
  </r>
  <r>
    <x v="24"/>
    <x v="8"/>
    <x v="6"/>
    <x v="2"/>
    <n v="850.9"/>
    <s v="USD2022/kW"/>
  </r>
  <r>
    <x v="24"/>
    <x v="8"/>
    <x v="6"/>
    <x v="3"/>
    <n v="18"/>
    <s v="USD2022/kW-yr"/>
  </r>
  <r>
    <x v="24"/>
    <x v="0"/>
    <x v="2"/>
    <x v="0"/>
    <n v="1035.8"/>
    <s v="USD2022/kW"/>
  </r>
  <r>
    <x v="24"/>
    <x v="0"/>
    <x v="2"/>
    <x v="3"/>
    <n v="22.5"/>
    <s v="USD2022/kW-yr"/>
  </r>
  <r>
    <x v="24"/>
    <x v="0"/>
    <x v="2"/>
    <x v="7"/>
    <n v="0.86"/>
    <s v="fraction"/>
  </r>
  <r>
    <x v="24"/>
    <x v="0"/>
    <x v="2"/>
    <x v="5"/>
    <n v="0.13900000000000001"/>
    <s v="USD2022/GJ"/>
  </r>
  <r>
    <x v="24"/>
    <x v="1"/>
    <x v="2"/>
    <x v="0"/>
    <n v="1035.8"/>
    <s v="USD2022/kW"/>
  </r>
  <r>
    <x v="24"/>
    <x v="1"/>
    <x v="2"/>
    <x v="3"/>
    <n v="22.5"/>
    <s v="USD2022/kW-yr"/>
  </r>
  <r>
    <x v="24"/>
    <x v="1"/>
    <x v="2"/>
    <x v="7"/>
    <n v="0.86"/>
    <s v="fraction"/>
  </r>
  <r>
    <x v="24"/>
    <x v="1"/>
    <x v="2"/>
    <x v="5"/>
    <n v="0.13900000000000001"/>
    <s v="USD2022/GJ"/>
  </r>
  <r>
    <x v="24"/>
    <x v="2"/>
    <x v="2"/>
    <x v="0"/>
    <n v="1035.8"/>
    <s v="USD2022/kW"/>
  </r>
  <r>
    <x v="24"/>
    <x v="2"/>
    <x v="2"/>
    <x v="3"/>
    <n v="22.5"/>
    <s v="USD2022/kW-yr"/>
  </r>
  <r>
    <x v="24"/>
    <x v="2"/>
    <x v="2"/>
    <x v="7"/>
    <n v="0.86"/>
    <s v="fraction"/>
  </r>
  <r>
    <x v="24"/>
    <x v="2"/>
    <x v="2"/>
    <x v="5"/>
    <n v="0.13900000000000001"/>
    <s v="USD2022/GJ"/>
  </r>
  <r>
    <x v="24"/>
    <x v="3"/>
    <x v="2"/>
    <x v="0"/>
    <n v="1035.8"/>
    <s v="USD2022/kW"/>
  </r>
  <r>
    <x v="24"/>
    <x v="3"/>
    <x v="2"/>
    <x v="3"/>
    <n v="22.5"/>
    <s v="USD2022/kW-yr"/>
  </r>
  <r>
    <x v="24"/>
    <x v="3"/>
    <x v="2"/>
    <x v="7"/>
    <n v="0.86"/>
    <s v="fraction"/>
  </r>
  <r>
    <x v="24"/>
    <x v="3"/>
    <x v="2"/>
    <x v="5"/>
    <n v="0.13900000000000001"/>
    <s v="USD2022/GJ"/>
  </r>
  <r>
    <x v="24"/>
    <x v="4"/>
    <x v="2"/>
    <x v="0"/>
    <n v="1035.8"/>
    <s v="USD2022/kW"/>
  </r>
  <r>
    <x v="24"/>
    <x v="4"/>
    <x v="2"/>
    <x v="3"/>
    <n v="22.5"/>
    <s v="USD2022/kW-yr"/>
  </r>
  <r>
    <x v="24"/>
    <x v="4"/>
    <x v="2"/>
    <x v="7"/>
    <n v="0.86"/>
    <s v="fraction"/>
  </r>
  <r>
    <x v="24"/>
    <x v="4"/>
    <x v="2"/>
    <x v="5"/>
    <n v="0.13900000000000001"/>
    <s v="USD2022/GJ"/>
  </r>
  <r>
    <x v="24"/>
    <x v="5"/>
    <x v="2"/>
    <x v="0"/>
    <n v="1035.8"/>
    <s v="USD2022/kW"/>
  </r>
  <r>
    <x v="24"/>
    <x v="5"/>
    <x v="2"/>
    <x v="3"/>
    <n v="22.5"/>
    <s v="USD2022/kW-yr"/>
  </r>
  <r>
    <x v="24"/>
    <x v="5"/>
    <x v="2"/>
    <x v="7"/>
    <n v="0.86"/>
    <s v="fraction"/>
  </r>
  <r>
    <x v="24"/>
    <x v="5"/>
    <x v="2"/>
    <x v="5"/>
    <n v="0.13900000000000001"/>
    <s v="USD2022/GJ"/>
  </r>
  <r>
    <x v="24"/>
    <x v="6"/>
    <x v="2"/>
    <x v="0"/>
    <n v="1035.8"/>
    <s v="USD2022/kW"/>
  </r>
  <r>
    <x v="24"/>
    <x v="6"/>
    <x v="2"/>
    <x v="3"/>
    <n v="22.5"/>
    <s v="USD2022/kW-yr"/>
  </r>
  <r>
    <x v="24"/>
    <x v="6"/>
    <x v="2"/>
    <x v="7"/>
    <n v="0.86"/>
    <s v="fraction"/>
  </r>
  <r>
    <x v="24"/>
    <x v="6"/>
    <x v="2"/>
    <x v="5"/>
    <n v="0.13900000000000001"/>
    <s v="USD2022/GJ"/>
  </r>
  <r>
    <x v="24"/>
    <x v="7"/>
    <x v="2"/>
    <x v="0"/>
    <n v="1035.8"/>
    <s v="USD2022/kW"/>
  </r>
  <r>
    <x v="24"/>
    <x v="7"/>
    <x v="2"/>
    <x v="3"/>
    <n v="22.5"/>
    <s v="USD2022/kW-yr"/>
  </r>
  <r>
    <x v="24"/>
    <x v="7"/>
    <x v="2"/>
    <x v="7"/>
    <n v="0.86"/>
    <s v="fraction"/>
  </r>
  <r>
    <x v="24"/>
    <x v="7"/>
    <x v="2"/>
    <x v="5"/>
    <n v="0.13900000000000001"/>
    <s v="USD2022/GJ"/>
  </r>
  <r>
    <x v="24"/>
    <x v="8"/>
    <x v="2"/>
    <x v="0"/>
    <n v="1035.8"/>
    <s v="USD2022/kW"/>
  </r>
  <r>
    <x v="24"/>
    <x v="8"/>
    <x v="2"/>
    <x v="3"/>
    <n v="22.5"/>
    <s v="USD2022/kW-yr"/>
  </r>
  <r>
    <x v="24"/>
    <x v="8"/>
    <x v="2"/>
    <x v="7"/>
    <n v="0.86"/>
    <s v="fraction"/>
  </r>
  <r>
    <x v="24"/>
    <x v="8"/>
    <x v="2"/>
    <x v="5"/>
    <n v="0.13900000000000001"/>
    <s v="USD2022/GJ"/>
  </r>
  <r>
    <x v="24"/>
    <x v="0"/>
    <x v="2"/>
    <x v="1"/>
    <n v="1546.1"/>
    <s v="USD2022/kW"/>
  </r>
  <r>
    <x v="24"/>
    <x v="0"/>
    <x v="2"/>
    <x v="3"/>
    <n v="34.799999999999997"/>
    <s v="USD2022/kW-yr"/>
  </r>
  <r>
    <x v="24"/>
    <x v="1"/>
    <x v="2"/>
    <x v="1"/>
    <n v="1546.1"/>
    <s v="USD2022/kW"/>
  </r>
  <r>
    <x v="24"/>
    <x v="1"/>
    <x v="2"/>
    <x v="3"/>
    <n v="34.799999999999997"/>
    <s v="USD2022/kW-yr"/>
  </r>
  <r>
    <x v="24"/>
    <x v="2"/>
    <x v="2"/>
    <x v="1"/>
    <n v="1546.1"/>
    <s v="USD2022/kW"/>
  </r>
  <r>
    <x v="24"/>
    <x v="2"/>
    <x v="2"/>
    <x v="3"/>
    <n v="34.799999999999997"/>
    <s v="USD2022/kW-yr"/>
  </r>
  <r>
    <x v="24"/>
    <x v="3"/>
    <x v="2"/>
    <x v="1"/>
    <n v="1546.1"/>
    <s v="USD2022/kW"/>
  </r>
  <r>
    <x v="24"/>
    <x v="3"/>
    <x v="2"/>
    <x v="3"/>
    <n v="34.799999999999997"/>
    <s v="USD2022/kW-yr"/>
  </r>
  <r>
    <x v="24"/>
    <x v="4"/>
    <x v="2"/>
    <x v="1"/>
    <n v="1546.1"/>
    <s v="USD2022/kW"/>
  </r>
  <r>
    <x v="24"/>
    <x v="4"/>
    <x v="2"/>
    <x v="3"/>
    <n v="34.799999999999997"/>
    <s v="USD2022/kW-yr"/>
  </r>
  <r>
    <x v="24"/>
    <x v="5"/>
    <x v="2"/>
    <x v="1"/>
    <n v="1546.1"/>
    <s v="USD2022/kW"/>
  </r>
  <r>
    <x v="24"/>
    <x v="5"/>
    <x v="2"/>
    <x v="3"/>
    <n v="34.799999999999997"/>
    <s v="USD2022/kW-yr"/>
  </r>
  <r>
    <x v="24"/>
    <x v="6"/>
    <x v="2"/>
    <x v="1"/>
    <n v="1546.1"/>
    <s v="USD2022/kW"/>
  </r>
  <r>
    <x v="24"/>
    <x v="6"/>
    <x v="2"/>
    <x v="3"/>
    <n v="34.799999999999997"/>
    <s v="USD2022/kW-yr"/>
  </r>
  <r>
    <x v="24"/>
    <x v="7"/>
    <x v="2"/>
    <x v="1"/>
    <n v="1546.1"/>
    <s v="USD2022/kW"/>
  </r>
  <r>
    <x v="24"/>
    <x v="7"/>
    <x v="2"/>
    <x v="3"/>
    <n v="34.799999999999997"/>
    <s v="USD2022/kW-yr"/>
  </r>
  <r>
    <x v="24"/>
    <x v="8"/>
    <x v="2"/>
    <x v="1"/>
    <n v="1546.1"/>
    <s v="USD2022/kW"/>
  </r>
  <r>
    <x v="24"/>
    <x v="8"/>
    <x v="2"/>
    <x v="3"/>
    <n v="34.799999999999997"/>
    <s v="USD2022/kW-yr"/>
  </r>
  <r>
    <x v="24"/>
    <x v="0"/>
    <x v="2"/>
    <x v="2"/>
    <n v="762"/>
    <s v="USD2022/kW"/>
  </r>
  <r>
    <x v="24"/>
    <x v="0"/>
    <x v="2"/>
    <x v="3"/>
    <n v="15.9"/>
    <s v="USD2022/kW-yr"/>
  </r>
  <r>
    <x v="24"/>
    <x v="1"/>
    <x v="2"/>
    <x v="2"/>
    <n v="762"/>
    <s v="USD2022/kW"/>
  </r>
  <r>
    <x v="24"/>
    <x v="1"/>
    <x v="2"/>
    <x v="3"/>
    <n v="15.9"/>
    <s v="USD2022/kW-yr"/>
  </r>
  <r>
    <x v="24"/>
    <x v="2"/>
    <x v="2"/>
    <x v="2"/>
    <n v="762"/>
    <s v="USD2022/kW"/>
  </r>
  <r>
    <x v="24"/>
    <x v="2"/>
    <x v="2"/>
    <x v="3"/>
    <n v="15.9"/>
    <s v="USD2022/kW-yr"/>
  </r>
  <r>
    <x v="24"/>
    <x v="3"/>
    <x v="2"/>
    <x v="2"/>
    <n v="762"/>
    <s v="USD2022/kW"/>
  </r>
  <r>
    <x v="24"/>
    <x v="3"/>
    <x v="2"/>
    <x v="3"/>
    <n v="15.9"/>
    <s v="USD2022/kW-yr"/>
  </r>
  <r>
    <x v="24"/>
    <x v="4"/>
    <x v="2"/>
    <x v="2"/>
    <n v="762"/>
    <s v="USD2022/kW"/>
  </r>
  <r>
    <x v="24"/>
    <x v="4"/>
    <x v="2"/>
    <x v="3"/>
    <n v="15.9"/>
    <s v="USD2022/kW-yr"/>
  </r>
  <r>
    <x v="24"/>
    <x v="5"/>
    <x v="2"/>
    <x v="2"/>
    <n v="762"/>
    <s v="USD2022/kW"/>
  </r>
  <r>
    <x v="24"/>
    <x v="5"/>
    <x v="2"/>
    <x v="3"/>
    <n v="15.9"/>
    <s v="USD2022/kW-yr"/>
  </r>
  <r>
    <x v="24"/>
    <x v="6"/>
    <x v="2"/>
    <x v="2"/>
    <n v="762"/>
    <s v="USD2022/kW"/>
  </r>
  <r>
    <x v="24"/>
    <x v="6"/>
    <x v="2"/>
    <x v="3"/>
    <n v="15.9"/>
    <s v="USD2022/kW-yr"/>
  </r>
  <r>
    <x v="24"/>
    <x v="7"/>
    <x v="2"/>
    <x v="2"/>
    <n v="762"/>
    <s v="USD2022/kW"/>
  </r>
  <r>
    <x v="24"/>
    <x v="7"/>
    <x v="2"/>
    <x v="3"/>
    <n v="15.9"/>
    <s v="USD2022/kW-yr"/>
  </r>
  <r>
    <x v="24"/>
    <x v="8"/>
    <x v="2"/>
    <x v="2"/>
    <n v="762"/>
    <s v="USD2022/kW"/>
  </r>
  <r>
    <x v="24"/>
    <x v="8"/>
    <x v="2"/>
    <x v="3"/>
    <n v="15.9"/>
    <s v="USD2022/kW-yr"/>
  </r>
  <r>
    <x v="25"/>
    <x v="0"/>
    <x v="0"/>
    <x v="0"/>
    <n v="3721.6"/>
    <s v="USD2022/kW"/>
  </r>
  <r>
    <x v="25"/>
    <x v="0"/>
    <x v="0"/>
    <x v="3"/>
    <n v="87.3"/>
    <s v="USD2022/kW-yr"/>
  </r>
  <r>
    <x v="25"/>
    <x v="0"/>
    <x v="0"/>
    <x v="7"/>
    <n v="0.86"/>
    <s v="fraction"/>
  </r>
  <r>
    <x v="25"/>
    <x v="0"/>
    <x v="0"/>
    <x v="5"/>
    <n v="0.13900000000000001"/>
    <s v="USD2022/GJ"/>
  </r>
  <r>
    <x v="25"/>
    <x v="1"/>
    <x v="0"/>
    <x v="0"/>
    <n v="3721.6"/>
    <s v="USD2022/kW"/>
  </r>
  <r>
    <x v="25"/>
    <x v="1"/>
    <x v="0"/>
    <x v="3"/>
    <n v="87.3"/>
    <s v="USD2022/kW-yr"/>
  </r>
  <r>
    <x v="25"/>
    <x v="1"/>
    <x v="0"/>
    <x v="7"/>
    <n v="0.86"/>
    <s v="fraction"/>
  </r>
  <r>
    <x v="25"/>
    <x v="1"/>
    <x v="0"/>
    <x v="5"/>
    <n v="0.13900000000000001"/>
    <s v="USD2022/GJ"/>
  </r>
  <r>
    <x v="25"/>
    <x v="2"/>
    <x v="0"/>
    <x v="0"/>
    <n v="3721.6"/>
    <s v="USD2022/kW"/>
  </r>
  <r>
    <x v="25"/>
    <x v="2"/>
    <x v="0"/>
    <x v="3"/>
    <n v="87.3"/>
    <s v="USD2022/kW-yr"/>
  </r>
  <r>
    <x v="25"/>
    <x v="2"/>
    <x v="0"/>
    <x v="7"/>
    <n v="0.86"/>
    <s v="fraction"/>
  </r>
  <r>
    <x v="25"/>
    <x v="2"/>
    <x v="0"/>
    <x v="5"/>
    <n v="0.13900000000000001"/>
    <s v="USD2022/GJ"/>
  </r>
  <r>
    <x v="25"/>
    <x v="3"/>
    <x v="0"/>
    <x v="0"/>
    <n v="3721.6"/>
    <s v="USD2022/kW"/>
  </r>
  <r>
    <x v="25"/>
    <x v="3"/>
    <x v="0"/>
    <x v="3"/>
    <n v="87.3"/>
    <s v="USD2022/kW-yr"/>
  </r>
  <r>
    <x v="25"/>
    <x v="3"/>
    <x v="0"/>
    <x v="7"/>
    <n v="0.86"/>
    <s v="fraction"/>
  </r>
  <r>
    <x v="25"/>
    <x v="3"/>
    <x v="0"/>
    <x v="5"/>
    <n v="0.13900000000000001"/>
    <s v="USD2022/GJ"/>
  </r>
  <r>
    <x v="25"/>
    <x v="4"/>
    <x v="0"/>
    <x v="0"/>
    <n v="3721.6"/>
    <s v="USD2022/kW"/>
  </r>
  <r>
    <x v="25"/>
    <x v="4"/>
    <x v="0"/>
    <x v="3"/>
    <n v="87.3"/>
    <s v="USD2022/kW-yr"/>
  </r>
  <r>
    <x v="25"/>
    <x v="4"/>
    <x v="0"/>
    <x v="7"/>
    <n v="0.86"/>
    <s v="fraction"/>
  </r>
  <r>
    <x v="25"/>
    <x v="4"/>
    <x v="0"/>
    <x v="5"/>
    <n v="0.13900000000000001"/>
    <s v="USD2022/GJ"/>
  </r>
  <r>
    <x v="25"/>
    <x v="5"/>
    <x v="0"/>
    <x v="0"/>
    <n v="3721.6"/>
    <s v="USD2022/kW"/>
  </r>
  <r>
    <x v="25"/>
    <x v="5"/>
    <x v="0"/>
    <x v="3"/>
    <n v="87.3"/>
    <s v="USD2022/kW-yr"/>
  </r>
  <r>
    <x v="25"/>
    <x v="5"/>
    <x v="0"/>
    <x v="7"/>
    <n v="0.86"/>
    <s v="fraction"/>
  </r>
  <r>
    <x v="25"/>
    <x v="5"/>
    <x v="0"/>
    <x v="5"/>
    <n v="0.13900000000000001"/>
    <s v="USD2022/GJ"/>
  </r>
  <r>
    <x v="25"/>
    <x v="6"/>
    <x v="0"/>
    <x v="0"/>
    <n v="3721.6"/>
    <s v="USD2022/kW"/>
  </r>
  <r>
    <x v="25"/>
    <x v="6"/>
    <x v="0"/>
    <x v="3"/>
    <n v="87.3"/>
    <s v="USD2022/kW-yr"/>
  </r>
  <r>
    <x v="25"/>
    <x v="6"/>
    <x v="0"/>
    <x v="7"/>
    <n v="0.86"/>
    <s v="fraction"/>
  </r>
  <r>
    <x v="25"/>
    <x v="6"/>
    <x v="0"/>
    <x v="5"/>
    <n v="0.13900000000000001"/>
    <s v="USD2022/GJ"/>
  </r>
  <r>
    <x v="25"/>
    <x v="7"/>
    <x v="0"/>
    <x v="0"/>
    <n v="3721.6"/>
    <s v="USD2022/kW"/>
  </r>
  <r>
    <x v="25"/>
    <x v="7"/>
    <x v="0"/>
    <x v="3"/>
    <n v="87.3"/>
    <s v="USD2022/kW-yr"/>
  </r>
  <r>
    <x v="25"/>
    <x v="7"/>
    <x v="0"/>
    <x v="7"/>
    <n v="0.86"/>
    <s v="fraction"/>
  </r>
  <r>
    <x v="25"/>
    <x v="7"/>
    <x v="0"/>
    <x v="5"/>
    <n v="0.13900000000000001"/>
    <s v="USD2022/GJ"/>
  </r>
  <r>
    <x v="25"/>
    <x v="8"/>
    <x v="0"/>
    <x v="0"/>
    <n v="3721.6"/>
    <s v="USD2022/kW"/>
  </r>
  <r>
    <x v="25"/>
    <x v="8"/>
    <x v="0"/>
    <x v="3"/>
    <n v="87.3"/>
    <s v="USD2022/kW-yr"/>
  </r>
  <r>
    <x v="25"/>
    <x v="8"/>
    <x v="0"/>
    <x v="7"/>
    <n v="0.86"/>
    <s v="fraction"/>
  </r>
  <r>
    <x v="25"/>
    <x v="8"/>
    <x v="0"/>
    <x v="5"/>
    <n v="0.13900000000000001"/>
    <s v="USD2022/GJ"/>
  </r>
  <r>
    <x v="25"/>
    <x v="0"/>
    <x v="0"/>
    <x v="1"/>
    <n v="3721.6"/>
    <s v="USD2022/kW"/>
  </r>
  <r>
    <x v="25"/>
    <x v="1"/>
    <x v="0"/>
    <x v="1"/>
    <n v="3721.6"/>
    <s v="USD2022/kW"/>
  </r>
  <r>
    <x v="25"/>
    <x v="2"/>
    <x v="0"/>
    <x v="1"/>
    <n v="3721.6"/>
    <s v="USD2022/kW"/>
  </r>
  <r>
    <x v="25"/>
    <x v="3"/>
    <x v="0"/>
    <x v="1"/>
    <n v="3721.6"/>
    <s v="USD2022/kW"/>
  </r>
  <r>
    <x v="25"/>
    <x v="4"/>
    <x v="0"/>
    <x v="1"/>
    <n v="3721.6"/>
    <s v="USD2022/kW"/>
  </r>
  <r>
    <x v="25"/>
    <x v="5"/>
    <x v="0"/>
    <x v="1"/>
    <n v="3721.6"/>
    <s v="USD2022/kW"/>
  </r>
  <r>
    <x v="25"/>
    <x v="6"/>
    <x v="0"/>
    <x v="1"/>
    <n v="3721.6"/>
    <s v="USD2022/kW"/>
  </r>
  <r>
    <x v="25"/>
    <x v="7"/>
    <x v="0"/>
    <x v="1"/>
    <n v="3721.6"/>
    <s v="USD2022/kW"/>
  </r>
  <r>
    <x v="25"/>
    <x v="8"/>
    <x v="0"/>
    <x v="1"/>
    <n v="3721.6"/>
    <s v="USD2022/kW"/>
  </r>
  <r>
    <x v="25"/>
    <x v="0"/>
    <x v="0"/>
    <x v="2"/>
    <n v="3721.6"/>
    <s v="USD2022/kW"/>
  </r>
  <r>
    <x v="25"/>
    <x v="1"/>
    <x v="0"/>
    <x v="2"/>
    <n v="3721.6"/>
    <s v="USD2022/kW"/>
  </r>
  <r>
    <x v="25"/>
    <x v="2"/>
    <x v="0"/>
    <x v="2"/>
    <n v="3721.6"/>
    <s v="USD2022/kW"/>
  </r>
  <r>
    <x v="25"/>
    <x v="3"/>
    <x v="0"/>
    <x v="2"/>
    <n v="3721.6"/>
    <s v="USD2022/kW"/>
  </r>
  <r>
    <x v="25"/>
    <x v="4"/>
    <x v="0"/>
    <x v="2"/>
    <n v="3721.6"/>
    <s v="USD2022/kW"/>
  </r>
  <r>
    <x v="25"/>
    <x v="5"/>
    <x v="0"/>
    <x v="2"/>
    <n v="3721.6"/>
    <s v="USD2022/kW"/>
  </r>
  <r>
    <x v="25"/>
    <x v="6"/>
    <x v="0"/>
    <x v="2"/>
    <n v="3721.6"/>
    <s v="USD2022/kW"/>
  </r>
  <r>
    <x v="25"/>
    <x v="7"/>
    <x v="0"/>
    <x v="2"/>
    <n v="3721.6"/>
    <s v="USD2022/kW"/>
  </r>
  <r>
    <x v="25"/>
    <x v="8"/>
    <x v="0"/>
    <x v="2"/>
    <n v="3721.6"/>
    <s v="USD2022/kW"/>
  </r>
  <r>
    <x v="25"/>
    <x v="0"/>
    <x v="3"/>
    <x v="0"/>
    <n v="2996.4"/>
    <s v="USD2022/kW"/>
  </r>
  <r>
    <x v="25"/>
    <x v="0"/>
    <x v="3"/>
    <x v="3"/>
    <n v="69.8"/>
    <s v="USD2022/kW-yr"/>
  </r>
  <r>
    <x v="25"/>
    <x v="0"/>
    <x v="3"/>
    <x v="7"/>
    <n v="0.86"/>
    <s v="fraction"/>
  </r>
  <r>
    <x v="25"/>
    <x v="0"/>
    <x v="3"/>
    <x v="5"/>
    <n v="0.13900000000000001"/>
    <s v="USD2022/GJ"/>
  </r>
  <r>
    <x v="25"/>
    <x v="1"/>
    <x v="3"/>
    <x v="0"/>
    <n v="2996.4"/>
    <s v="USD2022/kW"/>
  </r>
  <r>
    <x v="25"/>
    <x v="1"/>
    <x v="3"/>
    <x v="3"/>
    <n v="69.8"/>
    <s v="USD2022/kW-yr"/>
  </r>
  <r>
    <x v="25"/>
    <x v="1"/>
    <x v="3"/>
    <x v="7"/>
    <n v="0.86"/>
    <s v="fraction"/>
  </r>
  <r>
    <x v="25"/>
    <x v="1"/>
    <x v="3"/>
    <x v="5"/>
    <n v="0.13900000000000001"/>
    <s v="USD2022/GJ"/>
  </r>
  <r>
    <x v="25"/>
    <x v="2"/>
    <x v="3"/>
    <x v="0"/>
    <n v="2996.4"/>
    <s v="USD2022/kW"/>
  </r>
  <r>
    <x v="25"/>
    <x v="2"/>
    <x v="3"/>
    <x v="3"/>
    <n v="69.8"/>
    <s v="USD2022/kW-yr"/>
  </r>
  <r>
    <x v="25"/>
    <x v="2"/>
    <x v="3"/>
    <x v="7"/>
    <n v="0.86"/>
    <s v="fraction"/>
  </r>
  <r>
    <x v="25"/>
    <x v="2"/>
    <x v="3"/>
    <x v="5"/>
    <n v="0.13900000000000001"/>
    <s v="USD2022/GJ"/>
  </r>
  <r>
    <x v="25"/>
    <x v="3"/>
    <x v="3"/>
    <x v="0"/>
    <n v="2996.4"/>
    <s v="USD2022/kW"/>
  </r>
  <r>
    <x v="25"/>
    <x v="3"/>
    <x v="3"/>
    <x v="3"/>
    <n v="69.8"/>
    <s v="USD2022/kW-yr"/>
  </r>
  <r>
    <x v="25"/>
    <x v="3"/>
    <x v="3"/>
    <x v="7"/>
    <n v="0.86"/>
    <s v="fraction"/>
  </r>
  <r>
    <x v="25"/>
    <x v="3"/>
    <x v="3"/>
    <x v="5"/>
    <n v="0.13900000000000001"/>
    <s v="USD2022/GJ"/>
  </r>
  <r>
    <x v="25"/>
    <x v="4"/>
    <x v="3"/>
    <x v="0"/>
    <n v="2996.4"/>
    <s v="USD2022/kW"/>
  </r>
  <r>
    <x v="25"/>
    <x v="4"/>
    <x v="3"/>
    <x v="3"/>
    <n v="69.8"/>
    <s v="USD2022/kW-yr"/>
  </r>
  <r>
    <x v="25"/>
    <x v="4"/>
    <x v="3"/>
    <x v="7"/>
    <n v="0.86"/>
    <s v="fraction"/>
  </r>
  <r>
    <x v="25"/>
    <x v="4"/>
    <x v="3"/>
    <x v="5"/>
    <n v="0.13900000000000001"/>
    <s v="USD2022/GJ"/>
  </r>
  <r>
    <x v="25"/>
    <x v="5"/>
    <x v="3"/>
    <x v="0"/>
    <n v="2996.4"/>
    <s v="USD2022/kW"/>
  </r>
  <r>
    <x v="25"/>
    <x v="5"/>
    <x v="3"/>
    <x v="3"/>
    <n v="69.8"/>
    <s v="USD2022/kW-yr"/>
  </r>
  <r>
    <x v="25"/>
    <x v="5"/>
    <x v="3"/>
    <x v="7"/>
    <n v="0.86"/>
    <s v="fraction"/>
  </r>
  <r>
    <x v="25"/>
    <x v="5"/>
    <x v="3"/>
    <x v="5"/>
    <n v="0.13900000000000001"/>
    <s v="USD2022/GJ"/>
  </r>
  <r>
    <x v="25"/>
    <x v="6"/>
    <x v="3"/>
    <x v="0"/>
    <n v="2996.4"/>
    <s v="USD2022/kW"/>
  </r>
  <r>
    <x v="25"/>
    <x v="6"/>
    <x v="3"/>
    <x v="3"/>
    <n v="69.8"/>
    <s v="USD2022/kW-yr"/>
  </r>
  <r>
    <x v="25"/>
    <x v="6"/>
    <x v="3"/>
    <x v="7"/>
    <n v="0.86"/>
    <s v="fraction"/>
  </r>
  <r>
    <x v="25"/>
    <x v="6"/>
    <x v="3"/>
    <x v="5"/>
    <n v="0.13900000000000001"/>
    <s v="USD2022/GJ"/>
  </r>
  <r>
    <x v="25"/>
    <x v="7"/>
    <x v="3"/>
    <x v="0"/>
    <n v="2996.4"/>
    <s v="USD2022/kW"/>
  </r>
  <r>
    <x v="25"/>
    <x v="7"/>
    <x v="3"/>
    <x v="3"/>
    <n v="69.8"/>
    <s v="USD2022/kW-yr"/>
  </r>
  <r>
    <x v="25"/>
    <x v="7"/>
    <x v="3"/>
    <x v="7"/>
    <n v="0.86"/>
    <s v="fraction"/>
  </r>
  <r>
    <x v="25"/>
    <x v="7"/>
    <x v="3"/>
    <x v="5"/>
    <n v="0.13900000000000001"/>
    <s v="USD2022/GJ"/>
  </r>
  <r>
    <x v="25"/>
    <x v="8"/>
    <x v="3"/>
    <x v="0"/>
    <n v="2996.4"/>
    <s v="USD2022/kW"/>
  </r>
  <r>
    <x v="25"/>
    <x v="8"/>
    <x v="3"/>
    <x v="3"/>
    <n v="69.8"/>
    <s v="USD2022/kW-yr"/>
  </r>
  <r>
    <x v="25"/>
    <x v="8"/>
    <x v="3"/>
    <x v="7"/>
    <n v="0.86"/>
    <s v="fraction"/>
  </r>
  <r>
    <x v="25"/>
    <x v="8"/>
    <x v="3"/>
    <x v="5"/>
    <n v="0.13900000000000001"/>
    <s v="USD2022/GJ"/>
  </r>
  <r>
    <x v="25"/>
    <x v="0"/>
    <x v="3"/>
    <x v="1"/>
    <n v="3828"/>
    <s v="USD2022/kW"/>
  </r>
  <r>
    <x v="25"/>
    <x v="0"/>
    <x v="3"/>
    <x v="3"/>
    <n v="89.8"/>
    <s v="USD2022/kW-yr"/>
  </r>
  <r>
    <x v="25"/>
    <x v="1"/>
    <x v="3"/>
    <x v="1"/>
    <n v="3828"/>
    <s v="USD2022/kW"/>
  </r>
  <r>
    <x v="25"/>
    <x v="1"/>
    <x v="3"/>
    <x v="3"/>
    <n v="89.8"/>
    <s v="USD2022/kW-yr"/>
  </r>
  <r>
    <x v="25"/>
    <x v="2"/>
    <x v="3"/>
    <x v="1"/>
    <n v="3828"/>
    <s v="USD2022/kW"/>
  </r>
  <r>
    <x v="25"/>
    <x v="2"/>
    <x v="3"/>
    <x v="3"/>
    <n v="89.8"/>
    <s v="USD2022/kW-yr"/>
  </r>
  <r>
    <x v="25"/>
    <x v="3"/>
    <x v="3"/>
    <x v="1"/>
    <n v="3828"/>
    <s v="USD2022/kW"/>
  </r>
  <r>
    <x v="25"/>
    <x v="3"/>
    <x v="3"/>
    <x v="3"/>
    <n v="89.8"/>
    <s v="USD2022/kW-yr"/>
  </r>
  <r>
    <x v="25"/>
    <x v="4"/>
    <x v="3"/>
    <x v="1"/>
    <n v="3828"/>
    <s v="USD2022/kW"/>
  </r>
  <r>
    <x v="25"/>
    <x v="4"/>
    <x v="3"/>
    <x v="3"/>
    <n v="89.8"/>
    <s v="USD2022/kW-yr"/>
  </r>
  <r>
    <x v="25"/>
    <x v="5"/>
    <x v="3"/>
    <x v="1"/>
    <n v="3828"/>
    <s v="USD2022/kW"/>
  </r>
  <r>
    <x v="25"/>
    <x v="5"/>
    <x v="3"/>
    <x v="3"/>
    <n v="89.8"/>
    <s v="USD2022/kW-yr"/>
  </r>
  <r>
    <x v="25"/>
    <x v="6"/>
    <x v="3"/>
    <x v="1"/>
    <n v="3828"/>
    <s v="USD2022/kW"/>
  </r>
  <r>
    <x v="25"/>
    <x v="6"/>
    <x v="3"/>
    <x v="3"/>
    <n v="89.8"/>
    <s v="USD2022/kW-yr"/>
  </r>
  <r>
    <x v="25"/>
    <x v="7"/>
    <x v="3"/>
    <x v="1"/>
    <n v="3828"/>
    <s v="USD2022/kW"/>
  </r>
  <r>
    <x v="25"/>
    <x v="7"/>
    <x v="3"/>
    <x v="3"/>
    <n v="89.8"/>
    <s v="USD2022/kW-yr"/>
  </r>
  <r>
    <x v="25"/>
    <x v="8"/>
    <x v="3"/>
    <x v="1"/>
    <n v="3828"/>
    <s v="USD2022/kW"/>
  </r>
  <r>
    <x v="25"/>
    <x v="8"/>
    <x v="3"/>
    <x v="3"/>
    <n v="89.8"/>
    <s v="USD2022/kW-yr"/>
  </r>
  <r>
    <x v="25"/>
    <x v="0"/>
    <x v="3"/>
    <x v="2"/>
    <n v="2436.3000000000002"/>
    <s v="USD2022/kW"/>
  </r>
  <r>
    <x v="25"/>
    <x v="0"/>
    <x v="3"/>
    <x v="3"/>
    <n v="56.3"/>
    <s v="USD2022/kW-yr"/>
  </r>
  <r>
    <x v="25"/>
    <x v="1"/>
    <x v="3"/>
    <x v="2"/>
    <n v="2436.3000000000002"/>
    <s v="USD2022/kW"/>
  </r>
  <r>
    <x v="25"/>
    <x v="1"/>
    <x v="3"/>
    <x v="3"/>
    <n v="56.3"/>
    <s v="USD2022/kW-yr"/>
  </r>
  <r>
    <x v="25"/>
    <x v="2"/>
    <x v="3"/>
    <x v="2"/>
    <n v="2436.3000000000002"/>
    <s v="USD2022/kW"/>
  </r>
  <r>
    <x v="25"/>
    <x v="2"/>
    <x v="3"/>
    <x v="3"/>
    <n v="56.3"/>
    <s v="USD2022/kW-yr"/>
  </r>
  <r>
    <x v="25"/>
    <x v="3"/>
    <x v="3"/>
    <x v="2"/>
    <n v="2436.3000000000002"/>
    <s v="USD2022/kW"/>
  </r>
  <r>
    <x v="25"/>
    <x v="3"/>
    <x v="3"/>
    <x v="3"/>
    <n v="56.3"/>
    <s v="USD2022/kW-yr"/>
  </r>
  <r>
    <x v="25"/>
    <x v="4"/>
    <x v="3"/>
    <x v="2"/>
    <n v="2436.3000000000002"/>
    <s v="USD2022/kW"/>
  </r>
  <r>
    <x v="25"/>
    <x v="4"/>
    <x v="3"/>
    <x v="3"/>
    <n v="56.3"/>
    <s v="USD2022/kW-yr"/>
  </r>
  <r>
    <x v="25"/>
    <x v="5"/>
    <x v="3"/>
    <x v="2"/>
    <n v="2436.3000000000002"/>
    <s v="USD2022/kW"/>
  </r>
  <r>
    <x v="25"/>
    <x v="5"/>
    <x v="3"/>
    <x v="3"/>
    <n v="56.3"/>
    <s v="USD2022/kW-yr"/>
  </r>
  <r>
    <x v="25"/>
    <x v="6"/>
    <x v="3"/>
    <x v="2"/>
    <n v="2436.3000000000002"/>
    <s v="USD2022/kW"/>
  </r>
  <r>
    <x v="25"/>
    <x v="6"/>
    <x v="3"/>
    <x v="3"/>
    <n v="56.3"/>
    <s v="USD2022/kW-yr"/>
  </r>
  <r>
    <x v="25"/>
    <x v="7"/>
    <x v="3"/>
    <x v="2"/>
    <n v="2436.3000000000002"/>
    <s v="USD2022/kW"/>
  </r>
  <r>
    <x v="25"/>
    <x v="7"/>
    <x v="3"/>
    <x v="3"/>
    <n v="56.3"/>
    <s v="USD2022/kW-yr"/>
  </r>
  <r>
    <x v="25"/>
    <x v="8"/>
    <x v="3"/>
    <x v="2"/>
    <n v="2436.3000000000002"/>
    <s v="USD2022/kW"/>
  </r>
  <r>
    <x v="25"/>
    <x v="8"/>
    <x v="3"/>
    <x v="3"/>
    <n v="56.3"/>
    <s v="USD2022/kW-yr"/>
  </r>
  <r>
    <x v="25"/>
    <x v="0"/>
    <x v="1"/>
    <x v="0"/>
    <n v="2470"/>
    <s v="USD2022/kW"/>
  </r>
  <r>
    <x v="25"/>
    <x v="0"/>
    <x v="1"/>
    <x v="3"/>
    <n v="57.1"/>
    <s v="USD2022/kW-yr"/>
  </r>
  <r>
    <x v="25"/>
    <x v="0"/>
    <x v="1"/>
    <x v="7"/>
    <n v="0.86"/>
    <s v="fraction"/>
  </r>
  <r>
    <x v="25"/>
    <x v="0"/>
    <x v="1"/>
    <x v="5"/>
    <n v="0.13900000000000001"/>
    <s v="USD2022/GJ"/>
  </r>
  <r>
    <x v="25"/>
    <x v="1"/>
    <x v="1"/>
    <x v="0"/>
    <n v="2470"/>
    <s v="USD2022/kW"/>
  </r>
  <r>
    <x v="25"/>
    <x v="1"/>
    <x v="1"/>
    <x v="3"/>
    <n v="57.1"/>
    <s v="USD2022/kW-yr"/>
  </r>
  <r>
    <x v="25"/>
    <x v="1"/>
    <x v="1"/>
    <x v="7"/>
    <n v="0.86"/>
    <s v="fraction"/>
  </r>
  <r>
    <x v="25"/>
    <x v="1"/>
    <x v="1"/>
    <x v="5"/>
    <n v="0.13900000000000001"/>
    <s v="USD2022/GJ"/>
  </r>
  <r>
    <x v="25"/>
    <x v="2"/>
    <x v="1"/>
    <x v="0"/>
    <n v="2470"/>
    <s v="USD2022/kW"/>
  </r>
  <r>
    <x v="25"/>
    <x v="2"/>
    <x v="1"/>
    <x v="3"/>
    <n v="57.1"/>
    <s v="USD2022/kW-yr"/>
  </r>
  <r>
    <x v="25"/>
    <x v="2"/>
    <x v="1"/>
    <x v="7"/>
    <n v="0.86"/>
    <s v="fraction"/>
  </r>
  <r>
    <x v="25"/>
    <x v="2"/>
    <x v="1"/>
    <x v="5"/>
    <n v="0.13900000000000001"/>
    <s v="USD2022/GJ"/>
  </r>
  <r>
    <x v="25"/>
    <x v="3"/>
    <x v="1"/>
    <x v="0"/>
    <n v="2470"/>
    <s v="USD2022/kW"/>
  </r>
  <r>
    <x v="25"/>
    <x v="3"/>
    <x v="1"/>
    <x v="3"/>
    <n v="57.1"/>
    <s v="USD2022/kW-yr"/>
  </r>
  <r>
    <x v="25"/>
    <x v="3"/>
    <x v="1"/>
    <x v="7"/>
    <n v="0.86"/>
    <s v="fraction"/>
  </r>
  <r>
    <x v="25"/>
    <x v="3"/>
    <x v="1"/>
    <x v="5"/>
    <n v="0.13900000000000001"/>
    <s v="USD2022/GJ"/>
  </r>
  <r>
    <x v="25"/>
    <x v="4"/>
    <x v="1"/>
    <x v="0"/>
    <n v="2470"/>
    <s v="USD2022/kW"/>
  </r>
  <r>
    <x v="25"/>
    <x v="4"/>
    <x v="1"/>
    <x v="3"/>
    <n v="57.1"/>
    <s v="USD2022/kW-yr"/>
  </r>
  <r>
    <x v="25"/>
    <x v="4"/>
    <x v="1"/>
    <x v="7"/>
    <n v="0.86"/>
    <s v="fraction"/>
  </r>
  <r>
    <x v="25"/>
    <x v="4"/>
    <x v="1"/>
    <x v="5"/>
    <n v="0.13900000000000001"/>
    <s v="USD2022/GJ"/>
  </r>
  <r>
    <x v="25"/>
    <x v="5"/>
    <x v="1"/>
    <x v="0"/>
    <n v="2470"/>
    <s v="USD2022/kW"/>
  </r>
  <r>
    <x v="25"/>
    <x v="5"/>
    <x v="1"/>
    <x v="3"/>
    <n v="57.1"/>
    <s v="USD2022/kW-yr"/>
  </r>
  <r>
    <x v="25"/>
    <x v="5"/>
    <x v="1"/>
    <x v="7"/>
    <n v="0.86"/>
    <s v="fraction"/>
  </r>
  <r>
    <x v="25"/>
    <x v="5"/>
    <x v="1"/>
    <x v="5"/>
    <n v="0.13900000000000001"/>
    <s v="USD2022/GJ"/>
  </r>
  <r>
    <x v="25"/>
    <x v="6"/>
    <x v="1"/>
    <x v="0"/>
    <n v="2470"/>
    <s v="USD2022/kW"/>
  </r>
  <r>
    <x v="25"/>
    <x v="6"/>
    <x v="1"/>
    <x v="3"/>
    <n v="57.1"/>
    <s v="USD2022/kW-yr"/>
  </r>
  <r>
    <x v="25"/>
    <x v="6"/>
    <x v="1"/>
    <x v="7"/>
    <n v="0.86"/>
    <s v="fraction"/>
  </r>
  <r>
    <x v="25"/>
    <x v="6"/>
    <x v="1"/>
    <x v="5"/>
    <n v="0.13900000000000001"/>
    <s v="USD2022/GJ"/>
  </r>
  <r>
    <x v="25"/>
    <x v="7"/>
    <x v="1"/>
    <x v="0"/>
    <n v="2470"/>
    <s v="USD2022/kW"/>
  </r>
  <r>
    <x v="25"/>
    <x v="7"/>
    <x v="1"/>
    <x v="3"/>
    <n v="57.1"/>
    <s v="USD2022/kW-yr"/>
  </r>
  <r>
    <x v="25"/>
    <x v="7"/>
    <x v="1"/>
    <x v="7"/>
    <n v="0.86"/>
    <s v="fraction"/>
  </r>
  <r>
    <x v="25"/>
    <x v="7"/>
    <x v="1"/>
    <x v="5"/>
    <n v="0.13900000000000001"/>
    <s v="USD2022/GJ"/>
  </r>
  <r>
    <x v="25"/>
    <x v="8"/>
    <x v="1"/>
    <x v="0"/>
    <n v="2470"/>
    <s v="USD2022/kW"/>
  </r>
  <r>
    <x v="25"/>
    <x v="8"/>
    <x v="1"/>
    <x v="3"/>
    <n v="57.1"/>
    <s v="USD2022/kW-yr"/>
  </r>
  <r>
    <x v="25"/>
    <x v="8"/>
    <x v="1"/>
    <x v="7"/>
    <n v="0.86"/>
    <s v="fraction"/>
  </r>
  <r>
    <x v="25"/>
    <x v="8"/>
    <x v="1"/>
    <x v="5"/>
    <n v="0.13900000000000001"/>
    <s v="USD2022/GJ"/>
  </r>
  <r>
    <x v="25"/>
    <x v="0"/>
    <x v="1"/>
    <x v="1"/>
    <n v="3095.8"/>
    <s v="USD2022/kW"/>
  </r>
  <r>
    <x v="25"/>
    <x v="0"/>
    <x v="1"/>
    <x v="3"/>
    <n v="72.2"/>
    <s v="USD2022/kW-yr"/>
  </r>
  <r>
    <x v="25"/>
    <x v="1"/>
    <x v="1"/>
    <x v="1"/>
    <n v="3095.8"/>
    <s v="USD2022/kW"/>
  </r>
  <r>
    <x v="25"/>
    <x v="1"/>
    <x v="1"/>
    <x v="3"/>
    <n v="72.2"/>
    <s v="USD2022/kW-yr"/>
  </r>
  <r>
    <x v="25"/>
    <x v="2"/>
    <x v="1"/>
    <x v="1"/>
    <n v="3095.8"/>
    <s v="USD2022/kW"/>
  </r>
  <r>
    <x v="25"/>
    <x v="2"/>
    <x v="1"/>
    <x v="3"/>
    <n v="72.2"/>
    <s v="USD2022/kW-yr"/>
  </r>
  <r>
    <x v="25"/>
    <x v="3"/>
    <x v="1"/>
    <x v="1"/>
    <n v="3095.8"/>
    <s v="USD2022/kW"/>
  </r>
  <r>
    <x v="25"/>
    <x v="3"/>
    <x v="1"/>
    <x v="3"/>
    <n v="72.2"/>
    <s v="USD2022/kW-yr"/>
  </r>
  <r>
    <x v="25"/>
    <x v="4"/>
    <x v="1"/>
    <x v="1"/>
    <n v="3095.8"/>
    <s v="USD2022/kW"/>
  </r>
  <r>
    <x v="25"/>
    <x v="4"/>
    <x v="1"/>
    <x v="3"/>
    <n v="72.2"/>
    <s v="USD2022/kW-yr"/>
  </r>
  <r>
    <x v="25"/>
    <x v="5"/>
    <x v="1"/>
    <x v="1"/>
    <n v="3095.8"/>
    <s v="USD2022/kW"/>
  </r>
  <r>
    <x v="25"/>
    <x v="5"/>
    <x v="1"/>
    <x v="3"/>
    <n v="72.2"/>
    <s v="USD2022/kW-yr"/>
  </r>
  <r>
    <x v="25"/>
    <x v="6"/>
    <x v="1"/>
    <x v="1"/>
    <n v="3095.8"/>
    <s v="USD2022/kW"/>
  </r>
  <r>
    <x v="25"/>
    <x v="6"/>
    <x v="1"/>
    <x v="3"/>
    <n v="72.2"/>
    <s v="USD2022/kW-yr"/>
  </r>
  <r>
    <x v="25"/>
    <x v="7"/>
    <x v="1"/>
    <x v="1"/>
    <n v="3095.8"/>
    <s v="USD2022/kW"/>
  </r>
  <r>
    <x v="25"/>
    <x v="7"/>
    <x v="1"/>
    <x v="3"/>
    <n v="72.2"/>
    <s v="USD2022/kW-yr"/>
  </r>
  <r>
    <x v="25"/>
    <x v="8"/>
    <x v="1"/>
    <x v="1"/>
    <n v="3095.8"/>
    <s v="USD2022/kW"/>
  </r>
  <r>
    <x v="25"/>
    <x v="8"/>
    <x v="1"/>
    <x v="3"/>
    <n v="72.2"/>
    <s v="USD2022/kW-yr"/>
  </r>
  <r>
    <x v="25"/>
    <x v="0"/>
    <x v="1"/>
    <x v="2"/>
    <n v="1940.6"/>
    <s v="USD2022/kW"/>
  </r>
  <r>
    <x v="25"/>
    <x v="0"/>
    <x v="1"/>
    <x v="3"/>
    <n v="44.3"/>
    <s v="USD2022/kW-yr"/>
  </r>
  <r>
    <x v="25"/>
    <x v="1"/>
    <x v="1"/>
    <x v="2"/>
    <n v="1940.6"/>
    <s v="USD2022/kW"/>
  </r>
  <r>
    <x v="25"/>
    <x v="1"/>
    <x v="1"/>
    <x v="3"/>
    <n v="44.3"/>
    <s v="USD2022/kW-yr"/>
  </r>
  <r>
    <x v="25"/>
    <x v="2"/>
    <x v="1"/>
    <x v="2"/>
    <n v="1940.6"/>
    <s v="USD2022/kW"/>
  </r>
  <r>
    <x v="25"/>
    <x v="2"/>
    <x v="1"/>
    <x v="3"/>
    <n v="44.3"/>
    <s v="USD2022/kW-yr"/>
  </r>
  <r>
    <x v="25"/>
    <x v="3"/>
    <x v="1"/>
    <x v="2"/>
    <n v="1940.6"/>
    <s v="USD2022/kW"/>
  </r>
  <r>
    <x v="25"/>
    <x v="3"/>
    <x v="1"/>
    <x v="3"/>
    <n v="44.3"/>
    <s v="USD2022/kW-yr"/>
  </r>
  <r>
    <x v="25"/>
    <x v="4"/>
    <x v="1"/>
    <x v="2"/>
    <n v="1940.6"/>
    <s v="USD2022/kW"/>
  </r>
  <r>
    <x v="25"/>
    <x v="4"/>
    <x v="1"/>
    <x v="3"/>
    <n v="44.3"/>
    <s v="USD2022/kW-yr"/>
  </r>
  <r>
    <x v="25"/>
    <x v="5"/>
    <x v="1"/>
    <x v="2"/>
    <n v="1940.6"/>
    <s v="USD2022/kW"/>
  </r>
  <r>
    <x v="25"/>
    <x v="5"/>
    <x v="1"/>
    <x v="3"/>
    <n v="44.3"/>
    <s v="USD2022/kW-yr"/>
  </r>
  <r>
    <x v="25"/>
    <x v="6"/>
    <x v="1"/>
    <x v="2"/>
    <n v="1940.6"/>
    <s v="USD2022/kW"/>
  </r>
  <r>
    <x v="25"/>
    <x v="6"/>
    <x v="1"/>
    <x v="3"/>
    <n v="44.3"/>
    <s v="USD2022/kW-yr"/>
  </r>
  <r>
    <x v="25"/>
    <x v="7"/>
    <x v="1"/>
    <x v="2"/>
    <n v="1940.6"/>
    <s v="USD2022/kW"/>
  </r>
  <r>
    <x v="25"/>
    <x v="7"/>
    <x v="1"/>
    <x v="3"/>
    <n v="44.3"/>
    <s v="USD2022/kW-yr"/>
  </r>
  <r>
    <x v="25"/>
    <x v="8"/>
    <x v="1"/>
    <x v="2"/>
    <n v="1940.6"/>
    <s v="USD2022/kW"/>
  </r>
  <r>
    <x v="25"/>
    <x v="8"/>
    <x v="1"/>
    <x v="3"/>
    <n v="44.3"/>
    <s v="USD2022/kW-yr"/>
  </r>
  <r>
    <x v="25"/>
    <x v="0"/>
    <x v="4"/>
    <x v="0"/>
    <n v="2273.5"/>
    <s v="USD2022/kW"/>
  </r>
  <r>
    <x v="25"/>
    <x v="0"/>
    <x v="4"/>
    <x v="3"/>
    <n v="52.3"/>
    <s v="USD2022/kW-yr"/>
  </r>
  <r>
    <x v="25"/>
    <x v="0"/>
    <x v="4"/>
    <x v="7"/>
    <n v="0.86"/>
    <s v="fraction"/>
  </r>
  <r>
    <x v="25"/>
    <x v="0"/>
    <x v="4"/>
    <x v="5"/>
    <n v="0.13900000000000001"/>
    <s v="USD2022/GJ"/>
  </r>
  <r>
    <x v="25"/>
    <x v="1"/>
    <x v="4"/>
    <x v="0"/>
    <n v="2273.5"/>
    <s v="USD2022/kW"/>
  </r>
  <r>
    <x v="25"/>
    <x v="1"/>
    <x v="4"/>
    <x v="3"/>
    <n v="52.3"/>
    <s v="USD2022/kW-yr"/>
  </r>
  <r>
    <x v="25"/>
    <x v="1"/>
    <x v="4"/>
    <x v="7"/>
    <n v="0.86"/>
    <s v="fraction"/>
  </r>
  <r>
    <x v="25"/>
    <x v="1"/>
    <x v="4"/>
    <x v="5"/>
    <n v="0.13900000000000001"/>
    <s v="USD2022/GJ"/>
  </r>
  <r>
    <x v="25"/>
    <x v="2"/>
    <x v="4"/>
    <x v="0"/>
    <n v="2273.5"/>
    <s v="USD2022/kW"/>
  </r>
  <r>
    <x v="25"/>
    <x v="2"/>
    <x v="4"/>
    <x v="3"/>
    <n v="52.3"/>
    <s v="USD2022/kW-yr"/>
  </r>
  <r>
    <x v="25"/>
    <x v="2"/>
    <x v="4"/>
    <x v="7"/>
    <n v="0.86"/>
    <s v="fraction"/>
  </r>
  <r>
    <x v="25"/>
    <x v="2"/>
    <x v="4"/>
    <x v="5"/>
    <n v="0.13900000000000001"/>
    <s v="USD2022/GJ"/>
  </r>
  <r>
    <x v="25"/>
    <x v="3"/>
    <x v="4"/>
    <x v="0"/>
    <n v="2273.5"/>
    <s v="USD2022/kW"/>
  </r>
  <r>
    <x v="25"/>
    <x v="3"/>
    <x v="4"/>
    <x v="3"/>
    <n v="52.3"/>
    <s v="USD2022/kW-yr"/>
  </r>
  <r>
    <x v="25"/>
    <x v="3"/>
    <x v="4"/>
    <x v="7"/>
    <n v="0.86"/>
    <s v="fraction"/>
  </r>
  <r>
    <x v="25"/>
    <x v="3"/>
    <x v="4"/>
    <x v="5"/>
    <n v="0.13900000000000001"/>
    <s v="USD2022/GJ"/>
  </r>
  <r>
    <x v="25"/>
    <x v="4"/>
    <x v="4"/>
    <x v="0"/>
    <n v="2273.5"/>
    <s v="USD2022/kW"/>
  </r>
  <r>
    <x v="25"/>
    <x v="4"/>
    <x v="4"/>
    <x v="3"/>
    <n v="52.3"/>
    <s v="USD2022/kW-yr"/>
  </r>
  <r>
    <x v="25"/>
    <x v="4"/>
    <x v="4"/>
    <x v="7"/>
    <n v="0.86"/>
    <s v="fraction"/>
  </r>
  <r>
    <x v="25"/>
    <x v="4"/>
    <x v="4"/>
    <x v="5"/>
    <n v="0.13900000000000001"/>
    <s v="USD2022/GJ"/>
  </r>
  <r>
    <x v="25"/>
    <x v="5"/>
    <x v="4"/>
    <x v="0"/>
    <n v="2273.5"/>
    <s v="USD2022/kW"/>
  </r>
  <r>
    <x v="25"/>
    <x v="5"/>
    <x v="4"/>
    <x v="3"/>
    <n v="52.3"/>
    <s v="USD2022/kW-yr"/>
  </r>
  <r>
    <x v="25"/>
    <x v="5"/>
    <x v="4"/>
    <x v="7"/>
    <n v="0.86"/>
    <s v="fraction"/>
  </r>
  <r>
    <x v="25"/>
    <x v="5"/>
    <x v="4"/>
    <x v="5"/>
    <n v="0.13900000000000001"/>
    <s v="USD2022/GJ"/>
  </r>
  <r>
    <x v="25"/>
    <x v="6"/>
    <x v="4"/>
    <x v="0"/>
    <n v="2273.5"/>
    <s v="USD2022/kW"/>
  </r>
  <r>
    <x v="25"/>
    <x v="6"/>
    <x v="4"/>
    <x v="3"/>
    <n v="52.3"/>
    <s v="USD2022/kW-yr"/>
  </r>
  <r>
    <x v="25"/>
    <x v="6"/>
    <x v="4"/>
    <x v="7"/>
    <n v="0.86"/>
    <s v="fraction"/>
  </r>
  <r>
    <x v="25"/>
    <x v="6"/>
    <x v="4"/>
    <x v="5"/>
    <n v="0.13900000000000001"/>
    <s v="USD2022/GJ"/>
  </r>
  <r>
    <x v="25"/>
    <x v="7"/>
    <x v="4"/>
    <x v="0"/>
    <n v="2273.5"/>
    <s v="USD2022/kW"/>
  </r>
  <r>
    <x v="25"/>
    <x v="7"/>
    <x v="4"/>
    <x v="3"/>
    <n v="52.3"/>
    <s v="USD2022/kW-yr"/>
  </r>
  <r>
    <x v="25"/>
    <x v="7"/>
    <x v="4"/>
    <x v="7"/>
    <n v="0.86"/>
    <s v="fraction"/>
  </r>
  <r>
    <x v="25"/>
    <x v="7"/>
    <x v="4"/>
    <x v="5"/>
    <n v="0.13900000000000001"/>
    <s v="USD2022/GJ"/>
  </r>
  <r>
    <x v="25"/>
    <x v="8"/>
    <x v="4"/>
    <x v="0"/>
    <n v="2273.5"/>
    <s v="USD2022/kW"/>
  </r>
  <r>
    <x v="25"/>
    <x v="8"/>
    <x v="4"/>
    <x v="3"/>
    <n v="52.3"/>
    <s v="USD2022/kW-yr"/>
  </r>
  <r>
    <x v="25"/>
    <x v="8"/>
    <x v="4"/>
    <x v="7"/>
    <n v="0.86"/>
    <s v="fraction"/>
  </r>
  <r>
    <x v="25"/>
    <x v="8"/>
    <x v="4"/>
    <x v="5"/>
    <n v="0.13900000000000001"/>
    <s v="USD2022/GJ"/>
  </r>
  <r>
    <x v="25"/>
    <x v="0"/>
    <x v="4"/>
    <x v="1"/>
    <n v="2993.4"/>
    <s v="USD2022/kW"/>
  </r>
  <r>
    <x v="25"/>
    <x v="0"/>
    <x v="4"/>
    <x v="3"/>
    <n v="69.7"/>
    <s v="USD2022/kW-yr"/>
  </r>
  <r>
    <x v="25"/>
    <x v="1"/>
    <x v="4"/>
    <x v="1"/>
    <n v="2993.4"/>
    <s v="USD2022/kW"/>
  </r>
  <r>
    <x v="25"/>
    <x v="1"/>
    <x v="4"/>
    <x v="3"/>
    <n v="69.7"/>
    <s v="USD2022/kW-yr"/>
  </r>
  <r>
    <x v="25"/>
    <x v="2"/>
    <x v="4"/>
    <x v="1"/>
    <n v="2993.4"/>
    <s v="USD2022/kW"/>
  </r>
  <r>
    <x v="25"/>
    <x v="2"/>
    <x v="4"/>
    <x v="3"/>
    <n v="69.7"/>
    <s v="USD2022/kW-yr"/>
  </r>
  <r>
    <x v="25"/>
    <x v="3"/>
    <x v="4"/>
    <x v="1"/>
    <n v="2993.4"/>
    <s v="USD2022/kW"/>
  </r>
  <r>
    <x v="25"/>
    <x v="3"/>
    <x v="4"/>
    <x v="3"/>
    <n v="69.7"/>
    <s v="USD2022/kW-yr"/>
  </r>
  <r>
    <x v="25"/>
    <x v="4"/>
    <x v="4"/>
    <x v="1"/>
    <n v="2993.4"/>
    <s v="USD2022/kW"/>
  </r>
  <r>
    <x v="25"/>
    <x v="4"/>
    <x v="4"/>
    <x v="3"/>
    <n v="69.7"/>
    <s v="USD2022/kW-yr"/>
  </r>
  <r>
    <x v="25"/>
    <x v="5"/>
    <x v="4"/>
    <x v="1"/>
    <n v="2993.4"/>
    <s v="USD2022/kW"/>
  </r>
  <r>
    <x v="25"/>
    <x v="5"/>
    <x v="4"/>
    <x v="3"/>
    <n v="69.7"/>
    <s v="USD2022/kW-yr"/>
  </r>
  <r>
    <x v="25"/>
    <x v="6"/>
    <x v="4"/>
    <x v="1"/>
    <n v="2993.4"/>
    <s v="USD2022/kW"/>
  </r>
  <r>
    <x v="25"/>
    <x v="6"/>
    <x v="4"/>
    <x v="3"/>
    <n v="69.7"/>
    <s v="USD2022/kW-yr"/>
  </r>
  <r>
    <x v="25"/>
    <x v="7"/>
    <x v="4"/>
    <x v="1"/>
    <n v="2993.4"/>
    <s v="USD2022/kW"/>
  </r>
  <r>
    <x v="25"/>
    <x v="7"/>
    <x v="4"/>
    <x v="3"/>
    <n v="69.7"/>
    <s v="USD2022/kW-yr"/>
  </r>
  <r>
    <x v="25"/>
    <x v="8"/>
    <x v="4"/>
    <x v="1"/>
    <n v="2993.4"/>
    <s v="USD2022/kW"/>
  </r>
  <r>
    <x v="25"/>
    <x v="8"/>
    <x v="4"/>
    <x v="3"/>
    <n v="69.7"/>
    <s v="USD2022/kW-yr"/>
  </r>
  <r>
    <x v="25"/>
    <x v="0"/>
    <x v="4"/>
    <x v="2"/>
    <n v="1780.6"/>
    <s v="USD2022/kW"/>
  </r>
  <r>
    <x v="25"/>
    <x v="0"/>
    <x v="4"/>
    <x v="3"/>
    <n v="40.4"/>
    <s v="USD2022/kW-yr"/>
  </r>
  <r>
    <x v="25"/>
    <x v="1"/>
    <x v="4"/>
    <x v="2"/>
    <n v="1780.6"/>
    <s v="USD2022/kW"/>
  </r>
  <r>
    <x v="25"/>
    <x v="1"/>
    <x v="4"/>
    <x v="3"/>
    <n v="40.4"/>
    <s v="USD2022/kW-yr"/>
  </r>
  <r>
    <x v="25"/>
    <x v="2"/>
    <x v="4"/>
    <x v="2"/>
    <n v="1780.6"/>
    <s v="USD2022/kW"/>
  </r>
  <r>
    <x v="25"/>
    <x v="2"/>
    <x v="4"/>
    <x v="3"/>
    <n v="40.4"/>
    <s v="USD2022/kW-yr"/>
  </r>
  <r>
    <x v="25"/>
    <x v="3"/>
    <x v="4"/>
    <x v="2"/>
    <n v="1780.6"/>
    <s v="USD2022/kW"/>
  </r>
  <r>
    <x v="25"/>
    <x v="3"/>
    <x v="4"/>
    <x v="3"/>
    <n v="40.4"/>
    <s v="USD2022/kW-yr"/>
  </r>
  <r>
    <x v="25"/>
    <x v="4"/>
    <x v="4"/>
    <x v="2"/>
    <n v="1780.6"/>
    <s v="USD2022/kW"/>
  </r>
  <r>
    <x v="25"/>
    <x v="4"/>
    <x v="4"/>
    <x v="3"/>
    <n v="40.4"/>
    <s v="USD2022/kW-yr"/>
  </r>
  <r>
    <x v="25"/>
    <x v="5"/>
    <x v="4"/>
    <x v="2"/>
    <n v="1780.6"/>
    <s v="USD2022/kW"/>
  </r>
  <r>
    <x v="25"/>
    <x v="5"/>
    <x v="4"/>
    <x v="3"/>
    <n v="40.4"/>
    <s v="USD2022/kW-yr"/>
  </r>
  <r>
    <x v="25"/>
    <x v="6"/>
    <x v="4"/>
    <x v="2"/>
    <n v="1780.6"/>
    <s v="USD2022/kW"/>
  </r>
  <r>
    <x v="25"/>
    <x v="6"/>
    <x v="4"/>
    <x v="3"/>
    <n v="40.4"/>
    <s v="USD2022/kW-yr"/>
  </r>
  <r>
    <x v="25"/>
    <x v="7"/>
    <x v="4"/>
    <x v="2"/>
    <n v="1780.6"/>
    <s v="USD2022/kW"/>
  </r>
  <r>
    <x v="25"/>
    <x v="7"/>
    <x v="4"/>
    <x v="3"/>
    <n v="40.4"/>
    <s v="USD2022/kW-yr"/>
  </r>
  <r>
    <x v="25"/>
    <x v="8"/>
    <x v="4"/>
    <x v="2"/>
    <n v="1780.6"/>
    <s v="USD2022/kW"/>
  </r>
  <r>
    <x v="25"/>
    <x v="8"/>
    <x v="4"/>
    <x v="3"/>
    <n v="40.4"/>
    <s v="USD2022/kW-yr"/>
  </r>
  <r>
    <x v="25"/>
    <x v="0"/>
    <x v="5"/>
    <x v="0"/>
    <n v="2077.5"/>
    <s v="USD2022/kW"/>
  </r>
  <r>
    <x v="25"/>
    <x v="0"/>
    <x v="5"/>
    <x v="3"/>
    <n v="47.6"/>
    <s v="USD2022/kW-yr"/>
  </r>
  <r>
    <x v="25"/>
    <x v="0"/>
    <x v="5"/>
    <x v="7"/>
    <n v="0.86"/>
    <s v="fraction"/>
  </r>
  <r>
    <x v="25"/>
    <x v="0"/>
    <x v="5"/>
    <x v="5"/>
    <n v="0.13900000000000001"/>
    <s v="USD2022/GJ"/>
  </r>
  <r>
    <x v="25"/>
    <x v="1"/>
    <x v="5"/>
    <x v="0"/>
    <n v="2077.5"/>
    <s v="USD2022/kW"/>
  </r>
  <r>
    <x v="25"/>
    <x v="1"/>
    <x v="5"/>
    <x v="3"/>
    <n v="47.6"/>
    <s v="USD2022/kW-yr"/>
  </r>
  <r>
    <x v="25"/>
    <x v="1"/>
    <x v="5"/>
    <x v="7"/>
    <n v="0.86"/>
    <s v="fraction"/>
  </r>
  <r>
    <x v="25"/>
    <x v="1"/>
    <x v="5"/>
    <x v="5"/>
    <n v="0.13900000000000001"/>
    <s v="USD2022/GJ"/>
  </r>
  <r>
    <x v="25"/>
    <x v="2"/>
    <x v="5"/>
    <x v="0"/>
    <n v="2077.5"/>
    <s v="USD2022/kW"/>
  </r>
  <r>
    <x v="25"/>
    <x v="2"/>
    <x v="5"/>
    <x v="3"/>
    <n v="47.6"/>
    <s v="USD2022/kW-yr"/>
  </r>
  <r>
    <x v="25"/>
    <x v="2"/>
    <x v="5"/>
    <x v="7"/>
    <n v="0.86"/>
    <s v="fraction"/>
  </r>
  <r>
    <x v="25"/>
    <x v="2"/>
    <x v="5"/>
    <x v="5"/>
    <n v="0.13900000000000001"/>
    <s v="USD2022/GJ"/>
  </r>
  <r>
    <x v="25"/>
    <x v="3"/>
    <x v="5"/>
    <x v="0"/>
    <n v="2077.5"/>
    <s v="USD2022/kW"/>
  </r>
  <r>
    <x v="25"/>
    <x v="3"/>
    <x v="5"/>
    <x v="3"/>
    <n v="47.6"/>
    <s v="USD2022/kW-yr"/>
  </r>
  <r>
    <x v="25"/>
    <x v="3"/>
    <x v="5"/>
    <x v="7"/>
    <n v="0.86"/>
    <s v="fraction"/>
  </r>
  <r>
    <x v="25"/>
    <x v="3"/>
    <x v="5"/>
    <x v="5"/>
    <n v="0.13900000000000001"/>
    <s v="USD2022/GJ"/>
  </r>
  <r>
    <x v="25"/>
    <x v="4"/>
    <x v="5"/>
    <x v="0"/>
    <n v="2077.5"/>
    <s v="USD2022/kW"/>
  </r>
  <r>
    <x v="25"/>
    <x v="4"/>
    <x v="5"/>
    <x v="3"/>
    <n v="47.6"/>
    <s v="USD2022/kW-yr"/>
  </r>
  <r>
    <x v="25"/>
    <x v="4"/>
    <x v="5"/>
    <x v="7"/>
    <n v="0.86"/>
    <s v="fraction"/>
  </r>
  <r>
    <x v="25"/>
    <x v="4"/>
    <x v="5"/>
    <x v="5"/>
    <n v="0.13900000000000001"/>
    <s v="USD2022/GJ"/>
  </r>
  <r>
    <x v="25"/>
    <x v="5"/>
    <x v="5"/>
    <x v="0"/>
    <n v="2077.5"/>
    <s v="USD2022/kW"/>
  </r>
  <r>
    <x v="25"/>
    <x v="5"/>
    <x v="5"/>
    <x v="3"/>
    <n v="47.6"/>
    <s v="USD2022/kW-yr"/>
  </r>
  <r>
    <x v="25"/>
    <x v="5"/>
    <x v="5"/>
    <x v="7"/>
    <n v="0.86"/>
    <s v="fraction"/>
  </r>
  <r>
    <x v="25"/>
    <x v="5"/>
    <x v="5"/>
    <x v="5"/>
    <n v="0.13900000000000001"/>
    <s v="USD2022/GJ"/>
  </r>
  <r>
    <x v="25"/>
    <x v="6"/>
    <x v="5"/>
    <x v="0"/>
    <n v="2077.5"/>
    <s v="USD2022/kW"/>
  </r>
  <r>
    <x v="25"/>
    <x v="6"/>
    <x v="5"/>
    <x v="3"/>
    <n v="47.6"/>
    <s v="USD2022/kW-yr"/>
  </r>
  <r>
    <x v="25"/>
    <x v="6"/>
    <x v="5"/>
    <x v="7"/>
    <n v="0.86"/>
    <s v="fraction"/>
  </r>
  <r>
    <x v="25"/>
    <x v="6"/>
    <x v="5"/>
    <x v="5"/>
    <n v="0.13900000000000001"/>
    <s v="USD2022/GJ"/>
  </r>
  <r>
    <x v="25"/>
    <x v="7"/>
    <x v="5"/>
    <x v="0"/>
    <n v="2077.5"/>
    <s v="USD2022/kW"/>
  </r>
  <r>
    <x v="25"/>
    <x v="7"/>
    <x v="5"/>
    <x v="3"/>
    <n v="47.6"/>
    <s v="USD2022/kW-yr"/>
  </r>
  <r>
    <x v="25"/>
    <x v="7"/>
    <x v="5"/>
    <x v="7"/>
    <n v="0.86"/>
    <s v="fraction"/>
  </r>
  <r>
    <x v="25"/>
    <x v="7"/>
    <x v="5"/>
    <x v="5"/>
    <n v="0.13900000000000001"/>
    <s v="USD2022/GJ"/>
  </r>
  <r>
    <x v="25"/>
    <x v="8"/>
    <x v="5"/>
    <x v="0"/>
    <n v="2077.5"/>
    <s v="USD2022/kW"/>
  </r>
  <r>
    <x v="25"/>
    <x v="8"/>
    <x v="5"/>
    <x v="3"/>
    <n v="47.6"/>
    <s v="USD2022/kW-yr"/>
  </r>
  <r>
    <x v="25"/>
    <x v="8"/>
    <x v="5"/>
    <x v="7"/>
    <n v="0.86"/>
    <s v="fraction"/>
  </r>
  <r>
    <x v="25"/>
    <x v="8"/>
    <x v="5"/>
    <x v="5"/>
    <n v="0.13900000000000001"/>
    <s v="USD2022/GJ"/>
  </r>
  <r>
    <x v="25"/>
    <x v="0"/>
    <x v="5"/>
    <x v="1"/>
    <n v="2891"/>
    <s v="USD2022/kW"/>
  </r>
  <r>
    <x v="25"/>
    <x v="0"/>
    <x v="5"/>
    <x v="3"/>
    <n v="67.2"/>
    <s v="USD2022/kW-yr"/>
  </r>
  <r>
    <x v="25"/>
    <x v="1"/>
    <x v="5"/>
    <x v="1"/>
    <n v="2891"/>
    <s v="USD2022/kW"/>
  </r>
  <r>
    <x v="25"/>
    <x v="1"/>
    <x v="5"/>
    <x v="3"/>
    <n v="67.2"/>
    <s v="USD2022/kW-yr"/>
  </r>
  <r>
    <x v="25"/>
    <x v="2"/>
    <x v="5"/>
    <x v="1"/>
    <n v="2891"/>
    <s v="USD2022/kW"/>
  </r>
  <r>
    <x v="25"/>
    <x v="2"/>
    <x v="5"/>
    <x v="3"/>
    <n v="67.2"/>
    <s v="USD2022/kW-yr"/>
  </r>
  <r>
    <x v="25"/>
    <x v="3"/>
    <x v="5"/>
    <x v="1"/>
    <n v="2891"/>
    <s v="USD2022/kW"/>
  </r>
  <r>
    <x v="25"/>
    <x v="3"/>
    <x v="5"/>
    <x v="3"/>
    <n v="67.2"/>
    <s v="USD2022/kW-yr"/>
  </r>
  <r>
    <x v="25"/>
    <x v="4"/>
    <x v="5"/>
    <x v="1"/>
    <n v="2891"/>
    <s v="USD2022/kW"/>
  </r>
  <r>
    <x v="25"/>
    <x v="4"/>
    <x v="5"/>
    <x v="3"/>
    <n v="67.2"/>
    <s v="USD2022/kW-yr"/>
  </r>
  <r>
    <x v="25"/>
    <x v="5"/>
    <x v="5"/>
    <x v="1"/>
    <n v="2891"/>
    <s v="USD2022/kW"/>
  </r>
  <r>
    <x v="25"/>
    <x v="5"/>
    <x v="5"/>
    <x v="3"/>
    <n v="67.2"/>
    <s v="USD2022/kW-yr"/>
  </r>
  <r>
    <x v="25"/>
    <x v="6"/>
    <x v="5"/>
    <x v="1"/>
    <n v="2891"/>
    <s v="USD2022/kW"/>
  </r>
  <r>
    <x v="25"/>
    <x v="6"/>
    <x v="5"/>
    <x v="3"/>
    <n v="67.2"/>
    <s v="USD2022/kW-yr"/>
  </r>
  <r>
    <x v="25"/>
    <x v="7"/>
    <x v="5"/>
    <x v="1"/>
    <n v="2891"/>
    <s v="USD2022/kW"/>
  </r>
  <r>
    <x v="25"/>
    <x v="7"/>
    <x v="5"/>
    <x v="3"/>
    <n v="67.2"/>
    <s v="USD2022/kW-yr"/>
  </r>
  <r>
    <x v="25"/>
    <x v="8"/>
    <x v="5"/>
    <x v="1"/>
    <n v="2891"/>
    <s v="USD2022/kW"/>
  </r>
  <r>
    <x v="25"/>
    <x v="8"/>
    <x v="5"/>
    <x v="3"/>
    <n v="67.2"/>
    <s v="USD2022/kW-yr"/>
  </r>
  <r>
    <x v="25"/>
    <x v="0"/>
    <x v="5"/>
    <x v="2"/>
    <n v="1617.6"/>
    <s v="USD2022/kW"/>
  </r>
  <r>
    <x v="25"/>
    <x v="0"/>
    <x v="5"/>
    <x v="3"/>
    <n v="36.5"/>
    <s v="USD2022/kW-yr"/>
  </r>
  <r>
    <x v="25"/>
    <x v="1"/>
    <x v="5"/>
    <x v="2"/>
    <n v="1617.6"/>
    <s v="USD2022/kW"/>
  </r>
  <r>
    <x v="25"/>
    <x v="1"/>
    <x v="5"/>
    <x v="3"/>
    <n v="36.5"/>
    <s v="USD2022/kW-yr"/>
  </r>
  <r>
    <x v="25"/>
    <x v="2"/>
    <x v="5"/>
    <x v="2"/>
    <n v="1617.6"/>
    <s v="USD2022/kW"/>
  </r>
  <r>
    <x v="25"/>
    <x v="2"/>
    <x v="5"/>
    <x v="3"/>
    <n v="36.5"/>
    <s v="USD2022/kW-yr"/>
  </r>
  <r>
    <x v="25"/>
    <x v="3"/>
    <x v="5"/>
    <x v="2"/>
    <n v="1617.6"/>
    <s v="USD2022/kW"/>
  </r>
  <r>
    <x v="25"/>
    <x v="3"/>
    <x v="5"/>
    <x v="3"/>
    <n v="36.5"/>
    <s v="USD2022/kW-yr"/>
  </r>
  <r>
    <x v="25"/>
    <x v="4"/>
    <x v="5"/>
    <x v="2"/>
    <n v="1617.6"/>
    <s v="USD2022/kW"/>
  </r>
  <r>
    <x v="25"/>
    <x v="4"/>
    <x v="5"/>
    <x v="3"/>
    <n v="36.5"/>
    <s v="USD2022/kW-yr"/>
  </r>
  <r>
    <x v="25"/>
    <x v="5"/>
    <x v="5"/>
    <x v="2"/>
    <n v="1617.6"/>
    <s v="USD2022/kW"/>
  </r>
  <r>
    <x v="25"/>
    <x v="5"/>
    <x v="5"/>
    <x v="3"/>
    <n v="36.5"/>
    <s v="USD2022/kW-yr"/>
  </r>
  <r>
    <x v="25"/>
    <x v="6"/>
    <x v="5"/>
    <x v="2"/>
    <n v="1617.6"/>
    <s v="USD2022/kW"/>
  </r>
  <r>
    <x v="25"/>
    <x v="6"/>
    <x v="5"/>
    <x v="3"/>
    <n v="36.5"/>
    <s v="USD2022/kW-yr"/>
  </r>
  <r>
    <x v="25"/>
    <x v="7"/>
    <x v="5"/>
    <x v="2"/>
    <n v="1617.6"/>
    <s v="USD2022/kW"/>
  </r>
  <r>
    <x v="25"/>
    <x v="7"/>
    <x v="5"/>
    <x v="3"/>
    <n v="36.5"/>
    <s v="USD2022/kW-yr"/>
  </r>
  <r>
    <x v="25"/>
    <x v="8"/>
    <x v="5"/>
    <x v="2"/>
    <n v="1617.6"/>
    <s v="USD2022/kW"/>
  </r>
  <r>
    <x v="25"/>
    <x v="8"/>
    <x v="5"/>
    <x v="3"/>
    <n v="36.5"/>
    <s v="USD2022/kW-yr"/>
  </r>
  <r>
    <x v="25"/>
    <x v="0"/>
    <x v="6"/>
    <x v="0"/>
    <n v="1882.2"/>
    <s v="USD2022/kW"/>
  </r>
  <r>
    <x v="25"/>
    <x v="0"/>
    <x v="6"/>
    <x v="3"/>
    <n v="42.9"/>
    <s v="USD2022/kW-yr"/>
  </r>
  <r>
    <x v="25"/>
    <x v="0"/>
    <x v="6"/>
    <x v="7"/>
    <n v="0.86"/>
    <s v="fraction"/>
  </r>
  <r>
    <x v="25"/>
    <x v="0"/>
    <x v="6"/>
    <x v="5"/>
    <n v="0.13900000000000001"/>
    <s v="USD2022/GJ"/>
  </r>
  <r>
    <x v="25"/>
    <x v="1"/>
    <x v="6"/>
    <x v="0"/>
    <n v="1882.2"/>
    <s v="USD2022/kW"/>
  </r>
  <r>
    <x v="25"/>
    <x v="1"/>
    <x v="6"/>
    <x v="3"/>
    <n v="42.9"/>
    <s v="USD2022/kW-yr"/>
  </r>
  <r>
    <x v="25"/>
    <x v="1"/>
    <x v="6"/>
    <x v="7"/>
    <n v="0.86"/>
    <s v="fraction"/>
  </r>
  <r>
    <x v="25"/>
    <x v="1"/>
    <x v="6"/>
    <x v="5"/>
    <n v="0.13900000000000001"/>
    <s v="USD2022/GJ"/>
  </r>
  <r>
    <x v="25"/>
    <x v="2"/>
    <x v="6"/>
    <x v="0"/>
    <n v="1882.2"/>
    <s v="USD2022/kW"/>
  </r>
  <r>
    <x v="25"/>
    <x v="2"/>
    <x v="6"/>
    <x v="3"/>
    <n v="42.9"/>
    <s v="USD2022/kW-yr"/>
  </r>
  <r>
    <x v="25"/>
    <x v="2"/>
    <x v="6"/>
    <x v="7"/>
    <n v="0.86"/>
    <s v="fraction"/>
  </r>
  <r>
    <x v="25"/>
    <x v="2"/>
    <x v="6"/>
    <x v="5"/>
    <n v="0.13900000000000001"/>
    <s v="USD2022/GJ"/>
  </r>
  <r>
    <x v="25"/>
    <x v="3"/>
    <x v="6"/>
    <x v="0"/>
    <n v="1882.2"/>
    <s v="USD2022/kW"/>
  </r>
  <r>
    <x v="25"/>
    <x v="3"/>
    <x v="6"/>
    <x v="3"/>
    <n v="42.9"/>
    <s v="USD2022/kW-yr"/>
  </r>
  <r>
    <x v="25"/>
    <x v="3"/>
    <x v="6"/>
    <x v="7"/>
    <n v="0.86"/>
    <s v="fraction"/>
  </r>
  <r>
    <x v="25"/>
    <x v="3"/>
    <x v="6"/>
    <x v="5"/>
    <n v="0.13900000000000001"/>
    <s v="USD2022/GJ"/>
  </r>
  <r>
    <x v="25"/>
    <x v="4"/>
    <x v="6"/>
    <x v="0"/>
    <n v="1882.2"/>
    <s v="USD2022/kW"/>
  </r>
  <r>
    <x v="25"/>
    <x v="4"/>
    <x v="6"/>
    <x v="3"/>
    <n v="42.9"/>
    <s v="USD2022/kW-yr"/>
  </r>
  <r>
    <x v="25"/>
    <x v="4"/>
    <x v="6"/>
    <x v="7"/>
    <n v="0.86"/>
    <s v="fraction"/>
  </r>
  <r>
    <x v="25"/>
    <x v="4"/>
    <x v="6"/>
    <x v="5"/>
    <n v="0.13900000000000001"/>
    <s v="USD2022/GJ"/>
  </r>
  <r>
    <x v="25"/>
    <x v="5"/>
    <x v="6"/>
    <x v="0"/>
    <n v="1882.2"/>
    <s v="USD2022/kW"/>
  </r>
  <r>
    <x v="25"/>
    <x v="5"/>
    <x v="6"/>
    <x v="3"/>
    <n v="42.9"/>
    <s v="USD2022/kW-yr"/>
  </r>
  <r>
    <x v="25"/>
    <x v="5"/>
    <x v="6"/>
    <x v="7"/>
    <n v="0.86"/>
    <s v="fraction"/>
  </r>
  <r>
    <x v="25"/>
    <x v="5"/>
    <x v="6"/>
    <x v="5"/>
    <n v="0.13900000000000001"/>
    <s v="USD2022/GJ"/>
  </r>
  <r>
    <x v="25"/>
    <x v="6"/>
    <x v="6"/>
    <x v="0"/>
    <n v="1882.2"/>
    <s v="USD2022/kW"/>
  </r>
  <r>
    <x v="25"/>
    <x v="6"/>
    <x v="6"/>
    <x v="3"/>
    <n v="42.9"/>
    <s v="USD2022/kW-yr"/>
  </r>
  <r>
    <x v="25"/>
    <x v="6"/>
    <x v="6"/>
    <x v="7"/>
    <n v="0.86"/>
    <s v="fraction"/>
  </r>
  <r>
    <x v="25"/>
    <x v="6"/>
    <x v="6"/>
    <x v="5"/>
    <n v="0.13900000000000001"/>
    <s v="USD2022/GJ"/>
  </r>
  <r>
    <x v="25"/>
    <x v="7"/>
    <x v="6"/>
    <x v="0"/>
    <n v="1882.2"/>
    <s v="USD2022/kW"/>
  </r>
  <r>
    <x v="25"/>
    <x v="7"/>
    <x v="6"/>
    <x v="3"/>
    <n v="42.9"/>
    <s v="USD2022/kW-yr"/>
  </r>
  <r>
    <x v="25"/>
    <x v="7"/>
    <x v="6"/>
    <x v="7"/>
    <n v="0.86"/>
    <s v="fraction"/>
  </r>
  <r>
    <x v="25"/>
    <x v="7"/>
    <x v="6"/>
    <x v="5"/>
    <n v="0.13900000000000001"/>
    <s v="USD2022/GJ"/>
  </r>
  <r>
    <x v="25"/>
    <x v="8"/>
    <x v="6"/>
    <x v="0"/>
    <n v="1882.2"/>
    <s v="USD2022/kW"/>
  </r>
  <r>
    <x v="25"/>
    <x v="8"/>
    <x v="6"/>
    <x v="3"/>
    <n v="42.9"/>
    <s v="USD2022/kW-yr"/>
  </r>
  <r>
    <x v="25"/>
    <x v="8"/>
    <x v="6"/>
    <x v="7"/>
    <n v="0.86"/>
    <s v="fraction"/>
  </r>
  <r>
    <x v="25"/>
    <x v="8"/>
    <x v="6"/>
    <x v="5"/>
    <n v="0.13900000000000001"/>
    <s v="USD2022/GJ"/>
  </r>
  <r>
    <x v="25"/>
    <x v="0"/>
    <x v="6"/>
    <x v="1"/>
    <n v="2788.5"/>
    <s v="USD2022/kW"/>
  </r>
  <r>
    <x v="25"/>
    <x v="0"/>
    <x v="6"/>
    <x v="3"/>
    <n v="64.8"/>
    <s v="USD2022/kW-yr"/>
  </r>
  <r>
    <x v="25"/>
    <x v="1"/>
    <x v="6"/>
    <x v="1"/>
    <n v="2788.5"/>
    <s v="USD2022/kW"/>
  </r>
  <r>
    <x v="25"/>
    <x v="1"/>
    <x v="6"/>
    <x v="3"/>
    <n v="64.8"/>
    <s v="USD2022/kW-yr"/>
  </r>
  <r>
    <x v="25"/>
    <x v="2"/>
    <x v="6"/>
    <x v="1"/>
    <n v="2788.5"/>
    <s v="USD2022/kW"/>
  </r>
  <r>
    <x v="25"/>
    <x v="2"/>
    <x v="6"/>
    <x v="3"/>
    <n v="64.8"/>
    <s v="USD2022/kW-yr"/>
  </r>
  <r>
    <x v="25"/>
    <x v="3"/>
    <x v="6"/>
    <x v="1"/>
    <n v="2788.5"/>
    <s v="USD2022/kW"/>
  </r>
  <r>
    <x v="25"/>
    <x v="3"/>
    <x v="6"/>
    <x v="3"/>
    <n v="64.8"/>
    <s v="USD2022/kW-yr"/>
  </r>
  <r>
    <x v="25"/>
    <x v="4"/>
    <x v="6"/>
    <x v="1"/>
    <n v="2788.5"/>
    <s v="USD2022/kW"/>
  </r>
  <r>
    <x v="25"/>
    <x v="4"/>
    <x v="6"/>
    <x v="3"/>
    <n v="64.8"/>
    <s v="USD2022/kW-yr"/>
  </r>
  <r>
    <x v="25"/>
    <x v="5"/>
    <x v="6"/>
    <x v="1"/>
    <n v="2788.5"/>
    <s v="USD2022/kW"/>
  </r>
  <r>
    <x v="25"/>
    <x v="5"/>
    <x v="6"/>
    <x v="3"/>
    <n v="64.8"/>
    <s v="USD2022/kW-yr"/>
  </r>
  <r>
    <x v="25"/>
    <x v="6"/>
    <x v="6"/>
    <x v="1"/>
    <n v="2788.5"/>
    <s v="USD2022/kW"/>
  </r>
  <r>
    <x v="25"/>
    <x v="6"/>
    <x v="6"/>
    <x v="3"/>
    <n v="64.8"/>
    <s v="USD2022/kW-yr"/>
  </r>
  <r>
    <x v="25"/>
    <x v="7"/>
    <x v="6"/>
    <x v="1"/>
    <n v="2788.5"/>
    <s v="USD2022/kW"/>
  </r>
  <r>
    <x v="25"/>
    <x v="7"/>
    <x v="6"/>
    <x v="3"/>
    <n v="64.8"/>
    <s v="USD2022/kW-yr"/>
  </r>
  <r>
    <x v="25"/>
    <x v="8"/>
    <x v="6"/>
    <x v="1"/>
    <n v="2788.5"/>
    <s v="USD2022/kW"/>
  </r>
  <r>
    <x v="25"/>
    <x v="8"/>
    <x v="6"/>
    <x v="3"/>
    <n v="64.8"/>
    <s v="USD2022/kW-yr"/>
  </r>
  <r>
    <x v="25"/>
    <x v="0"/>
    <x v="6"/>
    <x v="2"/>
    <n v="1457.5"/>
    <s v="USD2022/kW"/>
  </r>
  <r>
    <x v="25"/>
    <x v="0"/>
    <x v="6"/>
    <x v="3"/>
    <n v="32.700000000000003"/>
    <s v="USD2022/kW-yr"/>
  </r>
  <r>
    <x v="25"/>
    <x v="1"/>
    <x v="6"/>
    <x v="2"/>
    <n v="1457.5"/>
    <s v="USD2022/kW"/>
  </r>
  <r>
    <x v="25"/>
    <x v="1"/>
    <x v="6"/>
    <x v="3"/>
    <n v="32.700000000000003"/>
    <s v="USD2022/kW-yr"/>
  </r>
  <r>
    <x v="25"/>
    <x v="2"/>
    <x v="6"/>
    <x v="2"/>
    <n v="1457.5"/>
    <s v="USD2022/kW"/>
  </r>
  <r>
    <x v="25"/>
    <x v="2"/>
    <x v="6"/>
    <x v="3"/>
    <n v="32.700000000000003"/>
    <s v="USD2022/kW-yr"/>
  </r>
  <r>
    <x v="25"/>
    <x v="3"/>
    <x v="6"/>
    <x v="2"/>
    <n v="1457.5"/>
    <s v="USD2022/kW"/>
  </r>
  <r>
    <x v="25"/>
    <x v="3"/>
    <x v="6"/>
    <x v="3"/>
    <n v="32.700000000000003"/>
    <s v="USD2022/kW-yr"/>
  </r>
  <r>
    <x v="25"/>
    <x v="4"/>
    <x v="6"/>
    <x v="2"/>
    <n v="1457.5"/>
    <s v="USD2022/kW"/>
  </r>
  <r>
    <x v="25"/>
    <x v="4"/>
    <x v="6"/>
    <x v="3"/>
    <n v="32.700000000000003"/>
    <s v="USD2022/kW-yr"/>
  </r>
  <r>
    <x v="25"/>
    <x v="5"/>
    <x v="6"/>
    <x v="2"/>
    <n v="1457.5"/>
    <s v="USD2022/kW"/>
  </r>
  <r>
    <x v="25"/>
    <x v="5"/>
    <x v="6"/>
    <x v="3"/>
    <n v="32.700000000000003"/>
    <s v="USD2022/kW-yr"/>
  </r>
  <r>
    <x v="25"/>
    <x v="6"/>
    <x v="6"/>
    <x v="2"/>
    <n v="1457.5"/>
    <s v="USD2022/kW"/>
  </r>
  <r>
    <x v="25"/>
    <x v="6"/>
    <x v="6"/>
    <x v="3"/>
    <n v="32.700000000000003"/>
    <s v="USD2022/kW-yr"/>
  </r>
  <r>
    <x v="25"/>
    <x v="7"/>
    <x v="6"/>
    <x v="2"/>
    <n v="1457.5"/>
    <s v="USD2022/kW"/>
  </r>
  <r>
    <x v="25"/>
    <x v="7"/>
    <x v="6"/>
    <x v="3"/>
    <n v="32.700000000000003"/>
    <s v="USD2022/kW-yr"/>
  </r>
  <r>
    <x v="25"/>
    <x v="8"/>
    <x v="6"/>
    <x v="2"/>
    <n v="1457.5"/>
    <s v="USD2022/kW"/>
  </r>
  <r>
    <x v="25"/>
    <x v="8"/>
    <x v="6"/>
    <x v="3"/>
    <n v="32.700000000000003"/>
    <s v="USD2022/kW-yr"/>
  </r>
  <r>
    <x v="25"/>
    <x v="0"/>
    <x v="2"/>
    <x v="0"/>
    <n v="1687.7"/>
    <s v="USD2022/kW"/>
  </r>
  <r>
    <x v="25"/>
    <x v="0"/>
    <x v="2"/>
    <x v="3"/>
    <n v="38.200000000000003"/>
    <s v="USD2022/kW-yr"/>
  </r>
  <r>
    <x v="25"/>
    <x v="0"/>
    <x v="2"/>
    <x v="7"/>
    <n v="0.86"/>
    <s v="fraction"/>
  </r>
  <r>
    <x v="25"/>
    <x v="0"/>
    <x v="2"/>
    <x v="5"/>
    <n v="0.13900000000000001"/>
    <s v="USD2022/GJ"/>
  </r>
  <r>
    <x v="25"/>
    <x v="1"/>
    <x v="2"/>
    <x v="0"/>
    <n v="1687.7"/>
    <s v="USD2022/kW"/>
  </r>
  <r>
    <x v="25"/>
    <x v="1"/>
    <x v="2"/>
    <x v="3"/>
    <n v="38.200000000000003"/>
    <s v="USD2022/kW-yr"/>
  </r>
  <r>
    <x v="25"/>
    <x v="1"/>
    <x v="2"/>
    <x v="7"/>
    <n v="0.86"/>
    <s v="fraction"/>
  </r>
  <r>
    <x v="25"/>
    <x v="1"/>
    <x v="2"/>
    <x v="5"/>
    <n v="0.13900000000000001"/>
    <s v="USD2022/GJ"/>
  </r>
  <r>
    <x v="25"/>
    <x v="2"/>
    <x v="2"/>
    <x v="0"/>
    <n v="1687.7"/>
    <s v="USD2022/kW"/>
  </r>
  <r>
    <x v="25"/>
    <x v="2"/>
    <x v="2"/>
    <x v="3"/>
    <n v="38.200000000000003"/>
    <s v="USD2022/kW-yr"/>
  </r>
  <r>
    <x v="25"/>
    <x v="2"/>
    <x v="2"/>
    <x v="7"/>
    <n v="0.86"/>
    <s v="fraction"/>
  </r>
  <r>
    <x v="25"/>
    <x v="2"/>
    <x v="2"/>
    <x v="5"/>
    <n v="0.13900000000000001"/>
    <s v="USD2022/GJ"/>
  </r>
  <r>
    <x v="25"/>
    <x v="3"/>
    <x v="2"/>
    <x v="0"/>
    <n v="1687.7"/>
    <s v="USD2022/kW"/>
  </r>
  <r>
    <x v="25"/>
    <x v="3"/>
    <x v="2"/>
    <x v="3"/>
    <n v="38.200000000000003"/>
    <s v="USD2022/kW-yr"/>
  </r>
  <r>
    <x v="25"/>
    <x v="3"/>
    <x v="2"/>
    <x v="7"/>
    <n v="0.86"/>
    <s v="fraction"/>
  </r>
  <r>
    <x v="25"/>
    <x v="3"/>
    <x v="2"/>
    <x v="5"/>
    <n v="0.13900000000000001"/>
    <s v="USD2022/GJ"/>
  </r>
  <r>
    <x v="25"/>
    <x v="4"/>
    <x v="2"/>
    <x v="0"/>
    <n v="1687.7"/>
    <s v="USD2022/kW"/>
  </r>
  <r>
    <x v="25"/>
    <x v="4"/>
    <x v="2"/>
    <x v="3"/>
    <n v="38.200000000000003"/>
    <s v="USD2022/kW-yr"/>
  </r>
  <r>
    <x v="25"/>
    <x v="4"/>
    <x v="2"/>
    <x v="7"/>
    <n v="0.86"/>
    <s v="fraction"/>
  </r>
  <r>
    <x v="25"/>
    <x v="4"/>
    <x v="2"/>
    <x v="5"/>
    <n v="0.13900000000000001"/>
    <s v="USD2022/GJ"/>
  </r>
  <r>
    <x v="25"/>
    <x v="5"/>
    <x v="2"/>
    <x v="0"/>
    <n v="1687.7"/>
    <s v="USD2022/kW"/>
  </r>
  <r>
    <x v="25"/>
    <x v="5"/>
    <x v="2"/>
    <x v="3"/>
    <n v="38.200000000000003"/>
    <s v="USD2022/kW-yr"/>
  </r>
  <r>
    <x v="25"/>
    <x v="5"/>
    <x v="2"/>
    <x v="7"/>
    <n v="0.86"/>
    <s v="fraction"/>
  </r>
  <r>
    <x v="25"/>
    <x v="5"/>
    <x v="2"/>
    <x v="5"/>
    <n v="0.13900000000000001"/>
    <s v="USD2022/GJ"/>
  </r>
  <r>
    <x v="25"/>
    <x v="6"/>
    <x v="2"/>
    <x v="0"/>
    <n v="1687.7"/>
    <s v="USD2022/kW"/>
  </r>
  <r>
    <x v="25"/>
    <x v="6"/>
    <x v="2"/>
    <x v="3"/>
    <n v="38.200000000000003"/>
    <s v="USD2022/kW-yr"/>
  </r>
  <r>
    <x v="25"/>
    <x v="6"/>
    <x v="2"/>
    <x v="7"/>
    <n v="0.86"/>
    <s v="fraction"/>
  </r>
  <r>
    <x v="25"/>
    <x v="6"/>
    <x v="2"/>
    <x v="5"/>
    <n v="0.13900000000000001"/>
    <s v="USD2022/GJ"/>
  </r>
  <r>
    <x v="25"/>
    <x v="7"/>
    <x v="2"/>
    <x v="0"/>
    <n v="1687.7"/>
    <s v="USD2022/kW"/>
  </r>
  <r>
    <x v="25"/>
    <x v="7"/>
    <x v="2"/>
    <x v="3"/>
    <n v="38.200000000000003"/>
    <s v="USD2022/kW-yr"/>
  </r>
  <r>
    <x v="25"/>
    <x v="7"/>
    <x v="2"/>
    <x v="7"/>
    <n v="0.86"/>
    <s v="fraction"/>
  </r>
  <r>
    <x v="25"/>
    <x v="7"/>
    <x v="2"/>
    <x v="5"/>
    <n v="0.13900000000000001"/>
    <s v="USD2022/GJ"/>
  </r>
  <r>
    <x v="25"/>
    <x v="8"/>
    <x v="2"/>
    <x v="0"/>
    <n v="1687.7"/>
    <s v="USD2022/kW"/>
  </r>
  <r>
    <x v="25"/>
    <x v="8"/>
    <x v="2"/>
    <x v="3"/>
    <n v="38.200000000000003"/>
    <s v="USD2022/kW-yr"/>
  </r>
  <r>
    <x v="25"/>
    <x v="8"/>
    <x v="2"/>
    <x v="7"/>
    <n v="0.86"/>
    <s v="fraction"/>
  </r>
  <r>
    <x v="25"/>
    <x v="8"/>
    <x v="2"/>
    <x v="5"/>
    <n v="0.13900000000000001"/>
    <s v="USD2022/GJ"/>
  </r>
  <r>
    <x v="25"/>
    <x v="0"/>
    <x v="2"/>
    <x v="1"/>
    <n v="2686.1"/>
    <s v="USD2022/kW"/>
  </r>
  <r>
    <x v="25"/>
    <x v="0"/>
    <x v="2"/>
    <x v="3"/>
    <n v="62.3"/>
    <s v="USD2022/kW-yr"/>
  </r>
  <r>
    <x v="25"/>
    <x v="1"/>
    <x v="2"/>
    <x v="1"/>
    <n v="2686.1"/>
    <s v="USD2022/kW"/>
  </r>
  <r>
    <x v="25"/>
    <x v="1"/>
    <x v="2"/>
    <x v="3"/>
    <n v="62.3"/>
    <s v="USD2022/kW-yr"/>
  </r>
  <r>
    <x v="25"/>
    <x v="2"/>
    <x v="2"/>
    <x v="1"/>
    <n v="2686.1"/>
    <s v="USD2022/kW"/>
  </r>
  <r>
    <x v="25"/>
    <x v="2"/>
    <x v="2"/>
    <x v="3"/>
    <n v="62.3"/>
    <s v="USD2022/kW-yr"/>
  </r>
  <r>
    <x v="25"/>
    <x v="3"/>
    <x v="2"/>
    <x v="1"/>
    <n v="2686.1"/>
    <s v="USD2022/kW"/>
  </r>
  <r>
    <x v="25"/>
    <x v="3"/>
    <x v="2"/>
    <x v="3"/>
    <n v="62.3"/>
    <s v="USD2022/kW-yr"/>
  </r>
  <r>
    <x v="25"/>
    <x v="4"/>
    <x v="2"/>
    <x v="1"/>
    <n v="2686.1"/>
    <s v="USD2022/kW"/>
  </r>
  <r>
    <x v="25"/>
    <x v="4"/>
    <x v="2"/>
    <x v="3"/>
    <n v="62.3"/>
    <s v="USD2022/kW-yr"/>
  </r>
  <r>
    <x v="25"/>
    <x v="5"/>
    <x v="2"/>
    <x v="1"/>
    <n v="2686.1"/>
    <s v="USD2022/kW"/>
  </r>
  <r>
    <x v="25"/>
    <x v="5"/>
    <x v="2"/>
    <x v="3"/>
    <n v="62.3"/>
    <s v="USD2022/kW-yr"/>
  </r>
  <r>
    <x v="25"/>
    <x v="6"/>
    <x v="2"/>
    <x v="1"/>
    <n v="2686.1"/>
    <s v="USD2022/kW"/>
  </r>
  <r>
    <x v="25"/>
    <x v="6"/>
    <x v="2"/>
    <x v="3"/>
    <n v="62.3"/>
    <s v="USD2022/kW-yr"/>
  </r>
  <r>
    <x v="25"/>
    <x v="7"/>
    <x v="2"/>
    <x v="1"/>
    <n v="2686.1"/>
    <s v="USD2022/kW"/>
  </r>
  <r>
    <x v="25"/>
    <x v="7"/>
    <x v="2"/>
    <x v="3"/>
    <n v="62.3"/>
    <s v="USD2022/kW-yr"/>
  </r>
  <r>
    <x v="25"/>
    <x v="8"/>
    <x v="2"/>
    <x v="1"/>
    <n v="2686.1"/>
    <s v="USD2022/kW"/>
  </r>
  <r>
    <x v="25"/>
    <x v="8"/>
    <x v="2"/>
    <x v="3"/>
    <n v="62.3"/>
    <s v="USD2022/kW-yr"/>
  </r>
  <r>
    <x v="25"/>
    <x v="0"/>
    <x v="2"/>
    <x v="2"/>
    <n v="1297.5"/>
    <s v="USD2022/kW"/>
  </r>
  <r>
    <x v="25"/>
    <x v="0"/>
    <x v="2"/>
    <x v="3"/>
    <n v="28.8"/>
    <s v="USD2022/kW-yr"/>
  </r>
  <r>
    <x v="25"/>
    <x v="1"/>
    <x v="2"/>
    <x v="2"/>
    <n v="1297.5"/>
    <s v="USD2022/kW"/>
  </r>
  <r>
    <x v="25"/>
    <x v="1"/>
    <x v="2"/>
    <x v="3"/>
    <n v="28.8"/>
    <s v="USD2022/kW-yr"/>
  </r>
  <r>
    <x v="25"/>
    <x v="2"/>
    <x v="2"/>
    <x v="2"/>
    <n v="1297.5"/>
    <s v="USD2022/kW"/>
  </r>
  <r>
    <x v="25"/>
    <x v="2"/>
    <x v="2"/>
    <x v="3"/>
    <n v="28.8"/>
    <s v="USD2022/kW-yr"/>
  </r>
  <r>
    <x v="25"/>
    <x v="3"/>
    <x v="2"/>
    <x v="2"/>
    <n v="1297.5"/>
    <s v="USD2022/kW"/>
  </r>
  <r>
    <x v="25"/>
    <x v="3"/>
    <x v="2"/>
    <x v="3"/>
    <n v="28.8"/>
    <s v="USD2022/kW-yr"/>
  </r>
  <r>
    <x v="25"/>
    <x v="4"/>
    <x v="2"/>
    <x v="2"/>
    <n v="1297.5"/>
    <s v="USD2022/kW"/>
  </r>
  <r>
    <x v="25"/>
    <x v="4"/>
    <x v="2"/>
    <x v="3"/>
    <n v="28.8"/>
    <s v="USD2022/kW-yr"/>
  </r>
  <r>
    <x v="25"/>
    <x v="5"/>
    <x v="2"/>
    <x v="2"/>
    <n v="1297.5"/>
    <s v="USD2022/kW"/>
  </r>
  <r>
    <x v="25"/>
    <x v="5"/>
    <x v="2"/>
    <x v="3"/>
    <n v="28.8"/>
    <s v="USD2022/kW-yr"/>
  </r>
  <r>
    <x v="25"/>
    <x v="6"/>
    <x v="2"/>
    <x v="2"/>
    <n v="1297.5"/>
    <s v="USD2022/kW"/>
  </r>
  <r>
    <x v="25"/>
    <x v="6"/>
    <x v="2"/>
    <x v="3"/>
    <n v="28.8"/>
    <s v="USD2022/kW-yr"/>
  </r>
  <r>
    <x v="25"/>
    <x v="7"/>
    <x v="2"/>
    <x v="2"/>
    <n v="1297.5"/>
    <s v="USD2022/kW"/>
  </r>
  <r>
    <x v="25"/>
    <x v="7"/>
    <x v="2"/>
    <x v="3"/>
    <n v="28.8"/>
    <s v="USD2022/kW-yr"/>
  </r>
  <r>
    <x v="25"/>
    <x v="8"/>
    <x v="2"/>
    <x v="2"/>
    <n v="1297.5"/>
    <s v="USD2022/kW"/>
  </r>
  <r>
    <x v="25"/>
    <x v="8"/>
    <x v="2"/>
    <x v="3"/>
    <n v="28.8"/>
    <s v="USD2022/kW-yr"/>
  </r>
  <r>
    <x v="26"/>
    <x v="0"/>
    <x v="1"/>
    <x v="0"/>
    <n v="10253.1"/>
    <s v="USD2022/kW"/>
  </r>
  <r>
    <x v="26"/>
    <x v="0"/>
    <x v="1"/>
    <x v="3"/>
    <n v="144.5"/>
    <s v="USD2022/kW-yr"/>
  </r>
  <r>
    <x v="26"/>
    <x v="0"/>
    <x v="1"/>
    <x v="5"/>
    <n v="0.72199999999999998"/>
    <s v="USD2022/GJ"/>
  </r>
  <r>
    <x v="26"/>
    <x v="1"/>
    <x v="1"/>
    <x v="0"/>
    <n v="9650"/>
    <s v="USD2022/kW"/>
  </r>
  <r>
    <x v="26"/>
    <x v="1"/>
    <x v="1"/>
    <x v="3"/>
    <n v="136"/>
    <s v="USD2022/kW-yr"/>
  </r>
  <r>
    <x v="26"/>
    <x v="1"/>
    <x v="1"/>
    <x v="5"/>
    <n v="0.72199999999999998"/>
    <s v="USD2022/GJ"/>
  </r>
  <r>
    <x v="26"/>
    <x v="2"/>
    <x v="1"/>
    <x v="0"/>
    <n v="8041.7"/>
    <s v="USD2022/kW"/>
  </r>
  <r>
    <x v="26"/>
    <x v="2"/>
    <x v="1"/>
    <x v="3"/>
    <n v="113.3"/>
    <s v="USD2022/kW-yr"/>
  </r>
  <r>
    <x v="26"/>
    <x v="2"/>
    <x v="1"/>
    <x v="5"/>
    <n v="0.72199999999999998"/>
    <s v="USD2022/GJ"/>
  </r>
  <r>
    <x v="26"/>
    <x v="3"/>
    <x v="1"/>
    <x v="0"/>
    <n v="7639.6"/>
    <s v="USD2022/kW"/>
  </r>
  <r>
    <x v="26"/>
    <x v="3"/>
    <x v="1"/>
    <x v="3"/>
    <n v="107.7"/>
    <s v="USD2022/kW-yr"/>
  </r>
  <r>
    <x v="26"/>
    <x v="3"/>
    <x v="1"/>
    <x v="5"/>
    <n v="0.72199999999999998"/>
    <s v="USD2022/GJ"/>
  </r>
  <r>
    <x v="26"/>
    <x v="4"/>
    <x v="1"/>
    <x v="0"/>
    <n v="5629.2"/>
    <s v="USD2022/kW"/>
  </r>
  <r>
    <x v="26"/>
    <x v="4"/>
    <x v="1"/>
    <x v="3"/>
    <n v="79.3"/>
    <s v="USD2022/kW-yr"/>
  </r>
  <r>
    <x v="26"/>
    <x v="4"/>
    <x v="1"/>
    <x v="5"/>
    <n v="0.72199999999999998"/>
    <s v="USD2022/GJ"/>
  </r>
  <r>
    <x v="26"/>
    <x v="5"/>
    <x v="1"/>
    <x v="0"/>
    <n v="5629.2"/>
    <s v="USD2022/kW"/>
  </r>
  <r>
    <x v="26"/>
    <x v="5"/>
    <x v="1"/>
    <x v="3"/>
    <n v="79.3"/>
    <s v="USD2022/kW-yr"/>
  </r>
  <r>
    <x v="26"/>
    <x v="5"/>
    <x v="1"/>
    <x v="5"/>
    <n v="0.72199999999999998"/>
    <s v="USD2022/GJ"/>
  </r>
  <r>
    <x v="26"/>
    <x v="6"/>
    <x v="1"/>
    <x v="0"/>
    <n v="7036.5"/>
    <s v="USD2022/kW"/>
  </r>
  <r>
    <x v="26"/>
    <x v="6"/>
    <x v="1"/>
    <x v="3"/>
    <n v="99.2"/>
    <s v="USD2022/kW-yr"/>
  </r>
  <r>
    <x v="26"/>
    <x v="6"/>
    <x v="1"/>
    <x v="5"/>
    <n v="0.72199999999999998"/>
    <s v="USD2022/GJ"/>
  </r>
  <r>
    <x v="26"/>
    <x v="7"/>
    <x v="1"/>
    <x v="0"/>
    <n v="8041.7"/>
    <s v="USD2022/kW"/>
  </r>
  <r>
    <x v="26"/>
    <x v="7"/>
    <x v="1"/>
    <x v="3"/>
    <n v="113.3"/>
    <s v="USD2022/kW-yr"/>
  </r>
  <r>
    <x v="26"/>
    <x v="7"/>
    <x v="1"/>
    <x v="5"/>
    <n v="0.72199999999999998"/>
    <s v="USD2022/GJ"/>
  </r>
  <r>
    <x v="26"/>
    <x v="8"/>
    <x v="1"/>
    <x v="0"/>
    <n v="8041.7"/>
    <s v="USD2022/kW"/>
  </r>
  <r>
    <x v="26"/>
    <x v="8"/>
    <x v="1"/>
    <x v="3"/>
    <n v="113.3"/>
    <s v="USD2022/kW-yr"/>
  </r>
  <r>
    <x v="26"/>
    <x v="8"/>
    <x v="1"/>
    <x v="5"/>
    <n v="0.72199999999999998"/>
    <s v="USD2022/GJ"/>
  </r>
  <r>
    <x v="26"/>
    <x v="0"/>
    <x v="1"/>
    <x v="1"/>
    <n v="13473.7"/>
    <s v="USD2022/kW"/>
  </r>
  <r>
    <x v="26"/>
    <x v="0"/>
    <x v="1"/>
    <x v="3"/>
    <n v="229.5"/>
    <s v="USD2022/kW-yr"/>
  </r>
  <r>
    <x v="26"/>
    <x v="1"/>
    <x v="1"/>
    <x v="1"/>
    <n v="12681.1"/>
    <s v="USD2022/kW"/>
  </r>
  <r>
    <x v="26"/>
    <x v="1"/>
    <x v="1"/>
    <x v="3"/>
    <n v="216"/>
    <s v="USD2022/kW-yr"/>
  </r>
  <r>
    <x v="26"/>
    <x v="2"/>
    <x v="1"/>
    <x v="1"/>
    <n v="10567.6"/>
    <s v="USD2022/kW"/>
  </r>
  <r>
    <x v="26"/>
    <x v="2"/>
    <x v="1"/>
    <x v="3"/>
    <n v="180"/>
    <s v="USD2022/kW-yr"/>
  </r>
  <r>
    <x v="26"/>
    <x v="3"/>
    <x v="1"/>
    <x v="1"/>
    <n v="10039.200000000001"/>
    <s v="USD2022/kW"/>
  </r>
  <r>
    <x v="26"/>
    <x v="3"/>
    <x v="1"/>
    <x v="3"/>
    <n v="171"/>
    <s v="USD2022/kW-yr"/>
  </r>
  <r>
    <x v="26"/>
    <x v="4"/>
    <x v="1"/>
    <x v="1"/>
    <n v="7397.3"/>
    <s v="USD2022/kW"/>
  </r>
  <r>
    <x v="26"/>
    <x v="4"/>
    <x v="1"/>
    <x v="3"/>
    <n v="126"/>
    <s v="USD2022/kW-yr"/>
  </r>
  <r>
    <x v="26"/>
    <x v="5"/>
    <x v="1"/>
    <x v="1"/>
    <n v="7397.3"/>
    <s v="USD2022/kW"/>
  </r>
  <r>
    <x v="26"/>
    <x v="5"/>
    <x v="1"/>
    <x v="3"/>
    <n v="126"/>
    <s v="USD2022/kW-yr"/>
  </r>
  <r>
    <x v="26"/>
    <x v="6"/>
    <x v="1"/>
    <x v="1"/>
    <n v="9246.6"/>
    <s v="USD2022/kW"/>
  </r>
  <r>
    <x v="26"/>
    <x v="6"/>
    <x v="1"/>
    <x v="3"/>
    <n v="157.5"/>
    <s v="USD2022/kW-yr"/>
  </r>
  <r>
    <x v="26"/>
    <x v="7"/>
    <x v="1"/>
    <x v="1"/>
    <n v="10567.6"/>
    <s v="USD2022/kW"/>
  </r>
  <r>
    <x v="26"/>
    <x v="7"/>
    <x v="1"/>
    <x v="3"/>
    <n v="180"/>
    <s v="USD2022/kW-yr"/>
  </r>
  <r>
    <x v="26"/>
    <x v="8"/>
    <x v="1"/>
    <x v="1"/>
    <n v="10567.6"/>
    <s v="USD2022/kW"/>
  </r>
  <r>
    <x v="26"/>
    <x v="8"/>
    <x v="1"/>
    <x v="3"/>
    <n v="180"/>
    <s v="USD2022/kW-yr"/>
  </r>
  <r>
    <x v="26"/>
    <x v="0"/>
    <x v="1"/>
    <x v="2"/>
    <n v="6817.7"/>
    <s v="USD2022/kW"/>
  </r>
  <r>
    <x v="26"/>
    <x v="0"/>
    <x v="1"/>
    <x v="3"/>
    <n v="125.4"/>
    <s v="USD2022/kW-yr"/>
  </r>
  <r>
    <x v="26"/>
    <x v="1"/>
    <x v="1"/>
    <x v="2"/>
    <n v="6416.7"/>
    <s v="USD2022/kW"/>
  </r>
  <r>
    <x v="26"/>
    <x v="1"/>
    <x v="1"/>
    <x v="3"/>
    <n v="118"/>
    <s v="USD2022/kW-yr"/>
  </r>
  <r>
    <x v="26"/>
    <x v="2"/>
    <x v="1"/>
    <x v="2"/>
    <n v="5347.2"/>
    <s v="USD2022/kW"/>
  </r>
  <r>
    <x v="26"/>
    <x v="2"/>
    <x v="1"/>
    <x v="3"/>
    <n v="98.3"/>
    <s v="USD2022/kW-yr"/>
  </r>
  <r>
    <x v="26"/>
    <x v="3"/>
    <x v="1"/>
    <x v="2"/>
    <n v="5079.8999999999996"/>
    <s v="USD2022/kW"/>
  </r>
  <r>
    <x v="26"/>
    <x v="3"/>
    <x v="1"/>
    <x v="3"/>
    <n v="93.4"/>
    <s v="USD2022/kW-yr"/>
  </r>
  <r>
    <x v="26"/>
    <x v="4"/>
    <x v="1"/>
    <x v="2"/>
    <n v="3743.1"/>
    <s v="USD2022/kW"/>
  </r>
  <r>
    <x v="26"/>
    <x v="4"/>
    <x v="1"/>
    <x v="3"/>
    <n v="68.8"/>
    <s v="USD2022/kW-yr"/>
  </r>
  <r>
    <x v="26"/>
    <x v="5"/>
    <x v="1"/>
    <x v="2"/>
    <n v="3743.1"/>
    <s v="USD2022/kW"/>
  </r>
  <r>
    <x v="26"/>
    <x v="5"/>
    <x v="1"/>
    <x v="3"/>
    <n v="68.8"/>
    <s v="USD2022/kW-yr"/>
  </r>
  <r>
    <x v="26"/>
    <x v="6"/>
    <x v="1"/>
    <x v="2"/>
    <n v="4678.8"/>
    <s v="USD2022/kW"/>
  </r>
  <r>
    <x v="26"/>
    <x v="6"/>
    <x v="1"/>
    <x v="3"/>
    <n v="86"/>
    <s v="USD2022/kW-yr"/>
  </r>
  <r>
    <x v="26"/>
    <x v="7"/>
    <x v="1"/>
    <x v="2"/>
    <n v="5347.2"/>
    <s v="USD2022/kW"/>
  </r>
  <r>
    <x v="26"/>
    <x v="7"/>
    <x v="1"/>
    <x v="3"/>
    <n v="98.3"/>
    <s v="USD2022/kW-yr"/>
  </r>
  <r>
    <x v="26"/>
    <x v="8"/>
    <x v="1"/>
    <x v="2"/>
    <n v="5347.2"/>
    <s v="USD2022/kW"/>
  </r>
  <r>
    <x v="26"/>
    <x v="8"/>
    <x v="1"/>
    <x v="3"/>
    <n v="98.3"/>
    <s v="USD2022/kW-yr"/>
  </r>
  <r>
    <x v="26"/>
    <x v="0"/>
    <x v="4"/>
    <x v="0"/>
    <n v="7863"/>
    <s v="USD2022/kW"/>
  </r>
  <r>
    <x v="26"/>
    <x v="0"/>
    <x v="4"/>
    <x v="3"/>
    <n v="136"/>
    <s v="USD2022/kW-yr"/>
  </r>
  <r>
    <x v="26"/>
    <x v="0"/>
    <x v="4"/>
    <x v="5"/>
    <n v="0.72199999999999998"/>
    <s v="USD2022/GJ"/>
  </r>
  <r>
    <x v="26"/>
    <x v="1"/>
    <x v="4"/>
    <x v="0"/>
    <n v="7863"/>
    <s v="USD2022/kW"/>
  </r>
  <r>
    <x v="26"/>
    <x v="1"/>
    <x v="4"/>
    <x v="3"/>
    <n v="136"/>
    <s v="USD2022/kW-yr"/>
  </r>
  <r>
    <x v="26"/>
    <x v="1"/>
    <x v="4"/>
    <x v="5"/>
    <n v="0.72199999999999998"/>
    <s v="USD2022/GJ"/>
  </r>
  <r>
    <x v="26"/>
    <x v="2"/>
    <x v="4"/>
    <x v="0"/>
    <n v="6989.3"/>
    <s v="USD2022/kW"/>
  </r>
  <r>
    <x v="26"/>
    <x v="2"/>
    <x v="4"/>
    <x v="3"/>
    <n v="120.9"/>
    <s v="USD2022/kW-yr"/>
  </r>
  <r>
    <x v="26"/>
    <x v="2"/>
    <x v="4"/>
    <x v="5"/>
    <n v="0.72199999999999998"/>
    <s v="USD2022/GJ"/>
  </r>
  <r>
    <x v="26"/>
    <x v="3"/>
    <x v="4"/>
    <x v="0"/>
    <n v="6639.9"/>
    <s v="USD2022/kW"/>
  </r>
  <r>
    <x v="26"/>
    <x v="3"/>
    <x v="4"/>
    <x v="3"/>
    <n v="114.8"/>
    <s v="USD2022/kW-yr"/>
  </r>
  <r>
    <x v="26"/>
    <x v="3"/>
    <x v="4"/>
    <x v="5"/>
    <n v="0.72199999999999998"/>
    <s v="USD2022/GJ"/>
  </r>
  <r>
    <x v="26"/>
    <x v="4"/>
    <x v="4"/>
    <x v="0"/>
    <n v="4368.3"/>
    <s v="USD2022/kW"/>
  </r>
  <r>
    <x v="26"/>
    <x v="4"/>
    <x v="4"/>
    <x v="3"/>
    <n v="75.599999999999994"/>
    <s v="USD2022/kW-yr"/>
  </r>
  <r>
    <x v="26"/>
    <x v="4"/>
    <x v="4"/>
    <x v="5"/>
    <n v="0.72199999999999998"/>
    <s v="USD2022/GJ"/>
  </r>
  <r>
    <x v="26"/>
    <x v="5"/>
    <x v="4"/>
    <x v="0"/>
    <n v="4892.5"/>
    <s v="USD2022/kW"/>
  </r>
  <r>
    <x v="26"/>
    <x v="5"/>
    <x v="4"/>
    <x v="3"/>
    <n v="84.6"/>
    <s v="USD2022/kW-yr"/>
  </r>
  <r>
    <x v="26"/>
    <x v="5"/>
    <x v="4"/>
    <x v="5"/>
    <n v="0.72199999999999998"/>
    <s v="USD2022/GJ"/>
  </r>
  <r>
    <x v="26"/>
    <x v="6"/>
    <x v="4"/>
    <x v="0"/>
    <n v="6115.7"/>
    <s v="USD2022/kW"/>
  </r>
  <r>
    <x v="26"/>
    <x v="6"/>
    <x v="4"/>
    <x v="3"/>
    <n v="105.8"/>
    <s v="USD2022/kW-yr"/>
  </r>
  <r>
    <x v="26"/>
    <x v="6"/>
    <x v="4"/>
    <x v="5"/>
    <n v="0.72199999999999998"/>
    <s v="USD2022/GJ"/>
  </r>
  <r>
    <x v="26"/>
    <x v="7"/>
    <x v="4"/>
    <x v="0"/>
    <n v="6989.3"/>
    <s v="USD2022/kW"/>
  </r>
  <r>
    <x v="26"/>
    <x v="7"/>
    <x v="4"/>
    <x v="3"/>
    <n v="120.9"/>
    <s v="USD2022/kW-yr"/>
  </r>
  <r>
    <x v="26"/>
    <x v="7"/>
    <x v="4"/>
    <x v="5"/>
    <n v="0.72199999999999998"/>
    <s v="USD2022/GJ"/>
  </r>
  <r>
    <x v="26"/>
    <x v="8"/>
    <x v="4"/>
    <x v="0"/>
    <n v="6989.3"/>
    <s v="USD2022/kW"/>
  </r>
  <r>
    <x v="26"/>
    <x v="8"/>
    <x v="4"/>
    <x v="3"/>
    <n v="120.9"/>
    <s v="USD2022/kW-yr"/>
  </r>
  <r>
    <x v="26"/>
    <x v="8"/>
    <x v="4"/>
    <x v="5"/>
    <n v="0.72199999999999998"/>
    <s v="USD2022/GJ"/>
  </r>
  <r>
    <x v="26"/>
    <x v="0"/>
    <x v="4"/>
    <x v="1"/>
    <n v="12053.3"/>
    <s v="USD2022/kW"/>
  </r>
  <r>
    <x v="26"/>
    <x v="0"/>
    <x v="4"/>
    <x v="3"/>
    <n v="216"/>
    <s v="USD2022/kW-yr"/>
  </r>
  <r>
    <x v="26"/>
    <x v="1"/>
    <x v="4"/>
    <x v="1"/>
    <n v="12053.3"/>
    <s v="USD2022/kW"/>
  </r>
  <r>
    <x v="26"/>
    <x v="1"/>
    <x v="4"/>
    <x v="3"/>
    <n v="216"/>
    <s v="USD2022/kW-yr"/>
  </r>
  <r>
    <x v="26"/>
    <x v="2"/>
    <x v="4"/>
    <x v="1"/>
    <n v="10714"/>
    <s v="USD2022/kW"/>
  </r>
  <r>
    <x v="26"/>
    <x v="2"/>
    <x v="4"/>
    <x v="3"/>
    <n v="192"/>
    <s v="USD2022/kW-yr"/>
  </r>
  <r>
    <x v="26"/>
    <x v="3"/>
    <x v="4"/>
    <x v="1"/>
    <n v="10178.299999999999"/>
    <s v="USD2022/kW"/>
  </r>
  <r>
    <x v="26"/>
    <x v="3"/>
    <x v="4"/>
    <x v="3"/>
    <n v="182.4"/>
    <s v="USD2022/kW-yr"/>
  </r>
  <r>
    <x v="26"/>
    <x v="4"/>
    <x v="4"/>
    <x v="1"/>
    <n v="6696.3"/>
    <s v="USD2022/kW"/>
  </r>
  <r>
    <x v="26"/>
    <x v="4"/>
    <x v="4"/>
    <x v="3"/>
    <n v="120"/>
    <s v="USD2022/kW-yr"/>
  </r>
  <r>
    <x v="26"/>
    <x v="5"/>
    <x v="4"/>
    <x v="1"/>
    <n v="7499.8"/>
    <s v="USD2022/kW"/>
  </r>
  <r>
    <x v="26"/>
    <x v="5"/>
    <x v="4"/>
    <x v="3"/>
    <n v="134.4"/>
    <s v="USD2022/kW-yr"/>
  </r>
  <r>
    <x v="26"/>
    <x v="6"/>
    <x v="4"/>
    <x v="1"/>
    <n v="9374.7999999999993"/>
    <s v="USD2022/kW"/>
  </r>
  <r>
    <x v="26"/>
    <x v="6"/>
    <x v="4"/>
    <x v="3"/>
    <n v="168"/>
    <s v="USD2022/kW-yr"/>
  </r>
  <r>
    <x v="26"/>
    <x v="7"/>
    <x v="4"/>
    <x v="1"/>
    <n v="10714"/>
    <s v="USD2022/kW"/>
  </r>
  <r>
    <x v="26"/>
    <x v="7"/>
    <x v="4"/>
    <x v="3"/>
    <n v="192"/>
    <s v="USD2022/kW-yr"/>
  </r>
  <r>
    <x v="26"/>
    <x v="8"/>
    <x v="4"/>
    <x v="1"/>
    <n v="10714"/>
    <s v="USD2022/kW"/>
  </r>
  <r>
    <x v="26"/>
    <x v="8"/>
    <x v="4"/>
    <x v="3"/>
    <n v="192"/>
    <s v="USD2022/kW-yr"/>
  </r>
  <r>
    <x v="26"/>
    <x v="0"/>
    <x v="4"/>
    <x v="2"/>
    <n v="3838.6"/>
    <s v="USD2022/kW"/>
  </r>
  <r>
    <x v="26"/>
    <x v="0"/>
    <x v="4"/>
    <x v="3"/>
    <n v="118"/>
    <s v="USD2022/kW-yr"/>
  </r>
  <r>
    <x v="26"/>
    <x v="1"/>
    <x v="4"/>
    <x v="2"/>
    <n v="3838.6"/>
    <s v="USD2022/kW"/>
  </r>
  <r>
    <x v="26"/>
    <x v="1"/>
    <x v="4"/>
    <x v="3"/>
    <n v="118"/>
    <s v="USD2022/kW-yr"/>
  </r>
  <r>
    <x v="26"/>
    <x v="2"/>
    <x v="4"/>
    <x v="2"/>
    <n v="3412.1"/>
    <s v="USD2022/kW"/>
  </r>
  <r>
    <x v="26"/>
    <x v="2"/>
    <x v="4"/>
    <x v="3"/>
    <n v="104.9"/>
    <s v="USD2022/kW-yr"/>
  </r>
  <r>
    <x v="26"/>
    <x v="3"/>
    <x v="4"/>
    <x v="2"/>
    <n v="3241.5"/>
    <s v="USD2022/kW"/>
  </r>
  <r>
    <x v="26"/>
    <x v="3"/>
    <x v="4"/>
    <x v="3"/>
    <n v="99.6"/>
    <s v="USD2022/kW-yr"/>
  </r>
  <r>
    <x v="26"/>
    <x v="4"/>
    <x v="4"/>
    <x v="2"/>
    <n v="2132.6"/>
    <s v="USD2022/kW"/>
  </r>
  <r>
    <x v="26"/>
    <x v="4"/>
    <x v="4"/>
    <x v="3"/>
    <n v="65.599999999999994"/>
    <s v="USD2022/kW-yr"/>
  </r>
  <r>
    <x v="26"/>
    <x v="5"/>
    <x v="4"/>
    <x v="2"/>
    <n v="2388.5"/>
    <s v="USD2022/kW"/>
  </r>
  <r>
    <x v="26"/>
    <x v="5"/>
    <x v="4"/>
    <x v="3"/>
    <n v="73.400000000000006"/>
    <s v="USD2022/kW-yr"/>
  </r>
  <r>
    <x v="26"/>
    <x v="6"/>
    <x v="4"/>
    <x v="2"/>
    <n v="2985.6"/>
    <s v="USD2022/kW"/>
  </r>
  <r>
    <x v="26"/>
    <x v="6"/>
    <x v="4"/>
    <x v="3"/>
    <n v="91.8"/>
    <s v="USD2022/kW-yr"/>
  </r>
  <r>
    <x v="26"/>
    <x v="7"/>
    <x v="4"/>
    <x v="2"/>
    <n v="3412.1"/>
    <s v="USD2022/kW"/>
  </r>
  <r>
    <x v="26"/>
    <x v="7"/>
    <x v="4"/>
    <x v="3"/>
    <n v="104.9"/>
    <s v="USD2022/kW-yr"/>
  </r>
  <r>
    <x v="26"/>
    <x v="8"/>
    <x v="4"/>
    <x v="2"/>
    <n v="3412.1"/>
    <s v="USD2022/kW"/>
  </r>
  <r>
    <x v="26"/>
    <x v="8"/>
    <x v="4"/>
    <x v="3"/>
    <n v="104.9"/>
    <s v="USD2022/kW-yr"/>
  </r>
  <r>
    <x v="26"/>
    <x v="0"/>
    <x v="5"/>
    <x v="0"/>
    <n v="6373.8"/>
    <s v="USD2022/kW"/>
  </r>
  <r>
    <x v="26"/>
    <x v="0"/>
    <x v="5"/>
    <x v="3"/>
    <n v="136"/>
    <s v="USD2022/kW-yr"/>
  </r>
  <r>
    <x v="26"/>
    <x v="0"/>
    <x v="5"/>
    <x v="5"/>
    <n v="0.72199999999999998"/>
    <s v="USD2022/GJ"/>
  </r>
  <r>
    <x v="26"/>
    <x v="1"/>
    <x v="5"/>
    <x v="0"/>
    <n v="6373.8"/>
    <s v="USD2022/kW"/>
  </r>
  <r>
    <x v="26"/>
    <x v="1"/>
    <x v="5"/>
    <x v="3"/>
    <n v="136"/>
    <s v="USD2022/kW-yr"/>
  </r>
  <r>
    <x v="26"/>
    <x v="1"/>
    <x v="5"/>
    <x v="5"/>
    <n v="0.72199999999999998"/>
    <s v="USD2022/GJ"/>
  </r>
  <r>
    <x v="26"/>
    <x v="2"/>
    <x v="5"/>
    <x v="0"/>
    <n v="5665.6"/>
    <s v="USD2022/kW"/>
  </r>
  <r>
    <x v="26"/>
    <x v="2"/>
    <x v="5"/>
    <x v="3"/>
    <n v="120.9"/>
    <s v="USD2022/kW-yr"/>
  </r>
  <r>
    <x v="26"/>
    <x v="2"/>
    <x v="5"/>
    <x v="5"/>
    <n v="0.72199999999999998"/>
    <s v="USD2022/GJ"/>
  </r>
  <r>
    <x v="26"/>
    <x v="3"/>
    <x v="5"/>
    <x v="0"/>
    <n v="5382.3"/>
    <s v="USD2022/kW"/>
  </r>
  <r>
    <x v="26"/>
    <x v="3"/>
    <x v="5"/>
    <x v="3"/>
    <n v="114.8"/>
    <s v="USD2022/kW-yr"/>
  </r>
  <r>
    <x v="26"/>
    <x v="3"/>
    <x v="5"/>
    <x v="5"/>
    <n v="0.72199999999999998"/>
    <s v="USD2022/GJ"/>
  </r>
  <r>
    <x v="26"/>
    <x v="4"/>
    <x v="5"/>
    <x v="0"/>
    <n v="3541"/>
    <s v="USD2022/kW"/>
  </r>
  <r>
    <x v="26"/>
    <x v="4"/>
    <x v="5"/>
    <x v="3"/>
    <n v="75.599999999999994"/>
    <s v="USD2022/kW-yr"/>
  </r>
  <r>
    <x v="26"/>
    <x v="4"/>
    <x v="5"/>
    <x v="5"/>
    <n v="0.72199999999999998"/>
    <s v="USD2022/GJ"/>
  </r>
  <r>
    <x v="26"/>
    <x v="5"/>
    <x v="5"/>
    <x v="0"/>
    <n v="3965.9"/>
    <s v="USD2022/kW"/>
  </r>
  <r>
    <x v="26"/>
    <x v="5"/>
    <x v="5"/>
    <x v="3"/>
    <n v="84.6"/>
    <s v="USD2022/kW-yr"/>
  </r>
  <r>
    <x v="26"/>
    <x v="5"/>
    <x v="5"/>
    <x v="5"/>
    <n v="0.72199999999999998"/>
    <s v="USD2022/GJ"/>
  </r>
  <r>
    <x v="26"/>
    <x v="6"/>
    <x v="5"/>
    <x v="0"/>
    <n v="4957.3999999999996"/>
    <s v="USD2022/kW"/>
  </r>
  <r>
    <x v="26"/>
    <x v="6"/>
    <x v="5"/>
    <x v="3"/>
    <n v="105.8"/>
    <s v="USD2022/kW-yr"/>
  </r>
  <r>
    <x v="26"/>
    <x v="6"/>
    <x v="5"/>
    <x v="5"/>
    <n v="0.72199999999999998"/>
    <s v="USD2022/GJ"/>
  </r>
  <r>
    <x v="26"/>
    <x v="7"/>
    <x v="5"/>
    <x v="0"/>
    <n v="5665.6"/>
    <s v="USD2022/kW"/>
  </r>
  <r>
    <x v="26"/>
    <x v="7"/>
    <x v="5"/>
    <x v="3"/>
    <n v="120.9"/>
    <s v="USD2022/kW-yr"/>
  </r>
  <r>
    <x v="26"/>
    <x v="7"/>
    <x v="5"/>
    <x v="5"/>
    <n v="0.72199999999999998"/>
    <s v="USD2022/GJ"/>
  </r>
  <r>
    <x v="26"/>
    <x v="8"/>
    <x v="5"/>
    <x v="0"/>
    <n v="5665.6"/>
    <s v="USD2022/kW"/>
  </r>
  <r>
    <x v="26"/>
    <x v="8"/>
    <x v="5"/>
    <x v="3"/>
    <n v="120.9"/>
    <s v="USD2022/kW-yr"/>
  </r>
  <r>
    <x v="26"/>
    <x v="8"/>
    <x v="5"/>
    <x v="5"/>
    <n v="0.72199999999999998"/>
    <s v="USD2022/GJ"/>
  </r>
  <r>
    <x v="26"/>
    <x v="0"/>
    <x v="5"/>
    <x v="1"/>
    <n v="10170"/>
    <s v="USD2022/kW"/>
  </r>
  <r>
    <x v="26"/>
    <x v="0"/>
    <x v="5"/>
    <x v="3"/>
    <n v="216"/>
    <s v="USD2022/kW-yr"/>
  </r>
  <r>
    <x v="26"/>
    <x v="1"/>
    <x v="5"/>
    <x v="1"/>
    <n v="10170"/>
    <s v="USD2022/kW"/>
  </r>
  <r>
    <x v="26"/>
    <x v="1"/>
    <x v="5"/>
    <x v="3"/>
    <n v="216"/>
    <s v="USD2022/kW-yr"/>
  </r>
  <r>
    <x v="26"/>
    <x v="2"/>
    <x v="5"/>
    <x v="1"/>
    <n v="9040"/>
    <s v="USD2022/kW"/>
  </r>
  <r>
    <x v="26"/>
    <x v="2"/>
    <x v="5"/>
    <x v="3"/>
    <n v="192"/>
    <s v="USD2022/kW-yr"/>
  </r>
  <r>
    <x v="26"/>
    <x v="3"/>
    <x v="5"/>
    <x v="1"/>
    <n v="8588"/>
    <s v="USD2022/kW"/>
  </r>
  <r>
    <x v="26"/>
    <x v="3"/>
    <x v="5"/>
    <x v="3"/>
    <n v="182.4"/>
    <s v="USD2022/kW-yr"/>
  </r>
  <r>
    <x v="26"/>
    <x v="4"/>
    <x v="5"/>
    <x v="1"/>
    <n v="5650"/>
    <s v="USD2022/kW"/>
  </r>
  <r>
    <x v="26"/>
    <x v="4"/>
    <x v="5"/>
    <x v="3"/>
    <n v="120"/>
    <s v="USD2022/kW-yr"/>
  </r>
  <r>
    <x v="26"/>
    <x v="5"/>
    <x v="5"/>
    <x v="1"/>
    <n v="6328"/>
    <s v="USD2022/kW"/>
  </r>
  <r>
    <x v="26"/>
    <x v="5"/>
    <x v="5"/>
    <x v="3"/>
    <n v="134.4"/>
    <s v="USD2022/kW-yr"/>
  </r>
  <r>
    <x v="26"/>
    <x v="6"/>
    <x v="5"/>
    <x v="1"/>
    <n v="7910"/>
    <s v="USD2022/kW"/>
  </r>
  <r>
    <x v="26"/>
    <x v="6"/>
    <x v="5"/>
    <x v="3"/>
    <n v="168"/>
    <s v="USD2022/kW-yr"/>
  </r>
  <r>
    <x v="26"/>
    <x v="7"/>
    <x v="5"/>
    <x v="1"/>
    <n v="9040"/>
    <s v="USD2022/kW"/>
  </r>
  <r>
    <x v="26"/>
    <x v="7"/>
    <x v="5"/>
    <x v="3"/>
    <n v="192"/>
    <s v="USD2022/kW-yr"/>
  </r>
  <r>
    <x v="26"/>
    <x v="8"/>
    <x v="5"/>
    <x v="1"/>
    <n v="9040"/>
    <s v="USD2022/kW"/>
  </r>
  <r>
    <x v="26"/>
    <x v="8"/>
    <x v="5"/>
    <x v="3"/>
    <n v="192"/>
    <s v="USD2022/kW-yr"/>
  </r>
  <r>
    <x v="26"/>
    <x v="0"/>
    <x v="5"/>
    <x v="2"/>
    <n v="2979.2"/>
    <s v="USD2022/kW"/>
  </r>
  <r>
    <x v="26"/>
    <x v="0"/>
    <x v="5"/>
    <x v="3"/>
    <n v="118"/>
    <s v="USD2022/kW-yr"/>
  </r>
  <r>
    <x v="26"/>
    <x v="1"/>
    <x v="5"/>
    <x v="2"/>
    <n v="2979.2"/>
    <s v="USD2022/kW"/>
  </r>
  <r>
    <x v="26"/>
    <x v="1"/>
    <x v="5"/>
    <x v="3"/>
    <n v="118"/>
    <s v="USD2022/kW-yr"/>
  </r>
  <r>
    <x v="26"/>
    <x v="2"/>
    <x v="5"/>
    <x v="2"/>
    <n v="2648.2"/>
    <s v="USD2022/kW"/>
  </r>
  <r>
    <x v="26"/>
    <x v="2"/>
    <x v="5"/>
    <x v="3"/>
    <n v="104.9"/>
    <s v="USD2022/kW-yr"/>
  </r>
  <r>
    <x v="26"/>
    <x v="3"/>
    <x v="5"/>
    <x v="2"/>
    <n v="2515.8000000000002"/>
    <s v="USD2022/kW"/>
  </r>
  <r>
    <x v="26"/>
    <x v="3"/>
    <x v="5"/>
    <x v="3"/>
    <n v="99.6"/>
    <s v="USD2022/kW-yr"/>
  </r>
  <r>
    <x v="26"/>
    <x v="4"/>
    <x v="5"/>
    <x v="2"/>
    <n v="1655.1"/>
    <s v="USD2022/kW"/>
  </r>
  <r>
    <x v="26"/>
    <x v="4"/>
    <x v="5"/>
    <x v="3"/>
    <n v="65.599999999999994"/>
    <s v="USD2022/kW-yr"/>
  </r>
  <r>
    <x v="26"/>
    <x v="5"/>
    <x v="5"/>
    <x v="2"/>
    <n v="1853.7"/>
    <s v="USD2022/kW"/>
  </r>
  <r>
    <x v="26"/>
    <x v="5"/>
    <x v="5"/>
    <x v="3"/>
    <n v="73.400000000000006"/>
    <s v="USD2022/kW-yr"/>
  </r>
  <r>
    <x v="26"/>
    <x v="6"/>
    <x v="5"/>
    <x v="2"/>
    <n v="2317.1999999999998"/>
    <s v="USD2022/kW"/>
  </r>
  <r>
    <x v="26"/>
    <x v="6"/>
    <x v="5"/>
    <x v="3"/>
    <n v="91.8"/>
    <s v="USD2022/kW-yr"/>
  </r>
  <r>
    <x v="26"/>
    <x v="7"/>
    <x v="5"/>
    <x v="2"/>
    <n v="2648.2"/>
    <s v="USD2022/kW"/>
  </r>
  <r>
    <x v="26"/>
    <x v="7"/>
    <x v="5"/>
    <x v="3"/>
    <n v="104.9"/>
    <s v="USD2022/kW-yr"/>
  </r>
  <r>
    <x v="26"/>
    <x v="8"/>
    <x v="5"/>
    <x v="2"/>
    <n v="2648.2"/>
    <s v="USD2022/kW"/>
  </r>
  <r>
    <x v="26"/>
    <x v="8"/>
    <x v="5"/>
    <x v="3"/>
    <n v="104.9"/>
    <s v="USD2022/kW-yr"/>
  </r>
  <r>
    <x v="26"/>
    <x v="0"/>
    <x v="6"/>
    <x v="0"/>
    <n v="5480.2"/>
    <s v="USD2022/kW"/>
  </r>
  <r>
    <x v="26"/>
    <x v="0"/>
    <x v="6"/>
    <x v="3"/>
    <n v="136"/>
    <s v="USD2022/kW-yr"/>
  </r>
  <r>
    <x v="26"/>
    <x v="0"/>
    <x v="6"/>
    <x v="5"/>
    <n v="0.72199999999999998"/>
    <s v="USD2022/GJ"/>
  </r>
  <r>
    <x v="26"/>
    <x v="1"/>
    <x v="6"/>
    <x v="0"/>
    <n v="5480.2"/>
    <s v="USD2022/kW"/>
  </r>
  <r>
    <x v="26"/>
    <x v="1"/>
    <x v="6"/>
    <x v="3"/>
    <n v="136"/>
    <s v="USD2022/kW-yr"/>
  </r>
  <r>
    <x v="26"/>
    <x v="1"/>
    <x v="6"/>
    <x v="5"/>
    <n v="0.72199999999999998"/>
    <s v="USD2022/GJ"/>
  </r>
  <r>
    <x v="26"/>
    <x v="2"/>
    <x v="6"/>
    <x v="0"/>
    <n v="4871.3"/>
    <s v="USD2022/kW"/>
  </r>
  <r>
    <x v="26"/>
    <x v="2"/>
    <x v="6"/>
    <x v="3"/>
    <n v="120.9"/>
    <s v="USD2022/kW-yr"/>
  </r>
  <r>
    <x v="26"/>
    <x v="2"/>
    <x v="6"/>
    <x v="5"/>
    <n v="0.72199999999999998"/>
    <s v="USD2022/GJ"/>
  </r>
  <r>
    <x v="26"/>
    <x v="3"/>
    <x v="6"/>
    <x v="0"/>
    <n v="4627.7"/>
    <s v="USD2022/kW"/>
  </r>
  <r>
    <x v="26"/>
    <x v="3"/>
    <x v="6"/>
    <x v="3"/>
    <n v="114.8"/>
    <s v="USD2022/kW-yr"/>
  </r>
  <r>
    <x v="26"/>
    <x v="3"/>
    <x v="6"/>
    <x v="5"/>
    <n v="0.72199999999999998"/>
    <s v="USD2022/GJ"/>
  </r>
  <r>
    <x v="26"/>
    <x v="4"/>
    <x v="6"/>
    <x v="0"/>
    <n v="3044.6"/>
    <s v="USD2022/kW"/>
  </r>
  <r>
    <x v="26"/>
    <x v="4"/>
    <x v="6"/>
    <x v="3"/>
    <n v="75.599999999999994"/>
    <s v="USD2022/kW-yr"/>
  </r>
  <r>
    <x v="26"/>
    <x v="4"/>
    <x v="6"/>
    <x v="5"/>
    <n v="0.72199999999999998"/>
    <s v="USD2022/GJ"/>
  </r>
  <r>
    <x v="26"/>
    <x v="5"/>
    <x v="6"/>
    <x v="0"/>
    <n v="3409.9"/>
    <s v="USD2022/kW"/>
  </r>
  <r>
    <x v="26"/>
    <x v="5"/>
    <x v="6"/>
    <x v="3"/>
    <n v="84.6"/>
    <s v="USD2022/kW-yr"/>
  </r>
  <r>
    <x v="26"/>
    <x v="5"/>
    <x v="6"/>
    <x v="5"/>
    <n v="0.72199999999999998"/>
    <s v="USD2022/GJ"/>
  </r>
  <r>
    <x v="26"/>
    <x v="6"/>
    <x v="6"/>
    <x v="0"/>
    <n v="4262.3999999999996"/>
    <s v="USD2022/kW"/>
  </r>
  <r>
    <x v="26"/>
    <x v="6"/>
    <x v="6"/>
    <x v="3"/>
    <n v="105.8"/>
    <s v="USD2022/kW-yr"/>
  </r>
  <r>
    <x v="26"/>
    <x v="6"/>
    <x v="6"/>
    <x v="5"/>
    <n v="0.72199999999999998"/>
    <s v="USD2022/GJ"/>
  </r>
  <r>
    <x v="26"/>
    <x v="7"/>
    <x v="6"/>
    <x v="0"/>
    <n v="4871.3"/>
    <s v="USD2022/kW"/>
  </r>
  <r>
    <x v="26"/>
    <x v="7"/>
    <x v="6"/>
    <x v="3"/>
    <n v="120.9"/>
    <s v="USD2022/kW-yr"/>
  </r>
  <r>
    <x v="26"/>
    <x v="7"/>
    <x v="6"/>
    <x v="5"/>
    <n v="0.72199999999999998"/>
    <s v="USD2022/GJ"/>
  </r>
  <r>
    <x v="26"/>
    <x v="8"/>
    <x v="6"/>
    <x v="0"/>
    <n v="4871.3"/>
    <s v="USD2022/kW"/>
  </r>
  <r>
    <x v="26"/>
    <x v="8"/>
    <x v="6"/>
    <x v="3"/>
    <n v="120.9"/>
    <s v="USD2022/kW-yr"/>
  </r>
  <r>
    <x v="26"/>
    <x v="8"/>
    <x v="6"/>
    <x v="5"/>
    <n v="0.72199999999999998"/>
    <s v="USD2022/GJ"/>
  </r>
  <r>
    <x v="26"/>
    <x v="0"/>
    <x v="6"/>
    <x v="1"/>
    <n v="8914.5"/>
    <s v="USD2022/kW"/>
  </r>
  <r>
    <x v="26"/>
    <x v="0"/>
    <x v="6"/>
    <x v="3"/>
    <n v="216"/>
    <s v="USD2022/kW-yr"/>
  </r>
  <r>
    <x v="26"/>
    <x v="1"/>
    <x v="6"/>
    <x v="1"/>
    <n v="8914.5"/>
    <s v="USD2022/kW"/>
  </r>
  <r>
    <x v="26"/>
    <x v="1"/>
    <x v="6"/>
    <x v="3"/>
    <n v="216"/>
    <s v="USD2022/kW-yr"/>
  </r>
  <r>
    <x v="26"/>
    <x v="2"/>
    <x v="6"/>
    <x v="1"/>
    <n v="7924"/>
    <s v="USD2022/kW"/>
  </r>
  <r>
    <x v="26"/>
    <x v="2"/>
    <x v="6"/>
    <x v="3"/>
    <n v="192"/>
    <s v="USD2022/kW-yr"/>
  </r>
  <r>
    <x v="26"/>
    <x v="3"/>
    <x v="6"/>
    <x v="1"/>
    <n v="7527.8"/>
    <s v="USD2022/kW"/>
  </r>
  <r>
    <x v="26"/>
    <x v="3"/>
    <x v="6"/>
    <x v="3"/>
    <n v="182.4"/>
    <s v="USD2022/kW-yr"/>
  </r>
  <r>
    <x v="26"/>
    <x v="4"/>
    <x v="6"/>
    <x v="1"/>
    <n v="4952.5"/>
    <s v="USD2022/kW"/>
  </r>
  <r>
    <x v="26"/>
    <x v="4"/>
    <x v="6"/>
    <x v="3"/>
    <n v="120"/>
    <s v="USD2022/kW-yr"/>
  </r>
  <r>
    <x v="26"/>
    <x v="5"/>
    <x v="6"/>
    <x v="1"/>
    <n v="5546.8"/>
    <s v="USD2022/kW"/>
  </r>
  <r>
    <x v="26"/>
    <x v="5"/>
    <x v="6"/>
    <x v="3"/>
    <n v="134.4"/>
    <s v="USD2022/kW-yr"/>
  </r>
  <r>
    <x v="26"/>
    <x v="6"/>
    <x v="6"/>
    <x v="1"/>
    <n v="6933.5"/>
    <s v="USD2022/kW"/>
  </r>
  <r>
    <x v="26"/>
    <x v="6"/>
    <x v="6"/>
    <x v="3"/>
    <n v="168"/>
    <s v="USD2022/kW-yr"/>
  </r>
  <r>
    <x v="26"/>
    <x v="7"/>
    <x v="6"/>
    <x v="1"/>
    <n v="7924"/>
    <s v="USD2022/kW"/>
  </r>
  <r>
    <x v="26"/>
    <x v="7"/>
    <x v="6"/>
    <x v="3"/>
    <n v="192"/>
    <s v="USD2022/kW-yr"/>
  </r>
  <r>
    <x v="26"/>
    <x v="8"/>
    <x v="6"/>
    <x v="1"/>
    <n v="7924"/>
    <s v="USD2022/kW"/>
  </r>
  <r>
    <x v="26"/>
    <x v="8"/>
    <x v="6"/>
    <x v="3"/>
    <n v="192"/>
    <s v="USD2022/kW-yr"/>
  </r>
  <r>
    <x v="26"/>
    <x v="0"/>
    <x v="6"/>
    <x v="2"/>
    <n v="2692.7"/>
    <s v="USD2022/kW"/>
  </r>
  <r>
    <x v="26"/>
    <x v="0"/>
    <x v="6"/>
    <x v="3"/>
    <n v="118"/>
    <s v="USD2022/kW-yr"/>
  </r>
  <r>
    <x v="26"/>
    <x v="1"/>
    <x v="6"/>
    <x v="2"/>
    <n v="2692.7"/>
    <s v="USD2022/kW"/>
  </r>
  <r>
    <x v="26"/>
    <x v="1"/>
    <x v="6"/>
    <x v="3"/>
    <n v="118"/>
    <s v="USD2022/kW-yr"/>
  </r>
  <r>
    <x v="26"/>
    <x v="2"/>
    <x v="6"/>
    <x v="2"/>
    <n v="2393.5"/>
    <s v="USD2022/kW"/>
  </r>
  <r>
    <x v="26"/>
    <x v="2"/>
    <x v="6"/>
    <x v="3"/>
    <n v="104.9"/>
    <s v="USD2022/kW-yr"/>
  </r>
  <r>
    <x v="26"/>
    <x v="3"/>
    <x v="6"/>
    <x v="2"/>
    <n v="2273.8000000000002"/>
    <s v="USD2022/kW"/>
  </r>
  <r>
    <x v="26"/>
    <x v="3"/>
    <x v="6"/>
    <x v="3"/>
    <n v="99.6"/>
    <s v="USD2022/kW-yr"/>
  </r>
  <r>
    <x v="26"/>
    <x v="4"/>
    <x v="6"/>
    <x v="2"/>
    <n v="1495.9"/>
    <s v="USD2022/kW"/>
  </r>
  <r>
    <x v="26"/>
    <x v="4"/>
    <x v="6"/>
    <x v="3"/>
    <n v="65.599999999999994"/>
    <s v="USD2022/kW-yr"/>
  </r>
  <r>
    <x v="26"/>
    <x v="5"/>
    <x v="6"/>
    <x v="2"/>
    <n v="1675.5"/>
    <s v="USD2022/kW"/>
  </r>
  <r>
    <x v="26"/>
    <x v="5"/>
    <x v="6"/>
    <x v="3"/>
    <n v="73.400000000000006"/>
    <s v="USD2022/kW-yr"/>
  </r>
  <r>
    <x v="26"/>
    <x v="6"/>
    <x v="6"/>
    <x v="2"/>
    <n v="2094.3000000000002"/>
    <s v="USD2022/kW"/>
  </r>
  <r>
    <x v="26"/>
    <x v="6"/>
    <x v="6"/>
    <x v="3"/>
    <n v="91.8"/>
    <s v="USD2022/kW-yr"/>
  </r>
  <r>
    <x v="26"/>
    <x v="7"/>
    <x v="6"/>
    <x v="2"/>
    <n v="2393.5"/>
    <s v="USD2022/kW"/>
  </r>
  <r>
    <x v="26"/>
    <x v="7"/>
    <x v="6"/>
    <x v="3"/>
    <n v="104.9"/>
    <s v="USD2022/kW-yr"/>
  </r>
  <r>
    <x v="26"/>
    <x v="8"/>
    <x v="6"/>
    <x v="2"/>
    <n v="2393.5"/>
    <s v="USD2022/kW"/>
  </r>
  <r>
    <x v="26"/>
    <x v="8"/>
    <x v="6"/>
    <x v="3"/>
    <n v="104.9"/>
    <s v="USD2022/kW-yr"/>
  </r>
  <r>
    <x v="26"/>
    <x v="0"/>
    <x v="2"/>
    <x v="0"/>
    <n v="4884.6000000000004"/>
    <s v="USD2022/kW"/>
  </r>
  <r>
    <x v="26"/>
    <x v="0"/>
    <x v="2"/>
    <x v="3"/>
    <n v="136"/>
    <s v="USD2022/kW-yr"/>
  </r>
  <r>
    <x v="26"/>
    <x v="0"/>
    <x v="2"/>
    <x v="5"/>
    <n v="0.72199999999999998"/>
    <s v="USD2022/GJ"/>
  </r>
  <r>
    <x v="26"/>
    <x v="1"/>
    <x v="2"/>
    <x v="0"/>
    <n v="4884.6000000000004"/>
    <s v="USD2022/kW"/>
  </r>
  <r>
    <x v="26"/>
    <x v="1"/>
    <x v="2"/>
    <x v="3"/>
    <n v="136"/>
    <s v="USD2022/kW-yr"/>
  </r>
  <r>
    <x v="26"/>
    <x v="1"/>
    <x v="2"/>
    <x v="5"/>
    <n v="0.72199999999999998"/>
    <s v="USD2022/GJ"/>
  </r>
  <r>
    <x v="26"/>
    <x v="2"/>
    <x v="2"/>
    <x v="0"/>
    <n v="4341.8999999999996"/>
    <s v="USD2022/kW"/>
  </r>
  <r>
    <x v="26"/>
    <x v="2"/>
    <x v="2"/>
    <x v="3"/>
    <n v="120.9"/>
    <s v="USD2022/kW-yr"/>
  </r>
  <r>
    <x v="26"/>
    <x v="2"/>
    <x v="2"/>
    <x v="5"/>
    <n v="0.72199999999999998"/>
    <s v="USD2022/GJ"/>
  </r>
  <r>
    <x v="26"/>
    <x v="3"/>
    <x v="2"/>
    <x v="0"/>
    <n v="4124.8"/>
    <s v="USD2022/kW"/>
  </r>
  <r>
    <x v="26"/>
    <x v="3"/>
    <x v="2"/>
    <x v="3"/>
    <n v="114.8"/>
    <s v="USD2022/kW-yr"/>
  </r>
  <r>
    <x v="26"/>
    <x v="3"/>
    <x v="2"/>
    <x v="5"/>
    <n v="0.72199999999999998"/>
    <s v="USD2022/GJ"/>
  </r>
  <r>
    <x v="26"/>
    <x v="4"/>
    <x v="2"/>
    <x v="0"/>
    <n v="2713.7"/>
    <s v="USD2022/kW"/>
  </r>
  <r>
    <x v="26"/>
    <x v="4"/>
    <x v="2"/>
    <x v="3"/>
    <n v="75.599999999999994"/>
    <s v="USD2022/kW-yr"/>
  </r>
  <r>
    <x v="26"/>
    <x v="4"/>
    <x v="2"/>
    <x v="5"/>
    <n v="0.72199999999999998"/>
    <s v="USD2022/GJ"/>
  </r>
  <r>
    <x v="26"/>
    <x v="5"/>
    <x v="2"/>
    <x v="0"/>
    <n v="3039.3"/>
    <s v="USD2022/kW"/>
  </r>
  <r>
    <x v="26"/>
    <x v="5"/>
    <x v="2"/>
    <x v="3"/>
    <n v="84.6"/>
    <s v="USD2022/kW-yr"/>
  </r>
  <r>
    <x v="26"/>
    <x v="5"/>
    <x v="2"/>
    <x v="5"/>
    <n v="0.72199999999999998"/>
    <s v="USD2022/GJ"/>
  </r>
  <r>
    <x v="26"/>
    <x v="6"/>
    <x v="2"/>
    <x v="0"/>
    <n v="3799.1"/>
    <s v="USD2022/kW"/>
  </r>
  <r>
    <x v="26"/>
    <x v="6"/>
    <x v="2"/>
    <x v="3"/>
    <n v="105.8"/>
    <s v="USD2022/kW-yr"/>
  </r>
  <r>
    <x v="26"/>
    <x v="6"/>
    <x v="2"/>
    <x v="5"/>
    <n v="0.72199999999999998"/>
    <s v="USD2022/GJ"/>
  </r>
  <r>
    <x v="26"/>
    <x v="7"/>
    <x v="2"/>
    <x v="0"/>
    <n v="4341.8999999999996"/>
    <s v="USD2022/kW"/>
  </r>
  <r>
    <x v="26"/>
    <x v="7"/>
    <x v="2"/>
    <x v="3"/>
    <n v="120.9"/>
    <s v="USD2022/kW-yr"/>
  </r>
  <r>
    <x v="26"/>
    <x v="7"/>
    <x v="2"/>
    <x v="5"/>
    <n v="0.72199999999999998"/>
    <s v="USD2022/GJ"/>
  </r>
  <r>
    <x v="26"/>
    <x v="8"/>
    <x v="2"/>
    <x v="0"/>
    <n v="4341.8999999999996"/>
    <s v="USD2022/kW"/>
  </r>
  <r>
    <x v="26"/>
    <x v="8"/>
    <x v="2"/>
    <x v="3"/>
    <n v="120.9"/>
    <s v="USD2022/kW-yr"/>
  </r>
  <r>
    <x v="26"/>
    <x v="8"/>
    <x v="2"/>
    <x v="5"/>
    <n v="0.72199999999999998"/>
    <s v="USD2022/GJ"/>
  </r>
  <r>
    <x v="26"/>
    <x v="0"/>
    <x v="2"/>
    <x v="1"/>
    <n v="7972.8"/>
    <s v="USD2022/kW"/>
  </r>
  <r>
    <x v="26"/>
    <x v="0"/>
    <x v="2"/>
    <x v="3"/>
    <n v="216"/>
    <s v="USD2022/kW-yr"/>
  </r>
  <r>
    <x v="26"/>
    <x v="1"/>
    <x v="2"/>
    <x v="1"/>
    <n v="7972.8"/>
    <s v="USD2022/kW"/>
  </r>
  <r>
    <x v="26"/>
    <x v="1"/>
    <x v="2"/>
    <x v="3"/>
    <n v="216"/>
    <s v="USD2022/kW-yr"/>
  </r>
  <r>
    <x v="26"/>
    <x v="2"/>
    <x v="2"/>
    <x v="1"/>
    <n v="7086.9"/>
    <s v="USD2022/kW"/>
  </r>
  <r>
    <x v="26"/>
    <x v="2"/>
    <x v="2"/>
    <x v="3"/>
    <n v="192"/>
    <s v="USD2022/kW-yr"/>
  </r>
  <r>
    <x v="26"/>
    <x v="3"/>
    <x v="2"/>
    <x v="1"/>
    <n v="6732.6"/>
    <s v="USD2022/kW"/>
  </r>
  <r>
    <x v="26"/>
    <x v="3"/>
    <x v="2"/>
    <x v="3"/>
    <n v="182.4"/>
    <s v="USD2022/kW-yr"/>
  </r>
  <r>
    <x v="26"/>
    <x v="4"/>
    <x v="2"/>
    <x v="1"/>
    <n v="4429.3"/>
    <s v="USD2022/kW"/>
  </r>
  <r>
    <x v="26"/>
    <x v="4"/>
    <x v="2"/>
    <x v="3"/>
    <n v="120"/>
    <s v="USD2022/kW-yr"/>
  </r>
  <r>
    <x v="26"/>
    <x v="5"/>
    <x v="2"/>
    <x v="1"/>
    <n v="4960.8999999999996"/>
    <s v="USD2022/kW"/>
  </r>
  <r>
    <x v="26"/>
    <x v="5"/>
    <x v="2"/>
    <x v="3"/>
    <n v="134.4"/>
    <s v="USD2022/kW-yr"/>
  </r>
  <r>
    <x v="26"/>
    <x v="6"/>
    <x v="2"/>
    <x v="1"/>
    <n v="6201.1"/>
    <s v="USD2022/kW"/>
  </r>
  <r>
    <x v="26"/>
    <x v="6"/>
    <x v="2"/>
    <x v="3"/>
    <n v="168"/>
    <s v="USD2022/kW-yr"/>
  </r>
  <r>
    <x v="26"/>
    <x v="7"/>
    <x v="2"/>
    <x v="1"/>
    <n v="7086.9"/>
    <s v="USD2022/kW"/>
  </r>
  <r>
    <x v="26"/>
    <x v="7"/>
    <x v="2"/>
    <x v="3"/>
    <n v="192"/>
    <s v="USD2022/kW-yr"/>
  </r>
  <r>
    <x v="26"/>
    <x v="8"/>
    <x v="2"/>
    <x v="1"/>
    <n v="7086.9"/>
    <s v="USD2022/kW"/>
  </r>
  <r>
    <x v="26"/>
    <x v="8"/>
    <x v="2"/>
    <x v="3"/>
    <n v="192"/>
    <s v="USD2022/kW-yr"/>
  </r>
  <r>
    <x v="26"/>
    <x v="0"/>
    <x v="2"/>
    <x v="2"/>
    <n v="2406.3000000000002"/>
    <s v="USD2022/kW"/>
  </r>
  <r>
    <x v="26"/>
    <x v="0"/>
    <x v="2"/>
    <x v="3"/>
    <n v="118"/>
    <s v="USD2022/kW-yr"/>
  </r>
  <r>
    <x v="26"/>
    <x v="1"/>
    <x v="2"/>
    <x v="2"/>
    <n v="2406.3000000000002"/>
    <s v="USD2022/kW"/>
  </r>
  <r>
    <x v="26"/>
    <x v="1"/>
    <x v="2"/>
    <x v="3"/>
    <n v="118"/>
    <s v="USD2022/kW-yr"/>
  </r>
  <r>
    <x v="26"/>
    <x v="2"/>
    <x v="2"/>
    <x v="2"/>
    <n v="2138.9"/>
    <s v="USD2022/kW"/>
  </r>
  <r>
    <x v="26"/>
    <x v="2"/>
    <x v="2"/>
    <x v="3"/>
    <n v="104.9"/>
    <s v="USD2022/kW-yr"/>
  </r>
  <r>
    <x v="26"/>
    <x v="3"/>
    <x v="2"/>
    <x v="2"/>
    <n v="2032"/>
    <s v="USD2022/kW"/>
  </r>
  <r>
    <x v="26"/>
    <x v="3"/>
    <x v="2"/>
    <x v="3"/>
    <n v="99.6"/>
    <s v="USD2022/kW-yr"/>
  </r>
  <r>
    <x v="26"/>
    <x v="4"/>
    <x v="2"/>
    <x v="2"/>
    <n v="1336.8"/>
    <s v="USD2022/kW"/>
  </r>
  <r>
    <x v="26"/>
    <x v="4"/>
    <x v="2"/>
    <x v="3"/>
    <n v="65.599999999999994"/>
    <s v="USD2022/kW-yr"/>
  </r>
  <r>
    <x v="26"/>
    <x v="5"/>
    <x v="2"/>
    <x v="2"/>
    <n v="1497.3"/>
    <s v="USD2022/kW"/>
  </r>
  <r>
    <x v="26"/>
    <x v="5"/>
    <x v="2"/>
    <x v="3"/>
    <n v="73.400000000000006"/>
    <s v="USD2022/kW-yr"/>
  </r>
  <r>
    <x v="26"/>
    <x v="6"/>
    <x v="2"/>
    <x v="2"/>
    <n v="1871.6"/>
    <s v="USD2022/kW"/>
  </r>
  <r>
    <x v="26"/>
    <x v="6"/>
    <x v="2"/>
    <x v="3"/>
    <n v="91.8"/>
    <s v="USD2022/kW-yr"/>
  </r>
  <r>
    <x v="26"/>
    <x v="7"/>
    <x v="2"/>
    <x v="2"/>
    <n v="2138.9"/>
    <s v="USD2022/kW"/>
  </r>
  <r>
    <x v="26"/>
    <x v="7"/>
    <x v="2"/>
    <x v="3"/>
    <n v="104.9"/>
    <s v="USD2022/kW-yr"/>
  </r>
  <r>
    <x v="26"/>
    <x v="8"/>
    <x v="2"/>
    <x v="2"/>
    <n v="2138.9"/>
    <s v="USD2022/kW"/>
  </r>
  <r>
    <x v="26"/>
    <x v="8"/>
    <x v="2"/>
    <x v="3"/>
    <n v="104.9"/>
    <s v="USD2022/kW-y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07189-EBB1-4688-A0F4-65F446CC500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J487" firstHeaderRow="1" firstDataRow="2" firstDataCol="1"/>
  <pivotFields count="6">
    <pivotField axis="axisRow"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Col" showAll="0" defaultSubtotal="0">
      <items count="9">
        <item x="7"/>
        <item x="8"/>
        <item x="4"/>
        <item x="5"/>
        <item x="2"/>
        <item x="3"/>
        <item x="0"/>
        <item x="1"/>
        <item x="6"/>
      </items>
    </pivotField>
    <pivotField axis="axisRow" showAll="0" defaultSubtotal="0">
      <items count="7">
        <item x="0"/>
        <item x="3"/>
        <item x="1"/>
        <item x="4"/>
        <item x="5"/>
        <item x="6"/>
        <item x="2"/>
      </items>
    </pivotField>
    <pivotField axis="axisRow" showAll="0" defaultSubtotal="0">
      <items count="8">
        <item x="6"/>
        <item h="1" x="1"/>
        <item h="1" x="2"/>
        <item x="0"/>
        <item x="4"/>
        <item x="3"/>
        <item x="7"/>
        <item x="5"/>
      </items>
    </pivotField>
    <pivotField dataField="1" showAll="0" defaultSubtotal="0"/>
    <pivotField showAll="0" defaultSubtotal="0"/>
  </pivotFields>
  <rowFields count="3">
    <field x="2"/>
    <field x="0"/>
    <field x="3"/>
  </rowFields>
  <rowItems count="483">
    <i>
      <x/>
    </i>
    <i r="1">
      <x/>
    </i>
    <i r="2">
      <x v="3"/>
    </i>
    <i r="2">
      <x v="4"/>
    </i>
    <i r="2">
      <x v="5"/>
    </i>
    <i r="2">
      <x v="7"/>
    </i>
    <i r="1">
      <x v="1"/>
    </i>
    <i r="2">
      <x v="3"/>
    </i>
    <i r="2">
      <x v="4"/>
    </i>
    <i r="2">
      <x v="5"/>
    </i>
    <i r="2">
      <x v="7"/>
    </i>
    <i r="1">
      <x v="2"/>
    </i>
    <i r="2">
      <x v="3"/>
    </i>
    <i r="2">
      <x v="4"/>
    </i>
    <i r="2">
      <x v="5"/>
    </i>
    <i r="2">
      <x v="7"/>
    </i>
    <i r="1">
      <x v="3"/>
    </i>
    <i r="2">
      <x v="3"/>
    </i>
    <i r="2">
      <x v="4"/>
    </i>
    <i r="2">
      <x v="5"/>
    </i>
    <i r="2">
      <x v="7"/>
    </i>
    <i r="1">
      <x v="4"/>
    </i>
    <i r="2">
      <x v="3"/>
    </i>
    <i r="2">
      <x v="4"/>
    </i>
    <i r="2">
      <x v="5"/>
    </i>
    <i r="2">
      <x v="7"/>
    </i>
    <i r="1">
      <x v="5"/>
    </i>
    <i r="2">
      <x v="3"/>
    </i>
    <i r="2">
      <x v="4"/>
    </i>
    <i r="2">
      <x v="5"/>
    </i>
    <i r="2">
      <x v="7"/>
    </i>
    <i r="1">
      <x v="6"/>
    </i>
    <i r="2">
      <x v="3"/>
    </i>
    <i r="2">
      <x v="4"/>
    </i>
    <i r="2">
      <x v="5"/>
    </i>
    <i r="2">
      <x v="7"/>
    </i>
    <i r="1">
      <x v="7"/>
    </i>
    <i r="2">
      <x v="3"/>
    </i>
    <i r="2">
      <x v="4"/>
    </i>
    <i r="2">
      <x v="5"/>
    </i>
    <i r="1">
      <x v="8"/>
    </i>
    <i r="2">
      <x v="3"/>
    </i>
    <i r="2">
      <x v="4"/>
    </i>
    <i r="2">
      <x v="5"/>
    </i>
    <i r="2">
      <x v="7"/>
    </i>
    <i r="1">
      <x v="9"/>
    </i>
    <i r="2">
      <x v="3"/>
    </i>
    <i r="2">
      <x v="4"/>
    </i>
    <i r="2">
      <x v="5"/>
    </i>
    <i r="2">
      <x v="7"/>
    </i>
    <i r="1">
      <x v="10"/>
    </i>
    <i r="2">
      <x v="3"/>
    </i>
    <i r="2">
      <x v="4"/>
    </i>
    <i r="2">
      <x v="5"/>
    </i>
    <i r="2">
      <x v="7"/>
    </i>
    <i r="1">
      <x v="11"/>
    </i>
    <i r="2">
      <x v="3"/>
    </i>
    <i r="2">
      <x v="4"/>
    </i>
    <i r="2">
      <x v="5"/>
    </i>
    <i r="2">
      <x v="7"/>
    </i>
    <i r="1">
      <x v="12"/>
    </i>
    <i r="2">
      <x v="3"/>
    </i>
    <i r="2">
      <x v="5"/>
    </i>
    <i r="1">
      <x v="13"/>
    </i>
    <i r="2">
      <x/>
    </i>
    <i r="2">
      <x v="3"/>
    </i>
    <i r="2">
      <x v="4"/>
    </i>
    <i r="2">
      <x v="5"/>
    </i>
    <i r="2">
      <x v="7"/>
    </i>
    <i r="1">
      <x v="14"/>
    </i>
    <i r="2">
      <x/>
    </i>
    <i r="2">
      <x v="3"/>
    </i>
    <i r="2">
      <x v="4"/>
    </i>
    <i r="2">
      <x v="5"/>
    </i>
    <i r="2">
      <x v="7"/>
    </i>
    <i r="1">
      <x v="15"/>
    </i>
    <i r="2">
      <x/>
    </i>
    <i r="2">
      <x v="3"/>
    </i>
    <i r="2">
      <x v="4"/>
    </i>
    <i r="2">
      <x v="5"/>
    </i>
    <i r="2">
      <x v="7"/>
    </i>
    <i r="1">
      <x v="16"/>
    </i>
    <i r="2">
      <x/>
    </i>
    <i r="2">
      <x v="3"/>
    </i>
    <i r="2">
      <x v="4"/>
    </i>
    <i r="2">
      <x v="5"/>
    </i>
    <i r="2">
      <x v="7"/>
    </i>
    <i r="1">
      <x v="17"/>
    </i>
    <i r="2">
      <x/>
    </i>
    <i r="2">
      <x v="3"/>
    </i>
    <i r="2">
      <x v="4"/>
    </i>
    <i r="2">
      <x v="5"/>
    </i>
    <i r="2">
      <x v="7"/>
    </i>
    <i r="1">
      <x v="18"/>
    </i>
    <i r="2">
      <x/>
    </i>
    <i r="2">
      <x v="3"/>
    </i>
    <i r="2">
      <x v="4"/>
    </i>
    <i r="2">
      <x v="5"/>
    </i>
    <i r="2">
      <x v="7"/>
    </i>
    <i r="1">
      <x v="19"/>
    </i>
    <i r="2">
      <x/>
    </i>
    <i r="2">
      <x v="3"/>
    </i>
    <i r="2">
      <x v="4"/>
    </i>
    <i r="2">
      <x v="5"/>
    </i>
    <i r="2">
      <x v="7"/>
    </i>
    <i r="1">
      <x v="20"/>
    </i>
    <i r="2">
      <x/>
    </i>
    <i r="2">
      <x v="3"/>
    </i>
    <i r="2">
      <x v="4"/>
    </i>
    <i r="2">
      <x v="5"/>
    </i>
    <i r="2">
      <x v="7"/>
    </i>
    <i r="1">
      <x v="21"/>
    </i>
    <i r="2">
      <x/>
    </i>
    <i r="2">
      <x v="3"/>
    </i>
    <i r="2">
      <x v="4"/>
    </i>
    <i r="2">
      <x v="5"/>
    </i>
    <i r="2">
      <x v="7"/>
    </i>
    <i r="1">
      <x v="22"/>
    </i>
    <i r="2">
      <x/>
    </i>
    <i r="2">
      <x v="3"/>
    </i>
    <i r="2">
      <x v="4"/>
    </i>
    <i r="2">
      <x v="5"/>
    </i>
    <i r="2">
      <x v="7"/>
    </i>
    <i r="1">
      <x v="23"/>
    </i>
    <i r="2">
      <x/>
    </i>
    <i r="2">
      <x v="3"/>
    </i>
    <i r="2">
      <x v="4"/>
    </i>
    <i r="2">
      <x v="5"/>
    </i>
    <i r="2">
      <x v="7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>
      <x v="1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>
      <x v="2"/>
    </i>
    <i r="1">
      <x/>
    </i>
    <i r="2">
      <x v="3"/>
    </i>
    <i r="2">
      <x v="4"/>
    </i>
    <i r="2">
      <x v="5"/>
    </i>
    <i r="2">
      <x v="7"/>
    </i>
    <i r="1">
      <x v="1"/>
    </i>
    <i r="2">
      <x v="3"/>
    </i>
    <i r="2">
      <x v="4"/>
    </i>
    <i r="2">
      <x v="5"/>
    </i>
    <i r="2">
      <x v="7"/>
    </i>
    <i r="1">
      <x v="2"/>
    </i>
    <i r="2">
      <x v="3"/>
    </i>
    <i r="2">
      <x v="4"/>
    </i>
    <i r="2">
      <x v="5"/>
    </i>
    <i r="2">
      <x v="7"/>
    </i>
    <i r="1">
      <x v="3"/>
    </i>
    <i r="2">
      <x v="3"/>
    </i>
    <i r="2">
      <x v="4"/>
    </i>
    <i r="2">
      <x v="5"/>
    </i>
    <i r="2">
      <x v="7"/>
    </i>
    <i r="1">
      <x v="4"/>
    </i>
    <i r="2">
      <x v="3"/>
    </i>
    <i r="2">
      <x v="4"/>
    </i>
    <i r="2">
      <x v="5"/>
    </i>
    <i r="2">
      <x v="7"/>
    </i>
    <i r="1">
      <x v="5"/>
    </i>
    <i r="2">
      <x v="3"/>
    </i>
    <i r="2">
      <x v="4"/>
    </i>
    <i r="2">
      <x v="5"/>
    </i>
    <i r="2">
      <x v="7"/>
    </i>
    <i r="1">
      <x v="6"/>
    </i>
    <i r="2">
      <x v="3"/>
    </i>
    <i r="2">
      <x v="4"/>
    </i>
    <i r="2">
      <x v="5"/>
    </i>
    <i r="2">
      <x v="7"/>
    </i>
    <i r="1">
      <x v="7"/>
    </i>
    <i r="2">
      <x v="3"/>
    </i>
    <i r="2">
      <x v="4"/>
    </i>
    <i r="2">
      <x v="5"/>
    </i>
    <i r="1">
      <x v="8"/>
    </i>
    <i r="2">
      <x v="3"/>
    </i>
    <i r="2">
      <x v="4"/>
    </i>
    <i r="2">
      <x v="5"/>
    </i>
    <i r="2">
      <x v="7"/>
    </i>
    <i r="1">
      <x v="9"/>
    </i>
    <i r="2">
      <x v="3"/>
    </i>
    <i r="2">
      <x v="4"/>
    </i>
    <i r="2">
      <x v="5"/>
    </i>
    <i r="2">
      <x v="7"/>
    </i>
    <i r="1">
      <x v="10"/>
    </i>
    <i r="2">
      <x v="3"/>
    </i>
    <i r="2">
      <x v="4"/>
    </i>
    <i r="2">
      <x v="5"/>
    </i>
    <i r="2">
      <x v="7"/>
    </i>
    <i r="1">
      <x v="11"/>
    </i>
    <i r="2">
      <x v="3"/>
    </i>
    <i r="2">
      <x v="4"/>
    </i>
    <i r="2">
      <x v="5"/>
    </i>
    <i r="2">
      <x v="7"/>
    </i>
    <i r="1">
      <x v="12"/>
    </i>
    <i r="2">
      <x v="3"/>
    </i>
    <i r="2">
      <x v="5"/>
    </i>
    <i r="2">
      <x v="7"/>
    </i>
    <i r="1">
      <x v="13"/>
    </i>
    <i r="2">
      <x/>
    </i>
    <i r="2">
      <x v="3"/>
    </i>
    <i r="2">
      <x v="4"/>
    </i>
    <i r="2">
      <x v="5"/>
    </i>
    <i r="2">
      <x v="7"/>
    </i>
    <i r="1">
      <x v="14"/>
    </i>
    <i r="2">
      <x/>
    </i>
    <i r="2">
      <x v="3"/>
    </i>
    <i r="2">
      <x v="4"/>
    </i>
    <i r="2">
      <x v="5"/>
    </i>
    <i r="2">
      <x v="7"/>
    </i>
    <i r="1">
      <x v="15"/>
    </i>
    <i r="2">
      <x/>
    </i>
    <i r="2">
      <x v="3"/>
    </i>
    <i r="2">
      <x v="4"/>
    </i>
    <i r="2">
      <x v="5"/>
    </i>
    <i r="2">
      <x v="7"/>
    </i>
    <i r="1">
      <x v="16"/>
    </i>
    <i r="2">
      <x/>
    </i>
    <i r="2">
      <x v="3"/>
    </i>
    <i r="2">
      <x v="4"/>
    </i>
    <i r="2">
      <x v="5"/>
    </i>
    <i r="2">
      <x v="7"/>
    </i>
    <i r="1">
      <x v="17"/>
    </i>
    <i r="2">
      <x/>
    </i>
    <i r="2">
      <x v="3"/>
    </i>
    <i r="2">
      <x v="4"/>
    </i>
    <i r="2">
      <x v="5"/>
    </i>
    <i r="2">
      <x v="7"/>
    </i>
    <i r="1">
      <x v="18"/>
    </i>
    <i r="2">
      <x/>
    </i>
    <i r="2">
      <x v="3"/>
    </i>
    <i r="2">
      <x v="4"/>
    </i>
    <i r="2">
      <x v="5"/>
    </i>
    <i r="2">
      <x v="7"/>
    </i>
    <i r="1">
      <x v="19"/>
    </i>
    <i r="2">
      <x/>
    </i>
    <i r="2">
      <x v="3"/>
    </i>
    <i r="2">
      <x v="4"/>
    </i>
    <i r="2">
      <x v="5"/>
    </i>
    <i r="2">
      <x v="7"/>
    </i>
    <i r="1">
      <x v="20"/>
    </i>
    <i r="2">
      <x/>
    </i>
    <i r="2">
      <x v="3"/>
    </i>
    <i r="2">
      <x v="4"/>
    </i>
    <i r="2">
      <x v="5"/>
    </i>
    <i r="2">
      <x v="7"/>
    </i>
    <i r="1">
      <x v="21"/>
    </i>
    <i r="2">
      <x/>
    </i>
    <i r="2">
      <x v="3"/>
    </i>
    <i r="2">
      <x v="4"/>
    </i>
    <i r="2">
      <x v="5"/>
    </i>
    <i r="2">
      <x v="7"/>
    </i>
    <i r="1">
      <x v="22"/>
    </i>
    <i r="2">
      <x/>
    </i>
    <i r="2">
      <x v="3"/>
    </i>
    <i r="2">
      <x v="4"/>
    </i>
    <i r="2">
      <x v="5"/>
    </i>
    <i r="2">
      <x v="7"/>
    </i>
    <i r="1">
      <x v="23"/>
    </i>
    <i r="2">
      <x/>
    </i>
    <i r="2">
      <x v="3"/>
    </i>
    <i r="2">
      <x v="4"/>
    </i>
    <i r="2">
      <x v="5"/>
    </i>
    <i r="2">
      <x v="7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 r="1">
      <x v="26"/>
    </i>
    <i r="2">
      <x v="3"/>
    </i>
    <i r="2">
      <x v="5"/>
    </i>
    <i r="2">
      <x v="7"/>
    </i>
    <i>
      <x v="3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 r="1">
      <x v="26"/>
    </i>
    <i r="2">
      <x v="3"/>
    </i>
    <i r="2">
      <x v="5"/>
    </i>
    <i r="2">
      <x v="7"/>
    </i>
    <i>
      <x v="4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 r="1">
      <x v="26"/>
    </i>
    <i r="2">
      <x v="3"/>
    </i>
    <i r="2">
      <x v="5"/>
    </i>
    <i r="2">
      <x v="7"/>
    </i>
    <i>
      <x v="5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 r="1">
      <x v="26"/>
    </i>
    <i r="2">
      <x v="3"/>
    </i>
    <i r="2">
      <x v="5"/>
    </i>
    <i r="2">
      <x v="7"/>
    </i>
    <i>
      <x v="6"/>
    </i>
    <i r="1">
      <x/>
    </i>
    <i r="2">
      <x v="3"/>
    </i>
    <i r="2">
      <x v="4"/>
    </i>
    <i r="2">
      <x v="5"/>
    </i>
    <i r="2">
      <x v="7"/>
    </i>
    <i r="1">
      <x v="1"/>
    </i>
    <i r="2">
      <x v="3"/>
    </i>
    <i r="2">
      <x v="4"/>
    </i>
    <i r="2">
      <x v="5"/>
    </i>
    <i r="2">
      <x v="7"/>
    </i>
    <i r="1">
      <x v="2"/>
    </i>
    <i r="2">
      <x v="3"/>
    </i>
    <i r="2">
      <x v="4"/>
    </i>
    <i r="2">
      <x v="5"/>
    </i>
    <i r="2">
      <x v="7"/>
    </i>
    <i r="1">
      <x v="3"/>
    </i>
    <i r="2">
      <x v="3"/>
    </i>
    <i r="2">
      <x v="4"/>
    </i>
    <i r="2">
      <x v="5"/>
    </i>
    <i r="2">
      <x v="7"/>
    </i>
    <i r="1">
      <x v="4"/>
    </i>
    <i r="2">
      <x v="3"/>
    </i>
    <i r="2">
      <x v="4"/>
    </i>
    <i r="2">
      <x v="5"/>
    </i>
    <i r="2">
      <x v="7"/>
    </i>
    <i r="1">
      <x v="5"/>
    </i>
    <i r="2">
      <x v="3"/>
    </i>
    <i r="2">
      <x v="4"/>
    </i>
    <i r="2">
      <x v="5"/>
    </i>
    <i r="2">
      <x v="7"/>
    </i>
    <i r="1">
      <x v="6"/>
    </i>
    <i r="2">
      <x v="3"/>
    </i>
    <i r="2">
      <x v="4"/>
    </i>
    <i r="2">
      <x v="5"/>
    </i>
    <i r="2">
      <x v="7"/>
    </i>
    <i r="1">
      <x v="7"/>
    </i>
    <i r="2">
      <x v="3"/>
    </i>
    <i r="2">
      <x v="4"/>
    </i>
    <i r="2">
      <x v="5"/>
    </i>
    <i r="1">
      <x v="8"/>
    </i>
    <i r="2">
      <x v="3"/>
    </i>
    <i r="2">
      <x v="4"/>
    </i>
    <i r="2">
      <x v="5"/>
    </i>
    <i r="2">
      <x v="7"/>
    </i>
    <i r="1">
      <x v="9"/>
    </i>
    <i r="2">
      <x v="3"/>
    </i>
    <i r="2">
      <x v="4"/>
    </i>
    <i r="2">
      <x v="5"/>
    </i>
    <i r="2">
      <x v="7"/>
    </i>
    <i r="1">
      <x v="10"/>
    </i>
    <i r="2">
      <x v="3"/>
    </i>
    <i r="2">
      <x v="4"/>
    </i>
    <i r="2">
      <x v="5"/>
    </i>
    <i r="2">
      <x v="7"/>
    </i>
    <i r="1">
      <x v="11"/>
    </i>
    <i r="2">
      <x v="3"/>
    </i>
    <i r="2">
      <x v="4"/>
    </i>
    <i r="2">
      <x v="5"/>
    </i>
    <i r="2">
      <x v="7"/>
    </i>
    <i r="1">
      <x v="12"/>
    </i>
    <i r="2">
      <x v="3"/>
    </i>
    <i r="2">
      <x v="5"/>
    </i>
    <i r="2">
      <x v="7"/>
    </i>
    <i r="1">
      <x v="13"/>
    </i>
    <i r="2">
      <x/>
    </i>
    <i r="2">
      <x v="3"/>
    </i>
    <i r="2">
      <x v="4"/>
    </i>
    <i r="2">
      <x v="5"/>
    </i>
    <i r="2">
      <x v="7"/>
    </i>
    <i r="1">
      <x v="14"/>
    </i>
    <i r="2">
      <x/>
    </i>
    <i r="2">
      <x v="3"/>
    </i>
    <i r="2">
      <x v="4"/>
    </i>
    <i r="2">
      <x v="5"/>
    </i>
    <i r="2">
      <x v="7"/>
    </i>
    <i r="1">
      <x v="15"/>
    </i>
    <i r="2">
      <x/>
    </i>
    <i r="2">
      <x v="3"/>
    </i>
    <i r="2">
      <x v="4"/>
    </i>
    <i r="2">
      <x v="5"/>
    </i>
    <i r="2">
      <x v="7"/>
    </i>
    <i r="1">
      <x v="16"/>
    </i>
    <i r="2">
      <x/>
    </i>
    <i r="2">
      <x v="3"/>
    </i>
    <i r="2">
      <x v="4"/>
    </i>
    <i r="2">
      <x v="5"/>
    </i>
    <i r="2">
      <x v="7"/>
    </i>
    <i r="1">
      <x v="17"/>
    </i>
    <i r="2">
      <x/>
    </i>
    <i r="2">
      <x v="3"/>
    </i>
    <i r="2">
      <x v="4"/>
    </i>
    <i r="2">
      <x v="5"/>
    </i>
    <i r="2">
      <x v="7"/>
    </i>
    <i r="1">
      <x v="18"/>
    </i>
    <i r="2">
      <x/>
    </i>
    <i r="2">
      <x v="3"/>
    </i>
    <i r="2">
      <x v="4"/>
    </i>
    <i r="2">
      <x v="5"/>
    </i>
    <i r="2">
      <x v="7"/>
    </i>
    <i r="1">
      <x v="19"/>
    </i>
    <i r="2">
      <x/>
    </i>
    <i r="2">
      <x v="3"/>
    </i>
    <i r="2">
      <x v="4"/>
    </i>
    <i r="2">
      <x v="5"/>
    </i>
    <i r="2">
      <x v="7"/>
    </i>
    <i r="1">
      <x v="20"/>
    </i>
    <i r="2">
      <x/>
    </i>
    <i r="2">
      <x v="3"/>
    </i>
    <i r="2">
      <x v="4"/>
    </i>
    <i r="2">
      <x v="5"/>
    </i>
    <i r="2">
      <x v="7"/>
    </i>
    <i r="1">
      <x v="21"/>
    </i>
    <i r="2">
      <x/>
    </i>
    <i r="2">
      <x v="3"/>
    </i>
    <i r="2">
      <x v="4"/>
    </i>
    <i r="2">
      <x v="5"/>
    </i>
    <i r="2">
      <x v="7"/>
    </i>
    <i r="1">
      <x v="22"/>
    </i>
    <i r="2">
      <x/>
    </i>
    <i r="2">
      <x v="3"/>
    </i>
    <i r="2">
      <x v="4"/>
    </i>
    <i r="2">
      <x v="5"/>
    </i>
    <i r="2">
      <x v="7"/>
    </i>
    <i r="1">
      <x v="23"/>
    </i>
    <i r="2">
      <x/>
    </i>
    <i r="2">
      <x v="3"/>
    </i>
    <i r="2">
      <x v="4"/>
    </i>
    <i r="2">
      <x v="5"/>
    </i>
    <i r="2">
      <x v="7"/>
    </i>
    <i r="1">
      <x v="24"/>
    </i>
    <i r="2">
      <x v="3"/>
    </i>
    <i r="2">
      <x v="5"/>
    </i>
    <i r="2">
      <x v="6"/>
    </i>
    <i r="2">
      <x v="7"/>
    </i>
    <i r="1">
      <x v="25"/>
    </i>
    <i r="2">
      <x v="3"/>
    </i>
    <i r="2">
      <x v="5"/>
    </i>
    <i r="2">
      <x v="6"/>
    </i>
    <i r="2">
      <x v="7"/>
    </i>
    <i r="1">
      <x v="26"/>
    </i>
    <i r="2">
      <x v="3"/>
    </i>
    <i r="2">
      <x v="5"/>
    </i>
    <i r="2">
      <x v="7"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um of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5AFCA0-7144-462F-8076-5FF0FD3DBCEF}">
  <we:reference id="wa200009404" version="1.0.0.5" store="en-US" storeType="OMEX"/>
  <we:alternateReferences>
    <we:reference id="wa200009404" version="1.0.0.5" store="wa200009404" storeType="OMEX"/>
  </we:alternateReferences>
  <we:properties>
    <we:property name="claude.fileId" value="&quot;3482907b-eda3-4b42-ae64-a9063c245e54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1A63-D91A-493A-8959-0615D4F0CD27}">
  <dimension ref="B2:P30"/>
  <sheetViews>
    <sheetView tabSelected="1" workbookViewId="0">
      <selection activeCell="D8" sqref="D8"/>
    </sheetView>
  </sheetViews>
  <sheetFormatPr defaultRowHeight="14.25"/>
  <cols>
    <col min="2" max="2" width="21.19921875" bestFit="1" customWidth="1"/>
    <col min="4" max="4" width="15.1328125" bestFit="1" customWidth="1"/>
    <col min="10" max="10" width="11.265625" customWidth="1"/>
    <col min="11" max="11" width="4.19921875" bestFit="1" customWidth="1"/>
    <col min="12" max="12" width="21.19921875" bestFit="1" customWidth="1"/>
    <col min="13" max="13" width="3.796875" bestFit="1" customWidth="1"/>
    <col min="14" max="14" width="4.19921875" bestFit="1" customWidth="1"/>
    <col min="15" max="15" width="6.46484375" bestFit="1" customWidth="1"/>
  </cols>
  <sheetData>
    <row r="2" spans="2:16" ht="17.649999999999999" thickBot="1">
      <c r="B2" s="10" t="s">
        <v>92</v>
      </c>
      <c r="J2" s="10" t="s">
        <v>95</v>
      </c>
    </row>
    <row r="3" spans="2:16" ht="15" thickTop="1" thickBot="1">
      <c r="B3" s="12" t="s">
        <v>97</v>
      </c>
      <c r="C3" s="12" t="s">
        <v>109</v>
      </c>
      <c r="D3" s="12" t="s">
        <v>110</v>
      </c>
      <c r="E3" s="12" t="s">
        <v>116</v>
      </c>
      <c r="F3" s="12" t="s">
        <v>117</v>
      </c>
      <c r="G3" s="13" t="s">
        <v>118</v>
      </c>
      <c r="H3" s="13" t="s">
        <v>119</v>
      </c>
      <c r="J3" s="12" t="s">
        <v>1</v>
      </c>
      <c r="K3" s="12" t="s">
        <v>96</v>
      </c>
      <c r="L3" s="12" t="s">
        <v>97</v>
      </c>
      <c r="M3" s="12" t="s">
        <v>99</v>
      </c>
      <c r="N3" s="12" t="s">
        <v>100</v>
      </c>
      <c r="O3" s="12" t="s">
        <v>101</v>
      </c>
      <c r="P3" s="12" t="s">
        <v>98</v>
      </c>
    </row>
    <row r="4" spans="2:16">
      <c r="B4" t="str">
        <f>L4</f>
        <v>en_gas_ccgt</v>
      </c>
      <c r="C4" t="s">
        <v>111</v>
      </c>
      <c r="D4" t="s">
        <v>115</v>
      </c>
      <c r="E4">
        <f>unified_reference_costs!J2</f>
        <v>30</v>
      </c>
      <c r="F4">
        <f>unified_reference_costs!K2</f>
        <v>3</v>
      </c>
      <c r="J4" t="str" cm="1">
        <f t="array" ref="J4">IFERROR(_xlfn.TEXTJOIN(",",TRUE,_xlfn.UNIQUE(_xlfn._xlws.FILTER(unified_reference_costs!B:B,(unified_reference_costs!A:A=L4)*(unified_reference_costs!D:D="efficiency")))),"")</f>
        <v>ieapg_european_union,ieapg_united_states,ieapg_japan,ieapg_russia,ieapg_china,ieapg_india,ieapg_middle_east,ieapg_africa,ieapg_brazil</v>
      </c>
      <c r="K4" t="s">
        <v>102</v>
      </c>
      <c r="L4" t="str">
        <f>unified_reference_costs!J41</f>
        <v>en_gas_ccgt</v>
      </c>
      <c r="M4" t="s">
        <v>105</v>
      </c>
      <c r="N4" t="s">
        <v>106</v>
      </c>
      <c r="O4" t="s">
        <v>107</v>
      </c>
      <c r="P4" t="str">
        <f>unified_reference_costs!M2</f>
        <v>Natural gas 2-on-1 combined cycle (F-Frame). IEA GEC: CCGT; ATB: CCAvgCF</v>
      </c>
    </row>
    <row r="5" spans="2:16">
      <c r="B5" t="str">
        <f t="shared" ref="B5:B30" si="0">L5</f>
        <v>en_gas_turbine</v>
      </c>
      <c r="C5" t="s">
        <v>111</v>
      </c>
      <c r="D5" t="s">
        <v>115</v>
      </c>
      <c r="E5">
        <f>unified_reference_costs!J3</f>
        <v>30</v>
      </c>
      <c r="F5">
        <f>unified_reference_costs!K3</f>
        <v>2</v>
      </c>
      <c r="J5" t="str" cm="1">
        <f t="array" ref="J5">IFERROR(_xlfn.TEXTJOIN(",",TRUE,_xlfn.UNIQUE(_xlfn._xlws.FILTER(unified_reference_costs!B:B,(unified_reference_costs!A:A=L5)*(unified_reference_costs!D:D="efficiency")))),"")</f>
        <v>ieapg_european_union,ieapg_united_states,ieapg_japan,ieapg_russia,ieapg_china,ieapg_india,ieapg_middle_east,ieapg_africa,ieapg_brazil</v>
      </c>
      <c r="K5" t="s">
        <v>102</v>
      </c>
      <c r="L5" t="str">
        <f>unified_reference_costs!J42</f>
        <v>en_gas_turbine</v>
      </c>
      <c r="M5" t="s">
        <v>105</v>
      </c>
      <c r="N5" t="s">
        <v>106</v>
      </c>
      <c r="O5" t="s">
        <v>107</v>
      </c>
      <c r="P5" t="str">
        <f>unified_reference_costs!M3</f>
        <v>Natural gas open-cycle combustion turbine (F-Frame, peaking). IEA GEC: Gas turbine; ATB: CTAvgCF</v>
      </c>
    </row>
    <row r="6" spans="2:16">
      <c r="B6" t="str">
        <f t="shared" si="0"/>
        <v>en_gas_chp</v>
      </c>
      <c r="C6" t="s">
        <v>111</v>
      </c>
      <c r="D6" t="s">
        <v>163</v>
      </c>
      <c r="E6">
        <f>unified_reference_costs!J4</f>
        <v>25</v>
      </c>
      <c r="F6">
        <f>unified_reference_costs!K4</f>
        <v>3</v>
      </c>
      <c r="J6" t="str" cm="1">
        <f t="array" ref="J6">IFERROR(_xlfn.TEXTJOIN(",",TRUE,_xlfn.UNIQUE(_xlfn._xlws.FILTER(unified_reference_costs!B:B,(unified_reference_costs!A:A=L6)*(unified_reference_costs!D:D="efficiency")))),"")</f>
        <v>ieapg_european_union,ieapg_united_states,ieapg_japan,ieapg_russia,ieapg_china,ieapg_india,ieapg_middle_east,ieapg_africa,ieapg_brazil</v>
      </c>
      <c r="K6" t="s">
        <v>103</v>
      </c>
      <c r="L6" t="str">
        <f>unified_reference_costs!J43</f>
        <v>en_gas_chp</v>
      </c>
      <c r="M6" t="s">
        <v>105</v>
      </c>
      <c r="N6" t="s">
        <v>106</v>
      </c>
      <c r="O6" t="s">
        <v>107</v>
      </c>
      <c r="P6" t="str">
        <f>unified_reference_costs!M4</f>
        <v>Natural gas CCGT combined heat and power. IEA GEC: CCGT-CHP. Produces electricity + useful heat (LHV basis)</v>
      </c>
    </row>
    <row r="7" spans="2:16">
      <c r="B7" t="str">
        <f t="shared" si="0"/>
        <v>\I:</v>
      </c>
      <c r="E7">
        <f>unified_reference_costs!J5</f>
        <v>20</v>
      </c>
      <c r="F7">
        <f>unified_reference_costs!K5</f>
        <v>2</v>
      </c>
      <c r="J7" t="str" cm="1">
        <f t="array" ref="J7">IFERROR(_xlfn.TEXTJOIN(",",TRUE,_xlfn.UNIQUE(_xlfn._xlws.FILTER(unified_reference_costs!B:B,(unified_reference_costs!A:A=L7)*(unified_reference_costs!D:D="efficiency")))),"")</f>
        <v/>
      </c>
      <c r="K7" t="s">
        <v>102</v>
      </c>
      <c r="L7" t="str">
        <f>unified_reference_costs!J44</f>
        <v>\I:</v>
      </c>
      <c r="M7" t="s">
        <v>105</v>
      </c>
      <c r="N7" t="s">
        <v>106</v>
      </c>
      <c r="O7" t="s">
        <v>107</v>
      </c>
      <c r="P7" t="str">
        <f>unified_reference_costs!M5</f>
        <v>Natural gas fuel cell. IEA GEC: Fuel cell</v>
      </c>
    </row>
    <row r="8" spans="2:16">
      <c r="B8" t="str">
        <f t="shared" si="0"/>
        <v>en_gas_ccs</v>
      </c>
      <c r="C8" t="s">
        <v>111</v>
      </c>
      <c r="D8" t="s">
        <v>167</v>
      </c>
      <c r="E8">
        <f>unified_reference_costs!J6</f>
        <v>30</v>
      </c>
      <c r="F8">
        <f>unified_reference_costs!K6</f>
        <v>4</v>
      </c>
      <c r="J8" t="str" cm="1">
        <f t="array" ref="J8">IFERROR(_xlfn.TEXTJOIN(",",TRUE,_xlfn.UNIQUE(_xlfn._xlws.FILTER(unified_reference_costs!B:B,(unified_reference_costs!A:A=L8)*(unified_reference_costs!D:D="efficiency")))),"")</f>
        <v>ieapg_european_union,ieapg_united_states,ieapg_japan,ieapg_russia,ieapg_china,ieapg_india,ieapg_middle_east,ieapg_africa</v>
      </c>
      <c r="K8" t="s">
        <v>102</v>
      </c>
      <c r="L8" t="str">
        <f>unified_reference_costs!J45</f>
        <v>en_gas_ccs</v>
      </c>
      <c r="M8" t="s">
        <v>105</v>
      </c>
      <c r="N8" t="s">
        <v>106</v>
      </c>
      <c r="O8" t="s">
        <v>107</v>
      </c>
      <c r="P8" t="str">
        <f>unified_reference_costs!M6</f>
        <v>Natural gas CCGT with 95% post-combustion CCS. IEA GEC: CCGT+CCS; ATB: CCCCSAvgCF</v>
      </c>
    </row>
    <row r="9" spans="2:16">
      <c r="B9" t="str">
        <f t="shared" si="0"/>
        <v>en_coal_subcritical</v>
      </c>
      <c r="C9" t="s">
        <v>112</v>
      </c>
      <c r="D9" t="s">
        <v>115</v>
      </c>
      <c r="E9">
        <f>unified_reference_costs!J7</f>
        <v>40</v>
      </c>
      <c r="F9">
        <f>unified_reference_costs!K7</f>
        <v>4</v>
      </c>
      <c r="J9" t="str" cm="1">
        <f t="array" ref="J9">IFERROR(_xlfn.TEXTJOIN(",",TRUE,_xlfn.UNIQUE(_xlfn._xlws.FILTER(unified_reference_costs!B:B,(unified_reference_costs!A:A=L9)*(unified_reference_costs!D:D="efficiency")))),"")</f>
        <v>ieapg_european_union,ieapg_united_states,ieapg_japan,ieapg_russia,ieapg_china,ieapg_india,ieapg_middle_east,ieapg_africa,ieapg_brazil</v>
      </c>
      <c r="K9" t="s">
        <v>102</v>
      </c>
      <c r="L9" t="str">
        <f>unified_reference_costs!J46</f>
        <v>en_coal_subcritical</v>
      </c>
      <c r="M9" t="s">
        <v>105</v>
      </c>
      <c r="N9" t="s">
        <v>106</v>
      </c>
      <c r="O9" t="s">
        <v>108</v>
      </c>
      <c r="P9" t="str">
        <f>unified_reference_costs!M7</f>
        <v>Coal subcritical steam cycle. IEA GEC: Subcritical</v>
      </c>
    </row>
    <row r="10" spans="2:16">
      <c r="B10" t="str">
        <f t="shared" si="0"/>
        <v>en_coal_supercritical</v>
      </c>
      <c r="C10" t="s">
        <v>112</v>
      </c>
      <c r="D10" t="s">
        <v>115</v>
      </c>
      <c r="E10">
        <f>unified_reference_costs!J8</f>
        <v>40</v>
      </c>
      <c r="F10">
        <f>unified_reference_costs!K8</f>
        <v>4</v>
      </c>
      <c r="J10" t="str" cm="1">
        <f t="array" ref="J10">IFERROR(_xlfn.TEXTJOIN(",",TRUE,_xlfn.UNIQUE(_xlfn._xlws.FILTER(unified_reference_costs!B:B,(unified_reference_costs!A:A=L10)*(unified_reference_costs!D:D="efficiency")))),"")</f>
        <v>ieapg_european_union,ieapg_united_states,ieapg_japan,ieapg_russia,ieapg_china,ieapg_india,ieapg_middle_east,ieapg_africa,ieapg_brazil</v>
      </c>
      <c r="K10" t="s">
        <v>102</v>
      </c>
      <c r="L10" t="str">
        <f>unified_reference_costs!J47</f>
        <v>en_coal_supercritical</v>
      </c>
      <c r="M10" t="s">
        <v>105</v>
      </c>
      <c r="N10" t="s">
        <v>106</v>
      </c>
      <c r="O10" t="s">
        <v>108</v>
      </c>
      <c r="P10" t="str">
        <f>unified_reference_costs!M8</f>
        <v>Coal supercritical steam cycle. IEA GEC: Supercritical; ATB: newAvgCF</v>
      </c>
    </row>
    <row r="11" spans="2:16">
      <c r="B11" t="str">
        <f t="shared" si="0"/>
        <v>en_coal_ultrasupercritical</v>
      </c>
      <c r="C11" t="s">
        <v>112</v>
      </c>
      <c r="D11" t="s">
        <v>115</v>
      </c>
      <c r="E11">
        <f>unified_reference_costs!J9</f>
        <v>40</v>
      </c>
      <c r="F11">
        <f>unified_reference_costs!K9</f>
        <v>4</v>
      </c>
      <c r="J11" t="str" cm="1">
        <f t="array" ref="J11">IFERROR(_xlfn.TEXTJOIN(",",TRUE,_xlfn.UNIQUE(_xlfn._xlws.FILTER(unified_reference_costs!B:B,(unified_reference_costs!A:A=L11)*(unified_reference_costs!D:D="efficiency")))),"")</f>
        <v>ieapg_european_union,ieapg_united_states,ieapg_japan,ieapg_russia,ieapg_china,ieapg_india,ieapg_middle_east,ieapg_africa,ieapg_brazil</v>
      </c>
      <c r="K11" t="s">
        <v>102</v>
      </c>
      <c r="L11" t="str">
        <f>unified_reference_costs!J48</f>
        <v>en_coal_ultrasupercritical</v>
      </c>
      <c r="M11" t="s">
        <v>105</v>
      </c>
      <c r="N11" t="s">
        <v>106</v>
      </c>
      <c r="O11" t="s">
        <v>108</v>
      </c>
      <c r="P11" t="str">
        <f>unified_reference_costs!M9</f>
        <v>Coal ultra-supercritical steam cycle. IEA GEC: Ultra-supercritical</v>
      </c>
    </row>
    <row r="12" spans="2:16">
      <c r="B12" t="str">
        <f t="shared" si="0"/>
        <v>en_coal_igcc</v>
      </c>
      <c r="C12" t="s">
        <v>112</v>
      </c>
      <c r="D12" t="s">
        <v>115</v>
      </c>
      <c r="E12">
        <f>unified_reference_costs!J10</f>
        <v>40</v>
      </c>
      <c r="F12">
        <f>unified_reference_costs!K10</f>
        <v>4</v>
      </c>
      <c r="J12" t="str" cm="1">
        <f t="array" ref="J12">IFERROR(_xlfn.TEXTJOIN(",",TRUE,_xlfn.UNIQUE(_xlfn._xlws.FILTER(unified_reference_costs!B:B,(unified_reference_costs!A:A=L12)*(unified_reference_costs!D:D="efficiency")))),"")</f>
        <v>ieapg_european_union,ieapg_united_states,ieapg_japan,ieapg_russia,ieapg_china,ieapg_india,ieapg_middle_east,ieapg_africa,ieapg_brazil</v>
      </c>
      <c r="K12" t="s">
        <v>102</v>
      </c>
      <c r="L12" t="str">
        <f>unified_reference_costs!J49</f>
        <v>en_coal_igcc</v>
      </c>
      <c r="M12" t="s">
        <v>105</v>
      </c>
      <c r="N12" t="s">
        <v>106</v>
      </c>
      <c r="O12" t="s">
        <v>108</v>
      </c>
      <c r="P12" t="str">
        <f>unified_reference_costs!M10</f>
        <v>Coal integrated gasification combined cycle. IEA GEC: IGCC; ATB: IGCCAvgCF</v>
      </c>
    </row>
    <row r="13" spans="2:16">
      <c r="B13" t="str">
        <f t="shared" si="0"/>
        <v>en_coal_ccs</v>
      </c>
      <c r="C13" t="s">
        <v>112</v>
      </c>
      <c r="D13" t="s">
        <v>167</v>
      </c>
      <c r="E13">
        <f>unified_reference_costs!J11</f>
        <v>40</v>
      </c>
      <c r="F13">
        <f>unified_reference_costs!K11</f>
        <v>5</v>
      </c>
      <c r="J13" t="str" cm="1">
        <f t="array" ref="J13">IFERROR(_xlfn.TEXTJOIN(",",TRUE,_xlfn.UNIQUE(_xlfn._xlws.FILTER(unified_reference_costs!B:B,(unified_reference_costs!A:A=L13)*(unified_reference_costs!D:D="efficiency")))),"")</f>
        <v>ieapg_european_union,ieapg_united_states,ieapg_japan,ieapg_russia,ieapg_china,ieapg_india,ieapg_africa</v>
      </c>
      <c r="K13" t="s">
        <v>102</v>
      </c>
      <c r="L13" t="str">
        <f>unified_reference_costs!J50</f>
        <v>en_coal_ccs</v>
      </c>
      <c r="M13" t="s">
        <v>105</v>
      </c>
      <c r="N13" t="s">
        <v>106</v>
      </c>
      <c r="O13" t="s">
        <v>108</v>
      </c>
      <c r="P13" t="str">
        <f>unified_reference_costs!M11</f>
        <v>Coal post-combustion with 95% CCS. IEA GEC: Coal+CCS; ATB: CCS95AvgCF</v>
      </c>
    </row>
    <row r="14" spans="2:16">
      <c r="B14" t="str">
        <f t="shared" si="0"/>
        <v>\I:</v>
      </c>
      <c r="E14">
        <f>unified_reference_costs!J12</f>
        <v>40</v>
      </c>
      <c r="F14">
        <f>unified_reference_costs!K12</f>
        <v>5</v>
      </c>
      <c r="J14" t="str" cm="1">
        <f t="array" ref="J14">IFERROR(_xlfn.TEXTJOIN(",",TRUE,_xlfn.UNIQUE(_xlfn._xlws.FILTER(unified_reference_costs!B:B,(unified_reference_costs!A:A=L14)*(unified_reference_costs!D:D="efficiency")))),"")</f>
        <v/>
      </c>
      <c r="K14" t="s">
        <v>102</v>
      </c>
      <c r="L14" t="str">
        <f>unified_reference_costs!J51</f>
        <v>\I:</v>
      </c>
      <c r="M14" t="s">
        <v>105</v>
      </c>
      <c r="N14" t="s">
        <v>106</v>
      </c>
      <c r="O14" t="s">
        <v>107</v>
      </c>
      <c r="P14" t="str">
        <f>unified_reference_costs!M12</f>
        <v>Coal oxyfuel combustion with CCS. IEA GEC: Oxyfuel+CCS</v>
      </c>
    </row>
    <row r="15" spans="2:16">
      <c r="B15" t="str">
        <f t="shared" si="0"/>
        <v>en_coal_igcc_ccs</v>
      </c>
      <c r="C15" t="s">
        <v>112</v>
      </c>
      <c r="D15" t="s">
        <v>167</v>
      </c>
      <c r="E15">
        <f>unified_reference_costs!J13</f>
        <v>40</v>
      </c>
      <c r="F15">
        <f>unified_reference_costs!K13</f>
        <v>5</v>
      </c>
      <c r="J15" t="str" cm="1">
        <f t="array" ref="J15">IFERROR(_xlfn.TEXTJOIN(",",TRUE,_xlfn.UNIQUE(_xlfn._xlws.FILTER(unified_reference_costs!B:B,(unified_reference_costs!A:A=L15)*(unified_reference_costs!D:D="efficiency")))),"")</f>
        <v>ieapg_european_union,ieapg_united_states,ieapg_japan,ieapg_russia,ieapg_china,ieapg_india,ieapg_africa</v>
      </c>
      <c r="K15" t="s">
        <v>102</v>
      </c>
      <c r="L15" t="str">
        <f>unified_reference_costs!J52</f>
        <v>en_coal_igcc_ccs</v>
      </c>
      <c r="M15" t="s">
        <v>105</v>
      </c>
      <c r="N15" t="s">
        <v>106</v>
      </c>
      <c r="O15" t="s">
        <v>108</v>
      </c>
      <c r="P15" t="str">
        <f>unified_reference_costs!M13</f>
        <v>Coal IGCC with CCS. IEA GEC: IGCC+CCS</v>
      </c>
    </row>
    <row r="16" spans="2:16">
      <c r="B16" t="str">
        <f t="shared" si="0"/>
        <v>en_nuclear</v>
      </c>
      <c r="C16" t="s">
        <v>113</v>
      </c>
      <c r="D16" t="s">
        <v>115</v>
      </c>
      <c r="E16">
        <f>unified_reference_costs!J14</f>
        <v>60</v>
      </c>
      <c r="F16">
        <f>unified_reference_costs!K14</f>
        <v>7</v>
      </c>
      <c r="J16" t="str" cm="1">
        <f t="array" ref="J16">IFERROR(_xlfn.TEXTJOIN(",",TRUE,_xlfn.UNIQUE(_xlfn._xlws.FILTER(unified_reference_costs!B:B,(unified_reference_costs!A:A=L16)*(unified_reference_costs!D:D="efficiency")))),"")</f>
        <v/>
      </c>
      <c r="K16" t="s">
        <v>102</v>
      </c>
      <c r="L16" t="str">
        <f>unified_reference_costs!J53</f>
        <v>en_nuclear</v>
      </c>
      <c r="M16" t="s">
        <v>105</v>
      </c>
      <c r="N16" t="s">
        <v>106</v>
      </c>
      <c r="O16" t="s">
        <v>108</v>
      </c>
      <c r="P16" t="str">
        <f>unified_reference_costs!M14</f>
        <v>Nuclear large reactor (Gen III/III+). IEA GEC: Nuclear; ATB: Nuclear - Large. Life 60yr, constr 7yr</v>
      </c>
    </row>
    <row r="17" spans="2:16">
      <c r="B17" t="str">
        <f t="shared" si="0"/>
        <v>en_nuclear_smr</v>
      </c>
      <c r="C17" t="s">
        <v>113</v>
      </c>
      <c r="D17" t="s">
        <v>115</v>
      </c>
      <c r="E17">
        <f>unified_reference_costs!J15</f>
        <v>40</v>
      </c>
      <c r="F17">
        <f>unified_reference_costs!K15</f>
        <v>3</v>
      </c>
      <c r="J17" t="str" cm="1">
        <f t="array" ref="J17">IFERROR(_xlfn.TEXTJOIN(",",TRUE,_xlfn.UNIQUE(_xlfn._xlws.FILTER(unified_reference_costs!B:B,(unified_reference_costs!A:A=L17)*(unified_reference_costs!D:D="efficiency")))),"")</f>
        <v/>
      </c>
      <c r="K17" t="s">
        <v>102</v>
      </c>
      <c r="L17" t="str">
        <f>unified_reference_costs!J54</f>
        <v>en_nuclear_smr</v>
      </c>
      <c r="M17" t="s">
        <v>105</v>
      </c>
      <c r="N17" t="s">
        <v>106</v>
      </c>
      <c r="O17" t="s">
        <v>107</v>
      </c>
      <c r="P17" t="str">
        <f>unified_reference_costs!M15</f>
        <v>Nuclear small modular reactor. ATB: Nuclear - Small. Regional costs scaled from IEA large nuclear ratios. Life 40yr, constr 3yr</v>
      </c>
    </row>
    <row r="18" spans="2:16">
      <c r="B18" t="str">
        <f t="shared" si="0"/>
        <v>\I:</v>
      </c>
      <c r="E18">
        <f>unified_reference_costs!J16</f>
        <v>30</v>
      </c>
      <c r="F18">
        <f>unified_reference_costs!K16</f>
        <v>1.5</v>
      </c>
      <c r="J18" t="str" cm="1">
        <f t="array" ref="J18">IFERROR(_xlfn.TEXTJOIN(",",TRUE,_xlfn.UNIQUE(_xlfn._xlws.FILTER(unified_reference_costs!B:B,(unified_reference_costs!A:A=L18)*(unified_reference_costs!D:D="efficiency")))),"")</f>
        <v/>
      </c>
      <c r="K18" t="s">
        <v>102</v>
      </c>
      <c r="L18" t="str">
        <f>unified_reference_costs!J55</f>
        <v>\I:</v>
      </c>
      <c r="M18" t="s">
        <v>105</v>
      </c>
      <c r="N18" t="s">
        <v>106</v>
      </c>
      <c r="O18" t="s">
        <v>107</v>
      </c>
      <c r="P18" t="str">
        <f>unified_reference_costs!M16</f>
        <v>Solar PV utility-scale. IEA GEC: Solar PV large-scale; ATB: UtilityPV Class5</v>
      </c>
    </row>
    <row r="19" spans="2:16">
      <c r="B19" t="str">
        <f t="shared" si="0"/>
        <v>\I:</v>
      </c>
      <c r="E19">
        <f>unified_reference_costs!J17</f>
        <v>30</v>
      </c>
      <c r="F19">
        <f>unified_reference_costs!K17</f>
        <v>3</v>
      </c>
      <c r="J19" t="str" cm="1">
        <f t="array" ref="J19">IFERROR(_xlfn.TEXTJOIN(",",TRUE,_xlfn.UNIQUE(_xlfn._xlws.FILTER(unified_reference_costs!B:B,(unified_reference_costs!A:A=L19)*(unified_reference_costs!D:D="efficiency")))),"")</f>
        <v/>
      </c>
      <c r="K19" t="s">
        <v>102</v>
      </c>
      <c r="L19" t="str">
        <f>unified_reference_costs!J56</f>
        <v>\I:</v>
      </c>
      <c r="M19" t="s">
        <v>105</v>
      </c>
      <c r="N19" t="s">
        <v>106</v>
      </c>
      <c r="O19" t="s">
        <v>107</v>
      </c>
      <c r="P19" t="str">
        <f>unified_reference_costs!M17</f>
        <v>Concentrated solar power with thermal storage. IEA GEC: CSP; ATB: CSP Class2</v>
      </c>
    </row>
    <row r="20" spans="2:16">
      <c r="B20" t="str">
        <f t="shared" si="0"/>
        <v>\I:</v>
      </c>
      <c r="E20">
        <f>unified_reference_costs!J18</f>
        <v>30</v>
      </c>
      <c r="F20">
        <f>unified_reference_costs!K18</f>
        <v>1.5</v>
      </c>
      <c r="J20" t="str" cm="1">
        <f t="array" ref="J20">IFERROR(_xlfn.TEXTJOIN(",",TRUE,_xlfn.UNIQUE(_xlfn._xlws.FILTER(unified_reference_costs!B:B,(unified_reference_costs!A:A=L20)*(unified_reference_costs!D:D="efficiency")))),"")</f>
        <v/>
      </c>
      <c r="K20" t="s">
        <v>102</v>
      </c>
      <c r="L20" t="str">
        <f>unified_reference_costs!J57</f>
        <v>\I:</v>
      </c>
      <c r="M20" t="s">
        <v>105</v>
      </c>
      <c r="N20" t="s">
        <v>106</v>
      </c>
      <c r="O20" t="s">
        <v>107</v>
      </c>
      <c r="P20" t="str">
        <f>unified_reference_costs!M18</f>
        <v>Wind onshore. IEA GEC: Wind onshore; ATB: LandbasedWind Class4</v>
      </c>
    </row>
    <row r="21" spans="2:16">
      <c r="B21" t="str">
        <f t="shared" si="0"/>
        <v>\I:</v>
      </c>
      <c r="E21">
        <f>unified_reference_costs!J19</f>
        <v>30</v>
      </c>
      <c r="F21">
        <f>unified_reference_costs!K19</f>
        <v>3</v>
      </c>
      <c r="J21" t="str" cm="1">
        <f t="array" ref="J21">IFERROR(_xlfn.TEXTJOIN(",",TRUE,_xlfn.UNIQUE(_xlfn._xlws.FILTER(unified_reference_costs!B:B,(unified_reference_costs!A:A=L21)*(unified_reference_costs!D:D="efficiency")))),"")</f>
        <v/>
      </c>
      <c r="K21" t="s">
        <v>102</v>
      </c>
      <c r="L21" t="str">
        <f>unified_reference_costs!J58</f>
        <v>\I:</v>
      </c>
      <c r="M21" t="s">
        <v>105</v>
      </c>
      <c r="N21" t="s">
        <v>106</v>
      </c>
      <c r="O21" t="s">
        <v>107</v>
      </c>
      <c r="P21" t="str">
        <f>unified_reference_costs!M19</f>
        <v>Wind offshore (bottom-fixed/floating). IEA GEC: Wind offshore; ATB: OffShoreWind Class3</v>
      </c>
    </row>
    <row r="22" spans="2:16">
      <c r="B22" t="str">
        <f t="shared" si="0"/>
        <v>\I:</v>
      </c>
      <c r="E22">
        <f>unified_reference_costs!J20</f>
        <v>100</v>
      </c>
      <c r="F22">
        <f>unified_reference_costs!K20</f>
        <v>4</v>
      </c>
      <c r="J22" t="str" cm="1">
        <f t="array" ref="J22">IFERROR(_xlfn.TEXTJOIN(",",TRUE,_xlfn.UNIQUE(_xlfn._xlws.FILTER(unified_reference_costs!B:B,(unified_reference_costs!A:A=L22)*(unified_reference_costs!D:D="efficiency")))),"")</f>
        <v/>
      </c>
      <c r="K22" t="s">
        <v>102</v>
      </c>
      <c r="L22" t="str">
        <f>unified_reference_costs!J59</f>
        <v>\I:</v>
      </c>
      <c r="M22" t="s">
        <v>105</v>
      </c>
      <c r="N22" t="s">
        <v>106</v>
      </c>
      <c r="O22" t="s">
        <v>107</v>
      </c>
      <c r="P22" t="str">
        <f>unified_reference_costs!M20</f>
        <v>Hydropower large-scale. IEA GEC: Hydropower large; ATB: NPD4</v>
      </c>
    </row>
    <row r="23" spans="2:16">
      <c r="B23" t="str">
        <f t="shared" si="0"/>
        <v>\I:</v>
      </c>
      <c r="E23">
        <f>unified_reference_costs!J21</f>
        <v>60</v>
      </c>
      <c r="F23">
        <f>unified_reference_costs!K21</f>
        <v>4</v>
      </c>
      <c r="J23" t="str" cm="1">
        <f t="array" ref="J23">IFERROR(_xlfn.TEXTJOIN(",",TRUE,_xlfn.UNIQUE(_xlfn._xlws.FILTER(unified_reference_costs!B:B,(unified_reference_costs!A:A=L23)*(unified_reference_costs!D:D="efficiency")))),"")</f>
        <v/>
      </c>
      <c r="K23" t="s">
        <v>102</v>
      </c>
      <c r="L23" t="str">
        <f>unified_reference_costs!J60</f>
        <v>\I:</v>
      </c>
      <c r="M23" t="s">
        <v>105</v>
      </c>
      <c r="N23" t="s">
        <v>106</v>
      </c>
      <c r="O23" t="s">
        <v>107</v>
      </c>
      <c r="P23" t="str">
        <f>unified_reference_costs!M21</f>
        <v>Hydropower small-scale. IEA GEC: Hydropower small</v>
      </c>
    </row>
    <row r="24" spans="2:16">
      <c r="B24" t="str">
        <f t="shared" si="0"/>
        <v>en_biomass</v>
      </c>
      <c r="C24" t="s">
        <v>114</v>
      </c>
      <c r="D24" t="s">
        <v>115</v>
      </c>
      <c r="E24">
        <f>unified_reference_costs!J22</f>
        <v>45</v>
      </c>
      <c r="F24">
        <f>unified_reference_costs!K22</f>
        <v>3</v>
      </c>
      <c r="J24" t="str" cm="1">
        <f t="array" ref="J24">IFERROR(_xlfn.TEXTJOIN(",",TRUE,_xlfn.UNIQUE(_xlfn._xlws.FILTER(unified_reference_costs!B:B,(unified_reference_costs!A:A=L24)*(unified_reference_costs!D:D="efficiency")))),"")</f>
        <v>ieapg_european_union,ieapg_united_states,ieapg_japan,ieapg_russia,ieapg_china,ieapg_india,ieapg_middle_east,ieapg_africa,ieapg_brazil</v>
      </c>
      <c r="K24" t="s">
        <v>102</v>
      </c>
      <c r="L24" t="str">
        <f>unified_reference_costs!J61</f>
        <v>en_biomass</v>
      </c>
      <c r="M24" t="s">
        <v>105</v>
      </c>
      <c r="N24" t="s">
        <v>106</v>
      </c>
      <c r="O24" t="s">
        <v>107</v>
      </c>
      <c r="P24" t="str">
        <f>unified_reference_costs!M22</f>
        <v>Biomass dedicated large-scale. IEA GEC: Bioenergy large-scale; ATB: Biopower Dedicated</v>
      </c>
    </row>
    <row r="25" spans="2:16">
      <c r="B25" t="str">
        <f t="shared" si="0"/>
        <v>\I:</v>
      </c>
      <c r="E25">
        <f>unified_reference_costs!J23</f>
        <v>40</v>
      </c>
      <c r="F25">
        <f>unified_reference_costs!K23</f>
        <v>2</v>
      </c>
      <c r="J25" t="str" cm="1">
        <f t="array" ref="J25">IFERROR(_xlfn.TEXTJOIN(",",TRUE,_xlfn.UNIQUE(_xlfn._xlws.FILTER(unified_reference_costs!B:B,(unified_reference_costs!A:A=L25)*(unified_reference_costs!D:D="efficiency")))),"")</f>
        <v/>
      </c>
      <c r="K25" t="s">
        <v>102</v>
      </c>
      <c r="L25" t="str">
        <f>unified_reference_costs!J62</f>
        <v>\I:</v>
      </c>
      <c r="M25" t="s">
        <v>105</v>
      </c>
      <c r="N25" t="s">
        <v>106</v>
      </c>
      <c r="O25" t="s">
        <v>107</v>
      </c>
      <c r="P25" t="str">
        <f>unified_reference_costs!M23</f>
        <v>Biomass cofiring â€” incremental investment for blending in existing coal plants. IEA GEC: Bioenergy cofiring</v>
      </c>
    </row>
    <row r="26" spans="2:16">
      <c r="B26" t="str">
        <f t="shared" si="0"/>
        <v>en_biomass_chp</v>
      </c>
      <c r="C26" t="s">
        <v>114</v>
      </c>
      <c r="D26" t="s">
        <v>163</v>
      </c>
      <c r="E26">
        <f>unified_reference_costs!J24</f>
        <v>25</v>
      </c>
      <c r="F26">
        <f>unified_reference_costs!K24</f>
        <v>2</v>
      </c>
      <c r="J26" t="str" cm="1">
        <f t="array" ref="J26">IFERROR(_xlfn.TEXTJOIN(",",TRUE,_xlfn.UNIQUE(_xlfn._xlws.FILTER(unified_reference_costs!B:B,(unified_reference_costs!A:A=L26)*(unified_reference_costs!D:D="efficiency")))),"")</f>
        <v>ieapg_european_union,ieapg_united_states,ieapg_japan,ieapg_russia,ieapg_china,ieapg_india,ieapg_middle_east,ieapg_africa,ieapg_brazil</v>
      </c>
      <c r="K26" t="s">
        <v>103</v>
      </c>
      <c r="L26" t="str">
        <f>unified_reference_costs!J63</f>
        <v>en_biomass_chp</v>
      </c>
      <c r="M26" t="s">
        <v>105</v>
      </c>
      <c r="N26" t="s">
        <v>106</v>
      </c>
      <c r="O26" t="s">
        <v>107</v>
      </c>
      <c r="P26" t="str">
        <f>unified_reference_costs!M24</f>
        <v>Biomass medium-scale combined heat and power. IEA GEC: Bioenergy medium-scale CHP</v>
      </c>
    </row>
    <row r="27" spans="2:16">
      <c r="B27" t="str">
        <f t="shared" si="0"/>
        <v>en_biomass_ccs</v>
      </c>
      <c r="C27" t="s">
        <v>114</v>
      </c>
      <c r="D27" t="s">
        <v>167</v>
      </c>
      <c r="E27">
        <f>unified_reference_costs!J25</f>
        <v>30</v>
      </c>
      <c r="F27">
        <f>unified_reference_costs!K25</f>
        <v>3</v>
      </c>
      <c r="J27" t="str" cm="1">
        <f t="array" ref="J27">IFERROR(_xlfn.TEXTJOIN(",",TRUE,_xlfn.UNIQUE(_xlfn._xlws.FILTER(unified_reference_costs!B:B,(unified_reference_costs!A:A=L27)*(unified_reference_costs!D:D="efficiency")))),"")</f>
        <v>ieapg_european_union,ieapg_united_states,ieapg_japan,ieapg_russia,ieapg_china,ieapg_india,ieapg_middle_east,ieapg_africa,ieapg_brazil</v>
      </c>
      <c r="K27" t="s">
        <v>102</v>
      </c>
      <c r="L27" t="str">
        <f>unified_reference_costs!J64</f>
        <v>en_biomass_ccs</v>
      </c>
      <c r="M27" t="s">
        <v>105</v>
      </c>
      <c r="N27" t="s">
        <v>106</v>
      </c>
      <c r="O27" t="s">
        <v>108</v>
      </c>
      <c r="P27" t="str">
        <f>unified_reference_costs!M25</f>
        <v>Biomass with carbon capture and storage (BECCS). IEA GEC: Bioenergy+CCUS</v>
      </c>
    </row>
    <row r="28" spans="2:16">
      <c r="B28" t="str">
        <f t="shared" si="0"/>
        <v>\I:</v>
      </c>
      <c r="E28">
        <f>unified_reference_costs!J26</f>
        <v>30</v>
      </c>
      <c r="F28">
        <f>unified_reference_costs!K26</f>
        <v>4</v>
      </c>
      <c r="J28" t="str" cm="1">
        <f t="array" ref="J28">IFERROR(_xlfn.TEXTJOIN(",",TRUE,_xlfn.UNIQUE(_xlfn._xlws.FILTER(unified_reference_costs!B:B,(unified_reference_costs!A:A=L28)*(unified_reference_costs!D:D="efficiency")))),"")</f>
        <v/>
      </c>
      <c r="K28" t="s">
        <v>102</v>
      </c>
      <c r="L28" t="str">
        <f>unified_reference_costs!J65</f>
        <v>\I:</v>
      </c>
      <c r="M28" t="s">
        <v>105</v>
      </c>
      <c r="N28" t="s">
        <v>106</v>
      </c>
      <c r="O28" t="s">
        <v>107</v>
      </c>
      <c r="P28" t="str">
        <f>unified_reference_costs!M26</f>
        <v>Geothermal hydrothermal flash. IEA GEC: Geothermal; ATB: HydroFlash</v>
      </c>
    </row>
    <row r="29" spans="2:16">
      <c r="B29" t="str">
        <f t="shared" si="0"/>
        <v>en_battery_4h</v>
      </c>
      <c r="D29" t="s">
        <v>115</v>
      </c>
      <c r="E29">
        <f>unified_reference_costs!J27</f>
        <v>20</v>
      </c>
      <c r="F29">
        <f>unified_reference_costs!K27</f>
        <v>1</v>
      </c>
      <c r="G29" s="14">
        <f>4/24</f>
        <v>0.16666666666666666</v>
      </c>
      <c r="H29">
        <v>1</v>
      </c>
      <c r="J29" t="str" cm="1">
        <f t="array" ref="J29">IFERROR(_xlfn.TEXTJOIN(",",TRUE,_xlfn.UNIQUE(_xlfn._xlws.FILTER(unified_reference_costs!B:B,(unified_reference_costs!A:A=L29)*(unified_reference_costs!D:D="efficiency")))),"")</f>
        <v/>
      </c>
      <c r="K29" t="s">
        <v>104</v>
      </c>
      <c r="L29" t="str">
        <f>unified_reference_costs!J66</f>
        <v>en_battery_4h</v>
      </c>
      <c r="M29" t="s">
        <v>105</v>
      </c>
      <c r="N29" t="s">
        <v>106</v>
      </c>
      <c r="O29" t="s">
        <v>107</v>
      </c>
      <c r="P29" t="str">
        <f>unified_reference_costs!M27</f>
        <v>Utility-scale Li-ion battery, 4-hour duration. ATB only (no IEA GEC). Uniform cost across regions</v>
      </c>
    </row>
    <row r="30" spans="2:16">
      <c r="B30" t="str">
        <f t="shared" si="0"/>
        <v>en_battery_8h</v>
      </c>
      <c r="D30" t="s">
        <v>115</v>
      </c>
      <c r="E30">
        <f>unified_reference_costs!J28</f>
        <v>20</v>
      </c>
      <c r="F30">
        <f>unified_reference_costs!K28</f>
        <v>1</v>
      </c>
      <c r="G30" s="14">
        <f>8/24</f>
        <v>0.33333333333333331</v>
      </c>
      <c r="H30">
        <v>1</v>
      </c>
      <c r="J30" t="str" cm="1">
        <f t="array" ref="J30">IFERROR(_xlfn.TEXTJOIN(",",TRUE,_xlfn.UNIQUE(_xlfn._xlws.FILTER(unified_reference_costs!B:B,(unified_reference_costs!A:A=L30)*(unified_reference_costs!D:D="efficiency")))),"")</f>
        <v/>
      </c>
      <c r="K30" t="s">
        <v>104</v>
      </c>
      <c r="L30" t="str">
        <f>unified_reference_costs!J67</f>
        <v>en_battery_8h</v>
      </c>
      <c r="M30" t="s">
        <v>105</v>
      </c>
      <c r="N30" t="s">
        <v>106</v>
      </c>
      <c r="O30" t="s">
        <v>107</v>
      </c>
      <c r="P30" t="str">
        <f>unified_reference_costs!M28</f>
        <v>Utility-scale Li-ion battery, 8-hour duration. ATB only (no IEA GEC). Uniform cost across regions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42C8-3679-42A4-ABEB-AC7E8730BF95}">
  <dimension ref="B2:Z486"/>
  <sheetViews>
    <sheetView workbookViewId="0"/>
  </sheetViews>
  <sheetFormatPr defaultRowHeight="14.25"/>
  <cols>
    <col min="2" max="2" width="21.19921875" bestFit="1" customWidth="1"/>
    <col min="4" max="4" width="5.53125" bestFit="1" customWidth="1"/>
    <col min="5" max="5" width="10.33203125" bestFit="1" customWidth="1"/>
    <col min="6" max="6" width="10.19921875" bestFit="1" customWidth="1"/>
    <col min="7" max="7" width="10.1328125" bestFit="1" customWidth="1"/>
    <col min="8" max="8" width="9.6640625" bestFit="1" customWidth="1"/>
    <col min="9" max="9" width="10.1328125" bestFit="1" customWidth="1"/>
    <col min="10" max="10" width="10.59765625" bestFit="1" customWidth="1"/>
    <col min="11" max="11" width="14.46484375" customWidth="1"/>
    <col min="12" max="12" width="16.59765625" bestFit="1" customWidth="1"/>
    <col min="13" max="13" width="15.59765625" bestFit="1" customWidth="1"/>
  </cols>
  <sheetData>
    <row r="2" spans="2:26" ht="17.649999999999999" thickBot="1">
      <c r="B2" s="10" t="s">
        <v>93</v>
      </c>
      <c r="Q2" s="5" t="s">
        <v>18</v>
      </c>
      <c r="R2" s="5" t="s">
        <v>19</v>
      </c>
      <c r="S2" s="5"/>
      <c r="T2" s="5"/>
      <c r="U2" s="5"/>
      <c r="V2" s="5"/>
      <c r="W2" s="5"/>
      <c r="X2" s="5"/>
      <c r="Y2" s="5"/>
      <c r="Z2" s="5"/>
    </row>
    <row r="3" spans="2:26" ht="15" thickTop="1" thickBot="1">
      <c r="B3" s="11" t="s">
        <v>88</v>
      </c>
      <c r="C3" s="11" t="s">
        <v>87</v>
      </c>
      <c r="D3" s="11" t="s">
        <v>2</v>
      </c>
      <c r="E3" s="11" t="s">
        <v>27</v>
      </c>
      <c r="F3" s="11" t="s">
        <v>28</v>
      </c>
      <c r="G3" s="11" t="s">
        <v>24</v>
      </c>
      <c r="H3" s="11" t="s">
        <v>25</v>
      </c>
      <c r="I3" s="11" t="s">
        <v>22</v>
      </c>
      <c r="J3" s="11" t="s">
        <v>23</v>
      </c>
      <c r="K3" s="11" t="s">
        <v>20</v>
      </c>
      <c r="L3" s="11" t="s">
        <v>21</v>
      </c>
      <c r="M3" s="11" t="s">
        <v>26</v>
      </c>
      <c r="Q3" s="6" t="s">
        <v>17</v>
      </c>
      <c r="R3" s="6" t="s">
        <v>27</v>
      </c>
      <c r="S3" s="6" t="s">
        <v>28</v>
      </c>
      <c r="T3" s="6" t="s">
        <v>24</v>
      </c>
      <c r="U3" s="6" t="s">
        <v>25</v>
      </c>
      <c r="V3" s="6" t="s">
        <v>22</v>
      </c>
      <c r="W3" s="6" t="s">
        <v>23</v>
      </c>
      <c r="X3" s="6" t="s">
        <v>20</v>
      </c>
      <c r="Y3" s="6" t="s">
        <v>21</v>
      </c>
      <c r="Z3" s="6" t="s">
        <v>26</v>
      </c>
    </row>
    <row r="4" spans="2:26">
      <c r="C4" t="str">
        <f>IFERROR(VLOOKUP(Q4,unified_reference_costs!$I$31:$J$41,2,FALSE),"*")</f>
        <v>*</v>
      </c>
      <c r="D4">
        <f t="shared" ref="D4:D67" si="0">IF(ISNUMBER(Q4),Q4,D3)</f>
        <v>2022</v>
      </c>
      <c r="Q4" s="7">
        <v>2022</v>
      </c>
      <c r="R4" s="21"/>
      <c r="S4" s="21"/>
      <c r="T4" s="21"/>
      <c r="U4" s="21"/>
      <c r="V4" s="21"/>
      <c r="W4" s="21"/>
      <c r="X4" s="21"/>
      <c r="Y4" s="21"/>
      <c r="Z4" s="21"/>
    </row>
    <row r="5" spans="2:26">
      <c r="B5" t="str">
        <f>IFERROR(VLOOKUP(Q5,unified_reference_costs!$I$41:$J$69,2,FALSE),B4)</f>
        <v>en_gas_ccgt</v>
      </c>
      <c r="C5" t="str">
        <f>IFERROR(VLOOKUP(Q5,unified_reference_costs!$I$31:$J$40,2,FALSE),"*")</f>
        <v>*</v>
      </c>
      <c r="D5">
        <f t="shared" si="0"/>
        <v>2022</v>
      </c>
      <c r="Q5" s="8" t="s">
        <v>29</v>
      </c>
      <c r="R5" s="22"/>
      <c r="S5" s="22"/>
      <c r="T5" s="22"/>
      <c r="U5" s="22"/>
      <c r="V5" s="22"/>
      <c r="W5" s="22"/>
      <c r="X5" s="22"/>
      <c r="Y5" s="22"/>
      <c r="Z5" s="22"/>
    </row>
    <row r="6" spans="2:26">
      <c r="B6" t="str">
        <f>IFERROR(VLOOKUP(Q6,unified_reference_costs!$I$41:$J$69,2,FALSE),B5)</f>
        <v>en_gas_ccgt</v>
      </c>
      <c r="C6" t="str">
        <f>IFERROR(VLOOKUP(Q6,unified_reference_costs!$I$31:$J$40,2,FALSE),"*")</f>
        <v>invcost</v>
      </c>
      <c r="D6">
        <f t="shared" si="0"/>
        <v>2022</v>
      </c>
      <c r="E6">
        <f t="shared" ref="E6:E69" si="1">IF(R6="","",R6)</f>
        <v>700</v>
      </c>
      <c r="F6">
        <f t="shared" ref="F6:F69" si="2">IF(S6="","",S6)</f>
        <v>700</v>
      </c>
      <c r="G6">
        <f t="shared" ref="G6:G69" si="3">IF(T6="","",T6)</f>
        <v>560</v>
      </c>
      <c r="H6">
        <f t="shared" ref="H6:H69" si="4">IF(U6="","",U6)</f>
        <v>700</v>
      </c>
      <c r="I6">
        <f t="shared" ref="I6:I69" si="5">IF(V6="","",V6)</f>
        <v>1100</v>
      </c>
      <c r="J6">
        <f t="shared" ref="J6:J69" si="6">IF(W6="","",W6)</f>
        <v>800</v>
      </c>
      <c r="K6">
        <f t="shared" ref="K6:K69" si="7">IF(X6="","",X6)</f>
        <v>1000</v>
      </c>
      <c r="L6">
        <f t="shared" ref="L6:L69" si="8">IF(Y6="","",Y6)</f>
        <v>1000</v>
      </c>
      <c r="M6">
        <f t="shared" ref="M6:M69" si="9">IF(Z6="","",Z6)</f>
        <v>800</v>
      </c>
      <c r="Q6" s="4" t="s">
        <v>6</v>
      </c>
      <c r="R6">
        <v>700</v>
      </c>
      <c r="S6">
        <v>700</v>
      </c>
      <c r="T6">
        <v>560</v>
      </c>
      <c r="U6">
        <v>700</v>
      </c>
      <c r="V6">
        <v>1100</v>
      </c>
      <c r="W6">
        <v>800</v>
      </c>
      <c r="X6">
        <v>1000</v>
      </c>
      <c r="Y6">
        <v>1000</v>
      </c>
      <c r="Z6">
        <v>800</v>
      </c>
    </row>
    <row r="7" spans="2:26">
      <c r="B7" t="str">
        <f>IFERROR(VLOOKUP(Q7,unified_reference_costs!$I$41:$J$69,2,FALSE),B6)</f>
        <v>en_gas_ccgt</v>
      </c>
      <c r="C7" t="str">
        <f>IFERROR(VLOOKUP(Q7,unified_reference_costs!$I$31:$J$40,2,FALSE),"*")</f>
        <v>efficiency</v>
      </c>
      <c r="D7">
        <f t="shared" si="0"/>
        <v>2022</v>
      </c>
      <c r="E7">
        <f t="shared" si="1"/>
        <v>0.57999999999999996</v>
      </c>
      <c r="F7">
        <f t="shared" si="2"/>
        <v>0.57999999999999996</v>
      </c>
      <c r="G7">
        <f t="shared" si="3"/>
        <v>0.56999999999999995</v>
      </c>
      <c r="H7">
        <f t="shared" si="4"/>
        <v>0.56000000000000005</v>
      </c>
      <c r="I7">
        <f t="shared" si="5"/>
        <v>0.59</v>
      </c>
      <c r="J7">
        <f t="shared" si="6"/>
        <v>0.56999999999999995</v>
      </c>
      <c r="K7">
        <f t="shared" si="7"/>
        <v>0.59</v>
      </c>
      <c r="L7">
        <f t="shared" si="8"/>
        <v>0.59</v>
      </c>
      <c r="M7">
        <f t="shared" si="9"/>
        <v>0.56999999999999995</v>
      </c>
      <c r="Q7" s="4" t="s">
        <v>12</v>
      </c>
      <c r="R7">
        <v>0.57999999999999996</v>
      </c>
      <c r="S7">
        <v>0.57999999999999996</v>
      </c>
      <c r="T7">
        <v>0.56999999999999995</v>
      </c>
      <c r="U7">
        <v>0.56000000000000005</v>
      </c>
      <c r="V7">
        <v>0.59</v>
      </c>
      <c r="W7">
        <v>0.56999999999999995</v>
      </c>
      <c r="X7">
        <v>0.59</v>
      </c>
      <c r="Y7">
        <v>0.59</v>
      </c>
      <c r="Z7">
        <v>0.56999999999999995</v>
      </c>
    </row>
    <row r="8" spans="2:26">
      <c r="B8" t="str">
        <f>IFERROR(VLOOKUP(Q8,unified_reference_costs!$I$41:$J$69,2,FALSE),B7)</f>
        <v>en_gas_ccgt</v>
      </c>
      <c r="C8" t="str">
        <f>IFERROR(VLOOKUP(Q8,unified_reference_costs!$I$31:$J$40,2,FALSE),"*")</f>
        <v>fixom</v>
      </c>
      <c r="D8">
        <f t="shared" si="0"/>
        <v>2022</v>
      </c>
      <c r="E8">
        <f t="shared" si="1"/>
        <v>25</v>
      </c>
      <c r="F8">
        <f t="shared" si="2"/>
        <v>25</v>
      </c>
      <c r="G8">
        <f t="shared" si="3"/>
        <v>20</v>
      </c>
      <c r="H8">
        <f t="shared" si="4"/>
        <v>25</v>
      </c>
      <c r="I8">
        <f t="shared" si="5"/>
        <v>30</v>
      </c>
      <c r="J8">
        <f t="shared" si="6"/>
        <v>30</v>
      </c>
      <c r="K8">
        <f t="shared" si="7"/>
        <v>25</v>
      </c>
      <c r="L8">
        <f t="shared" si="8"/>
        <v>25</v>
      </c>
      <c r="M8">
        <f t="shared" si="9"/>
        <v>30</v>
      </c>
      <c r="Q8" s="4" t="s">
        <v>10</v>
      </c>
      <c r="R8">
        <v>25</v>
      </c>
      <c r="S8">
        <v>25</v>
      </c>
      <c r="T8">
        <v>20</v>
      </c>
      <c r="U8">
        <v>25</v>
      </c>
      <c r="V8">
        <v>30</v>
      </c>
      <c r="W8">
        <v>30</v>
      </c>
      <c r="X8">
        <v>25</v>
      </c>
      <c r="Y8">
        <v>25</v>
      </c>
      <c r="Z8">
        <v>30</v>
      </c>
    </row>
    <row r="9" spans="2:26">
      <c r="B9" t="str">
        <f>IFERROR(VLOOKUP(Q9,unified_reference_costs!$I$41:$J$69,2,FALSE),B8)</f>
        <v>en_gas_ccgt</v>
      </c>
      <c r="C9" t="str">
        <f>IFERROR(VLOOKUP(Q9,unified_reference_costs!$I$31:$J$40,2,FALSE),"*")</f>
        <v>varom</v>
      </c>
      <c r="D9">
        <f t="shared" si="0"/>
        <v>2022</v>
      </c>
      <c r="E9">
        <f t="shared" si="1"/>
        <v>0.60299999999999998</v>
      </c>
      <c r="F9">
        <f t="shared" si="2"/>
        <v>0.60299999999999998</v>
      </c>
      <c r="G9">
        <f t="shared" si="3"/>
        <v>0.60299999999999998</v>
      </c>
      <c r="H9">
        <f t="shared" si="4"/>
        <v>0.60299999999999998</v>
      </c>
      <c r="I9">
        <f t="shared" si="5"/>
        <v>0.60299999999999998</v>
      </c>
      <c r="J9">
        <f t="shared" si="6"/>
        <v>0.60299999999999998</v>
      </c>
      <c r="K9">
        <f t="shared" si="7"/>
        <v>0.60299999999999998</v>
      </c>
      <c r="L9">
        <f t="shared" si="8"/>
        <v>0.60299999999999998</v>
      </c>
      <c r="M9">
        <f t="shared" si="9"/>
        <v>0.60299999999999998</v>
      </c>
      <c r="Q9" s="8" t="s">
        <v>164</v>
      </c>
      <c r="R9" s="22">
        <v>0.60299999999999998</v>
      </c>
      <c r="S9" s="22">
        <v>0.60299999999999998</v>
      </c>
      <c r="T9" s="22">
        <v>0.60299999999999998</v>
      </c>
      <c r="U9" s="22">
        <v>0.60299999999999998</v>
      </c>
      <c r="V9" s="22">
        <v>0.60299999999999998</v>
      </c>
      <c r="W9" s="22">
        <v>0.60299999999999998</v>
      </c>
      <c r="X9" s="22">
        <v>0.60299999999999998</v>
      </c>
      <c r="Y9" s="22">
        <v>0.60299999999999998</v>
      </c>
      <c r="Z9" s="22">
        <v>0.60299999999999998</v>
      </c>
    </row>
    <row r="10" spans="2:26">
      <c r="B10" t="str">
        <f>IFERROR(VLOOKUP(Q10,unified_reference_costs!$I$41:$J$69,2,FALSE),B9)</f>
        <v>en_gas_turbine</v>
      </c>
      <c r="C10" t="str">
        <f>IFERROR(VLOOKUP(Q10,unified_reference_costs!$I$31:$J$40,2,FALSE),"*")</f>
        <v>*</v>
      </c>
      <c r="D10">
        <f t="shared" si="0"/>
        <v>2022</v>
      </c>
      <c r="E10" t="str">
        <f t="shared" si="1"/>
        <v/>
      </c>
      <c r="F10" t="str">
        <f t="shared" si="2"/>
        <v/>
      </c>
      <c r="G10" t="str">
        <f t="shared" si="3"/>
        <v/>
      </c>
      <c r="H10" t="str">
        <f t="shared" si="4"/>
        <v/>
      </c>
      <c r="I10" t="str">
        <f t="shared" si="5"/>
        <v/>
      </c>
      <c r="J10" t="str">
        <f t="shared" si="6"/>
        <v/>
      </c>
      <c r="K10" t="str">
        <f t="shared" si="7"/>
        <v/>
      </c>
      <c r="L10" t="str">
        <f t="shared" si="8"/>
        <v/>
      </c>
      <c r="M10" t="str">
        <f t="shared" si="9"/>
        <v/>
      </c>
      <c r="Q10" s="4" t="s">
        <v>30</v>
      </c>
    </row>
    <row r="11" spans="2:26">
      <c r="B11" t="str">
        <f>IFERROR(VLOOKUP(Q11,unified_reference_costs!$I$41:$J$69,2,FALSE),B10)</f>
        <v>en_gas_turbine</v>
      </c>
      <c r="C11" t="str">
        <f>IFERROR(VLOOKUP(Q11,unified_reference_costs!$I$31:$J$40,2,FALSE),"*")</f>
        <v>invcost</v>
      </c>
      <c r="D11">
        <f t="shared" si="0"/>
        <v>2022</v>
      </c>
      <c r="E11">
        <f t="shared" si="1"/>
        <v>400</v>
      </c>
      <c r="F11">
        <f t="shared" si="2"/>
        <v>400</v>
      </c>
      <c r="G11">
        <f t="shared" si="3"/>
        <v>350</v>
      </c>
      <c r="H11">
        <f t="shared" si="4"/>
        <v>400</v>
      </c>
      <c r="I11">
        <f t="shared" si="5"/>
        <v>500</v>
      </c>
      <c r="J11">
        <f t="shared" si="6"/>
        <v>450</v>
      </c>
      <c r="K11">
        <f t="shared" si="7"/>
        <v>500</v>
      </c>
      <c r="L11">
        <f t="shared" si="8"/>
        <v>500</v>
      </c>
      <c r="M11">
        <f t="shared" si="9"/>
        <v>450</v>
      </c>
      <c r="Q11" s="4" t="s">
        <v>6</v>
      </c>
      <c r="R11">
        <v>400</v>
      </c>
      <c r="S11">
        <v>400</v>
      </c>
      <c r="T11">
        <v>350</v>
      </c>
      <c r="U11">
        <v>400</v>
      </c>
      <c r="V11">
        <v>500</v>
      </c>
      <c r="W11">
        <v>450</v>
      </c>
      <c r="X11">
        <v>500</v>
      </c>
      <c r="Y11">
        <v>500</v>
      </c>
      <c r="Z11">
        <v>450</v>
      </c>
    </row>
    <row r="12" spans="2:26">
      <c r="B12" t="str">
        <f>IFERROR(VLOOKUP(Q12,unified_reference_costs!$I$41:$J$69,2,FALSE),B11)</f>
        <v>en_gas_turbine</v>
      </c>
      <c r="C12" t="str">
        <f>IFERROR(VLOOKUP(Q12,unified_reference_costs!$I$31:$J$40,2,FALSE),"*")</f>
        <v>efficiency</v>
      </c>
      <c r="D12">
        <f t="shared" si="0"/>
        <v>2022</v>
      </c>
      <c r="E12">
        <f t="shared" si="1"/>
        <v>0.38</v>
      </c>
      <c r="F12">
        <f t="shared" si="2"/>
        <v>0.38</v>
      </c>
      <c r="G12">
        <f t="shared" si="3"/>
        <v>0.38</v>
      </c>
      <c r="H12">
        <f t="shared" si="4"/>
        <v>0.38</v>
      </c>
      <c r="I12">
        <f t="shared" si="5"/>
        <v>0.4</v>
      </c>
      <c r="J12">
        <f t="shared" si="6"/>
        <v>0.38</v>
      </c>
      <c r="K12">
        <f t="shared" si="7"/>
        <v>0.4</v>
      </c>
      <c r="L12">
        <f t="shared" si="8"/>
        <v>0.4</v>
      </c>
      <c r="M12">
        <f t="shared" si="9"/>
        <v>0.38</v>
      </c>
      <c r="Q12" s="4" t="s">
        <v>12</v>
      </c>
      <c r="R12">
        <v>0.38</v>
      </c>
      <c r="S12">
        <v>0.38</v>
      </c>
      <c r="T12">
        <v>0.38</v>
      </c>
      <c r="U12">
        <v>0.38</v>
      </c>
      <c r="V12">
        <v>0.4</v>
      </c>
      <c r="W12">
        <v>0.38</v>
      </c>
      <c r="X12">
        <v>0.4</v>
      </c>
      <c r="Y12">
        <v>0.4</v>
      </c>
      <c r="Z12">
        <v>0.38</v>
      </c>
    </row>
    <row r="13" spans="2:26">
      <c r="B13" t="str">
        <f>IFERROR(VLOOKUP(Q13,unified_reference_costs!$I$41:$J$69,2,FALSE),B12)</f>
        <v>en_gas_turbine</v>
      </c>
      <c r="C13" t="str">
        <f>IFERROR(VLOOKUP(Q13,unified_reference_costs!$I$31:$J$40,2,FALSE),"*")</f>
        <v>fixom</v>
      </c>
      <c r="D13">
        <f t="shared" si="0"/>
        <v>2022</v>
      </c>
      <c r="E13">
        <f t="shared" si="1"/>
        <v>20</v>
      </c>
      <c r="F13">
        <f t="shared" si="2"/>
        <v>20</v>
      </c>
      <c r="G13">
        <f t="shared" si="3"/>
        <v>20</v>
      </c>
      <c r="H13">
        <f t="shared" si="4"/>
        <v>20</v>
      </c>
      <c r="I13">
        <f t="shared" si="5"/>
        <v>20</v>
      </c>
      <c r="J13">
        <f t="shared" si="6"/>
        <v>25</v>
      </c>
      <c r="K13">
        <f t="shared" si="7"/>
        <v>20</v>
      </c>
      <c r="L13">
        <f t="shared" si="8"/>
        <v>20</v>
      </c>
      <c r="M13">
        <f t="shared" si="9"/>
        <v>25</v>
      </c>
      <c r="Q13" s="8" t="s">
        <v>10</v>
      </c>
      <c r="R13" s="22">
        <v>20</v>
      </c>
      <c r="S13" s="22">
        <v>20</v>
      </c>
      <c r="T13" s="22">
        <v>20</v>
      </c>
      <c r="U13" s="22">
        <v>20</v>
      </c>
      <c r="V13" s="22">
        <v>20</v>
      </c>
      <c r="W13" s="22">
        <v>25</v>
      </c>
      <c r="X13" s="22">
        <v>20</v>
      </c>
      <c r="Y13" s="22">
        <v>20</v>
      </c>
      <c r="Z13" s="22">
        <v>25</v>
      </c>
    </row>
    <row r="14" spans="2:26">
      <c r="B14" t="str">
        <f>IFERROR(VLOOKUP(Q14,unified_reference_costs!$I$41:$J$69,2,FALSE),B13)</f>
        <v>en_gas_turbine</v>
      </c>
      <c r="C14" t="str">
        <f>IFERROR(VLOOKUP(Q14,unified_reference_costs!$I$31:$J$40,2,FALSE),"*")</f>
        <v>varom</v>
      </c>
      <c r="D14">
        <f t="shared" si="0"/>
        <v>2022</v>
      </c>
      <c r="E14">
        <f t="shared" si="1"/>
        <v>1.9279999999999999</v>
      </c>
      <c r="F14">
        <f t="shared" si="2"/>
        <v>1.9279999999999999</v>
      </c>
      <c r="G14">
        <f t="shared" si="3"/>
        <v>1.9279999999999999</v>
      </c>
      <c r="H14">
        <f t="shared" si="4"/>
        <v>1.9279999999999999</v>
      </c>
      <c r="I14">
        <f t="shared" si="5"/>
        <v>1.9279999999999999</v>
      </c>
      <c r="J14">
        <f t="shared" si="6"/>
        <v>1.9279999999999999</v>
      </c>
      <c r="K14">
        <f t="shared" si="7"/>
        <v>1.9279999999999999</v>
      </c>
      <c r="L14">
        <f t="shared" si="8"/>
        <v>1.9279999999999999</v>
      </c>
      <c r="M14">
        <f t="shared" si="9"/>
        <v>1.9279999999999999</v>
      </c>
      <c r="Q14" s="4" t="s">
        <v>164</v>
      </c>
      <c r="R14">
        <v>1.9279999999999999</v>
      </c>
      <c r="S14">
        <v>1.9279999999999999</v>
      </c>
      <c r="T14">
        <v>1.9279999999999999</v>
      </c>
      <c r="U14">
        <v>1.9279999999999999</v>
      </c>
      <c r="V14">
        <v>1.9279999999999999</v>
      </c>
      <c r="W14">
        <v>1.9279999999999999</v>
      </c>
      <c r="X14">
        <v>1.9279999999999999</v>
      </c>
      <c r="Y14">
        <v>1.9279999999999999</v>
      </c>
      <c r="Z14">
        <v>1.9279999999999999</v>
      </c>
    </row>
    <row r="15" spans="2:26">
      <c r="B15" t="str">
        <f>IFERROR(VLOOKUP(Q15,unified_reference_costs!$I$41:$J$69,2,FALSE),B14)</f>
        <v>en_gas_chp</v>
      </c>
      <c r="C15" t="str">
        <f>IFERROR(VLOOKUP(Q15,unified_reference_costs!$I$31:$J$40,2,FALSE),"*")</f>
        <v>*</v>
      </c>
      <c r="D15">
        <f t="shared" si="0"/>
        <v>2022</v>
      </c>
      <c r="E15" t="str">
        <f t="shared" si="1"/>
        <v/>
      </c>
      <c r="F15" t="str">
        <f t="shared" si="2"/>
        <v/>
      </c>
      <c r="G15" t="str">
        <f t="shared" si="3"/>
        <v/>
      </c>
      <c r="H15" t="str">
        <f t="shared" si="4"/>
        <v/>
      </c>
      <c r="I15" t="str">
        <f t="shared" si="5"/>
        <v/>
      </c>
      <c r="J15" t="str">
        <f t="shared" si="6"/>
        <v/>
      </c>
      <c r="K15" t="str">
        <f t="shared" si="7"/>
        <v/>
      </c>
      <c r="L15" t="str">
        <f t="shared" si="8"/>
        <v/>
      </c>
      <c r="M15" t="str">
        <f t="shared" si="9"/>
        <v/>
      </c>
      <c r="Q15" s="4" t="s">
        <v>31</v>
      </c>
    </row>
    <row r="16" spans="2:26">
      <c r="B16" t="str">
        <f>IFERROR(VLOOKUP(Q16,unified_reference_costs!$I$41:$J$69,2,FALSE),B15)</f>
        <v>en_gas_chp</v>
      </c>
      <c r="C16" t="str">
        <f>IFERROR(VLOOKUP(Q16,unified_reference_costs!$I$31:$J$40,2,FALSE),"*")</f>
        <v>invcost</v>
      </c>
      <c r="D16">
        <f t="shared" si="0"/>
        <v>2022</v>
      </c>
      <c r="E16">
        <f t="shared" si="1"/>
        <v>920</v>
      </c>
      <c r="F16">
        <f t="shared" si="2"/>
        <v>920</v>
      </c>
      <c r="G16">
        <f t="shared" si="3"/>
        <v>720</v>
      </c>
      <c r="H16">
        <f t="shared" si="4"/>
        <v>920</v>
      </c>
      <c r="I16">
        <f t="shared" si="5"/>
        <v>1440</v>
      </c>
      <c r="J16">
        <f t="shared" si="6"/>
        <v>1040</v>
      </c>
      <c r="K16">
        <f t="shared" si="7"/>
        <v>1300</v>
      </c>
      <c r="L16">
        <f t="shared" si="8"/>
        <v>1300</v>
      </c>
      <c r="M16">
        <f t="shared" si="9"/>
        <v>1040</v>
      </c>
      <c r="Q16" s="4" t="s">
        <v>6</v>
      </c>
      <c r="R16">
        <v>920</v>
      </c>
      <c r="S16">
        <v>920</v>
      </c>
      <c r="T16">
        <v>720</v>
      </c>
      <c r="U16">
        <v>920</v>
      </c>
      <c r="V16">
        <v>1440</v>
      </c>
      <c r="W16">
        <v>1040</v>
      </c>
      <c r="X16">
        <v>1300</v>
      </c>
      <c r="Y16">
        <v>1300</v>
      </c>
      <c r="Z16">
        <v>1040</v>
      </c>
    </row>
    <row r="17" spans="2:26">
      <c r="B17" t="str">
        <f>IFERROR(VLOOKUP(Q17,unified_reference_costs!$I$41:$J$69,2,FALSE),B16)</f>
        <v>en_gas_chp</v>
      </c>
      <c r="C17" t="str">
        <f>IFERROR(VLOOKUP(Q17,unified_reference_costs!$I$31:$J$40,2,FALSE),"*")</f>
        <v>efficiency</v>
      </c>
      <c r="D17">
        <f t="shared" si="0"/>
        <v>2022</v>
      </c>
      <c r="E17">
        <f t="shared" si="1"/>
        <v>0.52700000000000002</v>
      </c>
      <c r="F17">
        <f t="shared" si="2"/>
        <v>0.52700000000000002</v>
      </c>
      <c r="G17">
        <f t="shared" si="3"/>
        <v>0.52</v>
      </c>
      <c r="H17">
        <f t="shared" si="4"/>
        <v>0.51400000000000001</v>
      </c>
      <c r="I17">
        <f t="shared" si="5"/>
        <v>0.53300000000000003</v>
      </c>
      <c r="J17">
        <f t="shared" si="6"/>
        <v>0.52</v>
      </c>
      <c r="K17">
        <f t="shared" si="7"/>
        <v>0.53300000000000003</v>
      </c>
      <c r="L17">
        <f t="shared" si="8"/>
        <v>0.53300000000000003</v>
      </c>
      <c r="M17">
        <f t="shared" si="9"/>
        <v>0.52</v>
      </c>
      <c r="Q17" s="8" t="s">
        <v>12</v>
      </c>
      <c r="R17" s="22">
        <v>0.52700000000000002</v>
      </c>
      <c r="S17" s="22">
        <v>0.52700000000000002</v>
      </c>
      <c r="T17" s="22">
        <v>0.52</v>
      </c>
      <c r="U17" s="22">
        <v>0.51400000000000001</v>
      </c>
      <c r="V17" s="22">
        <v>0.53300000000000003</v>
      </c>
      <c r="W17" s="22">
        <v>0.52</v>
      </c>
      <c r="X17" s="22">
        <v>0.53300000000000003</v>
      </c>
      <c r="Y17" s="22">
        <v>0.53300000000000003</v>
      </c>
      <c r="Z17" s="22">
        <v>0.52</v>
      </c>
    </row>
    <row r="18" spans="2:26">
      <c r="B18" t="str">
        <f>IFERROR(VLOOKUP(Q18,unified_reference_costs!$I$41:$J$69,2,FALSE),B17)</f>
        <v>en_gas_chp</v>
      </c>
      <c r="C18" t="str">
        <f>IFERROR(VLOOKUP(Q18,unified_reference_costs!$I$31:$J$40,2,FALSE),"*")</f>
        <v>fixom</v>
      </c>
      <c r="D18">
        <f t="shared" si="0"/>
        <v>2022</v>
      </c>
      <c r="E18">
        <f t="shared" si="1"/>
        <v>35</v>
      </c>
      <c r="F18">
        <f t="shared" si="2"/>
        <v>35</v>
      </c>
      <c r="G18">
        <f t="shared" si="3"/>
        <v>30</v>
      </c>
      <c r="H18">
        <f t="shared" si="4"/>
        <v>35</v>
      </c>
      <c r="I18">
        <f t="shared" si="5"/>
        <v>45</v>
      </c>
      <c r="J18">
        <f t="shared" si="6"/>
        <v>40</v>
      </c>
      <c r="K18">
        <f t="shared" si="7"/>
        <v>40</v>
      </c>
      <c r="L18">
        <f t="shared" si="8"/>
        <v>40</v>
      </c>
      <c r="M18">
        <f t="shared" si="9"/>
        <v>40</v>
      </c>
      <c r="Q18" s="4" t="s">
        <v>10</v>
      </c>
      <c r="R18">
        <v>35</v>
      </c>
      <c r="S18">
        <v>35</v>
      </c>
      <c r="T18">
        <v>30</v>
      </c>
      <c r="U18">
        <v>35</v>
      </c>
      <c r="V18">
        <v>45</v>
      </c>
      <c r="W18">
        <v>40</v>
      </c>
      <c r="X18">
        <v>40</v>
      </c>
      <c r="Y18">
        <v>40</v>
      </c>
      <c r="Z18">
        <v>40</v>
      </c>
    </row>
    <row r="19" spans="2:26">
      <c r="B19" t="str">
        <f>IFERROR(VLOOKUP(Q19,unified_reference_costs!$I$41:$J$69,2,FALSE),B18)</f>
        <v>en_gas_chp</v>
      </c>
      <c r="C19" t="str">
        <f>IFERROR(VLOOKUP(Q19,unified_reference_costs!$I$31:$J$40,2,FALSE),"*")</f>
        <v>varom</v>
      </c>
      <c r="D19">
        <f t="shared" si="0"/>
        <v>2022</v>
      </c>
      <c r="E19">
        <f t="shared" si="1"/>
        <v>0.69399999999999995</v>
      </c>
      <c r="F19">
        <f t="shared" si="2"/>
        <v>0.69399999999999995</v>
      </c>
      <c r="G19">
        <f t="shared" si="3"/>
        <v>0.69399999999999995</v>
      </c>
      <c r="H19">
        <f t="shared" si="4"/>
        <v>0.69399999999999995</v>
      </c>
      <c r="I19">
        <f t="shared" si="5"/>
        <v>0.69399999999999995</v>
      </c>
      <c r="J19">
        <f t="shared" si="6"/>
        <v>0.69399999999999995</v>
      </c>
      <c r="K19">
        <f t="shared" si="7"/>
        <v>0.69399999999999995</v>
      </c>
      <c r="L19">
        <f t="shared" si="8"/>
        <v>0.69399999999999995</v>
      </c>
      <c r="M19">
        <f t="shared" si="9"/>
        <v>0.69399999999999995</v>
      </c>
      <c r="Q19" s="4" t="s">
        <v>164</v>
      </c>
      <c r="R19">
        <v>0.69399999999999995</v>
      </c>
      <c r="S19">
        <v>0.69399999999999995</v>
      </c>
      <c r="T19">
        <v>0.69399999999999995</v>
      </c>
      <c r="U19">
        <v>0.69399999999999995</v>
      </c>
      <c r="V19">
        <v>0.69399999999999995</v>
      </c>
      <c r="W19">
        <v>0.69399999999999995</v>
      </c>
      <c r="X19">
        <v>0.69399999999999995</v>
      </c>
      <c r="Y19">
        <v>0.69399999999999995</v>
      </c>
      <c r="Z19">
        <v>0.69399999999999995</v>
      </c>
    </row>
    <row r="20" spans="2:26">
      <c r="B20" t="str">
        <f>IFERROR(VLOOKUP(Q20,unified_reference_costs!$I$41:$J$69,2,FALSE),B19)</f>
        <v>\I:</v>
      </c>
      <c r="C20" t="str">
        <f>IFERROR(VLOOKUP(Q20,unified_reference_costs!$I$31:$J$40,2,FALSE),"*")</f>
        <v>*</v>
      </c>
      <c r="D20">
        <f t="shared" si="0"/>
        <v>2022</v>
      </c>
      <c r="E20" t="str">
        <f t="shared" si="1"/>
        <v/>
      </c>
      <c r="F20" t="str">
        <f t="shared" si="2"/>
        <v/>
      </c>
      <c r="G20" t="str">
        <f t="shared" si="3"/>
        <v/>
      </c>
      <c r="H20" t="str">
        <f t="shared" si="4"/>
        <v/>
      </c>
      <c r="I20" t="str">
        <f t="shared" si="5"/>
        <v/>
      </c>
      <c r="J20" t="str">
        <f t="shared" si="6"/>
        <v/>
      </c>
      <c r="K20" t="str">
        <f t="shared" si="7"/>
        <v/>
      </c>
      <c r="L20" t="str">
        <f t="shared" si="8"/>
        <v/>
      </c>
      <c r="M20" t="str">
        <f t="shared" si="9"/>
        <v/>
      </c>
      <c r="Q20" s="4" t="s">
        <v>32</v>
      </c>
    </row>
    <row r="21" spans="2:26">
      <c r="B21" t="str">
        <f>IFERROR(VLOOKUP(Q21,unified_reference_costs!$I$41:$J$69,2,FALSE),B20)</f>
        <v>\I:</v>
      </c>
      <c r="C21" t="str">
        <f>IFERROR(VLOOKUP(Q21,unified_reference_costs!$I$31:$J$40,2,FALSE),"*")</f>
        <v>invcost</v>
      </c>
      <c r="D21">
        <f t="shared" si="0"/>
        <v>2022</v>
      </c>
      <c r="E21">
        <f t="shared" si="1"/>
        <v>5000</v>
      </c>
      <c r="F21">
        <f t="shared" si="2"/>
        <v>5000</v>
      </c>
      <c r="G21">
        <f t="shared" si="3"/>
        <v>5000</v>
      </c>
      <c r="H21">
        <f t="shared" si="4"/>
        <v>5000</v>
      </c>
      <c r="I21">
        <f t="shared" si="5"/>
        <v>5000</v>
      </c>
      <c r="J21">
        <f t="shared" si="6"/>
        <v>5000</v>
      </c>
      <c r="K21">
        <f t="shared" si="7"/>
        <v>5000</v>
      </c>
      <c r="L21">
        <f t="shared" si="8"/>
        <v>5000</v>
      </c>
      <c r="M21">
        <f t="shared" si="9"/>
        <v>5000</v>
      </c>
      <c r="Q21" s="8" t="s">
        <v>6</v>
      </c>
      <c r="R21" s="22">
        <v>5000</v>
      </c>
      <c r="S21" s="22">
        <v>5000</v>
      </c>
      <c r="T21" s="22">
        <v>5000</v>
      </c>
      <c r="U21" s="22">
        <v>5000</v>
      </c>
      <c r="V21" s="22">
        <v>5000</v>
      </c>
      <c r="W21" s="22">
        <v>5000</v>
      </c>
      <c r="X21" s="22">
        <v>5000</v>
      </c>
      <c r="Y21" s="22">
        <v>5000</v>
      </c>
      <c r="Z21" s="22">
        <v>5000</v>
      </c>
    </row>
    <row r="22" spans="2:26">
      <c r="B22" t="str">
        <f>IFERROR(VLOOKUP(Q22,unified_reference_costs!$I$41:$J$69,2,FALSE),B21)</f>
        <v>\I:</v>
      </c>
      <c r="C22" t="str">
        <f>IFERROR(VLOOKUP(Q22,unified_reference_costs!$I$31:$J$40,2,FALSE),"*")</f>
        <v>efficiency</v>
      </c>
      <c r="D22">
        <f t="shared" si="0"/>
        <v>2022</v>
      </c>
      <c r="E22">
        <f t="shared" si="1"/>
        <v>0.46</v>
      </c>
      <c r="F22">
        <f t="shared" si="2"/>
        <v>0.46</v>
      </c>
      <c r="G22">
        <f t="shared" si="3"/>
        <v>0.46</v>
      </c>
      <c r="H22">
        <f t="shared" si="4"/>
        <v>0.46</v>
      </c>
      <c r="I22">
        <f t="shared" si="5"/>
        <v>0.46</v>
      </c>
      <c r="J22">
        <f t="shared" si="6"/>
        <v>0.46</v>
      </c>
      <c r="K22">
        <f t="shared" si="7"/>
        <v>0.46</v>
      </c>
      <c r="L22">
        <f t="shared" si="8"/>
        <v>0.46</v>
      </c>
      <c r="M22">
        <f t="shared" si="9"/>
        <v>0.46</v>
      </c>
      <c r="Q22" s="4" t="s">
        <v>12</v>
      </c>
      <c r="R22">
        <v>0.46</v>
      </c>
      <c r="S22">
        <v>0.46</v>
      </c>
      <c r="T22">
        <v>0.46</v>
      </c>
      <c r="U22">
        <v>0.46</v>
      </c>
      <c r="V22">
        <v>0.46</v>
      </c>
      <c r="W22">
        <v>0.46</v>
      </c>
      <c r="X22">
        <v>0.46</v>
      </c>
      <c r="Y22">
        <v>0.46</v>
      </c>
      <c r="Z22">
        <v>0.46</v>
      </c>
    </row>
    <row r="23" spans="2:26">
      <c r="B23" t="str">
        <f>IFERROR(VLOOKUP(Q23,unified_reference_costs!$I$41:$J$69,2,FALSE),B22)</f>
        <v>\I:</v>
      </c>
      <c r="C23" t="str">
        <f>IFERROR(VLOOKUP(Q23,unified_reference_costs!$I$31:$J$40,2,FALSE),"*")</f>
        <v>fixom</v>
      </c>
      <c r="D23">
        <f t="shared" si="0"/>
        <v>2022</v>
      </c>
      <c r="E23">
        <f t="shared" si="1"/>
        <v>150</v>
      </c>
      <c r="F23">
        <f t="shared" si="2"/>
        <v>150</v>
      </c>
      <c r="G23">
        <f t="shared" si="3"/>
        <v>150</v>
      </c>
      <c r="H23">
        <f t="shared" si="4"/>
        <v>150</v>
      </c>
      <c r="I23">
        <f t="shared" si="5"/>
        <v>100</v>
      </c>
      <c r="J23">
        <f t="shared" si="6"/>
        <v>150</v>
      </c>
      <c r="K23">
        <f t="shared" si="7"/>
        <v>100</v>
      </c>
      <c r="L23">
        <f t="shared" si="8"/>
        <v>100</v>
      </c>
      <c r="M23">
        <f t="shared" si="9"/>
        <v>150</v>
      </c>
      <c r="Q23" s="4" t="s">
        <v>10</v>
      </c>
      <c r="R23">
        <v>150</v>
      </c>
      <c r="S23">
        <v>150</v>
      </c>
      <c r="T23">
        <v>150</v>
      </c>
      <c r="U23">
        <v>150</v>
      </c>
      <c r="V23">
        <v>100</v>
      </c>
      <c r="W23">
        <v>150</v>
      </c>
      <c r="X23">
        <v>100</v>
      </c>
      <c r="Y23">
        <v>100</v>
      </c>
      <c r="Z23">
        <v>150</v>
      </c>
    </row>
    <row r="24" spans="2:26">
      <c r="B24" t="str">
        <f>IFERROR(VLOOKUP(Q24,unified_reference_costs!$I$41:$J$69,2,FALSE),B23)</f>
        <v>\I:</v>
      </c>
      <c r="C24" t="str">
        <f>IFERROR(VLOOKUP(Q24,unified_reference_costs!$I$31:$J$40,2,FALSE),"*")</f>
        <v>varom</v>
      </c>
      <c r="D24">
        <f t="shared" si="0"/>
        <v>2022</v>
      </c>
      <c r="E24">
        <f t="shared" si="1"/>
        <v>0.83299999999999996</v>
      </c>
      <c r="F24">
        <f t="shared" si="2"/>
        <v>0.83299999999999996</v>
      </c>
      <c r="G24">
        <f t="shared" si="3"/>
        <v>0.83299999999999996</v>
      </c>
      <c r="H24">
        <f t="shared" si="4"/>
        <v>0.83299999999999996</v>
      </c>
      <c r="I24">
        <f t="shared" si="5"/>
        <v>0.83299999999999996</v>
      </c>
      <c r="J24">
        <f t="shared" si="6"/>
        <v>0.83299999999999996</v>
      </c>
      <c r="K24">
        <f t="shared" si="7"/>
        <v>0.83299999999999996</v>
      </c>
      <c r="L24">
        <f t="shared" si="8"/>
        <v>0.83299999999999996</v>
      </c>
      <c r="M24">
        <f t="shared" si="9"/>
        <v>0.83299999999999996</v>
      </c>
      <c r="Q24" s="4" t="s">
        <v>164</v>
      </c>
      <c r="R24">
        <v>0.83299999999999996</v>
      </c>
      <c r="S24">
        <v>0.83299999999999996</v>
      </c>
      <c r="T24">
        <v>0.83299999999999996</v>
      </c>
      <c r="U24">
        <v>0.83299999999999996</v>
      </c>
      <c r="V24">
        <v>0.83299999999999996</v>
      </c>
      <c r="W24">
        <v>0.83299999999999996</v>
      </c>
      <c r="X24">
        <v>0.83299999999999996</v>
      </c>
      <c r="Y24">
        <v>0.83299999999999996</v>
      </c>
      <c r="Z24">
        <v>0.83299999999999996</v>
      </c>
    </row>
    <row r="25" spans="2:26">
      <c r="B25" t="str">
        <f>IFERROR(VLOOKUP(Q25,unified_reference_costs!$I$41:$J$69,2,FALSE),B24)</f>
        <v>en_coal_subcritical</v>
      </c>
      <c r="C25" t="str">
        <f>IFERROR(VLOOKUP(Q25,unified_reference_costs!$I$31:$J$40,2,FALSE),"*")</f>
        <v>*</v>
      </c>
      <c r="D25">
        <f t="shared" si="0"/>
        <v>2022</v>
      </c>
      <c r="E25" t="str">
        <f t="shared" si="1"/>
        <v/>
      </c>
      <c r="F25" t="str">
        <f t="shared" si="2"/>
        <v/>
      </c>
      <c r="G25" t="str">
        <f t="shared" si="3"/>
        <v/>
      </c>
      <c r="H25" t="str">
        <f t="shared" si="4"/>
        <v/>
      </c>
      <c r="I25" t="str">
        <f t="shared" si="5"/>
        <v/>
      </c>
      <c r="J25" t="str">
        <f t="shared" si="6"/>
        <v/>
      </c>
      <c r="K25" t="str">
        <f t="shared" si="7"/>
        <v/>
      </c>
      <c r="L25" t="str">
        <f t="shared" si="8"/>
        <v/>
      </c>
      <c r="M25" t="str">
        <f t="shared" si="9"/>
        <v/>
      </c>
      <c r="Q25" s="8" t="s">
        <v>33</v>
      </c>
      <c r="R25" s="22"/>
      <c r="S25" s="22"/>
      <c r="T25" s="22"/>
      <c r="U25" s="22"/>
      <c r="V25" s="22"/>
      <c r="W25" s="22"/>
      <c r="X25" s="22"/>
      <c r="Y25" s="22"/>
      <c r="Z25" s="22"/>
    </row>
    <row r="26" spans="2:26">
      <c r="B26" t="str">
        <f>IFERROR(VLOOKUP(Q26,unified_reference_costs!$I$41:$J$69,2,FALSE),B25)</f>
        <v>en_coal_subcritical</v>
      </c>
      <c r="C26" t="str">
        <f>IFERROR(VLOOKUP(Q26,unified_reference_costs!$I$31:$J$40,2,FALSE),"*")</f>
        <v>invcost</v>
      </c>
      <c r="D26">
        <f t="shared" si="0"/>
        <v>2022</v>
      </c>
      <c r="E26">
        <f t="shared" si="1"/>
        <v>1300</v>
      </c>
      <c r="F26">
        <f t="shared" si="2"/>
        <v>1300</v>
      </c>
      <c r="G26">
        <f t="shared" si="3"/>
        <v>600</v>
      </c>
      <c r="H26">
        <f t="shared" si="4"/>
        <v>1000</v>
      </c>
      <c r="I26">
        <f t="shared" si="5"/>
        <v>2100</v>
      </c>
      <c r="J26">
        <f t="shared" si="6"/>
        <v>1700</v>
      </c>
      <c r="K26">
        <f t="shared" si="7"/>
        <v>1700</v>
      </c>
      <c r="L26">
        <f t="shared" si="8"/>
        <v>1800</v>
      </c>
      <c r="M26">
        <f t="shared" si="9"/>
        <v>1300</v>
      </c>
      <c r="Q26" s="4" t="s">
        <v>6</v>
      </c>
      <c r="R26">
        <v>1300</v>
      </c>
      <c r="S26">
        <v>1300</v>
      </c>
      <c r="T26">
        <v>600</v>
      </c>
      <c r="U26">
        <v>1000</v>
      </c>
      <c r="V26">
        <v>2100</v>
      </c>
      <c r="W26">
        <v>1700</v>
      </c>
      <c r="X26">
        <v>1700</v>
      </c>
      <c r="Y26">
        <v>1800</v>
      </c>
      <c r="Z26">
        <v>1300</v>
      </c>
    </row>
    <row r="27" spans="2:26">
      <c r="B27" t="str">
        <f>IFERROR(VLOOKUP(Q27,unified_reference_costs!$I$41:$J$69,2,FALSE),B26)</f>
        <v>en_coal_subcritical</v>
      </c>
      <c r="C27" t="str">
        <f>IFERROR(VLOOKUP(Q27,unified_reference_costs!$I$31:$J$40,2,FALSE),"*")</f>
        <v>efficiency</v>
      </c>
      <c r="D27">
        <f t="shared" si="0"/>
        <v>2022</v>
      </c>
      <c r="E27">
        <f t="shared" si="1"/>
        <v>0.35</v>
      </c>
      <c r="F27">
        <f t="shared" si="2"/>
        <v>0.39</v>
      </c>
      <c r="G27">
        <f t="shared" si="3"/>
        <v>0.37</v>
      </c>
      <c r="H27">
        <f t="shared" si="4"/>
        <v>0.36</v>
      </c>
      <c r="I27">
        <f t="shared" si="5"/>
        <v>0.39</v>
      </c>
      <c r="J27">
        <f t="shared" si="6"/>
        <v>0.39</v>
      </c>
      <c r="K27">
        <f t="shared" si="7"/>
        <v>0.39</v>
      </c>
      <c r="L27">
        <f t="shared" si="8"/>
        <v>0.39</v>
      </c>
      <c r="M27">
        <f t="shared" si="9"/>
        <v>0.37</v>
      </c>
      <c r="Q27" s="4" t="s">
        <v>12</v>
      </c>
      <c r="R27">
        <v>0.35</v>
      </c>
      <c r="S27">
        <v>0.39</v>
      </c>
      <c r="T27">
        <v>0.37</v>
      </c>
      <c r="U27">
        <v>0.36</v>
      </c>
      <c r="V27">
        <v>0.39</v>
      </c>
      <c r="W27">
        <v>0.39</v>
      </c>
      <c r="X27">
        <v>0.39</v>
      </c>
      <c r="Y27">
        <v>0.39</v>
      </c>
      <c r="Z27">
        <v>0.37</v>
      </c>
    </row>
    <row r="28" spans="2:26">
      <c r="B28" t="str">
        <f>IFERROR(VLOOKUP(Q28,unified_reference_costs!$I$41:$J$69,2,FALSE),B27)</f>
        <v>en_coal_subcritical</v>
      </c>
      <c r="C28" t="str">
        <f>IFERROR(VLOOKUP(Q28,unified_reference_costs!$I$31:$J$40,2,FALSE),"*")</f>
        <v>fixom</v>
      </c>
      <c r="D28">
        <f t="shared" si="0"/>
        <v>2022</v>
      </c>
      <c r="E28">
        <f t="shared" si="1"/>
        <v>45</v>
      </c>
      <c r="F28">
        <f t="shared" si="2"/>
        <v>45</v>
      </c>
      <c r="G28">
        <f t="shared" si="3"/>
        <v>20</v>
      </c>
      <c r="H28">
        <f t="shared" si="4"/>
        <v>35</v>
      </c>
      <c r="I28">
        <f t="shared" si="5"/>
        <v>55</v>
      </c>
      <c r="J28">
        <f t="shared" si="6"/>
        <v>50</v>
      </c>
      <c r="K28">
        <f t="shared" si="7"/>
        <v>45</v>
      </c>
      <c r="L28">
        <f t="shared" si="8"/>
        <v>45</v>
      </c>
      <c r="M28">
        <f t="shared" si="9"/>
        <v>45</v>
      </c>
      <c r="Q28" s="4" t="s">
        <v>10</v>
      </c>
      <c r="R28">
        <v>45</v>
      </c>
      <c r="S28">
        <v>45</v>
      </c>
      <c r="T28">
        <v>20</v>
      </c>
      <c r="U28">
        <v>35</v>
      </c>
      <c r="V28">
        <v>55</v>
      </c>
      <c r="W28">
        <v>50</v>
      </c>
      <c r="X28">
        <v>45</v>
      </c>
      <c r="Y28">
        <v>45</v>
      </c>
      <c r="Z28">
        <v>45</v>
      </c>
    </row>
    <row r="29" spans="2:26">
      <c r="B29" t="str">
        <f>IFERROR(VLOOKUP(Q29,unified_reference_costs!$I$41:$J$69,2,FALSE),B28)</f>
        <v>en_coal_subcritical</v>
      </c>
      <c r="C29" t="str">
        <f>IFERROR(VLOOKUP(Q29,unified_reference_costs!$I$31:$J$40,2,FALSE),"*")</f>
        <v>varom</v>
      </c>
      <c r="D29">
        <f t="shared" si="0"/>
        <v>2022</v>
      </c>
      <c r="E29">
        <f t="shared" si="1"/>
        <v>2.3610000000000002</v>
      </c>
      <c r="F29">
        <f t="shared" si="2"/>
        <v>2.3610000000000002</v>
      </c>
      <c r="G29">
        <f t="shared" si="3"/>
        <v>2.3610000000000002</v>
      </c>
      <c r="H29">
        <f t="shared" si="4"/>
        <v>2.3610000000000002</v>
      </c>
      <c r="I29">
        <f t="shared" si="5"/>
        <v>2.3610000000000002</v>
      </c>
      <c r="J29">
        <f t="shared" si="6"/>
        <v>2.3610000000000002</v>
      </c>
      <c r="K29">
        <f t="shared" si="7"/>
        <v>2.3610000000000002</v>
      </c>
      <c r="L29">
        <f t="shared" si="8"/>
        <v>2.3610000000000002</v>
      </c>
      <c r="M29">
        <f t="shared" si="9"/>
        <v>2.3610000000000002</v>
      </c>
      <c r="Q29" s="8" t="s">
        <v>164</v>
      </c>
      <c r="R29" s="22">
        <v>2.3610000000000002</v>
      </c>
      <c r="S29" s="22">
        <v>2.3610000000000002</v>
      </c>
      <c r="T29" s="22">
        <v>2.3610000000000002</v>
      </c>
      <c r="U29" s="22">
        <v>2.3610000000000002</v>
      </c>
      <c r="V29" s="22">
        <v>2.3610000000000002</v>
      </c>
      <c r="W29" s="22">
        <v>2.3610000000000002</v>
      </c>
      <c r="X29" s="22">
        <v>2.3610000000000002</v>
      </c>
      <c r="Y29" s="22">
        <v>2.3610000000000002</v>
      </c>
      <c r="Z29" s="22">
        <v>2.3610000000000002</v>
      </c>
    </row>
    <row r="30" spans="2:26">
      <c r="B30" t="str">
        <f>IFERROR(VLOOKUP(Q30,unified_reference_costs!$I$41:$J$69,2,FALSE),B29)</f>
        <v>en_coal_supercritical</v>
      </c>
      <c r="C30" t="str">
        <f>IFERROR(VLOOKUP(Q30,unified_reference_costs!$I$31:$J$40,2,FALSE),"*")</f>
        <v>*</v>
      </c>
      <c r="D30">
        <f t="shared" si="0"/>
        <v>2022</v>
      </c>
      <c r="E30" t="str">
        <f t="shared" si="1"/>
        <v/>
      </c>
      <c r="F30" t="str">
        <f t="shared" si="2"/>
        <v/>
      </c>
      <c r="G30" t="str">
        <f t="shared" si="3"/>
        <v/>
      </c>
      <c r="H30" t="str">
        <f t="shared" si="4"/>
        <v/>
      </c>
      <c r="I30" t="str">
        <f t="shared" si="5"/>
        <v/>
      </c>
      <c r="J30" t="str">
        <f t="shared" si="6"/>
        <v/>
      </c>
      <c r="K30" t="str">
        <f t="shared" si="7"/>
        <v/>
      </c>
      <c r="L30" t="str">
        <f t="shared" si="8"/>
        <v/>
      </c>
      <c r="M30" t="str">
        <f t="shared" si="9"/>
        <v/>
      </c>
      <c r="Q30" s="4" t="s">
        <v>34</v>
      </c>
    </row>
    <row r="31" spans="2:26">
      <c r="B31" t="str">
        <f>IFERROR(VLOOKUP(Q31,unified_reference_costs!$I$41:$J$69,2,FALSE),B30)</f>
        <v>en_coal_supercritical</v>
      </c>
      <c r="C31" t="str">
        <f>IFERROR(VLOOKUP(Q31,unified_reference_costs!$I$31:$J$40,2,FALSE),"*")</f>
        <v>invcost</v>
      </c>
      <c r="D31">
        <f t="shared" si="0"/>
        <v>2022</v>
      </c>
      <c r="E31">
        <f t="shared" si="1"/>
        <v>1600</v>
      </c>
      <c r="F31">
        <f t="shared" si="2"/>
        <v>1600</v>
      </c>
      <c r="G31">
        <f t="shared" si="3"/>
        <v>700</v>
      </c>
      <c r="H31">
        <f t="shared" si="4"/>
        <v>1200</v>
      </c>
      <c r="I31">
        <f t="shared" si="5"/>
        <v>2400</v>
      </c>
      <c r="J31">
        <f t="shared" si="6"/>
        <v>2000</v>
      </c>
      <c r="K31">
        <f t="shared" si="7"/>
        <v>2000</v>
      </c>
      <c r="L31">
        <f t="shared" si="8"/>
        <v>2100</v>
      </c>
      <c r="M31">
        <f t="shared" si="9"/>
        <v>1600</v>
      </c>
      <c r="Q31" s="4" t="s">
        <v>6</v>
      </c>
      <c r="R31">
        <v>1600</v>
      </c>
      <c r="S31">
        <v>1600</v>
      </c>
      <c r="T31">
        <v>700</v>
      </c>
      <c r="U31">
        <v>1200</v>
      </c>
      <c r="V31">
        <v>2400</v>
      </c>
      <c r="W31">
        <v>2000</v>
      </c>
      <c r="X31">
        <v>2000</v>
      </c>
      <c r="Y31">
        <v>2100</v>
      </c>
      <c r="Z31">
        <v>1600</v>
      </c>
    </row>
    <row r="32" spans="2:26">
      <c r="B32" t="str">
        <f>IFERROR(VLOOKUP(Q32,unified_reference_costs!$I$41:$J$69,2,FALSE),B31)</f>
        <v>en_coal_supercritical</v>
      </c>
      <c r="C32" t="str">
        <f>IFERROR(VLOOKUP(Q32,unified_reference_costs!$I$31:$J$40,2,FALSE),"*")</f>
        <v>efficiency</v>
      </c>
      <c r="D32">
        <f t="shared" si="0"/>
        <v>2022</v>
      </c>
      <c r="E32">
        <f t="shared" si="1"/>
        <v>0.39</v>
      </c>
      <c r="F32">
        <f t="shared" si="2"/>
        <v>0.43</v>
      </c>
      <c r="G32">
        <f t="shared" si="3"/>
        <v>0.41</v>
      </c>
      <c r="H32">
        <f t="shared" si="4"/>
        <v>0.4</v>
      </c>
      <c r="I32">
        <f t="shared" si="5"/>
        <v>0.43</v>
      </c>
      <c r="J32">
        <f t="shared" si="6"/>
        <v>0.43</v>
      </c>
      <c r="K32">
        <f t="shared" si="7"/>
        <v>0.43</v>
      </c>
      <c r="L32">
        <f t="shared" si="8"/>
        <v>0.43</v>
      </c>
      <c r="M32">
        <f t="shared" si="9"/>
        <v>0.41</v>
      </c>
      <c r="Q32" s="4" t="s">
        <v>12</v>
      </c>
      <c r="R32">
        <v>0.39</v>
      </c>
      <c r="S32">
        <v>0.43</v>
      </c>
      <c r="T32">
        <v>0.41</v>
      </c>
      <c r="U32">
        <v>0.4</v>
      </c>
      <c r="V32">
        <v>0.43</v>
      </c>
      <c r="W32">
        <v>0.43</v>
      </c>
      <c r="X32">
        <v>0.43</v>
      </c>
      <c r="Y32">
        <v>0.43</v>
      </c>
      <c r="Z32">
        <v>0.41</v>
      </c>
    </row>
    <row r="33" spans="2:26">
      <c r="B33" t="str">
        <f>IFERROR(VLOOKUP(Q33,unified_reference_costs!$I$41:$J$69,2,FALSE),B32)</f>
        <v>en_coal_supercritical</v>
      </c>
      <c r="C33" t="str">
        <f>IFERROR(VLOOKUP(Q33,unified_reference_costs!$I$31:$J$40,2,FALSE),"*")</f>
        <v>fixom</v>
      </c>
      <c r="D33">
        <f t="shared" si="0"/>
        <v>2022</v>
      </c>
      <c r="E33">
        <f t="shared" si="1"/>
        <v>55</v>
      </c>
      <c r="F33">
        <f t="shared" si="2"/>
        <v>65</v>
      </c>
      <c r="G33">
        <f t="shared" si="3"/>
        <v>30</v>
      </c>
      <c r="H33">
        <f t="shared" si="4"/>
        <v>50</v>
      </c>
      <c r="I33">
        <f t="shared" si="5"/>
        <v>70</v>
      </c>
      <c r="J33">
        <f t="shared" si="6"/>
        <v>70</v>
      </c>
      <c r="K33">
        <f t="shared" si="7"/>
        <v>60</v>
      </c>
      <c r="L33">
        <f t="shared" si="8"/>
        <v>65</v>
      </c>
      <c r="M33">
        <f t="shared" si="9"/>
        <v>65</v>
      </c>
      <c r="Q33" s="8" t="s">
        <v>10</v>
      </c>
      <c r="R33" s="22">
        <v>55</v>
      </c>
      <c r="S33" s="22">
        <v>65</v>
      </c>
      <c r="T33" s="22">
        <v>30</v>
      </c>
      <c r="U33" s="22">
        <v>50</v>
      </c>
      <c r="V33" s="22">
        <v>70</v>
      </c>
      <c r="W33" s="22">
        <v>70</v>
      </c>
      <c r="X33" s="22">
        <v>60</v>
      </c>
      <c r="Y33" s="22">
        <v>65</v>
      </c>
      <c r="Z33" s="22">
        <v>65</v>
      </c>
    </row>
    <row r="34" spans="2:26">
      <c r="B34" t="str">
        <f>IFERROR(VLOOKUP(Q34,unified_reference_costs!$I$41:$J$69,2,FALSE),B33)</f>
        <v>en_coal_supercritical</v>
      </c>
      <c r="C34" t="str">
        <f>IFERROR(VLOOKUP(Q34,unified_reference_costs!$I$31:$J$40,2,FALSE),"*")</f>
        <v>varom</v>
      </c>
      <c r="D34">
        <f t="shared" si="0"/>
        <v>2022</v>
      </c>
      <c r="E34">
        <f t="shared" si="1"/>
        <v>2.5830000000000002</v>
      </c>
      <c r="F34">
        <f t="shared" si="2"/>
        <v>2.5830000000000002</v>
      </c>
      <c r="G34">
        <f t="shared" si="3"/>
        <v>2.5830000000000002</v>
      </c>
      <c r="H34">
        <f t="shared" si="4"/>
        <v>2.5830000000000002</v>
      </c>
      <c r="I34">
        <f t="shared" si="5"/>
        <v>2.5830000000000002</v>
      </c>
      <c r="J34">
        <f t="shared" si="6"/>
        <v>2.5830000000000002</v>
      </c>
      <c r="K34">
        <f t="shared" si="7"/>
        <v>2.5830000000000002</v>
      </c>
      <c r="L34">
        <f t="shared" si="8"/>
        <v>2.5830000000000002</v>
      </c>
      <c r="M34">
        <f t="shared" si="9"/>
        <v>2.5830000000000002</v>
      </c>
      <c r="Q34" s="4" t="s">
        <v>164</v>
      </c>
      <c r="R34">
        <v>2.5830000000000002</v>
      </c>
      <c r="S34">
        <v>2.5830000000000002</v>
      </c>
      <c r="T34">
        <v>2.5830000000000002</v>
      </c>
      <c r="U34">
        <v>2.5830000000000002</v>
      </c>
      <c r="V34">
        <v>2.5830000000000002</v>
      </c>
      <c r="W34">
        <v>2.5830000000000002</v>
      </c>
      <c r="X34">
        <v>2.5830000000000002</v>
      </c>
      <c r="Y34">
        <v>2.5830000000000002</v>
      </c>
      <c r="Z34">
        <v>2.5830000000000002</v>
      </c>
    </row>
    <row r="35" spans="2:26">
      <c r="B35" t="str">
        <f>IFERROR(VLOOKUP(Q35,unified_reference_costs!$I$41:$J$69,2,FALSE),B34)</f>
        <v>en_coal_ultrasupercritical</v>
      </c>
      <c r="C35" t="str">
        <f>IFERROR(VLOOKUP(Q35,unified_reference_costs!$I$31:$J$40,2,FALSE),"*")</f>
        <v>*</v>
      </c>
      <c r="D35">
        <f t="shared" si="0"/>
        <v>2022</v>
      </c>
      <c r="E35" t="str">
        <f t="shared" si="1"/>
        <v/>
      </c>
      <c r="F35" t="str">
        <f t="shared" si="2"/>
        <v/>
      </c>
      <c r="G35" t="str">
        <f t="shared" si="3"/>
        <v/>
      </c>
      <c r="H35" t="str">
        <f t="shared" si="4"/>
        <v/>
      </c>
      <c r="I35" t="str">
        <f t="shared" si="5"/>
        <v/>
      </c>
      <c r="J35" t="str">
        <f t="shared" si="6"/>
        <v/>
      </c>
      <c r="K35" t="str">
        <f t="shared" si="7"/>
        <v/>
      </c>
      <c r="L35" t="str">
        <f t="shared" si="8"/>
        <v/>
      </c>
      <c r="M35" t="str">
        <f t="shared" si="9"/>
        <v/>
      </c>
      <c r="Q35" s="4" t="s">
        <v>35</v>
      </c>
    </row>
    <row r="36" spans="2:26">
      <c r="B36" t="str">
        <f>IFERROR(VLOOKUP(Q36,unified_reference_costs!$I$41:$J$69,2,FALSE),B35)</f>
        <v>en_coal_ultrasupercritical</v>
      </c>
      <c r="C36" t="str">
        <f>IFERROR(VLOOKUP(Q36,unified_reference_costs!$I$31:$J$40,2,FALSE),"*")</f>
        <v>invcost</v>
      </c>
      <c r="D36">
        <f t="shared" si="0"/>
        <v>2022</v>
      </c>
      <c r="E36">
        <f t="shared" si="1"/>
        <v>1900</v>
      </c>
      <c r="F36">
        <f t="shared" si="2"/>
        <v>1800</v>
      </c>
      <c r="G36">
        <f t="shared" si="3"/>
        <v>800</v>
      </c>
      <c r="H36">
        <f t="shared" si="4"/>
        <v>1400</v>
      </c>
      <c r="I36">
        <f t="shared" si="5"/>
        <v>2600</v>
      </c>
      <c r="J36">
        <f t="shared" si="6"/>
        <v>2200</v>
      </c>
      <c r="K36">
        <f t="shared" si="7"/>
        <v>2200</v>
      </c>
      <c r="L36">
        <f t="shared" si="8"/>
        <v>2300</v>
      </c>
      <c r="M36">
        <f t="shared" si="9"/>
        <v>1600</v>
      </c>
      <c r="Q36" s="4" t="s">
        <v>6</v>
      </c>
      <c r="R36">
        <v>1900</v>
      </c>
      <c r="S36">
        <v>1800</v>
      </c>
      <c r="T36">
        <v>800</v>
      </c>
      <c r="U36">
        <v>1400</v>
      </c>
      <c r="V36">
        <v>2600</v>
      </c>
      <c r="W36">
        <v>2200</v>
      </c>
      <c r="X36">
        <v>2200</v>
      </c>
      <c r="Y36">
        <v>2300</v>
      </c>
      <c r="Z36">
        <v>1600</v>
      </c>
    </row>
    <row r="37" spans="2:26">
      <c r="B37" t="str">
        <f>IFERROR(VLOOKUP(Q37,unified_reference_costs!$I$41:$J$69,2,FALSE),B36)</f>
        <v>en_coal_ultrasupercritical</v>
      </c>
      <c r="C37" t="str">
        <f>IFERROR(VLOOKUP(Q37,unified_reference_costs!$I$31:$J$40,2,FALSE),"*")</f>
        <v>efficiency</v>
      </c>
      <c r="D37">
        <f t="shared" si="0"/>
        <v>2022</v>
      </c>
      <c r="E37">
        <f t="shared" si="1"/>
        <v>0.42</v>
      </c>
      <c r="F37">
        <f t="shared" si="2"/>
        <v>0.45</v>
      </c>
      <c r="G37">
        <f t="shared" si="3"/>
        <v>0.44</v>
      </c>
      <c r="H37">
        <f t="shared" si="4"/>
        <v>0.4</v>
      </c>
      <c r="I37">
        <f t="shared" si="5"/>
        <v>0.45</v>
      </c>
      <c r="J37">
        <f t="shared" si="6"/>
        <v>0.45</v>
      </c>
      <c r="K37">
        <f t="shared" si="7"/>
        <v>0.45</v>
      </c>
      <c r="L37">
        <f t="shared" si="8"/>
        <v>0.45</v>
      </c>
      <c r="M37">
        <f t="shared" si="9"/>
        <v>0.43</v>
      </c>
      <c r="Q37" s="8" t="s">
        <v>12</v>
      </c>
      <c r="R37" s="22">
        <v>0.42</v>
      </c>
      <c r="S37" s="22">
        <v>0.45</v>
      </c>
      <c r="T37" s="22">
        <v>0.44</v>
      </c>
      <c r="U37" s="22">
        <v>0.4</v>
      </c>
      <c r="V37" s="22">
        <v>0.45</v>
      </c>
      <c r="W37" s="22">
        <v>0.45</v>
      </c>
      <c r="X37" s="22">
        <v>0.45</v>
      </c>
      <c r="Y37" s="22">
        <v>0.45</v>
      </c>
      <c r="Z37" s="22">
        <v>0.43</v>
      </c>
    </row>
    <row r="38" spans="2:26">
      <c r="B38" t="str">
        <f>IFERROR(VLOOKUP(Q38,unified_reference_costs!$I$41:$J$69,2,FALSE),B37)</f>
        <v>en_coal_ultrasupercritical</v>
      </c>
      <c r="C38" t="str">
        <f>IFERROR(VLOOKUP(Q38,unified_reference_costs!$I$31:$J$40,2,FALSE),"*")</f>
        <v>fixom</v>
      </c>
      <c r="D38">
        <f t="shared" si="0"/>
        <v>2022</v>
      </c>
      <c r="E38">
        <f t="shared" si="1"/>
        <v>70</v>
      </c>
      <c r="F38">
        <f t="shared" si="2"/>
        <v>70</v>
      </c>
      <c r="G38">
        <f t="shared" si="3"/>
        <v>30</v>
      </c>
      <c r="H38">
        <f t="shared" si="4"/>
        <v>55</v>
      </c>
      <c r="I38">
        <f t="shared" si="5"/>
        <v>80</v>
      </c>
      <c r="J38">
        <f t="shared" si="6"/>
        <v>65</v>
      </c>
      <c r="K38">
        <f t="shared" si="7"/>
        <v>65</v>
      </c>
      <c r="L38">
        <f t="shared" si="8"/>
        <v>70</v>
      </c>
      <c r="M38">
        <f t="shared" si="9"/>
        <v>65</v>
      </c>
      <c r="Q38" s="4" t="s">
        <v>10</v>
      </c>
      <c r="R38">
        <v>70</v>
      </c>
      <c r="S38">
        <v>70</v>
      </c>
      <c r="T38">
        <v>30</v>
      </c>
      <c r="U38">
        <v>55</v>
      </c>
      <c r="V38">
        <v>80</v>
      </c>
      <c r="W38">
        <v>65</v>
      </c>
      <c r="X38">
        <v>65</v>
      </c>
      <c r="Y38">
        <v>70</v>
      </c>
      <c r="Z38">
        <v>65</v>
      </c>
    </row>
    <row r="39" spans="2:26">
      <c r="B39" t="str">
        <f>IFERROR(VLOOKUP(Q39,unified_reference_costs!$I$41:$J$69,2,FALSE),B38)</f>
        <v>en_coal_ultrasupercritical</v>
      </c>
      <c r="C39" t="str">
        <f>IFERROR(VLOOKUP(Q39,unified_reference_costs!$I$31:$J$40,2,FALSE),"*")</f>
        <v>varom</v>
      </c>
      <c r="D39">
        <f t="shared" si="0"/>
        <v>2022</v>
      </c>
      <c r="E39">
        <f t="shared" si="1"/>
        <v>2.6389999999999998</v>
      </c>
      <c r="F39">
        <f t="shared" si="2"/>
        <v>2.6389999999999998</v>
      </c>
      <c r="G39">
        <f t="shared" si="3"/>
        <v>2.6389999999999998</v>
      </c>
      <c r="H39">
        <f t="shared" si="4"/>
        <v>2.6389999999999998</v>
      </c>
      <c r="I39">
        <f t="shared" si="5"/>
        <v>2.6389999999999998</v>
      </c>
      <c r="J39">
        <f t="shared" si="6"/>
        <v>2.6389999999999998</v>
      </c>
      <c r="K39">
        <f t="shared" si="7"/>
        <v>2.6389999999999998</v>
      </c>
      <c r="L39">
        <f t="shared" si="8"/>
        <v>2.6389999999999998</v>
      </c>
      <c r="M39">
        <f t="shared" si="9"/>
        <v>2.6389999999999998</v>
      </c>
      <c r="Q39" s="4" t="s">
        <v>164</v>
      </c>
      <c r="R39">
        <v>2.6389999999999998</v>
      </c>
      <c r="S39">
        <v>2.6389999999999998</v>
      </c>
      <c r="T39">
        <v>2.6389999999999998</v>
      </c>
      <c r="U39">
        <v>2.6389999999999998</v>
      </c>
      <c r="V39">
        <v>2.6389999999999998</v>
      </c>
      <c r="W39">
        <v>2.6389999999999998</v>
      </c>
      <c r="X39">
        <v>2.6389999999999998</v>
      </c>
      <c r="Y39">
        <v>2.6389999999999998</v>
      </c>
      <c r="Z39">
        <v>2.6389999999999998</v>
      </c>
    </row>
    <row r="40" spans="2:26">
      <c r="B40" t="str">
        <f>IFERROR(VLOOKUP(Q40,unified_reference_costs!$I$41:$J$69,2,FALSE),B39)</f>
        <v>en_coal_igcc</v>
      </c>
      <c r="C40" t="str">
        <f>IFERROR(VLOOKUP(Q40,unified_reference_costs!$I$31:$J$40,2,FALSE),"*")</f>
        <v>*</v>
      </c>
      <c r="D40">
        <f t="shared" si="0"/>
        <v>2022</v>
      </c>
      <c r="E40" t="str">
        <f t="shared" si="1"/>
        <v/>
      </c>
      <c r="F40" t="str">
        <f t="shared" si="2"/>
        <v/>
      </c>
      <c r="G40" t="str">
        <f t="shared" si="3"/>
        <v/>
      </c>
      <c r="H40" t="str">
        <f t="shared" si="4"/>
        <v/>
      </c>
      <c r="I40" t="str">
        <f t="shared" si="5"/>
        <v/>
      </c>
      <c r="J40" t="str">
        <f t="shared" si="6"/>
        <v/>
      </c>
      <c r="K40" t="str">
        <f t="shared" si="7"/>
        <v/>
      </c>
      <c r="L40" t="str">
        <f t="shared" si="8"/>
        <v/>
      </c>
      <c r="M40" t="str">
        <f t="shared" si="9"/>
        <v/>
      </c>
      <c r="Q40" s="4" t="s">
        <v>36</v>
      </c>
    </row>
    <row r="41" spans="2:26">
      <c r="B41" t="str">
        <f>IFERROR(VLOOKUP(Q41,unified_reference_costs!$I$41:$J$69,2,FALSE),B40)</f>
        <v>en_coal_igcc</v>
      </c>
      <c r="C41" t="str">
        <f>IFERROR(VLOOKUP(Q41,unified_reference_costs!$I$31:$J$40,2,FALSE),"*")</f>
        <v>invcost</v>
      </c>
      <c r="D41">
        <f t="shared" si="0"/>
        <v>2022</v>
      </c>
      <c r="E41">
        <f t="shared" si="1"/>
        <v>2200</v>
      </c>
      <c r="F41">
        <f t="shared" si="2"/>
        <v>2000</v>
      </c>
      <c r="G41">
        <f t="shared" si="3"/>
        <v>1100</v>
      </c>
      <c r="H41">
        <f t="shared" si="4"/>
        <v>1600</v>
      </c>
      <c r="I41">
        <f t="shared" si="5"/>
        <v>2900</v>
      </c>
      <c r="J41">
        <f t="shared" si="6"/>
        <v>2500</v>
      </c>
      <c r="K41">
        <f t="shared" si="7"/>
        <v>2500</v>
      </c>
      <c r="L41">
        <f t="shared" si="8"/>
        <v>2600</v>
      </c>
      <c r="M41">
        <f t="shared" si="9"/>
        <v>2000</v>
      </c>
      <c r="Q41" s="8" t="s">
        <v>6</v>
      </c>
      <c r="R41" s="22">
        <v>2200</v>
      </c>
      <c r="S41" s="22">
        <v>2000</v>
      </c>
      <c r="T41" s="22">
        <v>1100</v>
      </c>
      <c r="U41" s="22">
        <v>1600</v>
      </c>
      <c r="V41" s="22">
        <v>2900</v>
      </c>
      <c r="W41" s="22">
        <v>2500</v>
      </c>
      <c r="X41" s="22">
        <v>2500</v>
      </c>
      <c r="Y41" s="22">
        <v>2600</v>
      </c>
      <c r="Z41" s="22">
        <v>2000</v>
      </c>
    </row>
    <row r="42" spans="2:26">
      <c r="B42" t="str">
        <f>IFERROR(VLOOKUP(Q42,unified_reference_costs!$I$41:$J$69,2,FALSE),B41)</f>
        <v>en_coal_igcc</v>
      </c>
      <c r="C42" t="str">
        <f>IFERROR(VLOOKUP(Q42,unified_reference_costs!$I$31:$J$40,2,FALSE),"*")</f>
        <v>efficiency</v>
      </c>
      <c r="D42">
        <f t="shared" si="0"/>
        <v>2022</v>
      </c>
      <c r="E42">
        <f t="shared" si="1"/>
        <v>0.4</v>
      </c>
      <c r="F42">
        <f t="shared" si="2"/>
        <v>0.44</v>
      </c>
      <c r="G42">
        <f t="shared" si="3"/>
        <v>0.43</v>
      </c>
      <c r="H42">
        <f t="shared" si="4"/>
        <v>0.41</v>
      </c>
      <c r="I42">
        <f t="shared" si="5"/>
        <v>0.44</v>
      </c>
      <c r="J42">
        <f t="shared" si="6"/>
        <v>0.44</v>
      </c>
      <c r="K42">
        <f t="shared" si="7"/>
        <v>0.44</v>
      </c>
      <c r="L42">
        <f t="shared" si="8"/>
        <v>0.44</v>
      </c>
      <c r="M42">
        <f t="shared" si="9"/>
        <v>0.42</v>
      </c>
      <c r="Q42" s="4" t="s">
        <v>12</v>
      </c>
      <c r="R42">
        <v>0.4</v>
      </c>
      <c r="S42">
        <v>0.44</v>
      </c>
      <c r="T42">
        <v>0.43</v>
      </c>
      <c r="U42">
        <v>0.41</v>
      </c>
      <c r="V42">
        <v>0.44</v>
      </c>
      <c r="W42">
        <v>0.44</v>
      </c>
      <c r="X42">
        <v>0.44</v>
      </c>
      <c r="Y42">
        <v>0.44</v>
      </c>
      <c r="Z42">
        <v>0.42</v>
      </c>
    </row>
    <row r="43" spans="2:26">
      <c r="B43" t="str">
        <f>IFERROR(VLOOKUP(Q43,unified_reference_costs!$I$41:$J$69,2,FALSE),B42)</f>
        <v>en_coal_igcc</v>
      </c>
      <c r="C43" t="str">
        <f>IFERROR(VLOOKUP(Q43,unified_reference_costs!$I$31:$J$40,2,FALSE),"*")</f>
        <v>fixom</v>
      </c>
      <c r="D43">
        <f t="shared" si="0"/>
        <v>2022</v>
      </c>
      <c r="E43">
        <f t="shared" si="1"/>
        <v>90</v>
      </c>
      <c r="F43">
        <f t="shared" si="2"/>
        <v>90</v>
      </c>
      <c r="G43">
        <f t="shared" si="3"/>
        <v>50</v>
      </c>
      <c r="H43">
        <f t="shared" si="4"/>
        <v>70</v>
      </c>
      <c r="I43">
        <f t="shared" si="5"/>
        <v>100</v>
      </c>
      <c r="J43">
        <f t="shared" si="6"/>
        <v>90</v>
      </c>
      <c r="K43">
        <f t="shared" si="7"/>
        <v>95</v>
      </c>
      <c r="L43">
        <f t="shared" si="8"/>
        <v>90</v>
      </c>
      <c r="M43">
        <f t="shared" si="9"/>
        <v>90</v>
      </c>
      <c r="Q43" s="4" t="s">
        <v>10</v>
      </c>
      <c r="R43">
        <v>90</v>
      </c>
      <c r="S43">
        <v>90</v>
      </c>
      <c r="T43">
        <v>50</v>
      </c>
      <c r="U43">
        <v>70</v>
      </c>
      <c r="V43">
        <v>100</v>
      </c>
      <c r="W43">
        <v>90</v>
      </c>
      <c r="X43">
        <v>95</v>
      </c>
      <c r="Y43">
        <v>90</v>
      </c>
      <c r="Z43">
        <v>90</v>
      </c>
    </row>
    <row r="44" spans="2:26">
      <c r="B44" t="str">
        <f>IFERROR(VLOOKUP(Q44,unified_reference_costs!$I$41:$J$69,2,FALSE),B43)</f>
        <v>en_coal_ccs</v>
      </c>
      <c r="C44" t="str">
        <f>IFERROR(VLOOKUP(Q44,unified_reference_costs!$I$31:$J$40,2,FALSE),"*")</f>
        <v>*</v>
      </c>
      <c r="D44">
        <f t="shared" si="0"/>
        <v>2022</v>
      </c>
      <c r="E44" t="str">
        <f t="shared" si="1"/>
        <v/>
      </c>
      <c r="F44" t="str">
        <f t="shared" si="2"/>
        <v/>
      </c>
      <c r="G44" t="str">
        <f t="shared" si="3"/>
        <v/>
      </c>
      <c r="H44" t="str">
        <f t="shared" si="4"/>
        <v/>
      </c>
      <c r="I44" t="str">
        <f t="shared" si="5"/>
        <v/>
      </c>
      <c r="J44" t="str">
        <f t="shared" si="6"/>
        <v/>
      </c>
      <c r="K44" t="str">
        <f t="shared" si="7"/>
        <v/>
      </c>
      <c r="L44" t="str">
        <f t="shared" si="8"/>
        <v/>
      </c>
      <c r="M44" t="str">
        <f t="shared" si="9"/>
        <v/>
      </c>
      <c r="Q44" s="4" t="s">
        <v>37</v>
      </c>
    </row>
    <row r="45" spans="2:26">
      <c r="B45" t="str">
        <f>IFERROR(VLOOKUP(Q45,unified_reference_costs!$I$41:$J$69,2,FALSE),B44)</f>
        <v>en_coal_ccs</v>
      </c>
      <c r="C45" t="str">
        <f>IFERROR(VLOOKUP(Q45,unified_reference_costs!$I$31:$J$40,2,FALSE),"*")</f>
        <v>invcost</v>
      </c>
      <c r="D45">
        <f t="shared" si="0"/>
        <v>2022</v>
      </c>
      <c r="E45">
        <f t="shared" si="1"/>
        <v>4500</v>
      </c>
      <c r="F45">
        <f t="shared" si="2"/>
        <v>4300</v>
      </c>
      <c r="G45">
        <f t="shared" si="3"/>
        <v>3400</v>
      </c>
      <c r="H45">
        <f t="shared" si="4"/>
        <v>3900</v>
      </c>
      <c r="I45">
        <f t="shared" si="5"/>
        <v>5900</v>
      </c>
      <c r="J45">
        <f t="shared" si="6"/>
        <v>5100</v>
      </c>
      <c r="K45">
        <f t="shared" si="7"/>
        <v>5500</v>
      </c>
      <c r="L45">
        <f t="shared" si="8"/>
        <v>5600</v>
      </c>
      <c r="M45">
        <f t="shared" si="9"/>
        <v>4500</v>
      </c>
      <c r="Q45" s="8" t="s">
        <v>6</v>
      </c>
      <c r="R45" s="22">
        <v>4500</v>
      </c>
      <c r="S45" s="22">
        <v>4300</v>
      </c>
      <c r="T45" s="22">
        <v>3400</v>
      </c>
      <c r="U45" s="22">
        <v>3900</v>
      </c>
      <c r="V45" s="22">
        <v>5900</v>
      </c>
      <c r="W45" s="22">
        <v>5100</v>
      </c>
      <c r="X45" s="22">
        <v>5500</v>
      </c>
      <c r="Y45" s="22">
        <v>5600</v>
      </c>
      <c r="Z45" s="22">
        <v>4500</v>
      </c>
    </row>
    <row r="46" spans="2:26">
      <c r="B46" t="str">
        <f>IFERROR(VLOOKUP(Q46,unified_reference_costs!$I$41:$J$69,2,FALSE),B45)</f>
        <v>en_coal_ccs</v>
      </c>
      <c r="C46" t="str">
        <f>IFERROR(VLOOKUP(Q46,unified_reference_costs!$I$31:$J$40,2,FALSE),"*")</f>
        <v>efficiency</v>
      </c>
      <c r="D46">
        <f t="shared" si="0"/>
        <v>2022</v>
      </c>
      <c r="E46">
        <f t="shared" si="1"/>
        <v>0.32</v>
      </c>
      <c r="F46" t="str">
        <f t="shared" si="2"/>
        <v/>
      </c>
      <c r="G46">
        <f t="shared" si="3"/>
        <v>0.35</v>
      </c>
      <c r="H46">
        <f t="shared" si="4"/>
        <v>0.31</v>
      </c>
      <c r="I46">
        <f t="shared" si="5"/>
        <v>0.36</v>
      </c>
      <c r="J46">
        <f t="shared" si="6"/>
        <v>0.36</v>
      </c>
      <c r="K46">
        <f t="shared" si="7"/>
        <v>0.36</v>
      </c>
      <c r="L46">
        <f t="shared" si="8"/>
        <v>0.36</v>
      </c>
      <c r="M46" t="str">
        <f t="shared" si="9"/>
        <v/>
      </c>
      <c r="Q46" s="4" t="s">
        <v>12</v>
      </c>
      <c r="R46">
        <v>0.32</v>
      </c>
      <c r="T46">
        <v>0.35</v>
      </c>
      <c r="U46">
        <v>0.31</v>
      </c>
      <c r="V46">
        <v>0.36</v>
      </c>
      <c r="W46">
        <v>0.36</v>
      </c>
      <c r="X46">
        <v>0.36</v>
      </c>
      <c r="Y46">
        <v>0.36</v>
      </c>
    </row>
    <row r="47" spans="2:26">
      <c r="B47" t="str">
        <f>IFERROR(VLOOKUP(Q47,unified_reference_costs!$I$41:$J$69,2,FALSE),B46)</f>
        <v>en_coal_ccs</v>
      </c>
      <c r="C47" t="str">
        <f>IFERROR(VLOOKUP(Q47,unified_reference_costs!$I$31:$J$40,2,FALSE),"*")</f>
        <v>fixom</v>
      </c>
      <c r="D47">
        <f t="shared" si="0"/>
        <v>2022</v>
      </c>
      <c r="E47">
        <f t="shared" si="1"/>
        <v>175</v>
      </c>
      <c r="F47">
        <f t="shared" si="2"/>
        <v>170</v>
      </c>
      <c r="G47">
        <f t="shared" si="3"/>
        <v>135</v>
      </c>
      <c r="H47">
        <f t="shared" si="4"/>
        <v>155</v>
      </c>
      <c r="I47">
        <f t="shared" si="5"/>
        <v>175</v>
      </c>
      <c r="J47">
        <f t="shared" si="6"/>
        <v>180</v>
      </c>
      <c r="K47">
        <f t="shared" si="7"/>
        <v>165</v>
      </c>
      <c r="L47">
        <f t="shared" si="8"/>
        <v>170</v>
      </c>
      <c r="M47">
        <f t="shared" si="9"/>
        <v>180</v>
      </c>
      <c r="Q47" s="4" t="s">
        <v>10</v>
      </c>
      <c r="R47">
        <v>175</v>
      </c>
      <c r="S47">
        <v>170</v>
      </c>
      <c r="T47">
        <v>135</v>
      </c>
      <c r="U47">
        <v>155</v>
      </c>
      <c r="V47">
        <v>175</v>
      </c>
      <c r="W47">
        <v>180</v>
      </c>
      <c r="X47">
        <v>165</v>
      </c>
      <c r="Y47">
        <v>170</v>
      </c>
      <c r="Z47">
        <v>180</v>
      </c>
    </row>
    <row r="48" spans="2:26">
      <c r="B48" t="str">
        <f>IFERROR(VLOOKUP(Q48,unified_reference_costs!$I$41:$J$69,2,FALSE),B47)</f>
        <v>en_coal_ccs</v>
      </c>
      <c r="C48" t="str">
        <f>IFERROR(VLOOKUP(Q48,unified_reference_costs!$I$31:$J$40,2,FALSE),"*")</f>
        <v>varom</v>
      </c>
      <c r="D48">
        <f t="shared" si="0"/>
        <v>2022</v>
      </c>
      <c r="E48">
        <f t="shared" si="1"/>
        <v>4.4779999999999998</v>
      </c>
      <c r="F48">
        <f t="shared" si="2"/>
        <v>4.4779999999999998</v>
      </c>
      <c r="G48">
        <f t="shared" si="3"/>
        <v>4.4779999999999998</v>
      </c>
      <c r="H48">
        <f t="shared" si="4"/>
        <v>4.4779999999999998</v>
      </c>
      <c r="I48">
        <f t="shared" si="5"/>
        <v>4.4779999999999998</v>
      </c>
      <c r="J48">
        <f t="shared" si="6"/>
        <v>4.4779999999999998</v>
      </c>
      <c r="K48">
        <f t="shared" si="7"/>
        <v>4.4779999999999998</v>
      </c>
      <c r="L48">
        <f t="shared" si="8"/>
        <v>4.4779999999999998</v>
      </c>
      <c r="M48">
        <f t="shared" si="9"/>
        <v>4.4779999999999998</v>
      </c>
      <c r="Q48" s="4" t="s">
        <v>164</v>
      </c>
      <c r="R48">
        <v>4.4779999999999998</v>
      </c>
      <c r="S48">
        <v>4.4779999999999998</v>
      </c>
      <c r="T48">
        <v>4.4779999999999998</v>
      </c>
      <c r="U48">
        <v>4.4779999999999998</v>
      </c>
      <c r="V48">
        <v>4.4779999999999998</v>
      </c>
      <c r="W48">
        <v>4.4779999999999998</v>
      </c>
      <c r="X48">
        <v>4.4779999999999998</v>
      </c>
      <c r="Y48">
        <v>4.4779999999999998</v>
      </c>
      <c r="Z48">
        <v>4.4779999999999998</v>
      </c>
    </row>
    <row r="49" spans="2:26">
      <c r="B49" t="str">
        <f>IFERROR(VLOOKUP(Q49,unified_reference_costs!$I$41:$J$69,2,FALSE),B48)</f>
        <v>\I:</v>
      </c>
      <c r="C49" t="str">
        <f>IFERROR(VLOOKUP(Q49,unified_reference_costs!$I$31:$J$40,2,FALSE),"*")</f>
        <v>*</v>
      </c>
      <c r="D49">
        <f t="shared" si="0"/>
        <v>2022</v>
      </c>
      <c r="E49" t="str">
        <f t="shared" si="1"/>
        <v/>
      </c>
      <c r="F49" t="str">
        <f t="shared" si="2"/>
        <v/>
      </c>
      <c r="G49" t="str">
        <f t="shared" si="3"/>
        <v/>
      </c>
      <c r="H49" t="str">
        <f t="shared" si="4"/>
        <v/>
      </c>
      <c r="I49" t="str">
        <f t="shared" si="5"/>
        <v/>
      </c>
      <c r="J49" t="str">
        <f t="shared" si="6"/>
        <v/>
      </c>
      <c r="K49" t="str">
        <f t="shared" si="7"/>
        <v/>
      </c>
      <c r="L49" t="str">
        <f t="shared" si="8"/>
        <v/>
      </c>
      <c r="M49" t="str">
        <f t="shared" si="9"/>
        <v/>
      </c>
      <c r="Q49" s="8" t="s">
        <v>38</v>
      </c>
      <c r="R49" s="22"/>
      <c r="S49" s="22"/>
      <c r="T49" s="22"/>
      <c r="U49" s="22"/>
      <c r="V49" s="22"/>
      <c r="W49" s="22"/>
      <c r="X49" s="22"/>
      <c r="Y49" s="22"/>
      <c r="Z49" s="22"/>
    </row>
    <row r="50" spans="2:26">
      <c r="B50" t="str">
        <f>IFERROR(VLOOKUP(Q50,unified_reference_costs!$I$41:$J$69,2,FALSE),B49)</f>
        <v>\I:</v>
      </c>
      <c r="C50" t="str">
        <f>IFERROR(VLOOKUP(Q50,unified_reference_costs!$I$31:$J$40,2,FALSE),"*")</f>
        <v>invcost</v>
      </c>
      <c r="D50">
        <f t="shared" si="0"/>
        <v>2022</v>
      </c>
      <c r="E50">
        <f t="shared" si="1"/>
        <v>4800</v>
      </c>
      <c r="F50">
        <f t="shared" si="2"/>
        <v>4700</v>
      </c>
      <c r="G50">
        <f t="shared" si="3"/>
        <v>3500</v>
      </c>
      <c r="H50">
        <f t="shared" si="4"/>
        <v>4100</v>
      </c>
      <c r="I50">
        <f t="shared" si="5"/>
        <v>6100</v>
      </c>
      <c r="J50">
        <f t="shared" si="6"/>
        <v>5300</v>
      </c>
      <c r="K50">
        <f t="shared" si="7"/>
        <v>5700</v>
      </c>
      <c r="L50">
        <f t="shared" si="8"/>
        <v>5800</v>
      </c>
      <c r="M50">
        <f t="shared" si="9"/>
        <v>4300</v>
      </c>
      <c r="Q50" s="4" t="s">
        <v>6</v>
      </c>
      <c r="R50">
        <v>4800</v>
      </c>
      <c r="S50">
        <v>4700</v>
      </c>
      <c r="T50">
        <v>3500</v>
      </c>
      <c r="U50">
        <v>4100</v>
      </c>
      <c r="V50">
        <v>6100</v>
      </c>
      <c r="W50">
        <v>5300</v>
      </c>
      <c r="X50">
        <v>5700</v>
      </c>
      <c r="Y50">
        <v>5800</v>
      </c>
      <c r="Z50">
        <v>4300</v>
      </c>
    </row>
    <row r="51" spans="2:26">
      <c r="B51" t="str">
        <f>IFERROR(VLOOKUP(Q51,unified_reference_costs!$I$41:$J$69,2,FALSE),B50)</f>
        <v>\I:</v>
      </c>
      <c r="C51" t="str">
        <f>IFERROR(VLOOKUP(Q51,unified_reference_costs!$I$31:$J$40,2,FALSE),"*")</f>
        <v>efficiency</v>
      </c>
      <c r="D51">
        <f t="shared" si="0"/>
        <v>2022</v>
      </c>
      <c r="E51">
        <f t="shared" si="1"/>
        <v>0.33</v>
      </c>
      <c r="F51" t="str">
        <f t="shared" si="2"/>
        <v/>
      </c>
      <c r="G51">
        <f t="shared" si="3"/>
        <v>0.35</v>
      </c>
      <c r="H51">
        <f t="shared" si="4"/>
        <v>0.31</v>
      </c>
      <c r="I51">
        <f t="shared" si="5"/>
        <v>0.36</v>
      </c>
      <c r="J51">
        <f t="shared" si="6"/>
        <v>0.36</v>
      </c>
      <c r="K51">
        <f t="shared" si="7"/>
        <v>0.36</v>
      </c>
      <c r="L51">
        <f t="shared" si="8"/>
        <v>0.36</v>
      </c>
      <c r="M51" t="str">
        <f t="shared" si="9"/>
        <v/>
      </c>
      <c r="Q51" s="4" t="s">
        <v>12</v>
      </c>
      <c r="R51">
        <v>0.33</v>
      </c>
      <c r="T51">
        <v>0.35</v>
      </c>
      <c r="U51">
        <v>0.31</v>
      </c>
      <c r="V51">
        <v>0.36</v>
      </c>
      <c r="W51">
        <v>0.36</v>
      </c>
      <c r="X51">
        <v>0.36</v>
      </c>
      <c r="Y51">
        <v>0.36</v>
      </c>
    </row>
    <row r="52" spans="2:26">
      <c r="B52" t="str">
        <f>IFERROR(VLOOKUP(Q52,unified_reference_costs!$I$41:$J$69,2,FALSE),B51)</f>
        <v>\I:</v>
      </c>
      <c r="C52" t="str">
        <f>IFERROR(VLOOKUP(Q52,unified_reference_costs!$I$31:$J$40,2,FALSE),"*")</f>
        <v>fixom</v>
      </c>
      <c r="D52">
        <f t="shared" si="0"/>
        <v>2022</v>
      </c>
      <c r="E52">
        <f t="shared" si="1"/>
        <v>185</v>
      </c>
      <c r="F52">
        <f t="shared" si="2"/>
        <v>190</v>
      </c>
      <c r="G52">
        <f t="shared" si="3"/>
        <v>140</v>
      </c>
      <c r="H52">
        <f t="shared" si="4"/>
        <v>165</v>
      </c>
      <c r="I52">
        <f t="shared" si="5"/>
        <v>185</v>
      </c>
      <c r="J52">
        <f t="shared" si="6"/>
        <v>160</v>
      </c>
      <c r="K52">
        <f t="shared" si="7"/>
        <v>170</v>
      </c>
      <c r="L52">
        <f t="shared" si="8"/>
        <v>175</v>
      </c>
      <c r="M52">
        <f t="shared" si="9"/>
        <v>170</v>
      </c>
      <c r="Q52" s="4" t="s">
        <v>10</v>
      </c>
      <c r="R52">
        <v>185</v>
      </c>
      <c r="S52">
        <v>190</v>
      </c>
      <c r="T52">
        <v>140</v>
      </c>
      <c r="U52">
        <v>165</v>
      </c>
      <c r="V52">
        <v>185</v>
      </c>
      <c r="W52">
        <v>160</v>
      </c>
      <c r="X52">
        <v>170</v>
      </c>
      <c r="Y52">
        <v>175</v>
      </c>
      <c r="Z52">
        <v>170</v>
      </c>
    </row>
    <row r="53" spans="2:26">
      <c r="B53" t="str">
        <f>IFERROR(VLOOKUP(Q53,unified_reference_costs!$I$41:$J$69,2,FALSE),B52)</f>
        <v>\I:</v>
      </c>
      <c r="C53" t="str">
        <f>IFERROR(VLOOKUP(Q53,unified_reference_costs!$I$31:$J$40,2,FALSE),"*")</f>
        <v>varom</v>
      </c>
      <c r="D53">
        <f t="shared" si="0"/>
        <v>2022</v>
      </c>
      <c r="E53">
        <f t="shared" si="1"/>
        <v>4.306</v>
      </c>
      <c r="F53">
        <f t="shared" si="2"/>
        <v>4.306</v>
      </c>
      <c r="G53">
        <f t="shared" si="3"/>
        <v>4.306</v>
      </c>
      <c r="H53">
        <f t="shared" si="4"/>
        <v>4.306</v>
      </c>
      <c r="I53">
        <f t="shared" si="5"/>
        <v>4.306</v>
      </c>
      <c r="J53">
        <f t="shared" si="6"/>
        <v>4.306</v>
      </c>
      <c r="K53">
        <f t="shared" si="7"/>
        <v>4.306</v>
      </c>
      <c r="L53">
        <f t="shared" si="8"/>
        <v>4.306</v>
      </c>
      <c r="M53">
        <f t="shared" si="9"/>
        <v>4.306</v>
      </c>
      <c r="Q53" s="8" t="s">
        <v>164</v>
      </c>
      <c r="R53" s="22">
        <v>4.306</v>
      </c>
      <c r="S53" s="22">
        <v>4.306</v>
      </c>
      <c r="T53" s="22">
        <v>4.306</v>
      </c>
      <c r="U53" s="22">
        <v>4.306</v>
      </c>
      <c r="V53" s="22">
        <v>4.306</v>
      </c>
      <c r="W53" s="22">
        <v>4.306</v>
      </c>
      <c r="X53" s="22">
        <v>4.306</v>
      </c>
      <c r="Y53" s="22">
        <v>4.306</v>
      </c>
      <c r="Z53" s="22">
        <v>4.306</v>
      </c>
    </row>
    <row r="54" spans="2:26">
      <c r="B54" t="str">
        <f>IFERROR(VLOOKUP(Q54,unified_reference_costs!$I$41:$J$69,2,FALSE),B53)</f>
        <v>en_coal_igcc_ccs</v>
      </c>
      <c r="C54" t="str">
        <f>IFERROR(VLOOKUP(Q54,unified_reference_costs!$I$31:$J$40,2,FALSE),"*")</f>
        <v>*</v>
      </c>
      <c r="D54">
        <f t="shared" si="0"/>
        <v>2022</v>
      </c>
      <c r="E54" t="str">
        <f t="shared" si="1"/>
        <v/>
      </c>
      <c r="F54" t="str">
        <f t="shared" si="2"/>
        <v/>
      </c>
      <c r="G54" t="str">
        <f t="shared" si="3"/>
        <v/>
      </c>
      <c r="H54" t="str">
        <f t="shared" si="4"/>
        <v/>
      </c>
      <c r="I54" t="str">
        <f t="shared" si="5"/>
        <v/>
      </c>
      <c r="J54" t="str">
        <f t="shared" si="6"/>
        <v/>
      </c>
      <c r="K54" t="str">
        <f t="shared" si="7"/>
        <v/>
      </c>
      <c r="L54" t="str">
        <f t="shared" si="8"/>
        <v/>
      </c>
      <c r="M54" t="str">
        <f t="shared" si="9"/>
        <v/>
      </c>
      <c r="Q54" s="4" t="s">
        <v>39</v>
      </c>
    </row>
    <row r="55" spans="2:26">
      <c r="B55" t="str">
        <f>IFERROR(VLOOKUP(Q55,unified_reference_costs!$I$41:$J$69,2,FALSE),B54)</f>
        <v>en_coal_igcc_ccs</v>
      </c>
      <c r="C55" t="str">
        <f>IFERROR(VLOOKUP(Q55,unified_reference_costs!$I$31:$J$40,2,FALSE),"*")</f>
        <v>invcost</v>
      </c>
      <c r="D55">
        <f t="shared" si="0"/>
        <v>2022</v>
      </c>
      <c r="E55">
        <f t="shared" si="1"/>
        <v>4850</v>
      </c>
      <c r="F55">
        <f t="shared" si="2"/>
        <v>4550</v>
      </c>
      <c r="G55">
        <f t="shared" si="3"/>
        <v>3650</v>
      </c>
      <c r="H55">
        <f t="shared" si="4"/>
        <v>4150</v>
      </c>
      <c r="I55">
        <f t="shared" si="5"/>
        <v>6250</v>
      </c>
      <c r="J55">
        <f t="shared" si="6"/>
        <v>5450</v>
      </c>
      <c r="K55">
        <f t="shared" si="7"/>
        <v>5850</v>
      </c>
      <c r="L55">
        <f t="shared" si="8"/>
        <v>5950</v>
      </c>
      <c r="M55">
        <f t="shared" si="9"/>
        <v>5100</v>
      </c>
      <c r="Q55" s="4" t="s">
        <v>6</v>
      </c>
      <c r="R55">
        <v>4850</v>
      </c>
      <c r="S55">
        <v>4550</v>
      </c>
      <c r="T55">
        <v>3650</v>
      </c>
      <c r="U55">
        <v>4150</v>
      </c>
      <c r="V55">
        <v>6250</v>
      </c>
      <c r="W55">
        <v>5450</v>
      </c>
      <c r="X55">
        <v>5850</v>
      </c>
      <c r="Y55">
        <v>5950</v>
      </c>
      <c r="Z55">
        <v>5100</v>
      </c>
    </row>
    <row r="56" spans="2:26">
      <c r="B56" t="str">
        <f>IFERROR(VLOOKUP(Q56,unified_reference_costs!$I$41:$J$69,2,FALSE),B55)</f>
        <v>en_coal_igcc_ccs</v>
      </c>
      <c r="C56" t="str">
        <f>IFERROR(VLOOKUP(Q56,unified_reference_costs!$I$31:$J$40,2,FALSE),"*")</f>
        <v>efficiency</v>
      </c>
      <c r="D56">
        <f t="shared" si="0"/>
        <v>2022</v>
      </c>
      <c r="E56">
        <f t="shared" si="1"/>
        <v>0.32</v>
      </c>
      <c r="F56" t="str">
        <f t="shared" si="2"/>
        <v/>
      </c>
      <c r="G56">
        <f t="shared" si="3"/>
        <v>0.34</v>
      </c>
      <c r="H56">
        <f t="shared" si="4"/>
        <v>0.32</v>
      </c>
      <c r="I56">
        <f t="shared" si="5"/>
        <v>0.35</v>
      </c>
      <c r="J56">
        <f t="shared" si="6"/>
        <v>0.35</v>
      </c>
      <c r="K56">
        <f t="shared" si="7"/>
        <v>0.35</v>
      </c>
      <c r="L56">
        <f t="shared" si="8"/>
        <v>0.35</v>
      </c>
      <c r="M56" t="str">
        <f t="shared" si="9"/>
        <v/>
      </c>
      <c r="Q56" s="8" t="s">
        <v>12</v>
      </c>
      <c r="R56" s="22">
        <v>0.32</v>
      </c>
      <c r="S56" s="22"/>
      <c r="T56" s="22">
        <v>0.34</v>
      </c>
      <c r="U56" s="22">
        <v>0.32</v>
      </c>
      <c r="V56" s="22">
        <v>0.35</v>
      </c>
      <c r="W56" s="22">
        <v>0.35</v>
      </c>
      <c r="X56" s="22">
        <v>0.35</v>
      </c>
      <c r="Y56" s="22">
        <v>0.35</v>
      </c>
      <c r="Z56" s="22"/>
    </row>
    <row r="57" spans="2:26">
      <c r="B57" t="str">
        <f>IFERROR(VLOOKUP(Q57,unified_reference_costs!$I$41:$J$69,2,FALSE),B56)</f>
        <v>en_coal_igcc_ccs</v>
      </c>
      <c r="C57" t="str">
        <f>IFERROR(VLOOKUP(Q57,unified_reference_costs!$I$31:$J$40,2,FALSE),"*")</f>
        <v>fixom</v>
      </c>
      <c r="D57">
        <f t="shared" si="0"/>
        <v>2022</v>
      </c>
      <c r="E57">
        <f t="shared" si="1"/>
        <v>220</v>
      </c>
      <c r="F57">
        <f t="shared" si="2"/>
        <v>205</v>
      </c>
      <c r="G57">
        <f t="shared" si="3"/>
        <v>165</v>
      </c>
      <c r="H57">
        <f t="shared" si="4"/>
        <v>200</v>
      </c>
      <c r="I57">
        <f t="shared" si="5"/>
        <v>220</v>
      </c>
      <c r="J57">
        <f t="shared" si="6"/>
        <v>190</v>
      </c>
      <c r="K57">
        <f t="shared" si="7"/>
        <v>205</v>
      </c>
      <c r="L57">
        <f t="shared" si="8"/>
        <v>210</v>
      </c>
      <c r="M57">
        <f t="shared" si="9"/>
        <v>230</v>
      </c>
      <c r="Q57" s="4" t="s">
        <v>10</v>
      </c>
      <c r="R57">
        <v>220</v>
      </c>
      <c r="S57">
        <v>205</v>
      </c>
      <c r="T57">
        <v>165</v>
      </c>
      <c r="U57">
        <v>200</v>
      </c>
      <c r="V57">
        <v>220</v>
      </c>
      <c r="W57">
        <v>190</v>
      </c>
      <c r="X57">
        <v>205</v>
      </c>
      <c r="Y57">
        <v>210</v>
      </c>
      <c r="Z57">
        <v>230</v>
      </c>
    </row>
    <row r="58" spans="2:26">
      <c r="B58" t="str">
        <f>IFERROR(VLOOKUP(Q58,unified_reference_costs!$I$41:$J$69,2,FALSE),B57)</f>
        <v>en_coal_igcc_ccs</v>
      </c>
      <c r="C58" t="str">
        <f>IFERROR(VLOOKUP(Q58,unified_reference_costs!$I$31:$J$40,2,FALSE),"*")</f>
        <v>varom</v>
      </c>
      <c r="D58">
        <f t="shared" si="0"/>
        <v>2022</v>
      </c>
      <c r="E58">
        <f t="shared" si="1"/>
        <v>4.5830000000000002</v>
      </c>
      <c r="F58">
        <f t="shared" si="2"/>
        <v>4.5830000000000002</v>
      </c>
      <c r="G58">
        <f t="shared" si="3"/>
        <v>4.5830000000000002</v>
      </c>
      <c r="H58">
        <f t="shared" si="4"/>
        <v>4.5830000000000002</v>
      </c>
      <c r="I58">
        <f t="shared" si="5"/>
        <v>4.5830000000000002</v>
      </c>
      <c r="J58">
        <f t="shared" si="6"/>
        <v>4.5830000000000002</v>
      </c>
      <c r="K58">
        <f t="shared" si="7"/>
        <v>4.5830000000000002</v>
      </c>
      <c r="L58">
        <f t="shared" si="8"/>
        <v>4.5830000000000002</v>
      </c>
      <c r="M58">
        <f t="shared" si="9"/>
        <v>4.5830000000000002</v>
      </c>
      <c r="Q58" s="4" t="s">
        <v>164</v>
      </c>
      <c r="R58">
        <v>4.5830000000000002</v>
      </c>
      <c r="S58">
        <v>4.5830000000000002</v>
      </c>
      <c r="T58">
        <v>4.5830000000000002</v>
      </c>
      <c r="U58">
        <v>4.5830000000000002</v>
      </c>
      <c r="V58">
        <v>4.5830000000000002</v>
      </c>
      <c r="W58">
        <v>4.5830000000000002</v>
      </c>
      <c r="X58">
        <v>4.5830000000000002</v>
      </c>
      <c r="Y58">
        <v>4.5830000000000002</v>
      </c>
      <c r="Z58">
        <v>4.5830000000000002</v>
      </c>
    </row>
    <row r="59" spans="2:26">
      <c r="B59" t="str">
        <f>IFERROR(VLOOKUP(Q59,unified_reference_costs!$I$41:$J$69,2,FALSE),B58)</f>
        <v>en_gas_ccs</v>
      </c>
      <c r="C59" t="str">
        <f>IFERROR(VLOOKUP(Q59,unified_reference_costs!$I$31:$J$40,2,FALSE),"*")</f>
        <v>*</v>
      </c>
      <c r="D59">
        <f t="shared" si="0"/>
        <v>2022</v>
      </c>
      <c r="E59" t="str">
        <f t="shared" si="1"/>
        <v/>
      </c>
      <c r="F59" t="str">
        <f t="shared" si="2"/>
        <v/>
      </c>
      <c r="G59" t="str">
        <f t="shared" si="3"/>
        <v/>
      </c>
      <c r="H59" t="str">
        <f t="shared" si="4"/>
        <v/>
      </c>
      <c r="I59" t="str">
        <f t="shared" si="5"/>
        <v/>
      </c>
      <c r="J59" t="str">
        <f t="shared" si="6"/>
        <v/>
      </c>
      <c r="K59" t="str">
        <f t="shared" si="7"/>
        <v/>
      </c>
      <c r="L59" t="str">
        <f t="shared" si="8"/>
        <v/>
      </c>
      <c r="M59" t="str">
        <f t="shared" si="9"/>
        <v/>
      </c>
      <c r="Q59" s="4" t="s">
        <v>40</v>
      </c>
    </row>
    <row r="60" spans="2:26">
      <c r="B60" t="str">
        <f>IFERROR(VLOOKUP(Q60,unified_reference_costs!$I$41:$J$69,2,FALSE),B59)</f>
        <v>en_gas_ccs</v>
      </c>
      <c r="C60" t="str">
        <f>IFERROR(VLOOKUP(Q60,unified_reference_costs!$I$31:$J$40,2,FALSE),"*")</f>
        <v>invcost</v>
      </c>
      <c r="D60">
        <f t="shared" si="0"/>
        <v>2022</v>
      </c>
      <c r="E60">
        <f t="shared" si="1"/>
        <v>2450</v>
      </c>
      <c r="F60">
        <f t="shared" si="2"/>
        <v>1650</v>
      </c>
      <c r="G60">
        <f t="shared" si="3"/>
        <v>2200</v>
      </c>
      <c r="H60">
        <f t="shared" si="4"/>
        <v>2300</v>
      </c>
      <c r="I60">
        <f t="shared" si="5"/>
        <v>3200</v>
      </c>
      <c r="J60">
        <f t="shared" si="6"/>
        <v>2650</v>
      </c>
      <c r="K60">
        <f t="shared" si="7"/>
        <v>3100</v>
      </c>
      <c r="L60">
        <f t="shared" si="8"/>
        <v>3100</v>
      </c>
      <c r="M60">
        <f t="shared" si="9"/>
        <v>2800</v>
      </c>
      <c r="Q60" s="4" t="s">
        <v>6</v>
      </c>
      <c r="R60">
        <v>2450</v>
      </c>
      <c r="S60">
        <v>1650</v>
      </c>
      <c r="T60">
        <v>2200</v>
      </c>
      <c r="U60">
        <v>2300</v>
      </c>
      <c r="V60">
        <v>3200</v>
      </c>
      <c r="W60">
        <v>2650</v>
      </c>
      <c r="X60">
        <v>3100</v>
      </c>
      <c r="Y60">
        <v>3100</v>
      </c>
      <c r="Z60">
        <v>2800</v>
      </c>
    </row>
    <row r="61" spans="2:26">
      <c r="B61" t="str">
        <f>IFERROR(VLOOKUP(Q61,unified_reference_costs!$I$41:$J$69,2,FALSE),B60)</f>
        <v>en_gas_ccs</v>
      </c>
      <c r="C61" t="str">
        <f>IFERROR(VLOOKUP(Q61,unified_reference_costs!$I$31:$J$40,2,FALSE),"*")</f>
        <v>efficiency</v>
      </c>
      <c r="D61">
        <f t="shared" si="0"/>
        <v>2022</v>
      </c>
      <c r="E61">
        <f t="shared" si="1"/>
        <v>0.5</v>
      </c>
      <c r="F61" t="str">
        <f t="shared" si="2"/>
        <v/>
      </c>
      <c r="G61">
        <f t="shared" si="3"/>
        <v>0.49</v>
      </c>
      <c r="H61">
        <f t="shared" si="4"/>
        <v>0.48</v>
      </c>
      <c r="I61">
        <f t="shared" si="5"/>
        <v>0.51</v>
      </c>
      <c r="J61">
        <f t="shared" si="6"/>
        <v>0.49</v>
      </c>
      <c r="K61">
        <f t="shared" si="7"/>
        <v>0.51</v>
      </c>
      <c r="L61">
        <f t="shared" si="8"/>
        <v>0.51</v>
      </c>
      <c r="M61">
        <f t="shared" si="9"/>
        <v>0.49</v>
      </c>
      <c r="Q61" s="8" t="s">
        <v>12</v>
      </c>
      <c r="R61" s="22">
        <v>0.5</v>
      </c>
      <c r="S61" s="22"/>
      <c r="T61" s="22">
        <v>0.49</v>
      </c>
      <c r="U61" s="22">
        <v>0.48</v>
      </c>
      <c r="V61" s="22">
        <v>0.51</v>
      </c>
      <c r="W61" s="22">
        <v>0.49</v>
      </c>
      <c r="X61" s="22">
        <v>0.51</v>
      </c>
      <c r="Y61" s="22">
        <v>0.51</v>
      </c>
      <c r="Z61" s="22">
        <v>0.49</v>
      </c>
    </row>
    <row r="62" spans="2:26">
      <c r="B62" t="str">
        <f>IFERROR(VLOOKUP(Q62,unified_reference_costs!$I$41:$J$69,2,FALSE),B61)</f>
        <v>en_gas_ccs</v>
      </c>
      <c r="C62" t="str">
        <f>IFERROR(VLOOKUP(Q62,unified_reference_costs!$I$31:$J$40,2,FALSE),"*")</f>
        <v>fixom</v>
      </c>
      <c r="D62">
        <f t="shared" si="0"/>
        <v>2022</v>
      </c>
      <c r="E62">
        <f t="shared" si="1"/>
        <v>85</v>
      </c>
      <c r="F62">
        <f t="shared" si="2"/>
        <v>55</v>
      </c>
      <c r="G62">
        <f t="shared" si="3"/>
        <v>70</v>
      </c>
      <c r="H62">
        <f t="shared" si="4"/>
        <v>80</v>
      </c>
      <c r="I62">
        <f t="shared" si="5"/>
        <v>80</v>
      </c>
      <c r="J62">
        <f t="shared" si="6"/>
        <v>95</v>
      </c>
      <c r="K62">
        <f t="shared" si="7"/>
        <v>80</v>
      </c>
      <c r="L62">
        <f t="shared" si="8"/>
        <v>80</v>
      </c>
      <c r="M62">
        <f t="shared" si="9"/>
        <v>100</v>
      </c>
      <c r="Q62" s="4" t="s">
        <v>10</v>
      </c>
      <c r="R62">
        <v>85</v>
      </c>
      <c r="S62">
        <v>55</v>
      </c>
      <c r="T62">
        <v>70</v>
      </c>
      <c r="U62">
        <v>80</v>
      </c>
      <c r="V62">
        <v>80</v>
      </c>
      <c r="W62">
        <v>95</v>
      </c>
      <c r="X62">
        <v>80</v>
      </c>
      <c r="Y62">
        <v>80</v>
      </c>
      <c r="Z62">
        <v>100</v>
      </c>
    </row>
    <row r="63" spans="2:26">
      <c r="B63" t="str">
        <f>IFERROR(VLOOKUP(Q63,unified_reference_costs!$I$41:$J$69,2,FALSE),B62)</f>
        <v>en_gas_ccs</v>
      </c>
      <c r="C63" t="str">
        <f>IFERROR(VLOOKUP(Q63,unified_reference_costs!$I$31:$J$40,2,FALSE),"*")</f>
        <v>varom</v>
      </c>
      <c r="D63">
        <f t="shared" si="0"/>
        <v>2022</v>
      </c>
      <c r="E63">
        <f t="shared" si="1"/>
        <v>1.35</v>
      </c>
      <c r="F63">
        <f t="shared" si="2"/>
        <v>1.35</v>
      </c>
      <c r="G63">
        <f t="shared" si="3"/>
        <v>1.35</v>
      </c>
      <c r="H63">
        <f t="shared" si="4"/>
        <v>1.35</v>
      </c>
      <c r="I63">
        <f t="shared" si="5"/>
        <v>1.35</v>
      </c>
      <c r="J63">
        <f t="shared" si="6"/>
        <v>1.35</v>
      </c>
      <c r="K63">
        <f t="shared" si="7"/>
        <v>1.35</v>
      </c>
      <c r="L63">
        <f t="shared" si="8"/>
        <v>1.35</v>
      </c>
      <c r="M63">
        <f t="shared" si="9"/>
        <v>1.35</v>
      </c>
      <c r="Q63" s="4" t="s">
        <v>164</v>
      </c>
      <c r="R63">
        <v>1.35</v>
      </c>
      <c r="S63">
        <v>1.35</v>
      </c>
      <c r="T63">
        <v>1.35</v>
      </c>
      <c r="U63">
        <v>1.35</v>
      </c>
      <c r="V63">
        <v>1.35</v>
      </c>
      <c r="W63">
        <v>1.35</v>
      </c>
      <c r="X63">
        <v>1.35</v>
      </c>
      <c r="Y63">
        <v>1.35</v>
      </c>
      <c r="Z63">
        <v>1.35</v>
      </c>
    </row>
    <row r="64" spans="2:26">
      <c r="B64" t="str">
        <f>IFERROR(VLOOKUP(Q64,unified_reference_costs!$I$41:$J$69,2,FALSE),B63)</f>
        <v>en_nuclear</v>
      </c>
      <c r="C64" t="str">
        <f>IFERROR(VLOOKUP(Q64,unified_reference_costs!$I$31:$J$40,2,FALSE),"*")</f>
        <v>*</v>
      </c>
      <c r="D64">
        <f t="shared" si="0"/>
        <v>2022</v>
      </c>
      <c r="E64" t="str">
        <f t="shared" si="1"/>
        <v/>
      </c>
      <c r="F64" t="str">
        <f t="shared" si="2"/>
        <v/>
      </c>
      <c r="G64" t="str">
        <f t="shared" si="3"/>
        <v/>
      </c>
      <c r="H64" t="str">
        <f t="shared" si="4"/>
        <v/>
      </c>
      <c r="I64" t="str">
        <f t="shared" si="5"/>
        <v/>
      </c>
      <c r="J64" t="str">
        <f t="shared" si="6"/>
        <v/>
      </c>
      <c r="K64" t="str">
        <f t="shared" si="7"/>
        <v/>
      </c>
      <c r="L64" t="str">
        <f t="shared" si="8"/>
        <v/>
      </c>
      <c r="M64" t="str">
        <f t="shared" si="9"/>
        <v/>
      </c>
      <c r="Q64" s="4" t="s">
        <v>41</v>
      </c>
    </row>
    <row r="65" spans="2:26">
      <c r="B65" t="str">
        <f>IFERROR(VLOOKUP(Q65,unified_reference_costs!$I$41:$J$69,2,FALSE),B64)</f>
        <v>en_nuclear</v>
      </c>
      <c r="C65" t="str">
        <f>IFERROR(VLOOKUP(Q65,unified_reference_costs!$I$31:$J$40,2,FALSE),"*")</f>
        <v>invcost</v>
      </c>
      <c r="D65">
        <f t="shared" si="0"/>
        <v>2022</v>
      </c>
      <c r="E65">
        <f t="shared" si="1"/>
        <v>4000</v>
      </c>
      <c r="F65">
        <f t="shared" si="2"/>
        <v>4000</v>
      </c>
      <c r="G65">
        <f t="shared" si="3"/>
        <v>2800</v>
      </c>
      <c r="H65">
        <f t="shared" si="4"/>
        <v>2800</v>
      </c>
      <c r="I65">
        <f t="shared" si="5"/>
        <v>4200</v>
      </c>
      <c r="J65">
        <f t="shared" si="6"/>
        <v>3800</v>
      </c>
      <c r="K65">
        <f t="shared" si="7"/>
        <v>6600</v>
      </c>
      <c r="L65">
        <f t="shared" si="8"/>
        <v>5000</v>
      </c>
      <c r="M65">
        <f t="shared" si="9"/>
        <v>3500</v>
      </c>
      <c r="Q65" s="4" t="s">
        <v>6</v>
      </c>
      <c r="R65">
        <v>4000</v>
      </c>
      <c r="S65">
        <v>4000</v>
      </c>
      <c r="T65">
        <v>2800</v>
      </c>
      <c r="U65">
        <v>2800</v>
      </c>
      <c r="V65">
        <v>4200</v>
      </c>
      <c r="W65">
        <v>3800</v>
      </c>
      <c r="X65">
        <v>6600</v>
      </c>
      <c r="Y65">
        <v>5000</v>
      </c>
      <c r="Z65">
        <v>3500</v>
      </c>
    </row>
    <row r="66" spans="2:26">
      <c r="B66" t="str">
        <f>IFERROR(VLOOKUP(Q66,unified_reference_costs!$I$41:$J$69,2,FALSE),B65)</f>
        <v>en_nuclear</v>
      </c>
      <c r="C66" t="str">
        <f>IFERROR(VLOOKUP(Q66,unified_reference_costs!$I$31:$J$40,2,FALSE),"*")</f>
        <v>fixom</v>
      </c>
      <c r="D66">
        <f t="shared" si="0"/>
        <v>2022</v>
      </c>
      <c r="E66">
        <f t="shared" si="1"/>
        <v>170</v>
      </c>
      <c r="F66">
        <f t="shared" si="2"/>
        <v>170</v>
      </c>
      <c r="G66">
        <f t="shared" si="3"/>
        <v>120</v>
      </c>
      <c r="H66">
        <f t="shared" si="4"/>
        <v>140</v>
      </c>
      <c r="I66">
        <f t="shared" si="5"/>
        <v>225</v>
      </c>
      <c r="J66">
        <f t="shared" si="6"/>
        <v>160</v>
      </c>
      <c r="K66">
        <f t="shared" si="7"/>
        <v>160</v>
      </c>
      <c r="L66">
        <f t="shared" si="8"/>
        <v>175</v>
      </c>
      <c r="M66">
        <f t="shared" si="9"/>
        <v>160</v>
      </c>
      <c r="Q66" s="8" t="s">
        <v>10</v>
      </c>
      <c r="R66" s="22">
        <v>170</v>
      </c>
      <c r="S66" s="22">
        <v>170</v>
      </c>
      <c r="T66" s="22">
        <v>120</v>
      </c>
      <c r="U66" s="22">
        <v>140</v>
      </c>
      <c r="V66" s="22">
        <v>225</v>
      </c>
      <c r="W66" s="22">
        <v>160</v>
      </c>
      <c r="X66" s="22">
        <v>160</v>
      </c>
      <c r="Y66" s="22">
        <v>175</v>
      </c>
      <c r="Z66" s="22">
        <v>160</v>
      </c>
    </row>
    <row r="67" spans="2:26">
      <c r="B67" t="str">
        <f>IFERROR(VLOOKUP(Q67,unified_reference_costs!$I$41:$J$69,2,FALSE),B66)</f>
        <v>\I:</v>
      </c>
      <c r="C67" t="str">
        <f>IFERROR(VLOOKUP(Q67,unified_reference_costs!$I$31:$J$40,2,FALSE),"*")</f>
        <v>*</v>
      </c>
      <c r="D67">
        <f t="shared" si="0"/>
        <v>2022</v>
      </c>
      <c r="E67" t="str">
        <f t="shared" si="1"/>
        <v/>
      </c>
      <c r="F67" t="str">
        <f t="shared" si="2"/>
        <v/>
      </c>
      <c r="G67" t="str">
        <f t="shared" si="3"/>
        <v/>
      </c>
      <c r="H67" t="str">
        <f t="shared" si="4"/>
        <v/>
      </c>
      <c r="I67" t="str">
        <f t="shared" si="5"/>
        <v/>
      </c>
      <c r="J67" t="str">
        <f t="shared" si="6"/>
        <v/>
      </c>
      <c r="K67" t="str">
        <f t="shared" si="7"/>
        <v/>
      </c>
      <c r="L67" t="str">
        <f t="shared" si="8"/>
        <v/>
      </c>
      <c r="M67" t="str">
        <f t="shared" si="9"/>
        <v/>
      </c>
      <c r="Q67" s="4" t="s">
        <v>42</v>
      </c>
    </row>
    <row r="68" spans="2:26">
      <c r="B68" t="str">
        <f>IFERROR(VLOOKUP(Q68,unified_reference_costs!$I$41:$J$69,2,FALSE),B67)</f>
        <v>\I:</v>
      </c>
      <c r="C68" t="str">
        <f>IFERROR(VLOOKUP(Q68,unified_reference_costs!$I$31:$J$40,2,FALSE),"*")</f>
        <v>*cf</v>
      </c>
      <c r="D68">
        <f t="shared" ref="D68:D131" si="10">IF(ISNUMBER(Q68),Q68,D67)</f>
        <v>2022</v>
      </c>
      <c r="E68">
        <f t="shared" si="1"/>
        <v>0.22</v>
      </c>
      <c r="F68">
        <f t="shared" si="2"/>
        <v>0.2</v>
      </c>
      <c r="G68">
        <f t="shared" si="3"/>
        <v>0.13</v>
      </c>
      <c r="H68">
        <f t="shared" si="4"/>
        <v>0.2</v>
      </c>
      <c r="I68">
        <f t="shared" si="5"/>
        <v>0.14000000000000001</v>
      </c>
      <c r="J68">
        <f t="shared" si="6"/>
        <v>0.13</v>
      </c>
      <c r="K68">
        <f t="shared" si="7"/>
        <v>0.14000000000000001</v>
      </c>
      <c r="L68">
        <f t="shared" si="8"/>
        <v>0.21</v>
      </c>
      <c r="M68">
        <f t="shared" si="9"/>
        <v>0.25</v>
      </c>
      <c r="Q68" s="4" t="s">
        <v>14</v>
      </c>
      <c r="R68">
        <v>0.22</v>
      </c>
      <c r="S68">
        <v>0.2</v>
      </c>
      <c r="T68">
        <v>0.13</v>
      </c>
      <c r="U68">
        <v>0.2</v>
      </c>
      <c r="V68">
        <v>0.14000000000000001</v>
      </c>
      <c r="W68">
        <v>0.13</v>
      </c>
      <c r="X68">
        <v>0.14000000000000001</v>
      </c>
      <c r="Y68">
        <v>0.21</v>
      </c>
      <c r="Z68">
        <v>0.25</v>
      </c>
    </row>
    <row r="69" spans="2:26">
      <c r="B69" t="str">
        <f>IFERROR(VLOOKUP(Q69,unified_reference_costs!$I$41:$J$69,2,FALSE),B68)</f>
        <v>\I:</v>
      </c>
      <c r="C69" t="str">
        <f>IFERROR(VLOOKUP(Q69,unified_reference_costs!$I$31:$J$40,2,FALSE),"*")</f>
        <v>invcost</v>
      </c>
      <c r="D69">
        <f t="shared" si="10"/>
        <v>2022</v>
      </c>
      <c r="E69">
        <f t="shared" si="1"/>
        <v>1420</v>
      </c>
      <c r="F69">
        <f t="shared" si="2"/>
        <v>750</v>
      </c>
      <c r="G69">
        <f t="shared" si="3"/>
        <v>720</v>
      </c>
      <c r="H69">
        <f t="shared" si="4"/>
        <v>640</v>
      </c>
      <c r="I69">
        <f t="shared" si="5"/>
        <v>1910</v>
      </c>
      <c r="J69">
        <f t="shared" si="6"/>
        <v>1710</v>
      </c>
      <c r="K69">
        <f t="shared" si="7"/>
        <v>990</v>
      </c>
      <c r="L69">
        <f t="shared" si="8"/>
        <v>1120</v>
      </c>
      <c r="M69">
        <f t="shared" si="9"/>
        <v>620</v>
      </c>
      <c r="Q69" s="4" t="s">
        <v>6</v>
      </c>
      <c r="R69">
        <v>1420</v>
      </c>
      <c r="S69">
        <v>750</v>
      </c>
      <c r="T69">
        <v>720</v>
      </c>
      <c r="U69">
        <v>640</v>
      </c>
      <c r="V69">
        <v>1910</v>
      </c>
      <c r="W69">
        <v>1710</v>
      </c>
      <c r="X69">
        <v>990</v>
      </c>
      <c r="Y69">
        <v>1120</v>
      </c>
      <c r="Z69">
        <v>620</v>
      </c>
    </row>
    <row r="70" spans="2:26">
      <c r="B70" t="str">
        <f>IFERROR(VLOOKUP(Q70,unified_reference_costs!$I$41:$J$69,2,FALSE),B69)</f>
        <v>\I:</v>
      </c>
      <c r="C70" t="str">
        <f>IFERROR(VLOOKUP(Q70,unified_reference_costs!$I$31:$J$40,2,FALSE),"*")</f>
        <v>efficiency</v>
      </c>
      <c r="D70">
        <f t="shared" si="10"/>
        <v>2022</v>
      </c>
      <c r="E70">
        <f t="shared" ref="E70:E133" si="11">IF(R70="","",R70)</f>
        <v>1</v>
      </c>
      <c r="F70">
        <f t="shared" ref="F70:F133" si="12">IF(S70="","",S70)</f>
        <v>1</v>
      </c>
      <c r="G70">
        <f t="shared" ref="G70:G133" si="13">IF(T70="","",T70)</f>
        <v>1</v>
      </c>
      <c r="H70">
        <f t="shared" ref="H70:H133" si="14">IF(U70="","",U70)</f>
        <v>1</v>
      </c>
      <c r="I70">
        <f t="shared" ref="I70:I133" si="15">IF(V70="","",V70)</f>
        <v>1</v>
      </c>
      <c r="J70">
        <f t="shared" ref="J70:J133" si="16">IF(W70="","",W70)</f>
        <v>1</v>
      </c>
      <c r="K70">
        <f t="shared" ref="K70:K133" si="17">IF(X70="","",X70)</f>
        <v>1</v>
      </c>
      <c r="L70">
        <f t="shared" ref="L70:L133" si="18">IF(Y70="","",Y70)</f>
        <v>1</v>
      </c>
      <c r="M70">
        <f t="shared" ref="M70:M133" si="19">IF(Z70="","",Z70)</f>
        <v>1</v>
      </c>
      <c r="Q70" s="4" t="s">
        <v>12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</row>
    <row r="71" spans="2:26">
      <c r="B71" t="str">
        <f>IFERROR(VLOOKUP(Q71,unified_reference_costs!$I$41:$J$69,2,FALSE),B70)</f>
        <v>\I:</v>
      </c>
      <c r="C71" t="str">
        <f>IFERROR(VLOOKUP(Q71,unified_reference_costs!$I$31:$J$40,2,FALSE),"*")</f>
        <v>fixom</v>
      </c>
      <c r="D71">
        <f t="shared" si="10"/>
        <v>2022</v>
      </c>
      <c r="E71">
        <f t="shared" si="11"/>
        <v>22</v>
      </c>
      <c r="F71">
        <f t="shared" si="12"/>
        <v>12</v>
      </c>
      <c r="G71">
        <f t="shared" si="13"/>
        <v>12</v>
      </c>
      <c r="H71">
        <f t="shared" si="14"/>
        <v>10</v>
      </c>
      <c r="I71">
        <f t="shared" si="15"/>
        <v>28</v>
      </c>
      <c r="J71">
        <f t="shared" si="16"/>
        <v>26</v>
      </c>
      <c r="K71">
        <f t="shared" si="17"/>
        <v>14</v>
      </c>
      <c r="L71">
        <f t="shared" si="18"/>
        <v>16</v>
      </c>
      <c r="M71">
        <f t="shared" si="19"/>
        <v>10</v>
      </c>
      <c r="Q71" s="8" t="s">
        <v>10</v>
      </c>
      <c r="R71" s="22">
        <v>22</v>
      </c>
      <c r="S71" s="22">
        <v>12</v>
      </c>
      <c r="T71" s="22">
        <v>12</v>
      </c>
      <c r="U71" s="22">
        <v>10</v>
      </c>
      <c r="V71" s="22">
        <v>28</v>
      </c>
      <c r="W71" s="22">
        <v>26</v>
      </c>
      <c r="X71" s="22">
        <v>14</v>
      </c>
      <c r="Y71" s="22">
        <v>16</v>
      </c>
      <c r="Z71" s="22">
        <v>10</v>
      </c>
    </row>
    <row r="72" spans="2:26">
      <c r="B72" t="str">
        <f>IFERROR(VLOOKUP(Q72,unified_reference_costs!$I$41:$J$69,2,FALSE),B71)</f>
        <v>\I:</v>
      </c>
      <c r="C72" t="str">
        <f>IFERROR(VLOOKUP(Q72,unified_reference_costs!$I$31:$J$40,2,FALSE),"*")</f>
        <v>varom</v>
      </c>
      <c r="D72">
        <f t="shared" si="10"/>
        <v>2022</v>
      </c>
      <c r="E72">
        <f t="shared" si="11"/>
        <v>0</v>
      </c>
      <c r="F72">
        <f t="shared" si="12"/>
        <v>0</v>
      </c>
      <c r="G72">
        <f t="shared" si="13"/>
        <v>0</v>
      </c>
      <c r="H72">
        <f t="shared" si="14"/>
        <v>0</v>
      </c>
      <c r="I72">
        <f t="shared" si="15"/>
        <v>0</v>
      </c>
      <c r="J72">
        <f t="shared" si="16"/>
        <v>0</v>
      </c>
      <c r="K72">
        <f t="shared" si="17"/>
        <v>0</v>
      </c>
      <c r="L72">
        <f t="shared" si="18"/>
        <v>0</v>
      </c>
      <c r="M72">
        <f t="shared" si="19"/>
        <v>0</v>
      </c>
      <c r="Q72" s="4" t="s">
        <v>164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2:26">
      <c r="B73" t="str">
        <f>IFERROR(VLOOKUP(Q73,unified_reference_costs!$I$41:$J$69,2,FALSE),B72)</f>
        <v>\I:</v>
      </c>
      <c r="C73" t="str">
        <f>IFERROR(VLOOKUP(Q73,unified_reference_costs!$I$31:$J$40,2,FALSE),"*")</f>
        <v>*</v>
      </c>
      <c r="D73">
        <f t="shared" si="10"/>
        <v>2022</v>
      </c>
      <c r="E73" t="str">
        <f t="shared" si="11"/>
        <v/>
      </c>
      <c r="F73" t="str">
        <f t="shared" si="12"/>
        <v/>
      </c>
      <c r="G73" t="str">
        <f t="shared" si="13"/>
        <v/>
      </c>
      <c r="H73" t="str">
        <f t="shared" si="14"/>
        <v/>
      </c>
      <c r="I73" t="str">
        <f t="shared" si="15"/>
        <v/>
      </c>
      <c r="J73" t="str">
        <f t="shared" si="16"/>
        <v/>
      </c>
      <c r="K73" t="str">
        <f t="shared" si="17"/>
        <v/>
      </c>
      <c r="L73" t="str">
        <f t="shared" si="18"/>
        <v/>
      </c>
      <c r="M73" t="str">
        <f t="shared" si="19"/>
        <v/>
      </c>
      <c r="Q73" s="4" t="s">
        <v>43</v>
      </c>
    </row>
    <row r="74" spans="2:26">
      <c r="B74" t="str">
        <f>IFERROR(VLOOKUP(Q74,unified_reference_costs!$I$41:$J$69,2,FALSE),B73)</f>
        <v>\I:</v>
      </c>
      <c r="C74" t="str">
        <f>IFERROR(VLOOKUP(Q74,unified_reference_costs!$I$31:$J$40,2,FALSE),"*")</f>
        <v>*cf</v>
      </c>
      <c r="D74">
        <f t="shared" si="10"/>
        <v>2022</v>
      </c>
      <c r="E74">
        <f t="shared" si="11"/>
        <v>0.32</v>
      </c>
      <c r="F74">
        <f t="shared" si="12"/>
        <v>0.44</v>
      </c>
      <c r="G74">
        <f t="shared" si="13"/>
        <v>0.26</v>
      </c>
      <c r="H74">
        <f t="shared" si="14"/>
        <v>0.26</v>
      </c>
      <c r="I74">
        <f t="shared" si="15"/>
        <v>0.26</v>
      </c>
      <c r="J74">
        <f t="shared" si="16"/>
        <v>0.26</v>
      </c>
      <c r="K74">
        <f t="shared" si="17"/>
        <v>0.28999999999999998</v>
      </c>
      <c r="L74">
        <f t="shared" si="18"/>
        <v>0.42</v>
      </c>
      <c r="M74">
        <f t="shared" si="19"/>
        <v>0.35</v>
      </c>
      <c r="Q74" s="4" t="s">
        <v>14</v>
      </c>
      <c r="R74">
        <v>0.32</v>
      </c>
      <c r="S74">
        <v>0.44</v>
      </c>
      <c r="T74">
        <v>0.26</v>
      </c>
      <c r="U74">
        <v>0.26</v>
      </c>
      <c r="V74">
        <v>0.26</v>
      </c>
      <c r="W74">
        <v>0.26</v>
      </c>
      <c r="X74">
        <v>0.28999999999999998</v>
      </c>
      <c r="Y74">
        <v>0.42</v>
      </c>
      <c r="Z74">
        <v>0.35</v>
      </c>
    </row>
    <row r="75" spans="2:26">
      <c r="B75" t="str">
        <f>IFERROR(VLOOKUP(Q75,unified_reference_costs!$I$41:$J$69,2,FALSE),B74)</f>
        <v>\I:</v>
      </c>
      <c r="C75" t="str">
        <f>IFERROR(VLOOKUP(Q75,unified_reference_costs!$I$31:$J$40,2,FALSE),"*")</f>
        <v>invcost</v>
      </c>
      <c r="D75">
        <f t="shared" si="10"/>
        <v>2022</v>
      </c>
      <c r="E75">
        <f t="shared" si="11"/>
        <v>1950</v>
      </c>
      <c r="F75">
        <f t="shared" si="12"/>
        <v>1050</v>
      </c>
      <c r="G75">
        <f t="shared" si="13"/>
        <v>1100</v>
      </c>
      <c r="H75">
        <f t="shared" si="14"/>
        <v>1120</v>
      </c>
      <c r="I75">
        <f t="shared" si="15"/>
        <v>3520</v>
      </c>
      <c r="J75">
        <f t="shared" si="16"/>
        <v>1640</v>
      </c>
      <c r="K75">
        <f t="shared" si="17"/>
        <v>1750</v>
      </c>
      <c r="L75">
        <f t="shared" si="18"/>
        <v>1220</v>
      </c>
      <c r="M75">
        <f t="shared" si="19"/>
        <v>1950</v>
      </c>
      <c r="Q75" s="4" t="s">
        <v>6</v>
      </c>
      <c r="R75">
        <v>1950</v>
      </c>
      <c r="S75">
        <v>1050</v>
      </c>
      <c r="T75">
        <v>1100</v>
      </c>
      <c r="U75">
        <v>1120</v>
      </c>
      <c r="V75">
        <v>3520</v>
      </c>
      <c r="W75">
        <v>1640</v>
      </c>
      <c r="X75">
        <v>1750</v>
      </c>
      <c r="Y75">
        <v>1220</v>
      </c>
      <c r="Z75">
        <v>1950</v>
      </c>
    </row>
    <row r="76" spans="2:26">
      <c r="B76" t="str">
        <f>IFERROR(VLOOKUP(Q76,unified_reference_costs!$I$41:$J$69,2,FALSE),B75)</f>
        <v>\I:</v>
      </c>
      <c r="C76" t="str">
        <f>IFERROR(VLOOKUP(Q76,unified_reference_costs!$I$31:$J$40,2,FALSE),"*")</f>
        <v>efficiency</v>
      </c>
      <c r="D76">
        <f t="shared" si="10"/>
        <v>2022</v>
      </c>
      <c r="E76">
        <f t="shared" si="11"/>
        <v>1</v>
      </c>
      <c r="F76">
        <f t="shared" si="12"/>
        <v>1</v>
      </c>
      <c r="G76">
        <f t="shared" si="13"/>
        <v>1</v>
      </c>
      <c r="H76">
        <f t="shared" si="14"/>
        <v>1</v>
      </c>
      <c r="I76">
        <f t="shared" si="15"/>
        <v>1</v>
      </c>
      <c r="J76">
        <f t="shared" si="16"/>
        <v>1</v>
      </c>
      <c r="K76">
        <f t="shared" si="17"/>
        <v>1</v>
      </c>
      <c r="L76">
        <f t="shared" si="18"/>
        <v>1</v>
      </c>
      <c r="M76">
        <f t="shared" si="19"/>
        <v>1</v>
      </c>
      <c r="Q76" s="8" t="s">
        <v>12</v>
      </c>
      <c r="R76" s="22">
        <v>1</v>
      </c>
      <c r="S76" s="22">
        <v>1</v>
      </c>
      <c r="T76" s="22">
        <v>1</v>
      </c>
      <c r="U76" s="22">
        <v>1</v>
      </c>
      <c r="V76" s="22">
        <v>1</v>
      </c>
      <c r="W76" s="22">
        <v>1</v>
      </c>
      <c r="X76" s="22">
        <v>1</v>
      </c>
      <c r="Y76" s="22">
        <v>1</v>
      </c>
      <c r="Z76" s="22">
        <v>1</v>
      </c>
    </row>
    <row r="77" spans="2:26">
      <c r="B77" t="str">
        <f>IFERROR(VLOOKUP(Q77,unified_reference_costs!$I$41:$J$69,2,FALSE),B76)</f>
        <v>\I:</v>
      </c>
      <c r="C77" t="str">
        <f>IFERROR(VLOOKUP(Q77,unified_reference_costs!$I$31:$J$40,2,FALSE),"*")</f>
        <v>fixom</v>
      </c>
      <c r="D77">
        <f t="shared" si="10"/>
        <v>2022</v>
      </c>
      <c r="E77">
        <f t="shared" si="11"/>
        <v>48</v>
      </c>
      <c r="F77">
        <f t="shared" si="12"/>
        <v>26</v>
      </c>
      <c r="G77">
        <f t="shared" si="13"/>
        <v>28</v>
      </c>
      <c r="H77">
        <f t="shared" si="14"/>
        <v>28</v>
      </c>
      <c r="I77">
        <f t="shared" si="15"/>
        <v>88</v>
      </c>
      <c r="J77">
        <f t="shared" si="16"/>
        <v>40</v>
      </c>
      <c r="K77">
        <f t="shared" si="17"/>
        <v>46</v>
      </c>
      <c r="L77">
        <f t="shared" si="18"/>
        <v>30</v>
      </c>
      <c r="M77">
        <f t="shared" si="19"/>
        <v>48</v>
      </c>
      <c r="Q77" s="4" t="s">
        <v>10</v>
      </c>
      <c r="R77">
        <v>48</v>
      </c>
      <c r="S77">
        <v>26</v>
      </c>
      <c r="T77">
        <v>28</v>
      </c>
      <c r="U77">
        <v>28</v>
      </c>
      <c r="V77">
        <v>88</v>
      </c>
      <c r="W77">
        <v>40</v>
      </c>
      <c r="X77">
        <v>46</v>
      </c>
      <c r="Y77">
        <v>30</v>
      </c>
      <c r="Z77">
        <v>48</v>
      </c>
    </row>
    <row r="78" spans="2:26">
      <c r="B78" t="str">
        <f>IFERROR(VLOOKUP(Q78,unified_reference_costs!$I$41:$J$69,2,FALSE),B77)</f>
        <v>\I:</v>
      </c>
      <c r="C78" t="str">
        <f>IFERROR(VLOOKUP(Q78,unified_reference_costs!$I$31:$J$40,2,FALSE),"*")</f>
        <v>varom</v>
      </c>
      <c r="D78">
        <f t="shared" si="10"/>
        <v>2022</v>
      </c>
      <c r="E78">
        <f t="shared" si="11"/>
        <v>0</v>
      </c>
      <c r="F78">
        <f t="shared" si="12"/>
        <v>0</v>
      </c>
      <c r="G78">
        <f t="shared" si="13"/>
        <v>0</v>
      </c>
      <c r="H78">
        <f t="shared" si="14"/>
        <v>0</v>
      </c>
      <c r="I78">
        <f t="shared" si="15"/>
        <v>0</v>
      </c>
      <c r="J78">
        <f t="shared" si="16"/>
        <v>0</v>
      </c>
      <c r="K78">
        <f t="shared" si="17"/>
        <v>0</v>
      </c>
      <c r="L78">
        <f t="shared" si="18"/>
        <v>0</v>
      </c>
      <c r="M78">
        <f t="shared" si="19"/>
        <v>0</v>
      </c>
      <c r="Q78" s="4" t="s">
        <v>164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2:26">
      <c r="B79" t="str">
        <f>IFERROR(VLOOKUP(Q79,unified_reference_costs!$I$41:$J$69,2,FALSE),B78)</f>
        <v>\I:</v>
      </c>
      <c r="C79" t="str">
        <f>IFERROR(VLOOKUP(Q79,unified_reference_costs!$I$31:$J$40,2,FALSE),"*")</f>
        <v>*</v>
      </c>
      <c r="D79">
        <f t="shared" si="10"/>
        <v>2022</v>
      </c>
      <c r="E79" t="str">
        <f t="shared" si="11"/>
        <v/>
      </c>
      <c r="F79" t="str">
        <f t="shared" si="12"/>
        <v/>
      </c>
      <c r="G79" t="str">
        <f t="shared" si="13"/>
        <v/>
      </c>
      <c r="H79" t="str">
        <f t="shared" si="14"/>
        <v/>
      </c>
      <c r="I79" t="str">
        <f t="shared" si="15"/>
        <v/>
      </c>
      <c r="J79" t="str">
        <f t="shared" si="16"/>
        <v/>
      </c>
      <c r="K79" t="str">
        <f t="shared" si="17"/>
        <v/>
      </c>
      <c r="L79" t="str">
        <f t="shared" si="18"/>
        <v/>
      </c>
      <c r="M79" t="str">
        <f t="shared" si="19"/>
        <v/>
      </c>
      <c r="Q79" s="4" t="s">
        <v>44</v>
      </c>
    </row>
    <row r="80" spans="2:26">
      <c r="B80" t="str">
        <f>IFERROR(VLOOKUP(Q80,unified_reference_costs!$I$41:$J$69,2,FALSE),B79)</f>
        <v>\I:</v>
      </c>
      <c r="C80" t="str">
        <f>IFERROR(VLOOKUP(Q80,unified_reference_costs!$I$31:$J$40,2,FALSE),"*")</f>
        <v>*cf</v>
      </c>
      <c r="D80">
        <f t="shared" si="10"/>
        <v>2022</v>
      </c>
      <c r="E80">
        <f t="shared" si="11"/>
        <v>0.37</v>
      </c>
      <c r="F80">
        <f t="shared" si="12"/>
        <v>0.48</v>
      </c>
      <c r="G80">
        <f t="shared" si="13"/>
        <v>0.33</v>
      </c>
      <c r="H80">
        <f t="shared" si="14"/>
        <v>0.33</v>
      </c>
      <c r="I80">
        <f t="shared" si="15"/>
        <v>0.41</v>
      </c>
      <c r="J80">
        <f t="shared" si="16"/>
        <v>0.39</v>
      </c>
      <c r="K80">
        <f t="shared" si="17"/>
        <v>0.5</v>
      </c>
      <c r="L80">
        <f t="shared" si="18"/>
        <v>0.42</v>
      </c>
      <c r="M80">
        <f t="shared" si="19"/>
        <v>0.34</v>
      </c>
      <c r="Q80" s="4" t="s">
        <v>14</v>
      </c>
      <c r="R80">
        <v>0.37</v>
      </c>
      <c r="S80">
        <v>0.48</v>
      </c>
      <c r="T80">
        <v>0.33</v>
      </c>
      <c r="U80">
        <v>0.33</v>
      </c>
      <c r="V80">
        <v>0.41</v>
      </c>
      <c r="W80">
        <v>0.39</v>
      </c>
      <c r="X80">
        <v>0.5</v>
      </c>
      <c r="Y80">
        <v>0.42</v>
      </c>
      <c r="Z80">
        <v>0.34</v>
      </c>
    </row>
    <row r="81" spans="2:26">
      <c r="B81" t="str">
        <f>IFERROR(VLOOKUP(Q81,unified_reference_costs!$I$41:$J$69,2,FALSE),B80)</f>
        <v>\I:</v>
      </c>
      <c r="C81" t="str">
        <f>IFERROR(VLOOKUP(Q81,unified_reference_costs!$I$31:$J$40,2,FALSE),"*")</f>
        <v>invcost</v>
      </c>
      <c r="D81">
        <f t="shared" si="10"/>
        <v>2022</v>
      </c>
      <c r="E81">
        <f t="shared" si="11"/>
        <v>4260</v>
      </c>
      <c r="F81">
        <f t="shared" si="12"/>
        <v>4440</v>
      </c>
      <c r="G81">
        <f t="shared" si="13"/>
        <v>2820</v>
      </c>
      <c r="H81">
        <f t="shared" si="14"/>
        <v>3060</v>
      </c>
      <c r="I81">
        <f t="shared" si="15"/>
        <v>6640</v>
      </c>
      <c r="J81">
        <f t="shared" si="16"/>
        <v>4600</v>
      </c>
      <c r="K81">
        <f t="shared" si="17"/>
        <v>3420</v>
      </c>
      <c r="L81">
        <f t="shared" si="18"/>
        <v>4060</v>
      </c>
      <c r="M81">
        <f t="shared" si="19"/>
        <v>4400</v>
      </c>
      <c r="Q81" s="8" t="s">
        <v>6</v>
      </c>
      <c r="R81" s="22">
        <v>4260</v>
      </c>
      <c r="S81" s="22">
        <v>4440</v>
      </c>
      <c r="T81" s="22">
        <v>2820</v>
      </c>
      <c r="U81" s="22">
        <v>3060</v>
      </c>
      <c r="V81" s="22">
        <v>6640</v>
      </c>
      <c r="W81" s="22">
        <v>4600</v>
      </c>
      <c r="X81" s="22">
        <v>3420</v>
      </c>
      <c r="Y81" s="22">
        <v>4060</v>
      </c>
      <c r="Z81" s="22">
        <v>4400</v>
      </c>
    </row>
    <row r="82" spans="2:26">
      <c r="B82" t="str">
        <f>IFERROR(VLOOKUP(Q82,unified_reference_costs!$I$41:$J$69,2,FALSE),B81)</f>
        <v>\I:</v>
      </c>
      <c r="C82" t="str">
        <f>IFERROR(VLOOKUP(Q82,unified_reference_costs!$I$31:$J$40,2,FALSE),"*")</f>
        <v>efficiency</v>
      </c>
      <c r="D82">
        <f t="shared" si="10"/>
        <v>2022</v>
      </c>
      <c r="E82">
        <f t="shared" si="11"/>
        <v>1</v>
      </c>
      <c r="F82">
        <f t="shared" si="12"/>
        <v>1</v>
      </c>
      <c r="G82">
        <f t="shared" si="13"/>
        <v>1</v>
      </c>
      <c r="H82">
        <f t="shared" si="14"/>
        <v>1</v>
      </c>
      <c r="I82">
        <f t="shared" si="15"/>
        <v>1</v>
      </c>
      <c r="J82">
        <f t="shared" si="16"/>
        <v>1</v>
      </c>
      <c r="K82">
        <f t="shared" si="17"/>
        <v>1</v>
      </c>
      <c r="L82">
        <f t="shared" si="18"/>
        <v>1</v>
      </c>
      <c r="M82">
        <f t="shared" si="19"/>
        <v>1</v>
      </c>
      <c r="Q82" s="4" t="s">
        <v>12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</row>
    <row r="83" spans="2:26">
      <c r="B83" t="str">
        <f>IFERROR(VLOOKUP(Q83,unified_reference_costs!$I$41:$J$69,2,FALSE),B82)</f>
        <v>\I:</v>
      </c>
      <c r="C83" t="str">
        <f>IFERROR(VLOOKUP(Q83,unified_reference_costs!$I$31:$J$40,2,FALSE),"*")</f>
        <v>fixom</v>
      </c>
      <c r="D83">
        <f t="shared" si="10"/>
        <v>2022</v>
      </c>
      <c r="E83">
        <f t="shared" si="11"/>
        <v>105</v>
      </c>
      <c r="F83">
        <f t="shared" si="12"/>
        <v>110</v>
      </c>
      <c r="G83">
        <f t="shared" si="13"/>
        <v>70</v>
      </c>
      <c r="H83">
        <f t="shared" si="14"/>
        <v>75</v>
      </c>
      <c r="I83">
        <f t="shared" si="15"/>
        <v>165</v>
      </c>
      <c r="J83">
        <f t="shared" si="16"/>
        <v>115</v>
      </c>
      <c r="K83">
        <f t="shared" si="17"/>
        <v>70</v>
      </c>
      <c r="L83">
        <f t="shared" si="18"/>
        <v>120</v>
      </c>
      <c r="M83">
        <f t="shared" si="19"/>
        <v>110</v>
      </c>
      <c r="Q83" s="4" t="s">
        <v>10</v>
      </c>
      <c r="R83">
        <v>105</v>
      </c>
      <c r="S83">
        <v>110</v>
      </c>
      <c r="T83">
        <v>70</v>
      </c>
      <c r="U83">
        <v>75</v>
      </c>
      <c r="V83">
        <v>165</v>
      </c>
      <c r="W83">
        <v>115</v>
      </c>
      <c r="X83">
        <v>70</v>
      </c>
      <c r="Y83">
        <v>120</v>
      </c>
      <c r="Z83">
        <v>110</v>
      </c>
    </row>
    <row r="84" spans="2:26">
      <c r="B84" t="str">
        <f>IFERROR(VLOOKUP(Q84,unified_reference_costs!$I$41:$J$69,2,FALSE),B83)</f>
        <v>\I:</v>
      </c>
      <c r="C84" t="str">
        <f>IFERROR(VLOOKUP(Q84,unified_reference_costs!$I$31:$J$40,2,FALSE),"*")</f>
        <v>varom</v>
      </c>
      <c r="D84">
        <f t="shared" si="10"/>
        <v>2022</v>
      </c>
      <c r="E84">
        <f t="shared" si="11"/>
        <v>0</v>
      </c>
      <c r="F84">
        <f t="shared" si="12"/>
        <v>0</v>
      </c>
      <c r="G84">
        <f t="shared" si="13"/>
        <v>0</v>
      </c>
      <c r="H84">
        <f t="shared" si="14"/>
        <v>0</v>
      </c>
      <c r="I84">
        <f t="shared" si="15"/>
        <v>0</v>
      </c>
      <c r="J84">
        <f t="shared" si="16"/>
        <v>0</v>
      </c>
      <c r="K84">
        <f t="shared" si="17"/>
        <v>0</v>
      </c>
      <c r="L84">
        <f t="shared" si="18"/>
        <v>0</v>
      </c>
      <c r="M84">
        <f t="shared" si="19"/>
        <v>0</v>
      </c>
      <c r="Q84" s="4" t="s">
        <v>164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2:26">
      <c r="B85" t="str">
        <f>IFERROR(VLOOKUP(Q85,unified_reference_costs!$I$41:$J$69,2,FALSE),B84)</f>
        <v>\I:</v>
      </c>
      <c r="C85" t="str">
        <f>IFERROR(VLOOKUP(Q85,unified_reference_costs!$I$31:$J$40,2,FALSE),"*")</f>
        <v>*</v>
      </c>
      <c r="D85">
        <f t="shared" si="10"/>
        <v>2022</v>
      </c>
      <c r="E85" t="str">
        <f t="shared" si="11"/>
        <v/>
      </c>
      <c r="F85" t="str">
        <f t="shared" si="12"/>
        <v/>
      </c>
      <c r="G85" t="str">
        <f t="shared" si="13"/>
        <v/>
      </c>
      <c r="H85" t="str">
        <f t="shared" si="14"/>
        <v/>
      </c>
      <c r="I85" t="str">
        <f t="shared" si="15"/>
        <v/>
      </c>
      <c r="J85" t="str">
        <f t="shared" si="16"/>
        <v/>
      </c>
      <c r="K85" t="str">
        <f t="shared" si="17"/>
        <v/>
      </c>
      <c r="L85" t="str">
        <f t="shared" si="18"/>
        <v/>
      </c>
      <c r="M85" t="str">
        <f t="shared" si="19"/>
        <v/>
      </c>
      <c r="Q85" s="4" t="s">
        <v>45</v>
      </c>
    </row>
    <row r="86" spans="2:26">
      <c r="B86" t="str">
        <f>IFERROR(VLOOKUP(Q86,unified_reference_costs!$I$41:$J$69,2,FALSE),B85)</f>
        <v>\I:</v>
      </c>
      <c r="C86" t="str">
        <f>IFERROR(VLOOKUP(Q86,unified_reference_costs!$I$31:$J$40,2,FALSE),"*")</f>
        <v>*cf</v>
      </c>
      <c r="D86">
        <f t="shared" si="10"/>
        <v>2022</v>
      </c>
      <c r="E86">
        <f t="shared" si="11"/>
        <v>0.5</v>
      </c>
      <c r="F86">
        <f t="shared" si="12"/>
        <v>0.5</v>
      </c>
      <c r="G86">
        <f t="shared" si="13"/>
        <v>0.35</v>
      </c>
      <c r="H86">
        <f t="shared" si="14"/>
        <v>0.4</v>
      </c>
      <c r="I86">
        <f t="shared" si="15"/>
        <v>0.5</v>
      </c>
      <c r="J86">
        <f t="shared" si="16"/>
        <v>0.4</v>
      </c>
      <c r="K86">
        <f t="shared" si="17"/>
        <v>0.4</v>
      </c>
      <c r="L86">
        <f t="shared" si="18"/>
        <v>0.4</v>
      </c>
      <c r="M86">
        <f t="shared" si="19"/>
        <v>0.2</v>
      </c>
      <c r="Q86" s="8" t="s">
        <v>14</v>
      </c>
      <c r="R86" s="22">
        <v>0.5</v>
      </c>
      <c r="S86" s="22">
        <v>0.5</v>
      </c>
      <c r="T86" s="22">
        <v>0.35</v>
      </c>
      <c r="U86" s="22">
        <v>0.4</v>
      </c>
      <c r="V86" s="22">
        <v>0.5</v>
      </c>
      <c r="W86" s="22">
        <v>0.4</v>
      </c>
      <c r="X86" s="22">
        <v>0.4</v>
      </c>
      <c r="Y86" s="22">
        <v>0.4</v>
      </c>
      <c r="Z86" s="22">
        <v>0.2</v>
      </c>
    </row>
    <row r="87" spans="2:26">
      <c r="B87" t="str">
        <f>IFERROR(VLOOKUP(Q87,unified_reference_costs!$I$41:$J$69,2,FALSE),B86)</f>
        <v>\I:</v>
      </c>
      <c r="C87" t="str">
        <f>IFERROR(VLOOKUP(Q87,unified_reference_costs!$I$31:$J$40,2,FALSE),"*")</f>
        <v>invcost</v>
      </c>
      <c r="D87">
        <f t="shared" si="10"/>
        <v>2022</v>
      </c>
      <c r="E87">
        <f t="shared" si="11"/>
        <v>2100</v>
      </c>
      <c r="F87">
        <f t="shared" si="12"/>
        <v>2100</v>
      </c>
      <c r="G87">
        <f t="shared" si="13"/>
        <v>1600</v>
      </c>
      <c r="H87">
        <f t="shared" si="14"/>
        <v>2000</v>
      </c>
      <c r="I87">
        <f t="shared" si="15"/>
        <v>2400</v>
      </c>
      <c r="J87">
        <f t="shared" si="16"/>
        <v>2050</v>
      </c>
      <c r="K87">
        <f t="shared" si="17"/>
        <v>2650</v>
      </c>
      <c r="L87">
        <f t="shared" si="18"/>
        <v>2700</v>
      </c>
      <c r="M87">
        <f t="shared" si="19"/>
        <v>2150</v>
      </c>
      <c r="Q87" s="4" t="s">
        <v>6</v>
      </c>
      <c r="R87">
        <v>2100</v>
      </c>
      <c r="S87">
        <v>2100</v>
      </c>
      <c r="T87">
        <v>1600</v>
      </c>
      <c r="U87">
        <v>2000</v>
      </c>
      <c r="V87">
        <v>2400</v>
      </c>
      <c r="W87">
        <v>2050</v>
      </c>
      <c r="X87">
        <v>2650</v>
      </c>
      <c r="Y87">
        <v>2700</v>
      </c>
      <c r="Z87">
        <v>2150</v>
      </c>
    </row>
    <row r="88" spans="2:26">
      <c r="B88" t="str">
        <f>IFERROR(VLOOKUP(Q88,unified_reference_costs!$I$41:$J$69,2,FALSE),B87)</f>
        <v>\I:</v>
      </c>
      <c r="C88" t="str">
        <f>IFERROR(VLOOKUP(Q88,unified_reference_costs!$I$31:$J$40,2,FALSE),"*")</f>
        <v>efficiency</v>
      </c>
      <c r="D88">
        <f t="shared" si="10"/>
        <v>2022</v>
      </c>
      <c r="E88">
        <f t="shared" si="11"/>
        <v>1</v>
      </c>
      <c r="F88">
        <f t="shared" si="12"/>
        <v>1</v>
      </c>
      <c r="G88">
        <f t="shared" si="13"/>
        <v>1</v>
      </c>
      <c r="H88">
        <f t="shared" si="14"/>
        <v>1</v>
      </c>
      <c r="I88">
        <f t="shared" si="15"/>
        <v>1</v>
      </c>
      <c r="J88">
        <f t="shared" si="16"/>
        <v>1</v>
      </c>
      <c r="K88">
        <f t="shared" si="17"/>
        <v>1</v>
      </c>
      <c r="L88">
        <f t="shared" si="18"/>
        <v>1</v>
      </c>
      <c r="M88">
        <f t="shared" si="19"/>
        <v>1</v>
      </c>
      <c r="Q88" s="4" t="s">
        <v>12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</row>
    <row r="89" spans="2:26">
      <c r="B89" t="str">
        <f>IFERROR(VLOOKUP(Q89,unified_reference_costs!$I$41:$J$69,2,FALSE),B88)</f>
        <v>\I:</v>
      </c>
      <c r="C89" t="str">
        <f>IFERROR(VLOOKUP(Q89,unified_reference_costs!$I$31:$J$40,2,FALSE),"*")</f>
        <v>fixom</v>
      </c>
      <c r="D89">
        <f t="shared" si="10"/>
        <v>2022</v>
      </c>
      <c r="E89">
        <f t="shared" si="11"/>
        <v>50</v>
      </c>
      <c r="F89">
        <f t="shared" si="12"/>
        <v>55</v>
      </c>
      <c r="G89">
        <f t="shared" si="13"/>
        <v>40</v>
      </c>
      <c r="H89">
        <f t="shared" si="14"/>
        <v>50</v>
      </c>
      <c r="I89">
        <f t="shared" si="15"/>
        <v>60</v>
      </c>
      <c r="J89">
        <f t="shared" si="16"/>
        <v>50</v>
      </c>
      <c r="K89">
        <f t="shared" si="17"/>
        <v>60</v>
      </c>
      <c r="L89">
        <f t="shared" si="18"/>
        <v>65</v>
      </c>
      <c r="M89">
        <f t="shared" si="19"/>
        <v>55</v>
      </c>
      <c r="Q89" s="4" t="s">
        <v>10</v>
      </c>
      <c r="R89">
        <v>50</v>
      </c>
      <c r="S89">
        <v>55</v>
      </c>
      <c r="T89">
        <v>40</v>
      </c>
      <c r="U89">
        <v>50</v>
      </c>
      <c r="V89">
        <v>60</v>
      </c>
      <c r="W89">
        <v>50</v>
      </c>
      <c r="X89">
        <v>60</v>
      </c>
      <c r="Y89">
        <v>65</v>
      </c>
      <c r="Z89">
        <v>55</v>
      </c>
    </row>
    <row r="90" spans="2:26">
      <c r="B90" t="str">
        <f>IFERROR(VLOOKUP(Q90,unified_reference_costs!$I$41:$J$69,2,FALSE),B89)</f>
        <v>\I:</v>
      </c>
      <c r="C90" t="str">
        <f>IFERROR(VLOOKUP(Q90,unified_reference_costs!$I$31:$J$40,2,FALSE),"*")</f>
        <v>varom</v>
      </c>
      <c r="D90">
        <f t="shared" si="10"/>
        <v>2022</v>
      </c>
      <c r="E90">
        <f t="shared" si="11"/>
        <v>0</v>
      </c>
      <c r="F90">
        <f t="shared" si="12"/>
        <v>0</v>
      </c>
      <c r="G90">
        <f t="shared" si="13"/>
        <v>0</v>
      </c>
      <c r="H90">
        <f t="shared" si="14"/>
        <v>0</v>
      </c>
      <c r="I90">
        <f t="shared" si="15"/>
        <v>0</v>
      </c>
      <c r="J90">
        <f t="shared" si="16"/>
        <v>0</v>
      </c>
      <c r="K90">
        <f t="shared" si="17"/>
        <v>0</v>
      </c>
      <c r="L90">
        <f t="shared" si="18"/>
        <v>0</v>
      </c>
      <c r="M90">
        <f t="shared" si="19"/>
        <v>0</v>
      </c>
      <c r="Q90" s="4" t="s">
        <v>164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2:26">
      <c r="B91" t="str">
        <f>IFERROR(VLOOKUP(Q91,unified_reference_costs!$I$41:$J$69,2,FALSE),B90)</f>
        <v>\I:</v>
      </c>
      <c r="C91" t="str">
        <f>IFERROR(VLOOKUP(Q91,unified_reference_costs!$I$31:$J$40,2,FALSE),"*")</f>
        <v>*</v>
      </c>
      <c r="D91">
        <f t="shared" si="10"/>
        <v>2022</v>
      </c>
      <c r="E91" t="str">
        <f t="shared" si="11"/>
        <v/>
      </c>
      <c r="F91" t="str">
        <f t="shared" si="12"/>
        <v/>
      </c>
      <c r="G91" t="str">
        <f t="shared" si="13"/>
        <v/>
      </c>
      <c r="H91" t="str">
        <f t="shared" si="14"/>
        <v/>
      </c>
      <c r="I91" t="str">
        <f t="shared" si="15"/>
        <v/>
      </c>
      <c r="J91" t="str">
        <f t="shared" si="16"/>
        <v/>
      </c>
      <c r="K91" t="str">
        <f t="shared" si="17"/>
        <v/>
      </c>
      <c r="L91" t="str">
        <f t="shared" si="18"/>
        <v/>
      </c>
      <c r="M91" t="str">
        <f t="shared" si="19"/>
        <v/>
      </c>
      <c r="Q91" s="8" t="s">
        <v>46</v>
      </c>
      <c r="R91" s="22"/>
      <c r="S91" s="22"/>
      <c r="T91" s="22"/>
      <c r="U91" s="22"/>
      <c r="V91" s="22"/>
      <c r="W91" s="22"/>
      <c r="X91" s="22"/>
      <c r="Y91" s="22"/>
      <c r="Z91" s="22"/>
    </row>
    <row r="92" spans="2:26">
      <c r="B92" t="str">
        <f>IFERROR(VLOOKUP(Q92,unified_reference_costs!$I$41:$J$69,2,FALSE),B91)</f>
        <v>\I:</v>
      </c>
      <c r="C92" t="str">
        <f>IFERROR(VLOOKUP(Q92,unified_reference_costs!$I$31:$J$40,2,FALSE),"*")</f>
        <v>*cf</v>
      </c>
      <c r="D92">
        <f t="shared" si="10"/>
        <v>2022</v>
      </c>
      <c r="E92">
        <f t="shared" si="11"/>
        <v>0.5</v>
      </c>
      <c r="F92">
        <f t="shared" si="12"/>
        <v>0.5</v>
      </c>
      <c r="G92">
        <f t="shared" si="13"/>
        <v>0.35</v>
      </c>
      <c r="H92">
        <f t="shared" si="14"/>
        <v>0.35</v>
      </c>
      <c r="I92">
        <f t="shared" si="15"/>
        <v>0.2</v>
      </c>
      <c r="J92">
        <f t="shared" si="16"/>
        <v>0.4</v>
      </c>
      <c r="K92">
        <f t="shared" si="17"/>
        <v>0.25</v>
      </c>
      <c r="L92">
        <f t="shared" si="18"/>
        <v>0.3</v>
      </c>
      <c r="M92">
        <f t="shared" si="19"/>
        <v>0.15</v>
      </c>
      <c r="Q92" s="4" t="s">
        <v>14</v>
      </c>
      <c r="R92">
        <v>0.5</v>
      </c>
      <c r="S92">
        <v>0.5</v>
      </c>
      <c r="T92">
        <v>0.35</v>
      </c>
      <c r="U92">
        <v>0.35</v>
      </c>
      <c r="V92">
        <v>0.2</v>
      </c>
      <c r="W92">
        <v>0.4</v>
      </c>
      <c r="X92">
        <v>0.25</v>
      </c>
      <c r="Y92">
        <v>0.3</v>
      </c>
      <c r="Z92">
        <v>0.15</v>
      </c>
    </row>
    <row r="93" spans="2:26">
      <c r="B93" t="str">
        <f>IFERROR(VLOOKUP(Q93,unified_reference_costs!$I$41:$J$69,2,FALSE),B92)</f>
        <v>\I:</v>
      </c>
      <c r="C93" t="str">
        <f>IFERROR(VLOOKUP(Q93,unified_reference_costs!$I$31:$J$40,2,FALSE),"*")</f>
        <v>invcost</v>
      </c>
      <c r="D93">
        <f t="shared" si="10"/>
        <v>2022</v>
      </c>
      <c r="E93">
        <f t="shared" si="11"/>
        <v>3300</v>
      </c>
      <c r="F93">
        <f t="shared" si="12"/>
        <v>3350</v>
      </c>
      <c r="G93">
        <f t="shared" si="13"/>
        <v>2000</v>
      </c>
      <c r="H93">
        <f t="shared" si="14"/>
        <v>3050</v>
      </c>
      <c r="I93">
        <f t="shared" si="15"/>
        <v>3550</v>
      </c>
      <c r="J93">
        <f t="shared" si="16"/>
        <v>3500</v>
      </c>
      <c r="K93">
        <f t="shared" si="17"/>
        <v>3900</v>
      </c>
      <c r="L93">
        <f t="shared" si="18"/>
        <v>4050</v>
      </c>
      <c r="M93">
        <f t="shared" si="19"/>
        <v>3400</v>
      </c>
      <c r="Q93" s="4" t="s">
        <v>6</v>
      </c>
      <c r="R93">
        <v>3300</v>
      </c>
      <c r="S93">
        <v>3350</v>
      </c>
      <c r="T93">
        <v>2000</v>
      </c>
      <c r="U93">
        <v>3050</v>
      </c>
      <c r="V93">
        <v>3550</v>
      </c>
      <c r="W93">
        <v>3500</v>
      </c>
      <c r="X93">
        <v>3900</v>
      </c>
      <c r="Y93">
        <v>4050</v>
      </c>
      <c r="Z93">
        <v>3400</v>
      </c>
    </row>
    <row r="94" spans="2:26">
      <c r="B94" t="str">
        <f>IFERROR(VLOOKUP(Q94,unified_reference_costs!$I$41:$J$69,2,FALSE),B93)</f>
        <v>\I:</v>
      </c>
      <c r="C94" t="str">
        <f>IFERROR(VLOOKUP(Q94,unified_reference_costs!$I$31:$J$40,2,FALSE),"*")</f>
        <v>efficiency</v>
      </c>
      <c r="D94">
        <f t="shared" si="10"/>
        <v>2022</v>
      </c>
      <c r="E94">
        <f t="shared" si="11"/>
        <v>1</v>
      </c>
      <c r="F94">
        <f t="shared" si="12"/>
        <v>1</v>
      </c>
      <c r="G94">
        <f t="shared" si="13"/>
        <v>1</v>
      </c>
      <c r="H94">
        <f t="shared" si="14"/>
        <v>1</v>
      </c>
      <c r="I94">
        <f t="shared" si="15"/>
        <v>1</v>
      </c>
      <c r="J94">
        <f t="shared" si="16"/>
        <v>1</v>
      </c>
      <c r="K94">
        <f t="shared" si="17"/>
        <v>1</v>
      </c>
      <c r="L94">
        <f t="shared" si="18"/>
        <v>1</v>
      </c>
      <c r="M94">
        <f t="shared" si="19"/>
        <v>1</v>
      </c>
      <c r="Q94" s="4" t="s">
        <v>12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</row>
    <row r="95" spans="2:26">
      <c r="B95" t="str">
        <f>IFERROR(VLOOKUP(Q95,unified_reference_costs!$I$41:$J$69,2,FALSE),B94)</f>
        <v>\I:</v>
      </c>
      <c r="C95" t="str">
        <f>IFERROR(VLOOKUP(Q95,unified_reference_costs!$I$31:$J$40,2,FALSE),"*")</f>
        <v>fixom</v>
      </c>
      <c r="D95">
        <f t="shared" si="10"/>
        <v>2022</v>
      </c>
      <c r="E95">
        <f t="shared" si="11"/>
        <v>65</v>
      </c>
      <c r="F95">
        <f t="shared" si="12"/>
        <v>65</v>
      </c>
      <c r="G95">
        <f t="shared" si="13"/>
        <v>40</v>
      </c>
      <c r="H95">
        <f t="shared" si="14"/>
        <v>60</v>
      </c>
      <c r="I95">
        <f t="shared" si="15"/>
        <v>70</v>
      </c>
      <c r="J95">
        <f t="shared" si="16"/>
        <v>70</v>
      </c>
      <c r="K95">
        <f t="shared" si="17"/>
        <v>80</v>
      </c>
      <c r="L95">
        <f t="shared" si="18"/>
        <v>80</v>
      </c>
      <c r="M95">
        <f t="shared" si="19"/>
        <v>70</v>
      </c>
      <c r="Q95" s="4" t="s">
        <v>10</v>
      </c>
      <c r="R95">
        <v>65</v>
      </c>
      <c r="S95">
        <v>65</v>
      </c>
      <c r="T95">
        <v>40</v>
      </c>
      <c r="U95">
        <v>60</v>
      </c>
      <c r="V95">
        <v>70</v>
      </c>
      <c r="W95">
        <v>70</v>
      </c>
      <c r="X95">
        <v>80</v>
      </c>
      <c r="Y95">
        <v>80</v>
      </c>
      <c r="Z95">
        <v>70</v>
      </c>
    </row>
    <row r="96" spans="2:26">
      <c r="B96" t="str">
        <f>IFERROR(VLOOKUP(Q96,unified_reference_costs!$I$41:$J$69,2,FALSE),B95)</f>
        <v>\I:</v>
      </c>
      <c r="C96" t="str">
        <f>IFERROR(VLOOKUP(Q96,unified_reference_costs!$I$31:$J$40,2,FALSE),"*")</f>
        <v>varom</v>
      </c>
      <c r="D96">
        <f t="shared" si="10"/>
        <v>2022</v>
      </c>
      <c r="E96">
        <f t="shared" si="11"/>
        <v>0.27800000000000002</v>
      </c>
      <c r="F96">
        <f t="shared" si="12"/>
        <v>0.27800000000000002</v>
      </c>
      <c r="G96">
        <f t="shared" si="13"/>
        <v>0.27800000000000002</v>
      </c>
      <c r="H96">
        <f t="shared" si="14"/>
        <v>0.27800000000000002</v>
      </c>
      <c r="I96">
        <f t="shared" si="15"/>
        <v>0.27800000000000002</v>
      </c>
      <c r="J96">
        <f t="shared" si="16"/>
        <v>0.27800000000000002</v>
      </c>
      <c r="K96">
        <f t="shared" si="17"/>
        <v>0.27800000000000002</v>
      </c>
      <c r="L96">
        <f t="shared" si="18"/>
        <v>0.27800000000000002</v>
      </c>
      <c r="M96">
        <f t="shared" si="19"/>
        <v>0.27800000000000002</v>
      </c>
      <c r="Q96" s="8" t="s">
        <v>164</v>
      </c>
      <c r="R96" s="22">
        <v>0.27800000000000002</v>
      </c>
      <c r="S96" s="22">
        <v>0.27800000000000002</v>
      </c>
      <c r="T96" s="22">
        <v>0.27800000000000002</v>
      </c>
      <c r="U96" s="22">
        <v>0.27800000000000002</v>
      </c>
      <c r="V96" s="22">
        <v>0.27800000000000002</v>
      </c>
      <c r="W96" s="22">
        <v>0.27800000000000002</v>
      </c>
      <c r="X96" s="22">
        <v>0.27800000000000002</v>
      </c>
      <c r="Y96" s="22">
        <v>0.27800000000000002</v>
      </c>
      <c r="Z96" s="22">
        <v>0.27800000000000002</v>
      </c>
    </row>
    <row r="97" spans="2:26">
      <c r="B97" t="str">
        <f>IFERROR(VLOOKUP(Q97,unified_reference_costs!$I$41:$J$69,2,FALSE),B96)</f>
        <v>en_biomass</v>
      </c>
      <c r="C97" t="str">
        <f>IFERROR(VLOOKUP(Q97,unified_reference_costs!$I$31:$J$40,2,FALSE),"*")</f>
        <v>*</v>
      </c>
      <c r="D97">
        <f t="shared" si="10"/>
        <v>2022</v>
      </c>
      <c r="E97" t="str">
        <f t="shared" si="11"/>
        <v/>
      </c>
      <c r="F97" t="str">
        <f t="shared" si="12"/>
        <v/>
      </c>
      <c r="G97" t="str">
        <f t="shared" si="13"/>
        <v/>
      </c>
      <c r="H97" t="str">
        <f t="shared" si="14"/>
        <v/>
      </c>
      <c r="I97" t="str">
        <f t="shared" si="15"/>
        <v/>
      </c>
      <c r="J97" t="str">
        <f t="shared" si="16"/>
        <v/>
      </c>
      <c r="K97" t="str">
        <f t="shared" si="17"/>
        <v/>
      </c>
      <c r="L97" t="str">
        <f t="shared" si="18"/>
        <v/>
      </c>
      <c r="M97" t="str">
        <f t="shared" si="19"/>
        <v/>
      </c>
      <c r="Q97" s="4" t="s">
        <v>47</v>
      </c>
    </row>
    <row r="98" spans="2:26">
      <c r="B98" t="str">
        <f>IFERROR(VLOOKUP(Q98,unified_reference_costs!$I$41:$J$69,2,FALSE),B97)</f>
        <v>en_biomass</v>
      </c>
      <c r="C98" t="str">
        <f>IFERROR(VLOOKUP(Q98,unified_reference_costs!$I$31:$J$40,2,FALSE),"*")</f>
        <v>*cf</v>
      </c>
      <c r="D98">
        <f t="shared" si="10"/>
        <v>2022</v>
      </c>
      <c r="E98">
        <f t="shared" si="11"/>
        <v>0.5</v>
      </c>
      <c r="F98">
        <f t="shared" si="12"/>
        <v>0.4</v>
      </c>
      <c r="G98">
        <f t="shared" si="13"/>
        <v>0.7</v>
      </c>
      <c r="H98">
        <f t="shared" si="14"/>
        <v>0.6</v>
      </c>
      <c r="I98">
        <f t="shared" si="15"/>
        <v>0.6</v>
      </c>
      <c r="J98">
        <f t="shared" si="16"/>
        <v>0.5</v>
      </c>
      <c r="K98">
        <f t="shared" si="17"/>
        <v>0.6</v>
      </c>
      <c r="L98">
        <f t="shared" si="18"/>
        <v>0.5</v>
      </c>
      <c r="M98">
        <f t="shared" si="19"/>
        <v>0.8</v>
      </c>
      <c r="Q98" s="4" t="s">
        <v>14</v>
      </c>
      <c r="R98">
        <v>0.5</v>
      </c>
      <c r="S98">
        <v>0.4</v>
      </c>
      <c r="T98">
        <v>0.7</v>
      </c>
      <c r="U98">
        <v>0.6</v>
      </c>
      <c r="V98">
        <v>0.6</v>
      </c>
      <c r="W98">
        <v>0.5</v>
      </c>
      <c r="X98">
        <v>0.6</v>
      </c>
      <c r="Y98">
        <v>0.5</v>
      </c>
      <c r="Z98">
        <v>0.8</v>
      </c>
    </row>
    <row r="99" spans="2:26">
      <c r="B99" t="str">
        <f>IFERROR(VLOOKUP(Q99,unified_reference_costs!$I$41:$J$69,2,FALSE),B98)</f>
        <v>en_biomass</v>
      </c>
      <c r="C99" t="str">
        <f>IFERROR(VLOOKUP(Q99,unified_reference_costs!$I$31:$J$40,2,FALSE),"*")</f>
        <v>invcost</v>
      </c>
      <c r="D99">
        <f t="shared" si="10"/>
        <v>2022</v>
      </c>
      <c r="E99">
        <f t="shared" si="11"/>
        <v>2150</v>
      </c>
      <c r="F99">
        <f t="shared" si="12"/>
        <v>2200</v>
      </c>
      <c r="G99">
        <f t="shared" si="13"/>
        <v>1600</v>
      </c>
      <c r="H99">
        <f t="shared" si="14"/>
        <v>2150</v>
      </c>
      <c r="I99">
        <f t="shared" si="15"/>
        <v>2350</v>
      </c>
      <c r="J99">
        <f t="shared" si="16"/>
        <v>2250</v>
      </c>
      <c r="K99">
        <f t="shared" si="17"/>
        <v>2400</v>
      </c>
      <c r="L99">
        <f t="shared" si="18"/>
        <v>2500</v>
      </c>
      <c r="M99">
        <f t="shared" si="19"/>
        <v>2300</v>
      </c>
      <c r="Q99" s="4" t="s">
        <v>6</v>
      </c>
      <c r="R99">
        <v>2150</v>
      </c>
      <c r="S99">
        <v>2200</v>
      </c>
      <c r="T99">
        <v>1600</v>
      </c>
      <c r="U99">
        <v>2150</v>
      </c>
      <c r="V99">
        <v>2350</v>
      </c>
      <c r="W99">
        <v>2250</v>
      </c>
      <c r="X99">
        <v>2400</v>
      </c>
      <c r="Y99">
        <v>2500</v>
      </c>
      <c r="Z99">
        <v>2300</v>
      </c>
    </row>
    <row r="100" spans="2:26">
      <c r="B100" t="str">
        <f>IFERROR(VLOOKUP(Q100,unified_reference_costs!$I$41:$J$69,2,FALSE),B99)</f>
        <v>en_biomass</v>
      </c>
      <c r="C100" t="str">
        <f>IFERROR(VLOOKUP(Q100,unified_reference_costs!$I$31:$J$40,2,FALSE),"*")</f>
        <v>efficiency</v>
      </c>
      <c r="D100">
        <f t="shared" si="10"/>
        <v>2022</v>
      </c>
      <c r="E100">
        <f t="shared" si="11"/>
        <v>0.35</v>
      </c>
      <c r="F100">
        <f t="shared" si="12"/>
        <v>0.35</v>
      </c>
      <c r="G100">
        <f t="shared" si="13"/>
        <v>0.35</v>
      </c>
      <c r="H100">
        <f t="shared" si="14"/>
        <v>0.35</v>
      </c>
      <c r="I100">
        <f t="shared" si="15"/>
        <v>0.35</v>
      </c>
      <c r="J100">
        <f t="shared" si="16"/>
        <v>0.35</v>
      </c>
      <c r="K100">
        <f t="shared" si="17"/>
        <v>0.35</v>
      </c>
      <c r="L100">
        <f t="shared" si="18"/>
        <v>0.35</v>
      </c>
      <c r="M100">
        <f t="shared" si="19"/>
        <v>0.35</v>
      </c>
      <c r="Q100" s="4" t="s">
        <v>12</v>
      </c>
      <c r="R100">
        <v>0.35</v>
      </c>
      <c r="S100">
        <v>0.35</v>
      </c>
      <c r="T100">
        <v>0.35</v>
      </c>
      <c r="U100">
        <v>0.35</v>
      </c>
      <c r="V100">
        <v>0.35</v>
      </c>
      <c r="W100">
        <v>0.35</v>
      </c>
      <c r="X100">
        <v>0.35</v>
      </c>
      <c r="Y100">
        <v>0.35</v>
      </c>
      <c r="Z100">
        <v>0.35</v>
      </c>
    </row>
    <row r="101" spans="2:26">
      <c r="B101" t="str">
        <f>IFERROR(VLOOKUP(Q101,unified_reference_costs!$I$41:$J$69,2,FALSE),B100)</f>
        <v>en_biomass</v>
      </c>
      <c r="C101" t="str">
        <f>IFERROR(VLOOKUP(Q101,unified_reference_costs!$I$31:$J$40,2,FALSE),"*")</f>
        <v>fixom</v>
      </c>
      <c r="D101">
        <f t="shared" si="10"/>
        <v>2022</v>
      </c>
      <c r="E101">
        <f t="shared" si="11"/>
        <v>75</v>
      </c>
      <c r="F101">
        <f t="shared" si="12"/>
        <v>75</v>
      </c>
      <c r="G101">
        <f t="shared" si="13"/>
        <v>55</v>
      </c>
      <c r="H101">
        <f t="shared" si="14"/>
        <v>75</v>
      </c>
      <c r="I101">
        <f t="shared" si="15"/>
        <v>75</v>
      </c>
      <c r="J101">
        <f t="shared" si="16"/>
        <v>80</v>
      </c>
      <c r="K101">
        <f t="shared" si="17"/>
        <v>85</v>
      </c>
      <c r="L101">
        <f t="shared" si="18"/>
        <v>85</v>
      </c>
      <c r="M101">
        <f t="shared" si="19"/>
        <v>80</v>
      </c>
      <c r="Q101" s="8" t="s">
        <v>10</v>
      </c>
      <c r="R101" s="22">
        <v>75</v>
      </c>
      <c r="S101" s="22">
        <v>75</v>
      </c>
      <c r="T101" s="22">
        <v>55</v>
      </c>
      <c r="U101" s="22">
        <v>75</v>
      </c>
      <c r="V101" s="22">
        <v>75</v>
      </c>
      <c r="W101" s="22">
        <v>80</v>
      </c>
      <c r="X101" s="22">
        <v>85</v>
      </c>
      <c r="Y101" s="22">
        <v>85</v>
      </c>
      <c r="Z101" s="22">
        <v>80</v>
      </c>
    </row>
    <row r="102" spans="2:26">
      <c r="B102" t="str">
        <f>IFERROR(VLOOKUP(Q102,unified_reference_costs!$I$41:$J$69,2,FALSE),B101)</f>
        <v>en_biomass</v>
      </c>
      <c r="C102" t="str">
        <f>IFERROR(VLOOKUP(Q102,unified_reference_costs!$I$31:$J$40,2,FALSE),"*")</f>
        <v>varom</v>
      </c>
      <c r="D102">
        <f t="shared" si="10"/>
        <v>2022</v>
      </c>
      <c r="E102">
        <f t="shared" si="11"/>
        <v>1.4570000000000001</v>
      </c>
      <c r="F102">
        <f t="shared" si="12"/>
        <v>1.4570000000000001</v>
      </c>
      <c r="G102">
        <f t="shared" si="13"/>
        <v>1.4570000000000001</v>
      </c>
      <c r="H102">
        <f t="shared" si="14"/>
        <v>1.4570000000000001</v>
      </c>
      <c r="I102">
        <f t="shared" si="15"/>
        <v>1.4570000000000001</v>
      </c>
      <c r="J102">
        <f t="shared" si="16"/>
        <v>1.4570000000000001</v>
      </c>
      <c r="K102">
        <f t="shared" si="17"/>
        <v>1.4570000000000001</v>
      </c>
      <c r="L102">
        <f t="shared" si="18"/>
        <v>1.4570000000000001</v>
      </c>
      <c r="M102">
        <f t="shared" si="19"/>
        <v>1.4570000000000001</v>
      </c>
      <c r="Q102" s="4" t="s">
        <v>164</v>
      </c>
      <c r="R102">
        <v>1.4570000000000001</v>
      </c>
      <c r="S102">
        <v>1.4570000000000001</v>
      </c>
      <c r="T102">
        <v>1.4570000000000001</v>
      </c>
      <c r="U102">
        <v>1.4570000000000001</v>
      </c>
      <c r="V102">
        <v>1.4570000000000001</v>
      </c>
      <c r="W102">
        <v>1.4570000000000001</v>
      </c>
      <c r="X102">
        <v>1.4570000000000001</v>
      </c>
      <c r="Y102">
        <v>1.4570000000000001</v>
      </c>
      <c r="Z102">
        <v>1.4570000000000001</v>
      </c>
    </row>
    <row r="103" spans="2:26">
      <c r="B103" t="str">
        <f>IFERROR(VLOOKUP(Q103,unified_reference_costs!$I$41:$J$69,2,FALSE),B102)</f>
        <v>\I:</v>
      </c>
      <c r="C103" t="str">
        <f>IFERROR(VLOOKUP(Q103,unified_reference_costs!$I$31:$J$40,2,FALSE),"*")</f>
        <v>*</v>
      </c>
      <c r="D103">
        <f t="shared" si="10"/>
        <v>2022</v>
      </c>
      <c r="E103" t="str">
        <f t="shared" si="11"/>
        <v/>
      </c>
      <c r="F103" t="str">
        <f t="shared" si="12"/>
        <v/>
      </c>
      <c r="G103" t="str">
        <f t="shared" si="13"/>
        <v/>
      </c>
      <c r="H103" t="str">
        <f t="shared" si="14"/>
        <v/>
      </c>
      <c r="I103" t="str">
        <f t="shared" si="15"/>
        <v/>
      </c>
      <c r="J103" t="str">
        <f t="shared" si="16"/>
        <v/>
      </c>
      <c r="K103" t="str">
        <f t="shared" si="17"/>
        <v/>
      </c>
      <c r="L103" t="str">
        <f t="shared" si="18"/>
        <v/>
      </c>
      <c r="M103" t="str">
        <f t="shared" si="19"/>
        <v/>
      </c>
      <c r="Q103" s="4" t="s">
        <v>48</v>
      </c>
    </row>
    <row r="104" spans="2:26">
      <c r="B104" t="str">
        <f>IFERROR(VLOOKUP(Q104,unified_reference_costs!$I$41:$J$69,2,FALSE),B103)</f>
        <v>\I:</v>
      </c>
      <c r="C104" t="str">
        <f>IFERROR(VLOOKUP(Q104,unified_reference_costs!$I$31:$J$40,2,FALSE),"*")</f>
        <v>*cf</v>
      </c>
      <c r="D104">
        <f t="shared" si="10"/>
        <v>2022</v>
      </c>
      <c r="E104">
        <f t="shared" si="11"/>
        <v>0.4</v>
      </c>
      <c r="F104">
        <f t="shared" si="12"/>
        <v>0.7</v>
      </c>
      <c r="G104">
        <f t="shared" si="13"/>
        <v>0.8</v>
      </c>
      <c r="H104">
        <f t="shared" si="14"/>
        <v>0.6</v>
      </c>
      <c r="I104">
        <f t="shared" si="15"/>
        <v>0.8</v>
      </c>
      <c r="J104">
        <f t="shared" si="16"/>
        <v>0.6</v>
      </c>
      <c r="K104">
        <f t="shared" si="17"/>
        <v>0.6</v>
      </c>
      <c r="L104">
        <f t="shared" si="18"/>
        <v>0.7</v>
      </c>
      <c r="M104">
        <f t="shared" si="19"/>
        <v>0.6</v>
      </c>
      <c r="Q104" s="4" t="s">
        <v>14</v>
      </c>
      <c r="R104">
        <v>0.4</v>
      </c>
      <c r="S104">
        <v>0.7</v>
      </c>
      <c r="T104">
        <v>0.8</v>
      </c>
      <c r="U104">
        <v>0.6</v>
      </c>
      <c r="V104">
        <v>0.8</v>
      </c>
      <c r="W104">
        <v>0.6</v>
      </c>
      <c r="X104">
        <v>0.6</v>
      </c>
      <c r="Y104">
        <v>0.7</v>
      </c>
      <c r="Z104">
        <v>0.6</v>
      </c>
    </row>
    <row r="105" spans="2:26">
      <c r="B105" t="str">
        <f>IFERROR(VLOOKUP(Q105,unified_reference_costs!$I$41:$J$69,2,FALSE),B104)</f>
        <v>\I:</v>
      </c>
      <c r="C105" t="str">
        <f>IFERROR(VLOOKUP(Q105,unified_reference_costs!$I$31:$J$40,2,FALSE),"*")</f>
        <v>invcost</v>
      </c>
      <c r="D105">
        <f t="shared" si="10"/>
        <v>2022</v>
      </c>
      <c r="E105">
        <f t="shared" si="11"/>
        <v>525</v>
      </c>
      <c r="F105">
        <f t="shared" si="12"/>
        <v>550</v>
      </c>
      <c r="G105">
        <f t="shared" si="13"/>
        <v>400</v>
      </c>
      <c r="H105">
        <f t="shared" si="14"/>
        <v>550</v>
      </c>
      <c r="I105">
        <f t="shared" si="15"/>
        <v>600</v>
      </c>
      <c r="J105">
        <f t="shared" si="16"/>
        <v>575</v>
      </c>
      <c r="K105">
        <f t="shared" si="17"/>
        <v>600</v>
      </c>
      <c r="L105">
        <f t="shared" si="18"/>
        <v>625</v>
      </c>
      <c r="M105">
        <f t="shared" si="19"/>
        <v>575</v>
      </c>
      <c r="Q105" s="4" t="s">
        <v>6</v>
      </c>
      <c r="R105">
        <v>525</v>
      </c>
      <c r="S105">
        <v>550</v>
      </c>
      <c r="T105">
        <v>400</v>
      </c>
      <c r="U105">
        <v>550</v>
      </c>
      <c r="V105">
        <v>600</v>
      </c>
      <c r="W105">
        <v>575</v>
      </c>
      <c r="X105">
        <v>600</v>
      </c>
      <c r="Y105">
        <v>625</v>
      </c>
      <c r="Z105">
        <v>575</v>
      </c>
    </row>
    <row r="106" spans="2:26">
      <c r="B106" t="str">
        <f>IFERROR(VLOOKUP(Q106,unified_reference_costs!$I$41:$J$69,2,FALSE),B105)</f>
        <v>\I:</v>
      </c>
      <c r="C106" t="str">
        <f>IFERROR(VLOOKUP(Q106,unified_reference_costs!$I$31:$J$40,2,FALSE),"*")</f>
        <v>efficiency</v>
      </c>
      <c r="D106">
        <f t="shared" si="10"/>
        <v>2022</v>
      </c>
      <c r="E106">
        <f t="shared" si="11"/>
        <v>0.37</v>
      </c>
      <c r="F106">
        <f t="shared" si="12"/>
        <v>0.37</v>
      </c>
      <c r="G106">
        <f t="shared" si="13"/>
        <v>0.37</v>
      </c>
      <c r="H106">
        <f t="shared" si="14"/>
        <v>0.37</v>
      </c>
      <c r="I106">
        <f t="shared" si="15"/>
        <v>0.37</v>
      </c>
      <c r="J106">
        <f t="shared" si="16"/>
        <v>0.37</v>
      </c>
      <c r="K106">
        <f t="shared" si="17"/>
        <v>0.37</v>
      </c>
      <c r="L106">
        <f t="shared" si="18"/>
        <v>0.37</v>
      </c>
      <c r="M106">
        <f t="shared" si="19"/>
        <v>0.37</v>
      </c>
      <c r="Q106" s="8" t="s">
        <v>12</v>
      </c>
      <c r="R106" s="22">
        <v>0.37</v>
      </c>
      <c r="S106" s="22">
        <v>0.37</v>
      </c>
      <c r="T106" s="22">
        <v>0.37</v>
      </c>
      <c r="U106" s="22">
        <v>0.37</v>
      </c>
      <c r="V106" s="22">
        <v>0.37</v>
      </c>
      <c r="W106" s="22">
        <v>0.37</v>
      </c>
      <c r="X106" s="22">
        <v>0.37</v>
      </c>
      <c r="Y106" s="22">
        <v>0.37</v>
      </c>
      <c r="Z106" s="22">
        <v>0.37</v>
      </c>
    </row>
    <row r="107" spans="2:26">
      <c r="B107" t="str">
        <f>IFERROR(VLOOKUP(Q107,unified_reference_costs!$I$41:$J$69,2,FALSE),B106)</f>
        <v>\I:</v>
      </c>
      <c r="C107" t="str">
        <f>IFERROR(VLOOKUP(Q107,unified_reference_costs!$I$31:$J$40,2,FALSE),"*")</f>
        <v>fixom</v>
      </c>
      <c r="D107">
        <f t="shared" si="10"/>
        <v>2022</v>
      </c>
      <c r="E107">
        <f t="shared" si="11"/>
        <v>20</v>
      </c>
      <c r="F107">
        <f t="shared" si="12"/>
        <v>20</v>
      </c>
      <c r="G107">
        <f t="shared" si="13"/>
        <v>15</v>
      </c>
      <c r="H107">
        <f t="shared" si="14"/>
        <v>20</v>
      </c>
      <c r="I107">
        <f t="shared" si="15"/>
        <v>25</v>
      </c>
      <c r="J107">
        <f t="shared" si="16"/>
        <v>20</v>
      </c>
      <c r="K107">
        <f t="shared" si="17"/>
        <v>25</v>
      </c>
      <c r="L107">
        <f t="shared" si="18"/>
        <v>25</v>
      </c>
      <c r="M107">
        <f t="shared" si="19"/>
        <v>20</v>
      </c>
      <c r="Q107" s="4" t="s">
        <v>10</v>
      </c>
      <c r="R107">
        <v>20</v>
      </c>
      <c r="S107">
        <v>20</v>
      </c>
      <c r="T107">
        <v>15</v>
      </c>
      <c r="U107">
        <v>20</v>
      </c>
      <c r="V107">
        <v>25</v>
      </c>
      <c r="W107">
        <v>20</v>
      </c>
      <c r="X107">
        <v>25</v>
      </c>
      <c r="Y107">
        <v>25</v>
      </c>
      <c r="Z107">
        <v>20</v>
      </c>
    </row>
    <row r="108" spans="2:26">
      <c r="B108" t="str">
        <f>IFERROR(VLOOKUP(Q108,unified_reference_costs!$I$41:$J$69,2,FALSE),B107)</f>
        <v>\I:</v>
      </c>
      <c r="C108" t="str">
        <f>IFERROR(VLOOKUP(Q108,unified_reference_costs!$I$31:$J$40,2,FALSE),"*")</f>
        <v>varom</v>
      </c>
      <c r="D108">
        <f t="shared" si="10"/>
        <v>2022</v>
      </c>
      <c r="E108">
        <f t="shared" si="11"/>
        <v>1.111</v>
      </c>
      <c r="F108">
        <f t="shared" si="12"/>
        <v>1.111</v>
      </c>
      <c r="G108">
        <f t="shared" si="13"/>
        <v>1.111</v>
      </c>
      <c r="H108">
        <f t="shared" si="14"/>
        <v>1.111</v>
      </c>
      <c r="I108">
        <f t="shared" si="15"/>
        <v>1.111</v>
      </c>
      <c r="J108">
        <f t="shared" si="16"/>
        <v>1.111</v>
      </c>
      <c r="K108">
        <f t="shared" si="17"/>
        <v>1.111</v>
      </c>
      <c r="L108">
        <f t="shared" si="18"/>
        <v>1.111</v>
      </c>
      <c r="M108">
        <f t="shared" si="19"/>
        <v>1.111</v>
      </c>
      <c r="Q108" s="4" t="s">
        <v>164</v>
      </c>
      <c r="R108">
        <v>1.111</v>
      </c>
      <c r="S108">
        <v>1.111</v>
      </c>
      <c r="T108">
        <v>1.111</v>
      </c>
      <c r="U108">
        <v>1.111</v>
      </c>
      <c r="V108">
        <v>1.111</v>
      </c>
      <c r="W108">
        <v>1.111</v>
      </c>
      <c r="X108">
        <v>1.111</v>
      </c>
      <c r="Y108">
        <v>1.111</v>
      </c>
      <c r="Z108">
        <v>1.111</v>
      </c>
    </row>
    <row r="109" spans="2:26">
      <c r="B109" t="str">
        <f>IFERROR(VLOOKUP(Q109,unified_reference_costs!$I$41:$J$69,2,FALSE),B108)</f>
        <v>en_biomass_chp</v>
      </c>
      <c r="C109" t="str">
        <f>IFERROR(VLOOKUP(Q109,unified_reference_costs!$I$31:$J$40,2,FALSE),"*")</f>
        <v>*</v>
      </c>
      <c r="D109">
        <f t="shared" si="10"/>
        <v>2022</v>
      </c>
      <c r="E109" t="str">
        <f t="shared" si="11"/>
        <v/>
      </c>
      <c r="F109" t="str">
        <f t="shared" si="12"/>
        <v/>
      </c>
      <c r="G109" t="str">
        <f t="shared" si="13"/>
        <v/>
      </c>
      <c r="H109" t="str">
        <f t="shared" si="14"/>
        <v/>
      </c>
      <c r="I109" t="str">
        <f t="shared" si="15"/>
        <v/>
      </c>
      <c r="J109" t="str">
        <f t="shared" si="16"/>
        <v/>
      </c>
      <c r="K109" t="str">
        <f t="shared" si="17"/>
        <v/>
      </c>
      <c r="L109" t="str">
        <f t="shared" si="18"/>
        <v/>
      </c>
      <c r="M109" t="str">
        <f t="shared" si="19"/>
        <v/>
      </c>
      <c r="Q109" s="4" t="s">
        <v>49</v>
      </c>
    </row>
    <row r="110" spans="2:26">
      <c r="B110" t="str">
        <f>IFERROR(VLOOKUP(Q110,unified_reference_costs!$I$41:$J$69,2,FALSE),B109)</f>
        <v>en_biomass_chp</v>
      </c>
      <c r="C110" t="str">
        <f>IFERROR(VLOOKUP(Q110,unified_reference_costs!$I$31:$J$40,2,FALSE),"*")</f>
        <v>*cf</v>
      </c>
      <c r="D110">
        <f t="shared" si="10"/>
        <v>2022</v>
      </c>
      <c r="E110">
        <f t="shared" si="11"/>
        <v>0.5</v>
      </c>
      <c r="F110">
        <f t="shared" si="12"/>
        <v>0.5</v>
      </c>
      <c r="G110">
        <f t="shared" si="13"/>
        <v>0.6</v>
      </c>
      <c r="H110">
        <f t="shared" si="14"/>
        <v>0.5</v>
      </c>
      <c r="I110">
        <f t="shared" si="15"/>
        <v>0.6</v>
      </c>
      <c r="J110">
        <f t="shared" si="16"/>
        <v>0.4</v>
      </c>
      <c r="K110">
        <f t="shared" si="17"/>
        <v>0.7</v>
      </c>
      <c r="L110">
        <f t="shared" si="18"/>
        <v>0.5</v>
      </c>
      <c r="M110">
        <f t="shared" si="19"/>
        <v>0.5</v>
      </c>
      <c r="Q110" s="4" t="s">
        <v>14</v>
      </c>
      <c r="R110">
        <v>0.5</v>
      </c>
      <c r="S110">
        <v>0.5</v>
      </c>
      <c r="T110">
        <v>0.6</v>
      </c>
      <c r="U110">
        <v>0.5</v>
      </c>
      <c r="V110">
        <v>0.6</v>
      </c>
      <c r="W110">
        <v>0.4</v>
      </c>
      <c r="X110">
        <v>0.7</v>
      </c>
      <c r="Y110">
        <v>0.5</v>
      </c>
      <c r="Z110">
        <v>0.5</v>
      </c>
    </row>
    <row r="111" spans="2:26">
      <c r="B111" t="str">
        <f>IFERROR(VLOOKUP(Q111,unified_reference_costs!$I$41:$J$69,2,FALSE),B110)</f>
        <v>en_biomass_chp</v>
      </c>
      <c r="C111" t="str">
        <f>IFERROR(VLOOKUP(Q111,unified_reference_costs!$I$31:$J$40,2,FALSE),"*")</f>
        <v>invcost</v>
      </c>
      <c r="D111">
        <f t="shared" si="10"/>
        <v>2022</v>
      </c>
      <c r="E111">
        <f t="shared" si="11"/>
        <v>2850</v>
      </c>
      <c r="F111">
        <f t="shared" si="12"/>
        <v>2900</v>
      </c>
      <c r="G111">
        <f t="shared" si="13"/>
        <v>2500</v>
      </c>
      <c r="H111">
        <f t="shared" si="14"/>
        <v>2800</v>
      </c>
      <c r="I111">
        <f t="shared" si="15"/>
        <v>3900</v>
      </c>
      <c r="J111">
        <f t="shared" si="16"/>
        <v>3500</v>
      </c>
      <c r="K111">
        <f t="shared" si="17"/>
        <v>3750</v>
      </c>
      <c r="L111">
        <f t="shared" si="18"/>
        <v>4050</v>
      </c>
      <c r="M111">
        <f t="shared" si="19"/>
        <v>2950</v>
      </c>
      <c r="Q111" s="8" t="s">
        <v>6</v>
      </c>
      <c r="R111" s="22">
        <v>2850</v>
      </c>
      <c r="S111" s="22">
        <v>2900</v>
      </c>
      <c r="T111" s="22">
        <v>2500</v>
      </c>
      <c r="U111" s="22">
        <v>2800</v>
      </c>
      <c r="V111" s="22">
        <v>3900</v>
      </c>
      <c r="W111" s="22">
        <v>3500</v>
      </c>
      <c r="X111" s="22">
        <v>3750</v>
      </c>
      <c r="Y111" s="22">
        <v>4050</v>
      </c>
      <c r="Z111" s="22">
        <v>2950</v>
      </c>
    </row>
    <row r="112" spans="2:26">
      <c r="B112" t="str">
        <f>IFERROR(VLOOKUP(Q112,unified_reference_costs!$I$41:$J$69,2,FALSE),B111)</f>
        <v>en_biomass_chp</v>
      </c>
      <c r="C112" t="str">
        <f>IFERROR(VLOOKUP(Q112,unified_reference_costs!$I$31:$J$40,2,FALSE),"*")</f>
        <v>efficiency</v>
      </c>
      <c r="D112">
        <f t="shared" si="10"/>
        <v>2022</v>
      </c>
      <c r="E112">
        <f t="shared" si="11"/>
        <v>0.38500000000000001</v>
      </c>
      <c r="F112">
        <f t="shared" si="12"/>
        <v>0.38500000000000001</v>
      </c>
      <c r="G112">
        <f t="shared" si="13"/>
        <v>0.38500000000000001</v>
      </c>
      <c r="H112">
        <f t="shared" si="14"/>
        <v>0.38500000000000001</v>
      </c>
      <c r="I112">
        <f t="shared" si="15"/>
        <v>0.38500000000000001</v>
      </c>
      <c r="J112">
        <f t="shared" si="16"/>
        <v>0.38500000000000001</v>
      </c>
      <c r="K112">
        <f t="shared" si="17"/>
        <v>0.38500000000000001</v>
      </c>
      <c r="L112">
        <f t="shared" si="18"/>
        <v>0.38500000000000001</v>
      </c>
      <c r="M112">
        <f t="shared" si="19"/>
        <v>0.38500000000000001</v>
      </c>
      <c r="Q112" s="4" t="s">
        <v>12</v>
      </c>
      <c r="R112">
        <v>0.38500000000000001</v>
      </c>
      <c r="S112">
        <v>0.38500000000000001</v>
      </c>
      <c r="T112">
        <v>0.38500000000000001</v>
      </c>
      <c r="U112">
        <v>0.38500000000000001</v>
      </c>
      <c r="V112">
        <v>0.38500000000000001</v>
      </c>
      <c r="W112">
        <v>0.38500000000000001</v>
      </c>
      <c r="X112">
        <v>0.38500000000000001</v>
      </c>
      <c r="Y112">
        <v>0.38500000000000001</v>
      </c>
      <c r="Z112">
        <v>0.38500000000000001</v>
      </c>
    </row>
    <row r="113" spans="2:26">
      <c r="B113" t="str">
        <f>IFERROR(VLOOKUP(Q113,unified_reference_costs!$I$41:$J$69,2,FALSE),B112)</f>
        <v>en_biomass_chp</v>
      </c>
      <c r="C113" t="str">
        <f>IFERROR(VLOOKUP(Q113,unified_reference_costs!$I$31:$J$40,2,FALSE),"*")</f>
        <v>fixom</v>
      </c>
      <c r="D113">
        <f t="shared" si="10"/>
        <v>2022</v>
      </c>
      <c r="E113">
        <f t="shared" si="11"/>
        <v>105</v>
      </c>
      <c r="F113">
        <f t="shared" si="12"/>
        <v>110</v>
      </c>
      <c r="G113">
        <f t="shared" si="13"/>
        <v>95</v>
      </c>
      <c r="H113">
        <f t="shared" si="14"/>
        <v>105</v>
      </c>
      <c r="I113">
        <f t="shared" si="15"/>
        <v>145</v>
      </c>
      <c r="J113">
        <f t="shared" si="16"/>
        <v>130</v>
      </c>
      <c r="K113">
        <f t="shared" si="17"/>
        <v>140</v>
      </c>
      <c r="L113">
        <f t="shared" si="18"/>
        <v>150</v>
      </c>
      <c r="M113">
        <f t="shared" si="19"/>
        <v>110</v>
      </c>
      <c r="Q113" s="4" t="s">
        <v>10</v>
      </c>
      <c r="R113">
        <v>105</v>
      </c>
      <c r="S113">
        <v>110</v>
      </c>
      <c r="T113">
        <v>95</v>
      </c>
      <c r="U113">
        <v>105</v>
      </c>
      <c r="V113">
        <v>145</v>
      </c>
      <c r="W113">
        <v>130</v>
      </c>
      <c r="X113">
        <v>140</v>
      </c>
      <c r="Y113">
        <v>150</v>
      </c>
      <c r="Z113">
        <v>110</v>
      </c>
    </row>
    <row r="114" spans="2:26">
      <c r="B114" t="str">
        <f>IFERROR(VLOOKUP(Q114,unified_reference_costs!$I$41:$J$69,2,FALSE),B113)</f>
        <v>en_biomass_chp</v>
      </c>
      <c r="C114" t="str">
        <f>IFERROR(VLOOKUP(Q114,unified_reference_costs!$I$31:$J$40,2,FALSE),"*")</f>
        <v>varom</v>
      </c>
      <c r="D114">
        <f t="shared" si="10"/>
        <v>2022</v>
      </c>
      <c r="E114">
        <f t="shared" si="11"/>
        <v>1.667</v>
      </c>
      <c r="F114">
        <f t="shared" si="12"/>
        <v>1.667</v>
      </c>
      <c r="G114">
        <f t="shared" si="13"/>
        <v>1.667</v>
      </c>
      <c r="H114">
        <f t="shared" si="14"/>
        <v>1.667</v>
      </c>
      <c r="I114">
        <f t="shared" si="15"/>
        <v>1.667</v>
      </c>
      <c r="J114">
        <f t="shared" si="16"/>
        <v>1.667</v>
      </c>
      <c r="K114">
        <f t="shared" si="17"/>
        <v>1.667</v>
      </c>
      <c r="L114">
        <f t="shared" si="18"/>
        <v>1.667</v>
      </c>
      <c r="M114">
        <f t="shared" si="19"/>
        <v>1.667</v>
      </c>
      <c r="Q114" s="4" t="s">
        <v>164</v>
      </c>
      <c r="R114">
        <v>1.667</v>
      </c>
      <c r="S114">
        <v>1.667</v>
      </c>
      <c r="T114">
        <v>1.667</v>
      </c>
      <c r="U114">
        <v>1.667</v>
      </c>
      <c r="V114">
        <v>1.667</v>
      </c>
      <c r="W114">
        <v>1.667</v>
      </c>
      <c r="X114">
        <v>1.667</v>
      </c>
      <c r="Y114">
        <v>1.667</v>
      </c>
      <c r="Z114">
        <v>1.667</v>
      </c>
    </row>
    <row r="115" spans="2:26">
      <c r="B115" t="str">
        <f>IFERROR(VLOOKUP(Q115,unified_reference_costs!$I$41:$J$69,2,FALSE),B114)</f>
        <v>en_biomass_ccs</v>
      </c>
      <c r="C115" t="str">
        <f>IFERROR(VLOOKUP(Q115,unified_reference_costs!$I$31:$J$40,2,FALSE),"*")</f>
        <v>*</v>
      </c>
      <c r="D115">
        <f t="shared" si="10"/>
        <v>2022</v>
      </c>
      <c r="E115" t="str">
        <f t="shared" si="11"/>
        <v/>
      </c>
      <c r="F115" t="str">
        <f t="shared" si="12"/>
        <v/>
      </c>
      <c r="G115" t="str">
        <f t="shared" si="13"/>
        <v/>
      </c>
      <c r="H115" t="str">
        <f t="shared" si="14"/>
        <v/>
      </c>
      <c r="I115" t="str">
        <f t="shared" si="15"/>
        <v/>
      </c>
      <c r="J115" t="str">
        <f t="shared" si="16"/>
        <v/>
      </c>
      <c r="K115" t="str">
        <f t="shared" si="17"/>
        <v/>
      </c>
      <c r="L115" t="str">
        <f t="shared" si="18"/>
        <v/>
      </c>
      <c r="M115" t="str">
        <f t="shared" si="19"/>
        <v/>
      </c>
      <c r="Q115" s="8" t="s">
        <v>50</v>
      </c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2:26">
      <c r="B116" t="str">
        <f>IFERROR(VLOOKUP(Q116,unified_reference_costs!$I$41:$J$69,2,FALSE),B115)</f>
        <v>en_biomass_ccs</v>
      </c>
      <c r="C116" t="str">
        <f>IFERROR(VLOOKUP(Q116,unified_reference_costs!$I$31:$J$40,2,FALSE),"*")</f>
        <v>*cf</v>
      </c>
      <c r="D116">
        <f t="shared" si="10"/>
        <v>2022</v>
      </c>
      <c r="E116">
        <f t="shared" si="11"/>
        <v>0.5</v>
      </c>
      <c r="F116">
        <f t="shared" si="12"/>
        <v>0.4</v>
      </c>
      <c r="G116">
        <f t="shared" si="13"/>
        <v>0.7</v>
      </c>
      <c r="H116">
        <f t="shared" si="14"/>
        <v>0.6</v>
      </c>
      <c r="I116">
        <f t="shared" si="15"/>
        <v>0.6</v>
      </c>
      <c r="J116">
        <f t="shared" si="16"/>
        <v>0.5</v>
      </c>
      <c r="K116">
        <f t="shared" si="17"/>
        <v>0.6</v>
      </c>
      <c r="L116">
        <f t="shared" si="18"/>
        <v>0.5</v>
      </c>
      <c r="M116">
        <f t="shared" si="19"/>
        <v>0.8</v>
      </c>
      <c r="Q116" s="4" t="s">
        <v>14</v>
      </c>
      <c r="R116">
        <v>0.5</v>
      </c>
      <c r="S116">
        <v>0.4</v>
      </c>
      <c r="T116">
        <v>0.7</v>
      </c>
      <c r="U116">
        <v>0.6</v>
      </c>
      <c r="V116">
        <v>0.6</v>
      </c>
      <c r="W116">
        <v>0.5</v>
      </c>
      <c r="X116">
        <v>0.6</v>
      </c>
      <c r="Y116">
        <v>0.5</v>
      </c>
      <c r="Z116">
        <v>0.8</v>
      </c>
    </row>
    <row r="117" spans="2:26">
      <c r="B117" t="str">
        <f>IFERROR(VLOOKUP(Q117,unified_reference_costs!$I$41:$J$69,2,FALSE),B116)</f>
        <v>en_biomass_ccs</v>
      </c>
      <c r="C117" t="str">
        <f>IFERROR(VLOOKUP(Q117,unified_reference_costs!$I$31:$J$40,2,FALSE),"*")</f>
        <v>invcost</v>
      </c>
      <c r="D117">
        <f t="shared" si="10"/>
        <v>2022</v>
      </c>
      <c r="E117">
        <f t="shared" si="11"/>
        <v>4900</v>
      </c>
      <c r="F117">
        <f t="shared" si="12"/>
        <v>4550</v>
      </c>
      <c r="G117">
        <f t="shared" si="13"/>
        <v>4150</v>
      </c>
      <c r="H117">
        <f t="shared" si="14"/>
        <v>4700</v>
      </c>
      <c r="I117">
        <f t="shared" si="15"/>
        <v>5700</v>
      </c>
      <c r="J117">
        <f t="shared" si="16"/>
        <v>5200</v>
      </c>
      <c r="K117">
        <f t="shared" si="17"/>
        <v>5750</v>
      </c>
      <c r="L117">
        <f t="shared" si="18"/>
        <v>5850</v>
      </c>
      <c r="M117">
        <f t="shared" si="19"/>
        <v>5150</v>
      </c>
      <c r="Q117" s="4" t="s">
        <v>6</v>
      </c>
      <c r="R117">
        <v>4900</v>
      </c>
      <c r="S117">
        <v>4550</v>
      </c>
      <c r="T117">
        <v>4150</v>
      </c>
      <c r="U117">
        <v>4700</v>
      </c>
      <c r="V117">
        <v>5700</v>
      </c>
      <c r="W117">
        <v>5200</v>
      </c>
      <c r="X117">
        <v>5750</v>
      </c>
      <c r="Y117">
        <v>5850</v>
      </c>
      <c r="Z117">
        <v>5150</v>
      </c>
    </row>
    <row r="118" spans="2:26">
      <c r="B118" t="str">
        <f>IFERROR(VLOOKUP(Q118,unified_reference_costs!$I$41:$J$69,2,FALSE),B117)</f>
        <v>en_biomass_ccs</v>
      </c>
      <c r="C118" t="str">
        <f>IFERROR(VLOOKUP(Q118,unified_reference_costs!$I$31:$J$40,2,FALSE),"*")</f>
        <v>efficiency</v>
      </c>
      <c r="D118">
        <f t="shared" si="10"/>
        <v>2022</v>
      </c>
      <c r="E118">
        <f t="shared" si="11"/>
        <v>0.3</v>
      </c>
      <c r="F118">
        <f t="shared" si="12"/>
        <v>0.3</v>
      </c>
      <c r="G118">
        <f t="shared" si="13"/>
        <v>0.3</v>
      </c>
      <c r="H118">
        <f t="shared" si="14"/>
        <v>0.3</v>
      </c>
      <c r="I118">
        <f t="shared" si="15"/>
        <v>0.3</v>
      </c>
      <c r="J118">
        <f t="shared" si="16"/>
        <v>0.3</v>
      </c>
      <c r="K118">
        <f t="shared" si="17"/>
        <v>0.3</v>
      </c>
      <c r="L118">
        <f t="shared" si="18"/>
        <v>0.3</v>
      </c>
      <c r="M118">
        <f t="shared" si="19"/>
        <v>0.3</v>
      </c>
      <c r="Q118" s="4" t="s">
        <v>12</v>
      </c>
      <c r="R118">
        <v>0.3</v>
      </c>
      <c r="S118">
        <v>0.3</v>
      </c>
      <c r="T118">
        <v>0.3</v>
      </c>
      <c r="U118">
        <v>0.3</v>
      </c>
      <c r="V118">
        <v>0.3</v>
      </c>
      <c r="W118">
        <v>0.3</v>
      </c>
      <c r="X118">
        <v>0.3</v>
      </c>
      <c r="Y118">
        <v>0.3</v>
      </c>
      <c r="Z118">
        <v>0.3</v>
      </c>
    </row>
    <row r="119" spans="2:26">
      <c r="B119" t="str">
        <f>IFERROR(VLOOKUP(Q119,unified_reference_costs!$I$41:$J$69,2,FALSE),B118)</f>
        <v>en_biomass_ccs</v>
      </c>
      <c r="C119" t="str">
        <f>IFERROR(VLOOKUP(Q119,unified_reference_costs!$I$31:$J$40,2,FALSE),"*")</f>
        <v>fixom</v>
      </c>
      <c r="D119">
        <f t="shared" si="10"/>
        <v>2022</v>
      </c>
      <c r="E119">
        <f t="shared" si="11"/>
        <v>170</v>
      </c>
      <c r="F119">
        <f t="shared" si="12"/>
        <v>160</v>
      </c>
      <c r="G119">
        <f t="shared" si="13"/>
        <v>145</v>
      </c>
      <c r="H119">
        <f t="shared" si="14"/>
        <v>165</v>
      </c>
      <c r="I119">
        <f t="shared" si="15"/>
        <v>195</v>
      </c>
      <c r="J119">
        <f t="shared" si="16"/>
        <v>180</v>
      </c>
      <c r="K119">
        <f t="shared" si="17"/>
        <v>205</v>
      </c>
      <c r="L119">
        <f t="shared" si="18"/>
        <v>200</v>
      </c>
      <c r="M119">
        <f t="shared" si="19"/>
        <v>180</v>
      </c>
      <c r="Q119" s="7" t="s">
        <v>10</v>
      </c>
      <c r="R119" s="21">
        <v>170</v>
      </c>
      <c r="S119" s="21">
        <v>160</v>
      </c>
      <c r="T119" s="21">
        <v>145</v>
      </c>
      <c r="U119" s="21">
        <v>165</v>
      </c>
      <c r="V119" s="21">
        <v>195</v>
      </c>
      <c r="W119" s="21">
        <v>180</v>
      </c>
      <c r="X119" s="21">
        <v>205</v>
      </c>
      <c r="Y119" s="21">
        <v>200</v>
      </c>
      <c r="Z119" s="21">
        <v>180</v>
      </c>
    </row>
    <row r="120" spans="2:26">
      <c r="B120" t="str">
        <f>IFERROR(VLOOKUP(Q120,unified_reference_costs!$I$41:$J$69,2,FALSE),B119)</f>
        <v>en_biomass_ccs</v>
      </c>
      <c r="C120" t="str">
        <f>IFERROR(VLOOKUP(Q120,unified_reference_costs!$I$31:$J$40,2,FALSE),"*")</f>
        <v>varom</v>
      </c>
      <c r="D120">
        <f t="shared" si="10"/>
        <v>2022</v>
      </c>
      <c r="E120">
        <f t="shared" si="11"/>
        <v>2.3610000000000002</v>
      </c>
      <c r="F120">
        <f t="shared" si="12"/>
        <v>2.3610000000000002</v>
      </c>
      <c r="G120">
        <f t="shared" si="13"/>
        <v>2.3610000000000002</v>
      </c>
      <c r="H120">
        <f t="shared" si="14"/>
        <v>2.3610000000000002</v>
      </c>
      <c r="I120">
        <f t="shared" si="15"/>
        <v>2.3610000000000002</v>
      </c>
      <c r="J120">
        <f t="shared" si="16"/>
        <v>2.3610000000000002</v>
      </c>
      <c r="K120">
        <f t="shared" si="17"/>
        <v>2.3610000000000002</v>
      </c>
      <c r="L120">
        <f t="shared" si="18"/>
        <v>2.3610000000000002</v>
      </c>
      <c r="M120">
        <f t="shared" si="19"/>
        <v>2.3610000000000002</v>
      </c>
      <c r="Q120" s="8" t="s">
        <v>164</v>
      </c>
      <c r="R120" s="22">
        <v>2.3610000000000002</v>
      </c>
      <c r="S120" s="22">
        <v>2.3610000000000002</v>
      </c>
      <c r="T120" s="22">
        <v>2.3610000000000002</v>
      </c>
      <c r="U120" s="22">
        <v>2.3610000000000002</v>
      </c>
      <c r="V120" s="22">
        <v>2.3610000000000002</v>
      </c>
      <c r="W120" s="22">
        <v>2.3610000000000002</v>
      </c>
      <c r="X120" s="22">
        <v>2.3610000000000002</v>
      </c>
      <c r="Y120" s="22">
        <v>2.3610000000000002</v>
      </c>
      <c r="Z120" s="22">
        <v>2.3610000000000002</v>
      </c>
    </row>
    <row r="121" spans="2:26">
      <c r="B121" t="str">
        <f>IFERROR(VLOOKUP(Q121,unified_reference_costs!$I$41:$J$69,2,FALSE),B120)</f>
        <v>\I:</v>
      </c>
      <c r="C121" t="str">
        <f>IFERROR(VLOOKUP(Q121,unified_reference_costs!$I$31:$J$40,2,FALSE),"*")</f>
        <v>*</v>
      </c>
      <c r="D121">
        <f t="shared" si="10"/>
        <v>2022</v>
      </c>
      <c r="E121" t="str">
        <f t="shared" si="11"/>
        <v/>
      </c>
      <c r="F121" t="str">
        <f t="shared" si="12"/>
        <v/>
      </c>
      <c r="G121" t="str">
        <f t="shared" si="13"/>
        <v/>
      </c>
      <c r="H121" t="str">
        <f t="shared" si="14"/>
        <v/>
      </c>
      <c r="I121" t="str">
        <f t="shared" si="15"/>
        <v/>
      </c>
      <c r="J121" t="str">
        <f t="shared" si="16"/>
        <v/>
      </c>
      <c r="K121" t="str">
        <f t="shared" si="17"/>
        <v/>
      </c>
      <c r="L121" t="str">
        <f t="shared" si="18"/>
        <v/>
      </c>
      <c r="M121" t="str">
        <f t="shared" si="19"/>
        <v/>
      </c>
      <c r="Q121" s="4" t="s">
        <v>51</v>
      </c>
    </row>
    <row r="122" spans="2:26">
      <c r="B122" t="str">
        <f>IFERROR(VLOOKUP(Q122,unified_reference_costs!$I$41:$J$69,2,FALSE),B121)</f>
        <v>\I:</v>
      </c>
      <c r="C122" t="str">
        <f>IFERROR(VLOOKUP(Q122,unified_reference_costs!$I$31:$J$40,2,FALSE),"*")</f>
        <v>*cf</v>
      </c>
      <c r="D122">
        <f t="shared" si="10"/>
        <v>2022</v>
      </c>
      <c r="E122">
        <f t="shared" si="11"/>
        <v>0.3</v>
      </c>
      <c r="F122">
        <f t="shared" si="12"/>
        <v>0.28000000000000003</v>
      </c>
      <c r="G122">
        <f t="shared" si="13"/>
        <v>0.28000000000000003</v>
      </c>
      <c r="H122">
        <f t="shared" si="14"/>
        <v>0.26</v>
      </c>
      <c r="I122" t="str">
        <f t="shared" si="15"/>
        <v/>
      </c>
      <c r="J122" t="str">
        <f t="shared" si="16"/>
        <v/>
      </c>
      <c r="K122">
        <f t="shared" si="17"/>
        <v>0.3</v>
      </c>
      <c r="L122">
        <f t="shared" si="18"/>
        <v>0.28000000000000003</v>
      </c>
      <c r="M122">
        <f t="shared" si="19"/>
        <v>0.3</v>
      </c>
      <c r="Q122" s="4" t="s">
        <v>14</v>
      </c>
      <c r="R122">
        <v>0.3</v>
      </c>
      <c r="S122">
        <v>0.28000000000000003</v>
      </c>
      <c r="T122">
        <v>0.28000000000000003</v>
      </c>
      <c r="U122">
        <v>0.26</v>
      </c>
      <c r="X122">
        <v>0.3</v>
      </c>
      <c r="Y122">
        <v>0.28000000000000003</v>
      </c>
      <c r="Z122">
        <v>0.3</v>
      </c>
    </row>
    <row r="123" spans="2:26">
      <c r="B123" t="str">
        <f>IFERROR(VLOOKUP(Q123,unified_reference_costs!$I$41:$J$69,2,FALSE),B122)</f>
        <v>\I:</v>
      </c>
      <c r="C123" t="str">
        <f>IFERROR(VLOOKUP(Q123,unified_reference_costs!$I$31:$J$40,2,FALSE),"*")</f>
        <v>invcost</v>
      </c>
      <c r="D123">
        <f t="shared" si="10"/>
        <v>2022</v>
      </c>
      <c r="E123">
        <f t="shared" si="11"/>
        <v>5050</v>
      </c>
      <c r="F123">
        <f t="shared" si="12"/>
        <v>5350</v>
      </c>
      <c r="G123">
        <f t="shared" si="13"/>
        <v>4900</v>
      </c>
      <c r="H123">
        <f t="shared" si="14"/>
        <v>5700</v>
      </c>
      <c r="I123" t="str">
        <f t="shared" si="15"/>
        <v/>
      </c>
      <c r="J123" t="str">
        <f t="shared" si="16"/>
        <v/>
      </c>
      <c r="K123">
        <f t="shared" si="17"/>
        <v>5650</v>
      </c>
      <c r="L123">
        <f t="shared" si="18"/>
        <v>6500</v>
      </c>
      <c r="M123">
        <f t="shared" si="19"/>
        <v>5250</v>
      </c>
      <c r="Q123" s="4" t="s">
        <v>6</v>
      </c>
      <c r="R123">
        <v>5050</v>
      </c>
      <c r="S123">
        <v>5350</v>
      </c>
      <c r="T123">
        <v>4900</v>
      </c>
      <c r="U123">
        <v>5700</v>
      </c>
      <c r="X123">
        <v>5650</v>
      </c>
      <c r="Y123">
        <v>6500</v>
      </c>
      <c r="Z123">
        <v>5250</v>
      </c>
    </row>
    <row r="124" spans="2:26">
      <c r="B124" t="str">
        <f>IFERROR(VLOOKUP(Q124,unified_reference_costs!$I$41:$J$69,2,FALSE),B123)</f>
        <v>\I:</v>
      </c>
      <c r="C124" t="str">
        <f>IFERROR(VLOOKUP(Q124,unified_reference_costs!$I$31:$J$40,2,FALSE),"*")</f>
        <v>efficiency</v>
      </c>
      <c r="D124">
        <f t="shared" si="10"/>
        <v>2022</v>
      </c>
      <c r="E124">
        <f t="shared" si="11"/>
        <v>0.4</v>
      </c>
      <c r="F124">
        <f t="shared" si="12"/>
        <v>0.4</v>
      </c>
      <c r="G124">
        <f t="shared" si="13"/>
        <v>0.4</v>
      </c>
      <c r="H124">
        <f t="shared" si="14"/>
        <v>0.4</v>
      </c>
      <c r="I124" t="str">
        <f t="shared" si="15"/>
        <v/>
      </c>
      <c r="J124" t="str">
        <f t="shared" si="16"/>
        <v/>
      </c>
      <c r="K124">
        <f t="shared" si="17"/>
        <v>0.4</v>
      </c>
      <c r="L124">
        <f t="shared" si="18"/>
        <v>0.4</v>
      </c>
      <c r="M124">
        <f t="shared" si="19"/>
        <v>0.4</v>
      </c>
      <c r="Q124" s="8" t="s">
        <v>12</v>
      </c>
      <c r="R124" s="22">
        <v>0.4</v>
      </c>
      <c r="S124" s="22">
        <v>0.4</v>
      </c>
      <c r="T124" s="22">
        <v>0.4</v>
      </c>
      <c r="U124" s="22">
        <v>0.4</v>
      </c>
      <c r="V124" s="22"/>
      <c r="W124" s="22"/>
      <c r="X124" s="22">
        <v>0.4</v>
      </c>
      <c r="Y124" s="22">
        <v>0.4</v>
      </c>
      <c r="Z124" s="22">
        <v>0.4</v>
      </c>
    </row>
    <row r="125" spans="2:26">
      <c r="B125" t="str">
        <f>IFERROR(VLOOKUP(Q125,unified_reference_costs!$I$41:$J$69,2,FALSE),B124)</f>
        <v>\I:</v>
      </c>
      <c r="C125" t="str">
        <f>IFERROR(VLOOKUP(Q125,unified_reference_costs!$I$31:$J$40,2,FALSE),"*")</f>
        <v>fixom</v>
      </c>
      <c r="D125">
        <f t="shared" si="10"/>
        <v>2022</v>
      </c>
      <c r="E125">
        <f t="shared" si="11"/>
        <v>200</v>
      </c>
      <c r="F125">
        <f t="shared" si="12"/>
        <v>210</v>
      </c>
      <c r="G125">
        <f t="shared" si="13"/>
        <v>200</v>
      </c>
      <c r="H125">
        <f t="shared" si="14"/>
        <v>230</v>
      </c>
      <c r="I125" t="str">
        <f t="shared" si="15"/>
        <v/>
      </c>
      <c r="J125" t="str">
        <f t="shared" si="16"/>
        <v/>
      </c>
      <c r="K125">
        <f t="shared" si="17"/>
        <v>230</v>
      </c>
      <c r="L125">
        <f t="shared" si="18"/>
        <v>260</v>
      </c>
      <c r="M125">
        <f t="shared" si="19"/>
        <v>210</v>
      </c>
      <c r="Q125" s="4" t="s">
        <v>10</v>
      </c>
      <c r="R125">
        <v>200</v>
      </c>
      <c r="S125">
        <v>210</v>
      </c>
      <c r="T125">
        <v>200</v>
      </c>
      <c r="U125">
        <v>230</v>
      </c>
      <c r="X125">
        <v>230</v>
      </c>
      <c r="Y125">
        <v>260</v>
      </c>
      <c r="Z125">
        <v>210</v>
      </c>
    </row>
    <row r="126" spans="2:26">
      <c r="B126" t="str">
        <f>IFERROR(VLOOKUP(Q126,unified_reference_costs!$I$41:$J$69,2,FALSE),B125)</f>
        <v>\I:</v>
      </c>
      <c r="C126" t="str">
        <f>IFERROR(VLOOKUP(Q126,unified_reference_costs!$I$31:$J$40,2,FALSE),"*")</f>
        <v>varom</v>
      </c>
      <c r="D126">
        <f t="shared" si="10"/>
        <v>2022</v>
      </c>
      <c r="E126">
        <f t="shared" si="11"/>
        <v>1.099</v>
      </c>
      <c r="F126">
        <f t="shared" si="12"/>
        <v>1.099</v>
      </c>
      <c r="G126">
        <f t="shared" si="13"/>
        <v>1.099</v>
      </c>
      <c r="H126">
        <f t="shared" si="14"/>
        <v>1.099</v>
      </c>
      <c r="I126">
        <f t="shared" si="15"/>
        <v>1.099</v>
      </c>
      <c r="J126">
        <f t="shared" si="16"/>
        <v>1.099</v>
      </c>
      <c r="K126">
        <f t="shared" si="17"/>
        <v>1.099</v>
      </c>
      <c r="L126">
        <f t="shared" si="18"/>
        <v>1.099</v>
      </c>
      <c r="M126">
        <f t="shared" si="19"/>
        <v>1.099</v>
      </c>
      <c r="Q126" s="4" t="s">
        <v>164</v>
      </c>
      <c r="R126">
        <v>1.099</v>
      </c>
      <c r="S126">
        <v>1.099</v>
      </c>
      <c r="T126">
        <v>1.099</v>
      </c>
      <c r="U126">
        <v>1.099</v>
      </c>
      <c r="V126">
        <v>1.099</v>
      </c>
      <c r="W126">
        <v>1.099</v>
      </c>
      <c r="X126">
        <v>1.099</v>
      </c>
      <c r="Y126">
        <v>1.099</v>
      </c>
      <c r="Z126">
        <v>1.099</v>
      </c>
    </row>
    <row r="127" spans="2:26">
      <c r="B127" t="str">
        <f>IFERROR(VLOOKUP(Q127,unified_reference_costs!$I$41:$J$69,2,FALSE),B126)</f>
        <v>\I:</v>
      </c>
      <c r="C127" t="str">
        <f>IFERROR(VLOOKUP(Q127,unified_reference_costs!$I$31:$J$40,2,FALSE),"*")</f>
        <v>*</v>
      </c>
      <c r="D127">
        <f t="shared" si="10"/>
        <v>2022</v>
      </c>
      <c r="E127" t="str">
        <f t="shared" si="11"/>
        <v/>
      </c>
      <c r="F127" t="str">
        <f t="shared" si="12"/>
        <v/>
      </c>
      <c r="G127" t="str">
        <f t="shared" si="13"/>
        <v/>
      </c>
      <c r="H127" t="str">
        <f t="shared" si="14"/>
        <v/>
      </c>
      <c r="I127" t="str">
        <f t="shared" si="15"/>
        <v/>
      </c>
      <c r="J127" t="str">
        <f t="shared" si="16"/>
        <v/>
      </c>
      <c r="K127" t="str">
        <f t="shared" si="17"/>
        <v/>
      </c>
      <c r="L127" t="str">
        <f t="shared" si="18"/>
        <v/>
      </c>
      <c r="M127" t="str">
        <f t="shared" si="19"/>
        <v/>
      </c>
      <c r="Q127" s="4" t="s">
        <v>52</v>
      </c>
    </row>
    <row r="128" spans="2:26">
      <c r="B128" t="str">
        <f>IFERROR(VLOOKUP(Q128,unified_reference_costs!$I$41:$J$69,2,FALSE),B127)</f>
        <v>\I:</v>
      </c>
      <c r="C128" t="str">
        <f>IFERROR(VLOOKUP(Q128,unified_reference_costs!$I$31:$J$40,2,FALSE),"*")</f>
        <v>*cf</v>
      </c>
      <c r="D128">
        <f t="shared" si="10"/>
        <v>2022</v>
      </c>
      <c r="E128">
        <f t="shared" si="11"/>
        <v>0.8</v>
      </c>
      <c r="F128" t="str">
        <f t="shared" si="12"/>
        <v/>
      </c>
      <c r="G128">
        <f t="shared" si="13"/>
        <v>0.5</v>
      </c>
      <c r="H128">
        <f t="shared" si="14"/>
        <v>0.5</v>
      </c>
      <c r="I128">
        <f t="shared" si="15"/>
        <v>0.6</v>
      </c>
      <c r="J128">
        <f t="shared" si="16"/>
        <v>0.65</v>
      </c>
      <c r="K128">
        <f t="shared" si="17"/>
        <v>0.85</v>
      </c>
      <c r="L128">
        <f t="shared" si="18"/>
        <v>0.6</v>
      </c>
      <c r="M128">
        <f t="shared" si="19"/>
        <v>0.8</v>
      </c>
      <c r="Q128" s="7" t="s">
        <v>14</v>
      </c>
      <c r="R128" s="21">
        <v>0.8</v>
      </c>
      <c r="S128" s="21"/>
      <c r="T128" s="21">
        <v>0.5</v>
      </c>
      <c r="U128" s="21">
        <v>0.5</v>
      </c>
      <c r="V128" s="21">
        <v>0.6</v>
      </c>
      <c r="W128" s="21">
        <v>0.65</v>
      </c>
      <c r="X128" s="21">
        <v>0.85</v>
      </c>
      <c r="Y128" s="21">
        <v>0.6</v>
      </c>
      <c r="Z128" s="21">
        <v>0.8</v>
      </c>
    </row>
    <row r="129" spans="2:26">
      <c r="B129" t="str">
        <f>IFERROR(VLOOKUP(Q129,unified_reference_costs!$I$41:$J$69,2,FALSE),B128)</f>
        <v>\I:</v>
      </c>
      <c r="C129" t="str">
        <f>IFERROR(VLOOKUP(Q129,unified_reference_costs!$I$31:$J$40,2,FALSE),"*")</f>
        <v>invcost</v>
      </c>
      <c r="D129">
        <f t="shared" si="10"/>
        <v>2022</v>
      </c>
      <c r="E129">
        <f t="shared" si="11"/>
        <v>3050</v>
      </c>
      <c r="F129" t="str">
        <f t="shared" si="12"/>
        <v/>
      </c>
      <c r="G129">
        <f t="shared" si="13"/>
        <v>2300</v>
      </c>
      <c r="H129">
        <f t="shared" si="14"/>
        <v>3600</v>
      </c>
      <c r="I129">
        <f t="shared" si="15"/>
        <v>2800</v>
      </c>
      <c r="J129">
        <f t="shared" si="16"/>
        <v>2200</v>
      </c>
      <c r="K129">
        <f t="shared" si="17"/>
        <v>2850</v>
      </c>
      <c r="L129">
        <f t="shared" si="18"/>
        <v>2150</v>
      </c>
      <c r="M129">
        <f t="shared" si="19"/>
        <v>2200</v>
      </c>
      <c r="Q129" s="8" t="s">
        <v>6</v>
      </c>
      <c r="R129" s="22">
        <v>3050</v>
      </c>
      <c r="S129" s="22"/>
      <c r="T129" s="22">
        <v>2300</v>
      </c>
      <c r="U129" s="22">
        <v>3600</v>
      </c>
      <c r="V129" s="22">
        <v>2800</v>
      </c>
      <c r="W129" s="22">
        <v>2200</v>
      </c>
      <c r="X129" s="22">
        <v>2850</v>
      </c>
      <c r="Y129" s="22">
        <v>2150</v>
      </c>
      <c r="Z129" s="22">
        <v>2200</v>
      </c>
    </row>
    <row r="130" spans="2:26">
      <c r="B130" t="str">
        <f>IFERROR(VLOOKUP(Q130,unified_reference_costs!$I$41:$J$69,2,FALSE),B129)</f>
        <v>\I:</v>
      </c>
      <c r="C130" t="str">
        <f>IFERROR(VLOOKUP(Q130,unified_reference_costs!$I$31:$J$40,2,FALSE),"*")</f>
        <v>efficiency</v>
      </c>
      <c r="D130">
        <f t="shared" si="10"/>
        <v>2022</v>
      </c>
      <c r="E130">
        <f t="shared" si="11"/>
        <v>0.1</v>
      </c>
      <c r="F130" t="str">
        <f t="shared" si="12"/>
        <v/>
      </c>
      <c r="G130">
        <f t="shared" si="13"/>
        <v>0.1</v>
      </c>
      <c r="H130">
        <f t="shared" si="14"/>
        <v>0.1</v>
      </c>
      <c r="I130">
        <f t="shared" si="15"/>
        <v>0.1</v>
      </c>
      <c r="J130">
        <f t="shared" si="16"/>
        <v>0.1</v>
      </c>
      <c r="K130">
        <f t="shared" si="17"/>
        <v>0.1</v>
      </c>
      <c r="L130">
        <f t="shared" si="18"/>
        <v>0.1</v>
      </c>
      <c r="M130">
        <f t="shared" si="19"/>
        <v>0.1</v>
      </c>
      <c r="Q130" s="4" t="s">
        <v>12</v>
      </c>
      <c r="R130">
        <v>0.1</v>
      </c>
      <c r="T130">
        <v>0.1</v>
      </c>
      <c r="U130">
        <v>0.1</v>
      </c>
      <c r="V130">
        <v>0.1</v>
      </c>
      <c r="W130">
        <v>0.1</v>
      </c>
      <c r="X130">
        <v>0.1</v>
      </c>
      <c r="Y130">
        <v>0.1</v>
      </c>
      <c r="Z130">
        <v>0.1</v>
      </c>
    </row>
    <row r="131" spans="2:26">
      <c r="B131" t="str">
        <f>IFERROR(VLOOKUP(Q131,unified_reference_costs!$I$41:$J$69,2,FALSE),B130)</f>
        <v>\I:</v>
      </c>
      <c r="C131" t="str">
        <f>IFERROR(VLOOKUP(Q131,unified_reference_costs!$I$31:$J$40,2,FALSE),"*")</f>
        <v>fixom</v>
      </c>
      <c r="D131">
        <f t="shared" si="10"/>
        <v>2022</v>
      </c>
      <c r="E131">
        <f t="shared" si="11"/>
        <v>60</v>
      </c>
      <c r="F131" t="str">
        <f t="shared" si="12"/>
        <v/>
      </c>
      <c r="G131">
        <f t="shared" si="13"/>
        <v>45</v>
      </c>
      <c r="H131">
        <f t="shared" si="14"/>
        <v>70</v>
      </c>
      <c r="I131">
        <f t="shared" si="15"/>
        <v>55</v>
      </c>
      <c r="J131">
        <f t="shared" si="16"/>
        <v>45</v>
      </c>
      <c r="K131">
        <f t="shared" si="17"/>
        <v>55</v>
      </c>
      <c r="L131">
        <f t="shared" si="18"/>
        <v>45</v>
      </c>
      <c r="M131">
        <f t="shared" si="19"/>
        <v>45</v>
      </c>
      <c r="Q131" s="4" t="s">
        <v>10</v>
      </c>
      <c r="R131">
        <v>60</v>
      </c>
      <c r="T131">
        <v>45</v>
      </c>
      <c r="U131">
        <v>70</v>
      </c>
      <c r="V131">
        <v>55</v>
      </c>
      <c r="W131">
        <v>45</v>
      </c>
      <c r="X131">
        <v>55</v>
      </c>
      <c r="Y131">
        <v>45</v>
      </c>
      <c r="Z131">
        <v>45</v>
      </c>
    </row>
    <row r="132" spans="2:26">
      <c r="B132" t="str">
        <f>IFERROR(VLOOKUP(Q132,unified_reference_costs!$I$41:$J$69,2,FALSE),B131)</f>
        <v>\I:</v>
      </c>
      <c r="C132" t="str">
        <f>IFERROR(VLOOKUP(Q132,unified_reference_costs!$I$31:$J$40,2,FALSE),"*")</f>
        <v>varom</v>
      </c>
      <c r="D132">
        <f t="shared" ref="D132:D195" si="20">IF(ISNUMBER(Q132),Q132,D131)</f>
        <v>2022</v>
      </c>
      <c r="E132">
        <f t="shared" si="11"/>
        <v>0</v>
      </c>
      <c r="F132">
        <f t="shared" si="12"/>
        <v>0</v>
      </c>
      <c r="G132">
        <f t="shared" si="13"/>
        <v>0</v>
      </c>
      <c r="H132">
        <f t="shared" si="14"/>
        <v>0</v>
      </c>
      <c r="I132">
        <f t="shared" si="15"/>
        <v>0</v>
      </c>
      <c r="J132">
        <f t="shared" si="16"/>
        <v>0</v>
      </c>
      <c r="K132">
        <f t="shared" si="17"/>
        <v>0</v>
      </c>
      <c r="L132">
        <f t="shared" si="18"/>
        <v>0</v>
      </c>
      <c r="M132">
        <f t="shared" si="19"/>
        <v>0</v>
      </c>
      <c r="Q132" s="4" t="s">
        <v>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2:26">
      <c r="B133" t="str">
        <f>IFERROR(VLOOKUP(Q133,unified_reference_costs!$I$41:$J$69,2,FALSE),B132)</f>
        <v>en_battery_4h</v>
      </c>
      <c r="C133" t="str">
        <f>IFERROR(VLOOKUP(Q133,unified_reference_costs!$I$31:$J$40,2,FALSE),"*")</f>
        <v>*</v>
      </c>
      <c r="D133">
        <f t="shared" si="20"/>
        <v>2022</v>
      </c>
      <c r="E133" t="str">
        <f t="shared" si="11"/>
        <v/>
      </c>
      <c r="F133" t="str">
        <f t="shared" si="12"/>
        <v/>
      </c>
      <c r="G133" t="str">
        <f t="shared" si="13"/>
        <v/>
      </c>
      <c r="H133" t="str">
        <f t="shared" si="14"/>
        <v/>
      </c>
      <c r="I133" t="str">
        <f t="shared" si="15"/>
        <v/>
      </c>
      <c r="J133" t="str">
        <f t="shared" si="16"/>
        <v/>
      </c>
      <c r="K133" t="str">
        <f t="shared" si="17"/>
        <v/>
      </c>
      <c r="L133" t="str">
        <f t="shared" si="18"/>
        <v/>
      </c>
      <c r="M133" t="str">
        <f t="shared" si="19"/>
        <v/>
      </c>
      <c r="Q133" s="8" t="s">
        <v>53</v>
      </c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2:26">
      <c r="B134" t="str">
        <f>IFERROR(VLOOKUP(Q134,unified_reference_costs!$I$41:$J$69,2,FALSE),B133)</f>
        <v>en_battery_4h</v>
      </c>
      <c r="C134" t="str">
        <f>IFERROR(VLOOKUP(Q134,unified_reference_costs!$I$31:$J$40,2,FALSE),"*")</f>
        <v>invcost</v>
      </c>
      <c r="D134">
        <f t="shared" si="20"/>
        <v>2022</v>
      </c>
      <c r="E134">
        <f t="shared" ref="E134:E197" si="21">IF(R134="","",R134)</f>
        <v>2100.8000000000002</v>
      </c>
      <c r="F134">
        <f t="shared" ref="F134:F197" si="22">IF(S134="","",S134)</f>
        <v>2100.8000000000002</v>
      </c>
      <c r="G134">
        <f t="shared" ref="G134:G197" si="23">IF(T134="","",T134)</f>
        <v>2100.8000000000002</v>
      </c>
      <c r="H134">
        <f t="shared" ref="H134:H197" si="24">IF(U134="","",U134)</f>
        <v>2100.8000000000002</v>
      </c>
      <c r="I134">
        <f t="shared" ref="I134:I197" si="25">IF(V134="","",V134)</f>
        <v>2100.8000000000002</v>
      </c>
      <c r="J134">
        <f t="shared" ref="J134:J197" si="26">IF(W134="","",W134)</f>
        <v>2100.8000000000002</v>
      </c>
      <c r="K134">
        <f t="shared" ref="K134:K197" si="27">IF(X134="","",X134)</f>
        <v>2100.8000000000002</v>
      </c>
      <c r="L134">
        <f t="shared" ref="L134:L197" si="28">IF(Y134="","",Y134)</f>
        <v>2100.8000000000002</v>
      </c>
      <c r="M134">
        <f t="shared" ref="M134:M197" si="29">IF(Z134="","",Z134)</f>
        <v>2100.8000000000002</v>
      </c>
      <c r="Q134" s="4" t="s">
        <v>6</v>
      </c>
      <c r="R134">
        <v>2100.8000000000002</v>
      </c>
      <c r="S134">
        <v>2100.8000000000002</v>
      </c>
      <c r="T134">
        <v>2100.8000000000002</v>
      </c>
      <c r="U134">
        <v>2100.8000000000002</v>
      </c>
      <c r="V134">
        <v>2100.8000000000002</v>
      </c>
      <c r="W134">
        <v>2100.8000000000002</v>
      </c>
      <c r="X134">
        <v>2100.8000000000002</v>
      </c>
      <c r="Y134">
        <v>2100.8000000000002</v>
      </c>
      <c r="Z134">
        <v>2100.8000000000002</v>
      </c>
    </row>
    <row r="135" spans="2:26">
      <c r="B135" t="str">
        <f>IFERROR(VLOOKUP(Q135,unified_reference_costs!$I$41:$J$69,2,FALSE),B134)</f>
        <v>en_battery_4h</v>
      </c>
      <c r="C135" t="str">
        <f>IFERROR(VLOOKUP(Q135,unified_reference_costs!$I$31:$J$40,2,FALSE),"*")</f>
        <v>fixom</v>
      </c>
      <c r="D135">
        <f t="shared" si="20"/>
        <v>2022</v>
      </c>
      <c r="E135">
        <f t="shared" si="21"/>
        <v>48.2</v>
      </c>
      <c r="F135">
        <f t="shared" si="22"/>
        <v>48.2</v>
      </c>
      <c r="G135">
        <f t="shared" si="23"/>
        <v>48.2</v>
      </c>
      <c r="H135">
        <f t="shared" si="24"/>
        <v>48.2</v>
      </c>
      <c r="I135">
        <f t="shared" si="25"/>
        <v>48.2</v>
      </c>
      <c r="J135">
        <f t="shared" si="26"/>
        <v>48.2</v>
      </c>
      <c r="K135">
        <f t="shared" si="27"/>
        <v>48.2</v>
      </c>
      <c r="L135">
        <f t="shared" si="28"/>
        <v>48.2</v>
      </c>
      <c r="M135">
        <f t="shared" si="29"/>
        <v>48.2</v>
      </c>
      <c r="Q135" s="4" t="s">
        <v>10</v>
      </c>
      <c r="R135">
        <v>48.2</v>
      </c>
      <c r="S135">
        <v>48.2</v>
      </c>
      <c r="T135">
        <v>48.2</v>
      </c>
      <c r="U135">
        <v>48.2</v>
      </c>
      <c r="V135">
        <v>48.2</v>
      </c>
      <c r="W135">
        <v>48.2</v>
      </c>
      <c r="X135">
        <v>48.2</v>
      </c>
      <c r="Y135">
        <v>48.2</v>
      </c>
      <c r="Z135">
        <v>48.2</v>
      </c>
    </row>
    <row r="136" spans="2:26">
      <c r="B136" t="str">
        <f>IFERROR(VLOOKUP(Q136,unified_reference_costs!$I$41:$J$69,2,FALSE),B135)</f>
        <v>en_battery_4h</v>
      </c>
      <c r="C136" t="str">
        <f>IFERROR(VLOOKUP(Q136,unified_reference_costs!$I$31:$J$40,2,FALSE),"*")</f>
        <v>stg_eff</v>
      </c>
      <c r="D136">
        <f t="shared" si="20"/>
        <v>2022</v>
      </c>
      <c r="E136">
        <f t="shared" si="21"/>
        <v>0.86</v>
      </c>
      <c r="F136">
        <f t="shared" si="22"/>
        <v>0.86</v>
      </c>
      <c r="G136">
        <f t="shared" si="23"/>
        <v>0.86</v>
      </c>
      <c r="H136">
        <f t="shared" si="24"/>
        <v>0.86</v>
      </c>
      <c r="I136">
        <f t="shared" si="25"/>
        <v>0.86</v>
      </c>
      <c r="J136">
        <f t="shared" si="26"/>
        <v>0.86</v>
      </c>
      <c r="K136">
        <f t="shared" si="27"/>
        <v>0.86</v>
      </c>
      <c r="L136">
        <f t="shared" si="28"/>
        <v>0.86</v>
      </c>
      <c r="M136">
        <f t="shared" si="29"/>
        <v>0.86</v>
      </c>
      <c r="Q136" s="4" t="s">
        <v>16</v>
      </c>
      <c r="R136">
        <v>0.86</v>
      </c>
      <c r="S136">
        <v>0.86</v>
      </c>
      <c r="T136">
        <v>0.86</v>
      </c>
      <c r="U136">
        <v>0.86</v>
      </c>
      <c r="V136">
        <v>0.86</v>
      </c>
      <c r="W136">
        <v>0.86</v>
      </c>
      <c r="X136">
        <v>0.86</v>
      </c>
      <c r="Y136">
        <v>0.86</v>
      </c>
      <c r="Z136">
        <v>0.86</v>
      </c>
    </row>
    <row r="137" spans="2:26">
      <c r="B137" t="str">
        <f>IFERROR(VLOOKUP(Q137,unified_reference_costs!$I$41:$J$69,2,FALSE),B136)</f>
        <v>en_battery_4h</v>
      </c>
      <c r="C137" t="str">
        <f>IFERROR(VLOOKUP(Q137,unified_reference_costs!$I$31:$J$40,2,FALSE),"*")</f>
        <v>varom</v>
      </c>
      <c r="D137">
        <f t="shared" si="20"/>
        <v>2022</v>
      </c>
      <c r="E137">
        <f t="shared" si="21"/>
        <v>0.13900000000000001</v>
      </c>
      <c r="F137">
        <f t="shared" si="22"/>
        <v>0.13900000000000001</v>
      </c>
      <c r="G137">
        <f t="shared" si="23"/>
        <v>0.13900000000000001</v>
      </c>
      <c r="H137">
        <f t="shared" si="24"/>
        <v>0.13900000000000001</v>
      </c>
      <c r="I137">
        <f t="shared" si="25"/>
        <v>0.13900000000000001</v>
      </c>
      <c r="J137">
        <f t="shared" si="26"/>
        <v>0.13900000000000001</v>
      </c>
      <c r="K137">
        <f t="shared" si="27"/>
        <v>0.13900000000000001</v>
      </c>
      <c r="L137">
        <f t="shared" si="28"/>
        <v>0.13900000000000001</v>
      </c>
      <c r="M137">
        <f t="shared" si="29"/>
        <v>0.13900000000000001</v>
      </c>
      <c r="Q137" s="8" t="s">
        <v>164</v>
      </c>
      <c r="R137" s="22">
        <v>0.13900000000000001</v>
      </c>
      <c r="S137" s="22">
        <v>0.13900000000000001</v>
      </c>
      <c r="T137" s="22">
        <v>0.13900000000000001</v>
      </c>
      <c r="U137" s="22">
        <v>0.13900000000000001</v>
      </c>
      <c r="V137" s="22">
        <v>0.13900000000000001</v>
      </c>
      <c r="W137" s="22">
        <v>0.13900000000000001</v>
      </c>
      <c r="X137" s="22">
        <v>0.13900000000000001</v>
      </c>
      <c r="Y137" s="22">
        <v>0.13900000000000001</v>
      </c>
      <c r="Z137" s="22">
        <v>0.13900000000000001</v>
      </c>
    </row>
    <row r="138" spans="2:26">
      <c r="B138" t="str">
        <f>IFERROR(VLOOKUP(Q138,unified_reference_costs!$I$41:$J$69,2,FALSE),B137)</f>
        <v>en_battery_8h</v>
      </c>
      <c r="C138" t="str">
        <f>IFERROR(VLOOKUP(Q138,unified_reference_costs!$I$31:$J$40,2,FALSE),"*")</f>
        <v>*</v>
      </c>
      <c r="D138">
        <f t="shared" si="20"/>
        <v>2022</v>
      </c>
      <c r="E138" t="str">
        <f t="shared" si="21"/>
        <v/>
      </c>
      <c r="F138" t="str">
        <f t="shared" si="22"/>
        <v/>
      </c>
      <c r="G138" t="str">
        <f t="shared" si="23"/>
        <v/>
      </c>
      <c r="H138" t="str">
        <f t="shared" si="24"/>
        <v/>
      </c>
      <c r="I138" t="str">
        <f t="shared" si="25"/>
        <v/>
      </c>
      <c r="J138" t="str">
        <f t="shared" si="26"/>
        <v/>
      </c>
      <c r="K138" t="str">
        <f t="shared" si="27"/>
        <v/>
      </c>
      <c r="L138" t="str">
        <f t="shared" si="28"/>
        <v/>
      </c>
      <c r="M138" t="str">
        <f t="shared" si="29"/>
        <v/>
      </c>
      <c r="Q138" s="4" t="s">
        <v>54</v>
      </c>
    </row>
    <row r="139" spans="2:26">
      <c r="B139" t="str">
        <f>IFERROR(VLOOKUP(Q139,unified_reference_costs!$I$41:$J$69,2,FALSE),B138)</f>
        <v>en_battery_8h</v>
      </c>
      <c r="C139" t="str">
        <f>IFERROR(VLOOKUP(Q139,unified_reference_costs!$I$31:$J$40,2,FALSE),"*")</f>
        <v>invcost</v>
      </c>
      <c r="D139">
        <f t="shared" si="20"/>
        <v>2022</v>
      </c>
      <c r="E139">
        <f t="shared" si="21"/>
        <v>3721.6</v>
      </c>
      <c r="F139">
        <f t="shared" si="22"/>
        <v>3721.6</v>
      </c>
      <c r="G139">
        <f t="shared" si="23"/>
        <v>3721.6</v>
      </c>
      <c r="H139">
        <f t="shared" si="24"/>
        <v>3721.6</v>
      </c>
      <c r="I139">
        <f t="shared" si="25"/>
        <v>3721.6</v>
      </c>
      <c r="J139">
        <f t="shared" si="26"/>
        <v>3721.6</v>
      </c>
      <c r="K139">
        <f t="shared" si="27"/>
        <v>3721.6</v>
      </c>
      <c r="L139">
        <f t="shared" si="28"/>
        <v>3721.6</v>
      </c>
      <c r="M139">
        <f t="shared" si="29"/>
        <v>3721.6</v>
      </c>
      <c r="Q139" s="4" t="s">
        <v>6</v>
      </c>
      <c r="R139">
        <v>3721.6</v>
      </c>
      <c r="S139">
        <v>3721.6</v>
      </c>
      <c r="T139">
        <v>3721.6</v>
      </c>
      <c r="U139">
        <v>3721.6</v>
      </c>
      <c r="V139">
        <v>3721.6</v>
      </c>
      <c r="W139">
        <v>3721.6</v>
      </c>
      <c r="X139">
        <v>3721.6</v>
      </c>
      <c r="Y139">
        <v>3721.6</v>
      </c>
      <c r="Z139">
        <v>3721.6</v>
      </c>
    </row>
    <row r="140" spans="2:26">
      <c r="B140" t="str">
        <f>IFERROR(VLOOKUP(Q140,unified_reference_costs!$I$41:$J$69,2,FALSE),B139)</f>
        <v>en_battery_8h</v>
      </c>
      <c r="C140" t="str">
        <f>IFERROR(VLOOKUP(Q140,unified_reference_costs!$I$31:$J$40,2,FALSE),"*")</f>
        <v>fixom</v>
      </c>
      <c r="D140">
        <f t="shared" si="20"/>
        <v>2022</v>
      </c>
      <c r="E140">
        <f t="shared" si="21"/>
        <v>87.3</v>
      </c>
      <c r="F140">
        <f t="shared" si="22"/>
        <v>87.3</v>
      </c>
      <c r="G140">
        <f t="shared" si="23"/>
        <v>87.3</v>
      </c>
      <c r="H140">
        <f t="shared" si="24"/>
        <v>87.3</v>
      </c>
      <c r="I140">
        <f t="shared" si="25"/>
        <v>87.3</v>
      </c>
      <c r="J140">
        <f t="shared" si="26"/>
        <v>87.3</v>
      </c>
      <c r="K140">
        <f t="shared" si="27"/>
        <v>87.3</v>
      </c>
      <c r="L140">
        <f t="shared" si="28"/>
        <v>87.3</v>
      </c>
      <c r="M140">
        <f t="shared" si="29"/>
        <v>87.3</v>
      </c>
      <c r="Q140" s="4" t="s">
        <v>10</v>
      </c>
      <c r="R140">
        <v>87.3</v>
      </c>
      <c r="S140">
        <v>87.3</v>
      </c>
      <c r="T140">
        <v>87.3</v>
      </c>
      <c r="U140">
        <v>87.3</v>
      </c>
      <c r="V140">
        <v>87.3</v>
      </c>
      <c r="W140">
        <v>87.3</v>
      </c>
      <c r="X140">
        <v>87.3</v>
      </c>
      <c r="Y140">
        <v>87.3</v>
      </c>
      <c r="Z140">
        <v>87.3</v>
      </c>
    </row>
    <row r="141" spans="2:26">
      <c r="B141" t="str">
        <f>IFERROR(VLOOKUP(Q141,unified_reference_costs!$I$41:$J$69,2,FALSE),B140)</f>
        <v>en_battery_8h</v>
      </c>
      <c r="C141" t="str">
        <f>IFERROR(VLOOKUP(Q141,unified_reference_costs!$I$31:$J$40,2,FALSE),"*")</f>
        <v>stg_eff</v>
      </c>
      <c r="D141">
        <f t="shared" si="20"/>
        <v>2022</v>
      </c>
      <c r="E141">
        <f t="shared" si="21"/>
        <v>0.86</v>
      </c>
      <c r="F141">
        <f t="shared" si="22"/>
        <v>0.86</v>
      </c>
      <c r="G141">
        <f t="shared" si="23"/>
        <v>0.86</v>
      </c>
      <c r="H141">
        <f t="shared" si="24"/>
        <v>0.86</v>
      </c>
      <c r="I141">
        <f t="shared" si="25"/>
        <v>0.86</v>
      </c>
      <c r="J141">
        <f t="shared" si="26"/>
        <v>0.86</v>
      </c>
      <c r="K141">
        <f t="shared" si="27"/>
        <v>0.86</v>
      </c>
      <c r="L141">
        <f t="shared" si="28"/>
        <v>0.86</v>
      </c>
      <c r="M141">
        <f t="shared" si="29"/>
        <v>0.86</v>
      </c>
      <c r="Q141" s="8" t="s">
        <v>16</v>
      </c>
      <c r="R141" s="22">
        <v>0.86</v>
      </c>
      <c r="S141" s="22">
        <v>0.86</v>
      </c>
      <c r="T141" s="22">
        <v>0.86</v>
      </c>
      <c r="U141" s="22">
        <v>0.86</v>
      </c>
      <c r="V141" s="22">
        <v>0.86</v>
      </c>
      <c r="W141" s="22">
        <v>0.86</v>
      </c>
      <c r="X141" s="22">
        <v>0.86</v>
      </c>
      <c r="Y141" s="22">
        <v>0.86</v>
      </c>
      <c r="Z141" s="22">
        <v>0.86</v>
      </c>
    </row>
    <row r="142" spans="2:26">
      <c r="B142" t="str">
        <f>IFERROR(VLOOKUP(Q142,unified_reference_costs!$I$41:$J$69,2,FALSE),B141)</f>
        <v>en_battery_8h</v>
      </c>
      <c r="C142" t="str">
        <f>IFERROR(VLOOKUP(Q142,unified_reference_costs!$I$31:$J$40,2,FALSE),"*")</f>
        <v>varom</v>
      </c>
      <c r="D142">
        <f t="shared" si="20"/>
        <v>2022</v>
      </c>
      <c r="E142">
        <f t="shared" si="21"/>
        <v>0.13900000000000001</v>
      </c>
      <c r="F142">
        <f t="shared" si="22"/>
        <v>0.13900000000000001</v>
      </c>
      <c r="G142">
        <f t="shared" si="23"/>
        <v>0.13900000000000001</v>
      </c>
      <c r="H142">
        <f t="shared" si="24"/>
        <v>0.13900000000000001</v>
      </c>
      <c r="I142">
        <f t="shared" si="25"/>
        <v>0.13900000000000001</v>
      </c>
      <c r="J142">
        <f t="shared" si="26"/>
        <v>0.13900000000000001</v>
      </c>
      <c r="K142">
        <f t="shared" si="27"/>
        <v>0.13900000000000001</v>
      </c>
      <c r="L142">
        <f t="shared" si="28"/>
        <v>0.13900000000000001</v>
      </c>
      <c r="M142">
        <f t="shared" si="29"/>
        <v>0.13900000000000001</v>
      </c>
      <c r="Q142" s="4" t="s">
        <v>164</v>
      </c>
      <c r="R142">
        <v>0.13900000000000001</v>
      </c>
      <c r="S142">
        <v>0.13900000000000001</v>
      </c>
      <c r="T142">
        <v>0.13900000000000001</v>
      </c>
      <c r="U142">
        <v>0.13900000000000001</v>
      </c>
      <c r="V142">
        <v>0.13900000000000001</v>
      </c>
      <c r="W142">
        <v>0.13900000000000001</v>
      </c>
      <c r="X142">
        <v>0.13900000000000001</v>
      </c>
      <c r="Y142">
        <v>0.13900000000000001</v>
      </c>
      <c r="Z142">
        <v>0.13900000000000001</v>
      </c>
    </row>
    <row r="143" spans="2:26">
      <c r="B143" t="str">
        <f>IFERROR(VLOOKUP(Q143,unified_reference_costs!$I$41:$J$69,2,FALSE),B142)</f>
        <v>en_battery_8h</v>
      </c>
      <c r="C143" t="str">
        <f>IFERROR(VLOOKUP(Q143,unified_reference_costs!$I$31:$J$40,2,FALSE),"*")</f>
        <v>*</v>
      </c>
      <c r="D143">
        <f t="shared" si="20"/>
        <v>2025</v>
      </c>
      <c r="E143" t="str">
        <f t="shared" si="21"/>
        <v/>
      </c>
      <c r="F143" t="str">
        <f t="shared" si="22"/>
        <v/>
      </c>
      <c r="G143" t="str">
        <f t="shared" si="23"/>
        <v/>
      </c>
      <c r="H143" t="str">
        <f t="shared" si="24"/>
        <v/>
      </c>
      <c r="I143" t="str">
        <f t="shared" si="25"/>
        <v/>
      </c>
      <c r="J143" t="str">
        <f t="shared" si="26"/>
        <v/>
      </c>
      <c r="K143" t="str">
        <f t="shared" si="27"/>
        <v/>
      </c>
      <c r="L143" t="str">
        <f t="shared" si="28"/>
        <v/>
      </c>
      <c r="M143" t="str">
        <f t="shared" si="29"/>
        <v/>
      </c>
      <c r="Q143" s="4">
        <v>2025</v>
      </c>
    </row>
    <row r="144" spans="2:26">
      <c r="B144" t="str">
        <f>IFERROR(VLOOKUP(Q144,unified_reference_costs!$I$41:$J$69,2,FALSE),B143)</f>
        <v>en_battery_4h</v>
      </c>
      <c r="C144" t="str">
        <f>IFERROR(VLOOKUP(Q144,unified_reference_costs!$I$31:$J$40,2,FALSE),"*")</f>
        <v>*</v>
      </c>
      <c r="D144">
        <f t="shared" si="20"/>
        <v>2025</v>
      </c>
      <c r="E144" t="str">
        <f t="shared" si="21"/>
        <v/>
      </c>
      <c r="F144" t="str">
        <f t="shared" si="22"/>
        <v/>
      </c>
      <c r="G144" t="str">
        <f t="shared" si="23"/>
        <v/>
      </c>
      <c r="H144" t="str">
        <f t="shared" si="24"/>
        <v/>
      </c>
      <c r="I144" t="str">
        <f t="shared" si="25"/>
        <v/>
      </c>
      <c r="J144" t="str">
        <f t="shared" si="26"/>
        <v/>
      </c>
      <c r="K144" t="str">
        <f t="shared" si="27"/>
        <v/>
      </c>
      <c r="L144" t="str">
        <f t="shared" si="28"/>
        <v/>
      </c>
      <c r="M144" t="str">
        <f t="shared" si="29"/>
        <v/>
      </c>
      <c r="Q144" s="4" t="s">
        <v>53</v>
      </c>
    </row>
    <row r="145" spans="2:26">
      <c r="B145" t="str">
        <f>IFERROR(VLOOKUP(Q145,unified_reference_costs!$I$41:$J$69,2,FALSE),B144)</f>
        <v>en_battery_4h</v>
      </c>
      <c r="C145" t="str">
        <f>IFERROR(VLOOKUP(Q145,unified_reference_costs!$I$31:$J$40,2,FALSE),"*")</f>
        <v>invcost</v>
      </c>
      <c r="D145">
        <f t="shared" si="20"/>
        <v>2025</v>
      </c>
      <c r="E145">
        <f t="shared" si="21"/>
        <v>1711.4</v>
      </c>
      <c r="F145">
        <f t="shared" si="22"/>
        <v>1711.4</v>
      </c>
      <c r="G145">
        <f t="shared" si="23"/>
        <v>1711.4</v>
      </c>
      <c r="H145">
        <f t="shared" si="24"/>
        <v>1711.4</v>
      </c>
      <c r="I145">
        <f t="shared" si="25"/>
        <v>1711.4</v>
      </c>
      <c r="J145">
        <f t="shared" si="26"/>
        <v>1711.4</v>
      </c>
      <c r="K145">
        <f t="shared" si="27"/>
        <v>1711.4</v>
      </c>
      <c r="L145">
        <f t="shared" si="28"/>
        <v>1711.4</v>
      </c>
      <c r="M145">
        <f t="shared" si="29"/>
        <v>1711.4</v>
      </c>
      <c r="Q145" s="8" t="s">
        <v>6</v>
      </c>
      <c r="R145" s="22">
        <v>1711.4</v>
      </c>
      <c r="S145" s="22">
        <v>1711.4</v>
      </c>
      <c r="T145" s="22">
        <v>1711.4</v>
      </c>
      <c r="U145" s="22">
        <v>1711.4</v>
      </c>
      <c r="V145" s="22">
        <v>1711.4</v>
      </c>
      <c r="W145" s="22">
        <v>1711.4</v>
      </c>
      <c r="X145" s="22">
        <v>1711.4</v>
      </c>
      <c r="Y145" s="22">
        <v>1711.4</v>
      </c>
      <c r="Z145" s="22">
        <v>1711.4</v>
      </c>
    </row>
    <row r="146" spans="2:26">
      <c r="B146" t="str">
        <f>IFERROR(VLOOKUP(Q146,unified_reference_costs!$I$41:$J$69,2,FALSE),B145)</f>
        <v>en_battery_4h</v>
      </c>
      <c r="C146" t="str">
        <f>IFERROR(VLOOKUP(Q146,unified_reference_costs!$I$31:$J$40,2,FALSE),"*")</f>
        <v>fixom</v>
      </c>
      <c r="D146">
        <f t="shared" si="20"/>
        <v>2025</v>
      </c>
      <c r="E146">
        <f t="shared" si="21"/>
        <v>119.39999999999999</v>
      </c>
      <c r="F146">
        <f t="shared" si="22"/>
        <v>119.39999999999999</v>
      </c>
      <c r="G146">
        <f t="shared" si="23"/>
        <v>119.39999999999999</v>
      </c>
      <c r="H146">
        <f t="shared" si="24"/>
        <v>119.39999999999999</v>
      </c>
      <c r="I146">
        <f t="shared" si="25"/>
        <v>119.39999999999999</v>
      </c>
      <c r="J146">
        <f t="shared" si="26"/>
        <v>119.39999999999999</v>
      </c>
      <c r="K146">
        <f t="shared" si="27"/>
        <v>119.39999999999999</v>
      </c>
      <c r="L146">
        <f t="shared" si="28"/>
        <v>119.39999999999999</v>
      </c>
      <c r="M146">
        <f t="shared" si="29"/>
        <v>119.39999999999999</v>
      </c>
      <c r="Q146" s="4" t="s">
        <v>10</v>
      </c>
      <c r="R146">
        <v>119.39999999999999</v>
      </c>
      <c r="S146">
        <v>119.39999999999999</v>
      </c>
      <c r="T146">
        <v>119.39999999999999</v>
      </c>
      <c r="U146">
        <v>119.39999999999999</v>
      </c>
      <c r="V146">
        <v>119.39999999999999</v>
      </c>
      <c r="W146">
        <v>119.39999999999999</v>
      </c>
      <c r="X146">
        <v>119.39999999999999</v>
      </c>
      <c r="Y146">
        <v>119.39999999999999</v>
      </c>
      <c r="Z146">
        <v>119.39999999999999</v>
      </c>
    </row>
    <row r="147" spans="2:26">
      <c r="B147" t="str">
        <f>IFERROR(VLOOKUP(Q147,unified_reference_costs!$I$41:$J$69,2,FALSE),B146)</f>
        <v>en_battery_4h</v>
      </c>
      <c r="C147" t="str">
        <f>IFERROR(VLOOKUP(Q147,unified_reference_costs!$I$31:$J$40,2,FALSE),"*")</f>
        <v>stg_eff</v>
      </c>
      <c r="D147">
        <f t="shared" si="20"/>
        <v>2025</v>
      </c>
      <c r="E147">
        <f t="shared" si="21"/>
        <v>0.86</v>
      </c>
      <c r="F147">
        <f t="shared" si="22"/>
        <v>0.86</v>
      </c>
      <c r="G147">
        <f t="shared" si="23"/>
        <v>0.86</v>
      </c>
      <c r="H147">
        <f t="shared" si="24"/>
        <v>0.86</v>
      </c>
      <c r="I147">
        <f t="shared" si="25"/>
        <v>0.86</v>
      </c>
      <c r="J147">
        <f t="shared" si="26"/>
        <v>0.86</v>
      </c>
      <c r="K147">
        <f t="shared" si="27"/>
        <v>0.86</v>
      </c>
      <c r="L147">
        <f t="shared" si="28"/>
        <v>0.86</v>
      </c>
      <c r="M147">
        <f t="shared" si="29"/>
        <v>0.86</v>
      </c>
      <c r="Q147" s="4" t="s">
        <v>16</v>
      </c>
      <c r="R147">
        <v>0.86</v>
      </c>
      <c r="S147">
        <v>0.86</v>
      </c>
      <c r="T147">
        <v>0.86</v>
      </c>
      <c r="U147">
        <v>0.86</v>
      </c>
      <c r="V147">
        <v>0.86</v>
      </c>
      <c r="W147">
        <v>0.86</v>
      </c>
      <c r="X147">
        <v>0.86</v>
      </c>
      <c r="Y147">
        <v>0.86</v>
      </c>
      <c r="Z147">
        <v>0.86</v>
      </c>
    </row>
    <row r="148" spans="2:26">
      <c r="B148" t="str">
        <f>IFERROR(VLOOKUP(Q148,unified_reference_costs!$I$41:$J$69,2,FALSE),B147)</f>
        <v>en_battery_4h</v>
      </c>
      <c r="C148" t="str">
        <f>IFERROR(VLOOKUP(Q148,unified_reference_costs!$I$31:$J$40,2,FALSE),"*")</f>
        <v>varom</v>
      </c>
      <c r="D148">
        <f t="shared" si="20"/>
        <v>2025</v>
      </c>
      <c r="E148">
        <f t="shared" si="21"/>
        <v>0.13900000000000001</v>
      </c>
      <c r="F148">
        <f t="shared" si="22"/>
        <v>0.13900000000000001</v>
      </c>
      <c r="G148">
        <f t="shared" si="23"/>
        <v>0.13900000000000001</v>
      </c>
      <c r="H148">
        <f t="shared" si="24"/>
        <v>0.13900000000000001</v>
      </c>
      <c r="I148">
        <f t="shared" si="25"/>
        <v>0.13900000000000001</v>
      </c>
      <c r="J148">
        <f t="shared" si="26"/>
        <v>0.13900000000000001</v>
      </c>
      <c r="K148">
        <f t="shared" si="27"/>
        <v>0.13900000000000001</v>
      </c>
      <c r="L148">
        <f t="shared" si="28"/>
        <v>0.13900000000000001</v>
      </c>
      <c r="M148">
        <f t="shared" si="29"/>
        <v>0.13900000000000001</v>
      </c>
      <c r="Q148" s="4" t="s">
        <v>164</v>
      </c>
      <c r="R148">
        <v>0.13900000000000001</v>
      </c>
      <c r="S148">
        <v>0.13900000000000001</v>
      </c>
      <c r="T148">
        <v>0.13900000000000001</v>
      </c>
      <c r="U148">
        <v>0.13900000000000001</v>
      </c>
      <c r="V148">
        <v>0.13900000000000001</v>
      </c>
      <c r="W148">
        <v>0.13900000000000001</v>
      </c>
      <c r="X148">
        <v>0.13900000000000001</v>
      </c>
      <c r="Y148">
        <v>0.13900000000000001</v>
      </c>
      <c r="Z148">
        <v>0.13900000000000001</v>
      </c>
    </row>
    <row r="149" spans="2:26">
      <c r="B149" t="str">
        <f>IFERROR(VLOOKUP(Q149,unified_reference_costs!$I$41:$J$69,2,FALSE),B148)</f>
        <v>en_battery_8h</v>
      </c>
      <c r="C149" t="str">
        <f>IFERROR(VLOOKUP(Q149,unified_reference_costs!$I$31:$J$40,2,FALSE),"*")</f>
        <v>*</v>
      </c>
      <c r="D149">
        <f t="shared" si="20"/>
        <v>2025</v>
      </c>
      <c r="E149" t="str">
        <f t="shared" si="21"/>
        <v/>
      </c>
      <c r="F149" t="str">
        <f t="shared" si="22"/>
        <v/>
      </c>
      <c r="G149" t="str">
        <f t="shared" si="23"/>
        <v/>
      </c>
      <c r="H149" t="str">
        <f t="shared" si="24"/>
        <v/>
      </c>
      <c r="I149" t="str">
        <f t="shared" si="25"/>
        <v/>
      </c>
      <c r="J149" t="str">
        <f t="shared" si="26"/>
        <v/>
      </c>
      <c r="K149" t="str">
        <f t="shared" si="27"/>
        <v/>
      </c>
      <c r="L149" t="str">
        <f t="shared" si="28"/>
        <v/>
      </c>
      <c r="M149" t="str">
        <f t="shared" si="29"/>
        <v/>
      </c>
      <c r="Q149" s="8" t="s">
        <v>54</v>
      </c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2:26">
      <c r="B150" t="str">
        <f>IFERROR(VLOOKUP(Q150,unified_reference_costs!$I$41:$J$69,2,FALSE),B149)</f>
        <v>en_battery_8h</v>
      </c>
      <c r="C150" t="str">
        <f>IFERROR(VLOOKUP(Q150,unified_reference_costs!$I$31:$J$40,2,FALSE),"*")</f>
        <v>invcost</v>
      </c>
      <c r="D150">
        <f t="shared" si="20"/>
        <v>2025</v>
      </c>
      <c r="E150">
        <f t="shared" si="21"/>
        <v>2996.4</v>
      </c>
      <c r="F150">
        <f t="shared" si="22"/>
        <v>2996.4</v>
      </c>
      <c r="G150">
        <f t="shared" si="23"/>
        <v>2996.4</v>
      </c>
      <c r="H150">
        <f t="shared" si="24"/>
        <v>2996.4</v>
      </c>
      <c r="I150">
        <f t="shared" si="25"/>
        <v>2996.4</v>
      </c>
      <c r="J150">
        <f t="shared" si="26"/>
        <v>2996.4</v>
      </c>
      <c r="K150">
        <f t="shared" si="27"/>
        <v>2996.4</v>
      </c>
      <c r="L150">
        <f t="shared" si="28"/>
        <v>2996.4</v>
      </c>
      <c r="M150">
        <f t="shared" si="29"/>
        <v>2996.4</v>
      </c>
      <c r="Q150" s="4" t="s">
        <v>6</v>
      </c>
      <c r="R150">
        <v>2996.4</v>
      </c>
      <c r="S150">
        <v>2996.4</v>
      </c>
      <c r="T150">
        <v>2996.4</v>
      </c>
      <c r="U150">
        <v>2996.4</v>
      </c>
      <c r="V150">
        <v>2996.4</v>
      </c>
      <c r="W150">
        <v>2996.4</v>
      </c>
      <c r="X150">
        <v>2996.4</v>
      </c>
      <c r="Y150">
        <v>2996.4</v>
      </c>
      <c r="Z150">
        <v>2996.4</v>
      </c>
    </row>
    <row r="151" spans="2:26">
      <c r="B151" t="str">
        <f>IFERROR(VLOOKUP(Q151,unified_reference_costs!$I$41:$J$69,2,FALSE),B150)</f>
        <v>en_battery_8h</v>
      </c>
      <c r="C151" t="str">
        <f>IFERROR(VLOOKUP(Q151,unified_reference_costs!$I$31:$J$40,2,FALSE),"*")</f>
        <v>fixom</v>
      </c>
      <c r="D151">
        <f t="shared" si="20"/>
        <v>2025</v>
      </c>
      <c r="E151">
        <f t="shared" si="21"/>
        <v>215.89999999999998</v>
      </c>
      <c r="F151">
        <f t="shared" si="22"/>
        <v>215.89999999999998</v>
      </c>
      <c r="G151">
        <f t="shared" si="23"/>
        <v>215.89999999999998</v>
      </c>
      <c r="H151">
        <f t="shared" si="24"/>
        <v>215.89999999999998</v>
      </c>
      <c r="I151">
        <f t="shared" si="25"/>
        <v>215.89999999999998</v>
      </c>
      <c r="J151">
        <f t="shared" si="26"/>
        <v>215.89999999999998</v>
      </c>
      <c r="K151">
        <f t="shared" si="27"/>
        <v>215.89999999999998</v>
      </c>
      <c r="L151">
        <f t="shared" si="28"/>
        <v>215.89999999999998</v>
      </c>
      <c r="M151">
        <f t="shared" si="29"/>
        <v>215.89999999999998</v>
      </c>
      <c r="Q151" s="4" t="s">
        <v>10</v>
      </c>
      <c r="R151">
        <v>215.89999999999998</v>
      </c>
      <c r="S151">
        <v>215.89999999999998</v>
      </c>
      <c r="T151">
        <v>215.89999999999998</v>
      </c>
      <c r="U151">
        <v>215.89999999999998</v>
      </c>
      <c r="V151">
        <v>215.89999999999998</v>
      </c>
      <c r="W151">
        <v>215.89999999999998</v>
      </c>
      <c r="X151">
        <v>215.89999999999998</v>
      </c>
      <c r="Y151">
        <v>215.89999999999998</v>
      </c>
      <c r="Z151">
        <v>215.89999999999998</v>
      </c>
    </row>
    <row r="152" spans="2:26">
      <c r="B152" t="str">
        <f>IFERROR(VLOOKUP(Q152,unified_reference_costs!$I$41:$J$69,2,FALSE),B151)</f>
        <v>en_battery_8h</v>
      </c>
      <c r="C152" t="str">
        <f>IFERROR(VLOOKUP(Q152,unified_reference_costs!$I$31:$J$40,2,FALSE),"*")</f>
        <v>stg_eff</v>
      </c>
      <c r="D152">
        <f t="shared" si="20"/>
        <v>2025</v>
      </c>
      <c r="E152">
        <f t="shared" si="21"/>
        <v>0.86</v>
      </c>
      <c r="F152">
        <f t="shared" si="22"/>
        <v>0.86</v>
      </c>
      <c r="G152">
        <f t="shared" si="23"/>
        <v>0.86</v>
      </c>
      <c r="H152">
        <f t="shared" si="24"/>
        <v>0.86</v>
      </c>
      <c r="I152">
        <f t="shared" si="25"/>
        <v>0.86</v>
      </c>
      <c r="J152">
        <f t="shared" si="26"/>
        <v>0.86</v>
      </c>
      <c r="K152">
        <f t="shared" si="27"/>
        <v>0.86</v>
      </c>
      <c r="L152">
        <f t="shared" si="28"/>
        <v>0.86</v>
      </c>
      <c r="M152">
        <f t="shared" si="29"/>
        <v>0.86</v>
      </c>
      <c r="Q152" s="4" t="s">
        <v>16</v>
      </c>
      <c r="R152">
        <v>0.86</v>
      </c>
      <c r="S152">
        <v>0.86</v>
      </c>
      <c r="T152">
        <v>0.86</v>
      </c>
      <c r="U152">
        <v>0.86</v>
      </c>
      <c r="V152">
        <v>0.86</v>
      </c>
      <c r="W152">
        <v>0.86</v>
      </c>
      <c r="X152">
        <v>0.86</v>
      </c>
      <c r="Y152">
        <v>0.86</v>
      </c>
      <c r="Z152">
        <v>0.86</v>
      </c>
    </row>
    <row r="153" spans="2:26">
      <c r="B153" t="str">
        <f>IFERROR(VLOOKUP(Q153,unified_reference_costs!$I$41:$J$69,2,FALSE),B152)</f>
        <v>en_battery_8h</v>
      </c>
      <c r="C153" t="str">
        <f>IFERROR(VLOOKUP(Q153,unified_reference_costs!$I$31:$J$40,2,FALSE),"*")</f>
        <v>varom</v>
      </c>
      <c r="D153">
        <f t="shared" si="20"/>
        <v>2025</v>
      </c>
      <c r="E153">
        <f t="shared" si="21"/>
        <v>0.13900000000000001</v>
      </c>
      <c r="F153">
        <f t="shared" si="22"/>
        <v>0.13900000000000001</v>
      </c>
      <c r="G153">
        <f t="shared" si="23"/>
        <v>0.13900000000000001</v>
      </c>
      <c r="H153">
        <f t="shared" si="24"/>
        <v>0.13900000000000001</v>
      </c>
      <c r="I153">
        <f t="shared" si="25"/>
        <v>0.13900000000000001</v>
      </c>
      <c r="J153">
        <f t="shared" si="26"/>
        <v>0.13900000000000001</v>
      </c>
      <c r="K153">
        <f t="shared" si="27"/>
        <v>0.13900000000000001</v>
      </c>
      <c r="L153">
        <f t="shared" si="28"/>
        <v>0.13900000000000001</v>
      </c>
      <c r="M153">
        <f t="shared" si="29"/>
        <v>0.13900000000000001</v>
      </c>
      <c r="Q153" s="8" t="s">
        <v>164</v>
      </c>
      <c r="R153" s="22">
        <v>0.13900000000000001</v>
      </c>
      <c r="S153" s="22">
        <v>0.13900000000000001</v>
      </c>
      <c r="T153" s="22">
        <v>0.13900000000000001</v>
      </c>
      <c r="U153" s="22">
        <v>0.13900000000000001</v>
      </c>
      <c r="V153" s="22">
        <v>0.13900000000000001</v>
      </c>
      <c r="W153" s="22">
        <v>0.13900000000000001</v>
      </c>
      <c r="X153" s="22">
        <v>0.13900000000000001</v>
      </c>
      <c r="Y153" s="22">
        <v>0.13900000000000001</v>
      </c>
      <c r="Z153" s="22">
        <v>0.13900000000000001</v>
      </c>
    </row>
    <row r="154" spans="2:26">
      <c r="B154" t="str">
        <f>IFERROR(VLOOKUP(Q154,unified_reference_costs!$I$41:$J$69,2,FALSE),B153)</f>
        <v>en_battery_8h</v>
      </c>
      <c r="C154" t="str">
        <f>IFERROR(VLOOKUP(Q154,unified_reference_costs!$I$31:$J$40,2,FALSE),"*")</f>
        <v>*</v>
      </c>
      <c r="D154">
        <f t="shared" si="20"/>
        <v>2030</v>
      </c>
      <c r="E154" t="str">
        <f t="shared" si="21"/>
        <v/>
      </c>
      <c r="F154" t="str">
        <f t="shared" si="22"/>
        <v/>
      </c>
      <c r="G154" t="str">
        <f t="shared" si="23"/>
        <v/>
      </c>
      <c r="H154" t="str">
        <f t="shared" si="24"/>
        <v/>
      </c>
      <c r="I154" t="str">
        <f t="shared" si="25"/>
        <v/>
      </c>
      <c r="J154" t="str">
        <f t="shared" si="26"/>
        <v/>
      </c>
      <c r="K154" t="str">
        <f t="shared" si="27"/>
        <v/>
      </c>
      <c r="L154" t="str">
        <f t="shared" si="28"/>
        <v/>
      </c>
      <c r="M154" t="str">
        <f t="shared" si="29"/>
        <v/>
      </c>
      <c r="Q154" s="4">
        <v>2030</v>
      </c>
    </row>
    <row r="155" spans="2:26">
      <c r="B155" t="str">
        <f>IFERROR(VLOOKUP(Q155,unified_reference_costs!$I$41:$J$69,2,FALSE),B154)</f>
        <v>en_gas_ccgt</v>
      </c>
      <c r="C155" t="str">
        <f>IFERROR(VLOOKUP(Q155,unified_reference_costs!$I$31:$J$40,2,FALSE),"*")</f>
        <v>*</v>
      </c>
      <c r="D155">
        <f t="shared" si="20"/>
        <v>2030</v>
      </c>
      <c r="E155" t="str">
        <f t="shared" si="21"/>
        <v/>
      </c>
      <c r="F155" t="str">
        <f t="shared" si="22"/>
        <v/>
      </c>
      <c r="G155" t="str">
        <f t="shared" si="23"/>
        <v/>
      </c>
      <c r="H155" t="str">
        <f t="shared" si="24"/>
        <v/>
      </c>
      <c r="I155" t="str">
        <f t="shared" si="25"/>
        <v/>
      </c>
      <c r="J155" t="str">
        <f t="shared" si="26"/>
        <v/>
      </c>
      <c r="K155" t="str">
        <f t="shared" si="27"/>
        <v/>
      </c>
      <c r="L155" t="str">
        <f t="shared" si="28"/>
        <v/>
      </c>
      <c r="M155" t="str">
        <f t="shared" si="29"/>
        <v/>
      </c>
      <c r="Q155" s="4" t="s">
        <v>29</v>
      </c>
    </row>
    <row r="156" spans="2:26">
      <c r="B156" t="str">
        <f>IFERROR(VLOOKUP(Q156,unified_reference_costs!$I$41:$J$69,2,FALSE),B155)</f>
        <v>en_gas_ccgt</v>
      </c>
      <c r="C156" t="str">
        <f>IFERROR(VLOOKUP(Q156,unified_reference_costs!$I$31:$J$40,2,FALSE),"*")</f>
        <v>invcost</v>
      </c>
      <c r="D156">
        <f t="shared" si="20"/>
        <v>2030</v>
      </c>
      <c r="E156">
        <f t="shared" si="21"/>
        <v>700</v>
      </c>
      <c r="F156">
        <f t="shared" si="22"/>
        <v>700</v>
      </c>
      <c r="G156">
        <f t="shared" si="23"/>
        <v>560</v>
      </c>
      <c r="H156">
        <f t="shared" si="24"/>
        <v>700</v>
      </c>
      <c r="I156">
        <f t="shared" si="25"/>
        <v>1100</v>
      </c>
      <c r="J156">
        <f t="shared" si="26"/>
        <v>800</v>
      </c>
      <c r="K156">
        <f t="shared" si="27"/>
        <v>1000</v>
      </c>
      <c r="L156">
        <f t="shared" si="28"/>
        <v>1000</v>
      </c>
      <c r="M156">
        <f t="shared" si="29"/>
        <v>800</v>
      </c>
      <c r="Q156" s="4" t="s">
        <v>6</v>
      </c>
      <c r="R156">
        <v>700</v>
      </c>
      <c r="S156">
        <v>700</v>
      </c>
      <c r="T156">
        <v>560</v>
      </c>
      <c r="U156">
        <v>700</v>
      </c>
      <c r="V156">
        <v>1100</v>
      </c>
      <c r="W156">
        <v>800</v>
      </c>
      <c r="X156">
        <v>1000</v>
      </c>
      <c r="Y156">
        <v>1000</v>
      </c>
      <c r="Z156">
        <v>800</v>
      </c>
    </row>
    <row r="157" spans="2:26">
      <c r="B157" t="str">
        <f>IFERROR(VLOOKUP(Q157,unified_reference_costs!$I$41:$J$69,2,FALSE),B156)</f>
        <v>en_gas_ccgt</v>
      </c>
      <c r="C157" t="str">
        <f>IFERROR(VLOOKUP(Q157,unified_reference_costs!$I$31:$J$40,2,FALSE),"*")</f>
        <v>efficiency</v>
      </c>
      <c r="D157">
        <f t="shared" si="20"/>
        <v>2030</v>
      </c>
      <c r="E157">
        <f t="shared" si="21"/>
        <v>0.59</v>
      </c>
      <c r="F157">
        <f t="shared" si="22"/>
        <v>0.59</v>
      </c>
      <c r="G157">
        <f t="shared" si="23"/>
        <v>0.57999999999999996</v>
      </c>
      <c r="H157">
        <f t="shared" si="24"/>
        <v>0.56999999999999995</v>
      </c>
      <c r="I157">
        <f t="shared" si="25"/>
        <v>0.6</v>
      </c>
      <c r="J157">
        <f t="shared" si="26"/>
        <v>0.57999999999999996</v>
      </c>
      <c r="K157">
        <f t="shared" si="27"/>
        <v>0.6</v>
      </c>
      <c r="L157">
        <f t="shared" si="28"/>
        <v>0.6</v>
      </c>
      <c r="M157">
        <f t="shared" si="29"/>
        <v>0.57999999999999996</v>
      </c>
      <c r="Q157" s="8" t="s">
        <v>12</v>
      </c>
      <c r="R157" s="22">
        <v>0.59</v>
      </c>
      <c r="S157" s="22">
        <v>0.59</v>
      </c>
      <c r="T157" s="22">
        <v>0.57999999999999996</v>
      </c>
      <c r="U157" s="22">
        <v>0.56999999999999995</v>
      </c>
      <c r="V157" s="22">
        <v>0.6</v>
      </c>
      <c r="W157" s="22">
        <v>0.57999999999999996</v>
      </c>
      <c r="X157" s="22">
        <v>0.6</v>
      </c>
      <c r="Y157" s="22">
        <v>0.6</v>
      </c>
      <c r="Z157" s="22">
        <v>0.57999999999999996</v>
      </c>
    </row>
    <row r="158" spans="2:26">
      <c r="B158" t="str">
        <f>IFERROR(VLOOKUP(Q158,unified_reference_costs!$I$41:$J$69,2,FALSE),B157)</f>
        <v>en_gas_ccgt</v>
      </c>
      <c r="C158" t="str">
        <f>IFERROR(VLOOKUP(Q158,unified_reference_costs!$I$31:$J$40,2,FALSE),"*")</f>
        <v>fixom</v>
      </c>
      <c r="D158">
        <f t="shared" si="20"/>
        <v>2030</v>
      </c>
      <c r="E158">
        <f t="shared" si="21"/>
        <v>25</v>
      </c>
      <c r="F158">
        <f t="shared" si="22"/>
        <v>25</v>
      </c>
      <c r="G158">
        <f t="shared" si="23"/>
        <v>20</v>
      </c>
      <c r="H158">
        <f t="shared" si="24"/>
        <v>25</v>
      </c>
      <c r="I158">
        <f t="shared" si="25"/>
        <v>30</v>
      </c>
      <c r="J158">
        <f t="shared" si="26"/>
        <v>30</v>
      </c>
      <c r="K158">
        <f t="shared" si="27"/>
        <v>25</v>
      </c>
      <c r="L158">
        <f t="shared" si="28"/>
        <v>25</v>
      </c>
      <c r="M158">
        <f t="shared" si="29"/>
        <v>30</v>
      </c>
      <c r="Q158" s="4" t="s">
        <v>10</v>
      </c>
      <c r="R158">
        <v>25</v>
      </c>
      <c r="S158">
        <v>25</v>
      </c>
      <c r="T158">
        <v>20</v>
      </c>
      <c r="U158">
        <v>25</v>
      </c>
      <c r="V158">
        <v>30</v>
      </c>
      <c r="W158">
        <v>30</v>
      </c>
      <c r="X158">
        <v>25</v>
      </c>
      <c r="Y158">
        <v>25</v>
      </c>
      <c r="Z158">
        <v>30</v>
      </c>
    </row>
    <row r="159" spans="2:26">
      <c r="B159" t="str">
        <f>IFERROR(VLOOKUP(Q159,unified_reference_costs!$I$41:$J$69,2,FALSE),B158)</f>
        <v>en_gas_ccgt</v>
      </c>
      <c r="C159" t="str">
        <f>IFERROR(VLOOKUP(Q159,unified_reference_costs!$I$31:$J$40,2,FALSE),"*")</f>
        <v>varom</v>
      </c>
      <c r="D159">
        <f t="shared" si="20"/>
        <v>2030</v>
      </c>
      <c r="E159">
        <f t="shared" si="21"/>
        <v>0.56699999999999995</v>
      </c>
      <c r="F159">
        <f t="shared" si="22"/>
        <v>0.56699999999999995</v>
      </c>
      <c r="G159">
        <f t="shared" si="23"/>
        <v>0.56699999999999995</v>
      </c>
      <c r="H159">
        <f t="shared" si="24"/>
        <v>0.56699999999999995</v>
      </c>
      <c r="I159">
        <f t="shared" si="25"/>
        <v>0.56699999999999995</v>
      </c>
      <c r="J159">
        <f t="shared" si="26"/>
        <v>0.56699999999999995</v>
      </c>
      <c r="K159">
        <f t="shared" si="27"/>
        <v>0.56699999999999995</v>
      </c>
      <c r="L159">
        <f t="shared" si="28"/>
        <v>0.56699999999999995</v>
      </c>
      <c r="M159">
        <f t="shared" si="29"/>
        <v>0.56699999999999995</v>
      </c>
      <c r="Q159" s="4" t="s">
        <v>164</v>
      </c>
      <c r="R159">
        <v>0.56699999999999995</v>
      </c>
      <c r="S159">
        <v>0.56699999999999995</v>
      </c>
      <c r="T159">
        <v>0.56699999999999995</v>
      </c>
      <c r="U159">
        <v>0.56699999999999995</v>
      </c>
      <c r="V159">
        <v>0.56699999999999995</v>
      </c>
      <c r="W159">
        <v>0.56699999999999995</v>
      </c>
      <c r="X159">
        <v>0.56699999999999995</v>
      </c>
      <c r="Y159">
        <v>0.56699999999999995</v>
      </c>
      <c r="Z159">
        <v>0.56699999999999995</v>
      </c>
    </row>
    <row r="160" spans="2:26">
      <c r="B160" t="str">
        <f>IFERROR(VLOOKUP(Q160,unified_reference_costs!$I$41:$J$69,2,FALSE),B159)</f>
        <v>en_gas_turbine</v>
      </c>
      <c r="C160" t="str">
        <f>IFERROR(VLOOKUP(Q160,unified_reference_costs!$I$31:$J$40,2,FALSE),"*")</f>
        <v>*</v>
      </c>
      <c r="D160">
        <f t="shared" si="20"/>
        <v>2030</v>
      </c>
      <c r="E160" t="str">
        <f t="shared" si="21"/>
        <v/>
      </c>
      <c r="F160" t="str">
        <f t="shared" si="22"/>
        <v/>
      </c>
      <c r="G160" t="str">
        <f t="shared" si="23"/>
        <v/>
      </c>
      <c r="H160" t="str">
        <f t="shared" si="24"/>
        <v/>
      </c>
      <c r="I160" t="str">
        <f t="shared" si="25"/>
        <v/>
      </c>
      <c r="J160" t="str">
        <f t="shared" si="26"/>
        <v/>
      </c>
      <c r="K160" t="str">
        <f t="shared" si="27"/>
        <v/>
      </c>
      <c r="L160" t="str">
        <f t="shared" si="28"/>
        <v/>
      </c>
      <c r="M160" t="str">
        <f t="shared" si="29"/>
        <v/>
      </c>
      <c r="Q160" s="4" t="s">
        <v>30</v>
      </c>
    </row>
    <row r="161" spans="2:26">
      <c r="B161" t="str">
        <f>IFERROR(VLOOKUP(Q161,unified_reference_costs!$I$41:$J$69,2,FALSE),B160)</f>
        <v>en_gas_turbine</v>
      </c>
      <c r="C161" t="str">
        <f>IFERROR(VLOOKUP(Q161,unified_reference_costs!$I$31:$J$40,2,FALSE),"*")</f>
        <v>invcost</v>
      </c>
      <c r="D161">
        <f t="shared" si="20"/>
        <v>2030</v>
      </c>
      <c r="E161">
        <f t="shared" si="21"/>
        <v>400</v>
      </c>
      <c r="F161">
        <f t="shared" si="22"/>
        <v>400</v>
      </c>
      <c r="G161">
        <f t="shared" si="23"/>
        <v>350</v>
      </c>
      <c r="H161">
        <f t="shared" si="24"/>
        <v>400</v>
      </c>
      <c r="I161">
        <f t="shared" si="25"/>
        <v>500</v>
      </c>
      <c r="J161">
        <f t="shared" si="26"/>
        <v>450</v>
      </c>
      <c r="K161">
        <f t="shared" si="27"/>
        <v>500</v>
      </c>
      <c r="L161">
        <f t="shared" si="28"/>
        <v>500</v>
      </c>
      <c r="M161">
        <f t="shared" si="29"/>
        <v>450</v>
      </c>
      <c r="Q161" s="8" t="s">
        <v>6</v>
      </c>
      <c r="R161" s="22">
        <v>400</v>
      </c>
      <c r="S161" s="22">
        <v>400</v>
      </c>
      <c r="T161" s="22">
        <v>350</v>
      </c>
      <c r="U161" s="22">
        <v>400</v>
      </c>
      <c r="V161" s="22">
        <v>500</v>
      </c>
      <c r="W161" s="22">
        <v>450</v>
      </c>
      <c r="X161" s="22">
        <v>500</v>
      </c>
      <c r="Y161" s="22">
        <v>500</v>
      </c>
      <c r="Z161" s="22">
        <v>450</v>
      </c>
    </row>
    <row r="162" spans="2:26">
      <c r="B162" t="str">
        <f>IFERROR(VLOOKUP(Q162,unified_reference_costs!$I$41:$J$69,2,FALSE),B161)</f>
        <v>en_gas_turbine</v>
      </c>
      <c r="C162" t="str">
        <f>IFERROR(VLOOKUP(Q162,unified_reference_costs!$I$31:$J$40,2,FALSE),"*")</f>
        <v>efficiency</v>
      </c>
      <c r="D162">
        <f t="shared" si="20"/>
        <v>2030</v>
      </c>
      <c r="E162">
        <f t="shared" si="21"/>
        <v>0.39</v>
      </c>
      <c r="F162">
        <f t="shared" si="22"/>
        <v>0.39</v>
      </c>
      <c r="G162">
        <f t="shared" si="23"/>
        <v>0.39</v>
      </c>
      <c r="H162">
        <f t="shared" si="24"/>
        <v>0.39</v>
      </c>
      <c r="I162">
        <f t="shared" si="25"/>
        <v>0.41</v>
      </c>
      <c r="J162">
        <f t="shared" si="26"/>
        <v>0.39</v>
      </c>
      <c r="K162">
        <f t="shared" si="27"/>
        <v>0.41</v>
      </c>
      <c r="L162">
        <f t="shared" si="28"/>
        <v>0.41</v>
      </c>
      <c r="M162">
        <f t="shared" si="29"/>
        <v>0.39</v>
      </c>
      <c r="Q162" s="4" t="s">
        <v>12</v>
      </c>
      <c r="R162">
        <v>0.39</v>
      </c>
      <c r="S162">
        <v>0.39</v>
      </c>
      <c r="T162">
        <v>0.39</v>
      </c>
      <c r="U162">
        <v>0.39</v>
      </c>
      <c r="V162">
        <v>0.41</v>
      </c>
      <c r="W162">
        <v>0.39</v>
      </c>
      <c r="X162">
        <v>0.41</v>
      </c>
      <c r="Y162">
        <v>0.41</v>
      </c>
      <c r="Z162">
        <v>0.39</v>
      </c>
    </row>
    <row r="163" spans="2:26">
      <c r="B163" t="str">
        <f>IFERROR(VLOOKUP(Q163,unified_reference_costs!$I$41:$J$69,2,FALSE),B162)</f>
        <v>en_gas_turbine</v>
      </c>
      <c r="C163" t="str">
        <f>IFERROR(VLOOKUP(Q163,unified_reference_costs!$I$31:$J$40,2,FALSE),"*")</f>
        <v>fixom</v>
      </c>
      <c r="D163">
        <f t="shared" si="20"/>
        <v>2030</v>
      </c>
      <c r="E163">
        <f t="shared" si="21"/>
        <v>20</v>
      </c>
      <c r="F163">
        <f t="shared" si="22"/>
        <v>20</v>
      </c>
      <c r="G163">
        <f t="shared" si="23"/>
        <v>20</v>
      </c>
      <c r="H163">
        <f t="shared" si="24"/>
        <v>20</v>
      </c>
      <c r="I163">
        <f t="shared" si="25"/>
        <v>20</v>
      </c>
      <c r="J163">
        <f t="shared" si="26"/>
        <v>25</v>
      </c>
      <c r="K163">
        <f t="shared" si="27"/>
        <v>20</v>
      </c>
      <c r="L163">
        <f t="shared" si="28"/>
        <v>20</v>
      </c>
      <c r="M163">
        <f t="shared" si="29"/>
        <v>25</v>
      </c>
      <c r="Q163" s="4" t="s">
        <v>10</v>
      </c>
      <c r="R163">
        <v>20</v>
      </c>
      <c r="S163">
        <v>20</v>
      </c>
      <c r="T163">
        <v>20</v>
      </c>
      <c r="U163">
        <v>20</v>
      </c>
      <c r="V163">
        <v>20</v>
      </c>
      <c r="W163">
        <v>25</v>
      </c>
      <c r="X163">
        <v>20</v>
      </c>
      <c r="Y163">
        <v>20</v>
      </c>
      <c r="Z163">
        <v>25</v>
      </c>
    </row>
    <row r="164" spans="2:26">
      <c r="B164" t="str">
        <f>IFERROR(VLOOKUP(Q164,unified_reference_costs!$I$41:$J$69,2,FALSE),B163)</f>
        <v>en_gas_turbine</v>
      </c>
      <c r="C164" t="str">
        <f>IFERROR(VLOOKUP(Q164,unified_reference_costs!$I$31:$J$40,2,FALSE),"*")</f>
        <v>varom</v>
      </c>
      <c r="D164">
        <f t="shared" si="20"/>
        <v>2030</v>
      </c>
      <c r="E164">
        <f t="shared" si="21"/>
        <v>1.9279999999999999</v>
      </c>
      <c r="F164">
        <f t="shared" si="22"/>
        <v>1.9279999999999999</v>
      </c>
      <c r="G164">
        <f t="shared" si="23"/>
        <v>1.9279999999999999</v>
      </c>
      <c r="H164">
        <f t="shared" si="24"/>
        <v>1.9279999999999999</v>
      </c>
      <c r="I164">
        <f t="shared" si="25"/>
        <v>1.9279999999999999</v>
      </c>
      <c r="J164">
        <f t="shared" si="26"/>
        <v>1.9279999999999999</v>
      </c>
      <c r="K164">
        <f t="shared" si="27"/>
        <v>1.9279999999999999</v>
      </c>
      <c r="L164">
        <f t="shared" si="28"/>
        <v>1.9279999999999999</v>
      </c>
      <c r="M164">
        <f t="shared" si="29"/>
        <v>1.9279999999999999</v>
      </c>
      <c r="Q164" s="4" t="s">
        <v>164</v>
      </c>
      <c r="R164">
        <v>1.9279999999999999</v>
      </c>
      <c r="S164">
        <v>1.9279999999999999</v>
      </c>
      <c r="T164">
        <v>1.9279999999999999</v>
      </c>
      <c r="U164">
        <v>1.9279999999999999</v>
      </c>
      <c r="V164">
        <v>1.9279999999999999</v>
      </c>
      <c r="W164">
        <v>1.9279999999999999</v>
      </c>
      <c r="X164">
        <v>1.9279999999999999</v>
      </c>
      <c r="Y164">
        <v>1.9279999999999999</v>
      </c>
      <c r="Z164">
        <v>1.9279999999999999</v>
      </c>
    </row>
    <row r="165" spans="2:26">
      <c r="B165" t="str">
        <f>IFERROR(VLOOKUP(Q165,unified_reference_costs!$I$41:$J$69,2,FALSE),B164)</f>
        <v>en_gas_chp</v>
      </c>
      <c r="C165" t="str">
        <f>IFERROR(VLOOKUP(Q165,unified_reference_costs!$I$31:$J$40,2,FALSE),"*")</f>
        <v>*</v>
      </c>
      <c r="D165">
        <f t="shared" si="20"/>
        <v>2030</v>
      </c>
      <c r="E165" t="str">
        <f t="shared" si="21"/>
        <v/>
      </c>
      <c r="F165" t="str">
        <f t="shared" si="22"/>
        <v/>
      </c>
      <c r="G165" t="str">
        <f t="shared" si="23"/>
        <v/>
      </c>
      <c r="H165" t="str">
        <f t="shared" si="24"/>
        <v/>
      </c>
      <c r="I165" t="str">
        <f t="shared" si="25"/>
        <v/>
      </c>
      <c r="J165" t="str">
        <f t="shared" si="26"/>
        <v/>
      </c>
      <c r="K165" t="str">
        <f t="shared" si="27"/>
        <v/>
      </c>
      <c r="L165" t="str">
        <f t="shared" si="28"/>
        <v/>
      </c>
      <c r="M165" t="str">
        <f t="shared" si="29"/>
        <v/>
      </c>
      <c r="Q165" s="8" t="s">
        <v>31</v>
      </c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2:26">
      <c r="B166" t="str">
        <f>IFERROR(VLOOKUP(Q166,unified_reference_costs!$I$41:$J$69,2,FALSE),B165)</f>
        <v>en_gas_chp</v>
      </c>
      <c r="C166" t="str">
        <f>IFERROR(VLOOKUP(Q166,unified_reference_costs!$I$31:$J$40,2,FALSE),"*")</f>
        <v>invcost</v>
      </c>
      <c r="D166">
        <f t="shared" si="20"/>
        <v>2030</v>
      </c>
      <c r="E166">
        <f t="shared" si="21"/>
        <v>920</v>
      </c>
      <c r="F166">
        <f t="shared" si="22"/>
        <v>920</v>
      </c>
      <c r="G166">
        <f t="shared" si="23"/>
        <v>720</v>
      </c>
      <c r="H166">
        <f t="shared" si="24"/>
        <v>920</v>
      </c>
      <c r="I166">
        <f t="shared" si="25"/>
        <v>1440</v>
      </c>
      <c r="J166">
        <f t="shared" si="26"/>
        <v>1040</v>
      </c>
      <c r="K166">
        <f t="shared" si="27"/>
        <v>1300</v>
      </c>
      <c r="L166">
        <f t="shared" si="28"/>
        <v>1300</v>
      </c>
      <c r="M166">
        <f t="shared" si="29"/>
        <v>1040</v>
      </c>
      <c r="Q166" s="4" t="s">
        <v>6</v>
      </c>
      <c r="R166">
        <v>920</v>
      </c>
      <c r="S166">
        <v>920</v>
      </c>
      <c r="T166">
        <v>720</v>
      </c>
      <c r="U166">
        <v>920</v>
      </c>
      <c r="V166">
        <v>1440</v>
      </c>
      <c r="W166">
        <v>1040</v>
      </c>
      <c r="X166">
        <v>1300</v>
      </c>
      <c r="Y166">
        <v>1300</v>
      </c>
      <c r="Z166">
        <v>1040</v>
      </c>
    </row>
    <row r="167" spans="2:26">
      <c r="B167" t="str">
        <f>IFERROR(VLOOKUP(Q167,unified_reference_costs!$I$41:$J$69,2,FALSE),B166)</f>
        <v>en_gas_chp</v>
      </c>
      <c r="C167" t="str">
        <f>IFERROR(VLOOKUP(Q167,unified_reference_costs!$I$31:$J$40,2,FALSE),"*")</f>
        <v>efficiency</v>
      </c>
      <c r="D167">
        <f t="shared" si="20"/>
        <v>2030</v>
      </c>
      <c r="E167">
        <f t="shared" si="21"/>
        <v>0.53300000000000003</v>
      </c>
      <c r="F167">
        <f t="shared" si="22"/>
        <v>0.53300000000000003</v>
      </c>
      <c r="G167">
        <f t="shared" si="23"/>
        <v>0.52700000000000002</v>
      </c>
      <c r="H167">
        <f t="shared" si="24"/>
        <v>0.52</v>
      </c>
      <c r="I167">
        <f t="shared" si="25"/>
        <v>0.54</v>
      </c>
      <c r="J167">
        <f t="shared" si="26"/>
        <v>0.52700000000000002</v>
      </c>
      <c r="K167">
        <f t="shared" si="27"/>
        <v>0.54</v>
      </c>
      <c r="L167">
        <f t="shared" si="28"/>
        <v>0.54</v>
      </c>
      <c r="M167">
        <f t="shared" si="29"/>
        <v>0.52700000000000002</v>
      </c>
      <c r="Q167" s="4" t="s">
        <v>12</v>
      </c>
      <c r="R167">
        <v>0.53300000000000003</v>
      </c>
      <c r="S167">
        <v>0.53300000000000003</v>
      </c>
      <c r="T167">
        <v>0.52700000000000002</v>
      </c>
      <c r="U167">
        <v>0.52</v>
      </c>
      <c r="V167">
        <v>0.54</v>
      </c>
      <c r="W167">
        <v>0.52700000000000002</v>
      </c>
      <c r="X167">
        <v>0.54</v>
      </c>
      <c r="Y167">
        <v>0.54</v>
      </c>
      <c r="Z167">
        <v>0.52700000000000002</v>
      </c>
    </row>
    <row r="168" spans="2:26">
      <c r="B168" t="str">
        <f>IFERROR(VLOOKUP(Q168,unified_reference_costs!$I$41:$J$69,2,FALSE),B167)</f>
        <v>en_gas_chp</v>
      </c>
      <c r="C168" t="str">
        <f>IFERROR(VLOOKUP(Q168,unified_reference_costs!$I$31:$J$40,2,FALSE),"*")</f>
        <v>fixom</v>
      </c>
      <c r="D168">
        <f t="shared" si="20"/>
        <v>2030</v>
      </c>
      <c r="E168">
        <f t="shared" si="21"/>
        <v>35</v>
      </c>
      <c r="F168">
        <f t="shared" si="22"/>
        <v>35</v>
      </c>
      <c r="G168">
        <f t="shared" si="23"/>
        <v>30</v>
      </c>
      <c r="H168">
        <f t="shared" si="24"/>
        <v>35</v>
      </c>
      <c r="I168">
        <f t="shared" si="25"/>
        <v>45</v>
      </c>
      <c r="J168">
        <f t="shared" si="26"/>
        <v>40</v>
      </c>
      <c r="K168">
        <f t="shared" si="27"/>
        <v>40</v>
      </c>
      <c r="L168">
        <f t="shared" si="28"/>
        <v>40</v>
      </c>
      <c r="M168">
        <f t="shared" si="29"/>
        <v>40</v>
      </c>
      <c r="Q168" s="4" t="s">
        <v>10</v>
      </c>
      <c r="R168">
        <v>35</v>
      </c>
      <c r="S168">
        <v>35</v>
      </c>
      <c r="T168">
        <v>30</v>
      </c>
      <c r="U168">
        <v>35</v>
      </c>
      <c r="V168">
        <v>45</v>
      </c>
      <c r="W168">
        <v>40</v>
      </c>
      <c r="X168">
        <v>40</v>
      </c>
      <c r="Y168">
        <v>40</v>
      </c>
      <c r="Z168">
        <v>40</v>
      </c>
    </row>
    <row r="169" spans="2:26">
      <c r="B169" t="str">
        <f>IFERROR(VLOOKUP(Q169,unified_reference_costs!$I$41:$J$69,2,FALSE),B168)</f>
        <v>en_gas_chp</v>
      </c>
      <c r="C169" t="str">
        <f>IFERROR(VLOOKUP(Q169,unified_reference_costs!$I$31:$J$40,2,FALSE),"*")</f>
        <v>varom</v>
      </c>
      <c r="D169">
        <f t="shared" si="20"/>
        <v>2030</v>
      </c>
      <c r="E169">
        <f t="shared" si="21"/>
        <v>0.69399999999999995</v>
      </c>
      <c r="F169">
        <f t="shared" si="22"/>
        <v>0.69399999999999995</v>
      </c>
      <c r="G169">
        <f t="shared" si="23"/>
        <v>0.69399999999999995</v>
      </c>
      <c r="H169">
        <f t="shared" si="24"/>
        <v>0.69399999999999995</v>
      </c>
      <c r="I169">
        <f t="shared" si="25"/>
        <v>0.69399999999999995</v>
      </c>
      <c r="J169">
        <f t="shared" si="26"/>
        <v>0.69399999999999995</v>
      </c>
      <c r="K169">
        <f t="shared" si="27"/>
        <v>0.69399999999999995</v>
      </c>
      <c r="L169">
        <f t="shared" si="28"/>
        <v>0.69399999999999995</v>
      </c>
      <c r="M169">
        <f t="shared" si="29"/>
        <v>0.69399999999999995</v>
      </c>
      <c r="Q169" s="8" t="s">
        <v>164</v>
      </c>
      <c r="R169" s="22">
        <v>0.69399999999999995</v>
      </c>
      <c r="S169" s="22">
        <v>0.69399999999999995</v>
      </c>
      <c r="T169" s="22">
        <v>0.69399999999999995</v>
      </c>
      <c r="U169" s="22">
        <v>0.69399999999999995</v>
      </c>
      <c r="V169" s="22">
        <v>0.69399999999999995</v>
      </c>
      <c r="W169" s="22">
        <v>0.69399999999999995</v>
      </c>
      <c r="X169" s="22">
        <v>0.69399999999999995</v>
      </c>
      <c r="Y169" s="22">
        <v>0.69399999999999995</v>
      </c>
      <c r="Z169" s="22">
        <v>0.69399999999999995</v>
      </c>
    </row>
    <row r="170" spans="2:26">
      <c r="B170" t="str">
        <f>IFERROR(VLOOKUP(Q170,unified_reference_costs!$I$41:$J$69,2,FALSE),B169)</f>
        <v>\I:</v>
      </c>
      <c r="C170" t="str">
        <f>IFERROR(VLOOKUP(Q170,unified_reference_costs!$I$31:$J$40,2,FALSE),"*")</f>
        <v>*</v>
      </c>
      <c r="D170">
        <f t="shared" si="20"/>
        <v>2030</v>
      </c>
      <c r="E170" t="str">
        <f t="shared" si="21"/>
        <v/>
      </c>
      <c r="F170" t="str">
        <f t="shared" si="22"/>
        <v/>
      </c>
      <c r="G170" t="str">
        <f t="shared" si="23"/>
        <v/>
      </c>
      <c r="H170" t="str">
        <f t="shared" si="24"/>
        <v/>
      </c>
      <c r="I170" t="str">
        <f t="shared" si="25"/>
        <v/>
      </c>
      <c r="J170" t="str">
        <f t="shared" si="26"/>
        <v/>
      </c>
      <c r="K170" t="str">
        <f t="shared" si="27"/>
        <v/>
      </c>
      <c r="L170" t="str">
        <f t="shared" si="28"/>
        <v/>
      </c>
      <c r="M170" t="str">
        <f t="shared" si="29"/>
        <v/>
      </c>
      <c r="Q170" s="4" t="s">
        <v>32</v>
      </c>
    </row>
    <row r="171" spans="2:26">
      <c r="B171" t="str">
        <f>IFERROR(VLOOKUP(Q171,unified_reference_costs!$I$41:$J$69,2,FALSE),B170)</f>
        <v>\I:</v>
      </c>
      <c r="C171" t="str">
        <f>IFERROR(VLOOKUP(Q171,unified_reference_costs!$I$31:$J$40,2,FALSE),"*")</f>
        <v>invcost</v>
      </c>
      <c r="D171">
        <f t="shared" si="20"/>
        <v>2030</v>
      </c>
      <c r="E171">
        <f t="shared" si="21"/>
        <v>2500</v>
      </c>
      <c r="F171">
        <f t="shared" si="22"/>
        <v>2500</v>
      </c>
      <c r="G171">
        <f t="shared" si="23"/>
        <v>2500</v>
      </c>
      <c r="H171">
        <f t="shared" si="24"/>
        <v>2500</v>
      </c>
      <c r="I171">
        <f t="shared" si="25"/>
        <v>2500</v>
      </c>
      <c r="J171">
        <f t="shared" si="26"/>
        <v>2500</v>
      </c>
      <c r="K171">
        <f t="shared" si="27"/>
        <v>2500</v>
      </c>
      <c r="L171">
        <f t="shared" si="28"/>
        <v>2500</v>
      </c>
      <c r="M171">
        <f t="shared" si="29"/>
        <v>2500</v>
      </c>
      <c r="Q171" s="4" t="s">
        <v>6</v>
      </c>
      <c r="R171">
        <v>2500</v>
      </c>
      <c r="S171">
        <v>2500</v>
      </c>
      <c r="T171">
        <v>2500</v>
      </c>
      <c r="U171">
        <v>2500</v>
      </c>
      <c r="V171">
        <v>2500</v>
      </c>
      <c r="W171">
        <v>2500</v>
      </c>
      <c r="X171">
        <v>2500</v>
      </c>
      <c r="Y171">
        <v>2500</v>
      </c>
      <c r="Z171">
        <v>2500</v>
      </c>
    </row>
    <row r="172" spans="2:26">
      <c r="B172" t="str">
        <f>IFERROR(VLOOKUP(Q172,unified_reference_costs!$I$41:$J$69,2,FALSE),B171)</f>
        <v>\I:</v>
      </c>
      <c r="C172" t="str">
        <f>IFERROR(VLOOKUP(Q172,unified_reference_costs!$I$31:$J$40,2,FALSE),"*")</f>
        <v>efficiency</v>
      </c>
      <c r="D172">
        <f t="shared" si="20"/>
        <v>2030</v>
      </c>
      <c r="E172">
        <f t="shared" si="21"/>
        <v>0.54</v>
      </c>
      <c r="F172">
        <f t="shared" si="22"/>
        <v>0.54</v>
      </c>
      <c r="G172">
        <f t="shared" si="23"/>
        <v>0.54</v>
      </c>
      <c r="H172">
        <f t="shared" si="24"/>
        <v>0.54</v>
      </c>
      <c r="I172">
        <f t="shared" si="25"/>
        <v>0.54</v>
      </c>
      <c r="J172">
        <f t="shared" si="26"/>
        <v>0.54</v>
      </c>
      <c r="K172">
        <f t="shared" si="27"/>
        <v>0.54</v>
      </c>
      <c r="L172">
        <f t="shared" si="28"/>
        <v>0.54</v>
      </c>
      <c r="M172">
        <f t="shared" si="29"/>
        <v>0.54</v>
      </c>
      <c r="Q172" s="4" t="s">
        <v>12</v>
      </c>
      <c r="R172">
        <v>0.54</v>
      </c>
      <c r="S172">
        <v>0.54</v>
      </c>
      <c r="T172">
        <v>0.54</v>
      </c>
      <c r="U172">
        <v>0.54</v>
      </c>
      <c r="V172">
        <v>0.54</v>
      </c>
      <c r="W172">
        <v>0.54</v>
      </c>
      <c r="X172">
        <v>0.54</v>
      </c>
      <c r="Y172">
        <v>0.54</v>
      </c>
      <c r="Z172">
        <v>0.54</v>
      </c>
    </row>
    <row r="173" spans="2:26">
      <c r="B173" t="str">
        <f>IFERROR(VLOOKUP(Q173,unified_reference_costs!$I$41:$J$69,2,FALSE),B172)</f>
        <v>\I:</v>
      </c>
      <c r="C173" t="str">
        <f>IFERROR(VLOOKUP(Q173,unified_reference_costs!$I$31:$J$40,2,FALSE),"*")</f>
        <v>fixom</v>
      </c>
      <c r="D173">
        <f t="shared" si="20"/>
        <v>2030</v>
      </c>
      <c r="E173">
        <f t="shared" si="21"/>
        <v>75</v>
      </c>
      <c r="F173">
        <f t="shared" si="22"/>
        <v>75</v>
      </c>
      <c r="G173">
        <f t="shared" si="23"/>
        <v>75</v>
      </c>
      <c r="H173">
        <f t="shared" si="24"/>
        <v>75</v>
      </c>
      <c r="I173">
        <f t="shared" si="25"/>
        <v>50</v>
      </c>
      <c r="J173">
        <f t="shared" si="26"/>
        <v>75</v>
      </c>
      <c r="K173">
        <f t="shared" si="27"/>
        <v>50</v>
      </c>
      <c r="L173">
        <f t="shared" si="28"/>
        <v>50</v>
      </c>
      <c r="M173">
        <f t="shared" si="29"/>
        <v>75</v>
      </c>
      <c r="Q173" s="8" t="s">
        <v>10</v>
      </c>
      <c r="R173" s="22">
        <v>75</v>
      </c>
      <c r="S173" s="22">
        <v>75</v>
      </c>
      <c r="T173" s="22">
        <v>75</v>
      </c>
      <c r="U173" s="22">
        <v>75</v>
      </c>
      <c r="V173" s="22">
        <v>50</v>
      </c>
      <c r="W173" s="22">
        <v>75</v>
      </c>
      <c r="X173" s="22">
        <v>50</v>
      </c>
      <c r="Y173" s="22">
        <v>50</v>
      </c>
      <c r="Z173" s="22">
        <v>75</v>
      </c>
    </row>
    <row r="174" spans="2:26">
      <c r="B174" t="str">
        <f>IFERROR(VLOOKUP(Q174,unified_reference_costs!$I$41:$J$69,2,FALSE),B173)</f>
        <v>\I:</v>
      </c>
      <c r="C174" t="str">
        <f>IFERROR(VLOOKUP(Q174,unified_reference_costs!$I$31:$J$40,2,FALSE),"*")</f>
        <v>varom</v>
      </c>
      <c r="D174">
        <f t="shared" si="20"/>
        <v>2030</v>
      </c>
      <c r="E174">
        <f t="shared" si="21"/>
        <v>0.83299999999999996</v>
      </c>
      <c r="F174">
        <f t="shared" si="22"/>
        <v>0.83299999999999996</v>
      </c>
      <c r="G174">
        <f t="shared" si="23"/>
        <v>0.83299999999999996</v>
      </c>
      <c r="H174">
        <f t="shared" si="24"/>
        <v>0.83299999999999996</v>
      </c>
      <c r="I174">
        <f t="shared" si="25"/>
        <v>0.83299999999999996</v>
      </c>
      <c r="J174">
        <f t="shared" si="26"/>
        <v>0.83299999999999996</v>
      </c>
      <c r="K174">
        <f t="shared" si="27"/>
        <v>0.83299999999999996</v>
      </c>
      <c r="L174">
        <f t="shared" si="28"/>
        <v>0.83299999999999996</v>
      </c>
      <c r="M174">
        <f t="shared" si="29"/>
        <v>0.83299999999999996</v>
      </c>
      <c r="Q174" s="4" t="s">
        <v>164</v>
      </c>
      <c r="R174">
        <v>0.83299999999999996</v>
      </c>
      <c r="S174">
        <v>0.83299999999999996</v>
      </c>
      <c r="T174">
        <v>0.83299999999999996</v>
      </c>
      <c r="U174">
        <v>0.83299999999999996</v>
      </c>
      <c r="V174">
        <v>0.83299999999999996</v>
      </c>
      <c r="W174">
        <v>0.83299999999999996</v>
      </c>
      <c r="X174">
        <v>0.83299999999999996</v>
      </c>
      <c r="Y174">
        <v>0.83299999999999996</v>
      </c>
      <c r="Z174">
        <v>0.83299999999999996</v>
      </c>
    </row>
    <row r="175" spans="2:26">
      <c r="B175" t="str">
        <f>IFERROR(VLOOKUP(Q175,unified_reference_costs!$I$41:$J$69,2,FALSE),B174)</f>
        <v>en_coal_subcritical</v>
      </c>
      <c r="C175" t="str">
        <f>IFERROR(VLOOKUP(Q175,unified_reference_costs!$I$31:$J$40,2,FALSE),"*")</f>
        <v>*</v>
      </c>
      <c r="D175">
        <f t="shared" si="20"/>
        <v>2030</v>
      </c>
      <c r="E175" t="str">
        <f t="shared" si="21"/>
        <v/>
      </c>
      <c r="F175" t="str">
        <f t="shared" si="22"/>
        <v/>
      </c>
      <c r="G175" t="str">
        <f t="shared" si="23"/>
        <v/>
      </c>
      <c r="H175" t="str">
        <f t="shared" si="24"/>
        <v/>
      </c>
      <c r="I175" t="str">
        <f t="shared" si="25"/>
        <v/>
      </c>
      <c r="J175" t="str">
        <f t="shared" si="26"/>
        <v/>
      </c>
      <c r="K175" t="str">
        <f t="shared" si="27"/>
        <v/>
      </c>
      <c r="L175" t="str">
        <f t="shared" si="28"/>
        <v/>
      </c>
      <c r="M175" t="str">
        <f t="shared" si="29"/>
        <v/>
      </c>
      <c r="Q175" s="4" t="s">
        <v>33</v>
      </c>
    </row>
    <row r="176" spans="2:26">
      <c r="B176" t="str">
        <f>IFERROR(VLOOKUP(Q176,unified_reference_costs!$I$41:$J$69,2,FALSE),B175)</f>
        <v>en_coal_subcritical</v>
      </c>
      <c r="C176" t="str">
        <f>IFERROR(VLOOKUP(Q176,unified_reference_costs!$I$31:$J$40,2,FALSE),"*")</f>
        <v>invcost</v>
      </c>
      <c r="D176">
        <f t="shared" si="20"/>
        <v>2030</v>
      </c>
      <c r="E176">
        <f t="shared" si="21"/>
        <v>1300</v>
      </c>
      <c r="F176">
        <f t="shared" si="22"/>
        <v>1300</v>
      </c>
      <c r="G176">
        <f t="shared" si="23"/>
        <v>600</v>
      </c>
      <c r="H176">
        <f t="shared" si="24"/>
        <v>1000</v>
      </c>
      <c r="I176">
        <f t="shared" si="25"/>
        <v>2100</v>
      </c>
      <c r="J176">
        <f t="shared" si="26"/>
        <v>1700</v>
      </c>
      <c r="K176">
        <f t="shared" si="27"/>
        <v>1700</v>
      </c>
      <c r="L176">
        <f t="shared" si="28"/>
        <v>1800</v>
      </c>
      <c r="M176">
        <f t="shared" si="29"/>
        <v>1300</v>
      </c>
      <c r="Q176" s="4" t="s">
        <v>6</v>
      </c>
      <c r="R176">
        <v>1300</v>
      </c>
      <c r="S176">
        <v>1300</v>
      </c>
      <c r="T176">
        <v>600</v>
      </c>
      <c r="U176">
        <v>1000</v>
      </c>
      <c r="V176">
        <v>2100</v>
      </c>
      <c r="W176">
        <v>1700</v>
      </c>
      <c r="X176">
        <v>1700</v>
      </c>
      <c r="Y176">
        <v>1800</v>
      </c>
      <c r="Z176">
        <v>1300</v>
      </c>
    </row>
    <row r="177" spans="2:26">
      <c r="B177" t="str">
        <f>IFERROR(VLOOKUP(Q177,unified_reference_costs!$I$41:$J$69,2,FALSE),B176)</f>
        <v>en_coal_subcritical</v>
      </c>
      <c r="C177" t="str">
        <f>IFERROR(VLOOKUP(Q177,unified_reference_costs!$I$31:$J$40,2,FALSE),"*")</f>
        <v>efficiency</v>
      </c>
      <c r="D177">
        <f t="shared" si="20"/>
        <v>2030</v>
      </c>
      <c r="E177">
        <f t="shared" si="21"/>
        <v>0.35</v>
      </c>
      <c r="F177">
        <f t="shared" si="22"/>
        <v>0.39</v>
      </c>
      <c r="G177">
        <f t="shared" si="23"/>
        <v>0.37</v>
      </c>
      <c r="H177">
        <f t="shared" si="24"/>
        <v>0.36</v>
      </c>
      <c r="I177">
        <f t="shared" si="25"/>
        <v>0.39</v>
      </c>
      <c r="J177">
        <f t="shared" si="26"/>
        <v>0.39</v>
      </c>
      <c r="K177">
        <f t="shared" si="27"/>
        <v>0.39</v>
      </c>
      <c r="L177">
        <f t="shared" si="28"/>
        <v>0.39</v>
      </c>
      <c r="M177">
        <f t="shared" si="29"/>
        <v>0.37</v>
      </c>
      <c r="Q177" s="8" t="s">
        <v>12</v>
      </c>
      <c r="R177" s="22">
        <v>0.35</v>
      </c>
      <c r="S177" s="22">
        <v>0.39</v>
      </c>
      <c r="T177" s="22">
        <v>0.37</v>
      </c>
      <c r="U177" s="22">
        <v>0.36</v>
      </c>
      <c r="V177" s="22">
        <v>0.39</v>
      </c>
      <c r="W177" s="22">
        <v>0.39</v>
      </c>
      <c r="X177" s="22">
        <v>0.39</v>
      </c>
      <c r="Y177" s="22">
        <v>0.39</v>
      </c>
      <c r="Z177" s="22">
        <v>0.37</v>
      </c>
    </row>
    <row r="178" spans="2:26">
      <c r="B178" t="str">
        <f>IFERROR(VLOOKUP(Q178,unified_reference_costs!$I$41:$J$69,2,FALSE),B177)</f>
        <v>en_coal_subcritical</v>
      </c>
      <c r="C178" t="str">
        <f>IFERROR(VLOOKUP(Q178,unified_reference_costs!$I$31:$J$40,2,FALSE),"*")</f>
        <v>fixom</v>
      </c>
      <c r="D178">
        <f t="shared" si="20"/>
        <v>2030</v>
      </c>
      <c r="E178">
        <f t="shared" si="21"/>
        <v>45</v>
      </c>
      <c r="F178">
        <f t="shared" si="22"/>
        <v>45</v>
      </c>
      <c r="G178">
        <f t="shared" si="23"/>
        <v>20</v>
      </c>
      <c r="H178">
        <f t="shared" si="24"/>
        <v>35</v>
      </c>
      <c r="I178">
        <f t="shared" si="25"/>
        <v>55</v>
      </c>
      <c r="J178">
        <f t="shared" si="26"/>
        <v>50</v>
      </c>
      <c r="K178">
        <f t="shared" si="27"/>
        <v>45</v>
      </c>
      <c r="L178">
        <f t="shared" si="28"/>
        <v>45</v>
      </c>
      <c r="M178">
        <f t="shared" si="29"/>
        <v>45</v>
      </c>
      <c r="Q178" s="4" t="s">
        <v>10</v>
      </c>
      <c r="R178">
        <v>45</v>
      </c>
      <c r="S178">
        <v>45</v>
      </c>
      <c r="T178">
        <v>20</v>
      </c>
      <c r="U178">
        <v>35</v>
      </c>
      <c r="V178">
        <v>55</v>
      </c>
      <c r="W178">
        <v>50</v>
      </c>
      <c r="X178">
        <v>45</v>
      </c>
      <c r="Y178">
        <v>45</v>
      </c>
      <c r="Z178">
        <v>45</v>
      </c>
    </row>
    <row r="179" spans="2:26">
      <c r="B179" t="str">
        <f>IFERROR(VLOOKUP(Q179,unified_reference_costs!$I$41:$J$69,2,FALSE),B178)</f>
        <v>en_coal_subcritical</v>
      </c>
      <c r="C179" t="str">
        <f>IFERROR(VLOOKUP(Q179,unified_reference_costs!$I$31:$J$40,2,FALSE),"*")</f>
        <v>varom</v>
      </c>
      <c r="D179">
        <f t="shared" si="20"/>
        <v>2030</v>
      </c>
      <c r="E179">
        <f t="shared" si="21"/>
        <v>2.3610000000000002</v>
      </c>
      <c r="F179">
        <f t="shared" si="22"/>
        <v>2.3610000000000002</v>
      </c>
      <c r="G179">
        <f t="shared" si="23"/>
        <v>2.3610000000000002</v>
      </c>
      <c r="H179">
        <f t="shared" si="24"/>
        <v>2.3610000000000002</v>
      </c>
      <c r="I179">
        <f t="shared" si="25"/>
        <v>2.3610000000000002</v>
      </c>
      <c r="J179">
        <f t="shared" si="26"/>
        <v>2.3610000000000002</v>
      </c>
      <c r="K179">
        <f t="shared" si="27"/>
        <v>2.3610000000000002</v>
      </c>
      <c r="L179">
        <f t="shared" si="28"/>
        <v>2.3610000000000002</v>
      </c>
      <c r="M179">
        <f t="shared" si="29"/>
        <v>2.3610000000000002</v>
      </c>
      <c r="Q179" s="4" t="s">
        <v>164</v>
      </c>
      <c r="R179">
        <v>2.3610000000000002</v>
      </c>
      <c r="S179">
        <v>2.3610000000000002</v>
      </c>
      <c r="T179">
        <v>2.3610000000000002</v>
      </c>
      <c r="U179">
        <v>2.3610000000000002</v>
      </c>
      <c r="V179">
        <v>2.3610000000000002</v>
      </c>
      <c r="W179">
        <v>2.3610000000000002</v>
      </c>
      <c r="X179">
        <v>2.3610000000000002</v>
      </c>
      <c r="Y179">
        <v>2.3610000000000002</v>
      </c>
      <c r="Z179">
        <v>2.3610000000000002</v>
      </c>
    </row>
    <row r="180" spans="2:26">
      <c r="B180" t="str">
        <f>IFERROR(VLOOKUP(Q180,unified_reference_costs!$I$41:$J$69,2,FALSE),B179)</f>
        <v>en_coal_supercritical</v>
      </c>
      <c r="C180" t="str">
        <f>IFERROR(VLOOKUP(Q180,unified_reference_costs!$I$31:$J$40,2,FALSE),"*")</f>
        <v>*</v>
      </c>
      <c r="D180">
        <f t="shared" si="20"/>
        <v>2030</v>
      </c>
      <c r="E180" t="str">
        <f t="shared" si="21"/>
        <v/>
      </c>
      <c r="F180" t="str">
        <f t="shared" si="22"/>
        <v/>
      </c>
      <c r="G180" t="str">
        <f t="shared" si="23"/>
        <v/>
      </c>
      <c r="H180" t="str">
        <f t="shared" si="24"/>
        <v/>
      </c>
      <c r="I180" t="str">
        <f t="shared" si="25"/>
        <v/>
      </c>
      <c r="J180" t="str">
        <f t="shared" si="26"/>
        <v/>
      </c>
      <c r="K180" t="str">
        <f t="shared" si="27"/>
        <v/>
      </c>
      <c r="L180" t="str">
        <f t="shared" si="28"/>
        <v/>
      </c>
      <c r="M180" t="str">
        <f t="shared" si="29"/>
        <v/>
      </c>
      <c r="Q180" s="8" t="s">
        <v>34</v>
      </c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2:26">
      <c r="B181" t="str">
        <f>IFERROR(VLOOKUP(Q181,unified_reference_costs!$I$41:$J$69,2,FALSE),B180)</f>
        <v>en_coal_supercritical</v>
      </c>
      <c r="C181" t="str">
        <f>IFERROR(VLOOKUP(Q181,unified_reference_costs!$I$31:$J$40,2,FALSE),"*")</f>
        <v>invcost</v>
      </c>
      <c r="D181">
        <f t="shared" si="20"/>
        <v>2030</v>
      </c>
      <c r="E181">
        <f t="shared" si="21"/>
        <v>1600</v>
      </c>
      <c r="F181">
        <f t="shared" si="22"/>
        <v>1600</v>
      </c>
      <c r="G181">
        <f t="shared" si="23"/>
        <v>700</v>
      </c>
      <c r="H181">
        <f t="shared" si="24"/>
        <v>1200</v>
      </c>
      <c r="I181">
        <f t="shared" si="25"/>
        <v>2400</v>
      </c>
      <c r="J181">
        <f t="shared" si="26"/>
        <v>2000</v>
      </c>
      <c r="K181">
        <f t="shared" si="27"/>
        <v>2000</v>
      </c>
      <c r="L181">
        <f t="shared" si="28"/>
        <v>2100</v>
      </c>
      <c r="M181">
        <f t="shared" si="29"/>
        <v>1600</v>
      </c>
      <c r="Q181" s="4" t="s">
        <v>6</v>
      </c>
      <c r="R181">
        <v>1600</v>
      </c>
      <c r="S181">
        <v>1600</v>
      </c>
      <c r="T181">
        <v>700</v>
      </c>
      <c r="U181">
        <v>1200</v>
      </c>
      <c r="V181">
        <v>2400</v>
      </c>
      <c r="W181">
        <v>2000</v>
      </c>
      <c r="X181">
        <v>2000</v>
      </c>
      <c r="Y181">
        <v>2100</v>
      </c>
      <c r="Z181">
        <v>1600</v>
      </c>
    </row>
    <row r="182" spans="2:26">
      <c r="B182" t="str">
        <f>IFERROR(VLOOKUP(Q182,unified_reference_costs!$I$41:$J$69,2,FALSE),B181)</f>
        <v>en_coal_supercritical</v>
      </c>
      <c r="C182" t="str">
        <f>IFERROR(VLOOKUP(Q182,unified_reference_costs!$I$31:$J$40,2,FALSE),"*")</f>
        <v>efficiency</v>
      </c>
      <c r="D182">
        <f t="shared" si="20"/>
        <v>2030</v>
      </c>
      <c r="E182">
        <f t="shared" si="21"/>
        <v>0.39</v>
      </c>
      <c r="F182">
        <f t="shared" si="22"/>
        <v>0.43</v>
      </c>
      <c r="G182">
        <f t="shared" si="23"/>
        <v>0.41</v>
      </c>
      <c r="H182">
        <f t="shared" si="24"/>
        <v>0.4</v>
      </c>
      <c r="I182">
        <f t="shared" si="25"/>
        <v>0.43</v>
      </c>
      <c r="J182">
        <f t="shared" si="26"/>
        <v>0.43</v>
      </c>
      <c r="K182">
        <f t="shared" si="27"/>
        <v>0.43</v>
      </c>
      <c r="L182">
        <f t="shared" si="28"/>
        <v>0.43</v>
      </c>
      <c r="M182">
        <f t="shared" si="29"/>
        <v>0.41</v>
      </c>
      <c r="Q182" s="4" t="s">
        <v>12</v>
      </c>
      <c r="R182">
        <v>0.39</v>
      </c>
      <c r="S182">
        <v>0.43</v>
      </c>
      <c r="T182">
        <v>0.41</v>
      </c>
      <c r="U182">
        <v>0.4</v>
      </c>
      <c r="V182">
        <v>0.43</v>
      </c>
      <c r="W182">
        <v>0.43</v>
      </c>
      <c r="X182">
        <v>0.43</v>
      </c>
      <c r="Y182">
        <v>0.43</v>
      </c>
      <c r="Z182">
        <v>0.41</v>
      </c>
    </row>
    <row r="183" spans="2:26">
      <c r="B183" t="str">
        <f>IFERROR(VLOOKUP(Q183,unified_reference_costs!$I$41:$J$69,2,FALSE),B182)</f>
        <v>en_coal_supercritical</v>
      </c>
      <c r="C183" t="str">
        <f>IFERROR(VLOOKUP(Q183,unified_reference_costs!$I$31:$J$40,2,FALSE),"*")</f>
        <v>fixom</v>
      </c>
      <c r="D183">
        <f t="shared" si="20"/>
        <v>2030</v>
      </c>
      <c r="E183">
        <f t="shared" si="21"/>
        <v>55</v>
      </c>
      <c r="F183">
        <f t="shared" si="22"/>
        <v>65</v>
      </c>
      <c r="G183">
        <f t="shared" si="23"/>
        <v>30</v>
      </c>
      <c r="H183">
        <f t="shared" si="24"/>
        <v>50</v>
      </c>
      <c r="I183">
        <f t="shared" si="25"/>
        <v>70</v>
      </c>
      <c r="J183">
        <f t="shared" si="26"/>
        <v>70</v>
      </c>
      <c r="K183">
        <f t="shared" si="27"/>
        <v>60</v>
      </c>
      <c r="L183">
        <f t="shared" si="28"/>
        <v>65</v>
      </c>
      <c r="M183">
        <f t="shared" si="29"/>
        <v>65</v>
      </c>
      <c r="Q183" s="4" t="s">
        <v>10</v>
      </c>
      <c r="R183">
        <v>55</v>
      </c>
      <c r="S183">
        <v>65</v>
      </c>
      <c r="T183">
        <v>30</v>
      </c>
      <c r="U183">
        <v>50</v>
      </c>
      <c r="V183">
        <v>70</v>
      </c>
      <c r="W183">
        <v>70</v>
      </c>
      <c r="X183">
        <v>60</v>
      </c>
      <c r="Y183">
        <v>65</v>
      </c>
      <c r="Z183">
        <v>65</v>
      </c>
    </row>
    <row r="184" spans="2:26">
      <c r="B184" t="str">
        <f>IFERROR(VLOOKUP(Q184,unified_reference_costs!$I$41:$J$69,2,FALSE),B183)</f>
        <v>en_coal_supercritical</v>
      </c>
      <c r="C184" t="str">
        <f>IFERROR(VLOOKUP(Q184,unified_reference_costs!$I$31:$J$40,2,FALSE),"*")</f>
        <v>varom</v>
      </c>
      <c r="D184">
        <f t="shared" si="20"/>
        <v>2030</v>
      </c>
      <c r="E184">
        <f t="shared" si="21"/>
        <v>2.4969999999999999</v>
      </c>
      <c r="F184">
        <f t="shared" si="22"/>
        <v>2.4969999999999999</v>
      </c>
      <c r="G184">
        <f t="shared" si="23"/>
        <v>2.4969999999999999</v>
      </c>
      <c r="H184">
        <f t="shared" si="24"/>
        <v>2.4969999999999999</v>
      </c>
      <c r="I184">
        <f t="shared" si="25"/>
        <v>2.4969999999999999</v>
      </c>
      <c r="J184">
        <f t="shared" si="26"/>
        <v>2.4969999999999999</v>
      </c>
      <c r="K184">
        <f t="shared" si="27"/>
        <v>2.4969999999999999</v>
      </c>
      <c r="L184">
        <f t="shared" si="28"/>
        <v>2.4969999999999999</v>
      </c>
      <c r="M184">
        <f t="shared" si="29"/>
        <v>2.4969999999999999</v>
      </c>
      <c r="Q184" s="4" t="s">
        <v>164</v>
      </c>
      <c r="R184">
        <v>2.4969999999999999</v>
      </c>
      <c r="S184">
        <v>2.4969999999999999</v>
      </c>
      <c r="T184">
        <v>2.4969999999999999</v>
      </c>
      <c r="U184">
        <v>2.4969999999999999</v>
      </c>
      <c r="V184">
        <v>2.4969999999999999</v>
      </c>
      <c r="W184">
        <v>2.4969999999999999</v>
      </c>
      <c r="X184">
        <v>2.4969999999999999</v>
      </c>
      <c r="Y184">
        <v>2.4969999999999999</v>
      </c>
      <c r="Z184">
        <v>2.4969999999999999</v>
      </c>
    </row>
    <row r="185" spans="2:26">
      <c r="B185" t="str">
        <f>IFERROR(VLOOKUP(Q185,unified_reference_costs!$I$41:$J$69,2,FALSE),B184)</f>
        <v>en_coal_ultrasupercritical</v>
      </c>
      <c r="C185" t="str">
        <f>IFERROR(VLOOKUP(Q185,unified_reference_costs!$I$31:$J$40,2,FALSE),"*")</f>
        <v>*</v>
      </c>
      <c r="D185">
        <f t="shared" si="20"/>
        <v>2030</v>
      </c>
      <c r="E185" t="str">
        <f t="shared" si="21"/>
        <v/>
      </c>
      <c r="F185" t="str">
        <f t="shared" si="22"/>
        <v/>
      </c>
      <c r="G185" t="str">
        <f t="shared" si="23"/>
        <v/>
      </c>
      <c r="H185" t="str">
        <f t="shared" si="24"/>
        <v/>
      </c>
      <c r="I185" t="str">
        <f t="shared" si="25"/>
        <v/>
      </c>
      <c r="J185" t="str">
        <f t="shared" si="26"/>
        <v/>
      </c>
      <c r="K185" t="str">
        <f t="shared" si="27"/>
        <v/>
      </c>
      <c r="L185" t="str">
        <f t="shared" si="28"/>
        <v/>
      </c>
      <c r="M185" t="str">
        <f t="shared" si="29"/>
        <v/>
      </c>
      <c r="Q185" s="8" t="s">
        <v>35</v>
      </c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2:26">
      <c r="B186" t="str">
        <f>IFERROR(VLOOKUP(Q186,unified_reference_costs!$I$41:$J$69,2,FALSE),B185)</f>
        <v>en_coal_ultrasupercritical</v>
      </c>
      <c r="C186" t="str">
        <f>IFERROR(VLOOKUP(Q186,unified_reference_costs!$I$31:$J$40,2,FALSE),"*")</f>
        <v>invcost</v>
      </c>
      <c r="D186">
        <f t="shared" si="20"/>
        <v>2030</v>
      </c>
      <c r="E186">
        <f t="shared" si="21"/>
        <v>1900</v>
      </c>
      <c r="F186">
        <f t="shared" si="22"/>
        <v>1800</v>
      </c>
      <c r="G186">
        <f t="shared" si="23"/>
        <v>800</v>
      </c>
      <c r="H186">
        <f t="shared" si="24"/>
        <v>1400</v>
      </c>
      <c r="I186">
        <f t="shared" si="25"/>
        <v>2600</v>
      </c>
      <c r="J186">
        <f t="shared" si="26"/>
        <v>2200</v>
      </c>
      <c r="K186">
        <f t="shared" si="27"/>
        <v>2200</v>
      </c>
      <c r="L186">
        <f t="shared" si="28"/>
        <v>2300</v>
      </c>
      <c r="M186">
        <f t="shared" si="29"/>
        <v>1600</v>
      </c>
      <c r="Q186" s="4" t="s">
        <v>6</v>
      </c>
      <c r="R186">
        <v>1900</v>
      </c>
      <c r="S186">
        <v>1800</v>
      </c>
      <c r="T186">
        <v>800</v>
      </c>
      <c r="U186">
        <v>1400</v>
      </c>
      <c r="V186">
        <v>2600</v>
      </c>
      <c r="W186">
        <v>2200</v>
      </c>
      <c r="X186">
        <v>2200</v>
      </c>
      <c r="Y186">
        <v>2300</v>
      </c>
      <c r="Z186">
        <v>1600</v>
      </c>
    </row>
    <row r="187" spans="2:26">
      <c r="B187" t="str">
        <f>IFERROR(VLOOKUP(Q187,unified_reference_costs!$I$41:$J$69,2,FALSE),B186)</f>
        <v>en_coal_ultrasupercritical</v>
      </c>
      <c r="C187" t="str">
        <f>IFERROR(VLOOKUP(Q187,unified_reference_costs!$I$31:$J$40,2,FALSE),"*")</f>
        <v>efficiency</v>
      </c>
      <c r="D187">
        <f t="shared" si="20"/>
        <v>2030</v>
      </c>
      <c r="E187">
        <f t="shared" si="21"/>
        <v>0.43</v>
      </c>
      <c r="F187">
        <f t="shared" si="22"/>
        <v>0.47</v>
      </c>
      <c r="G187">
        <f t="shared" si="23"/>
        <v>0.46</v>
      </c>
      <c r="H187">
        <f t="shared" si="24"/>
        <v>0.42</v>
      </c>
      <c r="I187">
        <f t="shared" si="25"/>
        <v>0.47</v>
      </c>
      <c r="J187">
        <f t="shared" si="26"/>
        <v>0.47</v>
      </c>
      <c r="K187">
        <f t="shared" si="27"/>
        <v>0.47</v>
      </c>
      <c r="L187">
        <f t="shared" si="28"/>
        <v>0.47</v>
      </c>
      <c r="M187">
        <f t="shared" si="29"/>
        <v>0.45</v>
      </c>
      <c r="Q187" s="4" t="s">
        <v>12</v>
      </c>
      <c r="R187">
        <v>0.43</v>
      </c>
      <c r="S187">
        <v>0.47</v>
      </c>
      <c r="T187">
        <v>0.46</v>
      </c>
      <c r="U187">
        <v>0.42</v>
      </c>
      <c r="V187">
        <v>0.47</v>
      </c>
      <c r="W187">
        <v>0.47</v>
      </c>
      <c r="X187">
        <v>0.47</v>
      </c>
      <c r="Y187">
        <v>0.47</v>
      </c>
      <c r="Z187">
        <v>0.45</v>
      </c>
    </row>
    <row r="188" spans="2:26">
      <c r="B188" t="str">
        <f>IFERROR(VLOOKUP(Q188,unified_reference_costs!$I$41:$J$69,2,FALSE),B187)</f>
        <v>en_coal_ultrasupercritical</v>
      </c>
      <c r="C188" t="str">
        <f>IFERROR(VLOOKUP(Q188,unified_reference_costs!$I$31:$J$40,2,FALSE),"*")</f>
        <v>fixom</v>
      </c>
      <c r="D188">
        <f t="shared" si="20"/>
        <v>2030</v>
      </c>
      <c r="E188">
        <f t="shared" si="21"/>
        <v>70</v>
      </c>
      <c r="F188">
        <f t="shared" si="22"/>
        <v>70</v>
      </c>
      <c r="G188">
        <f t="shared" si="23"/>
        <v>30</v>
      </c>
      <c r="H188">
        <f t="shared" si="24"/>
        <v>55</v>
      </c>
      <c r="I188">
        <f t="shared" si="25"/>
        <v>80</v>
      </c>
      <c r="J188">
        <f t="shared" si="26"/>
        <v>65</v>
      </c>
      <c r="K188">
        <f t="shared" si="27"/>
        <v>65</v>
      </c>
      <c r="L188">
        <f t="shared" si="28"/>
        <v>70</v>
      </c>
      <c r="M188">
        <f t="shared" si="29"/>
        <v>65</v>
      </c>
      <c r="Q188" s="4" t="s">
        <v>10</v>
      </c>
      <c r="R188">
        <v>70</v>
      </c>
      <c r="S188">
        <v>70</v>
      </c>
      <c r="T188">
        <v>30</v>
      </c>
      <c r="U188">
        <v>55</v>
      </c>
      <c r="V188">
        <v>80</v>
      </c>
      <c r="W188">
        <v>65</v>
      </c>
      <c r="X188">
        <v>65</v>
      </c>
      <c r="Y188">
        <v>70</v>
      </c>
      <c r="Z188">
        <v>65</v>
      </c>
    </row>
    <row r="189" spans="2:26">
      <c r="B189" t="str">
        <f>IFERROR(VLOOKUP(Q189,unified_reference_costs!$I$41:$J$69,2,FALSE),B188)</f>
        <v>en_coal_ultrasupercritical</v>
      </c>
      <c r="C189" t="str">
        <f>IFERROR(VLOOKUP(Q189,unified_reference_costs!$I$31:$J$40,2,FALSE),"*")</f>
        <v>varom</v>
      </c>
      <c r="D189">
        <f t="shared" si="20"/>
        <v>2030</v>
      </c>
      <c r="E189">
        <f t="shared" si="21"/>
        <v>2.6389999999999998</v>
      </c>
      <c r="F189">
        <f t="shared" si="22"/>
        <v>2.6389999999999998</v>
      </c>
      <c r="G189">
        <f t="shared" si="23"/>
        <v>2.6389999999999998</v>
      </c>
      <c r="H189">
        <f t="shared" si="24"/>
        <v>2.6389999999999998</v>
      </c>
      <c r="I189">
        <f t="shared" si="25"/>
        <v>2.6389999999999998</v>
      </c>
      <c r="J189">
        <f t="shared" si="26"/>
        <v>2.6389999999999998</v>
      </c>
      <c r="K189">
        <f t="shared" si="27"/>
        <v>2.6389999999999998</v>
      </c>
      <c r="L189">
        <f t="shared" si="28"/>
        <v>2.6389999999999998</v>
      </c>
      <c r="M189">
        <f t="shared" si="29"/>
        <v>2.6389999999999998</v>
      </c>
      <c r="Q189" s="4" t="s">
        <v>164</v>
      </c>
      <c r="R189">
        <v>2.6389999999999998</v>
      </c>
      <c r="S189">
        <v>2.6389999999999998</v>
      </c>
      <c r="T189">
        <v>2.6389999999999998</v>
      </c>
      <c r="U189">
        <v>2.6389999999999998</v>
      </c>
      <c r="V189">
        <v>2.6389999999999998</v>
      </c>
      <c r="W189">
        <v>2.6389999999999998</v>
      </c>
      <c r="X189">
        <v>2.6389999999999998</v>
      </c>
      <c r="Y189">
        <v>2.6389999999999998</v>
      </c>
      <c r="Z189">
        <v>2.6389999999999998</v>
      </c>
    </row>
    <row r="190" spans="2:26">
      <c r="B190" t="str">
        <f>IFERROR(VLOOKUP(Q190,unified_reference_costs!$I$41:$J$69,2,FALSE),B189)</f>
        <v>en_coal_igcc</v>
      </c>
      <c r="C190" t="str">
        <f>IFERROR(VLOOKUP(Q190,unified_reference_costs!$I$31:$J$40,2,FALSE),"*")</f>
        <v>*</v>
      </c>
      <c r="D190">
        <f t="shared" si="20"/>
        <v>2030</v>
      </c>
      <c r="E190" t="str">
        <f t="shared" si="21"/>
        <v/>
      </c>
      <c r="F190" t="str">
        <f t="shared" si="22"/>
        <v/>
      </c>
      <c r="G190" t="str">
        <f t="shared" si="23"/>
        <v/>
      </c>
      <c r="H190" t="str">
        <f t="shared" si="24"/>
        <v/>
      </c>
      <c r="I190" t="str">
        <f t="shared" si="25"/>
        <v/>
      </c>
      <c r="J190" t="str">
        <f t="shared" si="26"/>
        <v/>
      </c>
      <c r="K190" t="str">
        <f t="shared" si="27"/>
        <v/>
      </c>
      <c r="L190" t="str">
        <f t="shared" si="28"/>
        <v/>
      </c>
      <c r="M190" t="str">
        <f t="shared" si="29"/>
        <v/>
      </c>
      <c r="Q190" s="8" t="s">
        <v>36</v>
      </c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2:26">
      <c r="B191" t="str">
        <f>IFERROR(VLOOKUP(Q191,unified_reference_costs!$I$41:$J$69,2,FALSE),B190)</f>
        <v>en_coal_igcc</v>
      </c>
      <c r="C191" t="str">
        <f>IFERROR(VLOOKUP(Q191,unified_reference_costs!$I$31:$J$40,2,FALSE),"*")</f>
        <v>invcost</v>
      </c>
      <c r="D191">
        <f t="shared" si="20"/>
        <v>2030</v>
      </c>
      <c r="E191">
        <f t="shared" si="21"/>
        <v>2100</v>
      </c>
      <c r="F191">
        <f t="shared" si="22"/>
        <v>1900</v>
      </c>
      <c r="G191">
        <f t="shared" si="23"/>
        <v>1000</v>
      </c>
      <c r="H191">
        <f t="shared" si="24"/>
        <v>1500</v>
      </c>
      <c r="I191">
        <f t="shared" si="25"/>
        <v>2750</v>
      </c>
      <c r="J191">
        <f t="shared" si="26"/>
        <v>2350</v>
      </c>
      <c r="K191">
        <f t="shared" si="27"/>
        <v>2350</v>
      </c>
      <c r="L191">
        <f t="shared" si="28"/>
        <v>2450</v>
      </c>
      <c r="M191">
        <f t="shared" si="29"/>
        <v>1900</v>
      </c>
      <c r="Q191" s="4" t="s">
        <v>6</v>
      </c>
      <c r="R191">
        <v>2100</v>
      </c>
      <c r="S191">
        <v>1900</v>
      </c>
      <c r="T191">
        <v>1000</v>
      </c>
      <c r="U191">
        <v>1500</v>
      </c>
      <c r="V191">
        <v>2750</v>
      </c>
      <c r="W191">
        <v>2350</v>
      </c>
      <c r="X191">
        <v>2350</v>
      </c>
      <c r="Y191">
        <v>2450</v>
      </c>
      <c r="Z191">
        <v>1900</v>
      </c>
    </row>
    <row r="192" spans="2:26">
      <c r="B192" t="str">
        <f>IFERROR(VLOOKUP(Q192,unified_reference_costs!$I$41:$J$69,2,FALSE),B191)</f>
        <v>en_coal_igcc</v>
      </c>
      <c r="C192" t="str">
        <f>IFERROR(VLOOKUP(Q192,unified_reference_costs!$I$31:$J$40,2,FALSE),"*")</f>
        <v>efficiency</v>
      </c>
      <c r="D192">
        <f t="shared" si="20"/>
        <v>2030</v>
      </c>
      <c r="E192">
        <f t="shared" si="21"/>
        <v>0.43</v>
      </c>
      <c r="F192">
        <f t="shared" si="22"/>
        <v>0.47</v>
      </c>
      <c r="G192">
        <f t="shared" si="23"/>
        <v>0.46</v>
      </c>
      <c r="H192">
        <f t="shared" si="24"/>
        <v>0.44</v>
      </c>
      <c r="I192">
        <f t="shared" si="25"/>
        <v>0.47</v>
      </c>
      <c r="J192">
        <f t="shared" si="26"/>
        <v>0.47</v>
      </c>
      <c r="K192">
        <f t="shared" si="27"/>
        <v>0.47</v>
      </c>
      <c r="L192">
        <f t="shared" si="28"/>
        <v>0.47</v>
      </c>
      <c r="M192">
        <f t="shared" si="29"/>
        <v>0.45</v>
      </c>
      <c r="Q192" s="4" t="s">
        <v>12</v>
      </c>
      <c r="R192">
        <v>0.43</v>
      </c>
      <c r="S192">
        <v>0.47</v>
      </c>
      <c r="T192">
        <v>0.46</v>
      </c>
      <c r="U192">
        <v>0.44</v>
      </c>
      <c r="V192">
        <v>0.47</v>
      </c>
      <c r="W192">
        <v>0.47</v>
      </c>
      <c r="X192">
        <v>0.47</v>
      </c>
      <c r="Y192">
        <v>0.47</v>
      </c>
      <c r="Z192">
        <v>0.45</v>
      </c>
    </row>
    <row r="193" spans="2:26">
      <c r="B193" t="str">
        <f>IFERROR(VLOOKUP(Q193,unified_reference_costs!$I$41:$J$69,2,FALSE),B192)</f>
        <v>en_coal_igcc</v>
      </c>
      <c r="C193" t="str">
        <f>IFERROR(VLOOKUP(Q193,unified_reference_costs!$I$31:$J$40,2,FALSE),"*")</f>
        <v>fixom</v>
      </c>
      <c r="D193">
        <f t="shared" si="20"/>
        <v>2030</v>
      </c>
      <c r="E193">
        <f t="shared" si="21"/>
        <v>85</v>
      </c>
      <c r="F193">
        <f t="shared" si="22"/>
        <v>85</v>
      </c>
      <c r="G193">
        <f t="shared" si="23"/>
        <v>45</v>
      </c>
      <c r="H193">
        <f t="shared" si="24"/>
        <v>70</v>
      </c>
      <c r="I193">
        <f t="shared" si="25"/>
        <v>95</v>
      </c>
      <c r="J193">
        <f t="shared" si="26"/>
        <v>85</v>
      </c>
      <c r="K193">
        <f t="shared" si="27"/>
        <v>85</v>
      </c>
      <c r="L193">
        <f t="shared" si="28"/>
        <v>85</v>
      </c>
      <c r="M193">
        <f t="shared" si="29"/>
        <v>85</v>
      </c>
      <c r="Q193" s="4" t="s">
        <v>10</v>
      </c>
      <c r="R193">
        <v>85</v>
      </c>
      <c r="S193">
        <v>85</v>
      </c>
      <c r="T193">
        <v>45</v>
      </c>
      <c r="U193">
        <v>70</v>
      </c>
      <c r="V193">
        <v>95</v>
      </c>
      <c r="W193">
        <v>85</v>
      </c>
      <c r="X193">
        <v>85</v>
      </c>
      <c r="Y193">
        <v>85</v>
      </c>
      <c r="Z193">
        <v>85</v>
      </c>
    </row>
    <row r="194" spans="2:26">
      <c r="B194" t="str">
        <f>IFERROR(VLOOKUP(Q194,unified_reference_costs!$I$41:$J$69,2,FALSE),B193)</f>
        <v>en_coal_ccs</v>
      </c>
      <c r="C194" t="str">
        <f>IFERROR(VLOOKUP(Q194,unified_reference_costs!$I$31:$J$40,2,FALSE),"*")</f>
        <v>*</v>
      </c>
      <c r="D194">
        <f t="shared" si="20"/>
        <v>2030</v>
      </c>
      <c r="E194" t="str">
        <f t="shared" si="21"/>
        <v/>
      </c>
      <c r="F194" t="str">
        <f t="shared" si="22"/>
        <v/>
      </c>
      <c r="G194" t="str">
        <f t="shared" si="23"/>
        <v/>
      </c>
      <c r="H194" t="str">
        <f t="shared" si="24"/>
        <v/>
      </c>
      <c r="I194" t="str">
        <f t="shared" si="25"/>
        <v/>
      </c>
      <c r="J194" t="str">
        <f t="shared" si="26"/>
        <v/>
      </c>
      <c r="K194" t="str">
        <f t="shared" si="27"/>
        <v/>
      </c>
      <c r="L194" t="str">
        <f t="shared" si="28"/>
        <v/>
      </c>
      <c r="M194" t="str">
        <f t="shared" si="29"/>
        <v/>
      </c>
      <c r="Q194" s="4" t="s">
        <v>37</v>
      </c>
    </row>
    <row r="195" spans="2:26">
      <c r="B195" t="str">
        <f>IFERROR(VLOOKUP(Q195,unified_reference_costs!$I$41:$J$69,2,FALSE),B194)</f>
        <v>en_coal_ccs</v>
      </c>
      <c r="C195" t="str">
        <f>IFERROR(VLOOKUP(Q195,unified_reference_costs!$I$31:$J$40,2,FALSE),"*")</f>
        <v>invcost</v>
      </c>
      <c r="D195">
        <f t="shared" si="20"/>
        <v>2030</v>
      </c>
      <c r="E195">
        <f t="shared" si="21"/>
        <v>4500</v>
      </c>
      <c r="F195">
        <f t="shared" si="22"/>
        <v>4300</v>
      </c>
      <c r="G195">
        <f t="shared" si="23"/>
        <v>3400</v>
      </c>
      <c r="H195">
        <f t="shared" si="24"/>
        <v>3900</v>
      </c>
      <c r="I195">
        <f t="shared" si="25"/>
        <v>5900</v>
      </c>
      <c r="J195">
        <f t="shared" si="26"/>
        <v>5100</v>
      </c>
      <c r="K195">
        <f t="shared" si="27"/>
        <v>5500</v>
      </c>
      <c r="L195">
        <f t="shared" si="28"/>
        <v>5600</v>
      </c>
      <c r="M195">
        <f t="shared" si="29"/>
        <v>4500</v>
      </c>
      <c r="Q195" s="8" t="s">
        <v>6</v>
      </c>
      <c r="R195" s="22">
        <v>4500</v>
      </c>
      <c r="S195" s="22">
        <v>4300</v>
      </c>
      <c r="T195" s="22">
        <v>3400</v>
      </c>
      <c r="U195" s="22">
        <v>3900</v>
      </c>
      <c r="V195" s="22">
        <v>5900</v>
      </c>
      <c r="W195" s="22">
        <v>5100</v>
      </c>
      <c r="X195" s="22">
        <v>5500</v>
      </c>
      <c r="Y195" s="22">
        <v>5600</v>
      </c>
      <c r="Z195" s="22">
        <v>4500</v>
      </c>
    </row>
    <row r="196" spans="2:26">
      <c r="B196" t="str">
        <f>IFERROR(VLOOKUP(Q196,unified_reference_costs!$I$41:$J$69,2,FALSE),B195)</f>
        <v>en_coal_ccs</v>
      </c>
      <c r="C196" t="str">
        <f>IFERROR(VLOOKUP(Q196,unified_reference_costs!$I$31:$J$40,2,FALSE),"*")</f>
        <v>efficiency</v>
      </c>
      <c r="D196">
        <f t="shared" ref="D196:D259" si="30">IF(ISNUMBER(Q196),Q196,D195)</f>
        <v>2030</v>
      </c>
      <c r="E196">
        <f t="shared" si="21"/>
        <v>0.33</v>
      </c>
      <c r="F196" t="str">
        <f t="shared" si="22"/>
        <v/>
      </c>
      <c r="G196">
        <f t="shared" si="23"/>
        <v>0.36</v>
      </c>
      <c r="H196">
        <f t="shared" si="24"/>
        <v>0.32</v>
      </c>
      <c r="I196">
        <f t="shared" si="25"/>
        <v>0.37</v>
      </c>
      <c r="J196">
        <f t="shared" si="26"/>
        <v>0.37</v>
      </c>
      <c r="K196">
        <f t="shared" si="27"/>
        <v>0.37</v>
      </c>
      <c r="L196">
        <f t="shared" si="28"/>
        <v>0.37</v>
      </c>
      <c r="M196" t="str">
        <f t="shared" si="29"/>
        <v/>
      </c>
      <c r="Q196" s="4" t="s">
        <v>12</v>
      </c>
      <c r="R196">
        <v>0.33</v>
      </c>
      <c r="T196">
        <v>0.36</v>
      </c>
      <c r="U196">
        <v>0.32</v>
      </c>
      <c r="V196">
        <v>0.37</v>
      </c>
      <c r="W196">
        <v>0.37</v>
      </c>
      <c r="X196">
        <v>0.37</v>
      </c>
      <c r="Y196">
        <v>0.37</v>
      </c>
    </row>
    <row r="197" spans="2:26">
      <c r="B197" t="str">
        <f>IFERROR(VLOOKUP(Q197,unified_reference_costs!$I$41:$J$69,2,FALSE),B196)</f>
        <v>en_coal_ccs</v>
      </c>
      <c r="C197" t="str">
        <f>IFERROR(VLOOKUP(Q197,unified_reference_costs!$I$31:$J$40,2,FALSE),"*")</f>
        <v>fixom</v>
      </c>
      <c r="D197">
        <f t="shared" si="30"/>
        <v>2030</v>
      </c>
      <c r="E197">
        <f t="shared" si="21"/>
        <v>175</v>
      </c>
      <c r="F197">
        <f t="shared" si="22"/>
        <v>170</v>
      </c>
      <c r="G197">
        <f t="shared" si="23"/>
        <v>135</v>
      </c>
      <c r="H197">
        <f t="shared" si="24"/>
        <v>155</v>
      </c>
      <c r="I197">
        <f t="shared" si="25"/>
        <v>175</v>
      </c>
      <c r="J197">
        <f t="shared" si="26"/>
        <v>180</v>
      </c>
      <c r="K197">
        <f t="shared" si="27"/>
        <v>165</v>
      </c>
      <c r="L197">
        <f t="shared" si="28"/>
        <v>170</v>
      </c>
      <c r="M197">
        <f t="shared" si="29"/>
        <v>180</v>
      </c>
      <c r="Q197" s="4" t="s">
        <v>10</v>
      </c>
      <c r="R197">
        <v>175</v>
      </c>
      <c r="S197">
        <v>170</v>
      </c>
      <c r="T197">
        <v>135</v>
      </c>
      <c r="U197">
        <v>155</v>
      </c>
      <c r="V197">
        <v>175</v>
      </c>
      <c r="W197">
        <v>180</v>
      </c>
      <c r="X197">
        <v>165</v>
      </c>
      <c r="Y197">
        <v>170</v>
      </c>
      <c r="Z197">
        <v>180</v>
      </c>
    </row>
    <row r="198" spans="2:26">
      <c r="B198" t="str">
        <f>IFERROR(VLOOKUP(Q198,unified_reference_costs!$I$41:$J$69,2,FALSE),B197)</f>
        <v>en_coal_ccs</v>
      </c>
      <c r="C198" t="str">
        <f>IFERROR(VLOOKUP(Q198,unified_reference_costs!$I$31:$J$40,2,FALSE),"*")</f>
        <v>varom</v>
      </c>
      <c r="D198">
        <f t="shared" si="30"/>
        <v>2030</v>
      </c>
      <c r="E198">
        <f t="shared" ref="E198:E261" si="31">IF(R198="","",R198)</f>
        <v>4.1529999999999996</v>
      </c>
      <c r="F198">
        <f t="shared" ref="F198:F261" si="32">IF(S198="","",S198)</f>
        <v>4.1529999999999996</v>
      </c>
      <c r="G198">
        <f t="shared" ref="G198:G261" si="33">IF(T198="","",T198)</f>
        <v>4.1529999999999996</v>
      </c>
      <c r="H198">
        <f t="shared" ref="H198:H261" si="34">IF(U198="","",U198)</f>
        <v>4.1529999999999996</v>
      </c>
      <c r="I198">
        <f t="shared" ref="I198:I261" si="35">IF(V198="","",V198)</f>
        <v>4.1529999999999996</v>
      </c>
      <c r="J198">
        <f t="shared" ref="J198:J261" si="36">IF(W198="","",W198)</f>
        <v>4.1529999999999996</v>
      </c>
      <c r="K198">
        <f t="shared" ref="K198:K261" si="37">IF(X198="","",X198)</f>
        <v>4.1529999999999996</v>
      </c>
      <c r="L198">
        <f t="shared" ref="L198:L261" si="38">IF(Y198="","",Y198)</f>
        <v>4.1529999999999996</v>
      </c>
      <c r="M198">
        <f t="shared" ref="M198:M261" si="39">IF(Z198="","",Z198)</f>
        <v>4.1529999999999996</v>
      </c>
      <c r="Q198" s="4" t="s">
        <v>164</v>
      </c>
      <c r="R198">
        <v>4.1529999999999996</v>
      </c>
      <c r="S198">
        <v>4.1529999999999996</v>
      </c>
      <c r="T198">
        <v>4.1529999999999996</v>
      </c>
      <c r="U198">
        <v>4.1529999999999996</v>
      </c>
      <c r="V198">
        <v>4.1529999999999996</v>
      </c>
      <c r="W198">
        <v>4.1529999999999996</v>
      </c>
      <c r="X198">
        <v>4.1529999999999996</v>
      </c>
      <c r="Y198">
        <v>4.1529999999999996</v>
      </c>
      <c r="Z198">
        <v>4.1529999999999996</v>
      </c>
    </row>
    <row r="199" spans="2:26">
      <c r="B199" t="str">
        <f>IFERROR(VLOOKUP(Q199,unified_reference_costs!$I$41:$J$69,2,FALSE),B198)</f>
        <v>\I:</v>
      </c>
      <c r="C199" t="str">
        <f>IFERROR(VLOOKUP(Q199,unified_reference_costs!$I$31:$J$40,2,FALSE),"*")</f>
        <v>*</v>
      </c>
      <c r="D199">
        <f t="shared" si="30"/>
        <v>2030</v>
      </c>
      <c r="E199" t="str">
        <f t="shared" si="31"/>
        <v/>
      </c>
      <c r="F199" t="str">
        <f t="shared" si="32"/>
        <v/>
      </c>
      <c r="G199" t="str">
        <f t="shared" si="33"/>
        <v/>
      </c>
      <c r="H199" t="str">
        <f t="shared" si="34"/>
        <v/>
      </c>
      <c r="I199" t="str">
        <f t="shared" si="35"/>
        <v/>
      </c>
      <c r="J199" t="str">
        <f t="shared" si="36"/>
        <v/>
      </c>
      <c r="K199" t="str">
        <f t="shared" si="37"/>
        <v/>
      </c>
      <c r="L199" t="str">
        <f t="shared" si="38"/>
        <v/>
      </c>
      <c r="M199" t="str">
        <f t="shared" si="39"/>
        <v/>
      </c>
      <c r="Q199" s="4" t="s">
        <v>38</v>
      </c>
    </row>
    <row r="200" spans="2:26">
      <c r="B200" t="str">
        <f>IFERROR(VLOOKUP(Q200,unified_reference_costs!$I$41:$J$69,2,FALSE),B199)</f>
        <v>\I:</v>
      </c>
      <c r="C200" t="str">
        <f>IFERROR(VLOOKUP(Q200,unified_reference_costs!$I$31:$J$40,2,FALSE),"*")</f>
        <v>invcost</v>
      </c>
      <c r="D200">
        <f t="shared" si="30"/>
        <v>2030</v>
      </c>
      <c r="E200">
        <f t="shared" si="31"/>
        <v>4800</v>
      </c>
      <c r="F200">
        <f t="shared" si="32"/>
        <v>4700</v>
      </c>
      <c r="G200">
        <f t="shared" si="33"/>
        <v>3500</v>
      </c>
      <c r="H200">
        <f t="shared" si="34"/>
        <v>4100</v>
      </c>
      <c r="I200">
        <f t="shared" si="35"/>
        <v>6100</v>
      </c>
      <c r="J200">
        <f t="shared" si="36"/>
        <v>5300</v>
      </c>
      <c r="K200">
        <f t="shared" si="37"/>
        <v>5700</v>
      </c>
      <c r="L200">
        <f t="shared" si="38"/>
        <v>5800</v>
      </c>
      <c r="M200">
        <f t="shared" si="39"/>
        <v>4300</v>
      </c>
      <c r="Q200" s="8" t="s">
        <v>6</v>
      </c>
      <c r="R200" s="22">
        <v>4800</v>
      </c>
      <c r="S200" s="22">
        <v>4700</v>
      </c>
      <c r="T200" s="22">
        <v>3500</v>
      </c>
      <c r="U200" s="22">
        <v>4100</v>
      </c>
      <c r="V200" s="22">
        <v>6100</v>
      </c>
      <c r="W200" s="22">
        <v>5300</v>
      </c>
      <c r="X200" s="22">
        <v>5700</v>
      </c>
      <c r="Y200" s="22">
        <v>5800</v>
      </c>
      <c r="Z200" s="22">
        <v>4300</v>
      </c>
    </row>
    <row r="201" spans="2:26">
      <c r="B201" t="str">
        <f>IFERROR(VLOOKUP(Q201,unified_reference_costs!$I$41:$J$69,2,FALSE),B200)</f>
        <v>\I:</v>
      </c>
      <c r="C201" t="str">
        <f>IFERROR(VLOOKUP(Q201,unified_reference_costs!$I$31:$J$40,2,FALSE),"*")</f>
        <v>efficiency</v>
      </c>
      <c r="D201">
        <f t="shared" si="30"/>
        <v>2030</v>
      </c>
      <c r="E201">
        <f t="shared" si="31"/>
        <v>0.33</v>
      </c>
      <c r="F201" t="str">
        <f t="shared" si="32"/>
        <v/>
      </c>
      <c r="G201">
        <f t="shared" si="33"/>
        <v>0.36</v>
      </c>
      <c r="H201">
        <f t="shared" si="34"/>
        <v>0.32</v>
      </c>
      <c r="I201">
        <f t="shared" si="35"/>
        <v>0.37</v>
      </c>
      <c r="J201">
        <f t="shared" si="36"/>
        <v>0.37</v>
      </c>
      <c r="K201">
        <f t="shared" si="37"/>
        <v>0.37</v>
      </c>
      <c r="L201">
        <f t="shared" si="38"/>
        <v>0.37</v>
      </c>
      <c r="M201" t="str">
        <f t="shared" si="39"/>
        <v/>
      </c>
      <c r="Q201" s="4" t="s">
        <v>12</v>
      </c>
      <c r="R201">
        <v>0.33</v>
      </c>
      <c r="T201">
        <v>0.36</v>
      </c>
      <c r="U201">
        <v>0.32</v>
      </c>
      <c r="V201">
        <v>0.37</v>
      </c>
      <c r="W201">
        <v>0.37</v>
      </c>
      <c r="X201">
        <v>0.37</v>
      </c>
      <c r="Y201">
        <v>0.37</v>
      </c>
    </row>
    <row r="202" spans="2:26">
      <c r="B202" t="str">
        <f>IFERROR(VLOOKUP(Q202,unified_reference_costs!$I$41:$J$69,2,FALSE),B201)</f>
        <v>\I:</v>
      </c>
      <c r="C202" t="str">
        <f>IFERROR(VLOOKUP(Q202,unified_reference_costs!$I$31:$J$40,2,FALSE),"*")</f>
        <v>fixom</v>
      </c>
      <c r="D202">
        <f t="shared" si="30"/>
        <v>2030</v>
      </c>
      <c r="E202">
        <f t="shared" si="31"/>
        <v>185</v>
      </c>
      <c r="F202">
        <f t="shared" si="32"/>
        <v>190</v>
      </c>
      <c r="G202">
        <f t="shared" si="33"/>
        <v>140</v>
      </c>
      <c r="H202">
        <f t="shared" si="34"/>
        <v>165</v>
      </c>
      <c r="I202">
        <f t="shared" si="35"/>
        <v>185</v>
      </c>
      <c r="J202">
        <f t="shared" si="36"/>
        <v>160</v>
      </c>
      <c r="K202">
        <f t="shared" si="37"/>
        <v>170</v>
      </c>
      <c r="L202">
        <f t="shared" si="38"/>
        <v>175</v>
      </c>
      <c r="M202">
        <f t="shared" si="39"/>
        <v>170</v>
      </c>
      <c r="Q202" s="4" t="s">
        <v>10</v>
      </c>
      <c r="R202">
        <v>185</v>
      </c>
      <c r="S202">
        <v>190</v>
      </c>
      <c r="T202">
        <v>140</v>
      </c>
      <c r="U202">
        <v>165</v>
      </c>
      <c r="V202">
        <v>185</v>
      </c>
      <c r="W202">
        <v>160</v>
      </c>
      <c r="X202">
        <v>170</v>
      </c>
      <c r="Y202">
        <v>175</v>
      </c>
      <c r="Z202">
        <v>170</v>
      </c>
    </row>
    <row r="203" spans="2:26">
      <c r="B203" t="str">
        <f>IFERROR(VLOOKUP(Q203,unified_reference_costs!$I$41:$J$69,2,FALSE),B202)</f>
        <v>\I:</v>
      </c>
      <c r="C203" t="str">
        <f>IFERROR(VLOOKUP(Q203,unified_reference_costs!$I$31:$J$40,2,FALSE),"*")</f>
        <v>varom</v>
      </c>
      <c r="D203">
        <f t="shared" si="30"/>
        <v>2030</v>
      </c>
      <c r="E203">
        <f t="shared" si="31"/>
        <v>4.306</v>
      </c>
      <c r="F203">
        <f t="shared" si="32"/>
        <v>4.306</v>
      </c>
      <c r="G203">
        <f t="shared" si="33"/>
        <v>4.306</v>
      </c>
      <c r="H203">
        <f t="shared" si="34"/>
        <v>4.306</v>
      </c>
      <c r="I203">
        <f t="shared" si="35"/>
        <v>4.306</v>
      </c>
      <c r="J203">
        <f t="shared" si="36"/>
        <v>4.306</v>
      </c>
      <c r="K203">
        <f t="shared" si="37"/>
        <v>4.306</v>
      </c>
      <c r="L203">
        <f t="shared" si="38"/>
        <v>4.306</v>
      </c>
      <c r="M203">
        <f t="shared" si="39"/>
        <v>4.306</v>
      </c>
      <c r="Q203" s="4" t="s">
        <v>164</v>
      </c>
      <c r="R203">
        <v>4.306</v>
      </c>
      <c r="S203">
        <v>4.306</v>
      </c>
      <c r="T203">
        <v>4.306</v>
      </c>
      <c r="U203">
        <v>4.306</v>
      </c>
      <c r="V203">
        <v>4.306</v>
      </c>
      <c r="W203">
        <v>4.306</v>
      </c>
      <c r="X203">
        <v>4.306</v>
      </c>
      <c r="Y203">
        <v>4.306</v>
      </c>
      <c r="Z203">
        <v>4.306</v>
      </c>
    </row>
    <row r="204" spans="2:26">
      <c r="B204" t="str">
        <f>IFERROR(VLOOKUP(Q204,unified_reference_costs!$I$41:$J$69,2,FALSE),B203)</f>
        <v>en_coal_igcc_ccs</v>
      </c>
      <c r="C204" t="str">
        <f>IFERROR(VLOOKUP(Q204,unified_reference_costs!$I$31:$J$40,2,FALSE),"*")</f>
        <v>*</v>
      </c>
      <c r="D204">
        <f t="shared" si="30"/>
        <v>2030</v>
      </c>
      <c r="E204" t="str">
        <f t="shared" si="31"/>
        <v/>
      </c>
      <c r="F204" t="str">
        <f t="shared" si="32"/>
        <v/>
      </c>
      <c r="G204" t="str">
        <f t="shared" si="33"/>
        <v/>
      </c>
      <c r="H204" t="str">
        <f t="shared" si="34"/>
        <v/>
      </c>
      <c r="I204" t="str">
        <f t="shared" si="35"/>
        <v/>
      </c>
      <c r="J204" t="str">
        <f t="shared" si="36"/>
        <v/>
      </c>
      <c r="K204" t="str">
        <f t="shared" si="37"/>
        <v/>
      </c>
      <c r="L204" t="str">
        <f t="shared" si="38"/>
        <v/>
      </c>
      <c r="M204" t="str">
        <f t="shared" si="39"/>
        <v/>
      </c>
      <c r="Q204" s="4" t="s">
        <v>39</v>
      </c>
    </row>
    <row r="205" spans="2:26">
      <c r="B205" t="str">
        <f>IFERROR(VLOOKUP(Q205,unified_reference_costs!$I$41:$J$69,2,FALSE),B204)</f>
        <v>en_coal_igcc_ccs</v>
      </c>
      <c r="C205" t="str">
        <f>IFERROR(VLOOKUP(Q205,unified_reference_costs!$I$31:$J$40,2,FALSE),"*")</f>
        <v>invcost</v>
      </c>
      <c r="D205">
        <f t="shared" si="30"/>
        <v>2030</v>
      </c>
      <c r="E205">
        <f t="shared" si="31"/>
        <v>4650</v>
      </c>
      <c r="F205">
        <f t="shared" si="32"/>
        <v>4350</v>
      </c>
      <c r="G205">
        <f t="shared" si="33"/>
        <v>3550</v>
      </c>
      <c r="H205">
        <f t="shared" si="34"/>
        <v>3950</v>
      </c>
      <c r="I205">
        <f t="shared" si="35"/>
        <v>6100</v>
      </c>
      <c r="J205">
        <f t="shared" si="36"/>
        <v>5300</v>
      </c>
      <c r="K205">
        <f t="shared" si="37"/>
        <v>5700</v>
      </c>
      <c r="L205">
        <f t="shared" si="38"/>
        <v>5850</v>
      </c>
      <c r="M205">
        <f t="shared" si="39"/>
        <v>4900</v>
      </c>
      <c r="Q205" s="8" t="s">
        <v>6</v>
      </c>
      <c r="R205" s="22">
        <v>4650</v>
      </c>
      <c r="S205" s="22">
        <v>4350</v>
      </c>
      <c r="T205" s="22">
        <v>3550</v>
      </c>
      <c r="U205" s="22">
        <v>3950</v>
      </c>
      <c r="V205" s="22">
        <v>6100</v>
      </c>
      <c r="W205" s="22">
        <v>5300</v>
      </c>
      <c r="X205" s="22">
        <v>5700</v>
      </c>
      <c r="Y205" s="22">
        <v>5850</v>
      </c>
      <c r="Z205" s="22">
        <v>4900</v>
      </c>
    </row>
    <row r="206" spans="2:26">
      <c r="B206" t="str">
        <f>IFERROR(VLOOKUP(Q206,unified_reference_costs!$I$41:$J$69,2,FALSE),B205)</f>
        <v>en_coal_igcc_ccs</v>
      </c>
      <c r="C206" t="str">
        <f>IFERROR(VLOOKUP(Q206,unified_reference_costs!$I$31:$J$40,2,FALSE),"*")</f>
        <v>efficiency</v>
      </c>
      <c r="D206">
        <f t="shared" si="30"/>
        <v>2030</v>
      </c>
      <c r="E206">
        <f t="shared" si="31"/>
        <v>0.32</v>
      </c>
      <c r="F206" t="str">
        <f t="shared" si="32"/>
        <v/>
      </c>
      <c r="G206">
        <f t="shared" si="33"/>
        <v>0.35</v>
      </c>
      <c r="H206">
        <f t="shared" si="34"/>
        <v>0.33</v>
      </c>
      <c r="I206">
        <f t="shared" si="35"/>
        <v>0.36</v>
      </c>
      <c r="J206">
        <f t="shared" si="36"/>
        <v>0.36</v>
      </c>
      <c r="K206">
        <f t="shared" si="37"/>
        <v>0.36</v>
      </c>
      <c r="L206">
        <f t="shared" si="38"/>
        <v>0.36</v>
      </c>
      <c r="M206" t="str">
        <f t="shared" si="39"/>
        <v/>
      </c>
      <c r="Q206" s="4" t="s">
        <v>12</v>
      </c>
      <c r="R206">
        <v>0.32</v>
      </c>
      <c r="T206">
        <v>0.35</v>
      </c>
      <c r="U206">
        <v>0.33</v>
      </c>
      <c r="V206">
        <v>0.36</v>
      </c>
      <c r="W206">
        <v>0.36</v>
      </c>
      <c r="X206">
        <v>0.36</v>
      </c>
      <c r="Y206">
        <v>0.36</v>
      </c>
    </row>
    <row r="207" spans="2:26">
      <c r="B207" t="str">
        <f>IFERROR(VLOOKUP(Q207,unified_reference_costs!$I$41:$J$69,2,FALSE),B206)</f>
        <v>en_coal_igcc_ccs</v>
      </c>
      <c r="C207" t="str">
        <f>IFERROR(VLOOKUP(Q207,unified_reference_costs!$I$31:$J$40,2,FALSE),"*")</f>
        <v>fixom</v>
      </c>
      <c r="D207">
        <f t="shared" si="30"/>
        <v>2030</v>
      </c>
      <c r="E207">
        <f t="shared" si="31"/>
        <v>210</v>
      </c>
      <c r="F207">
        <f t="shared" si="32"/>
        <v>195</v>
      </c>
      <c r="G207">
        <f t="shared" si="33"/>
        <v>160</v>
      </c>
      <c r="H207">
        <f t="shared" si="34"/>
        <v>190</v>
      </c>
      <c r="I207">
        <f t="shared" si="35"/>
        <v>215</v>
      </c>
      <c r="J207">
        <f t="shared" si="36"/>
        <v>185</v>
      </c>
      <c r="K207">
        <f t="shared" si="37"/>
        <v>200</v>
      </c>
      <c r="L207">
        <f t="shared" si="38"/>
        <v>205</v>
      </c>
      <c r="M207">
        <f t="shared" si="39"/>
        <v>220</v>
      </c>
      <c r="Q207" s="4" t="s">
        <v>10</v>
      </c>
      <c r="R207">
        <v>210</v>
      </c>
      <c r="S207">
        <v>195</v>
      </c>
      <c r="T207">
        <v>160</v>
      </c>
      <c r="U207">
        <v>190</v>
      </c>
      <c r="V207">
        <v>215</v>
      </c>
      <c r="W207">
        <v>185</v>
      </c>
      <c r="X207">
        <v>200</v>
      </c>
      <c r="Y207">
        <v>205</v>
      </c>
      <c r="Z207">
        <v>220</v>
      </c>
    </row>
    <row r="208" spans="2:26">
      <c r="B208" t="str">
        <f>IFERROR(VLOOKUP(Q208,unified_reference_costs!$I$41:$J$69,2,FALSE),B207)</f>
        <v>en_coal_igcc_ccs</v>
      </c>
      <c r="C208" t="str">
        <f>IFERROR(VLOOKUP(Q208,unified_reference_costs!$I$31:$J$40,2,FALSE),"*")</f>
        <v>varom</v>
      </c>
      <c r="D208">
        <f t="shared" si="30"/>
        <v>2030</v>
      </c>
      <c r="E208">
        <f t="shared" si="31"/>
        <v>4.5830000000000002</v>
      </c>
      <c r="F208">
        <f t="shared" si="32"/>
        <v>4.5830000000000002</v>
      </c>
      <c r="G208">
        <f t="shared" si="33"/>
        <v>4.5830000000000002</v>
      </c>
      <c r="H208">
        <f t="shared" si="34"/>
        <v>4.5830000000000002</v>
      </c>
      <c r="I208">
        <f t="shared" si="35"/>
        <v>4.5830000000000002</v>
      </c>
      <c r="J208">
        <f t="shared" si="36"/>
        <v>4.5830000000000002</v>
      </c>
      <c r="K208">
        <f t="shared" si="37"/>
        <v>4.5830000000000002</v>
      </c>
      <c r="L208">
        <f t="shared" si="38"/>
        <v>4.5830000000000002</v>
      </c>
      <c r="M208">
        <f t="shared" si="39"/>
        <v>4.5830000000000002</v>
      </c>
      <c r="Q208" s="4" t="s">
        <v>164</v>
      </c>
      <c r="R208">
        <v>4.5830000000000002</v>
      </c>
      <c r="S208">
        <v>4.5830000000000002</v>
      </c>
      <c r="T208">
        <v>4.5830000000000002</v>
      </c>
      <c r="U208">
        <v>4.5830000000000002</v>
      </c>
      <c r="V208">
        <v>4.5830000000000002</v>
      </c>
      <c r="W208">
        <v>4.5830000000000002</v>
      </c>
      <c r="X208">
        <v>4.5830000000000002</v>
      </c>
      <c r="Y208">
        <v>4.5830000000000002</v>
      </c>
      <c r="Z208">
        <v>4.5830000000000002</v>
      </c>
    </row>
    <row r="209" spans="2:26">
      <c r="B209" t="str">
        <f>IFERROR(VLOOKUP(Q209,unified_reference_costs!$I$41:$J$69,2,FALSE),B208)</f>
        <v>en_gas_ccs</v>
      </c>
      <c r="C209" t="str">
        <f>IFERROR(VLOOKUP(Q209,unified_reference_costs!$I$31:$J$40,2,FALSE),"*")</f>
        <v>*</v>
      </c>
      <c r="D209">
        <f t="shared" si="30"/>
        <v>2030</v>
      </c>
      <c r="E209" t="str">
        <f t="shared" si="31"/>
        <v/>
      </c>
      <c r="F209" t="str">
        <f t="shared" si="32"/>
        <v/>
      </c>
      <c r="G209" t="str">
        <f t="shared" si="33"/>
        <v/>
      </c>
      <c r="H209" t="str">
        <f t="shared" si="34"/>
        <v/>
      </c>
      <c r="I209" t="str">
        <f t="shared" si="35"/>
        <v/>
      </c>
      <c r="J209" t="str">
        <f t="shared" si="36"/>
        <v/>
      </c>
      <c r="K209" t="str">
        <f t="shared" si="37"/>
        <v/>
      </c>
      <c r="L209" t="str">
        <f t="shared" si="38"/>
        <v/>
      </c>
      <c r="M209" t="str">
        <f t="shared" si="39"/>
        <v/>
      </c>
      <c r="Q209" s="4" t="s">
        <v>40</v>
      </c>
    </row>
    <row r="210" spans="2:26">
      <c r="B210" t="str">
        <f>IFERROR(VLOOKUP(Q210,unified_reference_costs!$I$41:$J$69,2,FALSE),B209)</f>
        <v>en_gas_ccs</v>
      </c>
      <c r="C210" t="str">
        <f>IFERROR(VLOOKUP(Q210,unified_reference_costs!$I$31:$J$40,2,FALSE),"*")</f>
        <v>invcost</v>
      </c>
      <c r="D210">
        <f t="shared" si="30"/>
        <v>2030</v>
      </c>
      <c r="E210">
        <f t="shared" si="31"/>
        <v>2450</v>
      </c>
      <c r="F210">
        <f t="shared" si="32"/>
        <v>1650</v>
      </c>
      <c r="G210">
        <f t="shared" si="33"/>
        <v>2200</v>
      </c>
      <c r="H210">
        <f t="shared" si="34"/>
        <v>2300</v>
      </c>
      <c r="I210">
        <f t="shared" si="35"/>
        <v>3200</v>
      </c>
      <c r="J210">
        <f t="shared" si="36"/>
        <v>2650</v>
      </c>
      <c r="K210">
        <f t="shared" si="37"/>
        <v>3100</v>
      </c>
      <c r="L210">
        <f t="shared" si="38"/>
        <v>3100</v>
      </c>
      <c r="M210">
        <f t="shared" si="39"/>
        <v>2800</v>
      </c>
      <c r="Q210" s="8" t="s">
        <v>6</v>
      </c>
      <c r="R210" s="22">
        <v>2450</v>
      </c>
      <c r="S210" s="22">
        <v>1650</v>
      </c>
      <c r="T210" s="22">
        <v>2200</v>
      </c>
      <c r="U210" s="22">
        <v>2300</v>
      </c>
      <c r="V210" s="22">
        <v>3200</v>
      </c>
      <c r="W210" s="22">
        <v>2650</v>
      </c>
      <c r="X210" s="22">
        <v>3100</v>
      </c>
      <c r="Y210" s="22">
        <v>3100</v>
      </c>
      <c r="Z210" s="22">
        <v>2800</v>
      </c>
    </row>
    <row r="211" spans="2:26">
      <c r="B211" t="str">
        <f>IFERROR(VLOOKUP(Q211,unified_reference_costs!$I$41:$J$69,2,FALSE),B210)</f>
        <v>en_gas_ccs</v>
      </c>
      <c r="C211" t="str">
        <f>IFERROR(VLOOKUP(Q211,unified_reference_costs!$I$31:$J$40,2,FALSE),"*")</f>
        <v>efficiency</v>
      </c>
      <c r="D211">
        <f t="shared" si="30"/>
        <v>2030</v>
      </c>
      <c r="E211">
        <f t="shared" si="31"/>
        <v>0.51</v>
      </c>
      <c r="F211" t="str">
        <f t="shared" si="32"/>
        <v/>
      </c>
      <c r="G211">
        <f t="shared" si="33"/>
        <v>0.5</v>
      </c>
      <c r="H211">
        <f t="shared" si="34"/>
        <v>0.49</v>
      </c>
      <c r="I211">
        <f t="shared" si="35"/>
        <v>0.52</v>
      </c>
      <c r="J211">
        <f t="shared" si="36"/>
        <v>0.5</v>
      </c>
      <c r="K211">
        <f t="shared" si="37"/>
        <v>0.52</v>
      </c>
      <c r="L211">
        <f t="shared" si="38"/>
        <v>0.52</v>
      </c>
      <c r="M211">
        <f t="shared" si="39"/>
        <v>0.5</v>
      </c>
      <c r="Q211" s="4" t="s">
        <v>12</v>
      </c>
      <c r="R211">
        <v>0.51</v>
      </c>
      <c r="T211">
        <v>0.5</v>
      </c>
      <c r="U211">
        <v>0.49</v>
      </c>
      <c r="V211">
        <v>0.52</v>
      </c>
      <c r="W211">
        <v>0.5</v>
      </c>
      <c r="X211">
        <v>0.52</v>
      </c>
      <c r="Y211">
        <v>0.52</v>
      </c>
      <c r="Z211">
        <v>0.5</v>
      </c>
    </row>
    <row r="212" spans="2:26">
      <c r="B212" t="str">
        <f>IFERROR(VLOOKUP(Q212,unified_reference_costs!$I$41:$J$69,2,FALSE),B211)</f>
        <v>en_gas_ccs</v>
      </c>
      <c r="C212" t="str">
        <f>IFERROR(VLOOKUP(Q212,unified_reference_costs!$I$31:$J$40,2,FALSE),"*")</f>
        <v>fixom</v>
      </c>
      <c r="D212">
        <f t="shared" si="30"/>
        <v>2030</v>
      </c>
      <c r="E212">
        <f t="shared" si="31"/>
        <v>85</v>
      </c>
      <c r="F212">
        <f t="shared" si="32"/>
        <v>55</v>
      </c>
      <c r="G212">
        <f t="shared" si="33"/>
        <v>70</v>
      </c>
      <c r="H212">
        <f t="shared" si="34"/>
        <v>80</v>
      </c>
      <c r="I212">
        <f t="shared" si="35"/>
        <v>80</v>
      </c>
      <c r="J212">
        <f t="shared" si="36"/>
        <v>95</v>
      </c>
      <c r="K212">
        <f t="shared" si="37"/>
        <v>75</v>
      </c>
      <c r="L212">
        <f t="shared" si="38"/>
        <v>75</v>
      </c>
      <c r="M212">
        <f t="shared" si="39"/>
        <v>100</v>
      </c>
      <c r="Q212" s="4" t="s">
        <v>10</v>
      </c>
      <c r="R212">
        <v>85</v>
      </c>
      <c r="S212">
        <v>55</v>
      </c>
      <c r="T212">
        <v>70</v>
      </c>
      <c r="U212">
        <v>80</v>
      </c>
      <c r="V212">
        <v>80</v>
      </c>
      <c r="W212">
        <v>95</v>
      </c>
      <c r="X212">
        <v>75</v>
      </c>
      <c r="Y212">
        <v>75</v>
      </c>
      <c r="Z212">
        <v>100</v>
      </c>
    </row>
    <row r="213" spans="2:26">
      <c r="B213" t="str">
        <f>IFERROR(VLOOKUP(Q213,unified_reference_costs!$I$41:$J$69,2,FALSE),B212)</f>
        <v>en_gas_ccs</v>
      </c>
      <c r="C213" t="str">
        <f>IFERROR(VLOOKUP(Q213,unified_reference_costs!$I$31:$J$40,2,FALSE),"*")</f>
        <v>varom</v>
      </c>
      <c r="D213">
        <f t="shared" si="30"/>
        <v>2030</v>
      </c>
      <c r="E213">
        <f t="shared" si="31"/>
        <v>1.2</v>
      </c>
      <c r="F213">
        <f t="shared" si="32"/>
        <v>1.2</v>
      </c>
      <c r="G213">
        <f t="shared" si="33"/>
        <v>1.2</v>
      </c>
      <c r="H213">
        <f t="shared" si="34"/>
        <v>1.2</v>
      </c>
      <c r="I213">
        <f t="shared" si="35"/>
        <v>1.2</v>
      </c>
      <c r="J213">
        <f t="shared" si="36"/>
        <v>1.2</v>
      </c>
      <c r="K213">
        <f t="shared" si="37"/>
        <v>1.2</v>
      </c>
      <c r="L213">
        <f t="shared" si="38"/>
        <v>1.2</v>
      </c>
      <c r="M213">
        <f t="shared" si="39"/>
        <v>1.2</v>
      </c>
      <c r="Q213" s="4" t="s">
        <v>164</v>
      </c>
      <c r="R213">
        <v>1.2</v>
      </c>
      <c r="S213">
        <v>1.2</v>
      </c>
      <c r="T213">
        <v>1.2</v>
      </c>
      <c r="U213">
        <v>1.2</v>
      </c>
      <c r="V213">
        <v>1.2</v>
      </c>
      <c r="W213">
        <v>1.2</v>
      </c>
      <c r="X213">
        <v>1.2</v>
      </c>
      <c r="Y213">
        <v>1.2</v>
      </c>
      <c r="Z213">
        <v>1.2</v>
      </c>
    </row>
    <row r="214" spans="2:26">
      <c r="B214" t="str">
        <f>IFERROR(VLOOKUP(Q214,unified_reference_costs!$I$41:$J$69,2,FALSE),B213)</f>
        <v>en_nuclear</v>
      </c>
      <c r="C214" t="str">
        <f>IFERROR(VLOOKUP(Q214,unified_reference_costs!$I$31:$J$40,2,FALSE),"*")</f>
        <v>*</v>
      </c>
      <c r="D214">
        <f t="shared" si="30"/>
        <v>2030</v>
      </c>
      <c r="E214" t="str">
        <f t="shared" si="31"/>
        <v/>
      </c>
      <c r="F214" t="str">
        <f t="shared" si="32"/>
        <v/>
      </c>
      <c r="G214" t="str">
        <f t="shared" si="33"/>
        <v/>
      </c>
      <c r="H214" t="str">
        <f t="shared" si="34"/>
        <v/>
      </c>
      <c r="I214" t="str">
        <f t="shared" si="35"/>
        <v/>
      </c>
      <c r="J214" t="str">
        <f t="shared" si="36"/>
        <v/>
      </c>
      <c r="K214" t="str">
        <f t="shared" si="37"/>
        <v/>
      </c>
      <c r="L214" t="str">
        <f t="shared" si="38"/>
        <v/>
      </c>
      <c r="M214" t="str">
        <f t="shared" si="39"/>
        <v/>
      </c>
      <c r="Q214" s="4" t="s">
        <v>41</v>
      </c>
    </row>
    <row r="215" spans="2:26">
      <c r="B215" t="str">
        <f>IFERROR(VLOOKUP(Q215,unified_reference_costs!$I$41:$J$69,2,FALSE),B214)</f>
        <v>en_nuclear</v>
      </c>
      <c r="C215" t="str">
        <f>IFERROR(VLOOKUP(Q215,unified_reference_costs!$I$31:$J$40,2,FALSE),"*")</f>
        <v>invcost</v>
      </c>
      <c r="D215">
        <f t="shared" si="30"/>
        <v>2030</v>
      </c>
      <c r="E215">
        <f t="shared" si="31"/>
        <v>4000</v>
      </c>
      <c r="F215">
        <f t="shared" si="32"/>
        <v>4000</v>
      </c>
      <c r="G215">
        <f t="shared" si="33"/>
        <v>2800</v>
      </c>
      <c r="H215">
        <f t="shared" si="34"/>
        <v>2800</v>
      </c>
      <c r="I215">
        <f t="shared" si="35"/>
        <v>4000</v>
      </c>
      <c r="J215">
        <f t="shared" si="36"/>
        <v>3800</v>
      </c>
      <c r="K215">
        <f t="shared" si="37"/>
        <v>5100</v>
      </c>
      <c r="L215">
        <f t="shared" si="38"/>
        <v>4800</v>
      </c>
      <c r="M215">
        <f t="shared" si="39"/>
        <v>3500</v>
      </c>
      <c r="Q215" s="8" t="s">
        <v>6</v>
      </c>
      <c r="R215" s="22">
        <v>4000</v>
      </c>
      <c r="S215" s="22">
        <v>4000</v>
      </c>
      <c r="T215" s="22">
        <v>2800</v>
      </c>
      <c r="U215" s="22">
        <v>2800</v>
      </c>
      <c r="V215" s="22">
        <v>4000</v>
      </c>
      <c r="W215" s="22">
        <v>3800</v>
      </c>
      <c r="X215" s="22">
        <v>5100</v>
      </c>
      <c r="Y215" s="22">
        <v>4800</v>
      </c>
      <c r="Z215" s="22">
        <v>3500</v>
      </c>
    </row>
    <row r="216" spans="2:26">
      <c r="B216" t="str">
        <f>IFERROR(VLOOKUP(Q216,unified_reference_costs!$I$41:$J$69,2,FALSE),B215)</f>
        <v>en_nuclear</v>
      </c>
      <c r="C216" t="str">
        <f>IFERROR(VLOOKUP(Q216,unified_reference_costs!$I$31:$J$40,2,FALSE),"*")</f>
        <v>fixom</v>
      </c>
      <c r="D216">
        <f t="shared" si="30"/>
        <v>2030</v>
      </c>
      <c r="E216">
        <f t="shared" si="31"/>
        <v>170</v>
      </c>
      <c r="F216">
        <f t="shared" si="32"/>
        <v>170</v>
      </c>
      <c r="G216">
        <f t="shared" si="33"/>
        <v>120</v>
      </c>
      <c r="H216">
        <f t="shared" si="34"/>
        <v>140</v>
      </c>
      <c r="I216">
        <f t="shared" si="35"/>
        <v>225</v>
      </c>
      <c r="J216">
        <f t="shared" si="36"/>
        <v>160</v>
      </c>
      <c r="K216">
        <f t="shared" si="37"/>
        <v>160</v>
      </c>
      <c r="L216">
        <f t="shared" si="38"/>
        <v>175</v>
      </c>
      <c r="M216">
        <f t="shared" si="39"/>
        <v>160</v>
      </c>
      <c r="Q216" s="4" t="s">
        <v>10</v>
      </c>
      <c r="R216">
        <v>170</v>
      </c>
      <c r="S216">
        <v>170</v>
      </c>
      <c r="T216">
        <v>120</v>
      </c>
      <c r="U216">
        <v>140</v>
      </c>
      <c r="V216">
        <v>225</v>
      </c>
      <c r="W216">
        <v>160</v>
      </c>
      <c r="X216">
        <v>160</v>
      </c>
      <c r="Y216">
        <v>175</v>
      </c>
      <c r="Z216">
        <v>160</v>
      </c>
    </row>
    <row r="217" spans="2:26">
      <c r="B217" t="str">
        <f>IFERROR(VLOOKUP(Q217,unified_reference_costs!$I$41:$J$69,2,FALSE),B216)</f>
        <v>en_nuclear</v>
      </c>
      <c r="C217" t="str">
        <f>IFERROR(VLOOKUP(Q217,unified_reference_costs!$I$31:$J$40,2,FALSE),"*")</f>
        <v>varom</v>
      </c>
      <c r="D217">
        <f t="shared" si="30"/>
        <v>2030</v>
      </c>
      <c r="E217">
        <f t="shared" si="31"/>
        <v>0.77800000000000002</v>
      </c>
      <c r="F217">
        <f t="shared" si="32"/>
        <v>0.77800000000000002</v>
      </c>
      <c r="G217">
        <f t="shared" si="33"/>
        <v>0.77800000000000002</v>
      </c>
      <c r="H217">
        <f t="shared" si="34"/>
        <v>0.77800000000000002</v>
      </c>
      <c r="I217">
        <f t="shared" si="35"/>
        <v>0.77800000000000002</v>
      </c>
      <c r="J217">
        <f t="shared" si="36"/>
        <v>0.77800000000000002</v>
      </c>
      <c r="K217">
        <f t="shared" si="37"/>
        <v>0.77800000000000002</v>
      </c>
      <c r="L217">
        <f t="shared" si="38"/>
        <v>0.77800000000000002</v>
      </c>
      <c r="M217">
        <f t="shared" si="39"/>
        <v>0.77800000000000002</v>
      </c>
      <c r="Q217" s="4" t="s">
        <v>164</v>
      </c>
      <c r="R217">
        <v>0.77800000000000002</v>
      </c>
      <c r="S217">
        <v>0.77800000000000002</v>
      </c>
      <c r="T217">
        <v>0.77800000000000002</v>
      </c>
      <c r="U217">
        <v>0.77800000000000002</v>
      </c>
      <c r="V217">
        <v>0.77800000000000002</v>
      </c>
      <c r="W217">
        <v>0.77800000000000002</v>
      </c>
      <c r="X217">
        <v>0.77800000000000002</v>
      </c>
      <c r="Y217">
        <v>0.77800000000000002</v>
      </c>
      <c r="Z217">
        <v>0.77800000000000002</v>
      </c>
    </row>
    <row r="218" spans="2:26">
      <c r="B218" t="str">
        <f>IFERROR(VLOOKUP(Q218,unified_reference_costs!$I$41:$J$69,2,FALSE),B217)</f>
        <v>\I:</v>
      </c>
      <c r="C218" t="str">
        <f>IFERROR(VLOOKUP(Q218,unified_reference_costs!$I$31:$J$40,2,FALSE),"*")</f>
        <v>*</v>
      </c>
      <c r="D218">
        <f t="shared" si="30"/>
        <v>2030</v>
      </c>
      <c r="E218" t="str">
        <f t="shared" si="31"/>
        <v/>
      </c>
      <c r="F218" t="str">
        <f t="shared" si="32"/>
        <v/>
      </c>
      <c r="G218" t="str">
        <f t="shared" si="33"/>
        <v/>
      </c>
      <c r="H218" t="str">
        <f t="shared" si="34"/>
        <v/>
      </c>
      <c r="I218" t="str">
        <f t="shared" si="35"/>
        <v/>
      </c>
      <c r="J218" t="str">
        <f t="shared" si="36"/>
        <v/>
      </c>
      <c r="K218" t="str">
        <f t="shared" si="37"/>
        <v/>
      </c>
      <c r="L218" t="str">
        <f t="shared" si="38"/>
        <v/>
      </c>
      <c r="M218" t="str">
        <f t="shared" si="39"/>
        <v/>
      </c>
      <c r="Q218" s="4" t="s">
        <v>42</v>
      </c>
    </row>
    <row r="219" spans="2:26">
      <c r="B219" t="str">
        <f>IFERROR(VLOOKUP(Q219,unified_reference_costs!$I$41:$J$69,2,FALSE),B218)</f>
        <v>\I:</v>
      </c>
      <c r="C219" t="str">
        <f>IFERROR(VLOOKUP(Q219,unified_reference_costs!$I$31:$J$40,2,FALSE),"*")</f>
        <v>*cf</v>
      </c>
      <c r="D219">
        <f t="shared" si="30"/>
        <v>2030</v>
      </c>
      <c r="E219">
        <f t="shared" si="31"/>
        <v>0.23</v>
      </c>
      <c r="F219">
        <f t="shared" si="32"/>
        <v>0.21</v>
      </c>
      <c r="G219">
        <f t="shared" si="33"/>
        <v>0.13</v>
      </c>
      <c r="H219">
        <f t="shared" si="34"/>
        <v>0.21</v>
      </c>
      <c r="I219">
        <f t="shared" si="35"/>
        <v>0.14000000000000001</v>
      </c>
      <c r="J219">
        <f t="shared" si="36"/>
        <v>0.13</v>
      </c>
      <c r="K219">
        <f t="shared" si="37"/>
        <v>0.14000000000000001</v>
      </c>
      <c r="L219">
        <f t="shared" si="38"/>
        <v>0.22</v>
      </c>
      <c r="M219">
        <f t="shared" si="39"/>
        <v>0.25</v>
      </c>
      <c r="Q219" s="4" t="s">
        <v>14</v>
      </c>
      <c r="R219">
        <v>0.23</v>
      </c>
      <c r="S219">
        <v>0.21</v>
      </c>
      <c r="T219">
        <v>0.13</v>
      </c>
      <c r="U219">
        <v>0.21</v>
      </c>
      <c r="V219">
        <v>0.14000000000000001</v>
      </c>
      <c r="W219">
        <v>0.13</v>
      </c>
      <c r="X219">
        <v>0.14000000000000001</v>
      </c>
      <c r="Y219">
        <v>0.22</v>
      </c>
      <c r="Z219">
        <v>0.25</v>
      </c>
    </row>
    <row r="220" spans="2:26">
      <c r="B220" t="str">
        <f>IFERROR(VLOOKUP(Q220,unified_reference_costs!$I$41:$J$69,2,FALSE),B219)</f>
        <v>\I:</v>
      </c>
      <c r="C220" t="str">
        <f>IFERROR(VLOOKUP(Q220,unified_reference_costs!$I$31:$J$40,2,FALSE),"*")</f>
        <v>invcost</v>
      </c>
      <c r="D220">
        <f t="shared" si="30"/>
        <v>2030</v>
      </c>
      <c r="E220">
        <f t="shared" si="31"/>
        <v>850</v>
      </c>
      <c r="F220">
        <f t="shared" si="32"/>
        <v>460</v>
      </c>
      <c r="G220">
        <f t="shared" si="33"/>
        <v>430</v>
      </c>
      <c r="H220">
        <f t="shared" si="34"/>
        <v>390</v>
      </c>
      <c r="I220">
        <f t="shared" si="35"/>
        <v>1250</v>
      </c>
      <c r="J220">
        <f t="shared" si="36"/>
        <v>1090</v>
      </c>
      <c r="K220">
        <f t="shared" si="37"/>
        <v>620</v>
      </c>
      <c r="L220">
        <f t="shared" si="38"/>
        <v>690</v>
      </c>
      <c r="M220">
        <f t="shared" si="39"/>
        <v>360</v>
      </c>
      <c r="Q220" s="8" t="s">
        <v>6</v>
      </c>
      <c r="R220" s="22">
        <v>850</v>
      </c>
      <c r="S220" s="22">
        <v>460</v>
      </c>
      <c r="T220" s="22">
        <v>430</v>
      </c>
      <c r="U220" s="22">
        <v>390</v>
      </c>
      <c r="V220" s="22">
        <v>1250</v>
      </c>
      <c r="W220" s="22">
        <v>1090</v>
      </c>
      <c r="X220" s="22">
        <v>620</v>
      </c>
      <c r="Y220" s="22">
        <v>690</v>
      </c>
      <c r="Z220" s="22">
        <v>360</v>
      </c>
    </row>
    <row r="221" spans="2:26">
      <c r="B221" t="str">
        <f>IFERROR(VLOOKUP(Q221,unified_reference_costs!$I$41:$J$69,2,FALSE),B220)</f>
        <v>\I:</v>
      </c>
      <c r="C221" t="str">
        <f>IFERROR(VLOOKUP(Q221,unified_reference_costs!$I$31:$J$40,2,FALSE),"*")</f>
        <v>efficiency</v>
      </c>
      <c r="D221">
        <f t="shared" si="30"/>
        <v>2030</v>
      </c>
      <c r="E221">
        <f t="shared" si="31"/>
        <v>1</v>
      </c>
      <c r="F221">
        <f t="shared" si="32"/>
        <v>1</v>
      </c>
      <c r="G221">
        <f t="shared" si="33"/>
        <v>1</v>
      </c>
      <c r="H221">
        <f t="shared" si="34"/>
        <v>1</v>
      </c>
      <c r="I221">
        <f t="shared" si="35"/>
        <v>1</v>
      </c>
      <c r="J221">
        <f t="shared" si="36"/>
        <v>1</v>
      </c>
      <c r="K221">
        <f t="shared" si="37"/>
        <v>1</v>
      </c>
      <c r="L221">
        <f t="shared" si="38"/>
        <v>1</v>
      </c>
      <c r="M221">
        <f t="shared" si="39"/>
        <v>1</v>
      </c>
      <c r="Q221" s="4" t="s">
        <v>12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</row>
    <row r="222" spans="2:26">
      <c r="B222" t="str">
        <f>IFERROR(VLOOKUP(Q222,unified_reference_costs!$I$41:$J$69,2,FALSE),B221)</f>
        <v>\I:</v>
      </c>
      <c r="C222" t="str">
        <f>IFERROR(VLOOKUP(Q222,unified_reference_costs!$I$31:$J$40,2,FALSE),"*")</f>
        <v>fixom</v>
      </c>
      <c r="D222">
        <f t="shared" si="30"/>
        <v>2030</v>
      </c>
      <c r="E222">
        <f t="shared" si="31"/>
        <v>20</v>
      </c>
      <c r="F222">
        <f t="shared" si="32"/>
        <v>10</v>
      </c>
      <c r="G222">
        <f t="shared" si="33"/>
        <v>10</v>
      </c>
      <c r="H222">
        <f t="shared" si="34"/>
        <v>8</v>
      </c>
      <c r="I222">
        <f t="shared" si="35"/>
        <v>26</v>
      </c>
      <c r="J222">
        <f t="shared" si="36"/>
        <v>24</v>
      </c>
      <c r="K222">
        <f t="shared" si="37"/>
        <v>14</v>
      </c>
      <c r="L222">
        <f t="shared" si="38"/>
        <v>16</v>
      </c>
      <c r="M222">
        <f t="shared" si="39"/>
        <v>8</v>
      </c>
      <c r="Q222" s="4" t="s">
        <v>10</v>
      </c>
      <c r="R222">
        <v>20</v>
      </c>
      <c r="S222">
        <v>10</v>
      </c>
      <c r="T222">
        <v>10</v>
      </c>
      <c r="U222">
        <v>8</v>
      </c>
      <c r="V222">
        <v>26</v>
      </c>
      <c r="W222">
        <v>24</v>
      </c>
      <c r="X222">
        <v>14</v>
      </c>
      <c r="Y222">
        <v>16</v>
      </c>
      <c r="Z222">
        <v>8</v>
      </c>
    </row>
    <row r="223" spans="2:26">
      <c r="B223" t="str">
        <f>IFERROR(VLOOKUP(Q223,unified_reference_costs!$I$41:$J$69,2,FALSE),B222)</f>
        <v>\I:</v>
      </c>
      <c r="C223" t="str">
        <f>IFERROR(VLOOKUP(Q223,unified_reference_costs!$I$31:$J$40,2,FALSE),"*")</f>
        <v>varom</v>
      </c>
      <c r="D223">
        <f t="shared" si="30"/>
        <v>2030</v>
      </c>
      <c r="E223">
        <f t="shared" si="31"/>
        <v>0</v>
      </c>
      <c r="F223">
        <f t="shared" si="32"/>
        <v>0</v>
      </c>
      <c r="G223">
        <f t="shared" si="33"/>
        <v>0</v>
      </c>
      <c r="H223">
        <f t="shared" si="34"/>
        <v>0</v>
      </c>
      <c r="I223">
        <f t="shared" si="35"/>
        <v>0</v>
      </c>
      <c r="J223">
        <f t="shared" si="36"/>
        <v>0</v>
      </c>
      <c r="K223">
        <f t="shared" si="37"/>
        <v>0</v>
      </c>
      <c r="L223">
        <f t="shared" si="38"/>
        <v>0</v>
      </c>
      <c r="M223">
        <f t="shared" si="39"/>
        <v>0</v>
      </c>
      <c r="Q223" s="4" t="s">
        <v>164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2:26">
      <c r="B224" t="str">
        <f>IFERROR(VLOOKUP(Q224,unified_reference_costs!$I$41:$J$69,2,FALSE),B223)</f>
        <v>\I:</v>
      </c>
      <c r="C224" t="str">
        <f>IFERROR(VLOOKUP(Q224,unified_reference_costs!$I$31:$J$40,2,FALSE),"*")</f>
        <v>*</v>
      </c>
      <c r="D224">
        <f t="shared" si="30"/>
        <v>2030</v>
      </c>
      <c r="E224" t="str">
        <f t="shared" si="31"/>
        <v/>
      </c>
      <c r="F224" t="str">
        <f t="shared" si="32"/>
        <v/>
      </c>
      <c r="G224" t="str">
        <f t="shared" si="33"/>
        <v/>
      </c>
      <c r="H224" t="str">
        <f t="shared" si="34"/>
        <v/>
      </c>
      <c r="I224" t="str">
        <f t="shared" si="35"/>
        <v/>
      </c>
      <c r="J224" t="str">
        <f t="shared" si="36"/>
        <v/>
      </c>
      <c r="K224" t="str">
        <f t="shared" si="37"/>
        <v/>
      </c>
      <c r="L224" t="str">
        <f t="shared" si="38"/>
        <v/>
      </c>
      <c r="M224" t="str">
        <f t="shared" si="39"/>
        <v/>
      </c>
      <c r="Q224" s="4" t="s">
        <v>43</v>
      </c>
    </row>
    <row r="225" spans="2:26">
      <c r="B225" t="str">
        <f>IFERROR(VLOOKUP(Q225,unified_reference_costs!$I$41:$J$69,2,FALSE),B224)</f>
        <v>\I:</v>
      </c>
      <c r="C225" t="str">
        <f>IFERROR(VLOOKUP(Q225,unified_reference_costs!$I$31:$J$40,2,FALSE),"*")</f>
        <v>*cf</v>
      </c>
      <c r="D225">
        <f t="shared" si="30"/>
        <v>2030</v>
      </c>
      <c r="E225">
        <f t="shared" si="31"/>
        <v>0.34</v>
      </c>
      <c r="F225">
        <f t="shared" si="32"/>
        <v>0.44</v>
      </c>
      <c r="G225">
        <f t="shared" si="33"/>
        <v>0.27</v>
      </c>
      <c r="H225">
        <f t="shared" si="34"/>
        <v>0.28000000000000003</v>
      </c>
      <c r="I225">
        <f t="shared" si="35"/>
        <v>0.28000000000000003</v>
      </c>
      <c r="J225">
        <f t="shared" si="36"/>
        <v>0.28999999999999998</v>
      </c>
      <c r="K225">
        <f t="shared" si="37"/>
        <v>0.3</v>
      </c>
      <c r="L225">
        <f t="shared" si="38"/>
        <v>0.43</v>
      </c>
      <c r="M225">
        <f t="shared" si="39"/>
        <v>0.35</v>
      </c>
      <c r="Q225" s="8" t="s">
        <v>14</v>
      </c>
      <c r="R225" s="22">
        <v>0.34</v>
      </c>
      <c r="S225" s="22">
        <v>0.44</v>
      </c>
      <c r="T225" s="22">
        <v>0.27</v>
      </c>
      <c r="U225" s="22">
        <v>0.28000000000000003</v>
      </c>
      <c r="V225" s="22">
        <v>0.28000000000000003</v>
      </c>
      <c r="W225" s="22">
        <v>0.28999999999999998</v>
      </c>
      <c r="X225" s="22">
        <v>0.3</v>
      </c>
      <c r="Y225" s="22">
        <v>0.43</v>
      </c>
      <c r="Z225" s="22">
        <v>0.35</v>
      </c>
    </row>
    <row r="226" spans="2:26">
      <c r="B226" t="str">
        <f>IFERROR(VLOOKUP(Q226,unified_reference_costs!$I$41:$J$69,2,FALSE),B225)</f>
        <v>\I:</v>
      </c>
      <c r="C226" t="str">
        <f>IFERROR(VLOOKUP(Q226,unified_reference_costs!$I$31:$J$40,2,FALSE),"*")</f>
        <v>invcost</v>
      </c>
      <c r="D226">
        <f t="shared" si="30"/>
        <v>2030</v>
      </c>
      <c r="E226">
        <f t="shared" si="31"/>
        <v>1830</v>
      </c>
      <c r="F226">
        <f t="shared" si="32"/>
        <v>1000</v>
      </c>
      <c r="G226">
        <f t="shared" si="33"/>
        <v>1040</v>
      </c>
      <c r="H226">
        <f t="shared" si="34"/>
        <v>1060</v>
      </c>
      <c r="I226">
        <f t="shared" si="35"/>
        <v>3320</v>
      </c>
      <c r="J226">
        <f t="shared" si="36"/>
        <v>1550</v>
      </c>
      <c r="K226">
        <f t="shared" si="37"/>
        <v>1670</v>
      </c>
      <c r="L226">
        <f t="shared" si="38"/>
        <v>1160</v>
      </c>
      <c r="M226">
        <f t="shared" si="39"/>
        <v>1830</v>
      </c>
      <c r="Q226" s="4" t="s">
        <v>6</v>
      </c>
      <c r="R226">
        <v>1830</v>
      </c>
      <c r="S226">
        <v>1000</v>
      </c>
      <c r="T226">
        <v>1040</v>
      </c>
      <c r="U226">
        <v>1060</v>
      </c>
      <c r="V226">
        <v>3320</v>
      </c>
      <c r="W226">
        <v>1550</v>
      </c>
      <c r="X226">
        <v>1670</v>
      </c>
      <c r="Y226">
        <v>1160</v>
      </c>
      <c r="Z226">
        <v>1830</v>
      </c>
    </row>
    <row r="227" spans="2:26">
      <c r="B227" t="str">
        <f>IFERROR(VLOOKUP(Q227,unified_reference_costs!$I$41:$J$69,2,FALSE),B226)</f>
        <v>\I:</v>
      </c>
      <c r="C227" t="str">
        <f>IFERROR(VLOOKUP(Q227,unified_reference_costs!$I$31:$J$40,2,FALSE),"*")</f>
        <v>efficiency</v>
      </c>
      <c r="D227">
        <f t="shared" si="30"/>
        <v>2030</v>
      </c>
      <c r="E227">
        <f t="shared" si="31"/>
        <v>1</v>
      </c>
      <c r="F227">
        <f t="shared" si="32"/>
        <v>1</v>
      </c>
      <c r="G227">
        <f t="shared" si="33"/>
        <v>1</v>
      </c>
      <c r="H227">
        <f t="shared" si="34"/>
        <v>1</v>
      </c>
      <c r="I227">
        <f t="shared" si="35"/>
        <v>1</v>
      </c>
      <c r="J227">
        <f t="shared" si="36"/>
        <v>1</v>
      </c>
      <c r="K227">
        <f t="shared" si="37"/>
        <v>1</v>
      </c>
      <c r="L227">
        <f t="shared" si="38"/>
        <v>1</v>
      </c>
      <c r="M227">
        <f t="shared" si="39"/>
        <v>1</v>
      </c>
      <c r="Q227" s="4" t="s">
        <v>12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</row>
    <row r="228" spans="2:26">
      <c r="B228" t="str">
        <f>IFERROR(VLOOKUP(Q228,unified_reference_costs!$I$41:$J$69,2,FALSE),B227)</f>
        <v>\I:</v>
      </c>
      <c r="C228" t="str">
        <f>IFERROR(VLOOKUP(Q228,unified_reference_costs!$I$31:$J$40,2,FALSE),"*")</f>
        <v>fixom</v>
      </c>
      <c r="D228">
        <f t="shared" si="30"/>
        <v>2030</v>
      </c>
      <c r="E228">
        <f t="shared" si="31"/>
        <v>46</v>
      </c>
      <c r="F228">
        <f t="shared" si="32"/>
        <v>26</v>
      </c>
      <c r="G228">
        <f t="shared" si="33"/>
        <v>26</v>
      </c>
      <c r="H228">
        <f t="shared" si="34"/>
        <v>26</v>
      </c>
      <c r="I228">
        <f t="shared" si="35"/>
        <v>84</v>
      </c>
      <c r="J228">
        <f t="shared" si="36"/>
        <v>40</v>
      </c>
      <c r="K228">
        <f t="shared" si="37"/>
        <v>42</v>
      </c>
      <c r="L228">
        <f t="shared" si="38"/>
        <v>30</v>
      </c>
      <c r="M228">
        <f t="shared" si="39"/>
        <v>46</v>
      </c>
      <c r="Q228" s="4" t="s">
        <v>10</v>
      </c>
      <c r="R228">
        <v>46</v>
      </c>
      <c r="S228">
        <v>26</v>
      </c>
      <c r="T228">
        <v>26</v>
      </c>
      <c r="U228">
        <v>26</v>
      </c>
      <c r="V228">
        <v>84</v>
      </c>
      <c r="W228">
        <v>40</v>
      </c>
      <c r="X228">
        <v>42</v>
      </c>
      <c r="Y228">
        <v>30</v>
      </c>
      <c r="Z228">
        <v>46</v>
      </c>
    </row>
    <row r="229" spans="2:26">
      <c r="B229" t="str">
        <f>IFERROR(VLOOKUP(Q229,unified_reference_costs!$I$41:$J$69,2,FALSE),B228)</f>
        <v>\I:</v>
      </c>
      <c r="C229" t="str">
        <f>IFERROR(VLOOKUP(Q229,unified_reference_costs!$I$31:$J$40,2,FALSE),"*")</f>
        <v>varom</v>
      </c>
      <c r="D229">
        <f t="shared" si="30"/>
        <v>2030</v>
      </c>
      <c r="E229">
        <f t="shared" si="31"/>
        <v>0</v>
      </c>
      <c r="F229">
        <f t="shared" si="32"/>
        <v>0</v>
      </c>
      <c r="G229">
        <f t="shared" si="33"/>
        <v>0</v>
      </c>
      <c r="H229">
        <f t="shared" si="34"/>
        <v>0</v>
      </c>
      <c r="I229">
        <f t="shared" si="35"/>
        <v>0</v>
      </c>
      <c r="J229">
        <f t="shared" si="36"/>
        <v>0</v>
      </c>
      <c r="K229">
        <f t="shared" si="37"/>
        <v>0</v>
      </c>
      <c r="L229">
        <f t="shared" si="38"/>
        <v>0</v>
      </c>
      <c r="M229">
        <f t="shared" si="39"/>
        <v>0</v>
      </c>
      <c r="Q229" s="4" t="s">
        <v>164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2:26">
      <c r="B230" t="str">
        <f>IFERROR(VLOOKUP(Q230,unified_reference_costs!$I$41:$J$69,2,FALSE),B229)</f>
        <v>\I:</v>
      </c>
      <c r="C230" t="str">
        <f>IFERROR(VLOOKUP(Q230,unified_reference_costs!$I$31:$J$40,2,FALSE),"*")</f>
        <v>*</v>
      </c>
      <c r="D230">
        <f t="shared" si="30"/>
        <v>2030</v>
      </c>
      <c r="E230" t="str">
        <f t="shared" si="31"/>
        <v/>
      </c>
      <c r="F230" t="str">
        <f t="shared" si="32"/>
        <v/>
      </c>
      <c r="G230" t="str">
        <f t="shared" si="33"/>
        <v/>
      </c>
      <c r="H230" t="str">
        <f t="shared" si="34"/>
        <v/>
      </c>
      <c r="I230" t="str">
        <f t="shared" si="35"/>
        <v/>
      </c>
      <c r="J230" t="str">
        <f t="shared" si="36"/>
        <v/>
      </c>
      <c r="K230" t="str">
        <f t="shared" si="37"/>
        <v/>
      </c>
      <c r="L230" t="str">
        <f t="shared" si="38"/>
        <v/>
      </c>
      <c r="M230" t="str">
        <f t="shared" si="39"/>
        <v/>
      </c>
      <c r="Q230" s="8" t="s">
        <v>44</v>
      </c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2:26">
      <c r="B231" t="str">
        <f>IFERROR(VLOOKUP(Q231,unified_reference_costs!$I$41:$J$69,2,FALSE),B230)</f>
        <v>\I:</v>
      </c>
      <c r="C231" t="str">
        <f>IFERROR(VLOOKUP(Q231,unified_reference_costs!$I$31:$J$40,2,FALSE),"*")</f>
        <v>*cf</v>
      </c>
      <c r="D231">
        <f t="shared" si="30"/>
        <v>2030</v>
      </c>
      <c r="E231">
        <f t="shared" si="31"/>
        <v>0.4</v>
      </c>
      <c r="F231">
        <f t="shared" si="32"/>
        <v>0.52</v>
      </c>
      <c r="G231">
        <f t="shared" si="33"/>
        <v>0.39</v>
      </c>
      <c r="H231">
        <f t="shared" si="34"/>
        <v>0.37</v>
      </c>
      <c r="I231">
        <f t="shared" si="35"/>
        <v>0.44</v>
      </c>
      <c r="J231">
        <f t="shared" si="36"/>
        <v>0.42</v>
      </c>
      <c r="K231">
        <f t="shared" si="37"/>
        <v>0.56000000000000005</v>
      </c>
      <c r="L231">
        <f t="shared" si="38"/>
        <v>0.46</v>
      </c>
      <c r="M231">
        <f t="shared" si="39"/>
        <v>0.37</v>
      </c>
      <c r="Q231" s="4" t="s">
        <v>14</v>
      </c>
      <c r="R231">
        <v>0.4</v>
      </c>
      <c r="S231">
        <v>0.52</v>
      </c>
      <c r="T231">
        <v>0.39</v>
      </c>
      <c r="U231">
        <v>0.37</v>
      </c>
      <c r="V231">
        <v>0.44</v>
      </c>
      <c r="W231">
        <v>0.42</v>
      </c>
      <c r="X231">
        <v>0.56000000000000005</v>
      </c>
      <c r="Y231">
        <v>0.46</v>
      </c>
      <c r="Z231">
        <v>0.37</v>
      </c>
    </row>
    <row r="232" spans="2:26">
      <c r="B232" t="str">
        <f>IFERROR(VLOOKUP(Q232,unified_reference_costs!$I$41:$J$69,2,FALSE),B231)</f>
        <v>\I:</v>
      </c>
      <c r="C232" t="str">
        <f>IFERROR(VLOOKUP(Q232,unified_reference_costs!$I$31:$J$40,2,FALSE),"*")</f>
        <v>invcost</v>
      </c>
      <c r="D232">
        <f t="shared" si="30"/>
        <v>2030</v>
      </c>
      <c r="E232">
        <f t="shared" si="31"/>
        <v>2880</v>
      </c>
      <c r="F232">
        <f t="shared" si="32"/>
        <v>3000</v>
      </c>
      <c r="G232">
        <f t="shared" si="33"/>
        <v>1880</v>
      </c>
      <c r="H232">
        <f t="shared" si="34"/>
        <v>2060</v>
      </c>
      <c r="I232">
        <f t="shared" si="35"/>
        <v>4180</v>
      </c>
      <c r="J232">
        <f t="shared" si="36"/>
        <v>3120</v>
      </c>
      <c r="K232">
        <f t="shared" si="37"/>
        <v>2280</v>
      </c>
      <c r="L232">
        <f t="shared" si="38"/>
        <v>2520</v>
      </c>
      <c r="M232">
        <f t="shared" si="39"/>
        <v>3000</v>
      </c>
      <c r="Q232" s="4" t="s">
        <v>6</v>
      </c>
      <c r="R232">
        <v>2880</v>
      </c>
      <c r="S232">
        <v>3000</v>
      </c>
      <c r="T232">
        <v>1880</v>
      </c>
      <c r="U232">
        <v>2060</v>
      </c>
      <c r="V232">
        <v>4180</v>
      </c>
      <c r="W232">
        <v>3120</v>
      </c>
      <c r="X232">
        <v>2280</v>
      </c>
      <c r="Y232">
        <v>2520</v>
      </c>
      <c r="Z232">
        <v>3000</v>
      </c>
    </row>
    <row r="233" spans="2:26">
      <c r="B233" t="str">
        <f>IFERROR(VLOOKUP(Q233,unified_reference_costs!$I$41:$J$69,2,FALSE),B232)</f>
        <v>\I:</v>
      </c>
      <c r="C233" t="str">
        <f>IFERROR(VLOOKUP(Q233,unified_reference_costs!$I$31:$J$40,2,FALSE),"*")</f>
        <v>efficiency</v>
      </c>
      <c r="D233">
        <f t="shared" si="30"/>
        <v>2030</v>
      </c>
      <c r="E233">
        <f t="shared" si="31"/>
        <v>1</v>
      </c>
      <c r="F233">
        <f t="shared" si="32"/>
        <v>1</v>
      </c>
      <c r="G233">
        <f t="shared" si="33"/>
        <v>1</v>
      </c>
      <c r="H233">
        <f t="shared" si="34"/>
        <v>1</v>
      </c>
      <c r="I233">
        <f t="shared" si="35"/>
        <v>1</v>
      </c>
      <c r="J233">
        <f t="shared" si="36"/>
        <v>1</v>
      </c>
      <c r="K233">
        <f t="shared" si="37"/>
        <v>1</v>
      </c>
      <c r="L233">
        <f t="shared" si="38"/>
        <v>1</v>
      </c>
      <c r="M233">
        <f t="shared" si="39"/>
        <v>1</v>
      </c>
      <c r="Q233" s="4" t="s">
        <v>12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</row>
    <row r="234" spans="2:26">
      <c r="B234" t="str">
        <f>IFERROR(VLOOKUP(Q234,unified_reference_costs!$I$41:$J$69,2,FALSE),B233)</f>
        <v>\I:</v>
      </c>
      <c r="C234" t="str">
        <f>IFERROR(VLOOKUP(Q234,unified_reference_costs!$I$31:$J$40,2,FALSE),"*")</f>
        <v>fixom</v>
      </c>
      <c r="D234">
        <f t="shared" si="30"/>
        <v>2030</v>
      </c>
      <c r="E234">
        <f t="shared" si="31"/>
        <v>80</v>
      </c>
      <c r="F234">
        <f t="shared" si="32"/>
        <v>80</v>
      </c>
      <c r="G234">
        <f t="shared" si="33"/>
        <v>50</v>
      </c>
      <c r="H234">
        <f t="shared" si="34"/>
        <v>55</v>
      </c>
      <c r="I234">
        <f t="shared" si="35"/>
        <v>115</v>
      </c>
      <c r="J234">
        <f t="shared" si="36"/>
        <v>85</v>
      </c>
      <c r="K234">
        <f t="shared" si="37"/>
        <v>50</v>
      </c>
      <c r="L234">
        <f t="shared" si="38"/>
        <v>90</v>
      </c>
      <c r="M234">
        <f t="shared" si="39"/>
        <v>80</v>
      </c>
      <c r="Q234" s="4" t="s">
        <v>10</v>
      </c>
      <c r="R234">
        <v>80</v>
      </c>
      <c r="S234">
        <v>80</v>
      </c>
      <c r="T234">
        <v>50</v>
      </c>
      <c r="U234">
        <v>55</v>
      </c>
      <c r="V234">
        <v>115</v>
      </c>
      <c r="W234">
        <v>85</v>
      </c>
      <c r="X234">
        <v>50</v>
      </c>
      <c r="Y234">
        <v>90</v>
      </c>
      <c r="Z234">
        <v>80</v>
      </c>
    </row>
    <row r="235" spans="2:26">
      <c r="B235" t="str">
        <f>IFERROR(VLOOKUP(Q235,unified_reference_costs!$I$41:$J$69,2,FALSE),B234)</f>
        <v>\I:</v>
      </c>
      <c r="C235" t="str">
        <f>IFERROR(VLOOKUP(Q235,unified_reference_costs!$I$31:$J$40,2,FALSE),"*")</f>
        <v>varom</v>
      </c>
      <c r="D235">
        <f t="shared" si="30"/>
        <v>2030</v>
      </c>
      <c r="E235">
        <f t="shared" si="31"/>
        <v>0</v>
      </c>
      <c r="F235">
        <f t="shared" si="32"/>
        <v>0</v>
      </c>
      <c r="G235">
        <f t="shared" si="33"/>
        <v>0</v>
      </c>
      <c r="H235">
        <f t="shared" si="34"/>
        <v>0</v>
      </c>
      <c r="I235">
        <f t="shared" si="35"/>
        <v>0</v>
      </c>
      <c r="J235">
        <f t="shared" si="36"/>
        <v>0</v>
      </c>
      <c r="K235">
        <f t="shared" si="37"/>
        <v>0</v>
      </c>
      <c r="L235">
        <f t="shared" si="38"/>
        <v>0</v>
      </c>
      <c r="M235">
        <f t="shared" si="39"/>
        <v>0</v>
      </c>
      <c r="Q235" s="8" t="s">
        <v>164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</row>
    <row r="236" spans="2:26">
      <c r="B236" t="str">
        <f>IFERROR(VLOOKUP(Q236,unified_reference_costs!$I$41:$J$69,2,FALSE),B235)</f>
        <v>\I:</v>
      </c>
      <c r="C236" t="str">
        <f>IFERROR(VLOOKUP(Q236,unified_reference_costs!$I$31:$J$40,2,FALSE),"*")</f>
        <v>*</v>
      </c>
      <c r="D236">
        <f t="shared" si="30"/>
        <v>2030</v>
      </c>
      <c r="E236" t="str">
        <f t="shared" si="31"/>
        <v/>
      </c>
      <c r="F236" t="str">
        <f t="shared" si="32"/>
        <v/>
      </c>
      <c r="G236" t="str">
        <f t="shared" si="33"/>
        <v/>
      </c>
      <c r="H236" t="str">
        <f t="shared" si="34"/>
        <v/>
      </c>
      <c r="I236" t="str">
        <f t="shared" si="35"/>
        <v/>
      </c>
      <c r="J236" t="str">
        <f t="shared" si="36"/>
        <v/>
      </c>
      <c r="K236" t="str">
        <f t="shared" si="37"/>
        <v/>
      </c>
      <c r="L236" t="str">
        <f t="shared" si="38"/>
        <v/>
      </c>
      <c r="M236" t="str">
        <f t="shared" si="39"/>
        <v/>
      </c>
      <c r="Q236" s="4" t="s">
        <v>45</v>
      </c>
    </row>
    <row r="237" spans="2:26">
      <c r="B237" t="str">
        <f>IFERROR(VLOOKUP(Q237,unified_reference_costs!$I$41:$J$69,2,FALSE),B236)</f>
        <v>\I:</v>
      </c>
      <c r="C237" t="str">
        <f>IFERROR(VLOOKUP(Q237,unified_reference_costs!$I$31:$J$40,2,FALSE),"*")</f>
        <v>*cf</v>
      </c>
      <c r="D237">
        <f t="shared" si="30"/>
        <v>2030</v>
      </c>
      <c r="E237">
        <f t="shared" si="31"/>
        <v>0.5</v>
      </c>
      <c r="F237">
        <f t="shared" si="32"/>
        <v>0.5</v>
      </c>
      <c r="G237">
        <f t="shared" si="33"/>
        <v>0.35</v>
      </c>
      <c r="H237">
        <f t="shared" si="34"/>
        <v>0.4</v>
      </c>
      <c r="I237">
        <f t="shared" si="35"/>
        <v>0.5</v>
      </c>
      <c r="J237">
        <f t="shared" si="36"/>
        <v>0.4</v>
      </c>
      <c r="K237">
        <f t="shared" si="37"/>
        <v>0.4</v>
      </c>
      <c r="L237">
        <f t="shared" si="38"/>
        <v>0.4</v>
      </c>
      <c r="M237">
        <f t="shared" si="39"/>
        <v>0.2</v>
      </c>
      <c r="Q237" s="4" t="s">
        <v>14</v>
      </c>
      <c r="R237">
        <v>0.5</v>
      </c>
      <c r="S237">
        <v>0.5</v>
      </c>
      <c r="T237">
        <v>0.35</v>
      </c>
      <c r="U237">
        <v>0.4</v>
      </c>
      <c r="V237">
        <v>0.5</v>
      </c>
      <c r="W237">
        <v>0.4</v>
      </c>
      <c r="X237">
        <v>0.4</v>
      </c>
      <c r="Y237">
        <v>0.4</v>
      </c>
      <c r="Z237">
        <v>0.2</v>
      </c>
    </row>
    <row r="238" spans="2:26">
      <c r="B238" t="str">
        <f>IFERROR(VLOOKUP(Q238,unified_reference_costs!$I$41:$J$69,2,FALSE),B237)</f>
        <v>\I:</v>
      </c>
      <c r="C238" t="str">
        <f>IFERROR(VLOOKUP(Q238,unified_reference_costs!$I$31:$J$40,2,FALSE),"*")</f>
        <v>invcost</v>
      </c>
      <c r="D238">
        <f t="shared" si="30"/>
        <v>2030</v>
      </c>
      <c r="E238">
        <f t="shared" si="31"/>
        <v>2100</v>
      </c>
      <c r="F238">
        <f t="shared" si="32"/>
        <v>2100</v>
      </c>
      <c r="G238">
        <f t="shared" si="33"/>
        <v>1600</v>
      </c>
      <c r="H238">
        <f t="shared" si="34"/>
        <v>2000</v>
      </c>
      <c r="I238">
        <f t="shared" si="35"/>
        <v>2400</v>
      </c>
      <c r="J238">
        <f t="shared" si="36"/>
        <v>2050</v>
      </c>
      <c r="K238">
        <f t="shared" si="37"/>
        <v>2650</v>
      </c>
      <c r="L238">
        <f t="shared" si="38"/>
        <v>2700</v>
      </c>
      <c r="M238">
        <f t="shared" si="39"/>
        <v>2150</v>
      </c>
      <c r="Q238" s="4" t="s">
        <v>6</v>
      </c>
      <c r="R238">
        <v>2100</v>
      </c>
      <c r="S238">
        <v>2100</v>
      </c>
      <c r="T238">
        <v>1600</v>
      </c>
      <c r="U238">
        <v>2000</v>
      </c>
      <c r="V238">
        <v>2400</v>
      </c>
      <c r="W238">
        <v>2050</v>
      </c>
      <c r="X238">
        <v>2650</v>
      </c>
      <c r="Y238">
        <v>2700</v>
      </c>
      <c r="Z238">
        <v>2150</v>
      </c>
    </row>
    <row r="239" spans="2:26">
      <c r="B239" t="str">
        <f>IFERROR(VLOOKUP(Q239,unified_reference_costs!$I$41:$J$69,2,FALSE),B238)</f>
        <v>\I:</v>
      </c>
      <c r="C239" t="str">
        <f>IFERROR(VLOOKUP(Q239,unified_reference_costs!$I$31:$J$40,2,FALSE),"*")</f>
        <v>efficiency</v>
      </c>
      <c r="D239">
        <f t="shared" si="30"/>
        <v>2030</v>
      </c>
      <c r="E239">
        <f t="shared" si="31"/>
        <v>1</v>
      </c>
      <c r="F239">
        <f t="shared" si="32"/>
        <v>1</v>
      </c>
      <c r="G239">
        <f t="shared" si="33"/>
        <v>1</v>
      </c>
      <c r="H239">
        <f t="shared" si="34"/>
        <v>1</v>
      </c>
      <c r="I239">
        <f t="shared" si="35"/>
        <v>1</v>
      </c>
      <c r="J239">
        <f t="shared" si="36"/>
        <v>1</v>
      </c>
      <c r="K239">
        <f t="shared" si="37"/>
        <v>1</v>
      </c>
      <c r="L239">
        <f t="shared" si="38"/>
        <v>1</v>
      </c>
      <c r="M239">
        <f t="shared" si="39"/>
        <v>1</v>
      </c>
      <c r="Q239" s="8" t="s">
        <v>12</v>
      </c>
      <c r="R239" s="22">
        <v>1</v>
      </c>
      <c r="S239" s="22">
        <v>1</v>
      </c>
      <c r="T239" s="22">
        <v>1</v>
      </c>
      <c r="U239" s="22">
        <v>1</v>
      </c>
      <c r="V239" s="22">
        <v>1</v>
      </c>
      <c r="W239" s="22">
        <v>1</v>
      </c>
      <c r="X239" s="22">
        <v>1</v>
      </c>
      <c r="Y239" s="22">
        <v>1</v>
      </c>
      <c r="Z239" s="22">
        <v>1</v>
      </c>
    </row>
    <row r="240" spans="2:26">
      <c r="B240" t="str">
        <f>IFERROR(VLOOKUP(Q240,unified_reference_costs!$I$41:$J$69,2,FALSE),B239)</f>
        <v>\I:</v>
      </c>
      <c r="C240" t="str">
        <f>IFERROR(VLOOKUP(Q240,unified_reference_costs!$I$31:$J$40,2,FALSE),"*")</f>
        <v>fixom</v>
      </c>
      <c r="D240">
        <f t="shared" si="30"/>
        <v>2030</v>
      </c>
      <c r="E240">
        <f t="shared" si="31"/>
        <v>50</v>
      </c>
      <c r="F240">
        <f t="shared" si="32"/>
        <v>50</v>
      </c>
      <c r="G240">
        <f t="shared" si="33"/>
        <v>40</v>
      </c>
      <c r="H240">
        <f t="shared" si="34"/>
        <v>50</v>
      </c>
      <c r="I240">
        <f t="shared" si="35"/>
        <v>60</v>
      </c>
      <c r="J240">
        <f t="shared" si="36"/>
        <v>50</v>
      </c>
      <c r="K240">
        <f t="shared" si="37"/>
        <v>60</v>
      </c>
      <c r="L240">
        <f t="shared" si="38"/>
        <v>65</v>
      </c>
      <c r="M240">
        <f t="shared" si="39"/>
        <v>55</v>
      </c>
      <c r="Q240" s="4" t="s">
        <v>10</v>
      </c>
      <c r="R240">
        <v>50</v>
      </c>
      <c r="S240">
        <v>50</v>
      </c>
      <c r="T240">
        <v>40</v>
      </c>
      <c r="U240">
        <v>50</v>
      </c>
      <c r="V240">
        <v>60</v>
      </c>
      <c r="W240">
        <v>50</v>
      </c>
      <c r="X240">
        <v>60</v>
      </c>
      <c r="Y240">
        <v>65</v>
      </c>
      <c r="Z240">
        <v>55</v>
      </c>
    </row>
    <row r="241" spans="2:26">
      <c r="B241" t="str">
        <f>IFERROR(VLOOKUP(Q241,unified_reference_costs!$I$41:$J$69,2,FALSE),B240)</f>
        <v>\I:</v>
      </c>
      <c r="C241" t="str">
        <f>IFERROR(VLOOKUP(Q241,unified_reference_costs!$I$31:$J$40,2,FALSE),"*")</f>
        <v>varom</v>
      </c>
      <c r="D241">
        <f t="shared" si="30"/>
        <v>2030</v>
      </c>
      <c r="E241">
        <f t="shared" si="31"/>
        <v>0</v>
      </c>
      <c r="F241">
        <f t="shared" si="32"/>
        <v>0</v>
      </c>
      <c r="G241">
        <f t="shared" si="33"/>
        <v>0</v>
      </c>
      <c r="H241">
        <f t="shared" si="34"/>
        <v>0</v>
      </c>
      <c r="I241">
        <f t="shared" si="35"/>
        <v>0</v>
      </c>
      <c r="J241">
        <f t="shared" si="36"/>
        <v>0</v>
      </c>
      <c r="K241">
        <f t="shared" si="37"/>
        <v>0</v>
      </c>
      <c r="L241">
        <f t="shared" si="38"/>
        <v>0</v>
      </c>
      <c r="M241">
        <f t="shared" si="39"/>
        <v>0</v>
      </c>
      <c r="Q241" s="4" t="s">
        <v>164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2:26">
      <c r="B242" t="str">
        <f>IFERROR(VLOOKUP(Q242,unified_reference_costs!$I$41:$J$69,2,FALSE),B241)</f>
        <v>\I:</v>
      </c>
      <c r="C242" t="str">
        <f>IFERROR(VLOOKUP(Q242,unified_reference_costs!$I$31:$J$40,2,FALSE),"*")</f>
        <v>*</v>
      </c>
      <c r="D242">
        <f t="shared" si="30"/>
        <v>2030</v>
      </c>
      <c r="E242" t="str">
        <f t="shared" si="31"/>
        <v/>
      </c>
      <c r="F242" t="str">
        <f t="shared" si="32"/>
        <v/>
      </c>
      <c r="G242" t="str">
        <f t="shared" si="33"/>
        <v/>
      </c>
      <c r="H242" t="str">
        <f t="shared" si="34"/>
        <v/>
      </c>
      <c r="I242" t="str">
        <f t="shared" si="35"/>
        <v/>
      </c>
      <c r="J242" t="str">
        <f t="shared" si="36"/>
        <v/>
      </c>
      <c r="K242" t="str">
        <f t="shared" si="37"/>
        <v/>
      </c>
      <c r="L242" t="str">
        <f t="shared" si="38"/>
        <v/>
      </c>
      <c r="M242" t="str">
        <f t="shared" si="39"/>
        <v/>
      </c>
      <c r="Q242" s="4" t="s">
        <v>46</v>
      </c>
    </row>
    <row r="243" spans="2:26">
      <c r="B243" t="str">
        <f>IFERROR(VLOOKUP(Q243,unified_reference_costs!$I$41:$J$69,2,FALSE),B242)</f>
        <v>\I:</v>
      </c>
      <c r="C243" t="str">
        <f>IFERROR(VLOOKUP(Q243,unified_reference_costs!$I$31:$J$40,2,FALSE),"*")</f>
        <v>*cf</v>
      </c>
      <c r="D243">
        <f t="shared" si="30"/>
        <v>2030</v>
      </c>
      <c r="E243">
        <f t="shared" si="31"/>
        <v>0.5</v>
      </c>
      <c r="F243">
        <f t="shared" si="32"/>
        <v>0.5</v>
      </c>
      <c r="G243">
        <f t="shared" si="33"/>
        <v>0.35</v>
      </c>
      <c r="H243">
        <f t="shared" si="34"/>
        <v>0.35</v>
      </c>
      <c r="I243">
        <f t="shared" si="35"/>
        <v>0.2</v>
      </c>
      <c r="J243">
        <f t="shared" si="36"/>
        <v>0.4</v>
      </c>
      <c r="K243">
        <f t="shared" si="37"/>
        <v>0.25</v>
      </c>
      <c r="L243">
        <f t="shared" si="38"/>
        <v>0.3</v>
      </c>
      <c r="M243">
        <f t="shared" si="39"/>
        <v>0.15</v>
      </c>
      <c r="Q243" s="8" t="s">
        <v>14</v>
      </c>
      <c r="R243" s="22">
        <v>0.5</v>
      </c>
      <c r="S243" s="22">
        <v>0.5</v>
      </c>
      <c r="T243" s="22">
        <v>0.35</v>
      </c>
      <c r="U243" s="22">
        <v>0.35</v>
      </c>
      <c r="V243" s="22">
        <v>0.2</v>
      </c>
      <c r="W243" s="22">
        <v>0.4</v>
      </c>
      <c r="X243" s="22">
        <v>0.25</v>
      </c>
      <c r="Y243" s="22">
        <v>0.3</v>
      </c>
      <c r="Z243" s="22">
        <v>0.15</v>
      </c>
    </row>
    <row r="244" spans="2:26">
      <c r="B244" t="str">
        <f>IFERROR(VLOOKUP(Q244,unified_reference_costs!$I$41:$J$69,2,FALSE),B243)</f>
        <v>\I:</v>
      </c>
      <c r="C244" t="str">
        <f>IFERROR(VLOOKUP(Q244,unified_reference_costs!$I$31:$J$40,2,FALSE),"*")</f>
        <v>invcost</v>
      </c>
      <c r="D244">
        <f t="shared" si="30"/>
        <v>2030</v>
      </c>
      <c r="E244">
        <f t="shared" si="31"/>
        <v>3300</v>
      </c>
      <c r="F244">
        <f t="shared" si="32"/>
        <v>3350</v>
      </c>
      <c r="G244">
        <f t="shared" si="33"/>
        <v>2000</v>
      </c>
      <c r="H244">
        <f t="shared" si="34"/>
        <v>3050</v>
      </c>
      <c r="I244">
        <f t="shared" si="35"/>
        <v>3550</v>
      </c>
      <c r="J244">
        <f t="shared" si="36"/>
        <v>3500</v>
      </c>
      <c r="K244">
        <f t="shared" si="37"/>
        <v>3900</v>
      </c>
      <c r="L244">
        <f t="shared" si="38"/>
        <v>4050</v>
      </c>
      <c r="M244">
        <f t="shared" si="39"/>
        <v>3400</v>
      </c>
      <c r="Q244" s="4" t="s">
        <v>6</v>
      </c>
      <c r="R244">
        <v>3300</v>
      </c>
      <c r="S244">
        <v>3350</v>
      </c>
      <c r="T244">
        <v>2000</v>
      </c>
      <c r="U244">
        <v>3050</v>
      </c>
      <c r="V244">
        <v>3550</v>
      </c>
      <c r="W244">
        <v>3500</v>
      </c>
      <c r="X244">
        <v>3900</v>
      </c>
      <c r="Y244">
        <v>4050</v>
      </c>
      <c r="Z244">
        <v>3400</v>
      </c>
    </row>
    <row r="245" spans="2:26">
      <c r="B245" t="str">
        <f>IFERROR(VLOOKUP(Q245,unified_reference_costs!$I$41:$J$69,2,FALSE),B244)</f>
        <v>\I:</v>
      </c>
      <c r="C245" t="str">
        <f>IFERROR(VLOOKUP(Q245,unified_reference_costs!$I$31:$J$40,2,FALSE),"*")</f>
        <v>efficiency</v>
      </c>
      <c r="D245">
        <f t="shared" si="30"/>
        <v>2030</v>
      </c>
      <c r="E245">
        <f t="shared" si="31"/>
        <v>1</v>
      </c>
      <c r="F245">
        <f t="shared" si="32"/>
        <v>1</v>
      </c>
      <c r="G245">
        <f t="shared" si="33"/>
        <v>1</v>
      </c>
      <c r="H245">
        <f t="shared" si="34"/>
        <v>1</v>
      </c>
      <c r="I245">
        <f t="shared" si="35"/>
        <v>1</v>
      </c>
      <c r="J245">
        <f t="shared" si="36"/>
        <v>1</v>
      </c>
      <c r="K245">
        <f t="shared" si="37"/>
        <v>1</v>
      </c>
      <c r="L245">
        <f t="shared" si="38"/>
        <v>1</v>
      </c>
      <c r="M245">
        <f t="shared" si="39"/>
        <v>1</v>
      </c>
      <c r="Q245" s="4" t="s">
        <v>12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</row>
    <row r="246" spans="2:26">
      <c r="B246" t="str">
        <f>IFERROR(VLOOKUP(Q246,unified_reference_costs!$I$41:$J$69,2,FALSE),B245)</f>
        <v>\I:</v>
      </c>
      <c r="C246" t="str">
        <f>IFERROR(VLOOKUP(Q246,unified_reference_costs!$I$31:$J$40,2,FALSE),"*")</f>
        <v>fixom</v>
      </c>
      <c r="D246">
        <f t="shared" si="30"/>
        <v>2030</v>
      </c>
      <c r="E246">
        <f t="shared" si="31"/>
        <v>65</v>
      </c>
      <c r="F246">
        <f t="shared" si="32"/>
        <v>65</v>
      </c>
      <c r="G246">
        <f t="shared" si="33"/>
        <v>40</v>
      </c>
      <c r="H246">
        <f t="shared" si="34"/>
        <v>60</v>
      </c>
      <c r="I246">
        <f t="shared" si="35"/>
        <v>70</v>
      </c>
      <c r="J246">
        <f t="shared" si="36"/>
        <v>70</v>
      </c>
      <c r="K246">
        <f t="shared" si="37"/>
        <v>80</v>
      </c>
      <c r="L246">
        <f t="shared" si="38"/>
        <v>80</v>
      </c>
      <c r="M246">
        <f t="shared" si="39"/>
        <v>70</v>
      </c>
      <c r="Q246" s="7" t="s">
        <v>10</v>
      </c>
      <c r="R246" s="21">
        <v>65</v>
      </c>
      <c r="S246" s="21">
        <v>65</v>
      </c>
      <c r="T246" s="21">
        <v>40</v>
      </c>
      <c r="U246" s="21">
        <v>60</v>
      </c>
      <c r="V246" s="21">
        <v>70</v>
      </c>
      <c r="W246" s="21">
        <v>70</v>
      </c>
      <c r="X246" s="21">
        <v>80</v>
      </c>
      <c r="Y246" s="21">
        <v>80</v>
      </c>
      <c r="Z246" s="21">
        <v>70</v>
      </c>
    </row>
    <row r="247" spans="2:26">
      <c r="B247" t="str">
        <f>IFERROR(VLOOKUP(Q247,unified_reference_costs!$I$41:$J$69,2,FALSE),B246)</f>
        <v>\I:</v>
      </c>
      <c r="C247" t="str">
        <f>IFERROR(VLOOKUP(Q247,unified_reference_costs!$I$31:$J$40,2,FALSE),"*")</f>
        <v>varom</v>
      </c>
      <c r="D247">
        <f t="shared" si="30"/>
        <v>2030</v>
      </c>
      <c r="E247">
        <f t="shared" si="31"/>
        <v>0.27800000000000002</v>
      </c>
      <c r="F247">
        <f t="shared" si="32"/>
        <v>0.27800000000000002</v>
      </c>
      <c r="G247">
        <f t="shared" si="33"/>
        <v>0.27800000000000002</v>
      </c>
      <c r="H247">
        <f t="shared" si="34"/>
        <v>0.27800000000000002</v>
      </c>
      <c r="I247">
        <f t="shared" si="35"/>
        <v>0.27800000000000002</v>
      </c>
      <c r="J247">
        <f t="shared" si="36"/>
        <v>0.27800000000000002</v>
      </c>
      <c r="K247">
        <f t="shared" si="37"/>
        <v>0.27800000000000002</v>
      </c>
      <c r="L247">
        <f t="shared" si="38"/>
        <v>0.27800000000000002</v>
      </c>
      <c r="M247">
        <f t="shared" si="39"/>
        <v>0.27800000000000002</v>
      </c>
      <c r="Q247" s="8" t="s">
        <v>164</v>
      </c>
      <c r="R247" s="22">
        <v>0.27800000000000002</v>
      </c>
      <c r="S247" s="22">
        <v>0.27800000000000002</v>
      </c>
      <c r="T247" s="22">
        <v>0.27800000000000002</v>
      </c>
      <c r="U247" s="22">
        <v>0.27800000000000002</v>
      </c>
      <c r="V247" s="22">
        <v>0.27800000000000002</v>
      </c>
      <c r="W247" s="22">
        <v>0.27800000000000002</v>
      </c>
      <c r="X247" s="22">
        <v>0.27800000000000002</v>
      </c>
      <c r="Y247" s="22">
        <v>0.27800000000000002</v>
      </c>
      <c r="Z247" s="22">
        <v>0.27800000000000002</v>
      </c>
    </row>
    <row r="248" spans="2:26">
      <c r="B248" t="str">
        <f>IFERROR(VLOOKUP(Q248,unified_reference_costs!$I$41:$J$69,2,FALSE),B247)</f>
        <v>en_biomass</v>
      </c>
      <c r="C248" t="str">
        <f>IFERROR(VLOOKUP(Q248,unified_reference_costs!$I$31:$J$40,2,FALSE),"*")</f>
        <v>*</v>
      </c>
      <c r="D248">
        <f t="shared" si="30"/>
        <v>2030</v>
      </c>
      <c r="E248" t="str">
        <f t="shared" si="31"/>
        <v/>
      </c>
      <c r="F248" t="str">
        <f t="shared" si="32"/>
        <v/>
      </c>
      <c r="G248" t="str">
        <f t="shared" si="33"/>
        <v/>
      </c>
      <c r="H248" t="str">
        <f t="shared" si="34"/>
        <v/>
      </c>
      <c r="I248" t="str">
        <f t="shared" si="35"/>
        <v/>
      </c>
      <c r="J248" t="str">
        <f t="shared" si="36"/>
        <v/>
      </c>
      <c r="K248" t="str">
        <f t="shared" si="37"/>
        <v/>
      </c>
      <c r="L248" t="str">
        <f t="shared" si="38"/>
        <v/>
      </c>
      <c r="M248" t="str">
        <f t="shared" si="39"/>
        <v/>
      </c>
      <c r="Q248" s="4" t="s">
        <v>47</v>
      </c>
    </row>
    <row r="249" spans="2:26">
      <c r="B249" t="str">
        <f>IFERROR(VLOOKUP(Q249,unified_reference_costs!$I$41:$J$69,2,FALSE),B248)</f>
        <v>en_biomass</v>
      </c>
      <c r="C249" t="str">
        <f>IFERROR(VLOOKUP(Q249,unified_reference_costs!$I$31:$J$40,2,FALSE),"*")</f>
        <v>*cf</v>
      </c>
      <c r="D249">
        <f t="shared" si="30"/>
        <v>2030</v>
      </c>
      <c r="E249">
        <f t="shared" si="31"/>
        <v>0.5</v>
      </c>
      <c r="F249">
        <f t="shared" si="32"/>
        <v>0.4</v>
      </c>
      <c r="G249">
        <f t="shared" si="33"/>
        <v>0.7</v>
      </c>
      <c r="H249">
        <f t="shared" si="34"/>
        <v>0.6</v>
      </c>
      <c r="I249">
        <f t="shared" si="35"/>
        <v>0.6</v>
      </c>
      <c r="J249">
        <f t="shared" si="36"/>
        <v>0.5</v>
      </c>
      <c r="K249">
        <f t="shared" si="37"/>
        <v>0.6</v>
      </c>
      <c r="L249">
        <f t="shared" si="38"/>
        <v>0.5</v>
      </c>
      <c r="M249">
        <f t="shared" si="39"/>
        <v>0.8</v>
      </c>
      <c r="Q249" s="4" t="s">
        <v>14</v>
      </c>
      <c r="R249">
        <v>0.5</v>
      </c>
      <c r="S249">
        <v>0.4</v>
      </c>
      <c r="T249">
        <v>0.7</v>
      </c>
      <c r="U249">
        <v>0.6</v>
      </c>
      <c r="V249">
        <v>0.6</v>
      </c>
      <c r="W249">
        <v>0.5</v>
      </c>
      <c r="X249">
        <v>0.6</v>
      </c>
      <c r="Y249">
        <v>0.5</v>
      </c>
      <c r="Z249">
        <v>0.8</v>
      </c>
    </row>
    <row r="250" spans="2:26">
      <c r="B250" t="str">
        <f>IFERROR(VLOOKUP(Q250,unified_reference_costs!$I$41:$J$69,2,FALSE),B249)</f>
        <v>en_biomass</v>
      </c>
      <c r="C250" t="str">
        <f>IFERROR(VLOOKUP(Q250,unified_reference_costs!$I$31:$J$40,2,FALSE),"*")</f>
        <v>invcost</v>
      </c>
      <c r="D250">
        <f t="shared" si="30"/>
        <v>2030</v>
      </c>
      <c r="E250">
        <f t="shared" si="31"/>
        <v>2100</v>
      </c>
      <c r="F250">
        <f t="shared" si="32"/>
        <v>2150</v>
      </c>
      <c r="G250">
        <f t="shared" si="33"/>
        <v>1550</v>
      </c>
      <c r="H250">
        <f t="shared" si="34"/>
        <v>2100</v>
      </c>
      <c r="I250">
        <f t="shared" si="35"/>
        <v>2300</v>
      </c>
      <c r="J250">
        <f t="shared" si="36"/>
        <v>2200</v>
      </c>
      <c r="K250">
        <f t="shared" si="37"/>
        <v>2350</v>
      </c>
      <c r="L250">
        <f t="shared" si="38"/>
        <v>2450</v>
      </c>
      <c r="M250">
        <f t="shared" si="39"/>
        <v>2200</v>
      </c>
      <c r="Q250" s="4" t="s">
        <v>6</v>
      </c>
      <c r="R250">
        <v>2100</v>
      </c>
      <c r="S250">
        <v>2150</v>
      </c>
      <c r="T250">
        <v>1550</v>
      </c>
      <c r="U250">
        <v>2100</v>
      </c>
      <c r="V250">
        <v>2300</v>
      </c>
      <c r="W250">
        <v>2200</v>
      </c>
      <c r="X250">
        <v>2350</v>
      </c>
      <c r="Y250">
        <v>2450</v>
      </c>
      <c r="Z250">
        <v>2200</v>
      </c>
    </row>
    <row r="251" spans="2:26">
      <c r="B251" t="str">
        <f>IFERROR(VLOOKUP(Q251,unified_reference_costs!$I$41:$J$69,2,FALSE),B250)</f>
        <v>en_biomass</v>
      </c>
      <c r="C251" t="str">
        <f>IFERROR(VLOOKUP(Q251,unified_reference_costs!$I$31:$J$40,2,FALSE),"*")</f>
        <v>efficiency</v>
      </c>
      <c r="D251">
        <f t="shared" si="30"/>
        <v>2030</v>
      </c>
      <c r="E251">
        <f t="shared" si="31"/>
        <v>0.35</v>
      </c>
      <c r="F251">
        <f t="shared" si="32"/>
        <v>0.35</v>
      </c>
      <c r="G251">
        <f t="shared" si="33"/>
        <v>0.35</v>
      </c>
      <c r="H251">
        <f t="shared" si="34"/>
        <v>0.35</v>
      </c>
      <c r="I251">
        <f t="shared" si="35"/>
        <v>0.35</v>
      </c>
      <c r="J251">
        <f t="shared" si="36"/>
        <v>0.35</v>
      </c>
      <c r="K251">
        <f t="shared" si="37"/>
        <v>0.35</v>
      </c>
      <c r="L251">
        <f t="shared" si="38"/>
        <v>0.35</v>
      </c>
      <c r="M251">
        <f t="shared" si="39"/>
        <v>0.35</v>
      </c>
      <c r="Q251" s="8" t="s">
        <v>12</v>
      </c>
      <c r="R251" s="22">
        <v>0.35</v>
      </c>
      <c r="S251" s="22">
        <v>0.35</v>
      </c>
      <c r="T251" s="22">
        <v>0.35</v>
      </c>
      <c r="U251" s="22">
        <v>0.35</v>
      </c>
      <c r="V251" s="22">
        <v>0.35</v>
      </c>
      <c r="W251" s="22">
        <v>0.35</v>
      </c>
      <c r="X251" s="22">
        <v>0.35</v>
      </c>
      <c r="Y251" s="22">
        <v>0.35</v>
      </c>
      <c r="Z251" s="22">
        <v>0.35</v>
      </c>
    </row>
    <row r="252" spans="2:26">
      <c r="B252" t="str">
        <f>IFERROR(VLOOKUP(Q252,unified_reference_costs!$I$41:$J$69,2,FALSE),B251)</f>
        <v>en_biomass</v>
      </c>
      <c r="C252" t="str">
        <f>IFERROR(VLOOKUP(Q252,unified_reference_costs!$I$31:$J$40,2,FALSE),"*")</f>
        <v>fixom</v>
      </c>
      <c r="D252">
        <f t="shared" si="30"/>
        <v>2030</v>
      </c>
      <c r="E252">
        <f t="shared" si="31"/>
        <v>75</v>
      </c>
      <c r="F252">
        <f t="shared" si="32"/>
        <v>75</v>
      </c>
      <c r="G252">
        <f t="shared" si="33"/>
        <v>55</v>
      </c>
      <c r="H252">
        <f t="shared" si="34"/>
        <v>75</v>
      </c>
      <c r="I252">
        <f t="shared" si="35"/>
        <v>80</v>
      </c>
      <c r="J252">
        <f t="shared" si="36"/>
        <v>75</v>
      </c>
      <c r="K252">
        <f t="shared" si="37"/>
        <v>80</v>
      </c>
      <c r="L252">
        <f t="shared" si="38"/>
        <v>85</v>
      </c>
      <c r="M252">
        <f t="shared" si="39"/>
        <v>75</v>
      </c>
      <c r="Q252" s="4" t="s">
        <v>10</v>
      </c>
      <c r="R252">
        <v>75</v>
      </c>
      <c r="S252">
        <v>75</v>
      </c>
      <c r="T252">
        <v>55</v>
      </c>
      <c r="U252">
        <v>75</v>
      </c>
      <c r="V252">
        <v>80</v>
      </c>
      <c r="W252">
        <v>75</v>
      </c>
      <c r="X252">
        <v>80</v>
      </c>
      <c r="Y252">
        <v>85</v>
      </c>
      <c r="Z252">
        <v>75</v>
      </c>
    </row>
    <row r="253" spans="2:26">
      <c r="B253" t="str">
        <f>IFERROR(VLOOKUP(Q253,unified_reference_costs!$I$41:$J$69,2,FALSE),B252)</f>
        <v>en_biomass</v>
      </c>
      <c r="C253" t="str">
        <f>IFERROR(VLOOKUP(Q253,unified_reference_costs!$I$31:$J$40,2,FALSE),"*")</f>
        <v>varom</v>
      </c>
      <c r="D253">
        <f t="shared" si="30"/>
        <v>2030</v>
      </c>
      <c r="E253">
        <f t="shared" si="31"/>
        <v>1.4570000000000001</v>
      </c>
      <c r="F253">
        <f t="shared" si="32"/>
        <v>1.4570000000000001</v>
      </c>
      <c r="G253">
        <f t="shared" si="33"/>
        <v>1.4570000000000001</v>
      </c>
      <c r="H253">
        <f t="shared" si="34"/>
        <v>1.4570000000000001</v>
      </c>
      <c r="I253">
        <f t="shared" si="35"/>
        <v>1.4570000000000001</v>
      </c>
      <c r="J253">
        <f t="shared" si="36"/>
        <v>1.4570000000000001</v>
      </c>
      <c r="K253">
        <f t="shared" si="37"/>
        <v>1.4570000000000001</v>
      </c>
      <c r="L253">
        <f t="shared" si="38"/>
        <v>1.4570000000000001</v>
      </c>
      <c r="M253">
        <f t="shared" si="39"/>
        <v>1.4570000000000001</v>
      </c>
      <c r="Q253" s="4" t="s">
        <v>164</v>
      </c>
      <c r="R253">
        <v>1.4570000000000001</v>
      </c>
      <c r="S253">
        <v>1.4570000000000001</v>
      </c>
      <c r="T253">
        <v>1.4570000000000001</v>
      </c>
      <c r="U253">
        <v>1.4570000000000001</v>
      </c>
      <c r="V253">
        <v>1.4570000000000001</v>
      </c>
      <c r="W253">
        <v>1.4570000000000001</v>
      </c>
      <c r="X253">
        <v>1.4570000000000001</v>
      </c>
      <c r="Y253">
        <v>1.4570000000000001</v>
      </c>
      <c r="Z253">
        <v>1.4570000000000001</v>
      </c>
    </row>
    <row r="254" spans="2:26">
      <c r="B254" t="str">
        <f>IFERROR(VLOOKUP(Q254,unified_reference_costs!$I$41:$J$69,2,FALSE),B253)</f>
        <v>\I:</v>
      </c>
      <c r="C254" t="str">
        <f>IFERROR(VLOOKUP(Q254,unified_reference_costs!$I$31:$J$40,2,FALSE),"*")</f>
        <v>*</v>
      </c>
      <c r="D254">
        <f t="shared" si="30"/>
        <v>2030</v>
      </c>
      <c r="E254" t="str">
        <f t="shared" si="31"/>
        <v/>
      </c>
      <c r="F254" t="str">
        <f t="shared" si="32"/>
        <v/>
      </c>
      <c r="G254" t="str">
        <f t="shared" si="33"/>
        <v/>
      </c>
      <c r="H254" t="str">
        <f t="shared" si="34"/>
        <v/>
      </c>
      <c r="I254" t="str">
        <f t="shared" si="35"/>
        <v/>
      </c>
      <c r="J254" t="str">
        <f t="shared" si="36"/>
        <v/>
      </c>
      <c r="K254" t="str">
        <f t="shared" si="37"/>
        <v/>
      </c>
      <c r="L254" t="str">
        <f t="shared" si="38"/>
        <v/>
      </c>
      <c r="M254" t="str">
        <f t="shared" si="39"/>
        <v/>
      </c>
      <c r="Q254" s="4" t="s">
        <v>48</v>
      </c>
    </row>
    <row r="255" spans="2:26">
      <c r="B255" t="str">
        <f>IFERROR(VLOOKUP(Q255,unified_reference_costs!$I$41:$J$69,2,FALSE),B254)</f>
        <v>\I:</v>
      </c>
      <c r="C255" t="str">
        <f>IFERROR(VLOOKUP(Q255,unified_reference_costs!$I$31:$J$40,2,FALSE),"*")</f>
        <v>*cf</v>
      </c>
      <c r="D255">
        <f t="shared" si="30"/>
        <v>2030</v>
      </c>
      <c r="E255">
        <f t="shared" si="31"/>
        <v>0.4</v>
      </c>
      <c r="F255">
        <f t="shared" si="32"/>
        <v>0.7</v>
      </c>
      <c r="G255">
        <f t="shared" si="33"/>
        <v>0.8</v>
      </c>
      <c r="H255">
        <f t="shared" si="34"/>
        <v>0.6</v>
      </c>
      <c r="I255">
        <f t="shared" si="35"/>
        <v>0.8</v>
      </c>
      <c r="J255">
        <f t="shared" si="36"/>
        <v>0.6</v>
      </c>
      <c r="K255">
        <f t="shared" si="37"/>
        <v>0.6</v>
      </c>
      <c r="L255">
        <f t="shared" si="38"/>
        <v>0.7</v>
      </c>
      <c r="M255">
        <f t="shared" si="39"/>
        <v>0.6</v>
      </c>
      <c r="Q255" s="8" t="s">
        <v>14</v>
      </c>
      <c r="R255" s="22">
        <v>0.4</v>
      </c>
      <c r="S255" s="22">
        <v>0.7</v>
      </c>
      <c r="T255" s="22">
        <v>0.8</v>
      </c>
      <c r="U255" s="22">
        <v>0.6</v>
      </c>
      <c r="V255" s="22">
        <v>0.8</v>
      </c>
      <c r="W255" s="22">
        <v>0.6</v>
      </c>
      <c r="X255" s="22">
        <v>0.6</v>
      </c>
      <c r="Y255" s="22">
        <v>0.7</v>
      </c>
      <c r="Z255" s="22">
        <v>0.6</v>
      </c>
    </row>
    <row r="256" spans="2:26">
      <c r="B256" t="str">
        <f>IFERROR(VLOOKUP(Q256,unified_reference_costs!$I$41:$J$69,2,FALSE),B255)</f>
        <v>\I:</v>
      </c>
      <c r="C256" t="str">
        <f>IFERROR(VLOOKUP(Q256,unified_reference_costs!$I$31:$J$40,2,FALSE),"*")</f>
        <v>invcost</v>
      </c>
      <c r="D256">
        <f t="shared" si="30"/>
        <v>2030</v>
      </c>
      <c r="E256">
        <f t="shared" si="31"/>
        <v>500</v>
      </c>
      <c r="F256">
        <f t="shared" si="32"/>
        <v>550</v>
      </c>
      <c r="G256">
        <f t="shared" si="33"/>
        <v>400</v>
      </c>
      <c r="H256">
        <f t="shared" si="34"/>
        <v>550</v>
      </c>
      <c r="I256">
        <f t="shared" si="35"/>
        <v>575</v>
      </c>
      <c r="J256">
        <f t="shared" si="36"/>
        <v>550</v>
      </c>
      <c r="K256">
        <f t="shared" si="37"/>
        <v>575</v>
      </c>
      <c r="L256">
        <f t="shared" si="38"/>
        <v>625</v>
      </c>
      <c r="M256">
        <f t="shared" si="39"/>
        <v>550</v>
      </c>
      <c r="Q256" s="4" t="s">
        <v>6</v>
      </c>
      <c r="R256">
        <v>500</v>
      </c>
      <c r="S256">
        <v>550</v>
      </c>
      <c r="T256">
        <v>400</v>
      </c>
      <c r="U256">
        <v>550</v>
      </c>
      <c r="V256">
        <v>575</v>
      </c>
      <c r="W256">
        <v>550</v>
      </c>
      <c r="X256">
        <v>575</v>
      </c>
      <c r="Y256">
        <v>625</v>
      </c>
      <c r="Z256">
        <v>550</v>
      </c>
    </row>
    <row r="257" spans="2:26">
      <c r="B257" t="str">
        <f>IFERROR(VLOOKUP(Q257,unified_reference_costs!$I$41:$J$69,2,FALSE),B256)</f>
        <v>\I:</v>
      </c>
      <c r="C257" t="str">
        <f>IFERROR(VLOOKUP(Q257,unified_reference_costs!$I$31:$J$40,2,FALSE),"*")</f>
        <v>efficiency</v>
      </c>
      <c r="D257">
        <f t="shared" si="30"/>
        <v>2030</v>
      </c>
      <c r="E257">
        <f t="shared" si="31"/>
        <v>0.37</v>
      </c>
      <c r="F257">
        <f t="shared" si="32"/>
        <v>0.37</v>
      </c>
      <c r="G257">
        <f t="shared" si="33"/>
        <v>0.37</v>
      </c>
      <c r="H257">
        <f t="shared" si="34"/>
        <v>0.37</v>
      </c>
      <c r="I257">
        <f t="shared" si="35"/>
        <v>0.37</v>
      </c>
      <c r="J257">
        <f t="shared" si="36"/>
        <v>0.37</v>
      </c>
      <c r="K257">
        <f t="shared" si="37"/>
        <v>0.37</v>
      </c>
      <c r="L257">
        <f t="shared" si="38"/>
        <v>0.37</v>
      </c>
      <c r="M257">
        <f t="shared" si="39"/>
        <v>0.37</v>
      </c>
      <c r="Q257" s="4" t="s">
        <v>12</v>
      </c>
      <c r="R257">
        <v>0.37</v>
      </c>
      <c r="S257">
        <v>0.37</v>
      </c>
      <c r="T257">
        <v>0.37</v>
      </c>
      <c r="U257">
        <v>0.37</v>
      </c>
      <c r="V257">
        <v>0.37</v>
      </c>
      <c r="W257">
        <v>0.37</v>
      </c>
      <c r="X257">
        <v>0.37</v>
      </c>
      <c r="Y257">
        <v>0.37</v>
      </c>
      <c r="Z257">
        <v>0.37</v>
      </c>
    </row>
    <row r="258" spans="2:26">
      <c r="B258" t="str">
        <f>IFERROR(VLOOKUP(Q258,unified_reference_costs!$I$41:$J$69,2,FALSE),B257)</f>
        <v>\I:</v>
      </c>
      <c r="C258" t="str">
        <f>IFERROR(VLOOKUP(Q258,unified_reference_costs!$I$31:$J$40,2,FALSE),"*")</f>
        <v>fixom</v>
      </c>
      <c r="D258">
        <f t="shared" si="30"/>
        <v>2030</v>
      </c>
      <c r="E258">
        <f t="shared" si="31"/>
        <v>20</v>
      </c>
      <c r="F258">
        <f t="shared" si="32"/>
        <v>20</v>
      </c>
      <c r="G258">
        <f t="shared" si="33"/>
        <v>15</v>
      </c>
      <c r="H258">
        <f t="shared" si="34"/>
        <v>20</v>
      </c>
      <c r="I258">
        <f t="shared" si="35"/>
        <v>20</v>
      </c>
      <c r="J258">
        <f t="shared" si="36"/>
        <v>20</v>
      </c>
      <c r="K258">
        <f t="shared" si="37"/>
        <v>20</v>
      </c>
      <c r="L258">
        <f t="shared" si="38"/>
        <v>25</v>
      </c>
      <c r="M258">
        <f t="shared" si="39"/>
        <v>20</v>
      </c>
      <c r="Q258" s="7" t="s">
        <v>10</v>
      </c>
      <c r="R258" s="21">
        <v>20</v>
      </c>
      <c r="S258" s="21">
        <v>20</v>
      </c>
      <c r="T258" s="21">
        <v>15</v>
      </c>
      <c r="U258" s="21">
        <v>20</v>
      </c>
      <c r="V258" s="21">
        <v>20</v>
      </c>
      <c r="W258" s="21">
        <v>20</v>
      </c>
      <c r="X258" s="21">
        <v>20</v>
      </c>
      <c r="Y258" s="21">
        <v>25</v>
      </c>
      <c r="Z258" s="21">
        <v>20</v>
      </c>
    </row>
    <row r="259" spans="2:26">
      <c r="B259" t="str">
        <f>IFERROR(VLOOKUP(Q259,unified_reference_costs!$I$41:$J$69,2,FALSE),B258)</f>
        <v>\I:</v>
      </c>
      <c r="C259" t="str">
        <f>IFERROR(VLOOKUP(Q259,unified_reference_costs!$I$31:$J$40,2,FALSE),"*")</f>
        <v>varom</v>
      </c>
      <c r="D259">
        <f t="shared" si="30"/>
        <v>2030</v>
      </c>
      <c r="E259">
        <f t="shared" si="31"/>
        <v>1.111</v>
      </c>
      <c r="F259">
        <f t="shared" si="32"/>
        <v>1.111</v>
      </c>
      <c r="G259">
        <f t="shared" si="33"/>
        <v>1.111</v>
      </c>
      <c r="H259">
        <f t="shared" si="34"/>
        <v>1.111</v>
      </c>
      <c r="I259">
        <f t="shared" si="35"/>
        <v>1.111</v>
      </c>
      <c r="J259">
        <f t="shared" si="36"/>
        <v>1.111</v>
      </c>
      <c r="K259">
        <f t="shared" si="37"/>
        <v>1.111</v>
      </c>
      <c r="L259">
        <f t="shared" si="38"/>
        <v>1.111</v>
      </c>
      <c r="M259">
        <f t="shared" si="39"/>
        <v>1.111</v>
      </c>
      <c r="Q259" s="8" t="s">
        <v>164</v>
      </c>
      <c r="R259" s="22">
        <v>1.111</v>
      </c>
      <c r="S259" s="22">
        <v>1.111</v>
      </c>
      <c r="T259" s="22">
        <v>1.111</v>
      </c>
      <c r="U259" s="22">
        <v>1.111</v>
      </c>
      <c r="V259" s="22">
        <v>1.111</v>
      </c>
      <c r="W259" s="22">
        <v>1.111</v>
      </c>
      <c r="X259" s="22">
        <v>1.111</v>
      </c>
      <c r="Y259" s="22">
        <v>1.111</v>
      </c>
      <c r="Z259" s="22">
        <v>1.111</v>
      </c>
    </row>
    <row r="260" spans="2:26">
      <c r="B260" t="str">
        <f>IFERROR(VLOOKUP(Q260,unified_reference_costs!$I$41:$J$69,2,FALSE),B259)</f>
        <v>en_biomass_chp</v>
      </c>
      <c r="C260" t="str">
        <f>IFERROR(VLOOKUP(Q260,unified_reference_costs!$I$31:$J$40,2,FALSE),"*")</f>
        <v>*</v>
      </c>
      <c r="D260">
        <f t="shared" ref="D260:D323" si="40">IF(ISNUMBER(Q260),Q260,D259)</f>
        <v>2030</v>
      </c>
      <c r="E260" t="str">
        <f t="shared" si="31"/>
        <v/>
      </c>
      <c r="F260" t="str">
        <f t="shared" si="32"/>
        <v/>
      </c>
      <c r="G260" t="str">
        <f t="shared" si="33"/>
        <v/>
      </c>
      <c r="H260" t="str">
        <f t="shared" si="34"/>
        <v/>
      </c>
      <c r="I260" t="str">
        <f t="shared" si="35"/>
        <v/>
      </c>
      <c r="J260" t="str">
        <f t="shared" si="36"/>
        <v/>
      </c>
      <c r="K260" t="str">
        <f t="shared" si="37"/>
        <v/>
      </c>
      <c r="L260" t="str">
        <f t="shared" si="38"/>
        <v/>
      </c>
      <c r="M260" t="str">
        <f t="shared" si="39"/>
        <v/>
      </c>
      <c r="Q260" s="4" t="s">
        <v>49</v>
      </c>
    </row>
    <row r="261" spans="2:26">
      <c r="B261" t="str">
        <f>IFERROR(VLOOKUP(Q261,unified_reference_costs!$I$41:$J$69,2,FALSE),B260)</f>
        <v>en_biomass_chp</v>
      </c>
      <c r="C261" t="str">
        <f>IFERROR(VLOOKUP(Q261,unified_reference_costs!$I$31:$J$40,2,FALSE),"*")</f>
        <v>*cf</v>
      </c>
      <c r="D261">
        <f t="shared" si="40"/>
        <v>2030</v>
      </c>
      <c r="E261">
        <f t="shared" si="31"/>
        <v>0.5</v>
      </c>
      <c r="F261">
        <f t="shared" si="32"/>
        <v>0.5</v>
      </c>
      <c r="G261">
        <f t="shared" si="33"/>
        <v>0.6</v>
      </c>
      <c r="H261">
        <f t="shared" si="34"/>
        <v>0.5</v>
      </c>
      <c r="I261">
        <f t="shared" si="35"/>
        <v>0.6</v>
      </c>
      <c r="J261">
        <f t="shared" si="36"/>
        <v>0.4</v>
      </c>
      <c r="K261">
        <f t="shared" si="37"/>
        <v>0.7</v>
      </c>
      <c r="L261">
        <f t="shared" si="38"/>
        <v>0.5</v>
      </c>
      <c r="M261">
        <f t="shared" si="39"/>
        <v>0.5</v>
      </c>
      <c r="Q261" s="4" t="s">
        <v>14</v>
      </c>
      <c r="R261">
        <v>0.5</v>
      </c>
      <c r="S261">
        <v>0.5</v>
      </c>
      <c r="T261">
        <v>0.6</v>
      </c>
      <c r="U261">
        <v>0.5</v>
      </c>
      <c r="V261">
        <v>0.6</v>
      </c>
      <c r="W261">
        <v>0.4</v>
      </c>
      <c r="X261">
        <v>0.7</v>
      </c>
      <c r="Y261">
        <v>0.5</v>
      </c>
      <c r="Z261">
        <v>0.5</v>
      </c>
    </row>
    <row r="262" spans="2:26">
      <c r="B262" t="str">
        <f>IFERROR(VLOOKUP(Q262,unified_reference_costs!$I$41:$J$69,2,FALSE),B261)</f>
        <v>en_biomass_chp</v>
      </c>
      <c r="C262" t="str">
        <f>IFERROR(VLOOKUP(Q262,unified_reference_costs!$I$31:$J$40,2,FALSE),"*")</f>
        <v>invcost</v>
      </c>
      <c r="D262">
        <f t="shared" si="40"/>
        <v>2030</v>
      </c>
      <c r="E262">
        <f t="shared" ref="E262:E325" si="41">IF(R262="","",R262)</f>
        <v>2750</v>
      </c>
      <c r="F262">
        <f t="shared" ref="F262:F325" si="42">IF(S262="","",S262)</f>
        <v>2850</v>
      </c>
      <c r="G262">
        <f t="shared" ref="G262:G325" si="43">IF(T262="","",T262)</f>
        <v>2450</v>
      </c>
      <c r="H262">
        <f t="shared" ref="H262:H325" si="44">IF(U262="","",U262)</f>
        <v>2750</v>
      </c>
      <c r="I262">
        <f t="shared" ref="I262:I325" si="45">IF(V262="","",V262)</f>
        <v>3800</v>
      </c>
      <c r="J262">
        <f t="shared" ref="J262:J325" si="46">IF(W262="","",W262)</f>
        <v>3400</v>
      </c>
      <c r="K262">
        <f t="shared" ref="K262:K325" si="47">IF(X262="","",X262)</f>
        <v>3650</v>
      </c>
      <c r="L262">
        <f t="shared" ref="L262:L325" si="48">IF(Y262="","",Y262)</f>
        <v>3950</v>
      </c>
      <c r="M262">
        <f t="shared" ref="M262:M325" si="49">IF(Z262="","",Z262)</f>
        <v>2850</v>
      </c>
      <c r="Q262" s="4" t="s">
        <v>6</v>
      </c>
      <c r="R262">
        <v>2750</v>
      </c>
      <c r="S262">
        <v>2850</v>
      </c>
      <c r="T262">
        <v>2450</v>
      </c>
      <c r="U262">
        <v>2750</v>
      </c>
      <c r="V262">
        <v>3800</v>
      </c>
      <c r="W262">
        <v>3400</v>
      </c>
      <c r="X262">
        <v>3650</v>
      </c>
      <c r="Y262">
        <v>3950</v>
      </c>
      <c r="Z262">
        <v>2850</v>
      </c>
    </row>
    <row r="263" spans="2:26">
      <c r="B263" t="str">
        <f>IFERROR(VLOOKUP(Q263,unified_reference_costs!$I$41:$J$69,2,FALSE),B262)</f>
        <v>en_biomass_chp</v>
      </c>
      <c r="C263" t="str">
        <f>IFERROR(VLOOKUP(Q263,unified_reference_costs!$I$31:$J$40,2,FALSE),"*")</f>
        <v>efficiency</v>
      </c>
      <c r="D263">
        <f t="shared" si="40"/>
        <v>2030</v>
      </c>
      <c r="E263">
        <f t="shared" si="41"/>
        <v>0.38500000000000001</v>
      </c>
      <c r="F263">
        <f t="shared" si="42"/>
        <v>0.38500000000000001</v>
      </c>
      <c r="G263">
        <f t="shared" si="43"/>
        <v>0.38500000000000001</v>
      </c>
      <c r="H263">
        <f t="shared" si="44"/>
        <v>0.38500000000000001</v>
      </c>
      <c r="I263">
        <f t="shared" si="45"/>
        <v>0.38500000000000001</v>
      </c>
      <c r="J263">
        <f t="shared" si="46"/>
        <v>0.38500000000000001</v>
      </c>
      <c r="K263">
        <f t="shared" si="47"/>
        <v>0.38500000000000001</v>
      </c>
      <c r="L263">
        <f t="shared" si="48"/>
        <v>0.38500000000000001</v>
      </c>
      <c r="M263">
        <f t="shared" si="49"/>
        <v>0.38500000000000001</v>
      </c>
      <c r="Q263" s="8" t="s">
        <v>12</v>
      </c>
      <c r="R263" s="22">
        <v>0.38500000000000001</v>
      </c>
      <c r="S263" s="22">
        <v>0.38500000000000001</v>
      </c>
      <c r="T263" s="22">
        <v>0.38500000000000001</v>
      </c>
      <c r="U263" s="22">
        <v>0.38500000000000001</v>
      </c>
      <c r="V263" s="22">
        <v>0.38500000000000001</v>
      </c>
      <c r="W263" s="22">
        <v>0.38500000000000001</v>
      </c>
      <c r="X263" s="22">
        <v>0.38500000000000001</v>
      </c>
      <c r="Y263" s="22">
        <v>0.38500000000000001</v>
      </c>
      <c r="Z263" s="22">
        <v>0.38500000000000001</v>
      </c>
    </row>
    <row r="264" spans="2:26">
      <c r="B264" t="str">
        <f>IFERROR(VLOOKUP(Q264,unified_reference_costs!$I$41:$J$69,2,FALSE),B263)</f>
        <v>en_biomass_chp</v>
      </c>
      <c r="C264" t="str">
        <f>IFERROR(VLOOKUP(Q264,unified_reference_costs!$I$31:$J$40,2,FALSE),"*")</f>
        <v>fixom</v>
      </c>
      <c r="D264">
        <f t="shared" si="40"/>
        <v>2030</v>
      </c>
      <c r="E264">
        <f t="shared" si="41"/>
        <v>105</v>
      </c>
      <c r="F264">
        <f t="shared" si="42"/>
        <v>105</v>
      </c>
      <c r="G264">
        <f t="shared" si="43"/>
        <v>90</v>
      </c>
      <c r="H264">
        <f t="shared" si="44"/>
        <v>105</v>
      </c>
      <c r="I264">
        <f t="shared" si="45"/>
        <v>145</v>
      </c>
      <c r="J264">
        <f t="shared" si="46"/>
        <v>130</v>
      </c>
      <c r="K264">
        <f t="shared" si="47"/>
        <v>140</v>
      </c>
      <c r="L264">
        <f t="shared" si="48"/>
        <v>150</v>
      </c>
      <c r="M264">
        <f t="shared" si="49"/>
        <v>105</v>
      </c>
      <c r="Q264" s="4" t="s">
        <v>10</v>
      </c>
      <c r="R264">
        <v>105</v>
      </c>
      <c r="S264">
        <v>105</v>
      </c>
      <c r="T264">
        <v>90</v>
      </c>
      <c r="U264">
        <v>105</v>
      </c>
      <c r="V264">
        <v>145</v>
      </c>
      <c r="W264">
        <v>130</v>
      </c>
      <c r="X264">
        <v>140</v>
      </c>
      <c r="Y264">
        <v>150</v>
      </c>
      <c r="Z264">
        <v>105</v>
      </c>
    </row>
    <row r="265" spans="2:26">
      <c r="B265" t="str">
        <f>IFERROR(VLOOKUP(Q265,unified_reference_costs!$I$41:$J$69,2,FALSE),B264)</f>
        <v>en_biomass_chp</v>
      </c>
      <c r="C265" t="str">
        <f>IFERROR(VLOOKUP(Q265,unified_reference_costs!$I$31:$J$40,2,FALSE),"*")</f>
        <v>varom</v>
      </c>
      <c r="D265">
        <f t="shared" si="40"/>
        <v>2030</v>
      </c>
      <c r="E265">
        <f t="shared" si="41"/>
        <v>1.667</v>
      </c>
      <c r="F265">
        <f t="shared" si="42"/>
        <v>1.667</v>
      </c>
      <c r="G265">
        <f t="shared" si="43"/>
        <v>1.667</v>
      </c>
      <c r="H265">
        <f t="shared" si="44"/>
        <v>1.667</v>
      </c>
      <c r="I265">
        <f t="shared" si="45"/>
        <v>1.667</v>
      </c>
      <c r="J265">
        <f t="shared" si="46"/>
        <v>1.667</v>
      </c>
      <c r="K265">
        <f t="shared" si="47"/>
        <v>1.667</v>
      </c>
      <c r="L265">
        <f t="shared" si="48"/>
        <v>1.667</v>
      </c>
      <c r="M265">
        <f t="shared" si="49"/>
        <v>1.667</v>
      </c>
      <c r="Q265" s="4" t="s">
        <v>164</v>
      </c>
      <c r="R265">
        <v>1.667</v>
      </c>
      <c r="S265">
        <v>1.667</v>
      </c>
      <c r="T265">
        <v>1.667</v>
      </c>
      <c r="U265">
        <v>1.667</v>
      </c>
      <c r="V265">
        <v>1.667</v>
      </c>
      <c r="W265">
        <v>1.667</v>
      </c>
      <c r="X265">
        <v>1.667</v>
      </c>
      <c r="Y265">
        <v>1.667</v>
      </c>
      <c r="Z265">
        <v>1.667</v>
      </c>
    </row>
    <row r="266" spans="2:26">
      <c r="B266" t="str">
        <f>IFERROR(VLOOKUP(Q266,unified_reference_costs!$I$41:$J$69,2,FALSE),B265)</f>
        <v>en_biomass_ccs</v>
      </c>
      <c r="C266" t="str">
        <f>IFERROR(VLOOKUP(Q266,unified_reference_costs!$I$31:$J$40,2,FALSE),"*")</f>
        <v>*</v>
      </c>
      <c r="D266">
        <f t="shared" si="40"/>
        <v>2030</v>
      </c>
      <c r="E266" t="str">
        <f t="shared" si="41"/>
        <v/>
      </c>
      <c r="F266" t="str">
        <f t="shared" si="42"/>
        <v/>
      </c>
      <c r="G266" t="str">
        <f t="shared" si="43"/>
        <v/>
      </c>
      <c r="H266" t="str">
        <f t="shared" si="44"/>
        <v/>
      </c>
      <c r="I266" t="str">
        <f t="shared" si="45"/>
        <v/>
      </c>
      <c r="J266" t="str">
        <f t="shared" si="46"/>
        <v/>
      </c>
      <c r="K266" t="str">
        <f t="shared" si="47"/>
        <v/>
      </c>
      <c r="L266" t="str">
        <f t="shared" si="48"/>
        <v/>
      </c>
      <c r="M266" t="str">
        <f t="shared" si="49"/>
        <v/>
      </c>
      <c r="Q266" s="4" t="s">
        <v>50</v>
      </c>
    </row>
    <row r="267" spans="2:26">
      <c r="B267" t="str">
        <f>IFERROR(VLOOKUP(Q267,unified_reference_costs!$I$41:$J$69,2,FALSE),B266)</f>
        <v>en_biomass_ccs</v>
      </c>
      <c r="C267" t="str">
        <f>IFERROR(VLOOKUP(Q267,unified_reference_costs!$I$31:$J$40,2,FALSE),"*")</f>
        <v>*cf</v>
      </c>
      <c r="D267">
        <f t="shared" si="40"/>
        <v>2030</v>
      </c>
      <c r="E267">
        <f t="shared" si="41"/>
        <v>0.5</v>
      </c>
      <c r="F267">
        <f t="shared" si="42"/>
        <v>0.4</v>
      </c>
      <c r="G267">
        <f t="shared" si="43"/>
        <v>0.7</v>
      </c>
      <c r="H267">
        <f t="shared" si="44"/>
        <v>0.6</v>
      </c>
      <c r="I267">
        <f t="shared" si="45"/>
        <v>0.6</v>
      </c>
      <c r="J267">
        <f t="shared" si="46"/>
        <v>0.5</v>
      </c>
      <c r="K267">
        <f t="shared" si="47"/>
        <v>0.6</v>
      </c>
      <c r="L267">
        <f t="shared" si="48"/>
        <v>0.5</v>
      </c>
      <c r="M267">
        <f t="shared" si="49"/>
        <v>0.8</v>
      </c>
      <c r="Q267" s="8" t="s">
        <v>14</v>
      </c>
      <c r="R267" s="22">
        <v>0.5</v>
      </c>
      <c r="S267" s="22">
        <v>0.4</v>
      </c>
      <c r="T267" s="22">
        <v>0.7</v>
      </c>
      <c r="U267" s="22">
        <v>0.6</v>
      </c>
      <c r="V267" s="22">
        <v>0.6</v>
      </c>
      <c r="W267" s="22">
        <v>0.5</v>
      </c>
      <c r="X267" s="22">
        <v>0.6</v>
      </c>
      <c r="Y267" s="22">
        <v>0.5</v>
      </c>
      <c r="Z267" s="22">
        <v>0.8</v>
      </c>
    </row>
    <row r="268" spans="2:26">
      <c r="B268" t="str">
        <f>IFERROR(VLOOKUP(Q268,unified_reference_costs!$I$41:$J$69,2,FALSE),B267)</f>
        <v>en_biomass_ccs</v>
      </c>
      <c r="C268" t="str">
        <f>IFERROR(VLOOKUP(Q268,unified_reference_costs!$I$31:$J$40,2,FALSE),"*")</f>
        <v>invcost</v>
      </c>
      <c r="D268">
        <f t="shared" si="40"/>
        <v>2030</v>
      </c>
      <c r="E268">
        <f t="shared" si="41"/>
        <v>4850</v>
      </c>
      <c r="F268">
        <f t="shared" si="42"/>
        <v>4500</v>
      </c>
      <c r="G268">
        <f t="shared" si="43"/>
        <v>4100</v>
      </c>
      <c r="H268">
        <f t="shared" si="44"/>
        <v>4650</v>
      </c>
      <c r="I268">
        <f t="shared" si="45"/>
        <v>5650</v>
      </c>
      <c r="J268">
        <f t="shared" si="46"/>
        <v>5150</v>
      </c>
      <c r="K268">
        <f t="shared" si="47"/>
        <v>5700</v>
      </c>
      <c r="L268">
        <f t="shared" si="48"/>
        <v>5800</v>
      </c>
      <c r="M268">
        <f t="shared" si="49"/>
        <v>5050</v>
      </c>
      <c r="Q268" s="4" t="s">
        <v>6</v>
      </c>
      <c r="R268">
        <v>4850</v>
      </c>
      <c r="S268">
        <v>4500</v>
      </c>
      <c r="T268">
        <v>4100</v>
      </c>
      <c r="U268">
        <v>4650</v>
      </c>
      <c r="V268">
        <v>5650</v>
      </c>
      <c r="W268">
        <v>5150</v>
      </c>
      <c r="X268">
        <v>5700</v>
      </c>
      <c r="Y268">
        <v>5800</v>
      </c>
      <c r="Z268">
        <v>5050</v>
      </c>
    </row>
    <row r="269" spans="2:26">
      <c r="B269" t="str">
        <f>IFERROR(VLOOKUP(Q269,unified_reference_costs!$I$41:$J$69,2,FALSE),B268)</f>
        <v>en_biomass_ccs</v>
      </c>
      <c r="C269" t="str">
        <f>IFERROR(VLOOKUP(Q269,unified_reference_costs!$I$31:$J$40,2,FALSE),"*")</f>
        <v>efficiency</v>
      </c>
      <c r="D269">
        <f t="shared" si="40"/>
        <v>2030</v>
      </c>
      <c r="E269">
        <f t="shared" si="41"/>
        <v>0.3</v>
      </c>
      <c r="F269">
        <f t="shared" si="42"/>
        <v>0.3</v>
      </c>
      <c r="G269">
        <f t="shared" si="43"/>
        <v>0.3</v>
      </c>
      <c r="H269">
        <f t="shared" si="44"/>
        <v>0.3</v>
      </c>
      <c r="I269">
        <f t="shared" si="45"/>
        <v>0.3</v>
      </c>
      <c r="J269">
        <f t="shared" si="46"/>
        <v>0.3</v>
      </c>
      <c r="K269">
        <f t="shared" si="47"/>
        <v>0.3</v>
      </c>
      <c r="L269">
        <f t="shared" si="48"/>
        <v>0.3</v>
      </c>
      <c r="M269">
        <f t="shared" si="49"/>
        <v>0.3</v>
      </c>
      <c r="Q269" s="4" t="s">
        <v>12</v>
      </c>
      <c r="R269">
        <v>0.3</v>
      </c>
      <c r="S269">
        <v>0.3</v>
      </c>
      <c r="T269">
        <v>0.3</v>
      </c>
      <c r="U269">
        <v>0.3</v>
      </c>
      <c r="V269">
        <v>0.3</v>
      </c>
      <c r="W269">
        <v>0.3</v>
      </c>
      <c r="X269">
        <v>0.3</v>
      </c>
      <c r="Y269">
        <v>0.3</v>
      </c>
      <c r="Z269">
        <v>0.3</v>
      </c>
    </row>
    <row r="270" spans="2:26">
      <c r="B270" t="str">
        <f>IFERROR(VLOOKUP(Q270,unified_reference_costs!$I$41:$J$69,2,FALSE),B269)</f>
        <v>en_biomass_ccs</v>
      </c>
      <c r="C270" t="str">
        <f>IFERROR(VLOOKUP(Q270,unified_reference_costs!$I$31:$J$40,2,FALSE),"*")</f>
        <v>fixom</v>
      </c>
      <c r="D270">
        <f t="shared" si="40"/>
        <v>2030</v>
      </c>
      <c r="E270">
        <f t="shared" si="41"/>
        <v>170</v>
      </c>
      <c r="F270">
        <f t="shared" si="42"/>
        <v>160</v>
      </c>
      <c r="G270">
        <f t="shared" si="43"/>
        <v>145</v>
      </c>
      <c r="H270">
        <f t="shared" si="44"/>
        <v>165</v>
      </c>
      <c r="I270">
        <f t="shared" si="45"/>
        <v>200</v>
      </c>
      <c r="J270">
        <f t="shared" si="46"/>
        <v>180</v>
      </c>
      <c r="K270">
        <f t="shared" si="47"/>
        <v>200</v>
      </c>
      <c r="L270">
        <f t="shared" si="48"/>
        <v>205</v>
      </c>
      <c r="M270">
        <f t="shared" si="49"/>
        <v>175</v>
      </c>
      <c r="Q270" s="7" t="s">
        <v>10</v>
      </c>
      <c r="R270" s="21">
        <v>170</v>
      </c>
      <c r="S270" s="21">
        <v>160</v>
      </c>
      <c r="T270" s="21">
        <v>145</v>
      </c>
      <c r="U270" s="21">
        <v>165</v>
      </c>
      <c r="V270" s="21">
        <v>200</v>
      </c>
      <c r="W270" s="21">
        <v>180</v>
      </c>
      <c r="X270" s="21">
        <v>200</v>
      </c>
      <c r="Y270" s="21">
        <v>205</v>
      </c>
      <c r="Z270" s="21">
        <v>175</v>
      </c>
    </row>
    <row r="271" spans="2:26">
      <c r="B271" t="str">
        <f>IFERROR(VLOOKUP(Q271,unified_reference_costs!$I$41:$J$69,2,FALSE),B270)</f>
        <v>en_biomass_ccs</v>
      </c>
      <c r="C271" t="str">
        <f>IFERROR(VLOOKUP(Q271,unified_reference_costs!$I$31:$J$40,2,FALSE),"*")</f>
        <v>varom</v>
      </c>
      <c r="D271">
        <f t="shared" si="40"/>
        <v>2030</v>
      </c>
      <c r="E271">
        <f t="shared" si="41"/>
        <v>2.3610000000000002</v>
      </c>
      <c r="F271">
        <f t="shared" si="42"/>
        <v>2.3610000000000002</v>
      </c>
      <c r="G271">
        <f t="shared" si="43"/>
        <v>2.3610000000000002</v>
      </c>
      <c r="H271">
        <f t="shared" si="44"/>
        <v>2.3610000000000002</v>
      </c>
      <c r="I271">
        <f t="shared" si="45"/>
        <v>2.3610000000000002</v>
      </c>
      <c r="J271">
        <f t="shared" si="46"/>
        <v>2.3610000000000002</v>
      </c>
      <c r="K271">
        <f t="shared" si="47"/>
        <v>2.3610000000000002</v>
      </c>
      <c r="L271">
        <f t="shared" si="48"/>
        <v>2.3610000000000002</v>
      </c>
      <c r="M271">
        <f t="shared" si="49"/>
        <v>2.3610000000000002</v>
      </c>
      <c r="Q271" s="8" t="s">
        <v>164</v>
      </c>
      <c r="R271" s="22">
        <v>2.3610000000000002</v>
      </c>
      <c r="S271" s="22">
        <v>2.3610000000000002</v>
      </c>
      <c r="T271" s="22">
        <v>2.3610000000000002</v>
      </c>
      <c r="U271" s="22">
        <v>2.3610000000000002</v>
      </c>
      <c r="V271" s="22">
        <v>2.3610000000000002</v>
      </c>
      <c r="W271" s="22">
        <v>2.3610000000000002</v>
      </c>
      <c r="X271" s="22">
        <v>2.3610000000000002</v>
      </c>
      <c r="Y271" s="22">
        <v>2.3610000000000002</v>
      </c>
      <c r="Z271" s="22">
        <v>2.3610000000000002</v>
      </c>
    </row>
    <row r="272" spans="2:26">
      <c r="B272" t="str">
        <f>IFERROR(VLOOKUP(Q272,unified_reference_costs!$I$41:$J$69,2,FALSE),B271)</f>
        <v>\I:</v>
      </c>
      <c r="C272" t="str">
        <f>IFERROR(VLOOKUP(Q272,unified_reference_costs!$I$31:$J$40,2,FALSE),"*")</f>
        <v>*</v>
      </c>
      <c r="D272">
        <f t="shared" si="40"/>
        <v>2030</v>
      </c>
      <c r="E272" t="str">
        <f t="shared" si="41"/>
        <v/>
      </c>
      <c r="F272" t="str">
        <f t="shared" si="42"/>
        <v/>
      </c>
      <c r="G272" t="str">
        <f t="shared" si="43"/>
        <v/>
      </c>
      <c r="H272" t="str">
        <f t="shared" si="44"/>
        <v/>
      </c>
      <c r="I272" t="str">
        <f t="shared" si="45"/>
        <v/>
      </c>
      <c r="J272" t="str">
        <f t="shared" si="46"/>
        <v/>
      </c>
      <c r="K272" t="str">
        <f t="shared" si="47"/>
        <v/>
      </c>
      <c r="L272" t="str">
        <f t="shared" si="48"/>
        <v/>
      </c>
      <c r="M272" t="str">
        <f t="shared" si="49"/>
        <v/>
      </c>
      <c r="Q272" s="4" t="s">
        <v>51</v>
      </c>
    </row>
    <row r="273" spans="2:26">
      <c r="B273" t="str">
        <f>IFERROR(VLOOKUP(Q273,unified_reference_costs!$I$41:$J$69,2,FALSE),B272)</f>
        <v>\I:</v>
      </c>
      <c r="C273" t="str">
        <f>IFERROR(VLOOKUP(Q273,unified_reference_costs!$I$31:$J$40,2,FALSE),"*")</f>
        <v>*cf</v>
      </c>
      <c r="D273">
        <f t="shared" si="40"/>
        <v>2030</v>
      </c>
      <c r="E273">
        <f t="shared" si="41"/>
        <v>0.36</v>
      </c>
      <c r="F273">
        <f t="shared" si="42"/>
        <v>0.34</v>
      </c>
      <c r="G273">
        <f t="shared" si="43"/>
        <v>0.34</v>
      </c>
      <c r="H273">
        <f t="shared" si="44"/>
        <v>0.3</v>
      </c>
      <c r="I273" t="str">
        <f t="shared" si="45"/>
        <v/>
      </c>
      <c r="J273" t="str">
        <f t="shared" si="46"/>
        <v/>
      </c>
      <c r="K273">
        <f t="shared" si="47"/>
        <v>0.36</v>
      </c>
      <c r="L273">
        <f t="shared" si="48"/>
        <v>0.34</v>
      </c>
      <c r="M273">
        <f t="shared" si="49"/>
        <v>0.36</v>
      </c>
      <c r="Q273" s="4" t="s">
        <v>14</v>
      </c>
      <c r="R273">
        <v>0.36</v>
      </c>
      <c r="S273">
        <v>0.34</v>
      </c>
      <c r="T273">
        <v>0.34</v>
      </c>
      <c r="U273">
        <v>0.3</v>
      </c>
      <c r="X273">
        <v>0.36</v>
      </c>
      <c r="Y273">
        <v>0.34</v>
      </c>
      <c r="Z273">
        <v>0.36</v>
      </c>
    </row>
    <row r="274" spans="2:26">
      <c r="B274" t="str">
        <f>IFERROR(VLOOKUP(Q274,unified_reference_costs!$I$41:$J$69,2,FALSE),B273)</f>
        <v>\I:</v>
      </c>
      <c r="C274" t="str">
        <f>IFERROR(VLOOKUP(Q274,unified_reference_costs!$I$31:$J$40,2,FALSE),"*")</f>
        <v>invcost</v>
      </c>
      <c r="D274">
        <f t="shared" si="40"/>
        <v>2030</v>
      </c>
      <c r="E274">
        <f t="shared" si="41"/>
        <v>4450</v>
      </c>
      <c r="F274">
        <f t="shared" si="42"/>
        <v>4650</v>
      </c>
      <c r="G274">
        <f t="shared" si="43"/>
        <v>4200</v>
      </c>
      <c r="H274">
        <f t="shared" si="44"/>
        <v>5000</v>
      </c>
      <c r="I274" t="str">
        <f t="shared" si="45"/>
        <v/>
      </c>
      <c r="J274" t="str">
        <f t="shared" si="46"/>
        <v/>
      </c>
      <c r="K274">
        <f t="shared" si="47"/>
        <v>4950</v>
      </c>
      <c r="L274">
        <f t="shared" si="48"/>
        <v>5850</v>
      </c>
      <c r="M274">
        <f t="shared" si="49"/>
        <v>4500</v>
      </c>
      <c r="Q274" s="4" t="s">
        <v>6</v>
      </c>
      <c r="R274">
        <v>4450</v>
      </c>
      <c r="S274">
        <v>4650</v>
      </c>
      <c r="T274">
        <v>4200</v>
      </c>
      <c r="U274">
        <v>5000</v>
      </c>
      <c r="X274">
        <v>4950</v>
      </c>
      <c r="Y274">
        <v>5850</v>
      </c>
      <c r="Z274">
        <v>4500</v>
      </c>
    </row>
    <row r="275" spans="2:26">
      <c r="B275" t="str">
        <f>IFERROR(VLOOKUP(Q275,unified_reference_costs!$I$41:$J$69,2,FALSE),B274)</f>
        <v>\I:</v>
      </c>
      <c r="C275" t="str">
        <f>IFERROR(VLOOKUP(Q275,unified_reference_costs!$I$31:$J$40,2,FALSE),"*")</f>
        <v>efficiency</v>
      </c>
      <c r="D275">
        <f t="shared" si="40"/>
        <v>2030</v>
      </c>
      <c r="E275">
        <f t="shared" si="41"/>
        <v>0.4</v>
      </c>
      <c r="F275">
        <f t="shared" si="42"/>
        <v>0.4</v>
      </c>
      <c r="G275">
        <f t="shared" si="43"/>
        <v>0.4</v>
      </c>
      <c r="H275">
        <f t="shared" si="44"/>
        <v>0.4</v>
      </c>
      <c r="I275" t="str">
        <f t="shared" si="45"/>
        <v/>
      </c>
      <c r="J275" t="str">
        <f t="shared" si="46"/>
        <v/>
      </c>
      <c r="K275">
        <f t="shared" si="47"/>
        <v>0.4</v>
      </c>
      <c r="L275">
        <f t="shared" si="48"/>
        <v>0.4</v>
      </c>
      <c r="M275">
        <f t="shared" si="49"/>
        <v>0.4</v>
      </c>
      <c r="Q275" s="8" t="s">
        <v>12</v>
      </c>
      <c r="R275" s="22">
        <v>0.4</v>
      </c>
      <c r="S275" s="22">
        <v>0.4</v>
      </c>
      <c r="T275" s="22">
        <v>0.4</v>
      </c>
      <c r="U275" s="22">
        <v>0.4</v>
      </c>
      <c r="V275" s="22"/>
      <c r="W275" s="22"/>
      <c r="X275" s="22">
        <v>0.4</v>
      </c>
      <c r="Y275" s="22">
        <v>0.4</v>
      </c>
      <c r="Z275" s="22">
        <v>0.4</v>
      </c>
    </row>
    <row r="276" spans="2:26">
      <c r="B276" t="str">
        <f>IFERROR(VLOOKUP(Q276,unified_reference_costs!$I$41:$J$69,2,FALSE),B275)</f>
        <v>\I:</v>
      </c>
      <c r="C276" t="str">
        <f>IFERROR(VLOOKUP(Q276,unified_reference_costs!$I$31:$J$40,2,FALSE),"*")</f>
        <v>fixom</v>
      </c>
      <c r="D276">
        <f t="shared" si="40"/>
        <v>2030</v>
      </c>
      <c r="E276">
        <f t="shared" si="41"/>
        <v>180</v>
      </c>
      <c r="F276">
        <f t="shared" si="42"/>
        <v>190</v>
      </c>
      <c r="G276">
        <f t="shared" si="43"/>
        <v>170</v>
      </c>
      <c r="H276">
        <f t="shared" si="44"/>
        <v>200</v>
      </c>
      <c r="I276" t="str">
        <f t="shared" si="45"/>
        <v/>
      </c>
      <c r="J276" t="str">
        <f t="shared" si="46"/>
        <v/>
      </c>
      <c r="K276">
        <f t="shared" si="47"/>
        <v>200</v>
      </c>
      <c r="L276">
        <f t="shared" si="48"/>
        <v>230</v>
      </c>
      <c r="M276">
        <f t="shared" si="49"/>
        <v>180</v>
      </c>
      <c r="Q276" s="4" t="s">
        <v>10</v>
      </c>
      <c r="R276">
        <v>180</v>
      </c>
      <c r="S276">
        <v>190</v>
      </c>
      <c r="T276">
        <v>170</v>
      </c>
      <c r="U276">
        <v>200</v>
      </c>
      <c r="X276">
        <v>200</v>
      </c>
      <c r="Y276">
        <v>230</v>
      </c>
      <c r="Z276">
        <v>180</v>
      </c>
    </row>
    <row r="277" spans="2:26">
      <c r="B277" t="str">
        <f>IFERROR(VLOOKUP(Q277,unified_reference_costs!$I$41:$J$69,2,FALSE),B276)</f>
        <v>\I:</v>
      </c>
      <c r="C277" t="str">
        <f>IFERROR(VLOOKUP(Q277,unified_reference_costs!$I$31:$J$40,2,FALSE),"*")</f>
        <v>varom</v>
      </c>
      <c r="D277">
        <f t="shared" si="40"/>
        <v>2030</v>
      </c>
      <c r="E277">
        <f t="shared" si="41"/>
        <v>0.83299999999999996</v>
      </c>
      <c r="F277">
        <f t="shared" si="42"/>
        <v>0.83299999999999996</v>
      </c>
      <c r="G277">
        <f t="shared" si="43"/>
        <v>0.83299999999999996</v>
      </c>
      <c r="H277">
        <f t="shared" si="44"/>
        <v>0.83299999999999996</v>
      </c>
      <c r="I277">
        <f t="shared" si="45"/>
        <v>0.83299999999999996</v>
      </c>
      <c r="J277">
        <f t="shared" si="46"/>
        <v>0.83299999999999996</v>
      </c>
      <c r="K277">
        <f t="shared" si="47"/>
        <v>0.83299999999999996</v>
      </c>
      <c r="L277">
        <f t="shared" si="48"/>
        <v>0.83299999999999996</v>
      </c>
      <c r="M277">
        <f t="shared" si="49"/>
        <v>0.83299999999999996</v>
      </c>
      <c r="Q277" s="4" t="s">
        <v>164</v>
      </c>
      <c r="R277">
        <v>0.83299999999999996</v>
      </c>
      <c r="S277">
        <v>0.83299999999999996</v>
      </c>
      <c r="T277">
        <v>0.83299999999999996</v>
      </c>
      <c r="U277">
        <v>0.83299999999999996</v>
      </c>
      <c r="V277">
        <v>0.83299999999999996</v>
      </c>
      <c r="W277">
        <v>0.83299999999999996</v>
      </c>
      <c r="X277">
        <v>0.83299999999999996</v>
      </c>
      <c r="Y277">
        <v>0.83299999999999996</v>
      </c>
      <c r="Z277">
        <v>0.83299999999999996</v>
      </c>
    </row>
    <row r="278" spans="2:26">
      <c r="B278" t="str">
        <f>IFERROR(VLOOKUP(Q278,unified_reference_costs!$I$41:$J$69,2,FALSE),B277)</f>
        <v>\I:</v>
      </c>
      <c r="C278" t="str">
        <f>IFERROR(VLOOKUP(Q278,unified_reference_costs!$I$31:$J$40,2,FALSE),"*")</f>
        <v>*</v>
      </c>
      <c r="D278">
        <f t="shared" si="40"/>
        <v>2030</v>
      </c>
      <c r="E278" t="str">
        <f t="shared" si="41"/>
        <v/>
      </c>
      <c r="F278" t="str">
        <f t="shared" si="42"/>
        <v/>
      </c>
      <c r="G278" t="str">
        <f t="shared" si="43"/>
        <v/>
      </c>
      <c r="H278" t="str">
        <f t="shared" si="44"/>
        <v/>
      </c>
      <c r="I278" t="str">
        <f t="shared" si="45"/>
        <v/>
      </c>
      <c r="J278" t="str">
        <f t="shared" si="46"/>
        <v/>
      </c>
      <c r="K278" t="str">
        <f t="shared" si="47"/>
        <v/>
      </c>
      <c r="L278" t="str">
        <f t="shared" si="48"/>
        <v/>
      </c>
      <c r="M278" t="str">
        <f t="shared" si="49"/>
        <v/>
      </c>
      <c r="Q278" s="4" t="s">
        <v>52</v>
      </c>
    </row>
    <row r="279" spans="2:26">
      <c r="B279" t="str">
        <f>IFERROR(VLOOKUP(Q279,unified_reference_costs!$I$41:$J$69,2,FALSE),B278)</f>
        <v>\I:</v>
      </c>
      <c r="C279" t="str">
        <f>IFERROR(VLOOKUP(Q279,unified_reference_costs!$I$31:$J$40,2,FALSE),"*")</f>
        <v>*cf</v>
      </c>
      <c r="D279">
        <f t="shared" si="40"/>
        <v>2030</v>
      </c>
      <c r="E279">
        <f t="shared" si="41"/>
        <v>0.8</v>
      </c>
      <c r="F279" t="str">
        <f t="shared" si="42"/>
        <v/>
      </c>
      <c r="G279">
        <f t="shared" si="43"/>
        <v>0.5</v>
      </c>
      <c r="H279">
        <f t="shared" si="44"/>
        <v>0.5</v>
      </c>
      <c r="I279">
        <f t="shared" si="45"/>
        <v>0.6</v>
      </c>
      <c r="J279">
        <f t="shared" si="46"/>
        <v>0.65</v>
      </c>
      <c r="K279">
        <f t="shared" si="47"/>
        <v>0.85</v>
      </c>
      <c r="L279">
        <f t="shared" si="48"/>
        <v>0.6</v>
      </c>
      <c r="M279">
        <f t="shared" si="49"/>
        <v>0.8</v>
      </c>
      <c r="Q279" s="8" t="s">
        <v>14</v>
      </c>
      <c r="R279" s="22">
        <v>0.8</v>
      </c>
      <c r="S279" s="22"/>
      <c r="T279" s="22">
        <v>0.5</v>
      </c>
      <c r="U279" s="22">
        <v>0.5</v>
      </c>
      <c r="V279" s="22">
        <v>0.6</v>
      </c>
      <c r="W279" s="22">
        <v>0.65</v>
      </c>
      <c r="X279" s="22">
        <v>0.85</v>
      </c>
      <c r="Y279" s="22">
        <v>0.6</v>
      </c>
      <c r="Z279" s="22">
        <v>0.8</v>
      </c>
    </row>
    <row r="280" spans="2:26">
      <c r="B280" t="str">
        <f>IFERROR(VLOOKUP(Q280,unified_reference_costs!$I$41:$J$69,2,FALSE),B279)</f>
        <v>\I:</v>
      </c>
      <c r="C280" t="str">
        <f>IFERROR(VLOOKUP(Q280,unified_reference_costs!$I$31:$J$40,2,FALSE),"*")</f>
        <v>invcost</v>
      </c>
      <c r="D280">
        <f t="shared" si="40"/>
        <v>2030</v>
      </c>
      <c r="E280">
        <f t="shared" si="41"/>
        <v>2900</v>
      </c>
      <c r="F280" t="str">
        <f t="shared" si="42"/>
        <v/>
      </c>
      <c r="G280">
        <f t="shared" si="43"/>
        <v>2200</v>
      </c>
      <c r="H280">
        <f t="shared" si="44"/>
        <v>3450</v>
      </c>
      <c r="I280">
        <f t="shared" si="45"/>
        <v>2700</v>
      </c>
      <c r="J280">
        <f t="shared" si="46"/>
        <v>2100</v>
      </c>
      <c r="K280">
        <f t="shared" si="47"/>
        <v>2750</v>
      </c>
      <c r="L280">
        <f t="shared" si="48"/>
        <v>2100</v>
      </c>
      <c r="M280">
        <f t="shared" si="49"/>
        <v>2100</v>
      </c>
      <c r="Q280" s="4" t="s">
        <v>6</v>
      </c>
      <c r="R280">
        <v>2900</v>
      </c>
      <c r="T280">
        <v>2200</v>
      </c>
      <c r="U280">
        <v>3450</v>
      </c>
      <c r="V280">
        <v>2700</v>
      </c>
      <c r="W280">
        <v>2100</v>
      </c>
      <c r="X280">
        <v>2750</v>
      </c>
      <c r="Y280">
        <v>2100</v>
      </c>
      <c r="Z280">
        <v>2100</v>
      </c>
    </row>
    <row r="281" spans="2:26">
      <c r="B281" t="str">
        <f>IFERROR(VLOOKUP(Q281,unified_reference_costs!$I$41:$J$69,2,FALSE),B280)</f>
        <v>\I:</v>
      </c>
      <c r="C281" t="str">
        <f>IFERROR(VLOOKUP(Q281,unified_reference_costs!$I$31:$J$40,2,FALSE),"*")</f>
        <v>efficiency</v>
      </c>
      <c r="D281">
        <f t="shared" si="40"/>
        <v>2030</v>
      </c>
      <c r="E281">
        <f t="shared" si="41"/>
        <v>0.1</v>
      </c>
      <c r="F281" t="str">
        <f t="shared" si="42"/>
        <v/>
      </c>
      <c r="G281">
        <f t="shared" si="43"/>
        <v>0.1</v>
      </c>
      <c r="H281">
        <f t="shared" si="44"/>
        <v>0.1</v>
      </c>
      <c r="I281">
        <f t="shared" si="45"/>
        <v>0.1</v>
      </c>
      <c r="J281">
        <f t="shared" si="46"/>
        <v>0.1</v>
      </c>
      <c r="K281">
        <f t="shared" si="47"/>
        <v>0.1</v>
      </c>
      <c r="L281">
        <f t="shared" si="48"/>
        <v>0.1</v>
      </c>
      <c r="M281">
        <f t="shared" si="49"/>
        <v>0.1</v>
      </c>
      <c r="Q281" s="4" t="s">
        <v>12</v>
      </c>
      <c r="R281">
        <v>0.1</v>
      </c>
      <c r="T281">
        <v>0.1</v>
      </c>
      <c r="U281">
        <v>0.1</v>
      </c>
      <c r="V281">
        <v>0.1</v>
      </c>
      <c r="W281">
        <v>0.1</v>
      </c>
      <c r="X281">
        <v>0.1</v>
      </c>
      <c r="Y281">
        <v>0.1</v>
      </c>
      <c r="Z281">
        <v>0.1</v>
      </c>
    </row>
    <row r="282" spans="2:26">
      <c r="B282" t="str">
        <f>IFERROR(VLOOKUP(Q282,unified_reference_costs!$I$41:$J$69,2,FALSE),B281)</f>
        <v>\I:</v>
      </c>
      <c r="C282" t="str">
        <f>IFERROR(VLOOKUP(Q282,unified_reference_costs!$I$31:$J$40,2,FALSE),"*")</f>
        <v>fixom</v>
      </c>
      <c r="D282">
        <f t="shared" si="40"/>
        <v>2030</v>
      </c>
      <c r="E282">
        <f t="shared" si="41"/>
        <v>60</v>
      </c>
      <c r="F282" t="str">
        <f t="shared" si="42"/>
        <v/>
      </c>
      <c r="G282">
        <f t="shared" si="43"/>
        <v>45</v>
      </c>
      <c r="H282">
        <f t="shared" si="44"/>
        <v>70</v>
      </c>
      <c r="I282">
        <f t="shared" si="45"/>
        <v>55</v>
      </c>
      <c r="J282">
        <f t="shared" si="46"/>
        <v>40</v>
      </c>
      <c r="K282">
        <f t="shared" si="47"/>
        <v>55</v>
      </c>
      <c r="L282">
        <f t="shared" si="48"/>
        <v>40</v>
      </c>
      <c r="M282">
        <f t="shared" si="49"/>
        <v>40</v>
      </c>
      <c r="Q282" s="7" t="s">
        <v>10</v>
      </c>
      <c r="R282" s="21">
        <v>60</v>
      </c>
      <c r="S282" s="21"/>
      <c r="T282" s="21">
        <v>45</v>
      </c>
      <c r="U282" s="21">
        <v>70</v>
      </c>
      <c r="V282" s="21">
        <v>55</v>
      </c>
      <c r="W282" s="21">
        <v>40</v>
      </c>
      <c r="X282" s="21">
        <v>55</v>
      </c>
      <c r="Y282" s="21">
        <v>40</v>
      </c>
      <c r="Z282" s="21">
        <v>40</v>
      </c>
    </row>
    <row r="283" spans="2:26">
      <c r="B283" t="str">
        <f>IFERROR(VLOOKUP(Q283,unified_reference_costs!$I$41:$J$69,2,FALSE),B282)</f>
        <v>\I:</v>
      </c>
      <c r="C283" t="str">
        <f>IFERROR(VLOOKUP(Q283,unified_reference_costs!$I$31:$J$40,2,FALSE),"*")</f>
        <v>varom</v>
      </c>
      <c r="D283">
        <f t="shared" si="40"/>
        <v>2030</v>
      </c>
      <c r="E283">
        <f t="shared" si="41"/>
        <v>0</v>
      </c>
      <c r="F283">
        <f t="shared" si="42"/>
        <v>0</v>
      </c>
      <c r="G283">
        <f t="shared" si="43"/>
        <v>0</v>
      </c>
      <c r="H283">
        <f t="shared" si="44"/>
        <v>0</v>
      </c>
      <c r="I283">
        <f t="shared" si="45"/>
        <v>0</v>
      </c>
      <c r="J283">
        <f t="shared" si="46"/>
        <v>0</v>
      </c>
      <c r="K283">
        <f t="shared" si="47"/>
        <v>0</v>
      </c>
      <c r="L283">
        <f t="shared" si="48"/>
        <v>0</v>
      </c>
      <c r="M283">
        <f t="shared" si="49"/>
        <v>0</v>
      </c>
      <c r="Q283" s="8" t="s">
        <v>164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</row>
    <row r="284" spans="2:26">
      <c r="B284" t="str">
        <f>IFERROR(VLOOKUP(Q284,unified_reference_costs!$I$41:$J$69,2,FALSE),B283)</f>
        <v>en_battery_4h</v>
      </c>
      <c r="C284" t="str">
        <f>IFERROR(VLOOKUP(Q284,unified_reference_costs!$I$31:$J$40,2,FALSE),"*")</f>
        <v>*</v>
      </c>
      <c r="D284">
        <f t="shared" si="40"/>
        <v>2030</v>
      </c>
      <c r="E284" t="str">
        <f t="shared" si="41"/>
        <v/>
      </c>
      <c r="F284" t="str">
        <f t="shared" si="42"/>
        <v/>
      </c>
      <c r="G284" t="str">
        <f t="shared" si="43"/>
        <v/>
      </c>
      <c r="H284" t="str">
        <f t="shared" si="44"/>
        <v/>
      </c>
      <c r="I284" t="str">
        <f t="shared" si="45"/>
        <v/>
      </c>
      <c r="J284" t="str">
        <f t="shared" si="46"/>
        <v/>
      </c>
      <c r="K284" t="str">
        <f t="shared" si="47"/>
        <v/>
      </c>
      <c r="L284" t="str">
        <f t="shared" si="48"/>
        <v/>
      </c>
      <c r="M284" t="str">
        <f t="shared" si="49"/>
        <v/>
      </c>
      <c r="Q284" s="4" t="s">
        <v>53</v>
      </c>
    </row>
    <row r="285" spans="2:26">
      <c r="B285" t="str">
        <f>IFERROR(VLOOKUP(Q285,unified_reference_costs!$I$41:$J$69,2,FALSE),B284)</f>
        <v>en_battery_4h</v>
      </c>
      <c r="C285" t="str">
        <f>IFERROR(VLOOKUP(Q285,unified_reference_costs!$I$31:$J$40,2,FALSE),"*")</f>
        <v>invcost</v>
      </c>
      <c r="D285">
        <f t="shared" si="40"/>
        <v>2030</v>
      </c>
      <c r="E285">
        <f t="shared" si="41"/>
        <v>1451.3</v>
      </c>
      <c r="F285">
        <f t="shared" si="42"/>
        <v>1451.3</v>
      </c>
      <c r="G285">
        <f t="shared" si="43"/>
        <v>1451.3</v>
      </c>
      <c r="H285">
        <f t="shared" si="44"/>
        <v>1451.3</v>
      </c>
      <c r="I285">
        <f t="shared" si="45"/>
        <v>1451.3</v>
      </c>
      <c r="J285">
        <f t="shared" si="46"/>
        <v>1451.3</v>
      </c>
      <c r="K285">
        <f t="shared" si="47"/>
        <v>1451.3</v>
      </c>
      <c r="L285">
        <f t="shared" si="48"/>
        <v>1451.3</v>
      </c>
      <c r="M285">
        <f t="shared" si="49"/>
        <v>1451.3</v>
      </c>
      <c r="Q285" s="4" t="s">
        <v>6</v>
      </c>
      <c r="R285">
        <v>1451.3</v>
      </c>
      <c r="S285">
        <v>1451.3</v>
      </c>
      <c r="T285">
        <v>1451.3</v>
      </c>
      <c r="U285">
        <v>1451.3</v>
      </c>
      <c r="V285">
        <v>1451.3</v>
      </c>
      <c r="W285">
        <v>1451.3</v>
      </c>
      <c r="X285">
        <v>1451.3</v>
      </c>
      <c r="Y285">
        <v>1451.3</v>
      </c>
      <c r="Z285">
        <v>1451.3</v>
      </c>
    </row>
    <row r="286" spans="2:26">
      <c r="B286" t="str">
        <f>IFERROR(VLOOKUP(Q286,unified_reference_costs!$I$41:$J$69,2,FALSE),B285)</f>
        <v>en_battery_4h</v>
      </c>
      <c r="C286" t="str">
        <f>IFERROR(VLOOKUP(Q286,unified_reference_costs!$I$31:$J$40,2,FALSE),"*")</f>
        <v>fixom</v>
      </c>
      <c r="D286">
        <f t="shared" si="40"/>
        <v>2030</v>
      </c>
      <c r="E286">
        <f t="shared" si="41"/>
        <v>97.3</v>
      </c>
      <c r="F286">
        <f t="shared" si="42"/>
        <v>97.3</v>
      </c>
      <c r="G286">
        <f t="shared" si="43"/>
        <v>97.3</v>
      </c>
      <c r="H286">
        <f t="shared" si="44"/>
        <v>97.3</v>
      </c>
      <c r="I286">
        <f t="shared" si="45"/>
        <v>97.3</v>
      </c>
      <c r="J286">
        <f t="shared" si="46"/>
        <v>97.3</v>
      </c>
      <c r="K286">
        <f t="shared" si="47"/>
        <v>97.3</v>
      </c>
      <c r="L286">
        <f t="shared" si="48"/>
        <v>97.3</v>
      </c>
      <c r="M286">
        <f t="shared" si="49"/>
        <v>97.3</v>
      </c>
      <c r="Q286" s="4" t="s">
        <v>10</v>
      </c>
      <c r="R286">
        <v>97.3</v>
      </c>
      <c r="S286">
        <v>97.3</v>
      </c>
      <c r="T286">
        <v>97.3</v>
      </c>
      <c r="U286">
        <v>97.3</v>
      </c>
      <c r="V286">
        <v>97.3</v>
      </c>
      <c r="W286">
        <v>97.3</v>
      </c>
      <c r="X286">
        <v>97.3</v>
      </c>
      <c r="Y286">
        <v>97.3</v>
      </c>
      <c r="Z286">
        <v>97.3</v>
      </c>
    </row>
    <row r="287" spans="2:26">
      <c r="B287" t="str">
        <f>IFERROR(VLOOKUP(Q287,unified_reference_costs!$I$41:$J$69,2,FALSE),B286)</f>
        <v>en_battery_4h</v>
      </c>
      <c r="C287" t="str">
        <f>IFERROR(VLOOKUP(Q287,unified_reference_costs!$I$31:$J$40,2,FALSE),"*")</f>
        <v>stg_eff</v>
      </c>
      <c r="D287">
        <f t="shared" si="40"/>
        <v>2030</v>
      </c>
      <c r="E287">
        <f t="shared" si="41"/>
        <v>0.86</v>
      </c>
      <c r="F287">
        <f t="shared" si="42"/>
        <v>0.86</v>
      </c>
      <c r="G287">
        <f t="shared" si="43"/>
        <v>0.86</v>
      </c>
      <c r="H287">
        <f t="shared" si="44"/>
        <v>0.86</v>
      </c>
      <c r="I287">
        <f t="shared" si="45"/>
        <v>0.86</v>
      </c>
      <c r="J287">
        <f t="shared" si="46"/>
        <v>0.86</v>
      </c>
      <c r="K287">
        <f t="shared" si="47"/>
        <v>0.86</v>
      </c>
      <c r="L287">
        <f t="shared" si="48"/>
        <v>0.86</v>
      </c>
      <c r="M287">
        <f t="shared" si="49"/>
        <v>0.86</v>
      </c>
      <c r="Q287" s="8" t="s">
        <v>16</v>
      </c>
      <c r="R287" s="22">
        <v>0.86</v>
      </c>
      <c r="S287" s="22">
        <v>0.86</v>
      </c>
      <c r="T287" s="22">
        <v>0.86</v>
      </c>
      <c r="U287" s="22">
        <v>0.86</v>
      </c>
      <c r="V287" s="22">
        <v>0.86</v>
      </c>
      <c r="W287" s="22">
        <v>0.86</v>
      </c>
      <c r="X287" s="22">
        <v>0.86</v>
      </c>
      <c r="Y287" s="22">
        <v>0.86</v>
      </c>
      <c r="Z287" s="22">
        <v>0.86</v>
      </c>
    </row>
    <row r="288" spans="2:26">
      <c r="B288" t="str">
        <f>IFERROR(VLOOKUP(Q288,unified_reference_costs!$I$41:$J$69,2,FALSE),B287)</f>
        <v>en_battery_4h</v>
      </c>
      <c r="C288" t="str">
        <f>IFERROR(VLOOKUP(Q288,unified_reference_costs!$I$31:$J$40,2,FALSE),"*")</f>
        <v>varom</v>
      </c>
      <c r="D288">
        <f t="shared" si="40"/>
        <v>2030</v>
      </c>
      <c r="E288">
        <f t="shared" si="41"/>
        <v>0.13900000000000001</v>
      </c>
      <c r="F288">
        <f t="shared" si="42"/>
        <v>0.13900000000000001</v>
      </c>
      <c r="G288">
        <f t="shared" si="43"/>
        <v>0.13900000000000001</v>
      </c>
      <c r="H288">
        <f t="shared" si="44"/>
        <v>0.13900000000000001</v>
      </c>
      <c r="I288">
        <f t="shared" si="45"/>
        <v>0.13900000000000001</v>
      </c>
      <c r="J288">
        <f t="shared" si="46"/>
        <v>0.13900000000000001</v>
      </c>
      <c r="K288">
        <f t="shared" si="47"/>
        <v>0.13900000000000001</v>
      </c>
      <c r="L288">
        <f t="shared" si="48"/>
        <v>0.13900000000000001</v>
      </c>
      <c r="M288">
        <f t="shared" si="49"/>
        <v>0.13900000000000001</v>
      </c>
      <c r="Q288" s="4" t="s">
        <v>164</v>
      </c>
      <c r="R288">
        <v>0.13900000000000001</v>
      </c>
      <c r="S288">
        <v>0.13900000000000001</v>
      </c>
      <c r="T288">
        <v>0.13900000000000001</v>
      </c>
      <c r="U288">
        <v>0.13900000000000001</v>
      </c>
      <c r="V288">
        <v>0.13900000000000001</v>
      </c>
      <c r="W288">
        <v>0.13900000000000001</v>
      </c>
      <c r="X288">
        <v>0.13900000000000001</v>
      </c>
      <c r="Y288">
        <v>0.13900000000000001</v>
      </c>
      <c r="Z288">
        <v>0.13900000000000001</v>
      </c>
    </row>
    <row r="289" spans="2:26">
      <c r="B289" t="str">
        <f>IFERROR(VLOOKUP(Q289,unified_reference_costs!$I$41:$J$69,2,FALSE),B288)</f>
        <v>en_battery_8h</v>
      </c>
      <c r="C289" t="str">
        <f>IFERROR(VLOOKUP(Q289,unified_reference_costs!$I$31:$J$40,2,FALSE),"*")</f>
        <v>*</v>
      </c>
      <c r="D289">
        <f t="shared" si="40"/>
        <v>2030</v>
      </c>
      <c r="E289" t="str">
        <f t="shared" si="41"/>
        <v/>
      </c>
      <c r="F289" t="str">
        <f t="shared" si="42"/>
        <v/>
      </c>
      <c r="G289" t="str">
        <f t="shared" si="43"/>
        <v/>
      </c>
      <c r="H289" t="str">
        <f t="shared" si="44"/>
        <v/>
      </c>
      <c r="I289" t="str">
        <f t="shared" si="45"/>
        <v/>
      </c>
      <c r="J289" t="str">
        <f t="shared" si="46"/>
        <v/>
      </c>
      <c r="K289" t="str">
        <f t="shared" si="47"/>
        <v/>
      </c>
      <c r="L289" t="str">
        <f t="shared" si="48"/>
        <v/>
      </c>
      <c r="M289" t="str">
        <f t="shared" si="49"/>
        <v/>
      </c>
      <c r="Q289" s="4" t="s">
        <v>54</v>
      </c>
    </row>
    <row r="290" spans="2:26">
      <c r="B290" t="str">
        <f>IFERROR(VLOOKUP(Q290,unified_reference_costs!$I$41:$J$69,2,FALSE),B289)</f>
        <v>en_battery_8h</v>
      </c>
      <c r="C290" t="str">
        <f>IFERROR(VLOOKUP(Q290,unified_reference_costs!$I$31:$J$40,2,FALSE),"*")</f>
        <v>invcost</v>
      </c>
      <c r="D290">
        <f t="shared" si="40"/>
        <v>2030</v>
      </c>
      <c r="E290">
        <f t="shared" si="41"/>
        <v>2470</v>
      </c>
      <c r="F290">
        <f t="shared" si="42"/>
        <v>2470</v>
      </c>
      <c r="G290">
        <f t="shared" si="43"/>
        <v>2470</v>
      </c>
      <c r="H290">
        <f t="shared" si="44"/>
        <v>2470</v>
      </c>
      <c r="I290">
        <f t="shared" si="45"/>
        <v>2470</v>
      </c>
      <c r="J290">
        <f t="shared" si="46"/>
        <v>2470</v>
      </c>
      <c r="K290">
        <f t="shared" si="47"/>
        <v>2470</v>
      </c>
      <c r="L290">
        <f t="shared" si="48"/>
        <v>2470</v>
      </c>
      <c r="M290">
        <f t="shared" si="49"/>
        <v>2470</v>
      </c>
      <c r="Q290" s="4" t="s">
        <v>6</v>
      </c>
      <c r="R290">
        <v>2470</v>
      </c>
      <c r="S290">
        <v>2470</v>
      </c>
      <c r="T290">
        <v>2470</v>
      </c>
      <c r="U290">
        <v>2470</v>
      </c>
      <c r="V290">
        <v>2470</v>
      </c>
      <c r="W290">
        <v>2470</v>
      </c>
      <c r="X290">
        <v>2470</v>
      </c>
      <c r="Y290">
        <v>2470</v>
      </c>
      <c r="Z290">
        <v>2470</v>
      </c>
    </row>
    <row r="291" spans="2:26">
      <c r="B291" t="str">
        <f>IFERROR(VLOOKUP(Q291,unified_reference_costs!$I$41:$J$69,2,FALSE),B290)</f>
        <v>en_battery_8h</v>
      </c>
      <c r="C291" t="str">
        <f>IFERROR(VLOOKUP(Q291,unified_reference_costs!$I$31:$J$40,2,FALSE),"*")</f>
        <v>fixom</v>
      </c>
      <c r="D291">
        <f t="shared" si="40"/>
        <v>2030</v>
      </c>
      <c r="E291">
        <f t="shared" si="41"/>
        <v>173.6</v>
      </c>
      <c r="F291">
        <f t="shared" si="42"/>
        <v>173.6</v>
      </c>
      <c r="G291">
        <f t="shared" si="43"/>
        <v>173.6</v>
      </c>
      <c r="H291">
        <f t="shared" si="44"/>
        <v>173.6</v>
      </c>
      <c r="I291">
        <f t="shared" si="45"/>
        <v>173.6</v>
      </c>
      <c r="J291">
        <f t="shared" si="46"/>
        <v>173.6</v>
      </c>
      <c r="K291">
        <f t="shared" si="47"/>
        <v>173.6</v>
      </c>
      <c r="L291">
        <f t="shared" si="48"/>
        <v>173.6</v>
      </c>
      <c r="M291">
        <f t="shared" si="49"/>
        <v>173.6</v>
      </c>
      <c r="Q291" s="8" t="s">
        <v>10</v>
      </c>
      <c r="R291" s="22">
        <v>173.6</v>
      </c>
      <c r="S291" s="22">
        <v>173.6</v>
      </c>
      <c r="T291" s="22">
        <v>173.6</v>
      </c>
      <c r="U291" s="22">
        <v>173.6</v>
      </c>
      <c r="V291" s="22">
        <v>173.6</v>
      </c>
      <c r="W291" s="22">
        <v>173.6</v>
      </c>
      <c r="X291" s="22">
        <v>173.6</v>
      </c>
      <c r="Y291" s="22">
        <v>173.6</v>
      </c>
      <c r="Z291" s="22">
        <v>173.6</v>
      </c>
    </row>
    <row r="292" spans="2:26">
      <c r="B292" t="str">
        <f>IFERROR(VLOOKUP(Q292,unified_reference_costs!$I$41:$J$69,2,FALSE),B291)</f>
        <v>en_battery_8h</v>
      </c>
      <c r="C292" t="str">
        <f>IFERROR(VLOOKUP(Q292,unified_reference_costs!$I$31:$J$40,2,FALSE),"*")</f>
        <v>stg_eff</v>
      </c>
      <c r="D292">
        <f t="shared" si="40"/>
        <v>2030</v>
      </c>
      <c r="E292">
        <f t="shared" si="41"/>
        <v>0.86</v>
      </c>
      <c r="F292">
        <f t="shared" si="42"/>
        <v>0.86</v>
      </c>
      <c r="G292">
        <f t="shared" si="43"/>
        <v>0.86</v>
      </c>
      <c r="H292">
        <f t="shared" si="44"/>
        <v>0.86</v>
      </c>
      <c r="I292">
        <f t="shared" si="45"/>
        <v>0.86</v>
      </c>
      <c r="J292">
        <f t="shared" si="46"/>
        <v>0.86</v>
      </c>
      <c r="K292">
        <f t="shared" si="47"/>
        <v>0.86</v>
      </c>
      <c r="L292">
        <f t="shared" si="48"/>
        <v>0.86</v>
      </c>
      <c r="M292">
        <f t="shared" si="49"/>
        <v>0.86</v>
      </c>
      <c r="Q292" s="4" t="s">
        <v>16</v>
      </c>
      <c r="R292">
        <v>0.86</v>
      </c>
      <c r="S292">
        <v>0.86</v>
      </c>
      <c r="T292">
        <v>0.86</v>
      </c>
      <c r="U292">
        <v>0.86</v>
      </c>
      <c r="V292">
        <v>0.86</v>
      </c>
      <c r="W292">
        <v>0.86</v>
      </c>
      <c r="X292">
        <v>0.86</v>
      </c>
      <c r="Y292">
        <v>0.86</v>
      </c>
      <c r="Z292">
        <v>0.86</v>
      </c>
    </row>
    <row r="293" spans="2:26">
      <c r="B293" t="str">
        <f>IFERROR(VLOOKUP(Q293,unified_reference_costs!$I$41:$J$69,2,FALSE),B292)</f>
        <v>en_battery_8h</v>
      </c>
      <c r="C293" t="str">
        <f>IFERROR(VLOOKUP(Q293,unified_reference_costs!$I$31:$J$40,2,FALSE),"*")</f>
        <v>varom</v>
      </c>
      <c r="D293">
        <f t="shared" si="40"/>
        <v>2030</v>
      </c>
      <c r="E293">
        <f t="shared" si="41"/>
        <v>0.13900000000000001</v>
      </c>
      <c r="F293">
        <f t="shared" si="42"/>
        <v>0.13900000000000001</v>
      </c>
      <c r="G293">
        <f t="shared" si="43"/>
        <v>0.13900000000000001</v>
      </c>
      <c r="H293">
        <f t="shared" si="44"/>
        <v>0.13900000000000001</v>
      </c>
      <c r="I293">
        <f t="shared" si="45"/>
        <v>0.13900000000000001</v>
      </c>
      <c r="J293">
        <f t="shared" si="46"/>
        <v>0.13900000000000001</v>
      </c>
      <c r="K293">
        <f t="shared" si="47"/>
        <v>0.13900000000000001</v>
      </c>
      <c r="L293">
        <f t="shared" si="48"/>
        <v>0.13900000000000001</v>
      </c>
      <c r="M293">
        <f t="shared" si="49"/>
        <v>0.13900000000000001</v>
      </c>
      <c r="Q293" s="4" t="s">
        <v>164</v>
      </c>
      <c r="R293">
        <v>0.13900000000000001</v>
      </c>
      <c r="S293">
        <v>0.13900000000000001</v>
      </c>
      <c r="T293">
        <v>0.13900000000000001</v>
      </c>
      <c r="U293">
        <v>0.13900000000000001</v>
      </c>
      <c r="V293">
        <v>0.13900000000000001</v>
      </c>
      <c r="W293">
        <v>0.13900000000000001</v>
      </c>
      <c r="X293">
        <v>0.13900000000000001</v>
      </c>
      <c r="Y293">
        <v>0.13900000000000001</v>
      </c>
      <c r="Z293">
        <v>0.13900000000000001</v>
      </c>
    </row>
    <row r="294" spans="2:26">
      <c r="B294" t="str">
        <f>IFERROR(VLOOKUP(Q294,unified_reference_costs!$I$41:$J$69,2,FALSE),B293)</f>
        <v>en_nuclear_smr</v>
      </c>
      <c r="C294" t="str">
        <f>IFERROR(VLOOKUP(Q294,unified_reference_costs!$I$31:$J$40,2,FALSE),"*")</f>
        <v>*</v>
      </c>
      <c r="D294">
        <f t="shared" si="40"/>
        <v>2030</v>
      </c>
      <c r="E294" t="str">
        <f t="shared" si="41"/>
        <v/>
      </c>
      <c r="F294" t="str">
        <f t="shared" si="42"/>
        <v/>
      </c>
      <c r="G294" t="str">
        <f t="shared" si="43"/>
        <v/>
      </c>
      <c r="H294" t="str">
        <f t="shared" si="44"/>
        <v/>
      </c>
      <c r="I294" t="str">
        <f t="shared" si="45"/>
        <v/>
      </c>
      <c r="J294" t="str">
        <f t="shared" si="46"/>
        <v/>
      </c>
      <c r="K294" t="str">
        <f t="shared" si="47"/>
        <v/>
      </c>
      <c r="L294" t="str">
        <f t="shared" si="48"/>
        <v/>
      </c>
      <c r="M294" t="str">
        <f t="shared" si="49"/>
        <v/>
      </c>
      <c r="Q294" s="4" t="s">
        <v>55</v>
      </c>
    </row>
    <row r="295" spans="2:26">
      <c r="B295" t="str">
        <f>IFERROR(VLOOKUP(Q295,unified_reference_costs!$I$41:$J$69,2,FALSE),B294)</f>
        <v>en_nuclear_smr</v>
      </c>
      <c r="C295" t="str">
        <f>IFERROR(VLOOKUP(Q295,unified_reference_costs!$I$31:$J$40,2,FALSE),"*")</f>
        <v>invcost</v>
      </c>
      <c r="D295">
        <f t="shared" si="40"/>
        <v>2030</v>
      </c>
      <c r="E295">
        <f t="shared" si="41"/>
        <v>8041.7</v>
      </c>
      <c r="F295">
        <f t="shared" si="42"/>
        <v>8041.7</v>
      </c>
      <c r="G295">
        <f t="shared" si="43"/>
        <v>5629.2</v>
      </c>
      <c r="H295">
        <f t="shared" si="44"/>
        <v>5629.2</v>
      </c>
      <c r="I295">
        <f t="shared" si="45"/>
        <v>8041.7</v>
      </c>
      <c r="J295">
        <f t="shared" si="46"/>
        <v>7639.6</v>
      </c>
      <c r="K295">
        <f t="shared" si="47"/>
        <v>10253.1</v>
      </c>
      <c r="L295">
        <f t="shared" si="48"/>
        <v>9650</v>
      </c>
      <c r="M295">
        <f t="shared" si="49"/>
        <v>7036.5</v>
      </c>
      <c r="Q295" s="8" t="s">
        <v>6</v>
      </c>
      <c r="R295" s="22">
        <v>8041.7</v>
      </c>
      <c r="S295" s="22">
        <v>8041.7</v>
      </c>
      <c r="T295" s="22">
        <v>5629.2</v>
      </c>
      <c r="U295" s="22">
        <v>5629.2</v>
      </c>
      <c r="V295" s="22">
        <v>8041.7</v>
      </c>
      <c r="W295" s="22">
        <v>7639.6</v>
      </c>
      <c r="X295" s="22">
        <v>10253.1</v>
      </c>
      <c r="Y295" s="22">
        <v>9650</v>
      </c>
      <c r="Z295" s="22">
        <v>7036.5</v>
      </c>
    </row>
    <row r="296" spans="2:26">
      <c r="B296" t="str">
        <f>IFERROR(VLOOKUP(Q296,unified_reference_costs!$I$41:$J$69,2,FALSE),B295)</f>
        <v>en_nuclear_smr</v>
      </c>
      <c r="C296" t="str">
        <f>IFERROR(VLOOKUP(Q296,unified_reference_costs!$I$31:$J$40,2,FALSE),"*")</f>
        <v>fixom</v>
      </c>
      <c r="D296">
        <f t="shared" si="40"/>
        <v>2030</v>
      </c>
      <c r="E296">
        <f t="shared" si="41"/>
        <v>391.6</v>
      </c>
      <c r="F296">
        <f t="shared" si="42"/>
        <v>391.6</v>
      </c>
      <c r="G296">
        <f t="shared" si="43"/>
        <v>274.10000000000002</v>
      </c>
      <c r="H296">
        <f t="shared" si="44"/>
        <v>274.10000000000002</v>
      </c>
      <c r="I296">
        <f t="shared" si="45"/>
        <v>391.6</v>
      </c>
      <c r="J296">
        <f t="shared" si="46"/>
        <v>372.09999999999997</v>
      </c>
      <c r="K296">
        <f t="shared" si="47"/>
        <v>499.4</v>
      </c>
      <c r="L296">
        <f t="shared" si="48"/>
        <v>470</v>
      </c>
      <c r="M296">
        <f t="shared" si="49"/>
        <v>342.7</v>
      </c>
      <c r="Q296" s="4" t="s">
        <v>10</v>
      </c>
      <c r="R296">
        <v>391.6</v>
      </c>
      <c r="S296">
        <v>391.6</v>
      </c>
      <c r="T296">
        <v>274.10000000000002</v>
      </c>
      <c r="U296">
        <v>274.10000000000002</v>
      </c>
      <c r="V296">
        <v>391.6</v>
      </c>
      <c r="W296">
        <v>372.09999999999997</v>
      </c>
      <c r="X296">
        <v>499.4</v>
      </c>
      <c r="Y296">
        <v>470</v>
      </c>
      <c r="Z296">
        <v>342.7</v>
      </c>
    </row>
    <row r="297" spans="2:26">
      <c r="B297" t="str">
        <f>IFERROR(VLOOKUP(Q297,unified_reference_costs!$I$41:$J$69,2,FALSE),B296)</f>
        <v>en_nuclear_smr</v>
      </c>
      <c r="C297" t="str">
        <f>IFERROR(VLOOKUP(Q297,unified_reference_costs!$I$31:$J$40,2,FALSE),"*")</f>
        <v>varom</v>
      </c>
      <c r="D297">
        <f t="shared" si="40"/>
        <v>2030</v>
      </c>
      <c r="E297">
        <f t="shared" si="41"/>
        <v>0.72199999999999998</v>
      </c>
      <c r="F297">
        <f t="shared" si="42"/>
        <v>0.72199999999999998</v>
      </c>
      <c r="G297">
        <f t="shared" si="43"/>
        <v>0.72199999999999998</v>
      </c>
      <c r="H297">
        <f t="shared" si="44"/>
        <v>0.72199999999999998</v>
      </c>
      <c r="I297">
        <f t="shared" si="45"/>
        <v>0.72199999999999998</v>
      </c>
      <c r="J297">
        <f t="shared" si="46"/>
        <v>0.72199999999999998</v>
      </c>
      <c r="K297">
        <f t="shared" si="47"/>
        <v>0.72199999999999998</v>
      </c>
      <c r="L297">
        <f t="shared" si="48"/>
        <v>0.72199999999999998</v>
      </c>
      <c r="M297">
        <f t="shared" si="49"/>
        <v>0.72199999999999998</v>
      </c>
      <c r="Q297" s="4" t="s">
        <v>164</v>
      </c>
      <c r="R297">
        <v>0.72199999999999998</v>
      </c>
      <c r="S297">
        <v>0.72199999999999998</v>
      </c>
      <c r="T297">
        <v>0.72199999999999998</v>
      </c>
      <c r="U297">
        <v>0.72199999999999998</v>
      </c>
      <c r="V297">
        <v>0.72199999999999998</v>
      </c>
      <c r="W297">
        <v>0.72199999999999998</v>
      </c>
      <c r="X297">
        <v>0.72199999999999998</v>
      </c>
      <c r="Y297">
        <v>0.72199999999999998</v>
      </c>
      <c r="Z297">
        <v>0.72199999999999998</v>
      </c>
    </row>
    <row r="298" spans="2:26">
      <c r="B298" t="str">
        <f>IFERROR(VLOOKUP(Q298,unified_reference_costs!$I$41:$J$69,2,FALSE),B297)</f>
        <v>en_nuclear_smr</v>
      </c>
      <c r="C298" t="str">
        <f>IFERROR(VLOOKUP(Q298,unified_reference_costs!$I$31:$J$40,2,FALSE),"*")</f>
        <v>*</v>
      </c>
      <c r="D298">
        <f t="shared" si="40"/>
        <v>2035</v>
      </c>
      <c r="E298" t="str">
        <f t="shared" si="41"/>
        <v/>
      </c>
      <c r="F298" t="str">
        <f t="shared" si="42"/>
        <v/>
      </c>
      <c r="G298" t="str">
        <f t="shared" si="43"/>
        <v/>
      </c>
      <c r="H298" t="str">
        <f t="shared" si="44"/>
        <v/>
      </c>
      <c r="I298" t="str">
        <f t="shared" si="45"/>
        <v/>
      </c>
      <c r="J298" t="str">
        <f t="shared" si="46"/>
        <v/>
      </c>
      <c r="K298" t="str">
        <f t="shared" si="47"/>
        <v/>
      </c>
      <c r="L298" t="str">
        <f t="shared" si="48"/>
        <v/>
      </c>
      <c r="M298" t="str">
        <f t="shared" si="49"/>
        <v/>
      </c>
      <c r="Q298" s="4">
        <v>2035</v>
      </c>
    </row>
    <row r="299" spans="2:26">
      <c r="B299" t="str">
        <f>IFERROR(VLOOKUP(Q299,unified_reference_costs!$I$41:$J$69,2,FALSE),B298)</f>
        <v>en_battery_4h</v>
      </c>
      <c r="C299" t="str">
        <f>IFERROR(VLOOKUP(Q299,unified_reference_costs!$I$31:$J$40,2,FALSE),"*")</f>
        <v>*</v>
      </c>
      <c r="D299">
        <f t="shared" si="40"/>
        <v>2035</v>
      </c>
      <c r="E299" t="str">
        <f t="shared" si="41"/>
        <v/>
      </c>
      <c r="F299" t="str">
        <f t="shared" si="42"/>
        <v/>
      </c>
      <c r="G299" t="str">
        <f t="shared" si="43"/>
        <v/>
      </c>
      <c r="H299" t="str">
        <f t="shared" si="44"/>
        <v/>
      </c>
      <c r="I299" t="str">
        <f t="shared" si="45"/>
        <v/>
      </c>
      <c r="J299" t="str">
        <f t="shared" si="46"/>
        <v/>
      </c>
      <c r="K299" t="str">
        <f t="shared" si="47"/>
        <v/>
      </c>
      <c r="L299" t="str">
        <f t="shared" si="48"/>
        <v/>
      </c>
      <c r="M299" t="str">
        <f t="shared" si="49"/>
        <v/>
      </c>
      <c r="Q299" s="8" t="s">
        <v>53</v>
      </c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2:26">
      <c r="B300" t="str">
        <f>IFERROR(VLOOKUP(Q300,unified_reference_costs!$I$41:$J$69,2,FALSE),B299)</f>
        <v>en_battery_4h</v>
      </c>
      <c r="C300" t="str">
        <f>IFERROR(VLOOKUP(Q300,unified_reference_costs!$I$31:$J$40,2,FALSE),"*")</f>
        <v>invcost</v>
      </c>
      <c r="D300">
        <f t="shared" si="40"/>
        <v>2035</v>
      </c>
      <c r="E300">
        <f t="shared" si="41"/>
        <v>1347.4</v>
      </c>
      <c r="F300">
        <f t="shared" si="42"/>
        <v>1347.4</v>
      </c>
      <c r="G300">
        <f t="shared" si="43"/>
        <v>1347.4</v>
      </c>
      <c r="H300">
        <f t="shared" si="44"/>
        <v>1347.4</v>
      </c>
      <c r="I300">
        <f t="shared" si="45"/>
        <v>1347.4</v>
      </c>
      <c r="J300">
        <f t="shared" si="46"/>
        <v>1347.4</v>
      </c>
      <c r="K300">
        <f t="shared" si="47"/>
        <v>1347.4</v>
      </c>
      <c r="L300">
        <f t="shared" si="48"/>
        <v>1347.4</v>
      </c>
      <c r="M300">
        <f t="shared" si="49"/>
        <v>1347.4</v>
      </c>
      <c r="Q300" s="4" t="s">
        <v>6</v>
      </c>
      <c r="R300">
        <v>1347.4</v>
      </c>
      <c r="S300">
        <v>1347.4</v>
      </c>
      <c r="T300">
        <v>1347.4</v>
      </c>
      <c r="U300">
        <v>1347.4</v>
      </c>
      <c r="V300">
        <v>1347.4</v>
      </c>
      <c r="W300">
        <v>1347.4</v>
      </c>
      <c r="X300">
        <v>1347.4</v>
      </c>
      <c r="Y300">
        <v>1347.4</v>
      </c>
      <c r="Z300">
        <v>1347.4</v>
      </c>
    </row>
    <row r="301" spans="2:26">
      <c r="B301" t="str">
        <f>IFERROR(VLOOKUP(Q301,unified_reference_costs!$I$41:$J$69,2,FALSE),B300)</f>
        <v>en_battery_4h</v>
      </c>
      <c r="C301" t="str">
        <f>IFERROR(VLOOKUP(Q301,unified_reference_costs!$I$31:$J$40,2,FALSE),"*")</f>
        <v>fixom</v>
      </c>
      <c r="D301">
        <f t="shared" si="40"/>
        <v>2035</v>
      </c>
      <c r="E301">
        <f t="shared" si="41"/>
        <v>91.2</v>
      </c>
      <c r="F301">
        <f t="shared" si="42"/>
        <v>91.2</v>
      </c>
      <c r="G301">
        <f t="shared" si="43"/>
        <v>91.2</v>
      </c>
      <c r="H301">
        <f t="shared" si="44"/>
        <v>91.2</v>
      </c>
      <c r="I301">
        <f t="shared" si="45"/>
        <v>91.2</v>
      </c>
      <c r="J301">
        <f t="shared" si="46"/>
        <v>91.2</v>
      </c>
      <c r="K301">
        <f t="shared" si="47"/>
        <v>91.2</v>
      </c>
      <c r="L301">
        <f t="shared" si="48"/>
        <v>91.2</v>
      </c>
      <c r="M301">
        <f t="shared" si="49"/>
        <v>91.2</v>
      </c>
      <c r="Q301" s="4" t="s">
        <v>10</v>
      </c>
      <c r="R301">
        <v>91.2</v>
      </c>
      <c r="S301">
        <v>91.2</v>
      </c>
      <c r="T301">
        <v>91.2</v>
      </c>
      <c r="U301">
        <v>91.2</v>
      </c>
      <c r="V301">
        <v>91.2</v>
      </c>
      <c r="W301">
        <v>91.2</v>
      </c>
      <c r="X301">
        <v>91.2</v>
      </c>
      <c r="Y301">
        <v>91.2</v>
      </c>
      <c r="Z301">
        <v>91.2</v>
      </c>
    </row>
    <row r="302" spans="2:26">
      <c r="B302" t="str">
        <f>IFERROR(VLOOKUP(Q302,unified_reference_costs!$I$41:$J$69,2,FALSE),B301)</f>
        <v>en_battery_4h</v>
      </c>
      <c r="C302" t="str">
        <f>IFERROR(VLOOKUP(Q302,unified_reference_costs!$I$31:$J$40,2,FALSE),"*")</f>
        <v>stg_eff</v>
      </c>
      <c r="D302">
        <f t="shared" si="40"/>
        <v>2035</v>
      </c>
      <c r="E302">
        <f t="shared" si="41"/>
        <v>0.86</v>
      </c>
      <c r="F302">
        <f t="shared" si="42"/>
        <v>0.86</v>
      </c>
      <c r="G302">
        <f t="shared" si="43"/>
        <v>0.86</v>
      </c>
      <c r="H302">
        <f t="shared" si="44"/>
        <v>0.86</v>
      </c>
      <c r="I302">
        <f t="shared" si="45"/>
        <v>0.86</v>
      </c>
      <c r="J302">
        <f t="shared" si="46"/>
        <v>0.86</v>
      </c>
      <c r="K302">
        <f t="shared" si="47"/>
        <v>0.86</v>
      </c>
      <c r="L302">
        <f t="shared" si="48"/>
        <v>0.86</v>
      </c>
      <c r="M302">
        <f t="shared" si="49"/>
        <v>0.86</v>
      </c>
      <c r="Q302" s="4" t="s">
        <v>16</v>
      </c>
      <c r="R302">
        <v>0.86</v>
      </c>
      <c r="S302">
        <v>0.86</v>
      </c>
      <c r="T302">
        <v>0.86</v>
      </c>
      <c r="U302">
        <v>0.86</v>
      </c>
      <c r="V302">
        <v>0.86</v>
      </c>
      <c r="W302">
        <v>0.86</v>
      </c>
      <c r="X302">
        <v>0.86</v>
      </c>
      <c r="Y302">
        <v>0.86</v>
      </c>
      <c r="Z302">
        <v>0.86</v>
      </c>
    </row>
    <row r="303" spans="2:26">
      <c r="B303" t="str">
        <f>IFERROR(VLOOKUP(Q303,unified_reference_costs!$I$41:$J$69,2,FALSE),B302)</f>
        <v>en_battery_4h</v>
      </c>
      <c r="C303" t="str">
        <f>IFERROR(VLOOKUP(Q303,unified_reference_costs!$I$31:$J$40,2,FALSE),"*")</f>
        <v>varom</v>
      </c>
      <c r="D303">
        <f t="shared" si="40"/>
        <v>2035</v>
      </c>
      <c r="E303">
        <f t="shared" si="41"/>
        <v>0.13900000000000001</v>
      </c>
      <c r="F303">
        <f t="shared" si="42"/>
        <v>0.13900000000000001</v>
      </c>
      <c r="G303">
        <f t="shared" si="43"/>
        <v>0.13900000000000001</v>
      </c>
      <c r="H303">
        <f t="shared" si="44"/>
        <v>0.13900000000000001</v>
      </c>
      <c r="I303">
        <f t="shared" si="45"/>
        <v>0.13900000000000001</v>
      </c>
      <c r="J303">
        <f t="shared" si="46"/>
        <v>0.13900000000000001</v>
      </c>
      <c r="K303">
        <f t="shared" si="47"/>
        <v>0.13900000000000001</v>
      </c>
      <c r="L303">
        <f t="shared" si="48"/>
        <v>0.13900000000000001</v>
      </c>
      <c r="M303">
        <f t="shared" si="49"/>
        <v>0.13900000000000001</v>
      </c>
      <c r="Q303" s="8" t="s">
        <v>164</v>
      </c>
      <c r="R303" s="22">
        <v>0.13900000000000001</v>
      </c>
      <c r="S303" s="22">
        <v>0.13900000000000001</v>
      </c>
      <c r="T303" s="22">
        <v>0.13900000000000001</v>
      </c>
      <c r="U303" s="22">
        <v>0.13900000000000001</v>
      </c>
      <c r="V303" s="22">
        <v>0.13900000000000001</v>
      </c>
      <c r="W303" s="22">
        <v>0.13900000000000001</v>
      </c>
      <c r="X303" s="22">
        <v>0.13900000000000001</v>
      </c>
      <c r="Y303" s="22">
        <v>0.13900000000000001</v>
      </c>
      <c r="Z303" s="22">
        <v>0.13900000000000001</v>
      </c>
    </row>
    <row r="304" spans="2:26">
      <c r="B304" t="str">
        <f>IFERROR(VLOOKUP(Q304,unified_reference_costs!$I$41:$J$69,2,FALSE),B303)</f>
        <v>en_battery_8h</v>
      </c>
      <c r="C304" t="str">
        <f>IFERROR(VLOOKUP(Q304,unified_reference_costs!$I$31:$J$40,2,FALSE),"*")</f>
        <v>*</v>
      </c>
      <c r="D304">
        <f t="shared" si="40"/>
        <v>2035</v>
      </c>
      <c r="E304" t="str">
        <f t="shared" si="41"/>
        <v/>
      </c>
      <c r="F304" t="str">
        <f t="shared" si="42"/>
        <v/>
      </c>
      <c r="G304" t="str">
        <f t="shared" si="43"/>
        <v/>
      </c>
      <c r="H304" t="str">
        <f t="shared" si="44"/>
        <v/>
      </c>
      <c r="I304" t="str">
        <f t="shared" si="45"/>
        <v/>
      </c>
      <c r="J304" t="str">
        <f t="shared" si="46"/>
        <v/>
      </c>
      <c r="K304" t="str">
        <f t="shared" si="47"/>
        <v/>
      </c>
      <c r="L304" t="str">
        <f t="shared" si="48"/>
        <v/>
      </c>
      <c r="M304" t="str">
        <f t="shared" si="49"/>
        <v/>
      </c>
      <c r="Q304" s="4" t="s">
        <v>54</v>
      </c>
    </row>
    <row r="305" spans="2:26">
      <c r="B305" t="str">
        <f>IFERROR(VLOOKUP(Q305,unified_reference_costs!$I$41:$J$69,2,FALSE),B304)</f>
        <v>en_battery_8h</v>
      </c>
      <c r="C305" t="str">
        <f>IFERROR(VLOOKUP(Q305,unified_reference_costs!$I$31:$J$40,2,FALSE),"*")</f>
        <v>invcost</v>
      </c>
      <c r="D305">
        <f t="shared" si="40"/>
        <v>2035</v>
      </c>
      <c r="E305">
        <f t="shared" si="41"/>
        <v>2273.5</v>
      </c>
      <c r="F305">
        <f t="shared" si="42"/>
        <v>2273.5</v>
      </c>
      <c r="G305">
        <f t="shared" si="43"/>
        <v>2273.5</v>
      </c>
      <c r="H305">
        <f t="shared" si="44"/>
        <v>2273.5</v>
      </c>
      <c r="I305">
        <f t="shared" si="45"/>
        <v>2273.5</v>
      </c>
      <c r="J305">
        <f t="shared" si="46"/>
        <v>2273.5</v>
      </c>
      <c r="K305">
        <f t="shared" si="47"/>
        <v>2273.5</v>
      </c>
      <c r="L305">
        <f t="shared" si="48"/>
        <v>2273.5</v>
      </c>
      <c r="M305">
        <f t="shared" si="49"/>
        <v>2273.5</v>
      </c>
      <c r="Q305" s="4" t="s">
        <v>6</v>
      </c>
      <c r="R305">
        <v>2273.5</v>
      </c>
      <c r="S305">
        <v>2273.5</v>
      </c>
      <c r="T305">
        <v>2273.5</v>
      </c>
      <c r="U305">
        <v>2273.5</v>
      </c>
      <c r="V305">
        <v>2273.5</v>
      </c>
      <c r="W305">
        <v>2273.5</v>
      </c>
      <c r="X305">
        <v>2273.5</v>
      </c>
      <c r="Y305">
        <v>2273.5</v>
      </c>
      <c r="Z305">
        <v>2273.5</v>
      </c>
    </row>
    <row r="306" spans="2:26">
      <c r="B306" t="str">
        <f>IFERROR(VLOOKUP(Q306,unified_reference_costs!$I$41:$J$69,2,FALSE),B305)</f>
        <v>en_battery_8h</v>
      </c>
      <c r="C306" t="str">
        <f>IFERROR(VLOOKUP(Q306,unified_reference_costs!$I$31:$J$40,2,FALSE),"*")</f>
        <v>fixom</v>
      </c>
      <c r="D306">
        <f t="shared" si="40"/>
        <v>2035</v>
      </c>
      <c r="E306">
        <f t="shared" si="41"/>
        <v>162.39999999999998</v>
      </c>
      <c r="F306">
        <f t="shared" si="42"/>
        <v>162.39999999999998</v>
      </c>
      <c r="G306">
        <f t="shared" si="43"/>
        <v>162.39999999999998</v>
      </c>
      <c r="H306">
        <f t="shared" si="44"/>
        <v>162.39999999999998</v>
      </c>
      <c r="I306">
        <f t="shared" si="45"/>
        <v>162.39999999999998</v>
      </c>
      <c r="J306">
        <f t="shared" si="46"/>
        <v>162.39999999999998</v>
      </c>
      <c r="K306">
        <f t="shared" si="47"/>
        <v>162.39999999999998</v>
      </c>
      <c r="L306">
        <f t="shared" si="48"/>
        <v>162.39999999999998</v>
      </c>
      <c r="M306">
        <f t="shared" si="49"/>
        <v>162.39999999999998</v>
      </c>
      <c r="Q306" s="4" t="s">
        <v>10</v>
      </c>
      <c r="R306">
        <v>162.39999999999998</v>
      </c>
      <c r="S306">
        <v>162.39999999999998</v>
      </c>
      <c r="T306">
        <v>162.39999999999998</v>
      </c>
      <c r="U306">
        <v>162.39999999999998</v>
      </c>
      <c r="V306">
        <v>162.39999999999998</v>
      </c>
      <c r="W306">
        <v>162.39999999999998</v>
      </c>
      <c r="X306">
        <v>162.39999999999998</v>
      </c>
      <c r="Y306">
        <v>162.39999999999998</v>
      </c>
      <c r="Z306">
        <v>162.39999999999998</v>
      </c>
    </row>
    <row r="307" spans="2:26">
      <c r="B307" t="str">
        <f>IFERROR(VLOOKUP(Q307,unified_reference_costs!$I$41:$J$69,2,FALSE),B306)</f>
        <v>en_battery_8h</v>
      </c>
      <c r="C307" t="str">
        <f>IFERROR(VLOOKUP(Q307,unified_reference_costs!$I$31:$J$40,2,FALSE),"*")</f>
        <v>stg_eff</v>
      </c>
      <c r="D307">
        <f t="shared" si="40"/>
        <v>2035</v>
      </c>
      <c r="E307">
        <f t="shared" si="41"/>
        <v>0.86</v>
      </c>
      <c r="F307">
        <f t="shared" si="42"/>
        <v>0.86</v>
      </c>
      <c r="G307">
        <f t="shared" si="43"/>
        <v>0.86</v>
      </c>
      <c r="H307">
        <f t="shared" si="44"/>
        <v>0.86</v>
      </c>
      <c r="I307">
        <f t="shared" si="45"/>
        <v>0.86</v>
      </c>
      <c r="J307">
        <f t="shared" si="46"/>
        <v>0.86</v>
      </c>
      <c r="K307">
        <f t="shared" si="47"/>
        <v>0.86</v>
      </c>
      <c r="L307">
        <f t="shared" si="48"/>
        <v>0.86</v>
      </c>
      <c r="M307">
        <f t="shared" si="49"/>
        <v>0.86</v>
      </c>
      <c r="Q307" s="8" t="s">
        <v>16</v>
      </c>
      <c r="R307" s="22">
        <v>0.86</v>
      </c>
      <c r="S307" s="22">
        <v>0.86</v>
      </c>
      <c r="T307" s="22">
        <v>0.86</v>
      </c>
      <c r="U307" s="22">
        <v>0.86</v>
      </c>
      <c r="V307" s="22">
        <v>0.86</v>
      </c>
      <c r="W307" s="22">
        <v>0.86</v>
      </c>
      <c r="X307" s="22">
        <v>0.86</v>
      </c>
      <c r="Y307" s="22">
        <v>0.86</v>
      </c>
      <c r="Z307" s="22">
        <v>0.86</v>
      </c>
    </row>
    <row r="308" spans="2:26">
      <c r="B308" t="str">
        <f>IFERROR(VLOOKUP(Q308,unified_reference_costs!$I$41:$J$69,2,FALSE),B307)</f>
        <v>en_battery_8h</v>
      </c>
      <c r="C308" t="str">
        <f>IFERROR(VLOOKUP(Q308,unified_reference_costs!$I$31:$J$40,2,FALSE),"*")</f>
        <v>varom</v>
      </c>
      <c r="D308">
        <f t="shared" si="40"/>
        <v>2035</v>
      </c>
      <c r="E308">
        <f t="shared" si="41"/>
        <v>0.13900000000000001</v>
      </c>
      <c r="F308">
        <f t="shared" si="42"/>
        <v>0.13900000000000001</v>
      </c>
      <c r="G308">
        <f t="shared" si="43"/>
        <v>0.13900000000000001</v>
      </c>
      <c r="H308">
        <f t="shared" si="44"/>
        <v>0.13900000000000001</v>
      </c>
      <c r="I308">
        <f t="shared" si="45"/>
        <v>0.13900000000000001</v>
      </c>
      <c r="J308">
        <f t="shared" si="46"/>
        <v>0.13900000000000001</v>
      </c>
      <c r="K308">
        <f t="shared" si="47"/>
        <v>0.13900000000000001</v>
      </c>
      <c r="L308">
        <f t="shared" si="48"/>
        <v>0.13900000000000001</v>
      </c>
      <c r="M308">
        <f t="shared" si="49"/>
        <v>0.13900000000000001</v>
      </c>
      <c r="Q308" s="4" t="s">
        <v>164</v>
      </c>
      <c r="R308">
        <v>0.13900000000000001</v>
      </c>
      <c r="S308">
        <v>0.13900000000000001</v>
      </c>
      <c r="T308">
        <v>0.13900000000000001</v>
      </c>
      <c r="U308">
        <v>0.13900000000000001</v>
      </c>
      <c r="V308">
        <v>0.13900000000000001</v>
      </c>
      <c r="W308">
        <v>0.13900000000000001</v>
      </c>
      <c r="X308">
        <v>0.13900000000000001</v>
      </c>
      <c r="Y308">
        <v>0.13900000000000001</v>
      </c>
      <c r="Z308">
        <v>0.13900000000000001</v>
      </c>
    </row>
    <row r="309" spans="2:26">
      <c r="B309" t="str">
        <f>IFERROR(VLOOKUP(Q309,unified_reference_costs!$I$41:$J$69,2,FALSE),B308)</f>
        <v>en_nuclear_smr</v>
      </c>
      <c r="C309" t="str">
        <f>IFERROR(VLOOKUP(Q309,unified_reference_costs!$I$31:$J$40,2,FALSE),"*")</f>
        <v>*</v>
      </c>
      <c r="D309">
        <f t="shared" si="40"/>
        <v>2035</v>
      </c>
      <c r="E309" t="str">
        <f t="shared" si="41"/>
        <v/>
      </c>
      <c r="F309" t="str">
        <f t="shared" si="42"/>
        <v/>
      </c>
      <c r="G309" t="str">
        <f t="shared" si="43"/>
        <v/>
      </c>
      <c r="H309" t="str">
        <f t="shared" si="44"/>
        <v/>
      </c>
      <c r="I309" t="str">
        <f t="shared" si="45"/>
        <v/>
      </c>
      <c r="J309" t="str">
        <f t="shared" si="46"/>
        <v/>
      </c>
      <c r="K309" t="str">
        <f t="shared" si="47"/>
        <v/>
      </c>
      <c r="L309" t="str">
        <f t="shared" si="48"/>
        <v/>
      </c>
      <c r="M309" t="str">
        <f t="shared" si="49"/>
        <v/>
      </c>
      <c r="Q309" s="4" t="s">
        <v>55</v>
      </c>
    </row>
    <row r="310" spans="2:26">
      <c r="B310" t="str">
        <f>IFERROR(VLOOKUP(Q310,unified_reference_costs!$I$41:$J$69,2,FALSE),B309)</f>
        <v>en_nuclear_smr</v>
      </c>
      <c r="C310" t="str">
        <f>IFERROR(VLOOKUP(Q310,unified_reference_costs!$I$31:$J$40,2,FALSE),"*")</f>
        <v>invcost</v>
      </c>
      <c r="D310">
        <f t="shared" si="40"/>
        <v>2035</v>
      </c>
      <c r="E310">
        <f t="shared" si="41"/>
        <v>6989.3</v>
      </c>
      <c r="F310">
        <f t="shared" si="42"/>
        <v>6989.3</v>
      </c>
      <c r="G310">
        <f t="shared" si="43"/>
        <v>4368.3</v>
      </c>
      <c r="H310">
        <f t="shared" si="44"/>
        <v>4892.5</v>
      </c>
      <c r="I310">
        <f t="shared" si="45"/>
        <v>6989.3</v>
      </c>
      <c r="J310">
        <f t="shared" si="46"/>
        <v>6639.9</v>
      </c>
      <c r="K310">
        <f t="shared" si="47"/>
        <v>7863</v>
      </c>
      <c r="L310">
        <f t="shared" si="48"/>
        <v>7863</v>
      </c>
      <c r="M310">
        <f t="shared" si="49"/>
        <v>6115.7</v>
      </c>
      <c r="Q310" s="4" t="s">
        <v>6</v>
      </c>
      <c r="R310">
        <v>6989.3</v>
      </c>
      <c r="S310">
        <v>6989.3</v>
      </c>
      <c r="T310">
        <v>4368.3</v>
      </c>
      <c r="U310">
        <v>4892.5</v>
      </c>
      <c r="V310">
        <v>6989.3</v>
      </c>
      <c r="W310">
        <v>6639.9</v>
      </c>
      <c r="X310">
        <v>7863</v>
      </c>
      <c r="Y310">
        <v>7863</v>
      </c>
      <c r="Z310">
        <v>6115.7</v>
      </c>
    </row>
    <row r="311" spans="2:26">
      <c r="B311" t="str">
        <f>IFERROR(VLOOKUP(Q311,unified_reference_costs!$I$41:$J$69,2,FALSE),B310)</f>
        <v>en_nuclear_smr</v>
      </c>
      <c r="C311" t="str">
        <f>IFERROR(VLOOKUP(Q311,unified_reference_costs!$I$31:$J$40,2,FALSE),"*")</f>
        <v>fixom</v>
      </c>
      <c r="D311">
        <f t="shared" si="40"/>
        <v>2035</v>
      </c>
      <c r="E311">
        <f t="shared" si="41"/>
        <v>417.79999999999995</v>
      </c>
      <c r="F311">
        <f t="shared" si="42"/>
        <v>417.79999999999995</v>
      </c>
      <c r="G311">
        <f t="shared" si="43"/>
        <v>261.2</v>
      </c>
      <c r="H311">
        <f t="shared" si="44"/>
        <v>292.39999999999998</v>
      </c>
      <c r="I311">
        <f t="shared" si="45"/>
        <v>417.79999999999995</v>
      </c>
      <c r="J311">
        <f t="shared" si="46"/>
        <v>396.8</v>
      </c>
      <c r="K311">
        <f t="shared" si="47"/>
        <v>470</v>
      </c>
      <c r="L311">
        <f t="shared" si="48"/>
        <v>470</v>
      </c>
      <c r="M311">
        <f t="shared" si="49"/>
        <v>365.6</v>
      </c>
      <c r="Q311" s="8" t="s">
        <v>10</v>
      </c>
      <c r="R311" s="22">
        <v>417.79999999999995</v>
      </c>
      <c r="S311" s="22">
        <v>417.79999999999995</v>
      </c>
      <c r="T311" s="22">
        <v>261.2</v>
      </c>
      <c r="U311" s="22">
        <v>292.39999999999998</v>
      </c>
      <c r="V311" s="22">
        <v>417.79999999999995</v>
      </c>
      <c r="W311" s="22">
        <v>396.8</v>
      </c>
      <c r="X311" s="22">
        <v>470</v>
      </c>
      <c r="Y311" s="22">
        <v>470</v>
      </c>
      <c r="Z311" s="22">
        <v>365.6</v>
      </c>
    </row>
    <row r="312" spans="2:26">
      <c r="B312" t="str">
        <f>IFERROR(VLOOKUP(Q312,unified_reference_costs!$I$41:$J$69,2,FALSE),B311)</f>
        <v>en_nuclear_smr</v>
      </c>
      <c r="C312" t="str">
        <f>IFERROR(VLOOKUP(Q312,unified_reference_costs!$I$31:$J$40,2,FALSE),"*")</f>
        <v>varom</v>
      </c>
      <c r="D312">
        <f t="shared" si="40"/>
        <v>2035</v>
      </c>
      <c r="E312">
        <f t="shared" si="41"/>
        <v>0.72199999999999998</v>
      </c>
      <c r="F312">
        <f t="shared" si="42"/>
        <v>0.72199999999999998</v>
      </c>
      <c r="G312">
        <f t="shared" si="43"/>
        <v>0.72199999999999998</v>
      </c>
      <c r="H312">
        <f t="shared" si="44"/>
        <v>0.72199999999999998</v>
      </c>
      <c r="I312">
        <f t="shared" si="45"/>
        <v>0.72199999999999998</v>
      </c>
      <c r="J312">
        <f t="shared" si="46"/>
        <v>0.72199999999999998</v>
      </c>
      <c r="K312">
        <f t="shared" si="47"/>
        <v>0.72199999999999998</v>
      </c>
      <c r="L312">
        <f t="shared" si="48"/>
        <v>0.72199999999999998</v>
      </c>
      <c r="M312">
        <f t="shared" si="49"/>
        <v>0.72199999999999998</v>
      </c>
      <c r="Q312" s="4" t="s">
        <v>164</v>
      </c>
      <c r="R312">
        <v>0.72199999999999998</v>
      </c>
      <c r="S312">
        <v>0.72199999999999998</v>
      </c>
      <c r="T312">
        <v>0.72199999999999998</v>
      </c>
      <c r="U312">
        <v>0.72199999999999998</v>
      </c>
      <c r="V312">
        <v>0.72199999999999998</v>
      </c>
      <c r="W312">
        <v>0.72199999999999998</v>
      </c>
      <c r="X312">
        <v>0.72199999999999998</v>
      </c>
      <c r="Y312">
        <v>0.72199999999999998</v>
      </c>
      <c r="Z312">
        <v>0.72199999999999998</v>
      </c>
    </row>
    <row r="313" spans="2:26">
      <c r="B313" t="str">
        <f>IFERROR(VLOOKUP(Q313,unified_reference_costs!$I$41:$J$69,2,FALSE),B312)</f>
        <v>en_nuclear_smr</v>
      </c>
      <c r="C313" t="str">
        <f>IFERROR(VLOOKUP(Q313,unified_reference_costs!$I$31:$J$40,2,FALSE),"*")</f>
        <v>*</v>
      </c>
      <c r="D313">
        <f t="shared" si="40"/>
        <v>2040</v>
      </c>
      <c r="E313" t="str">
        <f t="shared" si="41"/>
        <v/>
      </c>
      <c r="F313" t="str">
        <f t="shared" si="42"/>
        <v/>
      </c>
      <c r="G313" t="str">
        <f t="shared" si="43"/>
        <v/>
      </c>
      <c r="H313" t="str">
        <f t="shared" si="44"/>
        <v/>
      </c>
      <c r="I313" t="str">
        <f t="shared" si="45"/>
        <v/>
      </c>
      <c r="J313" t="str">
        <f t="shared" si="46"/>
        <v/>
      </c>
      <c r="K313" t="str">
        <f t="shared" si="47"/>
        <v/>
      </c>
      <c r="L313" t="str">
        <f t="shared" si="48"/>
        <v/>
      </c>
      <c r="M313" t="str">
        <f t="shared" si="49"/>
        <v/>
      </c>
      <c r="Q313" s="4">
        <v>2040</v>
      </c>
    </row>
    <row r="314" spans="2:26">
      <c r="B314" t="str">
        <f>IFERROR(VLOOKUP(Q314,unified_reference_costs!$I$41:$J$69,2,FALSE),B313)</f>
        <v>en_battery_4h</v>
      </c>
      <c r="C314" t="str">
        <f>IFERROR(VLOOKUP(Q314,unified_reference_costs!$I$31:$J$40,2,FALSE),"*")</f>
        <v>*</v>
      </c>
      <c r="D314">
        <f t="shared" si="40"/>
        <v>2040</v>
      </c>
      <c r="E314" t="str">
        <f t="shared" si="41"/>
        <v/>
      </c>
      <c r="F314" t="str">
        <f t="shared" si="42"/>
        <v/>
      </c>
      <c r="G314" t="str">
        <f t="shared" si="43"/>
        <v/>
      </c>
      <c r="H314" t="str">
        <f t="shared" si="44"/>
        <v/>
      </c>
      <c r="I314" t="str">
        <f t="shared" si="45"/>
        <v/>
      </c>
      <c r="J314" t="str">
        <f t="shared" si="46"/>
        <v/>
      </c>
      <c r="K314" t="str">
        <f t="shared" si="47"/>
        <v/>
      </c>
      <c r="L314" t="str">
        <f t="shared" si="48"/>
        <v/>
      </c>
      <c r="M314" t="str">
        <f t="shared" si="49"/>
        <v/>
      </c>
      <c r="Q314" s="4" t="s">
        <v>53</v>
      </c>
    </row>
    <row r="315" spans="2:26">
      <c r="B315" t="str">
        <f>IFERROR(VLOOKUP(Q315,unified_reference_costs!$I$41:$J$69,2,FALSE),B314)</f>
        <v>en_battery_4h</v>
      </c>
      <c r="C315" t="str">
        <f>IFERROR(VLOOKUP(Q315,unified_reference_costs!$I$31:$J$40,2,FALSE),"*")</f>
        <v>invcost</v>
      </c>
      <c r="D315">
        <f t="shared" si="40"/>
        <v>2040</v>
      </c>
      <c r="E315">
        <f t="shared" si="41"/>
        <v>1243.5</v>
      </c>
      <c r="F315">
        <f t="shared" si="42"/>
        <v>1243.5</v>
      </c>
      <c r="G315">
        <f t="shared" si="43"/>
        <v>1243.5</v>
      </c>
      <c r="H315">
        <f t="shared" si="44"/>
        <v>1243.5</v>
      </c>
      <c r="I315">
        <f t="shared" si="45"/>
        <v>1243.5</v>
      </c>
      <c r="J315">
        <f t="shared" si="46"/>
        <v>1243.5</v>
      </c>
      <c r="K315">
        <f t="shared" si="47"/>
        <v>1243.5</v>
      </c>
      <c r="L315">
        <f t="shared" si="48"/>
        <v>1243.5</v>
      </c>
      <c r="M315">
        <f t="shared" si="49"/>
        <v>1243.5</v>
      </c>
      <c r="Q315" s="8" t="s">
        <v>6</v>
      </c>
      <c r="R315" s="22">
        <v>1243.5</v>
      </c>
      <c r="S315" s="22">
        <v>1243.5</v>
      </c>
      <c r="T315" s="22">
        <v>1243.5</v>
      </c>
      <c r="U315" s="22">
        <v>1243.5</v>
      </c>
      <c r="V315" s="22">
        <v>1243.5</v>
      </c>
      <c r="W315" s="22">
        <v>1243.5</v>
      </c>
      <c r="X315" s="22">
        <v>1243.5</v>
      </c>
      <c r="Y315" s="22">
        <v>1243.5</v>
      </c>
      <c r="Z315" s="22">
        <v>1243.5</v>
      </c>
    </row>
    <row r="316" spans="2:26">
      <c r="B316" t="str">
        <f>IFERROR(VLOOKUP(Q316,unified_reference_costs!$I$41:$J$69,2,FALSE),B315)</f>
        <v>en_battery_4h</v>
      </c>
      <c r="C316" t="str">
        <f>IFERROR(VLOOKUP(Q316,unified_reference_costs!$I$31:$J$40,2,FALSE),"*")</f>
        <v>fixom</v>
      </c>
      <c r="D316">
        <f t="shared" si="40"/>
        <v>2040</v>
      </c>
      <c r="E316">
        <f t="shared" si="41"/>
        <v>85.2</v>
      </c>
      <c r="F316">
        <f t="shared" si="42"/>
        <v>85.2</v>
      </c>
      <c r="G316">
        <f t="shared" si="43"/>
        <v>85.2</v>
      </c>
      <c r="H316">
        <f t="shared" si="44"/>
        <v>85.2</v>
      </c>
      <c r="I316">
        <f t="shared" si="45"/>
        <v>85.2</v>
      </c>
      <c r="J316">
        <f t="shared" si="46"/>
        <v>85.2</v>
      </c>
      <c r="K316">
        <f t="shared" si="47"/>
        <v>85.2</v>
      </c>
      <c r="L316">
        <f t="shared" si="48"/>
        <v>85.2</v>
      </c>
      <c r="M316">
        <f t="shared" si="49"/>
        <v>85.2</v>
      </c>
      <c r="Q316" s="4" t="s">
        <v>10</v>
      </c>
      <c r="R316">
        <v>85.2</v>
      </c>
      <c r="S316">
        <v>85.2</v>
      </c>
      <c r="T316">
        <v>85.2</v>
      </c>
      <c r="U316">
        <v>85.2</v>
      </c>
      <c r="V316">
        <v>85.2</v>
      </c>
      <c r="W316">
        <v>85.2</v>
      </c>
      <c r="X316">
        <v>85.2</v>
      </c>
      <c r="Y316">
        <v>85.2</v>
      </c>
      <c r="Z316">
        <v>85.2</v>
      </c>
    </row>
    <row r="317" spans="2:26">
      <c r="B317" t="str">
        <f>IFERROR(VLOOKUP(Q317,unified_reference_costs!$I$41:$J$69,2,FALSE),B316)</f>
        <v>en_battery_4h</v>
      </c>
      <c r="C317" t="str">
        <f>IFERROR(VLOOKUP(Q317,unified_reference_costs!$I$31:$J$40,2,FALSE),"*")</f>
        <v>stg_eff</v>
      </c>
      <c r="D317">
        <f t="shared" si="40"/>
        <v>2040</v>
      </c>
      <c r="E317">
        <f t="shared" si="41"/>
        <v>0.86</v>
      </c>
      <c r="F317">
        <f t="shared" si="42"/>
        <v>0.86</v>
      </c>
      <c r="G317">
        <f t="shared" si="43"/>
        <v>0.86</v>
      </c>
      <c r="H317">
        <f t="shared" si="44"/>
        <v>0.86</v>
      </c>
      <c r="I317">
        <f t="shared" si="45"/>
        <v>0.86</v>
      </c>
      <c r="J317">
        <f t="shared" si="46"/>
        <v>0.86</v>
      </c>
      <c r="K317">
        <f t="shared" si="47"/>
        <v>0.86</v>
      </c>
      <c r="L317">
        <f t="shared" si="48"/>
        <v>0.86</v>
      </c>
      <c r="M317">
        <f t="shared" si="49"/>
        <v>0.86</v>
      </c>
      <c r="Q317" s="4" t="s">
        <v>16</v>
      </c>
      <c r="R317">
        <v>0.86</v>
      </c>
      <c r="S317">
        <v>0.86</v>
      </c>
      <c r="T317">
        <v>0.86</v>
      </c>
      <c r="U317">
        <v>0.86</v>
      </c>
      <c r="V317">
        <v>0.86</v>
      </c>
      <c r="W317">
        <v>0.86</v>
      </c>
      <c r="X317">
        <v>0.86</v>
      </c>
      <c r="Y317">
        <v>0.86</v>
      </c>
      <c r="Z317">
        <v>0.86</v>
      </c>
    </row>
    <row r="318" spans="2:26">
      <c r="B318" t="str">
        <f>IFERROR(VLOOKUP(Q318,unified_reference_costs!$I$41:$J$69,2,FALSE),B317)</f>
        <v>en_battery_4h</v>
      </c>
      <c r="C318" t="str">
        <f>IFERROR(VLOOKUP(Q318,unified_reference_costs!$I$31:$J$40,2,FALSE),"*")</f>
        <v>varom</v>
      </c>
      <c r="D318">
        <f t="shared" si="40"/>
        <v>2040</v>
      </c>
      <c r="E318">
        <f t="shared" si="41"/>
        <v>0.13900000000000001</v>
      </c>
      <c r="F318">
        <f t="shared" si="42"/>
        <v>0.13900000000000001</v>
      </c>
      <c r="G318">
        <f t="shared" si="43"/>
        <v>0.13900000000000001</v>
      </c>
      <c r="H318">
        <f t="shared" si="44"/>
        <v>0.13900000000000001</v>
      </c>
      <c r="I318">
        <f t="shared" si="45"/>
        <v>0.13900000000000001</v>
      </c>
      <c r="J318">
        <f t="shared" si="46"/>
        <v>0.13900000000000001</v>
      </c>
      <c r="K318">
        <f t="shared" si="47"/>
        <v>0.13900000000000001</v>
      </c>
      <c r="L318">
        <f t="shared" si="48"/>
        <v>0.13900000000000001</v>
      </c>
      <c r="M318">
        <f t="shared" si="49"/>
        <v>0.13900000000000001</v>
      </c>
      <c r="Q318" s="4" t="s">
        <v>164</v>
      </c>
      <c r="R318">
        <v>0.13900000000000001</v>
      </c>
      <c r="S318">
        <v>0.13900000000000001</v>
      </c>
      <c r="T318">
        <v>0.13900000000000001</v>
      </c>
      <c r="U318">
        <v>0.13900000000000001</v>
      </c>
      <c r="V318">
        <v>0.13900000000000001</v>
      </c>
      <c r="W318">
        <v>0.13900000000000001</v>
      </c>
      <c r="X318">
        <v>0.13900000000000001</v>
      </c>
      <c r="Y318">
        <v>0.13900000000000001</v>
      </c>
      <c r="Z318">
        <v>0.13900000000000001</v>
      </c>
    </row>
    <row r="319" spans="2:26">
      <c r="B319" t="str">
        <f>IFERROR(VLOOKUP(Q319,unified_reference_costs!$I$41:$J$69,2,FALSE),B318)</f>
        <v>en_battery_8h</v>
      </c>
      <c r="C319" t="str">
        <f>IFERROR(VLOOKUP(Q319,unified_reference_costs!$I$31:$J$40,2,FALSE),"*")</f>
        <v>*</v>
      </c>
      <c r="D319">
        <f t="shared" si="40"/>
        <v>2040</v>
      </c>
      <c r="E319" t="str">
        <f t="shared" si="41"/>
        <v/>
      </c>
      <c r="F319" t="str">
        <f t="shared" si="42"/>
        <v/>
      </c>
      <c r="G319" t="str">
        <f t="shared" si="43"/>
        <v/>
      </c>
      <c r="H319" t="str">
        <f t="shared" si="44"/>
        <v/>
      </c>
      <c r="I319" t="str">
        <f t="shared" si="45"/>
        <v/>
      </c>
      <c r="J319" t="str">
        <f t="shared" si="46"/>
        <v/>
      </c>
      <c r="K319" t="str">
        <f t="shared" si="47"/>
        <v/>
      </c>
      <c r="L319" t="str">
        <f t="shared" si="48"/>
        <v/>
      </c>
      <c r="M319" t="str">
        <f t="shared" si="49"/>
        <v/>
      </c>
      <c r="Q319" s="8" t="s">
        <v>54</v>
      </c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2:26">
      <c r="B320" t="str">
        <f>IFERROR(VLOOKUP(Q320,unified_reference_costs!$I$41:$J$69,2,FALSE),B319)</f>
        <v>en_battery_8h</v>
      </c>
      <c r="C320" t="str">
        <f>IFERROR(VLOOKUP(Q320,unified_reference_costs!$I$31:$J$40,2,FALSE),"*")</f>
        <v>invcost</v>
      </c>
      <c r="D320">
        <f t="shared" si="40"/>
        <v>2040</v>
      </c>
      <c r="E320">
        <f t="shared" si="41"/>
        <v>2077.5</v>
      </c>
      <c r="F320">
        <f t="shared" si="42"/>
        <v>2077.5</v>
      </c>
      <c r="G320">
        <f t="shared" si="43"/>
        <v>2077.5</v>
      </c>
      <c r="H320">
        <f t="shared" si="44"/>
        <v>2077.5</v>
      </c>
      <c r="I320">
        <f t="shared" si="45"/>
        <v>2077.5</v>
      </c>
      <c r="J320">
        <f t="shared" si="46"/>
        <v>2077.5</v>
      </c>
      <c r="K320">
        <f t="shared" si="47"/>
        <v>2077.5</v>
      </c>
      <c r="L320">
        <f t="shared" si="48"/>
        <v>2077.5</v>
      </c>
      <c r="M320">
        <f t="shared" si="49"/>
        <v>2077.5</v>
      </c>
      <c r="Q320" s="4" t="s">
        <v>6</v>
      </c>
      <c r="R320">
        <v>2077.5</v>
      </c>
      <c r="S320">
        <v>2077.5</v>
      </c>
      <c r="T320">
        <v>2077.5</v>
      </c>
      <c r="U320">
        <v>2077.5</v>
      </c>
      <c r="V320">
        <v>2077.5</v>
      </c>
      <c r="W320">
        <v>2077.5</v>
      </c>
      <c r="X320">
        <v>2077.5</v>
      </c>
      <c r="Y320">
        <v>2077.5</v>
      </c>
      <c r="Z320">
        <v>2077.5</v>
      </c>
    </row>
    <row r="321" spans="2:26">
      <c r="B321" t="str">
        <f>IFERROR(VLOOKUP(Q321,unified_reference_costs!$I$41:$J$69,2,FALSE),B320)</f>
        <v>en_battery_8h</v>
      </c>
      <c r="C321" t="str">
        <f>IFERROR(VLOOKUP(Q321,unified_reference_costs!$I$31:$J$40,2,FALSE),"*")</f>
        <v>fixom</v>
      </c>
      <c r="D321">
        <f t="shared" si="40"/>
        <v>2040</v>
      </c>
      <c r="E321">
        <f t="shared" si="41"/>
        <v>151.30000000000001</v>
      </c>
      <c r="F321">
        <f t="shared" si="42"/>
        <v>151.30000000000001</v>
      </c>
      <c r="G321">
        <f t="shared" si="43"/>
        <v>151.30000000000001</v>
      </c>
      <c r="H321">
        <f t="shared" si="44"/>
        <v>151.30000000000001</v>
      </c>
      <c r="I321">
        <f t="shared" si="45"/>
        <v>151.30000000000001</v>
      </c>
      <c r="J321">
        <f t="shared" si="46"/>
        <v>151.30000000000001</v>
      </c>
      <c r="K321">
        <f t="shared" si="47"/>
        <v>151.30000000000001</v>
      </c>
      <c r="L321">
        <f t="shared" si="48"/>
        <v>151.30000000000001</v>
      </c>
      <c r="M321">
        <f t="shared" si="49"/>
        <v>151.30000000000001</v>
      </c>
      <c r="Q321" s="4" t="s">
        <v>10</v>
      </c>
      <c r="R321">
        <v>151.30000000000001</v>
      </c>
      <c r="S321">
        <v>151.30000000000001</v>
      </c>
      <c r="T321">
        <v>151.30000000000001</v>
      </c>
      <c r="U321">
        <v>151.30000000000001</v>
      </c>
      <c r="V321">
        <v>151.30000000000001</v>
      </c>
      <c r="W321">
        <v>151.30000000000001</v>
      </c>
      <c r="X321">
        <v>151.30000000000001</v>
      </c>
      <c r="Y321">
        <v>151.30000000000001</v>
      </c>
      <c r="Z321">
        <v>151.30000000000001</v>
      </c>
    </row>
    <row r="322" spans="2:26">
      <c r="B322" t="str">
        <f>IFERROR(VLOOKUP(Q322,unified_reference_costs!$I$41:$J$69,2,FALSE),B321)</f>
        <v>en_battery_8h</v>
      </c>
      <c r="C322" t="str">
        <f>IFERROR(VLOOKUP(Q322,unified_reference_costs!$I$31:$J$40,2,FALSE),"*")</f>
        <v>stg_eff</v>
      </c>
      <c r="D322">
        <f t="shared" si="40"/>
        <v>2040</v>
      </c>
      <c r="E322">
        <f t="shared" si="41"/>
        <v>0.86</v>
      </c>
      <c r="F322">
        <f t="shared" si="42"/>
        <v>0.86</v>
      </c>
      <c r="G322">
        <f t="shared" si="43"/>
        <v>0.86</v>
      </c>
      <c r="H322">
        <f t="shared" si="44"/>
        <v>0.86</v>
      </c>
      <c r="I322">
        <f t="shared" si="45"/>
        <v>0.86</v>
      </c>
      <c r="J322">
        <f t="shared" si="46"/>
        <v>0.86</v>
      </c>
      <c r="K322">
        <f t="shared" si="47"/>
        <v>0.86</v>
      </c>
      <c r="L322">
        <f t="shared" si="48"/>
        <v>0.86</v>
      </c>
      <c r="M322">
        <f t="shared" si="49"/>
        <v>0.86</v>
      </c>
      <c r="Q322" s="4" t="s">
        <v>16</v>
      </c>
      <c r="R322">
        <v>0.86</v>
      </c>
      <c r="S322">
        <v>0.86</v>
      </c>
      <c r="T322">
        <v>0.86</v>
      </c>
      <c r="U322">
        <v>0.86</v>
      </c>
      <c r="V322">
        <v>0.86</v>
      </c>
      <c r="W322">
        <v>0.86</v>
      </c>
      <c r="X322">
        <v>0.86</v>
      </c>
      <c r="Y322">
        <v>0.86</v>
      </c>
      <c r="Z322">
        <v>0.86</v>
      </c>
    </row>
    <row r="323" spans="2:26">
      <c r="B323" t="str">
        <f>IFERROR(VLOOKUP(Q323,unified_reference_costs!$I$41:$J$69,2,FALSE),B322)</f>
        <v>en_battery_8h</v>
      </c>
      <c r="C323" t="str">
        <f>IFERROR(VLOOKUP(Q323,unified_reference_costs!$I$31:$J$40,2,FALSE),"*")</f>
        <v>varom</v>
      </c>
      <c r="D323">
        <f t="shared" si="40"/>
        <v>2040</v>
      </c>
      <c r="E323">
        <f t="shared" si="41"/>
        <v>0.13900000000000001</v>
      </c>
      <c r="F323">
        <f t="shared" si="42"/>
        <v>0.13900000000000001</v>
      </c>
      <c r="G323">
        <f t="shared" si="43"/>
        <v>0.13900000000000001</v>
      </c>
      <c r="H323">
        <f t="shared" si="44"/>
        <v>0.13900000000000001</v>
      </c>
      <c r="I323">
        <f t="shared" si="45"/>
        <v>0.13900000000000001</v>
      </c>
      <c r="J323">
        <f t="shared" si="46"/>
        <v>0.13900000000000001</v>
      </c>
      <c r="K323">
        <f t="shared" si="47"/>
        <v>0.13900000000000001</v>
      </c>
      <c r="L323">
        <f t="shared" si="48"/>
        <v>0.13900000000000001</v>
      </c>
      <c r="M323">
        <f t="shared" si="49"/>
        <v>0.13900000000000001</v>
      </c>
      <c r="Q323" s="8" t="s">
        <v>164</v>
      </c>
      <c r="R323" s="22">
        <v>0.13900000000000001</v>
      </c>
      <c r="S323" s="22">
        <v>0.13900000000000001</v>
      </c>
      <c r="T323" s="22">
        <v>0.13900000000000001</v>
      </c>
      <c r="U323" s="22">
        <v>0.13900000000000001</v>
      </c>
      <c r="V323" s="22">
        <v>0.13900000000000001</v>
      </c>
      <c r="W323" s="22">
        <v>0.13900000000000001</v>
      </c>
      <c r="X323" s="22">
        <v>0.13900000000000001</v>
      </c>
      <c r="Y323" s="22">
        <v>0.13900000000000001</v>
      </c>
      <c r="Z323" s="22">
        <v>0.13900000000000001</v>
      </c>
    </row>
    <row r="324" spans="2:26">
      <c r="B324" t="str">
        <f>IFERROR(VLOOKUP(Q324,unified_reference_costs!$I$41:$J$69,2,FALSE),B323)</f>
        <v>en_nuclear_smr</v>
      </c>
      <c r="C324" t="str">
        <f>IFERROR(VLOOKUP(Q324,unified_reference_costs!$I$31:$J$40,2,FALSE),"*")</f>
        <v>*</v>
      </c>
      <c r="D324">
        <f t="shared" ref="D324:D366" si="50">IF(ISNUMBER(Q324),Q324,D323)</f>
        <v>2040</v>
      </c>
      <c r="E324" t="str">
        <f t="shared" si="41"/>
        <v/>
      </c>
      <c r="F324" t="str">
        <f t="shared" si="42"/>
        <v/>
      </c>
      <c r="G324" t="str">
        <f t="shared" si="43"/>
        <v/>
      </c>
      <c r="H324" t="str">
        <f t="shared" si="44"/>
        <v/>
      </c>
      <c r="I324" t="str">
        <f t="shared" si="45"/>
        <v/>
      </c>
      <c r="J324" t="str">
        <f t="shared" si="46"/>
        <v/>
      </c>
      <c r="K324" t="str">
        <f t="shared" si="47"/>
        <v/>
      </c>
      <c r="L324" t="str">
        <f t="shared" si="48"/>
        <v/>
      </c>
      <c r="M324" t="str">
        <f t="shared" si="49"/>
        <v/>
      </c>
      <c r="Q324" s="4" t="s">
        <v>55</v>
      </c>
    </row>
    <row r="325" spans="2:26">
      <c r="B325" t="str">
        <f>IFERROR(VLOOKUP(Q325,unified_reference_costs!$I$41:$J$69,2,FALSE),B324)</f>
        <v>en_nuclear_smr</v>
      </c>
      <c r="C325" t="str">
        <f>IFERROR(VLOOKUP(Q325,unified_reference_costs!$I$31:$J$40,2,FALSE),"*")</f>
        <v>invcost</v>
      </c>
      <c r="D325">
        <f t="shared" si="50"/>
        <v>2040</v>
      </c>
      <c r="E325">
        <f t="shared" si="41"/>
        <v>5665.6</v>
      </c>
      <c r="F325">
        <f t="shared" si="42"/>
        <v>5665.6</v>
      </c>
      <c r="G325">
        <f t="shared" si="43"/>
        <v>3541</v>
      </c>
      <c r="H325">
        <f t="shared" si="44"/>
        <v>3965.9</v>
      </c>
      <c r="I325">
        <f t="shared" si="45"/>
        <v>5665.6</v>
      </c>
      <c r="J325">
        <f t="shared" si="46"/>
        <v>5382.3</v>
      </c>
      <c r="K325">
        <f t="shared" si="47"/>
        <v>6373.8</v>
      </c>
      <c r="L325">
        <f t="shared" si="48"/>
        <v>6373.8</v>
      </c>
      <c r="M325">
        <f t="shared" si="49"/>
        <v>4957.3999999999996</v>
      </c>
      <c r="Q325" s="4" t="s">
        <v>6</v>
      </c>
      <c r="R325">
        <v>5665.6</v>
      </c>
      <c r="S325">
        <v>5665.6</v>
      </c>
      <c r="T325">
        <v>3541</v>
      </c>
      <c r="U325">
        <v>3965.9</v>
      </c>
      <c r="V325">
        <v>5665.6</v>
      </c>
      <c r="W325">
        <v>5382.3</v>
      </c>
      <c r="X325">
        <v>6373.8</v>
      </c>
      <c r="Y325">
        <v>6373.8</v>
      </c>
      <c r="Z325">
        <v>4957.3999999999996</v>
      </c>
    </row>
    <row r="326" spans="2:26">
      <c r="B326" t="str">
        <f>IFERROR(VLOOKUP(Q326,unified_reference_costs!$I$41:$J$69,2,FALSE),B325)</f>
        <v>en_nuclear_smr</v>
      </c>
      <c r="C326" t="str">
        <f>IFERROR(VLOOKUP(Q326,unified_reference_costs!$I$31:$J$40,2,FALSE),"*")</f>
        <v>fixom</v>
      </c>
      <c r="D326">
        <f t="shared" si="50"/>
        <v>2040</v>
      </c>
      <c r="E326">
        <f t="shared" ref="E326:E366" si="51">IF(R326="","",R326)</f>
        <v>417.79999999999995</v>
      </c>
      <c r="F326">
        <f t="shared" ref="F326:F366" si="52">IF(S326="","",S326)</f>
        <v>417.79999999999995</v>
      </c>
      <c r="G326">
        <f t="shared" ref="G326:G366" si="53">IF(T326="","",T326)</f>
        <v>261.2</v>
      </c>
      <c r="H326">
        <f t="shared" ref="H326:H366" si="54">IF(U326="","",U326)</f>
        <v>292.39999999999998</v>
      </c>
      <c r="I326">
        <f t="shared" ref="I326:I366" si="55">IF(V326="","",V326)</f>
        <v>417.79999999999995</v>
      </c>
      <c r="J326">
        <f t="shared" ref="J326:J366" si="56">IF(W326="","",W326)</f>
        <v>396.8</v>
      </c>
      <c r="K326">
        <f t="shared" ref="K326:K366" si="57">IF(X326="","",X326)</f>
        <v>470</v>
      </c>
      <c r="L326">
        <f t="shared" ref="L326:L366" si="58">IF(Y326="","",Y326)</f>
        <v>470</v>
      </c>
      <c r="M326">
        <f t="shared" ref="M326:M366" si="59">IF(Z326="","",Z326)</f>
        <v>365.6</v>
      </c>
      <c r="Q326" s="4" t="s">
        <v>10</v>
      </c>
      <c r="R326">
        <v>417.79999999999995</v>
      </c>
      <c r="S326">
        <v>417.79999999999995</v>
      </c>
      <c r="T326">
        <v>261.2</v>
      </c>
      <c r="U326">
        <v>292.39999999999998</v>
      </c>
      <c r="V326">
        <v>417.79999999999995</v>
      </c>
      <c r="W326">
        <v>396.8</v>
      </c>
      <c r="X326">
        <v>470</v>
      </c>
      <c r="Y326">
        <v>470</v>
      </c>
      <c r="Z326">
        <v>365.6</v>
      </c>
    </row>
    <row r="327" spans="2:26">
      <c r="B327" t="str">
        <f>IFERROR(VLOOKUP(Q327,unified_reference_costs!$I$41:$J$69,2,FALSE),B326)</f>
        <v>en_nuclear_smr</v>
      </c>
      <c r="C327" t="str">
        <f>IFERROR(VLOOKUP(Q327,unified_reference_costs!$I$31:$J$40,2,FALSE),"*")</f>
        <v>varom</v>
      </c>
      <c r="D327">
        <f t="shared" si="50"/>
        <v>2040</v>
      </c>
      <c r="E327">
        <f t="shared" si="51"/>
        <v>0.72199999999999998</v>
      </c>
      <c r="F327">
        <f t="shared" si="52"/>
        <v>0.72199999999999998</v>
      </c>
      <c r="G327">
        <f t="shared" si="53"/>
        <v>0.72199999999999998</v>
      </c>
      <c r="H327">
        <f t="shared" si="54"/>
        <v>0.72199999999999998</v>
      </c>
      <c r="I327">
        <f t="shared" si="55"/>
        <v>0.72199999999999998</v>
      </c>
      <c r="J327">
        <f t="shared" si="56"/>
        <v>0.72199999999999998</v>
      </c>
      <c r="K327">
        <f t="shared" si="57"/>
        <v>0.72199999999999998</v>
      </c>
      <c r="L327">
        <f t="shared" si="58"/>
        <v>0.72199999999999998</v>
      </c>
      <c r="M327">
        <f t="shared" si="59"/>
        <v>0.72199999999999998</v>
      </c>
      <c r="Q327" s="8" t="s">
        <v>164</v>
      </c>
      <c r="R327" s="22">
        <v>0.72199999999999998</v>
      </c>
      <c r="S327" s="22">
        <v>0.72199999999999998</v>
      </c>
      <c r="T327" s="22">
        <v>0.72199999999999998</v>
      </c>
      <c r="U327" s="22">
        <v>0.72199999999999998</v>
      </c>
      <c r="V327" s="22">
        <v>0.72199999999999998</v>
      </c>
      <c r="W327" s="22">
        <v>0.72199999999999998</v>
      </c>
      <c r="X327" s="22">
        <v>0.72199999999999998</v>
      </c>
      <c r="Y327" s="22">
        <v>0.72199999999999998</v>
      </c>
      <c r="Z327" s="22">
        <v>0.72199999999999998</v>
      </c>
    </row>
    <row r="328" spans="2:26">
      <c r="B328" t="str">
        <f>IFERROR(VLOOKUP(Q328,unified_reference_costs!$I$41:$J$69,2,FALSE),B327)</f>
        <v>en_nuclear_smr</v>
      </c>
      <c r="C328" t="str">
        <f>IFERROR(VLOOKUP(Q328,unified_reference_costs!$I$31:$J$40,2,FALSE),"*")</f>
        <v>*</v>
      </c>
      <c r="D328">
        <f t="shared" si="50"/>
        <v>2045</v>
      </c>
      <c r="E328" t="str">
        <f t="shared" si="51"/>
        <v/>
      </c>
      <c r="F328" t="str">
        <f t="shared" si="52"/>
        <v/>
      </c>
      <c r="G328" t="str">
        <f t="shared" si="53"/>
        <v/>
      </c>
      <c r="H328" t="str">
        <f t="shared" si="54"/>
        <v/>
      </c>
      <c r="I328" t="str">
        <f t="shared" si="55"/>
        <v/>
      </c>
      <c r="J328" t="str">
        <f t="shared" si="56"/>
        <v/>
      </c>
      <c r="K328" t="str">
        <f t="shared" si="57"/>
        <v/>
      </c>
      <c r="L328" t="str">
        <f t="shared" si="58"/>
        <v/>
      </c>
      <c r="M328" t="str">
        <f t="shared" si="59"/>
        <v/>
      </c>
      <c r="Q328" s="4">
        <v>2045</v>
      </c>
    </row>
    <row r="329" spans="2:26">
      <c r="B329" t="str">
        <f>IFERROR(VLOOKUP(Q329,unified_reference_costs!$I$41:$J$69,2,FALSE),B328)</f>
        <v>en_battery_4h</v>
      </c>
      <c r="C329" t="str">
        <f>IFERROR(VLOOKUP(Q329,unified_reference_costs!$I$31:$J$40,2,FALSE),"*")</f>
        <v>*</v>
      </c>
      <c r="D329">
        <f t="shared" si="50"/>
        <v>2045</v>
      </c>
      <c r="E329" t="str">
        <f t="shared" si="51"/>
        <v/>
      </c>
      <c r="F329" t="str">
        <f t="shared" si="52"/>
        <v/>
      </c>
      <c r="G329" t="str">
        <f t="shared" si="53"/>
        <v/>
      </c>
      <c r="H329" t="str">
        <f t="shared" si="54"/>
        <v/>
      </c>
      <c r="I329" t="str">
        <f t="shared" si="55"/>
        <v/>
      </c>
      <c r="J329" t="str">
        <f t="shared" si="56"/>
        <v/>
      </c>
      <c r="K329" t="str">
        <f t="shared" si="57"/>
        <v/>
      </c>
      <c r="L329" t="str">
        <f t="shared" si="58"/>
        <v/>
      </c>
      <c r="M329" t="str">
        <f t="shared" si="59"/>
        <v/>
      </c>
      <c r="Q329" s="4" t="s">
        <v>53</v>
      </c>
    </row>
    <row r="330" spans="2:26">
      <c r="B330" t="str">
        <f>IFERROR(VLOOKUP(Q330,unified_reference_costs!$I$41:$J$69,2,FALSE),B329)</f>
        <v>en_battery_4h</v>
      </c>
      <c r="C330" t="str">
        <f>IFERROR(VLOOKUP(Q330,unified_reference_costs!$I$31:$J$40,2,FALSE),"*")</f>
        <v>invcost</v>
      </c>
      <c r="D330">
        <f t="shared" si="50"/>
        <v>2045</v>
      </c>
      <c r="E330">
        <f t="shared" si="51"/>
        <v>1139.5999999999999</v>
      </c>
      <c r="F330">
        <f t="shared" si="52"/>
        <v>1139.5999999999999</v>
      </c>
      <c r="G330">
        <f t="shared" si="53"/>
        <v>1139.5999999999999</v>
      </c>
      <c r="H330">
        <f t="shared" si="54"/>
        <v>1139.5999999999999</v>
      </c>
      <c r="I330">
        <f t="shared" si="55"/>
        <v>1139.5999999999999</v>
      </c>
      <c r="J330">
        <f t="shared" si="56"/>
        <v>1139.5999999999999</v>
      </c>
      <c r="K330">
        <f t="shared" si="57"/>
        <v>1139.5999999999999</v>
      </c>
      <c r="L330">
        <f t="shared" si="58"/>
        <v>1139.5999999999999</v>
      </c>
      <c r="M330">
        <f t="shared" si="59"/>
        <v>1139.5999999999999</v>
      </c>
      <c r="Q330" s="4" t="s">
        <v>6</v>
      </c>
      <c r="R330">
        <v>1139.5999999999999</v>
      </c>
      <c r="S330">
        <v>1139.5999999999999</v>
      </c>
      <c r="T330">
        <v>1139.5999999999999</v>
      </c>
      <c r="U330">
        <v>1139.5999999999999</v>
      </c>
      <c r="V330">
        <v>1139.5999999999999</v>
      </c>
      <c r="W330">
        <v>1139.5999999999999</v>
      </c>
      <c r="X330">
        <v>1139.5999999999999</v>
      </c>
      <c r="Y330">
        <v>1139.5999999999999</v>
      </c>
      <c r="Z330">
        <v>1139.5999999999999</v>
      </c>
    </row>
    <row r="331" spans="2:26">
      <c r="B331" t="str">
        <f>IFERROR(VLOOKUP(Q331,unified_reference_costs!$I$41:$J$69,2,FALSE),B330)</f>
        <v>en_battery_4h</v>
      </c>
      <c r="C331" t="str">
        <f>IFERROR(VLOOKUP(Q331,unified_reference_costs!$I$31:$J$40,2,FALSE),"*")</f>
        <v>fixom</v>
      </c>
      <c r="D331">
        <f t="shared" si="50"/>
        <v>2045</v>
      </c>
      <c r="E331">
        <f t="shared" si="51"/>
        <v>79.2</v>
      </c>
      <c r="F331">
        <f t="shared" si="52"/>
        <v>79.2</v>
      </c>
      <c r="G331">
        <f t="shared" si="53"/>
        <v>79.2</v>
      </c>
      <c r="H331">
        <f t="shared" si="54"/>
        <v>79.2</v>
      </c>
      <c r="I331">
        <f t="shared" si="55"/>
        <v>79.2</v>
      </c>
      <c r="J331">
        <f t="shared" si="56"/>
        <v>79.2</v>
      </c>
      <c r="K331">
        <f t="shared" si="57"/>
        <v>79.2</v>
      </c>
      <c r="L331">
        <f t="shared" si="58"/>
        <v>79.2</v>
      </c>
      <c r="M331">
        <f t="shared" si="59"/>
        <v>79.2</v>
      </c>
      <c r="Q331" s="8" t="s">
        <v>10</v>
      </c>
      <c r="R331" s="22">
        <v>79.2</v>
      </c>
      <c r="S331" s="22">
        <v>79.2</v>
      </c>
      <c r="T331" s="22">
        <v>79.2</v>
      </c>
      <c r="U331" s="22">
        <v>79.2</v>
      </c>
      <c r="V331" s="22">
        <v>79.2</v>
      </c>
      <c r="W331" s="22">
        <v>79.2</v>
      </c>
      <c r="X331" s="22">
        <v>79.2</v>
      </c>
      <c r="Y331" s="22">
        <v>79.2</v>
      </c>
      <c r="Z331" s="22">
        <v>79.2</v>
      </c>
    </row>
    <row r="332" spans="2:26">
      <c r="B332" t="str">
        <f>IFERROR(VLOOKUP(Q332,unified_reference_costs!$I$41:$J$69,2,FALSE),B331)</f>
        <v>en_battery_4h</v>
      </c>
      <c r="C332" t="str">
        <f>IFERROR(VLOOKUP(Q332,unified_reference_costs!$I$31:$J$40,2,FALSE),"*")</f>
        <v>stg_eff</v>
      </c>
      <c r="D332">
        <f t="shared" si="50"/>
        <v>2045</v>
      </c>
      <c r="E332">
        <f t="shared" si="51"/>
        <v>0.86</v>
      </c>
      <c r="F332">
        <f t="shared" si="52"/>
        <v>0.86</v>
      </c>
      <c r="G332">
        <f t="shared" si="53"/>
        <v>0.86</v>
      </c>
      <c r="H332">
        <f t="shared" si="54"/>
        <v>0.86</v>
      </c>
      <c r="I332">
        <f t="shared" si="55"/>
        <v>0.86</v>
      </c>
      <c r="J332">
        <f t="shared" si="56"/>
        <v>0.86</v>
      </c>
      <c r="K332">
        <f t="shared" si="57"/>
        <v>0.86</v>
      </c>
      <c r="L332">
        <f t="shared" si="58"/>
        <v>0.86</v>
      </c>
      <c r="M332">
        <f t="shared" si="59"/>
        <v>0.86</v>
      </c>
      <c r="Q332" s="4" t="s">
        <v>16</v>
      </c>
      <c r="R332">
        <v>0.86</v>
      </c>
      <c r="S332">
        <v>0.86</v>
      </c>
      <c r="T332">
        <v>0.86</v>
      </c>
      <c r="U332">
        <v>0.86</v>
      </c>
      <c r="V332">
        <v>0.86</v>
      </c>
      <c r="W332">
        <v>0.86</v>
      </c>
      <c r="X332">
        <v>0.86</v>
      </c>
      <c r="Y332">
        <v>0.86</v>
      </c>
      <c r="Z332">
        <v>0.86</v>
      </c>
    </row>
    <row r="333" spans="2:26">
      <c r="B333" t="str">
        <f>IFERROR(VLOOKUP(Q333,unified_reference_costs!$I$41:$J$69,2,FALSE),B332)</f>
        <v>en_battery_4h</v>
      </c>
      <c r="C333" t="str">
        <f>IFERROR(VLOOKUP(Q333,unified_reference_costs!$I$31:$J$40,2,FALSE),"*")</f>
        <v>varom</v>
      </c>
      <c r="D333">
        <f t="shared" si="50"/>
        <v>2045</v>
      </c>
      <c r="E333">
        <f t="shared" si="51"/>
        <v>0.13900000000000001</v>
      </c>
      <c r="F333">
        <f t="shared" si="52"/>
        <v>0.13900000000000001</v>
      </c>
      <c r="G333">
        <f t="shared" si="53"/>
        <v>0.13900000000000001</v>
      </c>
      <c r="H333">
        <f t="shared" si="54"/>
        <v>0.13900000000000001</v>
      </c>
      <c r="I333">
        <f t="shared" si="55"/>
        <v>0.13900000000000001</v>
      </c>
      <c r="J333">
        <f t="shared" si="56"/>
        <v>0.13900000000000001</v>
      </c>
      <c r="K333">
        <f t="shared" si="57"/>
        <v>0.13900000000000001</v>
      </c>
      <c r="L333">
        <f t="shared" si="58"/>
        <v>0.13900000000000001</v>
      </c>
      <c r="M333">
        <f t="shared" si="59"/>
        <v>0.13900000000000001</v>
      </c>
      <c r="Q333" s="4" t="s">
        <v>164</v>
      </c>
      <c r="R333">
        <v>0.13900000000000001</v>
      </c>
      <c r="S333">
        <v>0.13900000000000001</v>
      </c>
      <c r="T333">
        <v>0.13900000000000001</v>
      </c>
      <c r="U333">
        <v>0.13900000000000001</v>
      </c>
      <c r="V333">
        <v>0.13900000000000001</v>
      </c>
      <c r="W333">
        <v>0.13900000000000001</v>
      </c>
      <c r="X333">
        <v>0.13900000000000001</v>
      </c>
      <c r="Y333">
        <v>0.13900000000000001</v>
      </c>
      <c r="Z333">
        <v>0.13900000000000001</v>
      </c>
    </row>
    <row r="334" spans="2:26">
      <c r="B334" t="str">
        <f>IFERROR(VLOOKUP(Q334,unified_reference_costs!$I$41:$J$69,2,FALSE),B333)</f>
        <v>en_battery_8h</v>
      </c>
      <c r="C334" t="str">
        <f>IFERROR(VLOOKUP(Q334,unified_reference_costs!$I$31:$J$40,2,FALSE),"*")</f>
        <v>*</v>
      </c>
      <c r="D334">
        <f t="shared" si="50"/>
        <v>2045</v>
      </c>
      <c r="E334" t="str">
        <f t="shared" si="51"/>
        <v/>
      </c>
      <c r="F334" t="str">
        <f t="shared" si="52"/>
        <v/>
      </c>
      <c r="G334" t="str">
        <f t="shared" si="53"/>
        <v/>
      </c>
      <c r="H334" t="str">
        <f t="shared" si="54"/>
        <v/>
      </c>
      <c r="I334" t="str">
        <f t="shared" si="55"/>
        <v/>
      </c>
      <c r="J334" t="str">
        <f t="shared" si="56"/>
        <v/>
      </c>
      <c r="K334" t="str">
        <f t="shared" si="57"/>
        <v/>
      </c>
      <c r="L334" t="str">
        <f t="shared" si="58"/>
        <v/>
      </c>
      <c r="M334" t="str">
        <f t="shared" si="59"/>
        <v/>
      </c>
      <c r="Q334" s="8" t="s">
        <v>54</v>
      </c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2:26">
      <c r="B335" t="str">
        <f>IFERROR(VLOOKUP(Q335,unified_reference_costs!$I$41:$J$69,2,FALSE),B334)</f>
        <v>en_battery_8h</v>
      </c>
      <c r="C335" t="str">
        <f>IFERROR(VLOOKUP(Q335,unified_reference_costs!$I$31:$J$40,2,FALSE),"*")</f>
        <v>invcost</v>
      </c>
      <c r="D335">
        <f t="shared" si="50"/>
        <v>2045</v>
      </c>
      <c r="E335">
        <f t="shared" si="51"/>
        <v>1882.2</v>
      </c>
      <c r="F335">
        <f t="shared" si="52"/>
        <v>1882.2</v>
      </c>
      <c r="G335">
        <f t="shared" si="53"/>
        <v>1882.2</v>
      </c>
      <c r="H335">
        <f t="shared" si="54"/>
        <v>1882.2</v>
      </c>
      <c r="I335">
        <f t="shared" si="55"/>
        <v>1882.2</v>
      </c>
      <c r="J335">
        <f t="shared" si="56"/>
        <v>1882.2</v>
      </c>
      <c r="K335">
        <f t="shared" si="57"/>
        <v>1882.2</v>
      </c>
      <c r="L335">
        <f t="shared" si="58"/>
        <v>1882.2</v>
      </c>
      <c r="M335">
        <f t="shared" si="59"/>
        <v>1882.2</v>
      </c>
      <c r="Q335" s="4" t="s">
        <v>6</v>
      </c>
      <c r="R335">
        <v>1882.2</v>
      </c>
      <c r="S335">
        <v>1882.2</v>
      </c>
      <c r="T335">
        <v>1882.2</v>
      </c>
      <c r="U335">
        <v>1882.2</v>
      </c>
      <c r="V335">
        <v>1882.2</v>
      </c>
      <c r="W335">
        <v>1882.2</v>
      </c>
      <c r="X335">
        <v>1882.2</v>
      </c>
      <c r="Y335">
        <v>1882.2</v>
      </c>
      <c r="Z335">
        <v>1882.2</v>
      </c>
    </row>
    <row r="336" spans="2:26">
      <c r="B336" t="str">
        <f>IFERROR(VLOOKUP(Q336,unified_reference_costs!$I$41:$J$69,2,FALSE),B335)</f>
        <v>en_battery_8h</v>
      </c>
      <c r="C336" t="str">
        <f>IFERROR(VLOOKUP(Q336,unified_reference_costs!$I$31:$J$40,2,FALSE),"*")</f>
        <v>fixom</v>
      </c>
      <c r="D336">
        <f t="shared" si="50"/>
        <v>2045</v>
      </c>
      <c r="E336">
        <f t="shared" si="51"/>
        <v>140.4</v>
      </c>
      <c r="F336">
        <f t="shared" si="52"/>
        <v>140.4</v>
      </c>
      <c r="G336">
        <f t="shared" si="53"/>
        <v>140.4</v>
      </c>
      <c r="H336">
        <f t="shared" si="54"/>
        <v>140.4</v>
      </c>
      <c r="I336">
        <f t="shared" si="55"/>
        <v>140.4</v>
      </c>
      <c r="J336">
        <f t="shared" si="56"/>
        <v>140.4</v>
      </c>
      <c r="K336">
        <f t="shared" si="57"/>
        <v>140.4</v>
      </c>
      <c r="L336">
        <f t="shared" si="58"/>
        <v>140.4</v>
      </c>
      <c r="M336">
        <f t="shared" si="59"/>
        <v>140.4</v>
      </c>
      <c r="Q336" s="4" t="s">
        <v>10</v>
      </c>
      <c r="R336">
        <v>140.4</v>
      </c>
      <c r="S336">
        <v>140.4</v>
      </c>
      <c r="T336">
        <v>140.4</v>
      </c>
      <c r="U336">
        <v>140.4</v>
      </c>
      <c r="V336">
        <v>140.4</v>
      </c>
      <c r="W336">
        <v>140.4</v>
      </c>
      <c r="X336">
        <v>140.4</v>
      </c>
      <c r="Y336">
        <v>140.4</v>
      </c>
      <c r="Z336">
        <v>140.4</v>
      </c>
    </row>
    <row r="337" spans="2:26">
      <c r="B337" t="str">
        <f>IFERROR(VLOOKUP(Q337,unified_reference_costs!$I$41:$J$69,2,FALSE),B336)</f>
        <v>en_battery_8h</v>
      </c>
      <c r="C337" t="str">
        <f>IFERROR(VLOOKUP(Q337,unified_reference_costs!$I$31:$J$40,2,FALSE),"*")</f>
        <v>stg_eff</v>
      </c>
      <c r="D337">
        <f t="shared" si="50"/>
        <v>2045</v>
      </c>
      <c r="E337">
        <f t="shared" si="51"/>
        <v>0.86</v>
      </c>
      <c r="F337">
        <f t="shared" si="52"/>
        <v>0.86</v>
      </c>
      <c r="G337">
        <f t="shared" si="53"/>
        <v>0.86</v>
      </c>
      <c r="H337">
        <f t="shared" si="54"/>
        <v>0.86</v>
      </c>
      <c r="I337">
        <f t="shared" si="55"/>
        <v>0.86</v>
      </c>
      <c r="J337">
        <f t="shared" si="56"/>
        <v>0.86</v>
      </c>
      <c r="K337">
        <f t="shared" si="57"/>
        <v>0.86</v>
      </c>
      <c r="L337">
        <f t="shared" si="58"/>
        <v>0.86</v>
      </c>
      <c r="M337">
        <f t="shared" si="59"/>
        <v>0.86</v>
      </c>
      <c r="Q337" s="4" t="s">
        <v>16</v>
      </c>
      <c r="R337">
        <v>0.86</v>
      </c>
      <c r="S337">
        <v>0.86</v>
      </c>
      <c r="T337">
        <v>0.86</v>
      </c>
      <c r="U337">
        <v>0.86</v>
      </c>
      <c r="V337">
        <v>0.86</v>
      </c>
      <c r="W337">
        <v>0.86</v>
      </c>
      <c r="X337">
        <v>0.86</v>
      </c>
      <c r="Y337">
        <v>0.86</v>
      </c>
      <c r="Z337">
        <v>0.86</v>
      </c>
    </row>
    <row r="338" spans="2:26">
      <c r="B338" t="str">
        <f>IFERROR(VLOOKUP(Q338,unified_reference_costs!$I$41:$J$69,2,FALSE),B337)</f>
        <v>en_battery_8h</v>
      </c>
      <c r="C338" t="str">
        <f>IFERROR(VLOOKUP(Q338,unified_reference_costs!$I$31:$J$40,2,FALSE),"*")</f>
        <v>varom</v>
      </c>
      <c r="D338">
        <f t="shared" si="50"/>
        <v>2045</v>
      </c>
      <c r="E338">
        <f t="shared" si="51"/>
        <v>0.13900000000000001</v>
      </c>
      <c r="F338">
        <f t="shared" si="52"/>
        <v>0.13900000000000001</v>
      </c>
      <c r="G338">
        <f t="shared" si="53"/>
        <v>0.13900000000000001</v>
      </c>
      <c r="H338">
        <f t="shared" si="54"/>
        <v>0.13900000000000001</v>
      </c>
      <c r="I338">
        <f t="shared" si="55"/>
        <v>0.13900000000000001</v>
      </c>
      <c r="J338">
        <f t="shared" si="56"/>
        <v>0.13900000000000001</v>
      </c>
      <c r="K338">
        <f t="shared" si="57"/>
        <v>0.13900000000000001</v>
      </c>
      <c r="L338">
        <f t="shared" si="58"/>
        <v>0.13900000000000001</v>
      </c>
      <c r="M338">
        <f t="shared" si="59"/>
        <v>0.13900000000000001</v>
      </c>
      <c r="Q338" s="4" t="s">
        <v>164</v>
      </c>
      <c r="R338">
        <v>0.13900000000000001</v>
      </c>
      <c r="S338">
        <v>0.13900000000000001</v>
      </c>
      <c r="T338">
        <v>0.13900000000000001</v>
      </c>
      <c r="U338">
        <v>0.13900000000000001</v>
      </c>
      <c r="V338">
        <v>0.13900000000000001</v>
      </c>
      <c r="W338">
        <v>0.13900000000000001</v>
      </c>
      <c r="X338">
        <v>0.13900000000000001</v>
      </c>
      <c r="Y338">
        <v>0.13900000000000001</v>
      </c>
      <c r="Z338">
        <v>0.13900000000000001</v>
      </c>
    </row>
    <row r="339" spans="2:26">
      <c r="B339" t="str">
        <f>IFERROR(VLOOKUP(Q339,unified_reference_costs!$I$41:$J$69,2,FALSE),B338)</f>
        <v>en_nuclear_smr</v>
      </c>
      <c r="C339" t="str">
        <f>IFERROR(VLOOKUP(Q339,unified_reference_costs!$I$31:$J$40,2,FALSE),"*")</f>
        <v>*</v>
      </c>
      <c r="D339">
        <f t="shared" si="50"/>
        <v>2045</v>
      </c>
      <c r="E339" t="str">
        <f t="shared" si="51"/>
        <v/>
      </c>
      <c r="F339" t="str">
        <f t="shared" si="52"/>
        <v/>
      </c>
      <c r="G339" t="str">
        <f t="shared" si="53"/>
        <v/>
      </c>
      <c r="H339" t="str">
        <f t="shared" si="54"/>
        <v/>
      </c>
      <c r="I339" t="str">
        <f t="shared" si="55"/>
        <v/>
      </c>
      <c r="J339" t="str">
        <f t="shared" si="56"/>
        <v/>
      </c>
      <c r="K339" t="str">
        <f t="shared" si="57"/>
        <v/>
      </c>
      <c r="L339" t="str">
        <f t="shared" si="58"/>
        <v/>
      </c>
      <c r="M339" t="str">
        <f t="shared" si="59"/>
        <v/>
      </c>
      <c r="Q339" s="8" t="s">
        <v>55</v>
      </c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2:26">
      <c r="B340" t="str">
        <f>IFERROR(VLOOKUP(Q340,unified_reference_costs!$I$41:$J$69,2,FALSE),B339)</f>
        <v>en_nuclear_smr</v>
      </c>
      <c r="C340" t="str">
        <f>IFERROR(VLOOKUP(Q340,unified_reference_costs!$I$31:$J$40,2,FALSE),"*")</f>
        <v>invcost</v>
      </c>
      <c r="D340">
        <f t="shared" si="50"/>
        <v>2045</v>
      </c>
      <c r="E340">
        <f t="shared" si="51"/>
        <v>4871.3</v>
      </c>
      <c r="F340">
        <f t="shared" si="52"/>
        <v>4871.3</v>
      </c>
      <c r="G340">
        <f t="shared" si="53"/>
        <v>3044.6</v>
      </c>
      <c r="H340">
        <f t="shared" si="54"/>
        <v>3409.9</v>
      </c>
      <c r="I340">
        <f t="shared" si="55"/>
        <v>4871.3</v>
      </c>
      <c r="J340">
        <f t="shared" si="56"/>
        <v>4627.7</v>
      </c>
      <c r="K340">
        <f t="shared" si="57"/>
        <v>5480.2</v>
      </c>
      <c r="L340">
        <f t="shared" si="58"/>
        <v>5480.2</v>
      </c>
      <c r="M340">
        <f t="shared" si="59"/>
        <v>4262.3999999999996</v>
      </c>
      <c r="Q340" s="4" t="s">
        <v>6</v>
      </c>
      <c r="R340">
        <v>4871.3</v>
      </c>
      <c r="S340">
        <v>4871.3</v>
      </c>
      <c r="T340">
        <v>3044.6</v>
      </c>
      <c r="U340">
        <v>3409.9</v>
      </c>
      <c r="V340">
        <v>4871.3</v>
      </c>
      <c r="W340">
        <v>4627.7</v>
      </c>
      <c r="X340">
        <v>5480.2</v>
      </c>
      <c r="Y340">
        <v>5480.2</v>
      </c>
      <c r="Z340">
        <v>4262.3999999999996</v>
      </c>
    </row>
    <row r="341" spans="2:26">
      <c r="B341" t="str">
        <f>IFERROR(VLOOKUP(Q341,unified_reference_costs!$I$41:$J$69,2,FALSE),B340)</f>
        <v>en_nuclear_smr</v>
      </c>
      <c r="C341" t="str">
        <f>IFERROR(VLOOKUP(Q341,unified_reference_costs!$I$31:$J$40,2,FALSE),"*")</f>
        <v>fixom</v>
      </c>
      <c r="D341">
        <f t="shared" si="50"/>
        <v>2045</v>
      </c>
      <c r="E341">
        <f t="shared" si="51"/>
        <v>417.79999999999995</v>
      </c>
      <c r="F341">
        <f t="shared" si="52"/>
        <v>417.79999999999995</v>
      </c>
      <c r="G341">
        <f t="shared" si="53"/>
        <v>261.2</v>
      </c>
      <c r="H341">
        <f t="shared" si="54"/>
        <v>292.39999999999998</v>
      </c>
      <c r="I341">
        <f t="shared" si="55"/>
        <v>417.79999999999995</v>
      </c>
      <c r="J341">
        <f t="shared" si="56"/>
        <v>396.8</v>
      </c>
      <c r="K341">
        <f t="shared" si="57"/>
        <v>470</v>
      </c>
      <c r="L341">
        <f t="shared" si="58"/>
        <v>470</v>
      </c>
      <c r="M341">
        <f t="shared" si="59"/>
        <v>365.6</v>
      </c>
      <c r="Q341" s="4" t="s">
        <v>10</v>
      </c>
      <c r="R341">
        <v>417.79999999999995</v>
      </c>
      <c r="S341">
        <v>417.79999999999995</v>
      </c>
      <c r="T341">
        <v>261.2</v>
      </c>
      <c r="U341">
        <v>292.39999999999998</v>
      </c>
      <c r="V341">
        <v>417.79999999999995</v>
      </c>
      <c r="W341">
        <v>396.8</v>
      </c>
      <c r="X341">
        <v>470</v>
      </c>
      <c r="Y341">
        <v>470</v>
      </c>
      <c r="Z341">
        <v>365.6</v>
      </c>
    </row>
    <row r="342" spans="2:26">
      <c r="B342" t="str">
        <f>IFERROR(VLOOKUP(Q342,unified_reference_costs!$I$41:$J$69,2,FALSE),B341)</f>
        <v>en_nuclear_smr</v>
      </c>
      <c r="C342" t="str">
        <f>IFERROR(VLOOKUP(Q342,unified_reference_costs!$I$31:$J$40,2,FALSE),"*")</f>
        <v>varom</v>
      </c>
      <c r="D342">
        <f t="shared" si="50"/>
        <v>2045</v>
      </c>
      <c r="E342">
        <f t="shared" si="51"/>
        <v>0.72199999999999998</v>
      </c>
      <c r="F342">
        <f t="shared" si="52"/>
        <v>0.72199999999999998</v>
      </c>
      <c r="G342">
        <f t="shared" si="53"/>
        <v>0.72199999999999998</v>
      </c>
      <c r="H342">
        <f t="shared" si="54"/>
        <v>0.72199999999999998</v>
      </c>
      <c r="I342">
        <f t="shared" si="55"/>
        <v>0.72199999999999998</v>
      </c>
      <c r="J342">
        <f t="shared" si="56"/>
        <v>0.72199999999999998</v>
      </c>
      <c r="K342">
        <f t="shared" si="57"/>
        <v>0.72199999999999998</v>
      </c>
      <c r="L342">
        <f t="shared" si="58"/>
        <v>0.72199999999999998</v>
      </c>
      <c r="M342">
        <f t="shared" si="59"/>
        <v>0.72199999999999998</v>
      </c>
      <c r="Q342" s="4" t="s">
        <v>164</v>
      </c>
      <c r="R342">
        <v>0.72199999999999998</v>
      </c>
      <c r="S342">
        <v>0.72199999999999998</v>
      </c>
      <c r="T342">
        <v>0.72199999999999998</v>
      </c>
      <c r="U342">
        <v>0.72199999999999998</v>
      </c>
      <c r="V342">
        <v>0.72199999999999998</v>
      </c>
      <c r="W342">
        <v>0.72199999999999998</v>
      </c>
      <c r="X342">
        <v>0.72199999999999998</v>
      </c>
      <c r="Y342">
        <v>0.72199999999999998</v>
      </c>
      <c r="Z342">
        <v>0.72199999999999998</v>
      </c>
    </row>
    <row r="343" spans="2:26">
      <c r="B343" t="str">
        <f>IFERROR(VLOOKUP(Q343,unified_reference_costs!$I$41:$J$69,2,FALSE),B342)</f>
        <v>en_nuclear_smr</v>
      </c>
      <c r="C343" t="str">
        <f>IFERROR(VLOOKUP(Q343,unified_reference_costs!$I$31:$J$40,2,FALSE),"*")</f>
        <v>*</v>
      </c>
      <c r="D343">
        <f t="shared" si="50"/>
        <v>2050</v>
      </c>
      <c r="E343" t="str">
        <f t="shared" si="51"/>
        <v/>
      </c>
      <c r="F343" t="str">
        <f t="shared" si="52"/>
        <v/>
      </c>
      <c r="G343" t="str">
        <f t="shared" si="53"/>
        <v/>
      </c>
      <c r="H343" t="str">
        <f t="shared" si="54"/>
        <v/>
      </c>
      <c r="I343" t="str">
        <f t="shared" si="55"/>
        <v/>
      </c>
      <c r="J343" t="str">
        <f t="shared" si="56"/>
        <v/>
      </c>
      <c r="K343" t="str">
        <f t="shared" si="57"/>
        <v/>
      </c>
      <c r="L343" t="str">
        <f t="shared" si="58"/>
        <v/>
      </c>
      <c r="M343" t="str">
        <f t="shared" si="59"/>
        <v/>
      </c>
      <c r="Q343" s="4">
        <v>2050</v>
      </c>
    </row>
    <row r="344" spans="2:26">
      <c r="B344" t="str">
        <f>IFERROR(VLOOKUP(Q344,unified_reference_costs!$I$41:$J$69,2,FALSE),B343)</f>
        <v>en_gas_ccgt</v>
      </c>
      <c r="C344" t="str">
        <f>IFERROR(VLOOKUP(Q344,unified_reference_costs!$I$31:$J$40,2,FALSE),"*")</f>
        <v>*</v>
      </c>
      <c r="D344">
        <f t="shared" si="50"/>
        <v>2050</v>
      </c>
      <c r="E344" t="str">
        <f t="shared" si="51"/>
        <v/>
      </c>
      <c r="F344" t="str">
        <f t="shared" si="52"/>
        <v/>
      </c>
      <c r="G344" t="str">
        <f t="shared" si="53"/>
        <v/>
      </c>
      <c r="H344" t="str">
        <f t="shared" si="54"/>
        <v/>
      </c>
      <c r="I344" t="str">
        <f t="shared" si="55"/>
        <v/>
      </c>
      <c r="J344" t="str">
        <f t="shared" si="56"/>
        <v/>
      </c>
      <c r="K344" t="str">
        <f t="shared" si="57"/>
        <v/>
      </c>
      <c r="L344" t="str">
        <f t="shared" si="58"/>
        <v/>
      </c>
      <c r="M344" t="str">
        <f t="shared" si="59"/>
        <v/>
      </c>
      <c r="Q344" s="8" t="s">
        <v>29</v>
      </c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2:26">
      <c r="B345" t="str">
        <f>IFERROR(VLOOKUP(Q345,unified_reference_costs!$I$41:$J$69,2,FALSE),B344)</f>
        <v>en_gas_ccgt</v>
      </c>
      <c r="C345" t="str">
        <f>IFERROR(VLOOKUP(Q345,unified_reference_costs!$I$31:$J$40,2,FALSE),"*")</f>
        <v>invcost</v>
      </c>
      <c r="D345">
        <f t="shared" si="50"/>
        <v>2050</v>
      </c>
      <c r="E345">
        <f t="shared" si="51"/>
        <v>700</v>
      </c>
      <c r="F345">
        <f t="shared" si="52"/>
        <v>700</v>
      </c>
      <c r="G345">
        <f t="shared" si="53"/>
        <v>560</v>
      </c>
      <c r="H345">
        <f t="shared" si="54"/>
        <v>700</v>
      </c>
      <c r="I345">
        <f t="shared" si="55"/>
        <v>1100</v>
      </c>
      <c r="J345">
        <f t="shared" si="56"/>
        <v>800</v>
      </c>
      <c r="K345">
        <f t="shared" si="57"/>
        <v>1000</v>
      </c>
      <c r="L345">
        <f t="shared" si="58"/>
        <v>1000</v>
      </c>
      <c r="M345">
        <f t="shared" si="59"/>
        <v>800</v>
      </c>
      <c r="Q345" s="4" t="s">
        <v>6</v>
      </c>
      <c r="R345">
        <v>700</v>
      </c>
      <c r="S345">
        <v>700</v>
      </c>
      <c r="T345">
        <v>560</v>
      </c>
      <c r="U345">
        <v>700</v>
      </c>
      <c r="V345">
        <v>1100</v>
      </c>
      <c r="W345">
        <v>800</v>
      </c>
      <c r="X345">
        <v>1000</v>
      </c>
      <c r="Y345">
        <v>1000</v>
      </c>
      <c r="Z345">
        <v>800</v>
      </c>
    </row>
    <row r="346" spans="2:26">
      <c r="B346" t="str">
        <f>IFERROR(VLOOKUP(Q346,unified_reference_costs!$I$41:$J$69,2,FALSE),B345)</f>
        <v>en_gas_ccgt</v>
      </c>
      <c r="C346" t="str">
        <f>IFERROR(VLOOKUP(Q346,unified_reference_costs!$I$31:$J$40,2,FALSE),"*")</f>
        <v>efficiency</v>
      </c>
      <c r="D346">
        <f t="shared" si="50"/>
        <v>2050</v>
      </c>
      <c r="E346">
        <f t="shared" si="51"/>
        <v>0.59</v>
      </c>
      <c r="F346">
        <f t="shared" si="52"/>
        <v>0.59</v>
      </c>
      <c r="G346">
        <f t="shared" si="53"/>
        <v>0.59</v>
      </c>
      <c r="H346">
        <f t="shared" si="54"/>
        <v>0.57999999999999996</v>
      </c>
      <c r="I346">
        <f t="shared" si="55"/>
        <v>0.61</v>
      </c>
      <c r="J346">
        <f t="shared" si="56"/>
        <v>0.57999999999999996</v>
      </c>
      <c r="K346">
        <f t="shared" si="57"/>
        <v>0.61</v>
      </c>
      <c r="L346">
        <f t="shared" si="58"/>
        <v>0.61</v>
      </c>
      <c r="M346">
        <f t="shared" si="59"/>
        <v>0.57999999999999996</v>
      </c>
      <c r="Q346" s="4" t="s">
        <v>12</v>
      </c>
      <c r="R346">
        <v>0.59</v>
      </c>
      <c r="S346">
        <v>0.59</v>
      </c>
      <c r="T346">
        <v>0.59</v>
      </c>
      <c r="U346">
        <v>0.57999999999999996</v>
      </c>
      <c r="V346">
        <v>0.61</v>
      </c>
      <c r="W346">
        <v>0.57999999999999996</v>
      </c>
      <c r="X346">
        <v>0.61</v>
      </c>
      <c r="Y346">
        <v>0.61</v>
      </c>
      <c r="Z346">
        <v>0.57999999999999996</v>
      </c>
    </row>
    <row r="347" spans="2:26">
      <c r="B347" t="str">
        <f>IFERROR(VLOOKUP(Q347,unified_reference_costs!$I$41:$J$69,2,FALSE),B346)</f>
        <v>en_gas_ccgt</v>
      </c>
      <c r="C347" t="str">
        <f>IFERROR(VLOOKUP(Q347,unified_reference_costs!$I$31:$J$40,2,FALSE),"*")</f>
        <v>fixom</v>
      </c>
      <c r="D347">
        <f t="shared" si="50"/>
        <v>2050</v>
      </c>
      <c r="E347">
        <f t="shared" si="51"/>
        <v>25</v>
      </c>
      <c r="F347">
        <f t="shared" si="52"/>
        <v>25</v>
      </c>
      <c r="G347">
        <f t="shared" si="53"/>
        <v>20</v>
      </c>
      <c r="H347">
        <f t="shared" si="54"/>
        <v>25</v>
      </c>
      <c r="I347">
        <f t="shared" si="55"/>
        <v>30</v>
      </c>
      <c r="J347">
        <f t="shared" si="56"/>
        <v>30</v>
      </c>
      <c r="K347">
        <f t="shared" si="57"/>
        <v>25</v>
      </c>
      <c r="L347">
        <f t="shared" si="58"/>
        <v>25</v>
      </c>
      <c r="M347">
        <f t="shared" si="59"/>
        <v>30</v>
      </c>
      <c r="Q347" s="4" t="s">
        <v>10</v>
      </c>
      <c r="R347">
        <v>25</v>
      </c>
      <c r="S347">
        <v>25</v>
      </c>
      <c r="T347">
        <v>20</v>
      </c>
      <c r="U347">
        <v>25</v>
      </c>
      <c r="V347">
        <v>30</v>
      </c>
      <c r="W347">
        <v>30</v>
      </c>
      <c r="X347">
        <v>25</v>
      </c>
      <c r="Y347">
        <v>25</v>
      </c>
      <c r="Z347">
        <v>30</v>
      </c>
    </row>
    <row r="348" spans="2:26">
      <c r="B348" t="str">
        <f>IFERROR(VLOOKUP(Q348,unified_reference_costs!$I$41:$J$69,2,FALSE),B347)</f>
        <v>en_gas_ccgt</v>
      </c>
      <c r="C348" t="str">
        <f>IFERROR(VLOOKUP(Q348,unified_reference_costs!$I$31:$J$40,2,FALSE),"*")</f>
        <v>varom</v>
      </c>
      <c r="D348">
        <f t="shared" si="50"/>
        <v>2050</v>
      </c>
      <c r="E348">
        <f t="shared" si="51"/>
        <v>0.497</v>
      </c>
      <c r="F348">
        <f t="shared" si="52"/>
        <v>0.497</v>
      </c>
      <c r="G348">
        <f t="shared" si="53"/>
        <v>0.497</v>
      </c>
      <c r="H348">
        <f t="shared" si="54"/>
        <v>0.497</v>
      </c>
      <c r="I348">
        <f t="shared" si="55"/>
        <v>0.497</v>
      </c>
      <c r="J348">
        <f t="shared" si="56"/>
        <v>0.497</v>
      </c>
      <c r="K348">
        <f t="shared" si="57"/>
        <v>0.497</v>
      </c>
      <c r="L348">
        <f t="shared" si="58"/>
        <v>0.497</v>
      </c>
      <c r="M348">
        <f t="shared" si="59"/>
        <v>0.497</v>
      </c>
      <c r="Q348" s="4" t="s">
        <v>164</v>
      </c>
      <c r="R348">
        <v>0.497</v>
      </c>
      <c r="S348">
        <v>0.497</v>
      </c>
      <c r="T348">
        <v>0.497</v>
      </c>
      <c r="U348">
        <v>0.497</v>
      </c>
      <c r="V348">
        <v>0.497</v>
      </c>
      <c r="W348">
        <v>0.497</v>
      </c>
      <c r="X348">
        <v>0.497</v>
      </c>
      <c r="Y348">
        <v>0.497</v>
      </c>
      <c r="Z348">
        <v>0.497</v>
      </c>
    </row>
    <row r="349" spans="2:26">
      <c r="B349" t="str">
        <f>IFERROR(VLOOKUP(Q349,unified_reference_costs!$I$41:$J$69,2,FALSE),B348)</f>
        <v>en_gas_turbine</v>
      </c>
      <c r="C349" t="str">
        <f>IFERROR(VLOOKUP(Q349,unified_reference_costs!$I$31:$J$40,2,FALSE),"*")</f>
        <v>*</v>
      </c>
      <c r="D349">
        <f t="shared" si="50"/>
        <v>2050</v>
      </c>
      <c r="E349" t="str">
        <f t="shared" si="51"/>
        <v/>
      </c>
      <c r="F349" t="str">
        <f t="shared" si="52"/>
        <v/>
      </c>
      <c r="G349" t="str">
        <f t="shared" si="53"/>
        <v/>
      </c>
      <c r="H349" t="str">
        <f t="shared" si="54"/>
        <v/>
      </c>
      <c r="I349" t="str">
        <f t="shared" si="55"/>
        <v/>
      </c>
      <c r="J349" t="str">
        <f t="shared" si="56"/>
        <v/>
      </c>
      <c r="K349" t="str">
        <f t="shared" si="57"/>
        <v/>
      </c>
      <c r="L349" t="str">
        <f t="shared" si="58"/>
        <v/>
      </c>
      <c r="M349" t="str">
        <f t="shared" si="59"/>
        <v/>
      </c>
      <c r="Q349" s="8" t="s">
        <v>30</v>
      </c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2:26">
      <c r="B350" t="str">
        <f>IFERROR(VLOOKUP(Q350,unified_reference_costs!$I$41:$J$69,2,FALSE),B349)</f>
        <v>en_gas_turbine</v>
      </c>
      <c r="C350" t="str">
        <f>IFERROR(VLOOKUP(Q350,unified_reference_costs!$I$31:$J$40,2,FALSE),"*")</f>
        <v>invcost</v>
      </c>
      <c r="D350">
        <f t="shared" si="50"/>
        <v>2050</v>
      </c>
      <c r="E350">
        <f t="shared" si="51"/>
        <v>400</v>
      </c>
      <c r="F350">
        <f t="shared" si="52"/>
        <v>400</v>
      </c>
      <c r="G350">
        <f t="shared" si="53"/>
        <v>350</v>
      </c>
      <c r="H350">
        <f t="shared" si="54"/>
        <v>400</v>
      </c>
      <c r="I350">
        <f t="shared" si="55"/>
        <v>500</v>
      </c>
      <c r="J350">
        <f t="shared" si="56"/>
        <v>450</v>
      </c>
      <c r="K350">
        <f t="shared" si="57"/>
        <v>500</v>
      </c>
      <c r="L350">
        <f t="shared" si="58"/>
        <v>500</v>
      </c>
      <c r="M350">
        <f t="shared" si="59"/>
        <v>450</v>
      </c>
      <c r="Q350" s="4" t="s">
        <v>6</v>
      </c>
      <c r="R350">
        <v>400</v>
      </c>
      <c r="S350">
        <v>400</v>
      </c>
      <c r="T350">
        <v>350</v>
      </c>
      <c r="U350">
        <v>400</v>
      </c>
      <c r="V350">
        <v>500</v>
      </c>
      <c r="W350">
        <v>450</v>
      </c>
      <c r="X350">
        <v>500</v>
      </c>
      <c r="Y350">
        <v>500</v>
      </c>
      <c r="Z350">
        <v>450</v>
      </c>
    </row>
    <row r="351" spans="2:26">
      <c r="B351" t="str">
        <f>IFERROR(VLOOKUP(Q351,unified_reference_costs!$I$41:$J$69,2,FALSE),B350)</f>
        <v>en_gas_turbine</v>
      </c>
      <c r="C351" t="str">
        <f>IFERROR(VLOOKUP(Q351,unified_reference_costs!$I$31:$J$40,2,FALSE),"*")</f>
        <v>efficiency</v>
      </c>
      <c r="D351">
        <f t="shared" si="50"/>
        <v>2050</v>
      </c>
      <c r="E351">
        <f t="shared" si="51"/>
        <v>0.41</v>
      </c>
      <c r="F351">
        <f t="shared" si="52"/>
        <v>0.41</v>
      </c>
      <c r="G351">
        <f t="shared" si="53"/>
        <v>0.41</v>
      </c>
      <c r="H351">
        <f t="shared" si="54"/>
        <v>0.41</v>
      </c>
      <c r="I351">
        <f t="shared" si="55"/>
        <v>0.42</v>
      </c>
      <c r="J351">
        <f t="shared" si="56"/>
        <v>0.41</v>
      </c>
      <c r="K351">
        <f t="shared" si="57"/>
        <v>0.42</v>
      </c>
      <c r="L351">
        <f t="shared" si="58"/>
        <v>0.42</v>
      </c>
      <c r="M351">
        <f t="shared" si="59"/>
        <v>0.41</v>
      </c>
      <c r="Q351" s="4" t="s">
        <v>12</v>
      </c>
      <c r="R351">
        <v>0.41</v>
      </c>
      <c r="S351">
        <v>0.41</v>
      </c>
      <c r="T351">
        <v>0.41</v>
      </c>
      <c r="U351">
        <v>0.41</v>
      </c>
      <c r="V351">
        <v>0.42</v>
      </c>
      <c r="W351">
        <v>0.41</v>
      </c>
      <c r="X351">
        <v>0.42</v>
      </c>
      <c r="Y351">
        <v>0.42</v>
      </c>
      <c r="Z351">
        <v>0.41</v>
      </c>
    </row>
    <row r="352" spans="2:26">
      <c r="B352" t="str">
        <f>IFERROR(VLOOKUP(Q352,unified_reference_costs!$I$41:$J$69,2,FALSE),B351)</f>
        <v>en_gas_turbine</v>
      </c>
      <c r="C352" t="str">
        <f>IFERROR(VLOOKUP(Q352,unified_reference_costs!$I$31:$J$40,2,FALSE),"*")</f>
        <v>fixom</v>
      </c>
      <c r="D352">
        <f t="shared" si="50"/>
        <v>2050</v>
      </c>
      <c r="E352">
        <f t="shared" si="51"/>
        <v>20</v>
      </c>
      <c r="F352">
        <f t="shared" si="52"/>
        <v>20</v>
      </c>
      <c r="G352">
        <f t="shared" si="53"/>
        <v>20</v>
      </c>
      <c r="H352">
        <f t="shared" si="54"/>
        <v>20</v>
      </c>
      <c r="I352">
        <f t="shared" si="55"/>
        <v>20</v>
      </c>
      <c r="J352">
        <f t="shared" si="56"/>
        <v>25</v>
      </c>
      <c r="K352">
        <f t="shared" si="57"/>
        <v>20</v>
      </c>
      <c r="L352">
        <f t="shared" si="58"/>
        <v>20</v>
      </c>
      <c r="M352">
        <f t="shared" si="59"/>
        <v>25</v>
      </c>
      <c r="Q352" s="4" t="s">
        <v>10</v>
      </c>
      <c r="R352">
        <v>20</v>
      </c>
      <c r="S352">
        <v>20</v>
      </c>
      <c r="T352">
        <v>20</v>
      </c>
      <c r="U352">
        <v>20</v>
      </c>
      <c r="V352">
        <v>20</v>
      </c>
      <c r="W352">
        <v>25</v>
      </c>
      <c r="X352">
        <v>20</v>
      </c>
      <c r="Y352">
        <v>20</v>
      </c>
      <c r="Z352">
        <v>25</v>
      </c>
    </row>
    <row r="353" spans="2:26">
      <c r="B353" t="str">
        <f>IFERROR(VLOOKUP(Q353,unified_reference_costs!$I$41:$J$69,2,FALSE),B352)</f>
        <v>en_gas_turbine</v>
      </c>
      <c r="C353" t="str">
        <f>IFERROR(VLOOKUP(Q353,unified_reference_costs!$I$31:$J$40,2,FALSE),"*")</f>
        <v>varom</v>
      </c>
      <c r="D353">
        <f t="shared" si="50"/>
        <v>2050</v>
      </c>
      <c r="E353">
        <f t="shared" si="51"/>
        <v>1.9279999999999999</v>
      </c>
      <c r="F353">
        <f t="shared" si="52"/>
        <v>1.9279999999999999</v>
      </c>
      <c r="G353">
        <f t="shared" si="53"/>
        <v>1.9279999999999999</v>
      </c>
      <c r="H353">
        <f t="shared" si="54"/>
        <v>1.9279999999999999</v>
      </c>
      <c r="I353">
        <f t="shared" si="55"/>
        <v>1.9279999999999999</v>
      </c>
      <c r="J353">
        <f t="shared" si="56"/>
        <v>1.9279999999999999</v>
      </c>
      <c r="K353">
        <f t="shared" si="57"/>
        <v>1.9279999999999999</v>
      </c>
      <c r="L353">
        <f t="shared" si="58"/>
        <v>1.9279999999999999</v>
      </c>
      <c r="M353">
        <f t="shared" si="59"/>
        <v>1.9279999999999999</v>
      </c>
      <c r="Q353" s="4" t="s">
        <v>164</v>
      </c>
      <c r="R353">
        <v>1.9279999999999999</v>
      </c>
      <c r="S353">
        <v>1.9279999999999999</v>
      </c>
      <c r="T353">
        <v>1.9279999999999999</v>
      </c>
      <c r="U353">
        <v>1.9279999999999999</v>
      </c>
      <c r="V353">
        <v>1.9279999999999999</v>
      </c>
      <c r="W353">
        <v>1.9279999999999999</v>
      </c>
      <c r="X353">
        <v>1.9279999999999999</v>
      </c>
      <c r="Y353">
        <v>1.9279999999999999</v>
      </c>
      <c r="Z353">
        <v>1.9279999999999999</v>
      </c>
    </row>
    <row r="354" spans="2:26">
      <c r="B354" t="str">
        <f>IFERROR(VLOOKUP(Q354,unified_reference_costs!$I$41:$J$69,2,FALSE),B353)</f>
        <v>en_gas_chp</v>
      </c>
      <c r="C354" t="str">
        <f>IFERROR(VLOOKUP(Q354,unified_reference_costs!$I$31:$J$40,2,FALSE),"*")</f>
        <v>*</v>
      </c>
      <c r="D354">
        <f t="shared" si="50"/>
        <v>2050</v>
      </c>
      <c r="E354" t="str">
        <f t="shared" si="51"/>
        <v/>
      </c>
      <c r="F354" t="str">
        <f t="shared" si="52"/>
        <v/>
      </c>
      <c r="G354" t="str">
        <f t="shared" si="53"/>
        <v/>
      </c>
      <c r="H354" t="str">
        <f t="shared" si="54"/>
        <v/>
      </c>
      <c r="I354" t="str">
        <f t="shared" si="55"/>
        <v/>
      </c>
      <c r="J354" t="str">
        <f t="shared" si="56"/>
        <v/>
      </c>
      <c r="K354" t="str">
        <f t="shared" si="57"/>
        <v/>
      </c>
      <c r="L354" t="str">
        <f t="shared" si="58"/>
        <v/>
      </c>
      <c r="M354" t="str">
        <f t="shared" si="59"/>
        <v/>
      </c>
      <c r="Q354" s="8" t="s">
        <v>31</v>
      </c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2:26">
      <c r="B355" t="str">
        <f>IFERROR(VLOOKUP(Q355,unified_reference_costs!$I$41:$J$69,2,FALSE),B354)</f>
        <v>en_gas_chp</v>
      </c>
      <c r="C355" t="str">
        <f>IFERROR(VLOOKUP(Q355,unified_reference_costs!$I$31:$J$40,2,FALSE),"*")</f>
        <v>invcost</v>
      </c>
      <c r="D355">
        <f t="shared" si="50"/>
        <v>2050</v>
      </c>
      <c r="E355">
        <f t="shared" si="51"/>
        <v>920</v>
      </c>
      <c r="F355">
        <f t="shared" si="52"/>
        <v>920</v>
      </c>
      <c r="G355">
        <f t="shared" si="53"/>
        <v>720</v>
      </c>
      <c r="H355">
        <f t="shared" si="54"/>
        <v>920</v>
      </c>
      <c r="I355">
        <f t="shared" si="55"/>
        <v>1440</v>
      </c>
      <c r="J355">
        <f t="shared" si="56"/>
        <v>1040</v>
      </c>
      <c r="K355">
        <f t="shared" si="57"/>
        <v>1300</v>
      </c>
      <c r="L355">
        <f t="shared" si="58"/>
        <v>1300</v>
      </c>
      <c r="M355">
        <f t="shared" si="59"/>
        <v>1040</v>
      </c>
      <c r="Q355" s="4" t="s">
        <v>6</v>
      </c>
      <c r="R355">
        <v>920</v>
      </c>
      <c r="S355">
        <v>920</v>
      </c>
      <c r="T355">
        <v>720</v>
      </c>
      <c r="U355">
        <v>920</v>
      </c>
      <c r="V355">
        <v>1440</v>
      </c>
      <c r="W355">
        <v>1040</v>
      </c>
      <c r="X355">
        <v>1300</v>
      </c>
      <c r="Y355">
        <v>1300</v>
      </c>
      <c r="Z355">
        <v>1040</v>
      </c>
    </row>
    <row r="356" spans="2:26">
      <c r="B356" t="str">
        <f>IFERROR(VLOOKUP(Q356,unified_reference_costs!$I$41:$J$69,2,FALSE),B355)</f>
        <v>en_gas_chp</v>
      </c>
      <c r="C356" t="str">
        <f>IFERROR(VLOOKUP(Q356,unified_reference_costs!$I$31:$J$40,2,FALSE),"*")</f>
        <v>efficiency</v>
      </c>
      <c r="D356">
        <f t="shared" si="50"/>
        <v>2050</v>
      </c>
      <c r="E356">
        <f t="shared" si="51"/>
        <v>0.54</v>
      </c>
      <c r="F356">
        <f t="shared" si="52"/>
        <v>0.54</v>
      </c>
      <c r="G356">
        <f t="shared" si="53"/>
        <v>0.53300000000000003</v>
      </c>
      <c r="H356">
        <f t="shared" si="54"/>
        <v>0.52700000000000002</v>
      </c>
      <c r="I356">
        <f t="shared" si="55"/>
        <v>0.54600000000000004</v>
      </c>
      <c r="J356">
        <f t="shared" si="56"/>
        <v>0.53300000000000003</v>
      </c>
      <c r="K356">
        <f t="shared" si="57"/>
        <v>0.54600000000000004</v>
      </c>
      <c r="L356">
        <f t="shared" si="58"/>
        <v>0.54600000000000004</v>
      </c>
      <c r="M356">
        <f t="shared" si="59"/>
        <v>0.53300000000000003</v>
      </c>
      <c r="Q356" s="4" t="s">
        <v>12</v>
      </c>
      <c r="R356">
        <v>0.54</v>
      </c>
      <c r="S356">
        <v>0.54</v>
      </c>
      <c r="T356">
        <v>0.53300000000000003</v>
      </c>
      <c r="U356">
        <v>0.52700000000000002</v>
      </c>
      <c r="V356">
        <v>0.54600000000000004</v>
      </c>
      <c r="W356">
        <v>0.53300000000000003</v>
      </c>
      <c r="X356">
        <v>0.54600000000000004</v>
      </c>
      <c r="Y356">
        <v>0.54600000000000004</v>
      </c>
      <c r="Z356">
        <v>0.53300000000000003</v>
      </c>
    </row>
    <row r="357" spans="2:26">
      <c r="B357" t="str">
        <f>IFERROR(VLOOKUP(Q357,unified_reference_costs!$I$41:$J$69,2,FALSE),B356)</f>
        <v>en_gas_chp</v>
      </c>
      <c r="C357" t="str">
        <f>IFERROR(VLOOKUP(Q357,unified_reference_costs!$I$31:$J$40,2,FALSE),"*")</f>
        <v>fixom</v>
      </c>
      <c r="D357">
        <f t="shared" si="50"/>
        <v>2050</v>
      </c>
      <c r="E357">
        <f t="shared" si="51"/>
        <v>35</v>
      </c>
      <c r="F357">
        <f t="shared" si="52"/>
        <v>35</v>
      </c>
      <c r="G357">
        <f t="shared" si="53"/>
        <v>30</v>
      </c>
      <c r="H357">
        <f t="shared" si="54"/>
        <v>35</v>
      </c>
      <c r="I357">
        <f t="shared" si="55"/>
        <v>45</v>
      </c>
      <c r="J357">
        <f t="shared" si="56"/>
        <v>40</v>
      </c>
      <c r="K357">
        <f t="shared" si="57"/>
        <v>40</v>
      </c>
      <c r="L357">
        <f t="shared" si="58"/>
        <v>40</v>
      </c>
      <c r="M357">
        <f t="shared" si="59"/>
        <v>40</v>
      </c>
      <c r="Q357" s="4" t="s">
        <v>10</v>
      </c>
      <c r="R357">
        <v>35</v>
      </c>
      <c r="S357">
        <v>35</v>
      </c>
      <c r="T357">
        <v>30</v>
      </c>
      <c r="U357">
        <v>35</v>
      </c>
      <c r="V357">
        <v>45</v>
      </c>
      <c r="W357">
        <v>40</v>
      </c>
      <c r="X357">
        <v>40</v>
      </c>
      <c r="Y357">
        <v>40</v>
      </c>
      <c r="Z357">
        <v>40</v>
      </c>
    </row>
    <row r="358" spans="2:26">
      <c r="B358" t="str">
        <f>IFERROR(VLOOKUP(Q358,unified_reference_costs!$I$41:$J$69,2,FALSE),B357)</f>
        <v>en_gas_chp</v>
      </c>
      <c r="C358" t="str">
        <f>IFERROR(VLOOKUP(Q358,unified_reference_costs!$I$31:$J$40,2,FALSE),"*")</f>
        <v>varom</v>
      </c>
      <c r="D358">
        <f t="shared" si="50"/>
        <v>2050</v>
      </c>
      <c r="E358">
        <f t="shared" si="51"/>
        <v>0.69399999999999995</v>
      </c>
      <c r="F358">
        <f t="shared" si="52"/>
        <v>0.69399999999999995</v>
      </c>
      <c r="G358">
        <f t="shared" si="53"/>
        <v>0.69399999999999995</v>
      </c>
      <c r="H358">
        <f t="shared" si="54"/>
        <v>0.69399999999999995</v>
      </c>
      <c r="I358">
        <f t="shared" si="55"/>
        <v>0.69399999999999995</v>
      </c>
      <c r="J358">
        <f t="shared" si="56"/>
        <v>0.69399999999999995</v>
      </c>
      <c r="K358">
        <f t="shared" si="57"/>
        <v>0.69399999999999995</v>
      </c>
      <c r="L358">
        <f t="shared" si="58"/>
        <v>0.69399999999999995</v>
      </c>
      <c r="M358">
        <f t="shared" si="59"/>
        <v>0.69399999999999995</v>
      </c>
      <c r="Q358" s="4" t="s">
        <v>164</v>
      </c>
      <c r="R358">
        <v>0.69399999999999995</v>
      </c>
      <c r="S358">
        <v>0.69399999999999995</v>
      </c>
      <c r="T358">
        <v>0.69399999999999995</v>
      </c>
      <c r="U358">
        <v>0.69399999999999995</v>
      </c>
      <c r="V358">
        <v>0.69399999999999995</v>
      </c>
      <c r="W358">
        <v>0.69399999999999995</v>
      </c>
      <c r="X358">
        <v>0.69399999999999995</v>
      </c>
      <c r="Y358">
        <v>0.69399999999999995</v>
      </c>
      <c r="Z358">
        <v>0.69399999999999995</v>
      </c>
    </row>
    <row r="359" spans="2:26">
      <c r="B359" t="str">
        <f>IFERROR(VLOOKUP(Q359,unified_reference_costs!$I$41:$J$69,2,FALSE),B358)</f>
        <v>\I:</v>
      </c>
      <c r="C359" t="str">
        <f>IFERROR(VLOOKUP(Q359,unified_reference_costs!$I$31:$J$40,2,FALSE),"*")</f>
        <v>*</v>
      </c>
      <c r="D359">
        <f t="shared" si="50"/>
        <v>2050</v>
      </c>
      <c r="E359" t="str">
        <f t="shared" si="51"/>
        <v/>
      </c>
      <c r="F359" t="str">
        <f t="shared" si="52"/>
        <v/>
      </c>
      <c r="G359" t="str">
        <f t="shared" si="53"/>
        <v/>
      </c>
      <c r="H359" t="str">
        <f t="shared" si="54"/>
        <v/>
      </c>
      <c r="I359" t="str">
        <f t="shared" si="55"/>
        <v/>
      </c>
      <c r="J359" t="str">
        <f t="shared" si="56"/>
        <v/>
      </c>
      <c r="K359" t="str">
        <f t="shared" si="57"/>
        <v/>
      </c>
      <c r="L359" t="str">
        <f t="shared" si="58"/>
        <v/>
      </c>
      <c r="M359" t="str">
        <f t="shared" si="59"/>
        <v/>
      </c>
      <c r="Q359" s="8" t="s">
        <v>32</v>
      </c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2:26">
      <c r="B360" t="str">
        <f>IFERROR(VLOOKUP(Q360,unified_reference_costs!$I$41:$J$69,2,FALSE),B359)</f>
        <v>\I:</v>
      </c>
      <c r="C360" t="str">
        <f>IFERROR(VLOOKUP(Q360,unified_reference_costs!$I$31:$J$40,2,FALSE),"*")</f>
        <v>invcost</v>
      </c>
      <c r="D360">
        <f t="shared" si="50"/>
        <v>2050</v>
      </c>
      <c r="E360">
        <f t="shared" si="51"/>
        <v>2500</v>
      </c>
      <c r="F360">
        <f t="shared" si="52"/>
        <v>2500</v>
      </c>
      <c r="G360">
        <f t="shared" si="53"/>
        <v>2500</v>
      </c>
      <c r="H360">
        <f t="shared" si="54"/>
        <v>2500</v>
      </c>
      <c r="I360">
        <f t="shared" si="55"/>
        <v>2500</v>
      </c>
      <c r="J360">
        <f t="shared" si="56"/>
        <v>2500</v>
      </c>
      <c r="K360">
        <f t="shared" si="57"/>
        <v>2500</v>
      </c>
      <c r="L360">
        <f t="shared" si="58"/>
        <v>2500</v>
      </c>
      <c r="M360">
        <f t="shared" si="59"/>
        <v>2500</v>
      </c>
      <c r="Q360" s="4" t="s">
        <v>6</v>
      </c>
      <c r="R360">
        <v>2500</v>
      </c>
      <c r="S360">
        <v>2500</v>
      </c>
      <c r="T360">
        <v>2500</v>
      </c>
      <c r="U360">
        <v>2500</v>
      </c>
      <c r="V360">
        <v>2500</v>
      </c>
      <c r="W360">
        <v>2500</v>
      </c>
      <c r="X360">
        <v>2500</v>
      </c>
      <c r="Y360">
        <v>2500</v>
      </c>
      <c r="Z360">
        <v>2500</v>
      </c>
    </row>
    <row r="361" spans="2:26">
      <c r="B361" t="str">
        <f>IFERROR(VLOOKUP(Q361,unified_reference_costs!$I$41:$J$69,2,FALSE),B360)</f>
        <v>\I:</v>
      </c>
      <c r="C361" t="str">
        <f>IFERROR(VLOOKUP(Q361,unified_reference_costs!$I$31:$J$40,2,FALSE),"*")</f>
        <v>efficiency</v>
      </c>
      <c r="D361">
        <f t="shared" si="50"/>
        <v>2050</v>
      </c>
      <c r="E361">
        <f t="shared" si="51"/>
        <v>0.6</v>
      </c>
      <c r="F361">
        <f t="shared" si="52"/>
        <v>0.6</v>
      </c>
      <c r="G361">
        <f t="shared" si="53"/>
        <v>0.6</v>
      </c>
      <c r="H361">
        <f t="shared" si="54"/>
        <v>0.6</v>
      </c>
      <c r="I361">
        <f t="shared" si="55"/>
        <v>0.6</v>
      </c>
      <c r="J361">
        <f t="shared" si="56"/>
        <v>0.6</v>
      </c>
      <c r="K361">
        <f t="shared" si="57"/>
        <v>0.6</v>
      </c>
      <c r="L361">
        <f t="shared" si="58"/>
        <v>0.6</v>
      </c>
      <c r="M361">
        <f t="shared" si="59"/>
        <v>0.6</v>
      </c>
      <c r="Q361" s="4" t="s">
        <v>12</v>
      </c>
      <c r="R361">
        <v>0.6</v>
      </c>
      <c r="S361">
        <v>0.6</v>
      </c>
      <c r="T361">
        <v>0.6</v>
      </c>
      <c r="U361">
        <v>0.6</v>
      </c>
      <c r="V361">
        <v>0.6</v>
      </c>
      <c r="W361">
        <v>0.6</v>
      </c>
      <c r="X361">
        <v>0.6</v>
      </c>
      <c r="Y361">
        <v>0.6</v>
      </c>
      <c r="Z361">
        <v>0.6</v>
      </c>
    </row>
    <row r="362" spans="2:26">
      <c r="B362" t="str">
        <f>IFERROR(VLOOKUP(Q362,unified_reference_costs!$I$41:$J$69,2,FALSE),B361)</f>
        <v>\I:</v>
      </c>
      <c r="C362" t="str">
        <f>IFERROR(VLOOKUP(Q362,unified_reference_costs!$I$31:$J$40,2,FALSE),"*")</f>
        <v>fixom</v>
      </c>
      <c r="D362">
        <f t="shared" si="50"/>
        <v>2050</v>
      </c>
      <c r="E362">
        <f t="shared" si="51"/>
        <v>75</v>
      </c>
      <c r="F362">
        <f t="shared" si="52"/>
        <v>75</v>
      </c>
      <c r="G362">
        <f t="shared" si="53"/>
        <v>75</v>
      </c>
      <c r="H362">
        <f t="shared" si="54"/>
        <v>75</v>
      </c>
      <c r="I362">
        <f t="shared" si="55"/>
        <v>50</v>
      </c>
      <c r="J362">
        <f t="shared" si="56"/>
        <v>75</v>
      </c>
      <c r="K362">
        <f t="shared" si="57"/>
        <v>50</v>
      </c>
      <c r="L362">
        <f t="shared" si="58"/>
        <v>50</v>
      </c>
      <c r="M362">
        <f t="shared" si="59"/>
        <v>75</v>
      </c>
      <c r="Q362" s="4" t="s">
        <v>10</v>
      </c>
      <c r="R362">
        <v>75</v>
      </c>
      <c r="S362">
        <v>75</v>
      </c>
      <c r="T362">
        <v>75</v>
      </c>
      <c r="U362">
        <v>75</v>
      </c>
      <c r="V362">
        <v>50</v>
      </c>
      <c r="W362">
        <v>75</v>
      </c>
      <c r="X362">
        <v>50</v>
      </c>
      <c r="Y362">
        <v>50</v>
      </c>
      <c r="Z362">
        <v>75</v>
      </c>
    </row>
    <row r="363" spans="2:26">
      <c r="B363" t="str">
        <f>IFERROR(VLOOKUP(Q363,unified_reference_costs!$I$41:$J$69,2,FALSE),B362)</f>
        <v>\I:</v>
      </c>
      <c r="C363" t="str">
        <f>IFERROR(VLOOKUP(Q363,unified_reference_costs!$I$31:$J$40,2,FALSE),"*")</f>
        <v>varom</v>
      </c>
      <c r="D363">
        <f t="shared" si="50"/>
        <v>2050</v>
      </c>
      <c r="E363">
        <f t="shared" si="51"/>
        <v>0.83299999999999996</v>
      </c>
      <c r="F363">
        <f t="shared" si="52"/>
        <v>0.83299999999999996</v>
      </c>
      <c r="G363">
        <f t="shared" si="53"/>
        <v>0.83299999999999996</v>
      </c>
      <c r="H363">
        <f t="shared" si="54"/>
        <v>0.83299999999999996</v>
      </c>
      <c r="I363">
        <f t="shared" si="55"/>
        <v>0.83299999999999996</v>
      </c>
      <c r="J363">
        <f t="shared" si="56"/>
        <v>0.83299999999999996</v>
      </c>
      <c r="K363">
        <f t="shared" si="57"/>
        <v>0.83299999999999996</v>
      </c>
      <c r="L363">
        <f t="shared" si="58"/>
        <v>0.83299999999999996</v>
      </c>
      <c r="M363">
        <f t="shared" si="59"/>
        <v>0.83299999999999996</v>
      </c>
      <c r="Q363" s="4" t="s">
        <v>164</v>
      </c>
      <c r="R363">
        <v>0.83299999999999996</v>
      </c>
      <c r="S363">
        <v>0.83299999999999996</v>
      </c>
      <c r="T363">
        <v>0.83299999999999996</v>
      </c>
      <c r="U363">
        <v>0.83299999999999996</v>
      </c>
      <c r="V363">
        <v>0.83299999999999996</v>
      </c>
      <c r="W363">
        <v>0.83299999999999996</v>
      </c>
      <c r="X363">
        <v>0.83299999999999996</v>
      </c>
      <c r="Y363">
        <v>0.83299999999999996</v>
      </c>
      <c r="Z363">
        <v>0.83299999999999996</v>
      </c>
    </row>
    <row r="364" spans="2:26">
      <c r="B364" t="str">
        <f>IFERROR(VLOOKUP(Q364,unified_reference_costs!$I$41:$J$69,2,FALSE),B363)</f>
        <v>en_coal_subcritical</v>
      </c>
      <c r="C364" t="str">
        <f>IFERROR(VLOOKUP(Q364,unified_reference_costs!$I$31:$J$40,2,FALSE),"*")</f>
        <v>*</v>
      </c>
      <c r="D364">
        <f t="shared" si="50"/>
        <v>2050</v>
      </c>
      <c r="E364" t="str">
        <f t="shared" si="51"/>
        <v/>
      </c>
      <c r="F364" t="str">
        <f t="shared" si="52"/>
        <v/>
      </c>
      <c r="G364" t="str">
        <f t="shared" si="53"/>
        <v/>
      </c>
      <c r="H364" t="str">
        <f t="shared" si="54"/>
        <v/>
      </c>
      <c r="I364" t="str">
        <f t="shared" si="55"/>
        <v/>
      </c>
      <c r="J364" t="str">
        <f t="shared" si="56"/>
        <v/>
      </c>
      <c r="K364" t="str">
        <f t="shared" si="57"/>
        <v/>
      </c>
      <c r="L364" t="str">
        <f t="shared" si="58"/>
        <v/>
      </c>
      <c r="M364" t="str">
        <f t="shared" si="59"/>
        <v/>
      </c>
      <c r="Q364" s="8" t="s">
        <v>33</v>
      </c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2:26">
      <c r="B365" t="str">
        <f>IFERROR(VLOOKUP(Q365,unified_reference_costs!$I$41:$J$69,2,FALSE),B364)</f>
        <v>en_coal_subcritical</v>
      </c>
      <c r="C365" t="str">
        <f>IFERROR(VLOOKUP(Q365,unified_reference_costs!$I$31:$J$40,2,FALSE),"*")</f>
        <v>invcost</v>
      </c>
      <c r="D365">
        <f t="shared" si="50"/>
        <v>2050</v>
      </c>
      <c r="E365">
        <f t="shared" si="51"/>
        <v>1300</v>
      </c>
      <c r="F365">
        <f t="shared" si="52"/>
        <v>1300</v>
      </c>
      <c r="G365">
        <f t="shared" si="53"/>
        <v>600</v>
      </c>
      <c r="H365">
        <f t="shared" si="54"/>
        <v>1000</v>
      </c>
      <c r="I365">
        <f t="shared" si="55"/>
        <v>2100</v>
      </c>
      <c r="J365">
        <f t="shared" si="56"/>
        <v>1700</v>
      </c>
      <c r="K365">
        <f t="shared" si="57"/>
        <v>1700</v>
      </c>
      <c r="L365">
        <f t="shared" si="58"/>
        <v>1800</v>
      </c>
      <c r="M365">
        <f t="shared" si="59"/>
        <v>1300</v>
      </c>
      <c r="Q365" s="4" t="s">
        <v>6</v>
      </c>
      <c r="R365">
        <v>1300</v>
      </c>
      <c r="S365">
        <v>1300</v>
      </c>
      <c r="T365">
        <v>600</v>
      </c>
      <c r="U365">
        <v>1000</v>
      </c>
      <c r="V365">
        <v>2100</v>
      </c>
      <c r="W365">
        <v>1700</v>
      </c>
      <c r="X365">
        <v>1700</v>
      </c>
      <c r="Y365">
        <v>1800</v>
      </c>
      <c r="Z365">
        <v>1300</v>
      </c>
    </row>
    <row r="366" spans="2:26">
      <c r="B366" t="str">
        <f>IFERROR(VLOOKUP(Q366,unified_reference_costs!$I$41:$J$69,2,FALSE),B365)</f>
        <v>en_coal_subcritical</v>
      </c>
      <c r="C366" t="str">
        <f>IFERROR(VLOOKUP(Q366,unified_reference_costs!$I$31:$J$40,2,FALSE),"*")</f>
        <v>efficiency</v>
      </c>
      <c r="D366">
        <f t="shared" si="50"/>
        <v>2050</v>
      </c>
      <c r="E366">
        <f t="shared" si="51"/>
        <v>0.35</v>
      </c>
      <c r="F366">
        <f t="shared" si="52"/>
        <v>0.39</v>
      </c>
      <c r="G366">
        <f t="shared" si="53"/>
        <v>0.37</v>
      </c>
      <c r="H366">
        <f t="shared" si="54"/>
        <v>0.37</v>
      </c>
      <c r="I366">
        <f t="shared" si="55"/>
        <v>0.39</v>
      </c>
      <c r="J366">
        <f t="shared" si="56"/>
        <v>0.39</v>
      </c>
      <c r="K366">
        <f t="shared" si="57"/>
        <v>0.39</v>
      </c>
      <c r="L366">
        <f t="shared" si="58"/>
        <v>0.39</v>
      </c>
      <c r="M366">
        <f t="shared" si="59"/>
        <v>0.37</v>
      </c>
      <c r="Q366" s="4" t="s">
        <v>12</v>
      </c>
      <c r="R366">
        <v>0.35</v>
      </c>
      <c r="S366">
        <v>0.39</v>
      </c>
      <c r="T366">
        <v>0.37</v>
      </c>
      <c r="U366">
        <v>0.37</v>
      </c>
      <c r="V366">
        <v>0.39</v>
      </c>
      <c r="W366">
        <v>0.39</v>
      </c>
      <c r="X366">
        <v>0.39</v>
      </c>
      <c r="Y366">
        <v>0.39</v>
      </c>
      <c r="Z366">
        <v>0.37</v>
      </c>
    </row>
    <row r="367" spans="2:26">
      <c r="B367" t="str">
        <f>IFERROR(VLOOKUP(Q367,unified_reference_costs!$I$41:$J$69,2,FALSE),B366)</f>
        <v>en_coal_subcritical</v>
      </c>
      <c r="C367" t="str">
        <f>IFERROR(VLOOKUP(Q367,unified_reference_costs!$I$31:$J$40,2,FALSE),"*")</f>
        <v>fixom</v>
      </c>
      <c r="D367">
        <f t="shared" ref="D367:D399" si="60">IF(ISNUMBER(Q367),Q367,D366)</f>
        <v>2050</v>
      </c>
      <c r="E367">
        <f t="shared" ref="E367:E400" si="61">IF(R367="","",R367)</f>
        <v>45</v>
      </c>
      <c r="F367">
        <f t="shared" ref="F367:F400" si="62">IF(S367="","",S367)</f>
        <v>45</v>
      </c>
      <c r="G367">
        <f t="shared" ref="G367:G400" si="63">IF(T367="","",T367)</f>
        <v>20</v>
      </c>
      <c r="H367">
        <f t="shared" ref="H367:H400" si="64">IF(U367="","",U367)</f>
        <v>35</v>
      </c>
      <c r="I367">
        <f t="shared" ref="I367:I400" si="65">IF(V367="","",V367)</f>
        <v>55</v>
      </c>
      <c r="J367">
        <f t="shared" ref="J367:J400" si="66">IF(W367="","",W367)</f>
        <v>50</v>
      </c>
      <c r="K367">
        <f t="shared" ref="K367:K400" si="67">IF(X367="","",X367)</f>
        <v>45</v>
      </c>
      <c r="L367">
        <f t="shared" ref="L367:L400" si="68">IF(Y367="","",Y367)</f>
        <v>45</v>
      </c>
      <c r="M367">
        <f t="shared" ref="M367:M400" si="69">IF(Z367="","",Z367)</f>
        <v>45</v>
      </c>
      <c r="Q367" s="4" t="s">
        <v>10</v>
      </c>
      <c r="R367">
        <v>45</v>
      </c>
      <c r="S367">
        <v>45</v>
      </c>
      <c r="T367">
        <v>20</v>
      </c>
      <c r="U367">
        <v>35</v>
      </c>
      <c r="V367">
        <v>55</v>
      </c>
      <c r="W367">
        <v>50</v>
      </c>
      <c r="X367">
        <v>45</v>
      </c>
      <c r="Y367">
        <v>45</v>
      </c>
      <c r="Z367">
        <v>45</v>
      </c>
    </row>
    <row r="368" spans="2:26">
      <c r="B368" t="str">
        <f>IFERROR(VLOOKUP(Q368,unified_reference_costs!$I$41:$J$69,2,FALSE),B367)</f>
        <v>en_coal_subcritical</v>
      </c>
      <c r="C368" t="str">
        <f>IFERROR(VLOOKUP(Q368,unified_reference_costs!$I$31:$J$40,2,FALSE),"*")</f>
        <v>varom</v>
      </c>
      <c r="D368">
        <f t="shared" si="60"/>
        <v>2050</v>
      </c>
      <c r="E368">
        <f t="shared" si="61"/>
        <v>2.3610000000000002</v>
      </c>
      <c r="F368">
        <f t="shared" si="62"/>
        <v>2.3610000000000002</v>
      </c>
      <c r="G368">
        <f t="shared" si="63"/>
        <v>2.3610000000000002</v>
      </c>
      <c r="H368">
        <f t="shared" si="64"/>
        <v>2.3610000000000002</v>
      </c>
      <c r="I368">
        <f t="shared" si="65"/>
        <v>2.3610000000000002</v>
      </c>
      <c r="J368">
        <f t="shared" si="66"/>
        <v>2.3610000000000002</v>
      </c>
      <c r="K368">
        <f t="shared" si="67"/>
        <v>2.3610000000000002</v>
      </c>
      <c r="L368">
        <f t="shared" si="68"/>
        <v>2.3610000000000002</v>
      </c>
      <c r="M368">
        <f t="shared" si="69"/>
        <v>2.3610000000000002</v>
      </c>
      <c r="Q368" s="4" t="s">
        <v>164</v>
      </c>
      <c r="R368">
        <v>2.3610000000000002</v>
      </c>
      <c r="S368">
        <v>2.3610000000000002</v>
      </c>
      <c r="T368">
        <v>2.3610000000000002</v>
      </c>
      <c r="U368">
        <v>2.3610000000000002</v>
      </c>
      <c r="V368">
        <v>2.3610000000000002</v>
      </c>
      <c r="W368">
        <v>2.3610000000000002</v>
      </c>
      <c r="X368">
        <v>2.3610000000000002</v>
      </c>
      <c r="Y368">
        <v>2.3610000000000002</v>
      </c>
      <c r="Z368">
        <v>2.3610000000000002</v>
      </c>
    </row>
    <row r="369" spans="2:26">
      <c r="B369" t="str">
        <f>IFERROR(VLOOKUP(Q369,unified_reference_costs!$I$41:$J$69,2,FALSE),B368)</f>
        <v>en_coal_supercritical</v>
      </c>
      <c r="C369" t="str">
        <f>IFERROR(VLOOKUP(Q369,unified_reference_costs!$I$31:$J$40,2,FALSE),"*")</f>
        <v>*</v>
      </c>
      <c r="D369">
        <f t="shared" si="60"/>
        <v>2050</v>
      </c>
      <c r="E369" t="str">
        <f t="shared" si="61"/>
        <v/>
      </c>
      <c r="F369" t="str">
        <f t="shared" si="62"/>
        <v/>
      </c>
      <c r="G369" t="str">
        <f t="shared" si="63"/>
        <v/>
      </c>
      <c r="H369" t="str">
        <f t="shared" si="64"/>
        <v/>
      </c>
      <c r="I369" t="str">
        <f t="shared" si="65"/>
        <v/>
      </c>
      <c r="J369" t="str">
        <f t="shared" si="66"/>
        <v/>
      </c>
      <c r="K369" t="str">
        <f t="shared" si="67"/>
        <v/>
      </c>
      <c r="L369" t="str">
        <f t="shared" si="68"/>
        <v/>
      </c>
      <c r="M369" t="str">
        <f t="shared" si="69"/>
        <v/>
      </c>
      <c r="Q369" s="8" t="s">
        <v>34</v>
      </c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2:26">
      <c r="B370" t="str">
        <f>IFERROR(VLOOKUP(Q370,unified_reference_costs!$I$41:$J$69,2,FALSE),B369)</f>
        <v>en_coal_supercritical</v>
      </c>
      <c r="C370" t="str">
        <f>IFERROR(VLOOKUP(Q370,unified_reference_costs!$I$31:$J$40,2,FALSE),"*")</f>
        <v>invcost</v>
      </c>
      <c r="D370">
        <f t="shared" si="60"/>
        <v>2050</v>
      </c>
      <c r="E370">
        <f t="shared" si="61"/>
        <v>1600</v>
      </c>
      <c r="F370">
        <f t="shared" si="62"/>
        <v>1600</v>
      </c>
      <c r="G370">
        <f t="shared" si="63"/>
        <v>700</v>
      </c>
      <c r="H370">
        <f t="shared" si="64"/>
        <v>1200</v>
      </c>
      <c r="I370">
        <f t="shared" si="65"/>
        <v>2400</v>
      </c>
      <c r="J370">
        <f t="shared" si="66"/>
        <v>2000</v>
      </c>
      <c r="K370">
        <f t="shared" si="67"/>
        <v>2000</v>
      </c>
      <c r="L370">
        <f t="shared" si="68"/>
        <v>2100</v>
      </c>
      <c r="M370">
        <f t="shared" si="69"/>
        <v>1600</v>
      </c>
      <c r="Q370" s="4" t="s">
        <v>6</v>
      </c>
      <c r="R370">
        <v>1600</v>
      </c>
      <c r="S370">
        <v>1600</v>
      </c>
      <c r="T370">
        <v>700</v>
      </c>
      <c r="U370">
        <v>1200</v>
      </c>
      <c r="V370">
        <v>2400</v>
      </c>
      <c r="W370">
        <v>2000</v>
      </c>
      <c r="X370">
        <v>2000</v>
      </c>
      <c r="Y370">
        <v>2100</v>
      </c>
      <c r="Z370">
        <v>1600</v>
      </c>
    </row>
    <row r="371" spans="2:26">
      <c r="B371" t="str">
        <f>IFERROR(VLOOKUP(Q371,unified_reference_costs!$I$41:$J$69,2,FALSE),B370)</f>
        <v>en_coal_supercritical</v>
      </c>
      <c r="C371" t="str">
        <f>IFERROR(VLOOKUP(Q371,unified_reference_costs!$I$31:$J$40,2,FALSE),"*")</f>
        <v>efficiency</v>
      </c>
      <c r="D371">
        <f t="shared" si="60"/>
        <v>2050</v>
      </c>
      <c r="E371">
        <f t="shared" si="61"/>
        <v>0.39</v>
      </c>
      <c r="F371">
        <f t="shared" si="62"/>
        <v>0.43</v>
      </c>
      <c r="G371">
        <f t="shared" si="63"/>
        <v>0.41</v>
      </c>
      <c r="H371">
        <f t="shared" si="64"/>
        <v>0.4</v>
      </c>
      <c r="I371">
        <f t="shared" si="65"/>
        <v>0.43</v>
      </c>
      <c r="J371">
        <f t="shared" si="66"/>
        <v>0.43</v>
      </c>
      <c r="K371">
        <f t="shared" si="67"/>
        <v>0.43</v>
      </c>
      <c r="L371">
        <f t="shared" si="68"/>
        <v>0.43</v>
      </c>
      <c r="M371">
        <f t="shared" si="69"/>
        <v>0.41</v>
      </c>
      <c r="Q371" s="4" t="s">
        <v>12</v>
      </c>
      <c r="R371">
        <v>0.39</v>
      </c>
      <c r="S371">
        <v>0.43</v>
      </c>
      <c r="T371">
        <v>0.41</v>
      </c>
      <c r="U371">
        <v>0.4</v>
      </c>
      <c r="V371">
        <v>0.43</v>
      </c>
      <c r="W371">
        <v>0.43</v>
      </c>
      <c r="X371">
        <v>0.43</v>
      </c>
      <c r="Y371">
        <v>0.43</v>
      </c>
      <c r="Z371">
        <v>0.41</v>
      </c>
    </row>
    <row r="372" spans="2:26">
      <c r="B372" t="str">
        <f>IFERROR(VLOOKUP(Q372,unified_reference_costs!$I$41:$J$69,2,FALSE),B371)</f>
        <v>en_coal_supercritical</v>
      </c>
      <c r="C372" t="str">
        <f>IFERROR(VLOOKUP(Q372,unified_reference_costs!$I$31:$J$40,2,FALSE),"*")</f>
        <v>fixom</v>
      </c>
      <c r="D372">
        <f t="shared" si="60"/>
        <v>2050</v>
      </c>
      <c r="E372">
        <f t="shared" si="61"/>
        <v>55</v>
      </c>
      <c r="F372">
        <f t="shared" si="62"/>
        <v>65</v>
      </c>
      <c r="G372">
        <f t="shared" si="63"/>
        <v>30</v>
      </c>
      <c r="H372">
        <f t="shared" si="64"/>
        <v>50</v>
      </c>
      <c r="I372">
        <f t="shared" si="65"/>
        <v>70</v>
      </c>
      <c r="J372">
        <f t="shared" si="66"/>
        <v>70</v>
      </c>
      <c r="K372">
        <f t="shared" si="67"/>
        <v>60</v>
      </c>
      <c r="L372">
        <f t="shared" si="68"/>
        <v>65</v>
      </c>
      <c r="M372">
        <f t="shared" si="69"/>
        <v>65</v>
      </c>
      <c r="Q372" s="4" t="s">
        <v>10</v>
      </c>
      <c r="R372">
        <v>55</v>
      </c>
      <c r="S372">
        <v>65</v>
      </c>
      <c r="T372">
        <v>30</v>
      </c>
      <c r="U372">
        <v>50</v>
      </c>
      <c r="V372">
        <v>70</v>
      </c>
      <c r="W372">
        <v>70</v>
      </c>
      <c r="X372">
        <v>60</v>
      </c>
      <c r="Y372">
        <v>65</v>
      </c>
      <c r="Z372">
        <v>65</v>
      </c>
    </row>
    <row r="373" spans="2:26">
      <c r="B373" t="str">
        <f>IFERROR(VLOOKUP(Q373,unified_reference_costs!$I$41:$J$69,2,FALSE),B372)</f>
        <v>en_coal_supercritical</v>
      </c>
      <c r="C373" t="str">
        <f>IFERROR(VLOOKUP(Q373,unified_reference_costs!$I$31:$J$40,2,FALSE),"*")</f>
        <v>varom</v>
      </c>
      <c r="D373">
        <f t="shared" si="60"/>
        <v>2050</v>
      </c>
      <c r="E373">
        <f t="shared" si="61"/>
        <v>2.3170000000000002</v>
      </c>
      <c r="F373">
        <f t="shared" si="62"/>
        <v>2.3170000000000002</v>
      </c>
      <c r="G373">
        <f t="shared" si="63"/>
        <v>2.3170000000000002</v>
      </c>
      <c r="H373">
        <f t="shared" si="64"/>
        <v>2.3170000000000002</v>
      </c>
      <c r="I373">
        <f t="shared" si="65"/>
        <v>2.3170000000000002</v>
      </c>
      <c r="J373">
        <f t="shared" si="66"/>
        <v>2.3170000000000002</v>
      </c>
      <c r="K373">
        <f t="shared" si="67"/>
        <v>2.3170000000000002</v>
      </c>
      <c r="L373">
        <f t="shared" si="68"/>
        <v>2.3170000000000002</v>
      </c>
      <c r="M373">
        <f t="shared" si="69"/>
        <v>2.3170000000000002</v>
      </c>
      <c r="Q373" s="4" t="s">
        <v>164</v>
      </c>
      <c r="R373">
        <v>2.3170000000000002</v>
      </c>
      <c r="S373">
        <v>2.3170000000000002</v>
      </c>
      <c r="T373">
        <v>2.3170000000000002</v>
      </c>
      <c r="U373">
        <v>2.3170000000000002</v>
      </c>
      <c r="V373">
        <v>2.3170000000000002</v>
      </c>
      <c r="W373">
        <v>2.3170000000000002</v>
      </c>
      <c r="X373">
        <v>2.3170000000000002</v>
      </c>
      <c r="Y373">
        <v>2.3170000000000002</v>
      </c>
      <c r="Z373">
        <v>2.3170000000000002</v>
      </c>
    </row>
    <row r="374" spans="2:26">
      <c r="B374" t="str">
        <f>IFERROR(VLOOKUP(Q374,unified_reference_costs!$I$41:$J$69,2,FALSE),B373)</f>
        <v>en_coal_ultrasupercritical</v>
      </c>
      <c r="C374" t="str">
        <f>IFERROR(VLOOKUP(Q374,unified_reference_costs!$I$31:$J$40,2,FALSE),"*")</f>
        <v>*</v>
      </c>
      <c r="D374">
        <f t="shared" si="60"/>
        <v>2050</v>
      </c>
      <c r="E374" t="str">
        <f t="shared" si="61"/>
        <v/>
      </c>
      <c r="F374" t="str">
        <f t="shared" si="62"/>
        <v/>
      </c>
      <c r="G374" t="str">
        <f t="shared" si="63"/>
        <v/>
      </c>
      <c r="H374" t="str">
        <f t="shared" si="64"/>
        <v/>
      </c>
      <c r="I374" t="str">
        <f t="shared" si="65"/>
        <v/>
      </c>
      <c r="J374" t="str">
        <f t="shared" si="66"/>
        <v/>
      </c>
      <c r="K374" t="str">
        <f t="shared" si="67"/>
        <v/>
      </c>
      <c r="L374" t="str">
        <f t="shared" si="68"/>
        <v/>
      </c>
      <c r="M374" t="str">
        <f t="shared" si="69"/>
        <v/>
      </c>
      <c r="Q374" s="8" t="s">
        <v>35</v>
      </c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2:26">
      <c r="B375" t="str">
        <f>IFERROR(VLOOKUP(Q375,unified_reference_costs!$I$41:$J$69,2,FALSE),B374)</f>
        <v>en_coal_ultrasupercritical</v>
      </c>
      <c r="C375" t="str">
        <f>IFERROR(VLOOKUP(Q375,unified_reference_costs!$I$31:$J$40,2,FALSE),"*")</f>
        <v>invcost</v>
      </c>
      <c r="D375">
        <f t="shared" si="60"/>
        <v>2050</v>
      </c>
      <c r="E375">
        <f t="shared" si="61"/>
        <v>1900</v>
      </c>
      <c r="F375">
        <f t="shared" si="62"/>
        <v>1800</v>
      </c>
      <c r="G375">
        <f t="shared" si="63"/>
        <v>800</v>
      </c>
      <c r="H375">
        <f t="shared" si="64"/>
        <v>1400</v>
      </c>
      <c r="I375">
        <f t="shared" si="65"/>
        <v>2600</v>
      </c>
      <c r="J375">
        <f t="shared" si="66"/>
        <v>2200</v>
      </c>
      <c r="K375">
        <f t="shared" si="67"/>
        <v>2200</v>
      </c>
      <c r="L375">
        <f t="shared" si="68"/>
        <v>2300</v>
      </c>
      <c r="M375">
        <f t="shared" si="69"/>
        <v>1600</v>
      </c>
      <c r="Q375" s="4" t="s">
        <v>6</v>
      </c>
      <c r="R375">
        <v>1900</v>
      </c>
      <c r="S375">
        <v>1800</v>
      </c>
      <c r="T375">
        <v>800</v>
      </c>
      <c r="U375">
        <v>1400</v>
      </c>
      <c r="V375">
        <v>2600</v>
      </c>
      <c r="W375">
        <v>2200</v>
      </c>
      <c r="X375">
        <v>2200</v>
      </c>
      <c r="Y375">
        <v>2300</v>
      </c>
      <c r="Z375">
        <v>1600</v>
      </c>
    </row>
    <row r="376" spans="2:26">
      <c r="B376" t="str">
        <f>IFERROR(VLOOKUP(Q376,unified_reference_costs!$I$41:$J$69,2,FALSE),B375)</f>
        <v>en_coal_ultrasupercritical</v>
      </c>
      <c r="C376" t="str">
        <f>IFERROR(VLOOKUP(Q376,unified_reference_costs!$I$31:$J$40,2,FALSE),"*")</f>
        <v>efficiency</v>
      </c>
      <c r="D376">
        <f t="shared" si="60"/>
        <v>2050</v>
      </c>
      <c r="E376">
        <f t="shared" si="61"/>
        <v>0.44</v>
      </c>
      <c r="F376">
        <f t="shared" si="62"/>
        <v>0.47</v>
      </c>
      <c r="G376">
        <f t="shared" si="63"/>
        <v>0.47</v>
      </c>
      <c r="H376">
        <f t="shared" si="64"/>
        <v>0.43</v>
      </c>
      <c r="I376">
        <f t="shared" si="65"/>
        <v>0.47</v>
      </c>
      <c r="J376">
        <f t="shared" si="66"/>
        <v>0.47</v>
      </c>
      <c r="K376">
        <f t="shared" si="67"/>
        <v>0.47</v>
      </c>
      <c r="L376">
        <f t="shared" si="68"/>
        <v>0.47</v>
      </c>
      <c r="M376">
        <f t="shared" si="69"/>
        <v>0.45</v>
      </c>
      <c r="Q376" s="4" t="s">
        <v>12</v>
      </c>
      <c r="R376">
        <v>0.44</v>
      </c>
      <c r="S376">
        <v>0.47</v>
      </c>
      <c r="T376">
        <v>0.47</v>
      </c>
      <c r="U376">
        <v>0.43</v>
      </c>
      <c r="V376">
        <v>0.47</v>
      </c>
      <c r="W376">
        <v>0.47</v>
      </c>
      <c r="X376">
        <v>0.47</v>
      </c>
      <c r="Y376">
        <v>0.47</v>
      </c>
      <c r="Z376">
        <v>0.45</v>
      </c>
    </row>
    <row r="377" spans="2:26">
      <c r="B377" t="str">
        <f>IFERROR(VLOOKUP(Q377,unified_reference_costs!$I$41:$J$69,2,FALSE),B376)</f>
        <v>en_coal_ultrasupercritical</v>
      </c>
      <c r="C377" t="str">
        <f>IFERROR(VLOOKUP(Q377,unified_reference_costs!$I$31:$J$40,2,FALSE),"*")</f>
        <v>fixom</v>
      </c>
      <c r="D377">
        <f t="shared" si="60"/>
        <v>2050</v>
      </c>
      <c r="E377">
        <f t="shared" si="61"/>
        <v>70</v>
      </c>
      <c r="F377">
        <f t="shared" si="62"/>
        <v>70</v>
      </c>
      <c r="G377">
        <f t="shared" si="63"/>
        <v>30</v>
      </c>
      <c r="H377">
        <f t="shared" si="64"/>
        <v>55</v>
      </c>
      <c r="I377">
        <f t="shared" si="65"/>
        <v>80</v>
      </c>
      <c r="J377">
        <f t="shared" si="66"/>
        <v>65</v>
      </c>
      <c r="K377">
        <f t="shared" si="67"/>
        <v>65</v>
      </c>
      <c r="L377">
        <f t="shared" si="68"/>
        <v>70</v>
      </c>
      <c r="M377">
        <f t="shared" si="69"/>
        <v>65</v>
      </c>
      <c r="Q377" s="4" t="s">
        <v>10</v>
      </c>
      <c r="R377">
        <v>70</v>
      </c>
      <c r="S377">
        <v>70</v>
      </c>
      <c r="T377">
        <v>30</v>
      </c>
      <c r="U377">
        <v>55</v>
      </c>
      <c r="V377">
        <v>80</v>
      </c>
      <c r="W377">
        <v>65</v>
      </c>
      <c r="X377">
        <v>65</v>
      </c>
      <c r="Y377">
        <v>70</v>
      </c>
      <c r="Z377">
        <v>65</v>
      </c>
    </row>
    <row r="378" spans="2:26">
      <c r="B378" t="str">
        <f>IFERROR(VLOOKUP(Q378,unified_reference_costs!$I$41:$J$69,2,FALSE),B377)</f>
        <v>en_coal_ultrasupercritical</v>
      </c>
      <c r="C378" t="str">
        <f>IFERROR(VLOOKUP(Q378,unified_reference_costs!$I$31:$J$40,2,FALSE),"*")</f>
        <v>varom</v>
      </c>
      <c r="D378">
        <f t="shared" si="60"/>
        <v>2050</v>
      </c>
      <c r="E378">
        <f t="shared" si="61"/>
        <v>2.6389999999999998</v>
      </c>
      <c r="F378">
        <f t="shared" si="62"/>
        <v>2.6389999999999998</v>
      </c>
      <c r="G378">
        <f t="shared" si="63"/>
        <v>2.6389999999999998</v>
      </c>
      <c r="H378">
        <f t="shared" si="64"/>
        <v>2.6389999999999998</v>
      </c>
      <c r="I378">
        <f t="shared" si="65"/>
        <v>2.6389999999999998</v>
      </c>
      <c r="J378">
        <f t="shared" si="66"/>
        <v>2.6389999999999998</v>
      </c>
      <c r="K378">
        <f t="shared" si="67"/>
        <v>2.6389999999999998</v>
      </c>
      <c r="L378">
        <f t="shared" si="68"/>
        <v>2.6389999999999998</v>
      </c>
      <c r="M378">
        <f t="shared" si="69"/>
        <v>2.6389999999999998</v>
      </c>
      <c r="Q378" s="4" t="s">
        <v>164</v>
      </c>
      <c r="R378">
        <v>2.6389999999999998</v>
      </c>
      <c r="S378">
        <v>2.6389999999999998</v>
      </c>
      <c r="T378">
        <v>2.6389999999999998</v>
      </c>
      <c r="U378">
        <v>2.6389999999999998</v>
      </c>
      <c r="V378">
        <v>2.6389999999999998</v>
      </c>
      <c r="W378">
        <v>2.6389999999999998</v>
      </c>
      <c r="X378">
        <v>2.6389999999999998</v>
      </c>
      <c r="Y378">
        <v>2.6389999999999998</v>
      </c>
      <c r="Z378">
        <v>2.6389999999999998</v>
      </c>
    </row>
    <row r="379" spans="2:26">
      <c r="B379" t="str">
        <f>IFERROR(VLOOKUP(Q379,unified_reference_costs!$I$41:$J$69,2,FALSE),B378)</f>
        <v>en_coal_igcc</v>
      </c>
      <c r="C379" t="str">
        <f>IFERROR(VLOOKUP(Q379,unified_reference_costs!$I$31:$J$40,2,FALSE),"*")</f>
        <v>*</v>
      </c>
      <c r="D379">
        <f t="shared" si="60"/>
        <v>2050</v>
      </c>
      <c r="E379" t="str">
        <f t="shared" si="61"/>
        <v/>
      </c>
      <c r="F379" t="str">
        <f t="shared" si="62"/>
        <v/>
      </c>
      <c r="G379" t="str">
        <f t="shared" si="63"/>
        <v/>
      </c>
      <c r="H379" t="str">
        <f t="shared" si="64"/>
        <v/>
      </c>
      <c r="I379" t="str">
        <f t="shared" si="65"/>
        <v/>
      </c>
      <c r="J379" t="str">
        <f t="shared" si="66"/>
        <v/>
      </c>
      <c r="K379" t="str">
        <f t="shared" si="67"/>
        <v/>
      </c>
      <c r="L379" t="str">
        <f t="shared" si="68"/>
        <v/>
      </c>
      <c r="M379" t="str">
        <f t="shared" si="69"/>
        <v/>
      </c>
      <c r="Q379" s="8" t="s">
        <v>36</v>
      </c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2:26">
      <c r="B380" t="str">
        <f>IFERROR(VLOOKUP(Q380,unified_reference_costs!$I$41:$J$69,2,FALSE),B379)</f>
        <v>en_coal_igcc</v>
      </c>
      <c r="C380" t="str">
        <f>IFERROR(VLOOKUP(Q380,unified_reference_costs!$I$31:$J$40,2,FALSE),"*")</f>
        <v>invcost</v>
      </c>
      <c r="D380">
        <f t="shared" si="60"/>
        <v>2050</v>
      </c>
      <c r="E380">
        <f t="shared" si="61"/>
        <v>2100</v>
      </c>
      <c r="F380">
        <f t="shared" si="62"/>
        <v>1900</v>
      </c>
      <c r="G380">
        <f t="shared" si="63"/>
        <v>900</v>
      </c>
      <c r="H380">
        <f t="shared" si="64"/>
        <v>1500</v>
      </c>
      <c r="I380">
        <f t="shared" si="65"/>
        <v>2700</v>
      </c>
      <c r="J380">
        <f t="shared" si="66"/>
        <v>2300</v>
      </c>
      <c r="K380">
        <f t="shared" si="67"/>
        <v>2300</v>
      </c>
      <c r="L380">
        <f t="shared" si="68"/>
        <v>2400</v>
      </c>
      <c r="M380">
        <f t="shared" si="69"/>
        <v>1900</v>
      </c>
      <c r="Q380" s="4" t="s">
        <v>6</v>
      </c>
      <c r="R380">
        <v>2100</v>
      </c>
      <c r="S380">
        <v>1900</v>
      </c>
      <c r="T380">
        <v>900</v>
      </c>
      <c r="U380">
        <v>1500</v>
      </c>
      <c r="V380">
        <v>2700</v>
      </c>
      <c r="W380">
        <v>2300</v>
      </c>
      <c r="X380">
        <v>2300</v>
      </c>
      <c r="Y380">
        <v>2400</v>
      </c>
      <c r="Z380">
        <v>1900</v>
      </c>
    </row>
    <row r="381" spans="2:26">
      <c r="B381" t="str">
        <f>IFERROR(VLOOKUP(Q381,unified_reference_costs!$I$41:$J$69,2,FALSE),B380)</f>
        <v>en_coal_igcc</v>
      </c>
      <c r="C381" t="str">
        <f>IFERROR(VLOOKUP(Q381,unified_reference_costs!$I$31:$J$40,2,FALSE),"*")</f>
        <v>efficiency</v>
      </c>
      <c r="D381">
        <f t="shared" si="60"/>
        <v>2050</v>
      </c>
      <c r="E381">
        <f t="shared" si="61"/>
        <v>0.45</v>
      </c>
      <c r="F381">
        <f t="shared" si="62"/>
        <v>0.49</v>
      </c>
      <c r="G381">
        <f t="shared" si="63"/>
        <v>0.49</v>
      </c>
      <c r="H381">
        <f t="shared" si="64"/>
        <v>0.47</v>
      </c>
      <c r="I381">
        <f t="shared" si="65"/>
        <v>0.49</v>
      </c>
      <c r="J381">
        <f t="shared" si="66"/>
        <v>0.49</v>
      </c>
      <c r="K381">
        <f t="shared" si="67"/>
        <v>0.49</v>
      </c>
      <c r="L381">
        <f t="shared" si="68"/>
        <v>0.49</v>
      </c>
      <c r="M381">
        <f t="shared" si="69"/>
        <v>0.47</v>
      </c>
      <c r="Q381" s="4" t="s">
        <v>12</v>
      </c>
      <c r="R381">
        <v>0.45</v>
      </c>
      <c r="S381">
        <v>0.49</v>
      </c>
      <c r="T381">
        <v>0.49</v>
      </c>
      <c r="U381">
        <v>0.47</v>
      </c>
      <c r="V381">
        <v>0.49</v>
      </c>
      <c r="W381">
        <v>0.49</v>
      </c>
      <c r="X381">
        <v>0.49</v>
      </c>
      <c r="Y381">
        <v>0.49</v>
      </c>
      <c r="Z381">
        <v>0.47</v>
      </c>
    </row>
    <row r="382" spans="2:26">
      <c r="B382" t="str">
        <f>IFERROR(VLOOKUP(Q382,unified_reference_costs!$I$41:$J$69,2,FALSE),B381)</f>
        <v>en_coal_igcc</v>
      </c>
      <c r="C382" t="str">
        <f>IFERROR(VLOOKUP(Q382,unified_reference_costs!$I$31:$J$40,2,FALSE),"*")</f>
        <v>fixom</v>
      </c>
      <c r="D382">
        <f t="shared" si="60"/>
        <v>2050</v>
      </c>
      <c r="E382">
        <f t="shared" si="61"/>
        <v>85</v>
      </c>
      <c r="F382">
        <f t="shared" si="62"/>
        <v>85</v>
      </c>
      <c r="G382">
        <f t="shared" si="63"/>
        <v>40</v>
      </c>
      <c r="H382">
        <f t="shared" si="64"/>
        <v>70</v>
      </c>
      <c r="I382">
        <f t="shared" si="65"/>
        <v>95</v>
      </c>
      <c r="J382">
        <f t="shared" si="66"/>
        <v>80</v>
      </c>
      <c r="K382">
        <f t="shared" si="67"/>
        <v>80</v>
      </c>
      <c r="L382">
        <f t="shared" si="68"/>
        <v>85</v>
      </c>
      <c r="M382">
        <f t="shared" si="69"/>
        <v>85</v>
      </c>
      <c r="Q382" s="4" t="s">
        <v>10</v>
      </c>
      <c r="R382">
        <v>85</v>
      </c>
      <c r="S382">
        <v>85</v>
      </c>
      <c r="T382">
        <v>40</v>
      </c>
      <c r="U382">
        <v>70</v>
      </c>
      <c r="V382">
        <v>95</v>
      </c>
      <c r="W382">
        <v>80</v>
      </c>
      <c r="X382">
        <v>80</v>
      </c>
      <c r="Y382">
        <v>85</v>
      </c>
      <c r="Z382">
        <v>85</v>
      </c>
    </row>
    <row r="383" spans="2:26">
      <c r="B383" t="str">
        <f>IFERROR(VLOOKUP(Q383,unified_reference_costs!$I$41:$J$69,2,FALSE),B382)</f>
        <v>en_coal_ccs</v>
      </c>
      <c r="C383" t="str">
        <f>IFERROR(VLOOKUP(Q383,unified_reference_costs!$I$31:$J$40,2,FALSE),"*")</f>
        <v>*</v>
      </c>
      <c r="D383">
        <f t="shared" si="60"/>
        <v>2050</v>
      </c>
      <c r="E383" t="str">
        <f t="shared" si="61"/>
        <v/>
      </c>
      <c r="F383" t="str">
        <f t="shared" si="62"/>
        <v/>
      </c>
      <c r="G383" t="str">
        <f t="shared" si="63"/>
        <v/>
      </c>
      <c r="H383" t="str">
        <f t="shared" si="64"/>
        <v/>
      </c>
      <c r="I383" t="str">
        <f t="shared" si="65"/>
        <v/>
      </c>
      <c r="J383" t="str">
        <f t="shared" si="66"/>
        <v/>
      </c>
      <c r="K383" t="str">
        <f t="shared" si="67"/>
        <v/>
      </c>
      <c r="L383" t="str">
        <f t="shared" si="68"/>
        <v/>
      </c>
      <c r="M383" t="str">
        <f t="shared" si="69"/>
        <v/>
      </c>
      <c r="Q383" s="4" t="s">
        <v>37</v>
      </c>
    </row>
    <row r="384" spans="2:26">
      <c r="B384" t="str">
        <f>IFERROR(VLOOKUP(Q384,unified_reference_costs!$I$41:$J$69,2,FALSE),B383)</f>
        <v>en_coal_ccs</v>
      </c>
      <c r="C384" t="str">
        <f>IFERROR(VLOOKUP(Q384,unified_reference_costs!$I$31:$J$40,2,FALSE),"*")</f>
        <v>invcost</v>
      </c>
      <c r="D384">
        <f t="shared" si="60"/>
        <v>2050</v>
      </c>
      <c r="E384">
        <f t="shared" si="61"/>
        <v>3650</v>
      </c>
      <c r="F384">
        <f t="shared" si="62"/>
        <v>3550</v>
      </c>
      <c r="G384">
        <f t="shared" si="63"/>
        <v>2550</v>
      </c>
      <c r="H384">
        <f t="shared" si="64"/>
        <v>3150</v>
      </c>
      <c r="I384">
        <f t="shared" si="65"/>
        <v>4900</v>
      </c>
      <c r="J384">
        <f t="shared" si="66"/>
        <v>4200</v>
      </c>
      <c r="K384">
        <f t="shared" si="67"/>
        <v>4500</v>
      </c>
      <c r="L384">
        <f t="shared" si="68"/>
        <v>4450</v>
      </c>
      <c r="M384">
        <f t="shared" si="69"/>
        <v>3650</v>
      </c>
      <c r="Q384" s="8" t="s">
        <v>6</v>
      </c>
      <c r="R384" s="22">
        <v>3650</v>
      </c>
      <c r="S384" s="22">
        <v>3550</v>
      </c>
      <c r="T384" s="22">
        <v>2550</v>
      </c>
      <c r="U384" s="22">
        <v>3150</v>
      </c>
      <c r="V384" s="22">
        <v>4900</v>
      </c>
      <c r="W384" s="22">
        <v>4200</v>
      </c>
      <c r="X384" s="22">
        <v>4500</v>
      </c>
      <c r="Y384" s="22">
        <v>4450</v>
      </c>
      <c r="Z384" s="22">
        <v>3650</v>
      </c>
    </row>
    <row r="385" spans="2:26">
      <c r="B385" t="str">
        <f>IFERROR(VLOOKUP(Q385,unified_reference_costs!$I$41:$J$69,2,FALSE),B384)</f>
        <v>en_coal_ccs</v>
      </c>
      <c r="C385" t="str">
        <f>IFERROR(VLOOKUP(Q385,unified_reference_costs!$I$31:$J$40,2,FALSE),"*")</f>
        <v>efficiency</v>
      </c>
      <c r="D385">
        <f t="shared" si="60"/>
        <v>2050</v>
      </c>
      <c r="E385">
        <f t="shared" si="61"/>
        <v>0.33</v>
      </c>
      <c r="F385" t="str">
        <f t="shared" si="62"/>
        <v/>
      </c>
      <c r="G385">
        <f t="shared" si="63"/>
        <v>0.36</v>
      </c>
      <c r="H385">
        <f t="shared" si="64"/>
        <v>0.31</v>
      </c>
      <c r="I385">
        <f t="shared" si="65"/>
        <v>0.37</v>
      </c>
      <c r="J385">
        <f t="shared" si="66"/>
        <v>0.37</v>
      </c>
      <c r="K385">
        <f t="shared" si="67"/>
        <v>0.37</v>
      </c>
      <c r="L385">
        <f t="shared" si="68"/>
        <v>0.37</v>
      </c>
      <c r="M385" t="str">
        <f t="shared" si="69"/>
        <v/>
      </c>
      <c r="Q385" s="4" t="s">
        <v>12</v>
      </c>
      <c r="R385">
        <v>0.33</v>
      </c>
      <c r="T385">
        <v>0.36</v>
      </c>
      <c r="U385">
        <v>0.31</v>
      </c>
      <c r="V385">
        <v>0.37</v>
      </c>
      <c r="W385">
        <v>0.37</v>
      </c>
      <c r="X385">
        <v>0.37</v>
      </c>
      <c r="Y385">
        <v>0.37</v>
      </c>
    </row>
    <row r="386" spans="2:26">
      <c r="B386" t="str">
        <f>IFERROR(VLOOKUP(Q386,unified_reference_costs!$I$41:$J$69,2,FALSE),B385)</f>
        <v>en_coal_ccs</v>
      </c>
      <c r="C386" t="str">
        <f>IFERROR(VLOOKUP(Q386,unified_reference_costs!$I$31:$J$40,2,FALSE),"*")</f>
        <v>fixom</v>
      </c>
      <c r="D386">
        <f t="shared" si="60"/>
        <v>2050</v>
      </c>
      <c r="E386">
        <f t="shared" si="61"/>
        <v>140</v>
      </c>
      <c r="F386">
        <f t="shared" si="62"/>
        <v>140</v>
      </c>
      <c r="G386">
        <f t="shared" si="63"/>
        <v>100</v>
      </c>
      <c r="H386">
        <f t="shared" si="64"/>
        <v>125</v>
      </c>
      <c r="I386">
        <f t="shared" si="65"/>
        <v>145</v>
      </c>
      <c r="J386">
        <f t="shared" si="66"/>
        <v>145</v>
      </c>
      <c r="K386">
        <f t="shared" si="67"/>
        <v>135</v>
      </c>
      <c r="L386">
        <f t="shared" si="68"/>
        <v>135</v>
      </c>
      <c r="M386">
        <f t="shared" si="69"/>
        <v>145</v>
      </c>
      <c r="Q386" s="4" t="s">
        <v>10</v>
      </c>
      <c r="R386">
        <v>140</v>
      </c>
      <c r="S386">
        <v>140</v>
      </c>
      <c r="T386">
        <v>100</v>
      </c>
      <c r="U386">
        <v>125</v>
      </c>
      <c r="V386">
        <v>145</v>
      </c>
      <c r="W386">
        <v>145</v>
      </c>
      <c r="X386">
        <v>135</v>
      </c>
      <c r="Y386">
        <v>135</v>
      </c>
      <c r="Z386">
        <v>145</v>
      </c>
    </row>
    <row r="387" spans="2:26">
      <c r="B387" t="str">
        <f>IFERROR(VLOOKUP(Q387,unified_reference_costs!$I$41:$J$69,2,FALSE),B386)</f>
        <v>en_coal_ccs</v>
      </c>
      <c r="C387" t="str">
        <f>IFERROR(VLOOKUP(Q387,unified_reference_costs!$I$31:$J$40,2,FALSE),"*")</f>
        <v>varom</v>
      </c>
      <c r="D387">
        <f t="shared" si="60"/>
        <v>2050</v>
      </c>
      <c r="E387">
        <f t="shared" si="61"/>
        <v>3.7309999999999999</v>
      </c>
      <c r="F387">
        <f t="shared" si="62"/>
        <v>3.7309999999999999</v>
      </c>
      <c r="G387">
        <f t="shared" si="63"/>
        <v>3.7309999999999999</v>
      </c>
      <c r="H387">
        <f t="shared" si="64"/>
        <v>3.7309999999999999</v>
      </c>
      <c r="I387">
        <f t="shared" si="65"/>
        <v>3.7309999999999999</v>
      </c>
      <c r="J387">
        <f t="shared" si="66"/>
        <v>3.7309999999999999</v>
      </c>
      <c r="K387">
        <f t="shared" si="67"/>
        <v>3.7309999999999999</v>
      </c>
      <c r="L387">
        <f t="shared" si="68"/>
        <v>3.7309999999999999</v>
      </c>
      <c r="M387">
        <f t="shared" si="69"/>
        <v>3.7309999999999999</v>
      </c>
      <c r="Q387" s="4" t="s">
        <v>164</v>
      </c>
      <c r="R387">
        <v>3.7309999999999999</v>
      </c>
      <c r="S387">
        <v>3.7309999999999999</v>
      </c>
      <c r="T387">
        <v>3.7309999999999999</v>
      </c>
      <c r="U387">
        <v>3.7309999999999999</v>
      </c>
      <c r="V387">
        <v>3.7309999999999999</v>
      </c>
      <c r="W387">
        <v>3.7309999999999999</v>
      </c>
      <c r="X387">
        <v>3.7309999999999999</v>
      </c>
      <c r="Y387">
        <v>3.7309999999999999</v>
      </c>
      <c r="Z387">
        <v>3.7309999999999999</v>
      </c>
    </row>
    <row r="388" spans="2:26">
      <c r="B388" t="str">
        <f>IFERROR(VLOOKUP(Q388,unified_reference_costs!$I$41:$J$69,2,FALSE),B387)</f>
        <v>\I:</v>
      </c>
      <c r="C388" t="str">
        <f>IFERROR(VLOOKUP(Q388,unified_reference_costs!$I$31:$J$40,2,FALSE),"*")</f>
        <v>*</v>
      </c>
      <c r="D388">
        <f t="shared" si="60"/>
        <v>2050</v>
      </c>
      <c r="E388" t="str">
        <f t="shared" si="61"/>
        <v/>
      </c>
      <c r="F388" t="str">
        <f t="shared" si="62"/>
        <v/>
      </c>
      <c r="G388" t="str">
        <f t="shared" si="63"/>
        <v/>
      </c>
      <c r="H388" t="str">
        <f t="shared" si="64"/>
        <v/>
      </c>
      <c r="I388" t="str">
        <f t="shared" si="65"/>
        <v/>
      </c>
      <c r="J388" t="str">
        <f t="shared" si="66"/>
        <v/>
      </c>
      <c r="K388" t="str">
        <f t="shared" si="67"/>
        <v/>
      </c>
      <c r="L388" t="str">
        <f t="shared" si="68"/>
        <v/>
      </c>
      <c r="M388" t="str">
        <f t="shared" si="69"/>
        <v/>
      </c>
      <c r="Q388" s="4" t="s">
        <v>38</v>
      </c>
    </row>
    <row r="389" spans="2:26">
      <c r="B389" t="str">
        <f>IFERROR(VLOOKUP(Q389,unified_reference_costs!$I$41:$J$69,2,FALSE),B388)</f>
        <v>\I:</v>
      </c>
      <c r="C389" t="str">
        <f>IFERROR(VLOOKUP(Q389,unified_reference_costs!$I$31:$J$40,2,FALSE),"*")</f>
        <v>invcost</v>
      </c>
      <c r="D389">
        <f t="shared" si="60"/>
        <v>2050</v>
      </c>
      <c r="E389">
        <f t="shared" si="61"/>
        <v>4350</v>
      </c>
      <c r="F389">
        <f t="shared" si="62"/>
        <v>4250</v>
      </c>
      <c r="G389">
        <f t="shared" si="63"/>
        <v>3050</v>
      </c>
      <c r="H389">
        <f t="shared" si="64"/>
        <v>3700</v>
      </c>
      <c r="I389">
        <f t="shared" si="65"/>
        <v>5550</v>
      </c>
      <c r="J389">
        <f t="shared" si="66"/>
        <v>4850</v>
      </c>
      <c r="K389">
        <f t="shared" si="67"/>
        <v>5150</v>
      </c>
      <c r="L389">
        <f t="shared" si="68"/>
        <v>5200</v>
      </c>
      <c r="M389">
        <f t="shared" si="69"/>
        <v>3900</v>
      </c>
      <c r="Q389" s="8" t="s">
        <v>6</v>
      </c>
      <c r="R389" s="22">
        <v>4350</v>
      </c>
      <c r="S389" s="22">
        <v>4250</v>
      </c>
      <c r="T389" s="22">
        <v>3050</v>
      </c>
      <c r="U389" s="22">
        <v>3700</v>
      </c>
      <c r="V389" s="22">
        <v>5550</v>
      </c>
      <c r="W389" s="22">
        <v>4850</v>
      </c>
      <c r="X389" s="22">
        <v>5150</v>
      </c>
      <c r="Y389" s="22">
        <v>5200</v>
      </c>
      <c r="Z389" s="22">
        <v>3900</v>
      </c>
    </row>
    <row r="390" spans="2:26">
      <c r="B390" t="str">
        <f>IFERROR(VLOOKUP(Q390,unified_reference_costs!$I$41:$J$69,2,FALSE),B389)</f>
        <v>\I:</v>
      </c>
      <c r="C390" t="str">
        <f>IFERROR(VLOOKUP(Q390,unified_reference_costs!$I$31:$J$40,2,FALSE),"*")</f>
        <v>efficiency</v>
      </c>
      <c r="D390">
        <f t="shared" si="60"/>
        <v>2050</v>
      </c>
      <c r="E390">
        <f t="shared" si="61"/>
        <v>0.33</v>
      </c>
      <c r="F390" t="str">
        <f t="shared" si="62"/>
        <v/>
      </c>
      <c r="G390">
        <f t="shared" si="63"/>
        <v>0.36</v>
      </c>
      <c r="H390">
        <f t="shared" si="64"/>
        <v>0.32</v>
      </c>
      <c r="I390">
        <f t="shared" si="65"/>
        <v>0.37</v>
      </c>
      <c r="J390">
        <f t="shared" si="66"/>
        <v>0.37</v>
      </c>
      <c r="K390">
        <f t="shared" si="67"/>
        <v>0.37</v>
      </c>
      <c r="L390">
        <f t="shared" si="68"/>
        <v>0.37</v>
      </c>
      <c r="M390" t="str">
        <f t="shared" si="69"/>
        <v/>
      </c>
      <c r="Q390" s="4" t="s">
        <v>12</v>
      </c>
      <c r="R390">
        <v>0.33</v>
      </c>
      <c r="T390">
        <v>0.36</v>
      </c>
      <c r="U390">
        <v>0.32</v>
      </c>
      <c r="V390">
        <v>0.37</v>
      </c>
      <c r="W390">
        <v>0.37</v>
      </c>
      <c r="X390">
        <v>0.37</v>
      </c>
      <c r="Y390">
        <v>0.37</v>
      </c>
    </row>
    <row r="391" spans="2:26">
      <c r="B391" t="str">
        <f>IFERROR(VLOOKUP(Q391,unified_reference_costs!$I$41:$J$69,2,FALSE),B390)</f>
        <v>\I:</v>
      </c>
      <c r="C391" t="str">
        <f>IFERROR(VLOOKUP(Q391,unified_reference_costs!$I$31:$J$40,2,FALSE),"*")</f>
        <v>fixom</v>
      </c>
      <c r="D391">
        <f t="shared" si="60"/>
        <v>2050</v>
      </c>
      <c r="E391">
        <f t="shared" si="61"/>
        <v>165</v>
      </c>
      <c r="F391">
        <f t="shared" si="62"/>
        <v>170</v>
      </c>
      <c r="G391">
        <f t="shared" si="63"/>
        <v>120</v>
      </c>
      <c r="H391">
        <f t="shared" si="64"/>
        <v>150</v>
      </c>
      <c r="I391">
        <f t="shared" si="65"/>
        <v>165</v>
      </c>
      <c r="J391">
        <f t="shared" si="66"/>
        <v>145</v>
      </c>
      <c r="K391">
        <f t="shared" si="67"/>
        <v>155</v>
      </c>
      <c r="L391">
        <f t="shared" si="68"/>
        <v>155</v>
      </c>
      <c r="M391">
        <f t="shared" si="69"/>
        <v>155</v>
      </c>
      <c r="Q391" s="4" t="s">
        <v>10</v>
      </c>
      <c r="R391">
        <v>165</v>
      </c>
      <c r="S391">
        <v>170</v>
      </c>
      <c r="T391">
        <v>120</v>
      </c>
      <c r="U391">
        <v>150</v>
      </c>
      <c r="V391">
        <v>165</v>
      </c>
      <c r="W391">
        <v>145</v>
      </c>
      <c r="X391">
        <v>155</v>
      </c>
      <c r="Y391">
        <v>155</v>
      </c>
      <c r="Z391">
        <v>155</v>
      </c>
    </row>
    <row r="392" spans="2:26">
      <c r="B392" t="str">
        <f>IFERROR(VLOOKUP(Q392,unified_reference_costs!$I$41:$J$69,2,FALSE),B391)</f>
        <v>\I:</v>
      </c>
      <c r="C392" t="str">
        <f>IFERROR(VLOOKUP(Q392,unified_reference_costs!$I$31:$J$40,2,FALSE),"*")</f>
        <v>varom</v>
      </c>
      <c r="D392">
        <f t="shared" si="60"/>
        <v>2050</v>
      </c>
      <c r="E392">
        <f t="shared" si="61"/>
        <v>4.306</v>
      </c>
      <c r="F392">
        <f t="shared" si="62"/>
        <v>4.306</v>
      </c>
      <c r="G392">
        <f t="shared" si="63"/>
        <v>4.306</v>
      </c>
      <c r="H392">
        <f t="shared" si="64"/>
        <v>4.306</v>
      </c>
      <c r="I392">
        <f t="shared" si="65"/>
        <v>4.306</v>
      </c>
      <c r="J392">
        <f t="shared" si="66"/>
        <v>4.306</v>
      </c>
      <c r="K392">
        <f t="shared" si="67"/>
        <v>4.306</v>
      </c>
      <c r="L392">
        <f t="shared" si="68"/>
        <v>4.306</v>
      </c>
      <c r="M392">
        <f t="shared" si="69"/>
        <v>4.306</v>
      </c>
      <c r="Q392" s="4" t="s">
        <v>164</v>
      </c>
      <c r="R392">
        <v>4.306</v>
      </c>
      <c r="S392">
        <v>4.306</v>
      </c>
      <c r="T392">
        <v>4.306</v>
      </c>
      <c r="U392">
        <v>4.306</v>
      </c>
      <c r="V392">
        <v>4.306</v>
      </c>
      <c r="W392">
        <v>4.306</v>
      </c>
      <c r="X392">
        <v>4.306</v>
      </c>
      <c r="Y392">
        <v>4.306</v>
      </c>
      <c r="Z392">
        <v>4.306</v>
      </c>
    </row>
    <row r="393" spans="2:26">
      <c r="B393" t="str">
        <f>IFERROR(VLOOKUP(Q393,unified_reference_costs!$I$41:$J$69,2,FALSE),B392)</f>
        <v>en_coal_igcc_ccs</v>
      </c>
      <c r="C393" t="str">
        <f>IFERROR(VLOOKUP(Q393,unified_reference_costs!$I$31:$J$40,2,FALSE),"*")</f>
        <v>*</v>
      </c>
      <c r="D393">
        <f t="shared" si="60"/>
        <v>2050</v>
      </c>
      <c r="E393" t="str">
        <f t="shared" si="61"/>
        <v/>
      </c>
      <c r="F393" t="str">
        <f t="shared" si="62"/>
        <v/>
      </c>
      <c r="G393" t="str">
        <f t="shared" si="63"/>
        <v/>
      </c>
      <c r="H393" t="str">
        <f t="shared" si="64"/>
        <v/>
      </c>
      <c r="I393" t="str">
        <f t="shared" si="65"/>
        <v/>
      </c>
      <c r="J393" t="str">
        <f t="shared" si="66"/>
        <v/>
      </c>
      <c r="K393" t="str">
        <f t="shared" si="67"/>
        <v/>
      </c>
      <c r="L393" t="str">
        <f t="shared" si="68"/>
        <v/>
      </c>
      <c r="M393" t="str">
        <f t="shared" si="69"/>
        <v/>
      </c>
      <c r="Q393" s="8" t="s">
        <v>39</v>
      </c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2:26">
      <c r="B394" t="str">
        <f>IFERROR(VLOOKUP(Q394,unified_reference_costs!$I$41:$J$69,2,FALSE),B393)</f>
        <v>en_coal_igcc_ccs</v>
      </c>
      <c r="C394" t="str">
        <f>IFERROR(VLOOKUP(Q394,unified_reference_costs!$I$31:$J$40,2,FALSE),"*")</f>
        <v>invcost</v>
      </c>
      <c r="D394">
        <f t="shared" si="60"/>
        <v>2050</v>
      </c>
      <c r="E394">
        <f t="shared" si="61"/>
        <v>4250</v>
      </c>
      <c r="F394">
        <f t="shared" si="62"/>
        <v>4000</v>
      </c>
      <c r="G394">
        <f t="shared" si="63"/>
        <v>3000</v>
      </c>
      <c r="H394">
        <f t="shared" si="64"/>
        <v>3550</v>
      </c>
      <c r="I394">
        <f t="shared" si="65"/>
        <v>5550</v>
      </c>
      <c r="J394">
        <f t="shared" si="66"/>
        <v>4800</v>
      </c>
      <c r="K394">
        <f t="shared" si="67"/>
        <v>5150</v>
      </c>
      <c r="L394">
        <f t="shared" si="68"/>
        <v>5150</v>
      </c>
      <c r="M394">
        <f t="shared" si="69"/>
        <v>4450</v>
      </c>
      <c r="Q394" s="4" t="s">
        <v>6</v>
      </c>
      <c r="R394">
        <v>4250</v>
      </c>
      <c r="S394">
        <v>4000</v>
      </c>
      <c r="T394">
        <v>3000</v>
      </c>
      <c r="U394">
        <v>3550</v>
      </c>
      <c r="V394">
        <v>5550</v>
      </c>
      <c r="W394">
        <v>4800</v>
      </c>
      <c r="X394">
        <v>5150</v>
      </c>
      <c r="Y394">
        <v>5150</v>
      </c>
      <c r="Z394">
        <v>4450</v>
      </c>
    </row>
    <row r="395" spans="2:26">
      <c r="B395" t="str">
        <f>IFERROR(VLOOKUP(Q395,unified_reference_costs!$I$41:$J$69,2,FALSE),B394)</f>
        <v>en_coal_igcc_ccs</v>
      </c>
      <c r="C395" t="str">
        <f>IFERROR(VLOOKUP(Q395,unified_reference_costs!$I$31:$J$40,2,FALSE),"*")</f>
        <v>efficiency</v>
      </c>
      <c r="D395">
        <f t="shared" si="60"/>
        <v>2050</v>
      </c>
      <c r="E395">
        <f t="shared" si="61"/>
        <v>0.35</v>
      </c>
      <c r="F395" t="str">
        <f t="shared" si="62"/>
        <v/>
      </c>
      <c r="G395">
        <f t="shared" si="63"/>
        <v>0.38</v>
      </c>
      <c r="H395">
        <f t="shared" si="64"/>
        <v>0.36</v>
      </c>
      <c r="I395">
        <f t="shared" si="65"/>
        <v>0.39</v>
      </c>
      <c r="J395">
        <f t="shared" si="66"/>
        <v>0.39</v>
      </c>
      <c r="K395">
        <f t="shared" si="67"/>
        <v>0.39</v>
      </c>
      <c r="L395">
        <f t="shared" si="68"/>
        <v>0.39</v>
      </c>
      <c r="M395" t="str">
        <f t="shared" si="69"/>
        <v/>
      </c>
      <c r="Q395" s="4" t="s">
        <v>12</v>
      </c>
      <c r="R395">
        <v>0.35</v>
      </c>
      <c r="T395">
        <v>0.38</v>
      </c>
      <c r="U395">
        <v>0.36</v>
      </c>
      <c r="V395">
        <v>0.39</v>
      </c>
      <c r="W395">
        <v>0.39</v>
      </c>
      <c r="X395">
        <v>0.39</v>
      </c>
      <c r="Y395">
        <v>0.39</v>
      </c>
    </row>
    <row r="396" spans="2:26">
      <c r="B396" t="str">
        <f>IFERROR(VLOOKUP(Q396,unified_reference_costs!$I$41:$J$69,2,FALSE),B395)</f>
        <v>en_coal_igcc_ccs</v>
      </c>
      <c r="C396" t="str">
        <f>IFERROR(VLOOKUP(Q396,unified_reference_costs!$I$31:$J$40,2,FALSE),"*")</f>
        <v>fixom</v>
      </c>
      <c r="D396">
        <f t="shared" si="60"/>
        <v>2050</v>
      </c>
      <c r="E396">
        <f t="shared" si="61"/>
        <v>190</v>
      </c>
      <c r="F396">
        <f t="shared" si="62"/>
        <v>180</v>
      </c>
      <c r="G396">
        <f t="shared" si="63"/>
        <v>135</v>
      </c>
      <c r="H396">
        <f t="shared" si="64"/>
        <v>170</v>
      </c>
      <c r="I396">
        <f t="shared" si="65"/>
        <v>195</v>
      </c>
      <c r="J396">
        <f t="shared" si="66"/>
        <v>170</v>
      </c>
      <c r="K396">
        <f t="shared" si="67"/>
        <v>180</v>
      </c>
      <c r="L396">
        <f t="shared" si="68"/>
        <v>180</v>
      </c>
      <c r="M396">
        <f t="shared" si="69"/>
        <v>200</v>
      </c>
      <c r="Q396" s="4" t="s">
        <v>10</v>
      </c>
      <c r="R396">
        <v>190</v>
      </c>
      <c r="S396">
        <v>180</v>
      </c>
      <c r="T396">
        <v>135</v>
      </c>
      <c r="U396">
        <v>170</v>
      </c>
      <c r="V396">
        <v>195</v>
      </c>
      <c r="W396">
        <v>170</v>
      </c>
      <c r="X396">
        <v>180</v>
      </c>
      <c r="Y396">
        <v>180</v>
      </c>
      <c r="Z396">
        <v>200</v>
      </c>
    </row>
    <row r="397" spans="2:26">
      <c r="B397" t="str">
        <f>IFERROR(VLOOKUP(Q397,unified_reference_costs!$I$41:$J$69,2,FALSE),B396)</f>
        <v>en_coal_igcc_ccs</v>
      </c>
      <c r="C397" t="str">
        <f>IFERROR(VLOOKUP(Q397,unified_reference_costs!$I$31:$J$40,2,FALSE),"*")</f>
        <v>varom</v>
      </c>
      <c r="D397">
        <f t="shared" si="60"/>
        <v>2050</v>
      </c>
      <c r="E397">
        <f t="shared" si="61"/>
        <v>4.5830000000000002</v>
      </c>
      <c r="F397">
        <f t="shared" si="62"/>
        <v>4.5830000000000002</v>
      </c>
      <c r="G397">
        <f t="shared" si="63"/>
        <v>4.5830000000000002</v>
      </c>
      <c r="H397">
        <f t="shared" si="64"/>
        <v>4.5830000000000002</v>
      </c>
      <c r="I397">
        <f t="shared" si="65"/>
        <v>4.5830000000000002</v>
      </c>
      <c r="J397">
        <f t="shared" si="66"/>
        <v>4.5830000000000002</v>
      </c>
      <c r="K397">
        <f t="shared" si="67"/>
        <v>4.5830000000000002</v>
      </c>
      <c r="L397">
        <f t="shared" si="68"/>
        <v>4.5830000000000002</v>
      </c>
      <c r="M397">
        <f t="shared" si="69"/>
        <v>4.5830000000000002</v>
      </c>
      <c r="Q397" s="8" t="s">
        <v>164</v>
      </c>
      <c r="R397" s="22">
        <v>4.5830000000000002</v>
      </c>
      <c r="S397" s="22">
        <v>4.5830000000000002</v>
      </c>
      <c r="T397" s="22">
        <v>4.5830000000000002</v>
      </c>
      <c r="U397" s="22">
        <v>4.5830000000000002</v>
      </c>
      <c r="V397" s="22">
        <v>4.5830000000000002</v>
      </c>
      <c r="W397" s="22">
        <v>4.5830000000000002</v>
      </c>
      <c r="X397" s="22">
        <v>4.5830000000000002</v>
      </c>
      <c r="Y397" s="22">
        <v>4.5830000000000002</v>
      </c>
      <c r="Z397" s="22">
        <v>4.5830000000000002</v>
      </c>
    </row>
    <row r="398" spans="2:26">
      <c r="B398" t="str">
        <f>IFERROR(VLOOKUP(Q398,unified_reference_costs!$I$41:$J$69,2,FALSE),B397)</f>
        <v>en_gas_ccs</v>
      </c>
      <c r="C398" t="str">
        <f>IFERROR(VLOOKUP(Q398,unified_reference_costs!$I$31:$J$40,2,FALSE),"*")</f>
        <v>*</v>
      </c>
      <c r="D398">
        <f t="shared" si="60"/>
        <v>2050</v>
      </c>
      <c r="E398" t="str">
        <f t="shared" si="61"/>
        <v/>
      </c>
      <c r="F398" t="str">
        <f t="shared" si="62"/>
        <v/>
      </c>
      <c r="G398" t="str">
        <f t="shared" si="63"/>
        <v/>
      </c>
      <c r="H398" t="str">
        <f t="shared" si="64"/>
        <v/>
      </c>
      <c r="I398" t="str">
        <f t="shared" si="65"/>
        <v/>
      </c>
      <c r="J398" t="str">
        <f t="shared" si="66"/>
        <v/>
      </c>
      <c r="K398" t="str">
        <f t="shared" si="67"/>
        <v/>
      </c>
      <c r="L398" t="str">
        <f t="shared" si="68"/>
        <v/>
      </c>
      <c r="M398" t="str">
        <f t="shared" si="69"/>
        <v/>
      </c>
      <c r="Q398" s="4" t="s">
        <v>40</v>
      </c>
    </row>
    <row r="399" spans="2:26">
      <c r="B399" t="str">
        <f>IFERROR(VLOOKUP(Q399,unified_reference_costs!$I$41:$J$69,2,FALSE),B398)</f>
        <v>en_gas_ccs</v>
      </c>
      <c r="C399" t="str">
        <f>IFERROR(VLOOKUP(Q399,unified_reference_costs!$I$31:$J$40,2,FALSE),"*")</f>
        <v>invcost</v>
      </c>
      <c r="D399">
        <f t="shared" si="60"/>
        <v>2050</v>
      </c>
      <c r="E399">
        <f t="shared" si="61"/>
        <v>1950</v>
      </c>
      <c r="F399">
        <f t="shared" si="62"/>
        <v>1350</v>
      </c>
      <c r="G399">
        <f t="shared" si="63"/>
        <v>1650</v>
      </c>
      <c r="H399">
        <f t="shared" si="64"/>
        <v>1850</v>
      </c>
      <c r="I399">
        <f t="shared" si="65"/>
        <v>2600</v>
      </c>
      <c r="J399">
        <f t="shared" si="66"/>
        <v>2100</v>
      </c>
      <c r="K399">
        <f t="shared" si="67"/>
        <v>2500</v>
      </c>
      <c r="L399">
        <f t="shared" si="68"/>
        <v>2400</v>
      </c>
      <c r="M399">
        <f t="shared" si="69"/>
        <v>2250</v>
      </c>
      <c r="Q399" s="4" t="s">
        <v>6</v>
      </c>
      <c r="R399">
        <v>1950</v>
      </c>
      <c r="S399">
        <v>1350</v>
      </c>
      <c r="T399">
        <v>1650</v>
      </c>
      <c r="U399">
        <v>1850</v>
      </c>
      <c r="V399">
        <v>2600</v>
      </c>
      <c r="W399">
        <v>2100</v>
      </c>
      <c r="X399">
        <v>2500</v>
      </c>
      <c r="Y399">
        <v>2400</v>
      </c>
      <c r="Z399">
        <v>2250</v>
      </c>
    </row>
    <row r="400" spans="2:26">
      <c r="E400">
        <f t="shared" si="61"/>
        <v>0.51</v>
      </c>
      <c r="F400" t="str">
        <f t="shared" si="62"/>
        <v/>
      </c>
      <c r="G400">
        <f t="shared" si="63"/>
        <v>0.5</v>
      </c>
      <c r="H400">
        <f t="shared" si="64"/>
        <v>0.49</v>
      </c>
      <c r="I400">
        <f t="shared" si="65"/>
        <v>0.52</v>
      </c>
      <c r="J400">
        <f t="shared" si="66"/>
        <v>0.5</v>
      </c>
      <c r="K400">
        <f t="shared" si="67"/>
        <v>0.52</v>
      </c>
      <c r="L400">
        <f t="shared" si="68"/>
        <v>0.52</v>
      </c>
      <c r="M400">
        <f t="shared" si="69"/>
        <v>0.5</v>
      </c>
      <c r="Q400" t="s">
        <v>12</v>
      </c>
      <c r="R400">
        <v>0.51</v>
      </c>
      <c r="T400">
        <v>0.5</v>
      </c>
      <c r="U400">
        <v>0.49</v>
      </c>
      <c r="V400">
        <v>0.52</v>
      </c>
      <c r="W400">
        <v>0.5</v>
      </c>
      <c r="X400">
        <v>0.52</v>
      </c>
      <c r="Y400">
        <v>0.52</v>
      </c>
      <c r="Z400">
        <v>0.5</v>
      </c>
    </row>
    <row r="401" spans="17:26">
      <c r="Q401" t="s">
        <v>10</v>
      </c>
      <c r="R401">
        <v>70</v>
      </c>
      <c r="S401">
        <v>50</v>
      </c>
      <c r="T401">
        <v>55</v>
      </c>
      <c r="U401">
        <v>65</v>
      </c>
      <c r="V401">
        <v>65</v>
      </c>
      <c r="W401">
        <v>75</v>
      </c>
      <c r="X401">
        <v>60</v>
      </c>
      <c r="Y401">
        <v>60</v>
      </c>
      <c r="Z401">
        <v>80</v>
      </c>
    </row>
    <row r="402" spans="17:26">
      <c r="Q402" t="s">
        <v>164</v>
      </c>
      <c r="R402">
        <v>0.98899999999999999</v>
      </c>
      <c r="S402">
        <v>0.98899999999999999</v>
      </c>
      <c r="T402">
        <v>0.98899999999999999</v>
      </c>
      <c r="U402">
        <v>0.98899999999999999</v>
      </c>
      <c r="V402">
        <v>0.98899999999999999</v>
      </c>
      <c r="W402">
        <v>0.98899999999999999</v>
      </c>
      <c r="X402">
        <v>0.98899999999999999</v>
      </c>
      <c r="Y402">
        <v>0.98899999999999999</v>
      </c>
      <c r="Z402">
        <v>0.98899999999999999</v>
      </c>
    </row>
    <row r="403" spans="17:26">
      <c r="Q403" t="s">
        <v>41</v>
      </c>
    </row>
    <row r="404" spans="17:26">
      <c r="Q404" t="s">
        <v>6</v>
      </c>
      <c r="R404">
        <v>4000</v>
      </c>
      <c r="S404">
        <v>4000</v>
      </c>
      <c r="T404">
        <v>2500</v>
      </c>
      <c r="U404">
        <v>2800</v>
      </c>
      <c r="V404">
        <v>4000</v>
      </c>
      <c r="W404">
        <v>3800</v>
      </c>
      <c r="X404">
        <v>4500</v>
      </c>
      <c r="Y404">
        <v>4500</v>
      </c>
      <c r="Z404">
        <v>3500</v>
      </c>
    </row>
    <row r="405" spans="17:26">
      <c r="Q405" t="s">
        <v>10</v>
      </c>
      <c r="R405">
        <v>170</v>
      </c>
      <c r="S405">
        <v>170</v>
      </c>
      <c r="T405">
        <v>120</v>
      </c>
      <c r="U405">
        <v>140</v>
      </c>
      <c r="V405">
        <v>225</v>
      </c>
      <c r="W405">
        <v>160</v>
      </c>
      <c r="X405">
        <v>160</v>
      </c>
      <c r="Y405">
        <v>175</v>
      </c>
      <c r="Z405">
        <v>160</v>
      </c>
    </row>
    <row r="406" spans="17:26">
      <c r="Q406" t="s">
        <v>164</v>
      </c>
      <c r="R406">
        <v>0.77800000000000002</v>
      </c>
      <c r="S406">
        <v>0.77800000000000002</v>
      </c>
      <c r="T406">
        <v>0.77800000000000002</v>
      </c>
      <c r="U406">
        <v>0.77800000000000002</v>
      </c>
      <c r="V406">
        <v>0.77800000000000002</v>
      </c>
      <c r="W406">
        <v>0.77800000000000002</v>
      </c>
      <c r="X406">
        <v>0.77800000000000002</v>
      </c>
      <c r="Y406">
        <v>0.77800000000000002</v>
      </c>
      <c r="Z406">
        <v>0.77800000000000002</v>
      </c>
    </row>
    <row r="407" spans="17:26">
      <c r="Q407" t="s">
        <v>42</v>
      </c>
    </row>
    <row r="408" spans="17:26">
      <c r="Q408" t="s">
        <v>14</v>
      </c>
      <c r="R408">
        <v>0.23</v>
      </c>
      <c r="S408">
        <v>0.21</v>
      </c>
      <c r="T408">
        <v>0.14000000000000001</v>
      </c>
      <c r="U408">
        <v>0.22</v>
      </c>
      <c r="V408">
        <v>0.14000000000000001</v>
      </c>
      <c r="W408">
        <v>0.14000000000000001</v>
      </c>
      <c r="X408">
        <v>0.14000000000000001</v>
      </c>
      <c r="Y408">
        <v>0.23</v>
      </c>
      <c r="Z408">
        <v>0.26</v>
      </c>
    </row>
    <row r="409" spans="17:26">
      <c r="Q409" t="s">
        <v>6</v>
      </c>
      <c r="R409">
        <v>580</v>
      </c>
      <c r="S409">
        <v>330</v>
      </c>
      <c r="T409">
        <v>300</v>
      </c>
      <c r="U409">
        <v>270</v>
      </c>
      <c r="V409">
        <v>940</v>
      </c>
      <c r="W409">
        <v>770</v>
      </c>
      <c r="X409">
        <v>450</v>
      </c>
      <c r="Y409">
        <v>480</v>
      </c>
      <c r="Z409">
        <v>250</v>
      </c>
    </row>
    <row r="410" spans="17:26">
      <c r="Q410" t="s">
        <v>12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</row>
    <row r="411" spans="17:26">
      <c r="Q411" t="s">
        <v>10</v>
      </c>
      <c r="R411">
        <v>18</v>
      </c>
      <c r="S411">
        <v>10</v>
      </c>
      <c r="T411">
        <v>10</v>
      </c>
      <c r="U411">
        <v>8</v>
      </c>
      <c r="V411">
        <v>24</v>
      </c>
      <c r="W411">
        <v>22</v>
      </c>
      <c r="X411">
        <v>12</v>
      </c>
      <c r="Y411">
        <v>16</v>
      </c>
      <c r="Z411">
        <v>8</v>
      </c>
    </row>
    <row r="412" spans="17:26">
      <c r="Q412" t="s">
        <v>164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7:26">
      <c r="Q413" t="s">
        <v>43</v>
      </c>
    </row>
    <row r="414" spans="17:26">
      <c r="Q414" t="s">
        <v>14</v>
      </c>
      <c r="R414">
        <v>0.35</v>
      </c>
      <c r="S414">
        <v>0.44</v>
      </c>
      <c r="T414">
        <v>0.28000000000000003</v>
      </c>
      <c r="U414">
        <v>0.3</v>
      </c>
      <c r="V414">
        <v>0.28999999999999998</v>
      </c>
      <c r="W414">
        <v>0.31</v>
      </c>
      <c r="X414">
        <v>0.3</v>
      </c>
      <c r="Y414">
        <v>0.44</v>
      </c>
      <c r="Z414">
        <v>0.36</v>
      </c>
    </row>
    <row r="415" spans="17:26">
      <c r="Q415" t="s">
        <v>6</v>
      </c>
      <c r="R415">
        <v>1740</v>
      </c>
      <c r="S415">
        <v>950</v>
      </c>
      <c r="T415">
        <v>1000</v>
      </c>
      <c r="U415">
        <v>1010</v>
      </c>
      <c r="V415">
        <v>3170</v>
      </c>
      <c r="W415">
        <v>1470</v>
      </c>
      <c r="X415">
        <v>1610</v>
      </c>
      <c r="Y415">
        <v>1110</v>
      </c>
      <c r="Z415">
        <v>1710</v>
      </c>
    </row>
    <row r="416" spans="17:26">
      <c r="Q416" t="s">
        <v>12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</row>
    <row r="417" spans="17:26">
      <c r="Q417" t="s">
        <v>10</v>
      </c>
      <c r="R417">
        <v>44</v>
      </c>
      <c r="S417">
        <v>24</v>
      </c>
      <c r="T417">
        <v>26</v>
      </c>
      <c r="U417">
        <v>26</v>
      </c>
      <c r="V417">
        <v>82</v>
      </c>
      <c r="W417">
        <v>38</v>
      </c>
      <c r="X417">
        <v>42</v>
      </c>
      <c r="Y417">
        <v>30</v>
      </c>
      <c r="Z417">
        <v>44</v>
      </c>
    </row>
    <row r="418" spans="17:26">
      <c r="Q418" t="s">
        <v>164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7:26">
      <c r="Q419" t="s">
        <v>44</v>
      </c>
    </row>
    <row r="420" spans="17:26">
      <c r="Q420" t="s">
        <v>14</v>
      </c>
      <c r="R420">
        <v>0.43</v>
      </c>
      <c r="S420">
        <v>0.55000000000000004</v>
      </c>
      <c r="T420">
        <v>0.43</v>
      </c>
      <c r="U420">
        <v>0.39</v>
      </c>
      <c r="V420">
        <v>0.46</v>
      </c>
      <c r="W420">
        <v>0.44</v>
      </c>
      <c r="X420">
        <v>0.59</v>
      </c>
      <c r="Y420">
        <v>0.49</v>
      </c>
      <c r="Z420">
        <v>0.39</v>
      </c>
    </row>
    <row r="421" spans="17:26">
      <c r="Q421" t="s">
        <v>6</v>
      </c>
      <c r="R421">
        <v>2080</v>
      </c>
      <c r="S421">
        <v>2160</v>
      </c>
      <c r="T421">
        <v>1420</v>
      </c>
      <c r="U421">
        <v>1500</v>
      </c>
      <c r="V421">
        <v>3160</v>
      </c>
      <c r="W421">
        <v>2280</v>
      </c>
      <c r="X421">
        <v>1740</v>
      </c>
      <c r="Y421">
        <v>1900</v>
      </c>
      <c r="Z421">
        <v>2180</v>
      </c>
    </row>
    <row r="422" spans="17:26">
      <c r="Q422" t="s">
        <v>12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</row>
    <row r="423" spans="17:26">
      <c r="Q423" t="s">
        <v>10</v>
      </c>
      <c r="R423">
        <v>65</v>
      </c>
      <c r="S423">
        <v>65</v>
      </c>
      <c r="T423">
        <v>45</v>
      </c>
      <c r="U423">
        <v>45</v>
      </c>
      <c r="V423">
        <v>95</v>
      </c>
      <c r="W423">
        <v>70</v>
      </c>
      <c r="X423">
        <v>45</v>
      </c>
      <c r="Y423">
        <v>70</v>
      </c>
      <c r="Z423">
        <v>65</v>
      </c>
    </row>
    <row r="424" spans="17:26">
      <c r="Q424" t="s">
        <v>164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7:26">
      <c r="Q425" t="s">
        <v>45</v>
      </c>
    </row>
    <row r="426" spans="17:26">
      <c r="Q426" t="s">
        <v>14</v>
      </c>
      <c r="R426">
        <v>0.5</v>
      </c>
      <c r="S426">
        <v>0.5</v>
      </c>
      <c r="T426">
        <v>0.35</v>
      </c>
      <c r="U426">
        <v>0.4</v>
      </c>
      <c r="V426">
        <v>0.5</v>
      </c>
      <c r="W426">
        <v>0.4</v>
      </c>
      <c r="X426">
        <v>0.4</v>
      </c>
      <c r="Y426">
        <v>0.4</v>
      </c>
      <c r="Z426">
        <v>0.2</v>
      </c>
    </row>
    <row r="427" spans="17:26">
      <c r="Q427" t="s">
        <v>6</v>
      </c>
      <c r="R427">
        <v>2100</v>
      </c>
      <c r="S427">
        <v>2100</v>
      </c>
      <c r="T427">
        <v>1600</v>
      </c>
      <c r="U427">
        <v>2000</v>
      </c>
      <c r="V427">
        <v>2400</v>
      </c>
      <c r="W427">
        <v>2050</v>
      </c>
      <c r="X427">
        <v>2650</v>
      </c>
      <c r="Y427">
        <v>2700</v>
      </c>
      <c r="Z427">
        <v>2150</v>
      </c>
    </row>
    <row r="428" spans="17:26">
      <c r="Q428" t="s">
        <v>12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</row>
    <row r="429" spans="17:26">
      <c r="Q429" t="s">
        <v>10</v>
      </c>
      <c r="R429">
        <v>50</v>
      </c>
      <c r="S429">
        <v>50</v>
      </c>
      <c r="T429">
        <v>40</v>
      </c>
      <c r="U429">
        <v>50</v>
      </c>
      <c r="V429">
        <v>60</v>
      </c>
      <c r="W429">
        <v>50</v>
      </c>
      <c r="X429">
        <v>60</v>
      </c>
      <c r="Y429">
        <v>65</v>
      </c>
      <c r="Z429">
        <v>50</v>
      </c>
    </row>
    <row r="430" spans="17:26">
      <c r="Q430" t="s">
        <v>164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7:26">
      <c r="Q431" t="s">
        <v>46</v>
      </c>
    </row>
    <row r="432" spans="17:26">
      <c r="Q432" t="s">
        <v>14</v>
      </c>
      <c r="R432">
        <v>0.5</v>
      </c>
      <c r="S432">
        <v>0.5</v>
      </c>
      <c r="T432">
        <v>0.35</v>
      </c>
      <c r="U432">
        <v>0.35</v>
      </c>
      <c r="V432">
        <v>0.2</v>
      </c>
      <c r="W432">
        <v>0.4</v>
      </c>
      <c r="X432">
        <v>0.25</v>
      </c>
      <c r="Y432">
        <v>0.3</v>
      </c>
      <c r="Z432">
        <v>0.15</v>
      </c>
    </row>
    <row r="433" spans="17:26">
      <c r="Q433" t="s">
        <v>6</v>
      </c>
      <c r="R433">
        <v>3250</v>
      </c>
      <c r="S433">
        <v>3350</v>
      </c>
      <c r="T433">
        <v>2000</v>
      </c>
      <c r="U433">
        <v>3050</v>
      </c>
      <c r="V433">
        <v>3550</v>
      </c>
      <c r="W433">
        <v>3500</v>
      </c>
      <c r="X433">
        <v>3900</v>
      </c>
      <c r="Y433">
        <v>4050</v>
      </c>
      <c r="Z433">
        <v>3400</v>
      </c>
    </row>
    <row r="434" spans="17:26">
      <c r="Q434" t="s">
        <v>12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</row>
    <row r="435" spans="17:26">
      <c r="Q435" t="s">
        <v>10</v>
      </c>
      <c r="R435">
        <v>65</v>
      </c>
      <c r="S435">
        <v>65</v>
      </c>
      <c r="T435">
        <v>40</v>
      </c>
      <c r="U435">
        <v>60</v>
      </c>
      <c r="V435">
        <v>70</v>
      </c>
      <c r="W435">
        <v>70</v>
      </c>
      <c r="X435">
        <v>80</v>
      </c>
      <c r="Y435">
        <v>80</v>
      </c>
      <c r="Z435">
        <v>70</v>
      </c>
    </row>
    <row r="436" spans="17:26">
      <c r="Q436" t="s">
        <v>164</v>
      </c>
      <c r="R436">
        <v>0.27800000000000002</v>
      </c>
      <c r="S436">
        <v>0.27800000000000002</v>
      </c>
      <c r="T436">
        <v>0.27800000000000002</v>
      </c>
      <c r="U436">
        <v>0.27800000000000002</v>
      </c>
      <c r="V436">
        <v>0.27800000000000002</v>
      </c>
      <c r="W436">
        <v>0.27800000000000002</v>
      </c>
      <c r="X436">
        <v>0.27800000000000002</v>
      </c>
      <c r="Y436">
        <v>0.27800000000000002</v>
      </c>
      <c r="Z436">
        <v>0.27800000000000002</v>
      </c>
    </row>
    <row r="437" spans="17:26">
      <c r="Q437" t="s">
        <v>47</v>
      </c>
    </row>
    <row r="438" spans="17:26">
      <c r="Q438" t="s">
        <v>14</v>
      </c>
      <c r="R438">
        <v>0.5</v>
      </c>
      <c r="S438">
        <v>0.4</v>
      </c>
      <c r="T438">
        <v>0.7</v>
      </c>
      <c r="U438">
        <v>0.6</v>
      </c>
      <c r="V438">
        <v>0.6</v>
      </c>
      <c r="W438">
        <v>0.5</v>
      </c>
      <c r="X438">
        <v>0.6</v>
      </c>
      <c r="Y438">
        <v>0.5</v>
      </c>
      <c r="Z438">
        <v>0.8</v>
      </c>
    </row>
    <row r="439" spans="17:26">
      <c r="Q439" t="s">
        <v>6</v>
      </c>
      <c r="R439">
        <v>2000</v>
      </c>
      <c r="S439">
        <v>2100</v>
      </c>
      <c r="T439">
        <v>1500</v>
      </c>
      <c r="U439">
        <v>2050</v>
      </c>
      <c r="V439">
        <v>2250</v>
      </c>
      <c r="W439">
        <v>2100</v>
      </c>
      <c r="X439">
        <v>2300</v>
      </c>
      <c r="Y439">
        <v>2350</v>
      </c>
      <c r="Z439">
        <v>2100</v>
      </c>
    </row>
    <row r="440" spans="17:26">
      <c r="Q440" t="s">
        <v>12</v>
      </c>
      <c r="R440">
        <v>0.35</v>
      </c>
      <c r="S440">
        <v>0.35</v>
      </c>
      <c r="T440">
        <v>0.35</v>
      </c>
      <c r="U440">
        <v>0.35</v>
      </c>
      <c r="V440">
        <v>0.35</v>
      </c>
      <c r="W440">
        <v>0.35</v>
      </c>
      <c r="X440">
        <v>0.35</v>
      </c>
      <c r="Y440">
        <v>0.35</v>
      </c>
      <c r="Z440">
        <v>0.35</v>
      </c>
    </row>
    <row r="441" spans="17:26">
      <c r="Q441" t="s">
        <v>10</v>
      </c>
      <c r="R441">
        <v>70</v>
      </c>
      <c r="S441">
        <v>75</v>
      </c>
      <c r="T441">
        <v>55</v>
      </c>
      <c r="U441">
        <v>70</v>
      </c>
      <c r="V441">
        <v>80</v>
      </c>
      <c r="W441">
        <v>75</v>
      </c>
      <c r="X441">
        <v>80</v>
      </c>
      <c r="Y441">
        <v>85</v>
      </c>
      <c r="Z441">
        <v>75</v>
      </c>
    </row>
    <row r="442" spans="17:26">
      <c r="Q442" t="s">
        <v>164</v>
      </c>
      <c r="R442">
        <v>1.4570000000000001</v>
      </c>
      <c r="S442">
        <v>1.4570000000000001</v>
      </c>
      <c r="T442">
        <v>1.4570000000000001</v>
      </c>
      <c r="U442">
        <v>1.4570000000000001</v>
      </c>
      <c r="V442">
        <v>1.4570000000000001</v>
      </c>
      <c r="W442">
        <v>1.4570000000000001</v>
      </c>
      <c r="X442">
        <v>1.4570000000000001</v>
      </c>
      <c r="Y442">
        <v>1.4570000000000001</v>
      </c>
      <c r="Z442">
        <v>1.4570000000000001</v>
      </c>
    </row>
    <row r="443" spans="17:26">
      <c r="Q443" t="s">
        <v>48</v>
      </c>
    </row>
    <row r="444" spans="17:26">
      <c r="Q444" t="s">
        <v>14</v>
      </c>
      <c r="R444">
        <v>0.4</v>
      </c>
      <c r="S444">
        <v>0.7</v>
      </c>
      <c r="T444">
        <v>0.8</v>
      </c>
      <c r="U444">
        <v>0.6</v>
      </c>
      <c r="V444">
        <v>0.8</v>
      </c>
      <c r="W444">
        <v>0.6</v>
      </c>
      <c r="X444">
        <v>0.6</v>
      </c>
      <c r="Y444">
        <v>0.7</v>
      </c>
      <c r="Z444">
        <v>0.6</v>
      </c>
    </row>
    <row r="445" spans="17:26">
      <c r="Q445" t="s">
        <v>6</v>
      </c>
      <c r="R445">
        <v>500</v>
      </c>
      <c r="S445">
        <v>525</v>
      </c>
      <c r="T445">
        <v>375</v>
      </c>
      <c r="U445">
        <v>525</v>
      </c>
      <c r="V445">
        <v>575</v>
      </c>
      <c r="W445">
        <v>525</v>
      </c>
      <c r="X445">
        <v>575</v>
      </c>
      <c r="Y445">
        <v>600</v>
      </c>
      <c r="Z445">
        <v>525</v>
      </c>
    </row>
    <row r="446" spans="17:26">
      <c r="Q446" t="s">
        <v>12</v>
      </c>
      <c r="R446">
        <v>0.37</v>
      </c>
      <c r="S446">
        <v>0.37</v>
      </c>
      <c r="T446">
        <v>0.37</v>
      </c>
      <c r="U446">
        <v>0.37</v>
      </c>
      <c r="V446">
        <v>0.37</v>
      </c>
      <c r="W446">
        <v>0.37</v>
      </c>
      <c r="X446">
        <v>0.37</v>
      </c>
      <c r="Y446">
        <v>0.37</v>
      </c>
      <c r="Z446">
        <v>0.37</v>
      </c>
    </row>
    <row r="447" spans="17:26">
      <c r="Q447" t="s">
        <v>10</v>
      </c>
      <c r="R447">
        <v>20</v>
      </c>
      <c r="S447">
        <v>20</v>
      </c>
      <c r="T447">
        <v>15</v>
      </c>
      <c r="U447">
        <v>20</v>
      </c>
      <c r="V447">
        <v>20</v>
      </c>
      <c r="W447">
        <v>20</v>
      </c>
      <c r="X447">
        <v>20</v>
      </c>
      <c r="Y447">
        <v>25</v>
      </c>
      <c r="Z447">
        <v>20</v>
      </c>
    </row>
    <row r="448" spans="17:26">
      <c r="Q448" t="s">
        <v>164</v>
      </c>
      <c r="R448">
        <v>1.111</v>
      </c>
      <c r="S448">
        <v>1.111</v>
      </c>
      <c r="T448">
        <v>1.111</v>
      </c>
      <c r="U448">
        <v>1.111</v>
      </c>
      <c r="V448">
        <v>1.111</v>
      </c>
      <c r="W448">
        <v>1.111</v>
      </c>
      <c r="X448">
        <v>1.111</v>
      </c>
      <c r="Y448">
        <v>1.111</v>
      </c>
      <c r="Z448">
        <v>1.111</v>
      </c>
    </row>
    <row r="449" spans="17:26">
      <c r="Q449" t="s">
        <v>49</v>
      </c>
    </row>
    <row r="450" spans="17:26">
      <c r="Q450" t="s">
        <v>14</v>
      </c>
      <c r="R450">
        <v>0.5</v>
      </c>
      <c r="S450">
        <v>0.5</v>
      </c>
      <c r="T450">
        <v>0.6</v>
      </c>
      <c r="U450">
        <v>0.5</v>
      </c>
      <c r="V450">
        <v>0.6</v>
      </c>
      <c r="W450">
        <v>0.4</v>
      </c>
      <c r="X450">
        <v>0.7</v>
      </c>
      <c r="Y450">
        <v>0.5</v>
      </c>
      <c r="Z450">
        <v>0.5</v>
      </c>
    </row>
    <row r="451" spans="17:26">
      <c r="Q451" t="s">
        <v>6</v>
      </c>
      <c r="R451">
        <v>2650</v>
      </c>
      <c r="S451">
        <v>2750</v>
      </c>
      <c r="T451">
        <v>2350</v>
      </c>
      <c r="U451">
        <v>2650</v>
      </c>
      <c r="V451">
        <v>3700</v>
      </c>
      <c r="W451">
        <v>3250</v>
      </c>
      <c r="X451">
        <v>3550</v>
      </c>
      <c r="Y451">
        <v>3850</v>
      </c>
      <c r="Z451">
        <v>2700</v>
      </c>
    </row>
    <row r="452" spans="17:26">
      <c r="Q452" t="s">
        <v>12</v>
      </c>
      <c r="R452">
        <v>0.38500000000000001</v>
      </c>
      <c r="S452">
        <v>0.38500000000000001</v>
      </c>
      <c r="T452">
        <v>0.38500000000000001</v>
      </c>
      <c r="U452">
        <v>0.38500000000000001</v>
      </c>
      <c r="V452">
        <v>0.38500000000000001</v>
      </c>
      <c r="W452">
        <v>0.38500000000000001</v>
      </c>
      <c r="X452">
        <v>0.38500000000000001</v>
      </c>
      <c r="Y452">
        <v>0.38500000000000001</v>
      </c>
      <c r="Z452">
        <v>0.38500000000000001</v>
      </c>
    </row>
    <row r="453" spans="17:26">
      <c r="Q453" t="s">
        <v>10</v>
      </c>
      <c r="R453">
        <v>100</v>
      </c>
      <c r="S453">
        <v>105</v>
      </c>
      <c r="T453">
        <v>90</v>
      </c>
      <c r="U453">
        <v>100</v>
      </c>
      <c r="V453">
        <v>140</v>
      </c>
      <c r="W453">
        <v>120</v>
      </c>
      <c r="X453">
        <v>130</v>
      </c>
      <c r="Y453">
        <v>145</v>
      </c>
      <c r="Z453">
        <v>100</v>
      </c>
    </row>
    <row r="454" spans="17:26">
      <c r="Q454" t="s">
        <v>164</v>
      </c>
      <c r="R454">
        <v>1.667</v>
      </c>
      <c r="S454">
        <v>1.667</v>
      </c>
      <c r="T454">
        <v>1.667</v>
      </c>
      <c r="U454">
        <v>1.667</v>
      </c>
      <c r="V454">
        <v>1.667</v>
      </c>
      <c r="W454">
        <v>1.667</v>
      </c>
      <c r="X454">
        <v>1.667</v>
      </c>
      <c r="Y454">
        <v>1.667</v>
      </c>
      <c r="Z454">
        <v>1.667</v>
      </c>
    </row>
    <row r="455" spans="17:26">
      <c r="Q455" t="s">
        <v>50</v>
      </c>
    </row>
    <row r="456" spans="17:26">
      <c r="Q456" t="s">
        <v>14</v>
      </c>
      <c r="R456">
        <v>0.5</v>
      </c>
      <c r="S456">
        <v>0.4</v>
      </c>
      <c r="T456">
        <v>0.7</v>
      </c>
      <c r="U456">
        <v>0.6</v>
      </c>
      <c r="V456">
        <v>0.6</v>
      </c>
      <c r="W456">
        <v>0.5</v>
      </c>
      <c r="X456">
        <v>0.6</v>
      </c>
      <c r="Y456">
        <v>0.5</v>
      </c>
      <c r="Z456">
        <v>0.8</v>
      </c>
    </row>
    <row r="457" spans="17:26">
      <c r="Q457" t="s">
        <v>6</v>
      </c>
      <c r="R457">
        <v>4350</v>
      </c>
      <c r="S457">
        <v>4050</v>
      </c>
      <c r="T457">
        <v>3650</v>
      </c>
      <c r="U457">
        <v>4200</v>
      </c>
      <c r="V457">
        <v>5100</v>
      </c>
      <c r="W457">
        <v>4600</v>
      </c>
      <c r="X457">
        <v>5100</v>
      </c>
      <c r="Y457">
        <v>5150</v>
      </c>
      <c r="Z457">
        <v>4500</v>
      </c>
    </row>
    <row r="458" spans="17:26">
      <c r="Q458" t="s">
        <v>12</v>
      </c>
      <c r="R458">
        <v>0.3</v>
      </c>
      <c r="S458">
        <v>0.3</v>
      </c>
      <c r="T458">
        <v>0.3</v>
      </c>
      <c r="U458">
        <v>0.3</v>
      </c>
      <c r="V458">
        <v>0.3</v>
      </c>
      <c r="W458">
        <v>0.3</v>
      </c>
      <c r="X458">
        <v>0.3</v>
      </c>
      <c r="Y458">
        <v>0.3</v>
      </c>
      <c r="Z458">
        <v>0.3</v>
      </c>
    </row>
    <row r="459" spans="17:26">
      <c r="Q459" t="s">
        <v>10</v>
      </c>
      <c r="R459">
        <v>150</v>
      </c>
      <c r="S459">
        <v>145</v>
      </c>
      <c r="T459">
        <v>125</v>
      </c>
      <c r="U459">
        <v>145</v>
      </c>
      <c r="V459">
        <v>175</v>
      </c>
      <c r="W459">
        <v>160</v>
      </c>
      <c r="X459">
        <v>180</v>
      </c>
      <c r="Y459">
        <v>180</v>
      </c>
      <c r="Z459">
        <v>160</v>
      </c>
    </row>
    <row r="460" spans="17:26">
      <c r="Q460" t="s">
        <v>164</v>
      </c>
      <c r="R460">
        <v>2.3610000000000002</v>
      </c>
      <c r="S460">
        <v>2.3610000000000002</v>
      </c>
      <c r="T460">
        <v>2.3610000000000002</v>
      </c>
      <c r="U460">
        <v>2.3610000000000002</v>
      </c>
      <c r="V460">
        <v>2.3610000000000002</v>
      </c>
      <c r="W460">
        <v>2.3610000000000002</v>
      </c>
      <c r="X460">
        <v>2.3610000000000002</v>
      </c>
      <c r="Y460">
        <v>2.3610000000000002</v>
      </c>
      <c r="Z460">
        <v>2.3610000000000002</v>
      </c>
    </row>
    <row r="461" spans="17:26">
      <c r="Q461" t="s">
        <v>51</v>
      </c>
    </row>
    <row r="462" spans="17:26">
      <c r="Q462" t="s">
        <v>14</v>
      </c>
      <c r="R462">
        <v>0.42</v>
      </c>
      <c r="S462">
        <v>0.4</v>
      </c>
      <c r="T462">
        <v>0.4</v>
      </c>
      <c r="U462">
        <v>0.36</v>
      </c>
      <c r="X462">
        <v>0.42</v>
      </c>
      <c r="Y462">
        <v>0.4</v>
      </c>
      <c r="Z462">
        <v>0.42</v>
      </c>
    </row>
    <row r="463" spans="17:26">
      <c r="Q463" t="s">
        <v>6</v>
      </c>
      <c r="R463">
        <v>3450</v>
      </c>
      <c r="S463">
        <v>3450</v>
      </c>
      <c r="T463">
        <v>3250</v>
      </c>
      <c r="U463">
        <v>3800</v>
      </c>
      <c r="X463">
        <v>3850</v>
      </c>
      <c r="Y463">
        <v>4550</v>
      </c>
      <c r="Z463">
        <v>3400</v>
      </c>
    </row>
    <row r="464" spans="17:26">
      <c r="Q464" t="s">
        <v>12</v>
      </c>
      <c r="R464">
        <v>0.4</v>
      </c>
      <c r="S464">
        <v>0.4</v>
      </c>
      <c r="T464">
        <v>0.4</v>
      </c>
      <c r="U464">
        <v>0.4</v>
      </c>
      <c r="X464">
        <v>0.4</v>
      </c>
      <c r="Y464">
        <v>0.4</v>
      </c>
      <c r="Z464">
        <v>0.4</v>
      </c>
    </row>
    <row r="465" spans="17:26">
      <c r="Q465" t="s">
        <v>10</v>
      </c>
      <c r="R465">
        <v>140</v>
      </c>
      <c r="S465">
        <v>140</v>
      </c>
      <c r="T465">
        <v>130</v>
      </c>
      <c r="U465">
        <v>150</v>
      </c>
      <c r="X465">
        <v>150</v>
      </c>
      <c r="Y465">
        <v>180</v>
      </c>
      <c r="Z465">
        <v>140</v>
      </c>
    </row>
    <row r="466" spans="17:26">
      <c r="Q466" t="s">
        <v>164</v>
      </c>
      <c r="R466">
        <v>0.83299999999999996</v>
      </c>
      <c r="S466">
        <v>0.83299999999999996</v>
      </c>
      <c r="T466">
        <v>0.83299999999999996</v>
      </c>
      <c r="U466">
        <v>0.83299999999999996</v>
      </c>
      <c r="V466">
        <v>0.83299999999999996</v>
      </c>
      <c r="W466">
        <v>0.83299999999999996</v>
      </c>
      <c r="X466">
        <v>0.83299999999999996</v>
      </c>
      <c r="Y466">
        <v>0.83299999999999996</v>
      </c>
      <c r="Z466">
        <v>0.83299999999999996</v>
      </c>
    </row>
    <row r="467" spans="17:26">
      <c r="Q467" t="s">
        <v>52</v>
      </c>
    </row>
    <row r="468" spans="17:26">
      <c r="Q468" t="s">
        <v>14</v>
      </c>
      <c r="R468">
        <v>0.8</v>
      </c>
      <c r="T468">
        <v>0.5</v>
      </c>
      <c r="U468">
        <v>0.5</v>
      </c>
      <c r="V468">
        <v>0.6</v>
      </c>
      <c r="W468">
        <v>0.65</v>
      </c>
      <c r="X468">
        <v>0.85</v>
      </c>
      <c r="Y468">
        <v>0.6</v>
      </c>
      <c r="Z468">
        <v>0.8</v>
      </c>
    </row>
    <row r="469" spans="17:26">
      <c r="Q469" t="s">
        <v>6</v>
      </c>
      <c r="R469">
        <v>2700</v>
      </c>
      <c r="T469">
        <v>2000</v>
      </c>
      <c r="U469">
        <v>3200</v>
      </c>
      <c r="V469">
        <v>2500</v>
      </c>
      <c r="W469">
        <v>1950</v>
      </c>
      <c r="X469">
        <v>2550</v>
      </c>
      <c r="Y469">
        <v>1950</v>
      </c>
      <c r="Z469">
        <v>2000</v>
      </c>
    </row>
    <row r="470" spans="17:26">
      <c r="Q470" t="s">
        <v>12</v>
      </c>
      <c r="R470">
        <v>0.1</v>
      </c>
      <c r="T470">
        <v>0.1</v>
      </c>
      <c r="U470">
        <v>0.1</v>
      </c>
      <c r="V470">
        <v>0.1</v>
      </c>
      <c r="W470">
        <v>0.1</v>
      </c>
      <c r="X470">
        <v>0.1</v>
      </c>
      <c r="Y470">
        <v>0.1</v>
      </c>
      <c r="Z470">
        <v>0.1</v>
      </c>
    </row>
    <row r="471" spans="17:26">
      <c r="Q471" t="s">
        <v>10</v>
      </c>
      <c r="R471">
        <v>55</v>
      </c>
      <c r="T471">
        <v>40</v>
      </c>
      <c r="U471">
        <v>65</v>
      </c>
      <c r="V471">
        <v>50</v>
      </c>
      <c r="W471">
        <v>40</v>
      </c>
      <c r="X471">
        <v>50</v>
      </c>
      <c r="Y471">
        <v>40</v>
      </c>
      <c r="Z471">
        <v>40</v>
      </c>
    </row>
    <row r="472" spans="17:26">
      <c r="Q472" t="s">
        <v>164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7:26">
      <c r="Q473" t="s">
        <v>53</v>
      </c>
    </row>
    <row r="474" spans="17:26">
      <c r="Q474" t="s">
        <v>6</v>
      </c>
      <c r="R474">
        <v>1035.8</v>
      </c>
      <c r="S474">
        <v>1035.8</v>
      </c>
      <c r="T474">
        <v>1035.8</v>
      </c>
      <c r="U474">
        <v>1035.8</v>
      </c>
      <c r="V474">
        <v>1035.8</v>
      </c>
      <c r="W474">
        <v>1035.8</v>
      </c>
      <c r="X474">
        <v>1035.8</v>
      </c>
      <c r="Y474">
        <v>1035.8</v>
      </c>
      <c r="Z474">
        <v>1035.8</v>
      </c>
    </row>
    <row r="475" spans="17:26">
      <c r="Q475" t="s">
        <v>10</v>
      </c>
      <c r="R475">
        <v>73.199999999999989</v>
      </c>
      <c r="S475">
        <v>73.199999999999989</v>
      </c>
      <c r="T475">
        <v>73.199999999999989</v>
      </c>
      <c r="U475">
        <v>73.199999999999989</v>
      </c>
      <c r="V475">
        <v>73.199999999999989</v>
      </c>
      <c r="W475">
        <v>73.199999999999989</v>
      </c>
      <c r="X475">
        <v>73.199999999999989</v>
      </c>
      <c r="Y475">
        <v>73.199999999999989</v>
      </c>
      <c r="Z475">
        <v>73.199999999999989</v>
      </c>
    </row>
    <row r="476" spans="17:26">
      <c r="Q476" t="s">
        <v>16</v>
      </c>
      <c r="R476">
        <v>0.86</v>
      </c>
      <c r="S476">
        <v>0.86</v>
      </c>
      <c r="T476">
        <v>0.86</v>
      </c>
      <c r="U476">
        <v>0.86</v>
      </c>
      <c r="V476">
        <v>0.86</v>
      </c>
      <c r="W476">
        <v>0.86</v>
      </c>
      <c r="X476">
        <v>0.86</v>
      </c>
      <c r="Y476">
        <v>0.86</v>
      </c>
      <c r="Z476">
        <v>0.86</v>
      </c>
    </row>
    <row r="477" spans="17:26">
      <c r="Q477" t="s">
        <v>164</v>
      </c>
      <c r="R477">
        <v>0.13900000000000001</v>
      </c>
      <c r="S477">
        <v>0.13900000000000001</v>
      </c>
      <c r="T477">
        <v>0.13900000000000001</v>
      </c>
      <c r="U477">
        <v>0.13900000000000001</v>
      </c>
      <c r="V477">
        <v>0.13900000000000001</v>
      </c>
      <c r="W477">
        <v>0.13900000000000001</v>
      </c>
      <c r="X477">
        <v>0.13900000000000001</v>
      </c>
      <c r="Y477">
        <v>0.13900000000000001</v>
      </c>
      <c r="Z477">
        <v>0.13900000000000001</v>
      </c>
    </row>
    <row r="478" spans="17:26">
      <c r="Q478" t="s">
        <v>54</v>
      </c>
    </row>
    <row r="479" spans="17:26">
      <c r="Q479" t="s">
        <v>6</v>
      </c>
      <c r="R479">
        <v>1687.7</v>
      </c>
      <c r="S479">
        <v>1687.7</v>
      </c>
      <c r="T479">
        <v>1687.7</v>
      </c>
      <c r="U479">
        <v>1687.7</v>
      </c>
      <c r="V479">
        <v>1687.7</v>
      </c>
      <c r="W479">
        <v>1687.7</v>
      </c>
      <c r="X479">
        <v>1687.7</v>
      </c>
      <c r="Y479">
        <v>1687.7</v>
      </c>
      <c r="Z479">
        <v>1687.7</v>
      </c>
    </row>
    <row r="480" spans="17:26">
      <c r="Q480" t="s">
        <v>10</v>
      </c>
      <c r="R480">
        <v>129.30000000000001</v>
      </c>
      <c r="S480">
        <v>129.30000000000001</v>
      </c>
      <c r="T480">
        <v>129.30000000000001</v>
      </c>
      <c r="U480">
        <v>129.30000000000001</v>
      </c>
      <c r="V480">
        <v>129.30000000000001</v>
      </c>
      <c r="W480">
        <v>129.30000000000001</v>
      </c>
      <c r="X480">
        <v>129.30000000000001</v>
      </c>
      <c r="Y480">
        <v>129.30000000000001</v>
      </c>
      <c r="Z480">
        <v>129.30000000000001</v>
      </c>
    </row>
    <row r="481" spans="17:26">
      <c r="Q481" t="s">
        <v>16</v>
      </c>
      <c r="R481">
        <v>0.86</v>
      </c>
      <c r="S481">
        <v>0.86</v>
      </c>
      <c r="T481">
        <v>0.86</v>
      </c>
      <c r="U481">
        <v>0.86</v>
      </c>
      <c r="V481">
        <v>0.86</v>
      </c>
      <c r="W481">
        <v>0.86</v>
      </c>
      <c r="X481">
        <v>0.86</v>
      </c>
      <c r="Y481">
        <v>0.86</v>
      </c>
      <c r="Z481">
        <v>0.86</v>
      </c>
    </row>
    <row r="482" spans="17:26">
      <c r="Q482" t="s">
        <v>164</v>
      </c>
      <c r="R482">
        <v>0.13900000000000001</v>
      </c>
      <c r="S482">
        <v>0.13900000000000001</v>
      </c>
      <c r="T482">
        <v>0.13900000000000001</v>
      </c>
      <c r="U482">
        <v>0.13900000000000001</v>
      </c>
      <c r="V482">
        <v>0.13900000000000001</v>
      </c>
      <c r="W482">
        <v>0.13900000000000001</v>
      </c>
      <c r="X482">
        <v>0.13900000000000001</v>
      </c>
      <c r="Y482">
        <v>0.13900000000000001</v>
      </c>
      <c r="Z482">
        <v>0.13900000000000001</v>
      </c>
    </row>
    <row r="483" spans="17:26">
      <c r="Q483" t="s">
        <v>55</v>
      </c>
    </row>
    <row r="484" spans="17:26">
      <c r="Q484" t="s">
        <v>6</v>
      </c>
      <c r="R484">
        <v>4341.8999999999996</v>
      </c>
      <c r="S484">
        <v>4341.8999999999996</v>
      </c>
      <c r="T484">
        <v>2713.7</v>
      </c>
      <c r="U484">
        <v>3039.3</v>
      </c>
      <c r="V484">
        <v>4341.8999999999996</v>
      </c>
      <c r="W484">
        <v>4124.8</v>
      </c>
      <c r="X484">
        <v>4884.6000000000004</v>
      </c>
      <c r="Y484">
        <v>4884.6000000000004</v>
      </c>
      <c r="Z484">
        <v>3799.1</v>
      </c>
    </row>
    <row r="485" spans="17:26">
      <c r="Q485" t="s">
        <v>10</v>
      </c>
      <c r="R485">
        <v>417.79999999999995</v>
      </c>
      <c r="S485">
        <v>417.79999999999995</v>
      </c>
      <c r="T485">
        <v>261.2</v>
      </c>
      <c r="U485">
        <v>292.39999999999998</v>
      </c>
      <c r="V485">
        <v>417.79999999999995</v>
      </c>
      <c r="W485">
        <v>396.8</v>
      </c>
      <c r="X485">
        <v>470</v>
      </c>
      <c r="Y485">
        <v>470</v>
      </c>
      <c r="Z485">
        <v>365.6</v>
      </c>
    </row>
    <row r="486" spans="17:26">
      <c r="Q486" t="s">
        <v>164</v>
      </c>
      <c r="R486">
        <v>0.72199999999999998</v>
      </c>
      <c r="S486">
        <v>0.72199999999999998</v>
      </c>
      <c r="T486">
        <v>0.72199999999999998</v>
      </c>
      <c r="U486">
        <v>0.72199999999999998</v>
      </c>
      <c r="V486">
        <v>0.72199999999999998</v>
      </c>
      <c r="W486">
        <v>0.72199999999999998</v>
      </c>
      <c r="X486">
        <v>0.72199999999999998</v>
      </c>
      <c r="Y486">
        <v>0.72199999999999998</v>
      </c>
      <c r="Z486">
        <v>0.72199999999999998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D19C-0A8B-410D-B3B5-D7F397D6DA0B}">
  <dimension ref="A2:P15"/>
  <sheetViews>
    <sheetView zoomScaleNormal="100" workbookViewId="0"/>
  </sheetViews>
  <sheetFormatPr defaultColWidth="8.86328125" defaultRowHeight="14.25"/>
  <cols>
    <col min="1" max="1" width="2.265625" customWidth="1"/>
    <col min="2" max="2" width="13.3984375" bestFit="1" customWidth="1"/>
    <col min="3" max="3" width="14.265625" bestFit="1" customWidth="1"/>
    <col min="4" max="4" width="14.265625" customWidth="1"/>
    <col min="5" max="5" width="7.86328125" bestFit="1" customWidth="1"/>
    <col min="6" max="6" width="4" bestFit="1" customWidth="1"/>
    <col min="7" max="7" width="9.59765625" bestFit="1" customWidth="1"/>
    <col min="8" max="8" width="10.3984375" customWidth="1"/>
    <col min="9" max="9" width="11.265625" bestFit="1" customWidth="1"/>
    <col min="10" max="10" width="13.3984375" bestFit="1" customWidth="1"/>
    <col min="11" max="11" width="31.3984375" bestFit="1" customWidth="1"/>
    <col min="12" max="12" width="5" bestFit="1" customWidth="1"/>
    <col min="13" max="13" width="4.3984375" bestFit="1" customWidth="1"/>
    <col min="14" max="14" width="5.1328125" bestFit="1" customWidth="1"/>
    <col min="15" max="15" width="10.265625" bestFit="1" customWidth="1"/>
    <col min="16" max="16" width="7.86328125" bestFit="1" customWidth="1"/>
  </cols>
  <sheetData>
    <row r="2" spans="1:16" ht="17.649999999999999" thickBot="1">
      <c r="A2" s="15"/>
      <c r="B2" s="15"/>
      <c r="D2" s="10" t="s">
        <v>92</v>
      </c>
      <c r="I2" s="10" t="s">
        <v>95</v>
      </c>
      <c r="K2" s="16"/>
      <c r="L2" s="16"/>
      <c r="M2" s="16"/>
      <c r="N2" s="16"/>
      <c r="O2" s="16"/>
    </row>
    <row r="3" spans="1:16" ht="15" thickTop="1" thickBot="1">
      <c r="A3" s="17"/>
      <c r="B3" s="11" t="s">
        <v>120</v>
      </c>
      <c r="C3" s="11" t="s">
        <v>121</v>
      </c>
      <c r="D3" s="11" t="s">
        <v>122</v>
      </c>
      <c r="E3" s="11" t="s">
        <v>123</v>
      </c>
      <c r="F3" s="11" t="s">
        <v>124</v>
      </c>
      <c r="G3" s="11" t="s">
        <v>125</v>
      </c>
      <c r="H3" s="15"/>
      <c r="I3" s="11" t="s">
        <v>126</v>
      </c>
      <c r="J3" s="11" t="s">
        <v>120</v>
      </c>
      <c r="K3" s="11" t="s">
        <v>127</v>
      </c>
      <c r="L3" s="11" t="s">
        <v>128</v>
      </c>
      <c r="M3" s="11" t="s">
        <v>129</v>
      </c>
      <c r="N3" s="11" t="s">
        <v>130</v>
      </c>
      <c r="O3" s="11" t="s">
        <v>131</v>
      </c>
      <c r="P3" s="11" t="s">
        <v>132</v>
      </c>
    </row>
    <row r="4" spans="1:16">
      <c r="B4" s="16" t="str">
        <f>J4</f>
        <v>Sto-CO2_CB1</v>
      </c>
      <c r="C4" t="s">
        <v>133</v>
      </c>
      <c r="E4" s="18">
        <v>1E-3</v>
      </c>
      <c r="F4" s="19"/>
      <c r="G4" s="20"/>
      <c r="I4" s="16" t="s">
        <v>134</v>
      </c>
      <c r="J4" s="16" t="s">
        <v>135</v>
      </c>
      <c r="K4" t="s">
        <v>136</v>
      </c>
      <c r="L4" s="16"/>
      <c r="M4" s="16" t="s">
        <v>137</v>
      </c>
      <c r="N4" s="16" t="s">
        <v>138</v>
      </c>
      <c r="O4" s="16"/>
      <c r="P4" s="16"/>
    </row>
    <row r="5" spans="1:16">
      <c r="B5" s="16" t="str">
        <f t="shared" ref="B5:B13" si="0">J5</f>
        <v>Sto-CO2_CB2</v>
      </c>
      <c r="C5" t="s">
        <v>133</v>
      </c>
      <c r="E5" s="18">
        <v>1E-3</v>
      </c>
      <c r="F5" s="19"/>
      <c r="G5" s="20"/>
      <c r="I5" s="16"/>
      <c r="J5" s="16" t="s">
        <v>139</v>
      </c>
      <c r="K5" t="s">
        <v>140</v>
      </c>
      <c r="L5" s="16"/>
      <c r="M5" s="16" t="s">
        <v>137</v>
      </c>
      <c r="N5" s="16" t="s">
        <v>138</v>
      </c>
      <c r="O5" s="16"/>
      <c r="P5" s="16"/>
    </row>
    <row r="6" spans="1:16">
      <c r="B6" s="16" t="str">
        <f t="shared" si="0"/>
        <v>Sto-CO2_DGF</v>
      </c>
      <c r="C6" t="s">
        <v>133</v>
      </c>
      <c r="E6" s="18">
        <v>1E-3</v>
      </c>
      <c r="F6" s="19"/>
      <c r="G6" s="20"/>
      <c r="I6" s="16"/>
      <c r="J6" s="16" t="s">
        <v>141</v>
      </c>
      <c r="K6" t="s">
        <v>142</v>
      </c>
      <c r="L6" s="16"/>
      <c r="M6" s="16" t="s">
        <v>137</v>
      </c>
      <c r="N6" s="16" t="s">
        <v>138</v>
      </c>
      <c r="O6" s="16"/>
      <c r="P6" s="16"/>
    </row>
    <row r="7" spans="1:16">
      <c r="B7" s="16" t="str">
        <f t="shared" si="0"/>
        <v>Sto-CO2_DGO</v>
      </c>
      <c r="C7" t="s">
        <v>133</v>
      </c>
      <c r="E7" s="18">
        <v>1E-3</v>
      </c>
      <c r="F7" s="19"/>
      <c r="G7" s="20"/>
      <c r="I7" s="16"/>
      <c r="J7" s="16" t="s">
        <v>143</v>
      </c>
      <c r="K7" t="s">
        <v>144</v>
      </c>
      <c r="L7" s="16"/>
      <c r="M7" s="16" t="s">
        <v>137</v>
      </c>
      <c r="N7" s="16" t="s">
        <v>138</v>
      </c>
      <c r="O7" s="16"/>
      <c r="P7" s="16"/>
    </row>
    <row r="8" spans="1:16">
      <c r="B8" s="16" t="str">
        <f t="shared" si="0"/>
        <v>Sto-CO2_DOF</v>
      </c>
      <c r="C8" t="s">
        <v>133</v>
      </c>
      <c r="E8" s="18">
        <v>1E-3</v>
      </c>
      <c r="F8" s="19"/>
      <c r="G8" s="20"/>
      <c r="I8" s="16"/>
      <c r="J8" s="16" t="s">
        <v>145</v>
      </c>
      <c r="K8" t="s">
        <v>146</v>
      </c>
      <c r="L8" s="16"/>
      <c r="M8" s="16" t="s">
        <v>137</v>
      </c>
      <c r="N8" s="16" t="s">
        <v>138</v>
      </c>
      <c r="O8" s="16"/>
      <c r="P8" s="16"/>
    </row>
    <row r="9" spans="1:16">
      <c r="B9" s="16" t="str">
        <f t="shared" si="0"/>
        <v>Sto-CO2_DOO</v>
      </c>
      <c r="C9" t="s">
        <v>133</v>
      </c>
      <c r="E9" s="18">
        <v>1E-3</v>
      </c>
      <c r="F9" s="19"/>
      <c r="G9" s="20"/>
      <c r="I9" s="16"/>
      <c r="J9" s="16" t="s">
        <v>147</v>
      </c>
      <c r="K9" t="s">
        <v>148</v>
      </c>
      <c r="L9" s="16"/>
      <c r="M9" s="16" t="s">
        <v>137</v>
      </c>
      <c r="N9" s="16" t="s">
        <v>138</v>
      </c>
      <c r="O9" s="16"/>
      <c r="P9" s="16"/>
    </row>
    <row r="10" spans="1:16">
      <c r="B10" s="16" t="str">
        <f t="shared" si="0"/>
        <v>Sto-CO2_DSA</v>
      </c>
      <c r="C10" t="s">
        <v>133</v>
      </c>
      <c r="E10" s="18">
        <v>1E-3</v>
      </c>
      <c r="F10" s="19"/>
      <c r="G10" s="20"/>
      <c r="I10" s="16"/>
      <c r="J10" s="16" t="s">
        <v>149</v>
      </c>
      <c r="K10" t="s">
        <v>150</v>
      </c>
      <c r="L10" s="16"/>
      <c r="M10" s="16" t="s">
        <v>137</v>
      </c>
      <c r="N10" s="16" t="s">
        <v>138</v>
      </c>
      <c r="O10" s="16"/>
      <c r="P10" s="16"/>
    </row>
    <row r="11" spans="1:16">
      <c r="B11" s="16" t="str">
        <f t="shared" si="0"/>
        <v>Sto-CO2_DSO</v>
      </c>
      <c r="C11" t="s">
        <v>133</v>
      </c>
      <c r="E11" s="18">
        <v>1E-3</v>
      </c>
      <c r="F11" s="19"/>
      <c r="G11" s="20"/>
      <c r="I11" s="16"/>
      <c r="J11" s="16" t="s">
        <v>151</v>
      </c>
      <c r="K11" t="s">
        <v>152</v>
      </c>
      <c r="L11" s="16"/>
      <c r="M11" s="16" t="s">
        <v>137</v>
      </c>
      <c r="N11" s="16" t="s">
        <v>138</v>
      </c>
      <c r="O11" s="16"/>
      <c r="P11" s="16"/>
    </row>
    <row r="12" spans="1:16">
      <c r="B12" s="16" t="str">
        <f t="shared" si="0"/>
        <v>Sto-CO2_EOF</v>
      </c>
      <c r="C12" t="s">
        <v>133</v>
      </c>
      <c r="E12" s="18">
        <v>1E-3</v>
      </c>
      <c r="F12" s="19"/>
      <c r="G12" s="20"/>
      <c r="I12" s="16"/>
      <c r="J12" s="16" t="s">
        <v>153</v>
      </c>
      <c r="K12" t="s">
        <v>154</v>
      </c>
      <c r="L12" s="16"/>
      <c r="M12" s="16" t="s">
        <v>137</v>
      </c>
      <c r="N12" s="16" t="s">
        <v>138</v>
      </c>
      <c r="O12" s="16"/>
      <c r="P12" s="16"/>
    </row>
    <row r="13" spans="1:16">
      <c r="B13" s="16" t="str">
        <f t="shared" si="0"/>
        <v>Sto-CO2_EOR</v>
      </c>
      <c r="C13" t="s">
        <v>133</v>
      </c>
      <c r="E13" s="18">
        <v>1E-3</v>
      </c>
      <c r="F13" s="19"/>
      <c r="G13" s="20"/>
      <c r="I13" s="16"/>
      <c r="J13" s="16" t="s">
        <v>155</v>
      </c>
      <c r="K13" t="s">
        <v>156</v>
      </c>
      <c r="L13" s="16"/>
      <c r="M13" s="16" t="s">
        <v>137</v>
      </c>
      <c r="N13" s="16" t="s">
        <v>138</v>
      </c>
      <c r="O13" s="16"/>
      <c r="P13" s="16"/>
    </row>
    <row r="14" spans="1:16">
      <c r="B14" t="s">
        <v>157</v>
      </c>
      <c r="G14" s="20"/>
      <c r="I14" t="s">
        <v>157</v>
      </c>
    </row>
    <row r="15" spans="1:16">
      <c r="B15" s="16" t="str">
        <f>J15</f>
        <v>Pipeline-CO2</v>
      </c>
      <c r="C15" t="s">
        <v>158</v>
      </c>
      <c r="D15" t="str">
        <f>C7</f>
        <v>CO2ForStorage</v>
      </c>
      <c r="E15">
        <v>0.01</v>
      </c>
      <c r="F15">
        <v>1</v>
      </c>
      <c r="G15" s="20"/>
      <c r="I15" t="s">
        <v>134</v>
      </c>
      <c r="J15" s="16" t="s">
        <v>159</v>
      </c>
      <c r="K15" s="16" t="s">
        <v>160</v>
      </c>
      <c r="M15" s="16" t="s">
        <v>137</v>
      </c>
      <c r="N15" s="16" t="s">
        <v>138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00AD-5BC4-4FEE-8E6B-F568393116DA}">
  <dimension ref="A3:J487"/>
  <sheetViews>
    <sheetView workbookViewId="0">
      <selection activeCell="B10" sqref="A3:J487"/>
    </sheetView>
  </sheetViews>
  <sheetFormatPr defaultRowHeight="14.25"/>
  <cols>
    <col min="1" max="1" width="24.86328125" bestFit="1" customWidth="1"/>
    <col min="2" max="2" width="14.73046875" bestFit="1" customWidth="1"/>
    <col min="3" max="3" width="10.19921875" bestFit="1" customWidth="1"/>
    <col min="4" max="4" width="10.1328125" bestFit="1" customWidth="1"/>
    <col min="5" max="5" width="9.6640625" bestFit="1" customWidth="1"/>
    <col min="6" max="6" width="10.1328125" bestFit="1" customWidth="1"/>
    <col min="7" max="7" width="10.59765625" bestFit="1" customWidth="1"/>
    <col min="8" max="8" width="18.796875" bestFit="1" customWidth="1"/>
    <col min="9" max="9" width="16.59765625" bestFit="1" customWidth="1"/>
    <col min="10" max="10" width="15.59765625" bestFit="1" customWidth="1"/>
    <col min="11" max="11" width="10.73046875" bestFit="1" customWidth="1"/>
  </cols>
  <sheetData>
    <row r="3" spans="1:10">
      <c r="A3" s="1" t="s">
        <v>18</v>
      </c>
      <c r="B3" s="1" t="s">
        <v>19</v>
      </c>
    </row>
    <row r="4" spans="1:10">
      <c r="A4" s="1" t="s">
        <v>17</v>
      </c>
      <c r="B4" t="s">
        <v>27</v>
      </c>
      <c r="C4" t="s">
        <v>28</v>
      </c>
      <c r="D4" t="s">
        <v>24</v>
      </c>
      <c r="E4" t="s">
        <v>25</v>
      </c>
      <c r="F4" t="s">
        <v>22</v>
      </c>
      <c r="G4" t="s">
        <v>23</v>
      </c>
      <c r="H4" t="s">
        <v>20</v>
      </c>
      <c r="I4" t="s">
        <v>21</v>
      </c>
      <c r="J4" t="s">
        <v>26</v>
      </c>
    </row>
    <row r="5" spans="1:10">
      <c r="A5" s="2">
        <v>2022</v>
      </c>
    </row>
    <row r="6" spans="1:10">
      <c r="A6" s="3" t="s">
        <v>29</v>
      </c>
    </row>
    <row r="7" spans="1:10">
      <c r="A7" s="4" t="s">
        <v>6</v>
      </c>
      <c r="B7">
        <v>700</v>
      </c>
      <c r="C7">
        <v>700</v>
      </c>
      <c r="D7">
        <v>560</v>
      </c>
      <c r="E7">
        <v>700</v>
      </c>
      <c r="F7">
        <v>1100</v>
      </c>
      <c r="G7">
        <v>800</v>
      </c>
      <c r="H7">
        <v>1000</v>
      </c>
      <c r="I7">
        <v>1000</v>
      </c>
      <c r="J7">
        <v>800</v>
      </c>
    </row>
    <row r="8" spans="1:10">
      <c r="A8" s="4" t="s">
        <v>12</v>
      </c>
      <c r="B8">
        <v>0.57999999999999996</v>
      </c>
      <c r="C8">
        <v>0.57999999999999996</v>
      </c>
      <c r="D8">
        <v>0.56999999999999995</v>
      </c>
      <c r="E8">
        <v>0.56000000000000005</v>
      </c>
      <c r="F8">
        <v>0.59</v>
      </c>
      <c r="G8">
        <v>0.56999999999999995</v>
      </c>
      <c r="H8">
        <v>0.59</v>
      </c>
      <c r="I8">
        <v>0.59</v>
      </c>
      <c r="J8">
        <v>0.56999999999999995</v>
      </c>
    </row>
    <row r="9" spans="1:10">
      <c r="A9" s="4" t="s">
        <v>10</v>
      </c>
      <c r="B9">
        <v>25</v>
      </c>
      <c r="C9">
        <v>25</v>
      </c>
      <c r="D9">
        <v>20</v>
      </c>
      <c r="E9">
        <v>25</v>
      </c>
      <c r="F9">
        <v>30</v>
      </c>
      <c r="G9">
        <v>30</v>
      </c>
      <c r="H9">
        <v>25</v>
      </c>
      <c r="I9">
        <v>25</v>
      </c>
      <c r="J9">
        <v>30</v>
      </c>
    </row>
    <row r="10" spans="1:10">
      <c r="A10" s="4" t="s">
        <v>164</v>
      </c>
      <c r="B10">
        <v>0.60299999999999998</v>
      </c>
      <c r="C10">
        <v>0.60299999999999998</v>
      </c>
      <c r="D10">
        <v>0.60299999999999998</v>
      </c>
      <c r="E10">
        <v>0.60299999999999998</v>
      </c>
      <c r="F10">
        <v>0.60299999999999998</v>
      </c>
      <c r="G10">
        <v>0.60299999999999998</v>
      </c>
      <c r="H10">
        <v>0.60299999999999998</v>
      </c>
      <c r="I10">
        <v>0.60299999999999998</v>
      </c>
      <c r="J10">
        <v>0.60299999999999998</v>
      </c>
    </row>
    <row r="11" spans="1:10">
      <c r="A11" s="3" t="s">
        <v>30</v>
      </c>
    </row>
    <row r="12" spans="1:10">
      <c r="A12" s="4" t="s">
        <v>6</v>
      </c>
      <c r="B12">
        <v>400</v>
      </c>
      <c r="C12">
        <v>400</v>
      </c>
      <c r="D12">
        <v>350</v>
      </c>
      <c r="E12">
        <v>400</v>
      </c>
      <c r="F12">
        <v>500</v>
      </c>
      <c r="G12">
        <v>450</v>
      </c>
      <c r="H12">
        <v>500</v>
      </c>
      <c r="I12">
        <v>500</v>
      </c>
      <c r="J12">
        <v>450</v>
      </c>
    </row>
    <row r="13" spans="1:10">
      <c r="A13" s="4" t="s">
        <v>12</v>
      </c>
      <c r="B13">
        <v>0.38</v>
      </c>
      <c r="C13">
        <v>0.38</v>
      </c>
      <c r="D13">
        <v>0.38</v>
      </c>
      <c r="E13">
        <v>0.38</v>
      </c>
      <c r="F13">
        <v>0.4</v>
      </c>
      <c r="G13">
        <v>0.38</v>
      </c>
      <c r="H13">
        <v>0.4</v>
      </c>
      <c r="I13">
        <v>0.4</v>
      </c>
      <c r="J13">
        <v>0.38</v>
      </c>
    </row>
    <row r="14" spans="1:10">
      <c r="A14" s="4" t="s">
        <v>10</v>
      </c>
      <c r="B14">
        <v>20</v>
      </c>
      <c r="C14">
        <v>20</v>
      </c>
      <c r="D14">
        <v>20</v>
      </c>
      <c r="E14">
        <v>20</v>
      </c>
      <c r="F14">
        <v>20</v>
      </c>
      <c r="G14">
        <v>25</v>
      </c>
      <c r="H14">
        <v>20</v>
      </c>
      <c r="I14">
        <v>20</v>
      </c>
      <c r="J14">
        <v>25</v>
      </c>
    </row>
    <row r="15" spans="1:10">
      <c r="A15" s="4" t="s">
        <v>164</v>
      </c>
      <c r="B15">
        <v>1.9279999999999999</v>
      </c>
      <c r="C15">
        <v>1.9279999999999999</v>
      </c>
      <c r="D15">
        <v>1.9279999999999999</v>
      </c>
      <c r="E15">
        <v>1.9279999999999999</v>
      </c>
      <c r="F15">
        <v>1.9279999999999999</v>
      </c>
      <c r="G15">
        <v>1.9279999999999999</v>
      </c>
      <c r="H15">
        <v>1.9279999999999999</v>
      </c>
      <c r="I15">
        <v>1.9279999999999999</v>
      </c>
      <c r="J15">
        <v>1.9279999999999999</v>
      </c>
    </row>
    <row r="16" spans="1:10">
      <c r="A16" s="3" t="s">
        <v>31</v>
      </c>
    </row>
    <row r="17" spans="1:10">
      <c r="A17" s="4" t="s">
        <v>6</v>
      </c>
      <c r="B17">
        <v>920</v>
      </c>
      <c r="C17">
        <v>920</v>
      </c>
      <c r="D17">
        <v>720</v>
      </c>
      <c r="E17">
        <v>920</v>
      </c>
      <c r="F17">
        <v>1440</v>
      </c>
      <c r="G17">
        <v>1040</v>
      </c>
      <c r="H17">
        <v>1300</v>
      </c>
      <c r="I17">
        <v>1300</v>
      </c>
      <c r="J17">
        <v>1040</v>
      </c>
    </row>
    <row r="18" spans="1:10">
      <c r="A18" s="4" t="s">
        <v>12</v>
      </c>
      <c r="B18">
        <v>0.52700000000000002</v>
      </c>
      <c r="C18">
        <v>0.52700000000000002</v>
      </c>
      <c r="D18">
        <v>0.52</v>
      </c>
      <c r="E18">
        <v>0.51400000000000001</v>
      </c>
      <c r="F18">
        <v>0.53300000000000003</v>
      </c>
      <c r="G18">
        <v>0.52</v>
      </c>
      <c r="H18">
        <v>0.53300000000000003</v>
      </c>
      <c r="I18">
        <v>0.53300000000000003</v>
      </c>
      <c r="J18">
        <v>0.52</v>
      </c>
    </row>
    <row r="19" spans="1:10">
      <c r="A19" s="4" t="s">
        <v>10</v>
      </c>
      <c r="B19">
        <v>35</v>
      </c>
      <c r="C19">
        <v>35</v>
      </c>
      <c r="D19">
        <v>30</v>
      </c>
      <c r="E19">
        <v>35</v>
      </c>
      <c r="F19">
        <v>45</v>
      </c>
      <c r="G19">
        <v>40</v>
      </c>
      <c r="H19">
        <v>40</v>
      </c>
      <c r="I19">
        <v>40</v>
      </c>
      <c r="J19">
        <v>40</v>
      </c>
    </row>
    <row r="20" spans="1:10">
      <c r="A20" s="4" t="s">
        <v>164</v>
      </c>
      <c r="B20">
        <v>0.69399999999999995</v>
      </c>
      <c r="C20">
        <v>0.69399999999999995</v>
      </c>
      <c r="D20">
        <v>0.69399999999999995</v>
      </c>
      <c r="E20">
        <v>0.69399999999999995</v>
      </c>
      <c r="F20">
        <v>0.69399999999999995</v>
      </c>
      <c r="G20">
        <v>0.69399999999999995</v>
      </c>
      <c r="H20">
        <v>0.69399999999999995</v>
      </c>
      <c r="I20">
        <v>0.69399999999999995</v>
      </c>
      <c r="J20">
        <v>0.69399999999999995</v>
      </c>
    </row>
    <row r="21" spans="1:10">
      <c r="A21" s="3" t="s">
        <v>32</v>
      </c>
    </row>
    <row r="22" spans="1:10">
      <c r="A22" s="4" t="s">
        <v>6</v>
      </c>
      <c r="B22">
        <v>5000</v>
      </c>
      <c r="C22">
        <v>5000</v>
      </c>
      <c r="D22">
        <v>5000</v>
      </c>
      <c r="E22">
        <v>5000</v>
      </c>
      <c r="F22">
        <v>5000</v>
      </c>
      <c r="G22">
        <v>5000</v>
      </c>
      <c r="H22">
        <v>5000</v>
      </c>
      <c r="I22">
        <v>5000</v>
      </c>
      <c r="J22">
        <v>5000</v>
      </c>
    </row>
    <row r="23" spans="1:10">
      <c r="A23" s="4" t="s">
        <v>12</v>
      </c>
      <c r="B23">
        <v>0.46</v>
      </c>
      <c r="C23">
        <v>0.46</v>
      </c>
      <c r="D23">
        <v>0.46</v>
      </c>
      <c r="E23">
        <v>0.46</v>
      </c>
      <c r="F23">
        <v>0.46</v>
      </c>
      <c r="G23">
        <v>0.46</v>
      </c>
      <c r="H23">
        <v>0.46</v>
      </c>
      <c r="I23">
        <v>0.46</v>
      </c>
      <c r="J23">
        <v>0.46</v>
      </c>
    </row>
    <row r="24" spans="1:10">
      <c r="A24" s="4" t="s">
        <v>10</v>
      </c>
      <c r="B24">
        <v>150</v>
      </c>
      <c r="C24">
        <v>150</v>
      </c>
      <c r="D24">
        <v>150</v>
      </c>
      <c r="E24">
        <v>150</v>
      </c>
      <c r="F24">
        <v>100</v>
      </c>
      <c r="G24">
        <v>150</v>
      </c>
      <c r="H24">
        <v>100</v>
      </c>
      <c r="I24">
        <v>100</v>
      </c>
      <c r="J24">
        <v>150</v>
      </c>
    </row>
    <row r="25" spans="1:10">
      <c r="A25" s="4" t="s">
        <v>164</v>
      </c>
      <c r="B25">
        <v>0.83299999999999996</v>
      </c>
      <c r="C25">
        <v>0.83299999999999996</v>
      </c>
      <c r="D25">
        <v>0.83299999999999996</v>
      </c>
      <c r="E25">
        <v>0.83299999999999996</v>
      </c>
      <c r="F25">
        <v>0.83299999999999996</v>
      </c>
      <c r="G25">
        <v>0.83299999999999996</v>
      </c>
      <c r="H25">
        <v>0.83299999999999996</v>
      </c>
      <c r="I25">
        <v>0.83299999999999996</v>
      </c>
      <c r="J25">
        <v>0.83299999999999996</v>
      </c>
    </row>
    <row r="26" spans="1:10">
      <c r="A26" s="3" t="s">
        <v>33</v>
      </c>
    </row>
    <row r="27" spans="1:10">
      <c r="A27" s="4" t="s">
        <v>6</v>
      </c>
      <c r="B27">
        <v>1300</v>
      </c>
      <c r="C27">
        <v>1300</v>
      </c>
      <c r="D27">
        <v>600</v>
      </c>
      <c r="E27">
        <v>1000</v>
      </c>
      <c r="F27">
        <v>2100</v>
      </c>
      <c r="G27">
        <v>1700</v>
      </c>
      <c r="H27">
        <v>1700</v>
      </c>
      <c r="I27">
        <v>1800</v>
      </c>
      <c r="J27">
        <v>1300</v>
      </c>
    </row>
    <row r="28" spans="1:10">
      <c r="A28" s="4" t="s">
        <v>12</v>
      </c>
      <c r="B28">
        <v>0.35</v>
      </c>
      <c r="C28">
        <v>0.39</v>
      </c>
      <c r="D28">
        <v>0.37</v>
      </c>
      <c r="E28">
        <v>0.36</v>
      </c>
      <c r="F28">
        <v>0.39</v>
      </c>
      <c r="G28">
        <v>0.39</v>
      </c>
      <c r="H28">
        <v>0.39</v>
      </c>
      <c r="I28">
        <v>0.39</v>
      </c>
      <c r="J28">
        <v>0.37</v>
      </c>
    </row>
    <row r="29" spans="1:10">
      <c r="A29" s="4" t="s">
        <v>10</v>
      </c>
      <c r="B29">
        <v>45</v>
      </c>
      <c r="C29">
        <v>45</v>
      </c>
      <c r="D29">
        <v>20</v>
      </c>
      <c r="E29">
        <v>35</v>
      </c>
      <c r="F29">
        <v>55</v>
      </c>
      <c r="G29">
        <v>50</v>
      </c>
      <c r="H29">
        <v>45</v>
      </c>
      <c r="I29">
        <v>45</v>
      </c>
      <c r="J29">
        <v>45</v>
      </c>
    </row>
    <row r="30" spans="1:10">
      <c r="A30" s="4" t="s">
        <v>164</v>
      </c>
      <c r="B30">
        <v>2.3610000000000002</v>
      </c>
      <c r="C30">
        <v>2.3610000000000002</v>
      </c>
      <c r="D30">
        <v>2.3610000000000002</v>
      </c>
      <c r="E30">
        <v>2.3610000000000002</v>
      </c>
      <c r="F30">
        <v>2.3610000000000002</v>
      </c>
      <c r="G30">
        <v>2.3610000000000002</v>
      </c>
      <c r="H30">
        <v>2.3610000000000002</v>
      </c>
      <c r="I30">
        <v>2.3610000000000002</v>
      </c>
      <c r="J30">
        <v>2.3610000000000002</v>
      </c>
    </row>
    <row r="31" spans="1:10">
      <c r="A31" s="3" t="s">
        <v>34</v>
      </c>
    </row>
    <row r="32" spans="1:10">
      <c r="A32" s="4" t="s">
        <v>6</v>
      </c>
      <c r="B32">
        <v>1600</v>
      </c>
      <c r="C32">
        <v>1600</v>
      </c>
      <c r="D32">
        <v>700</v>
      </c>
      <c r="E32">
        <v>1200</v>
      </c>
      <c r="F32">
        <v>2400</v>
      </c>
      <c r="G32">
        <v>2000</v>
      </c>
      <c r="H32">
        <v>2000</v>
      </c>
      <c r="I32">
        <v>2100</v>
      </c>
      <c r="J32">
        <v>1600</v>
      </c>
    </row>
    <row r="33" spans="1:10">
      <c r="A33" s="4" t="s">
        <v>12</v>
      </c>
      <c r="B33">
        <v>0.39</v>
      </c>
      <c r="C33">
        <v>0.43</v>
      </c>
      <c r="D33">
        <v>0.41</v>
      </c>
      <c r="E33">
        <v>0.4</v>
      </c>
      <c r="F33">
        <v>0.43</v>
      </c>
      <c r="G33">
        <v>0.43</v>
      </c>
      <c r="H33">
        <v>0.43</v>
      </c>
      <c r="I33">
        <v>0.43</v>
      </c>
      <c r="J33">
        <v>0.41</v>
      </c>
    </row>
    <row r="34" spans="1:10">
      <c r="A34" s="4" t="s">
        <v>10</v>
      </c>
      <c r="B34">
        <v>55</v>
      </c>
      <c r="C34">
        <v>65</v>
      </c>
      <c r="D34">
        <v>30</v>
      </c>
      <c r="E34">
        <v>50</v>
      </c>
      <c r="F34">
        <v>70</v>
      </c>
      <c r="G34">
        <v>70</v>
      </c>
      <c r="H34">
        <v>60</v>
      </c>
      <c r="I34">
        <v>65</v>
      </c>
      <c r="J34">
        <v>65</v>
      </c>
    </row>
    <row r="35" spans="1:10">
      <c r="A35" s="4" t="s">
        <v>164</v>
      </c>
      <c r="B35">
        <v>2.5830000000000002</v>
      </c>
      <c r="C35">
        <v>2.5830000000000002</v>
      </c>
      <c r="D35">
        <v>2.5830000000000002</v>
      </c>
      <c r="E35">
        <v>2.5830000000000002</v>
      </c>
      <c r="F35">
        <v>2.5830000000000002</v>
      </c>
      <c r="G35">
        <v>2.5830000000000002</v>
      </c>
      <c r="H35">
        <v>2.5830000000000002</v>
      </c>
      <c r="I35">
        <v>2.5830000000000002</v>
      </c>
      <c r="J35">
        <v>2.5830000000000002</v>
      </c>
    </row>
    <row r="36" spans="1:10">
      <c r="A36" s="3" t="s">
        <v>35</v>
      </c>
    </row>
    <row r="37" spans="1:10">
      <c r="A37" s="4" t="s">
        <v>6</v>
      </c>
      <c r="B37">
        <v>1900</v>
      </c>
      <c r="C37">
        <v>1800</v>
      </c>
      <c r="D37">
        <v>800</v>
      </c>
      <c r="E37">
        <v>1400</v>
      </c>
      <c r="F37">
        <v>2600</v>
      </c>
      <c r="G37">
        <v>2200</v>
      </c>
      <c r="H37">
        <v>2200</v>
      </c>
      <c r="I37">
        <v>2300</v>
      </c>
      <c r="J37">
        <v>1600</v>
      </c>
    </row>
    <row r="38" spans="1:10">
      <c r="A38" s="4" t="s">
        <v>12</v>
      </c>
      <c r="B38">
        <v>0.42</v>
      </c>
      <c r="C38">
        <v>0.45</v>
      </c>
      <c r="D38">
        <v>0.44</v>
      </c>
      <c r="E38">
        <v>0.4</v>
      </c>
      <c r="F38">
        <v>0.45</v>
      </c>
      <c r="G38">
        <v>0.45</v>
      </c>
      <c r="H38">
        <v>0.45</v>
      </c>
      <c r="I38">
        <v>0.45</v>
      </c>
      <c r="J38">
        <v>0.43</v>
      </c>
    </row>
    <row r="39" spans="1:10">
      <c r="A39" s="4" t="s">
        <v>10</v>
      </c>
      <c r="B39">
        <v>70</v>
      </c>
      <c r="C39">
        <v>70</v>
      </c>
      <c r="D39">
        <v>30</v>
      </c>
      <c r="E39">
        <v>55</v>
      </c>
      <c r="F39">
        <v>80</v>
      </c>
      <c r="G39">
        <v>65</v>
      </c>
      <c r="H39">
        <v>65</v>
      </c>
      <c r="I39">
        <v>70</v>
      </c>
      <c r="J39">
        <v>65</v>
      </c>
    </row>
    <row r="40" spans="1:10">
      <c r="A40" s="4" t="s">
        <v>164</v>
      </c>
      <c r="B40">
        <v>2.6389999999999998</v>
      </c>
      <c r="C40">
        <v>2.6389999999999998</v>
      </c>
      <c r="D40">
        <v>2.6389999999999998</v>
      </c>
      <c r="E40">
        <v>2.6389999999999998</v>
      </c>
      <c r="F40">
        <v>2.6389999999999998</v>
      </c>
      <c r="G40">
        <v>2.6389999999999998</v>
      </c>
      <c r="H40">
        <v>2.6389999999999998</v>
      </c>
      <c r="I40">
        <v>2.6389999999999998</v>
      </c>
      <c r="J40">
        <v>2.6389999999999998</v>
      </c>
    </row>
    <row r="41" spans="1:10">
      <c r="A41" s="3" t="s">
        <v>36</v>
      </c>
    </row>
    <row r="42" spans="1:10">
      <c r="A42" s="4" t="s">
        <v>6</v>
      </c>
      <c r="B42">
        <v>2200</v>
      </c>
      <c r="C42">
        <v>2000</v>
      </c>
      <c r="D42">
        <v>1100</v>
      </c>
      <c r="E42">
        <v>1600</v>
      </c>
      <c r="F42">
        <v>2900</v>
      </c>
      <c r="G42">
        <v>2500</v>
      </c>
      <c r="H42">
        <v>2500</v>
      </c>
      <c r="I42">
        <v>2600</v>
      </c>
      <c r="J42">
        <v>2000</v>
      </c>
    </row>
    <row r="43" spans="1:10">
      <c r="A43" s="4" t="s">
        <v>12</v>
      </c>
      <c r="B43">
        <v>0.4</v>
      </c>
      <c r="C43">
        <v>0.44</v>
      </c>
      <c r="D43">
        <v>0.43</v>
      </c>
      <c r="E43">
        <v>0.41</v>
      </c>
      <c r="F43">
        <v>0.44</v>
      </c>
      <c r="G43">
        <v>0.44</v>
      </c>
      <c r="H43">
        <v>0.44</v>
      </c>
      <c r="I43">
        <v>0.44</v>
      </c>
      <c r="J43">
        <v>0.42</v>
      </c>
    </row>
    <row r="44" spans="1:10">
      <c r="A44" s="4" t="s">
        <v>10</v>
      </c>
      <c r="B44">
        <v>90</v>
      </c>
      <c r="C44">
        <v>90</v>
      </c>
      <c r="D44">
        <v>50</v>
      </c>
      <c r="E44">
        <v>70</v>
      </c>
      <c r="F44">
        <v>100</v>
      </c>
      <c r="G44">
        <v>90</v>
      </c>
      <c r="H44">
        <v>95</v>
      </c>
      <c r="I44">
        <v>90</v>
      </c>
      <c r="J44">
        <v>90</v>
      </c>
    </row>
    <row r="45" spans="1:10">
      <c r="A45" s="3" t="s">
        <v>37</v>
      </c>
    </row>
    <row r="46" spans="1:10">
      <c r="A46" s="4" t="s">
        <v>6</v>
      </c>
      <c r="B46">
        <v>4500</v>
      </c>
      <c r="C46">
        <v>4300</v>
      </c>
      <c r="D46">
        <v>3400</v>
      </c>
      <c r="E46">
        <v>3900</v>
      </c>
      <c r="F46">
        <v>5900</v>
      </c>
      <c r="G46">
        <v>5100</v>
      </c>
      <c r="H46">
        <v>5500</v>
      </c>
      <c r="I46">
        <v>5600</v>
      </c>
      <c r="J46">
        <v>4500</v>
      </c>
    </row>
    <row r="47" spans="1:10">
      <c r="A47" s="4" t="s">
        <v>12</v>
      </c>
      <c r="B47">
        <v>0.32</v>
      </c>
      <c r="D47">
        <v>0.35</v>
      </c>
      <c r="E47">
        <v>0.31</v>
      </c>
      <c r="F47">
        <v>0.36</v>
      </c>
      <c r="G47">
        <v>0.36</v>
      </c>
      <c r="H47">
        <v>0.36</v>
      </c>
      <c r="I47">
        <v>0.36</v>
      </c>
    </row>
    <row r="48" spans="1:10">
      <c r="A48" s="4" t="s">
        <v>10</v>
      </c>
      <c r="B48">
        <v>175</v>
      </c>
      <c r="C48">
        <v>170</v>
      </c>
      <c r="D48">
        <v>135</v>
      </c>
      <c r="E48">
        <v>155</v>
      </c>
      <c r="F48">
        <v>175</v>
      </c>
      <c r="G48">
        <v>180</v>
      </c>
      <c r="H48">
        <v>165</v>
      </c>
      <c r="I48">
        <v>170</v>
      </c>
      <c r="J48">
        <v>180</v>
      </c>
    </row>
    <row r="49" spans="1:10">
      <c r="A49" s="4" t="s">
        <v>164</v>
      </c>
      <c r="B49">
        <v>4.4779999999999998</v>
      </c>
      <c r="C49">
        <v>4.4779999999999998</v>
      </c>
      <c r="D49">
        <v>4.4779999999999998</v>
      </c>
      <c r="E49">
        <v>4.4779999999999998</v>
      </c>
      <c r="F49">
        <v>4.4779999999999998</v>
      </c>
      <c r="G49">
        <v>4.4779999999999998</v>
      </c>
      <c r="H49">
        <v>4.4779999999999998</v>
      </c>
      <c r="I49">
        <v>4.4779999999999998</v>
      </c>
      <c r="J49">
        <v>4.4779999999999998</v>
      </c>
    </row>
    <row r="50" spans="1:10">
      <c r="A50" s="3" t="s">
        <v>38</v>
      </c>
    </row>
    <row r="51" spans="1:10">
      <c r="A51" s="4" t="s">
        <v>6</v>
      </c>
      <c r="B51">
        <v>4800</v>
      </c>
      <c r="C51">
        <v>4700</v>
      </c>
      <c r="D51">
        <v>3500</v>
      </c>
      <c r="E51">
        <v>4100</v>
      </c>
      <c r="F51">
        <v>6100</v>
      </c>
      <c r="G51">
        <v>5300</v>
      </c>
      <c r="H51">
        <v>5700</v>
      </c>
      <c r="I51">
        <v>5800</v>
      </c>
      <c r="J51">
        <v>4300</v>
      </c>
    </row>
    <row r="52" spans="1:10">
      <c r="A52" s="4" t="s">
        <v>12</v>
      </c>
      <c r="B52">
        <v>0.33</v>
      </c>
      <c r="D52">
        <v>0.35</v>
      </c>
      <c r="E52">
        <v>0.31</v>
      </c>
      <c r="F52">
        <v>0.36</v>
      </c>
      <c r="G52">
        <v>0.36</v>
      </c>
      <c r="H52">
        <v>0.36</v>
      </c>
      <c r="I52">
        <v>0.36</v>
      </c>
    </row>
    <row r="53" spans="1:10">
      <c r="A53" s="4" t="s">
        <v>10</v>
      </c>
      <c r="B53">
        <v>185</v>
      </c>
      <c r="C53">
        <v>190</v>
      </c>
      <c r="D53">
        <v>140</v>
      </c>
      <c r="E53">
        <v>165</v>
      </c>
      <c r="F53">
        <v>185</v>
      </c>
      <c r="G53">
        <v>160</v>
      </c>
      <c r="H53">
        <v>170</v>
      </c>
      <c r="I53">
        <v>175</v>
      </c>
      <c r="J53">
        <v>170</v>
      </c>
    </row>
    <row r="54" spans="1:10">
      <c r="A54" s="4" t="s">
        <v>164</v>
      </c>
      <c r="B54">
        <v>4.306</v>
      </c>
      <c r="C54">
        <v>4.306</v>
      </c>
      <c r="D54">
        <v>4.306</v>
      </c>
      <c r="E54">
        <v>4.306</v>
      </c>
      <c r="F54">
        <v>4.306</v>
      </c>
      <c r="G54">
        <v>4.306</v>
      </c>
      <c r="H54">
        <v>4.306</v>
      </c>
      <c r="I54">
        <v>4.306</v>
      </c>
      <c r="J54">
        <v>4.306</v>
      </c>
    </row>
    <row r="55" spans="1:10">
      <c r="A55" s="3" t="s">
        <v>39</v>
      </c>
    </row>
    <row r="56" spans="1:10">
      <c r="A56" s="4" t="s">
        <v>6</v>
      </c>
      <c r="B56">
        <v>4850</v>
      </c>
      <c r="C56">
        <v>4550</v>
      </c>
      <c r="D56">
        <v>3650</v>
      </c>
      <c r="E56">
        <v>4150</v>
      </c>
      <c r="F56">
        <v>6250</v>
      </c>
      <c r="G56">
        <v>5450</v>
      </c>
      <c r="H56">
        <v>5850</v>
      </c>
      <c r="I56">
        <v>5950</v>
      </c>
      <c r="J56">
        <v>5100</v>
      </c>
    </row>
    <row r="57" spans="1:10">
      <c r="A57" s="4" t="s">
        <v>12</v>
      </c>
      <c r="B57">
        <v>0.32</v>
      </c>
      <c r="D57">
        <v>0.34</v>
      </c>
      <c r="E57">
        <v>0.32</v>
      </c>
      <c r="F57">
        <v>0.35</v>
      </c>
      <c r="G57">
        <v>0.35</v>
      </c>
      <c r="H57">
        <v>0.35</v>
      </c>
      <c r="I57">
        <v>0.35</v>
      </c>
    </row>
    <row r="58" spans="1:10">
      <c r="A58" s="4" t="s">
        <v>10</v>
      </c>
      <c r="B58">
        <v>220</v>
      </c>
      <c r="C58">
        <v>205</v>
      </c>
      <c r="D58">
        <v>165</v>
      </c>
      <c r="E58">
        <v>200</v>
      </c>
      <c r="F58">
        <v>220</v>
      </c>
      <c r="G58">
        <v>190</v>
      </c>
      <c r="H58">
        <v>205</v>
      </c>
      <c r="I58">
        <v>210</v>
      </c>
      <c r="J58">
        <v>230</v>
      </c>
    </row>
    <row r="59" spans="1:10">
      <c r="A59" s="4" t="s">
        <v>164</v>
      </c>
      <c r="B59">
        <v>4.5830000000000002</v>
      </c>
      <c r="C59">
        <v>4.5830000000000002</v>
      </c>
      <c r="D59">
        <v>4.5830000000000002</v>
      </c>
      <c r="E59">
        <v>4.5830000000000002</v>
      </c>
      <c r="F59">
        <v>4.5830000000000002</v>
      </c>
      <c r="G59">
        <v>4.5830000000000002</v>
      </c>
      <c r="H59">
        <v>4.5830000000000002</v>
      </c>
      <c r="I59">
        <v>4.5830000000000002</v>
      </c>
      <c r="J59">
        <v>4.5830000000000002</v>
      </c>
    </row>
    <row r="60" spans="1:10">
      <c r="A60" s="3" t="s">
        <v>40</v>
      </c>
    </row>
    <row r="61" spans="1:10">
      <c r="A61" s="4" t="s">
        <v>6</v>
      </c>
      <c r="B61">
        <v>2450</v>
      </c>
      <c r="C61">
        <v>1650</v>
      </c>
      <c r="D61">
        <v>2200</v>
      </c>
      <c r="E61">
        <v>2300</v>
      </c>
      <c r="F61">
        <v>3200</v>
      </c>
      <c r="G61">
        <v>2650</v>
      </c>
      <c r="H61">
        <v>3100</v>
      </c>
      <c r="I61">
        <v>3100</v>
      </c>
      <c r="J61">
        <v>2800</v>
      </c>
    </row>
    <row r="62" spans="1:10">
      <c r="A62" s="4" t="s">
        <v>12</v>
      </c>
      <c r="B62">
        <v>0.5</v>
      </c>
      <c r="D62">
        <v>0.49</v>
      </c>
      <c r="E62">
        <v>0.48</v>
      </c>
      <c r="F62">
        <v>0.51</v>
      </c>
      <c r="G62">
        <v>0.49</v>
      </c>
      <c r="H62">
        <v>0.51</v>
      </c>
      <c r="I62">
        <v>0.51</v>
      </c>
      <c r="J62">
        <v>0.49</v>
      </c>
    </row>
    <row r="63" spans="1:10">
      <c r="A63" s="4" t="s">
        <v>10</v>
      </c>
      <c r="B63">
        <v>85</v>
      </c>
      <c r="C63">
        <v>55</v>
      </c>
      <c r="D63">
        <v>70</v>
      </c>
      <c r="E63">
        <v>80</v>
      </c>
      <c r="F63">
        <v>80</v>
      </c>
      <c r="G63">
        <v>95</v>
      </c>
      <c r="H63">
        <v>80</v>
      </c>
      <c r="I63">
        <v>80</v>
      </c>
      <c r="J63">
        <v>100</v>
      </c>
    </row>
    <row r="64" spans="1:10">
      <c r="A64" s="4" t="s">
        <v>164</v>
      </c>
      <c r="B64">
        <v>1.35</v>
      </c>
      <c r="C64">
        <v>1.35</v>
      </c>
      <c r="D64">
        <v>1.35</v>
      </c>
      <c r="E64">
        <v>1.35</v>
      </c>
      <c r="F64">
        <v>1.35</v>
      </c>
      <c r="G64">
        <v>1.35</v>
      </c>
      <c r="H64">
        <v>1.35</v>
      </c>
      <c r="I64">
        <v>1.35</v>
      </c>
      <c r="J64">
        <v>1.35</v>
      </c>
    </row>
    <row r="65" spans="1:10">
      <c r="A65" s="3" t="s">
        <v>41</v>
      </c>
    </row>
    <row r="66" spans="1:10">
      <c r="A66" s="4" t="s">
        <v>6</v>
      </c>
      <c r="B66">
        <v>4000</v>
      </c>
      <c r="C66">
        <v>4000</v>
      </c>
      <c r="D66">
        <v>2800</v>
      </c>
      <c r="E66">
        <v>2800</v>
      </c>
      <c r="F66">
        <v>4200</v>
      </c>
      <c r="G66">
        <v>3800</v>
      </c>
      <c r="H66">
        <v>6600</v>
      </c>
      <c r="I66">
        <v>5000</v>
      </c>
      <c r="J66">
        <v>3500</v>
      </c>
    </row>
    <row r="67" spans="1:10">
      <c r="A67" s="4" t="s">
        <v>10</v>
      </c>
      <c r="B67">
        <v>170</v>
      </c>
      <c r="C67">
        <v>170</v>
      </c>
      <c r="D67">
        <v>120</v>
      </c>
      <c r="E67">
        <v>140</v>
      </c>
      <c r="F67">
        <v>225</v>
      </c>
      <c r="G67">
        <v>160</v>
      </c>
      <c r="H67">
        <v>160</v>
      </c>
      <c r="I67">
        <v>175</v>
      </c>
      <c r="J67">
        <v>160</v>
      </c>
    </row>
    <row r="68" spans="1:10">
      <c r="A68" s="3" t="s">
        <v>42</v>
      </c>
    </row>
    <row r="69" spans="1:10">
      <c r="A69" s="4" t="s">
        <v>14</v>
      </c>
      <c r="B69">
        <v>0.22</v>
      </c>
      <c r="C69">
        <v>0.2</v>
      </c>
      <c r="D69">
        <v>0.13</v>
      </c>
      <c r="E69">
        <v>0.2</v>
      </c>
      <c r="F69">
        <v>0.14000000000000001</v>
      </c>
      <c r="G69">
        <v>0.13</v>
      </c>
      <c r="H69">
        <v>0.14000000000000001</v>
      </c>
      <c r="I69">
        <v>0.21</v>
      </c>
      <c r="J69">
        <v>0.25</v>
      </c>
    </row>
    <row r="70" spans="1:10">
      <c r="A70" s="4" t="s">
        <v>6</v>
      </c>
      <c r="B70">
        <v>1420</v>
      </c>
      <c r="C70">
        <v>750</v>
      </c>
      <c r="D70">
        <v>720</v>
      </c>
      <c r="E70">
        <v>640</v>
      </c>
      <c r="F70">
        <v>1910</v>
      </c>
      <c r="G70">
        <v>1710</v>
      </c>
      <c r="H70">
        <v>990</v>
      </c>
      <c r="I70">
        <v>1120</v>
      </c>
      <c r="J70">
        <v>620</v>
      </c>
    </row>
    <row r="71" spans="1:10">
      <c r="A71" s="4" t="s">
        <v>12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>
      <c r="A72" s="4" t="s">
        <v>10</v>
      </c>
      <c r="B72">
        <v>22</v>
      </c>
      <c r="C72">
        <v>12</v>
      </c>
      <c r="D72">
        <v>12</v>
      </c>
      <c r="E72">
        <v>10</v>
      </c>
      <c r="F72">
        <v>28</v>
      </c>
      <c r="G72">
        <v>26</v>
      </c>
      <c r="H72">
        <v>14</v>
      </c>
      <c r="I72">
        <v>16</v>
      </c>
      <c r="J72">
        <v>10</v>
      </c>
    </row>
    <row r="73" spans="1:10">
      <c r="A73" s="4" t="s">
        <v>164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s="3" t="s">
        <v>43</v>
      </c>
    </row>
    <row r="75" spans="1:10">
      <c r="A75" s="4" t="s">
        <v>14</v>
      </c>
      <c r="B75">
        <v>0.32</v>
      </c>
      <c r="C75">
        <v>0.44</v>
      </c>
      <c r="D75">
        <v>0.26</v>
      </c>
      <c r="E75">
        <v>0.26</v>
      </c>
      <c r="F75">
        <v>0.26</v>
      </c>
      <c r="G75">
        <v>0.26</v>
      </c>
      <c r="H75">
        <v>0.28999999999999998</v>
      </c>
      <c r="I75">
        <v>0.42</v>
      </c>
      <c r="J75">
        <v>0.35</v>
      </c>
    </row>
    <row r="76" spans="1:10">
      <c r="A76" s="4" t="s">
        <v>6</v>
      </c>
      <c r="B76">
        <v>1950</v>
      </c>
      <c r="C76">
        <v>1050</v>
      </c>
      <c r="D76">
        <v>1100</v>
      </c>
      <c r="E76">
        <v>1120</v>
      </c>
      <c r="F76">
        <v>3520</v>
      </c>
      <c r="G76">
        <v>1640</v>
      </c>
      <c r="H76">
        <v>1750</v>
      </c>
      <c r="I76">
        <v>1220</v>
      </c>
      <c r="J76">
        <v>1950</v>
      </c>
    </row>
    <row r="77" spans="1:10">
      <c r="A77" s="4" t="s">
        <v>12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</row>
    <row r="78" spans="1:10">
      <c r="A78" s="4" t="s">
        <v>10</v>
      </c>
      <c r="B78">
        <v>48</v>
      </c>
      <c r="C78">
        <v>26</v>
      </c>
      <c r="D78">
        <v>28</v>
      </c>
      <c r="E78">
        <v>28</v>
      </c>
      <c r="F78">
        <v>88</v>
      </c>
      <c r="G78">
        <v>40</v>
      </c>
      <c r="H78">
        <v>46</v>
      </c>
      <c r="I78">
        <v>30</v>
      </c>
      <c r="J78">
        <v>48</v>
      </c>
    </row>
    <row r="79" spans="1:10">
      <c r="A79" s="4" t="s">
        <v>164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s="3" t="s">
        <v>44</v>
      </c>
    </row>
    <row r="81" spans="1:10">
      <c r="A81" s="4" t="s">
        <v>14</v>
      </c>
      <c r="B81">
        <v>0.37</v>
      </c>
      <c r="C81">
        <v>0.48</v>
      </c>
      <c r="D81">
        <v>0.33</v>
      </c>
      <c r="E81">
        <v>0.33</v>
      </c>
      <c r="F81">
        <v>0.41</v>
      </c>
      <c r="G81">
        <v>0.39</v>
      </c>
      <c r="H81">
        <v>0.5</v>
      </c>
      <c r="I81">
        <v>0.42</v>
      </c>
      <c r="J81">
        <v>0.34</v>
      </c>
    </row>
    <row r="82" spans="1:10">
      <c r="A82" s="4" t="s">
        <v>6</v>
      </c>
      <c r="B82">
        <v>4260</v>
      </c>
      <c r="C82">
        <v>4440</v>
      </c>
      <c r="D82">
        <v>2820</v>
      </c>
      <c r="E82">
        <v>3060</v>
      </c>
      <c r="F82">
        <v>6640</v>
      </c>
      <c r="G82">
        <v>4600</v>
      </c>
      <c r="H82">
        <v>3420</v>
      </c>
      <c r="I82">
        <v>4060</v>
      </c>
      <c r="J82">
        <v>4400</v>
      </c>
    </row>
    <row r="83" spans="1:10">
      <c r="A83" s="4" t="s">
        <v>12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>
      <c r="A84" s="4" t="s">
        <v>10</v>
      </c>
      <c r="B84">
        <v>105</v>
      </c>
      <c r="C84">
        <v>110</v>
      </c>
      <c r="D84">
        <v>70</v>
      </c>
      <c r="E84">
        <v>75</v>
      </c>
      <c r="F84">
        <v>165</v>
      </c>
      <c r="G84">
        <v>115</v>
      </c>
      <c r="H84">
        <v>70</v>
      </c>
      <c r="I84">
        <v>120</v>
      </c>
      <c r="J84">
        <v>110</v>
      </c>
    </row>
    <row r="85" spans="1:10">
      <c r="A85" s="4" t="s">
        <v>164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s="3" t="s">
        <v>45</v>
      </c>
    </row>
    <row r="87" spans="1:10">
      <c r="A87" s="4" t="s">
        <v>14</v>
      </c>
      <c r="B87">
        <v>0.5</v>
      </c>
      <c r="C87">
        <v>0.5</v>
      </c>
      <c r="D87">
        <v>0.35</v>
      </c>
      <c r="E87">
        <v>0.4</v>
      </c>
      <c r="F87">
        <v>0.5</v>
      </c>
      <c r="G87">
        <v>0.4</v>
      </c>
      <c r="H87">
        <v>0.4</v>
      </c>
      <c r="I87">
        <v>0.4</v>
      </c>
      <c r="J87">
        <v>0.2</v>
      </c>
    </row>
    <row r="88" spans="1:10">
      <c r="A88" s="4" t="s">
        <v>6</v>
      </c>
      <c r="B88">
        <v>2100</v>
      </c>
      <c r="C88">
        <v>2100</v>
      </c>
      <c r="D88">
        <v>1600</v>
      </c>
      <c r="E88">
        <v>2000</v>
      </c>
      <c r="F88">
        <v>2400</v>
      </c>
      <c r="G88">
        <v>2050</v>
      </c>
      <c r="H88">
        <v>2650</v>
      </c>
      <c r="I88">
        <v>2700</v>
      </c>
      <c r="J88">
        <v>2150</v>
      </c>
    </row>
    <row r="89" spans="1:10">
      <c r="A89" s="4" t="s">
        <v>12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</row>
    <row r="90" spans="1:10">
      <c r="A90" s="4" t="s">
        <v>10</v>
      </c>
      <c r="B90">
        <v>50</v>
      </c>
      <c r="C90">
        <v>55</v>
      </c>
      <c r="D90">
        <v>40</v>
      </c>
      <c r="E90">
        <v>50</v>
      </c>
      <c r="F90">
        <v>60</v>
      </c>
      <c r="G90">
        <v>50</v>
      </c>
      <c r="H90">
        <v>60</v>
      </c>
      <c r="I90">
        <v>65</v>
      </c>
      <c r="J90">
        <v>55</v>
      </c>
    </row>
    <row r="91" spans="1:10">
      <c r="A91" s="4" t="s">
        <v>164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s="3" t="s">
        <v>46</v>
      </c>
    </row>
    <row r="93" spans="1:10">
      <c r="A93" s="4" t="s">
        <v>14</v>
      </c>
      <c r="B93">
        <v>0.5</v>
      </c>
      <c r="C93">
        <v>0.5</v>
      </c>
      <c r="D93">
        <v>0.35</v>
      </c>
      <c r="E93">
        <v>0.35</v>
      </c>
      <c r="F93">
        <v>0.2</v>
      </c>
      <c r="G93">
        <v>0.4</v>
      </c>
      <c r="H93">
        <v>0.25</v>
      </c>
      <c r="I93">
        <v>0.3</v>
      </c>
      <c r="J93">
        <v>0.15</v>
      </c>
    </row>
    <row r="94" spans="1:10">
      <c r="A94" s="4" t="s">
        <v>6</v>
      </c>
      <c r="B94">
        <v>3300</v>
      </c>
      <c r="C94">
        <v>3350</v>
      </c>
      <c r="D94">
        <v>2000</v>
      </c>
      <c r="E94">
        <v>3050</v>
      </c>
      <c r="F94">
        <v>3550</v>
      </c>
      <c r="G94">
        <v>3500</v>
      </c>
      <c r="H94">
        <v>3900</v>
      </c>
      <c r="I94">
        <v>4050</v>
      </c>
      <c r="J94">
        <v>3400</v>
      </c>
    </row>
    <row r="95" spans="1:10">
      <c r="A95" s="4" t="s">
        <v>12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</row>
    <row r="96" spans="1:10">
      <c r="A96" s="4" t="s">
        <v>10</v>
      </c>
      <c r="B96">
        <v>65</v>
      </c>
      <c r="C96">
        <v>65</v>
      </c>
      <c r="D96">
        <v>40</v>
      </c>
      <c r="E96">
        <v>60</v>
      </c>
      <c r="F96">
        <v>70</v>
      </c>
      <c r="G96">
        <v>70</v>
      </c>
      <c r="H96">
        <v>80</v>
      </c>
      <c r="I96">
        <v>80</v>
      </c>
      <c r="J96">
        <v>70</v>
      </c>
    </row>
    <row r="97" spans="1:10">
      <c r="A97" s="4" t="s">
        <v>164</v>
      </c>
      <c r="B97">
        <v>0.27800000000000002</v>
      </c>
      <c r="C97">
        <v>0.27800000000000002</v>
      </c>
      <c r="D97">
        <v>0.27800000000000002</v>
      </c>
      <c r="E97">
        <v>0.27800000000000002</v>
      </c>
      <c r="F97">
        <v>0.27800000000000002</v>
      </c>
      <c r="G97">
        <v>0.27800000000000002</v>
      </c>
      <c r="H97">
        <v>0.27800000000000002</v>
      </c>
      <c r="I97">
        <v>0.27800000000000002</v>
      </c>
      <c r="J97">
        <v>0.27800000000000002</v>
      </c>
    </row>
    <row r="98" spans="1:10">
      <c r="A98" s="3" t="s">
        <v>47</v>
      </c>
    </row>
    <row r="99" spans="1:10">
      <c r="A99" s="4" t="s">
        <v>14</v>
      </c>
      <c r="B99">
        <v>0.5</v>
      </c>
      <c r="C99">
        <v>0.4</v>
      </c>
      <c r="D99">
        <v>0.7</v>
      </c>
      <c r="E99">
        <v>0.6</v>
      </c>
      <c r="F99">
        <v>0.6</v>
      </c>
      <c r="G99">
        <v>0.5</v>
      </c>
      <c r="H99">
        <v>0.6</v>
      </c>
      <c r="I99">
        <v>0.5</v>
      </c>
      <c r="J99">
        <v>0.8</v>
      </c>
    </row>
    <row r="100" spans="1:10">
      <c r="A100" s="4" t="s">
        <v>6</v>
      </c>
      <c r="B100">
        <v>2150</v>
      </c>
      <c r="C100">
        <v>2200</v>
      </c>
      <c r="D100">
        <v>1600</v>
      </c>
      <c r="E100">
        <v>2150</v>
      </c>
      <c r="F100">
        <v>2350</v>
      </c>
      <c r="G100">
        <v>2250</v>
      </c>
      <c r="H100">
        <v>2400</v>
      </c>
      <c r="I100">
        <v>2500</v>
      </c>
      <c r="J100">
        <v>2300</v>
      </c>
    </row>
    <row r="101" spans="1:10">
      <c r="A101" s="4" t="s">
        <v>12</v>
      </c>
      <c r="B101">
        <v>0.35</v>
      </c>
      <c r="C101">
        <v>0.35</v>
      </c>
      <c r="D101">
        <v>0.35</v>
      </c>
      <c r="E101">
        <v>0.35</v>
      </c>
      <c r="F101">
        <v>0.35</v>
      </c>
      <c r="G101">
        <v>0.35</v>
      </c>
      <c r="H101">
        <v>0.35</v>
      </c>
      <c r="I101">
        <v>0.35</v>
      </c>
      <c r="J101">
        <v>0.35</v>
      </c>
    </row>
    <row r="102" spans="1:10">
      <c r="A102" s="4" t="s">
        <v>10</v>
      </c>
      <c r="B102">
        <v>75</v>
      </c>
      <c r="C102">
        <v>75</v>
      </c>
      <c r="D102">
        <v>55</v>
      </c>
      <c r="E102">
        <v>75</v>
      </c>
      <c r="F102">
        <v>75</v>
      </c>
      <c r="G102">
        <v>80</v>
      </c>
      <c r="H102">
        <v>85</v>
      </c>
      <c r="I102">
        <v>85</v>
      </c>
      <c r="J102">
        <v>80</v>
      </c>
    </row>
    <row r="103" spans="1:10">
      <c r="A103" s="4" t="s">
        <v>164</v>
      </c>
      <c r="B103">
        <v>1.4570000000000001</v>
      </c>
      <c r="C103">
        <v>1.4570000000000001</v>
      </c>
      <c r="D103">
        <v>1.4570000000000001</v>
      </c>
      <c r="E103">
        <v>1.4570000000000001</v>
      </c>
      <c r="F103">
        <v>1.4570000000000001</v>
      </c>
      <c r="G103">
        <v>1.4570000000000001</v>
      </c>
      <c r="H103">
        <v>1.4570000000000001</v>
      </c>
      <c r="I103">
        <v>1.4570000000000001</v>
      </c>
      <c r="J103">
        <v>1.4570000000000001</v>
      </c>
    </row>
    <row r="104" spans="1:10">
      <c r="A104" s="3" t="s">
        <v>48</v>
      </c>
    </row>
    <row r="105" spans="1:10">
      <c r="A105" s="4" t="s">
        <v>14</v>
      </c>
      <c r="B105">
        <v>0.4</v>
      </c>
      <c r="C105">
        <v>0.7</v>
      </c>
      <c r="D105">
        <v>0.8</v>
      </c>
      <c r="E105">
        <v>0.6</v>
      </c>
      <c r="F105">
        <v>0.8</v>
      </c>
      <c r="G105">
        <v>0.6</v>
      </c>
      <c r="H105">
        <v>0.6</v>
      </c>
      <c r="I105">
        <v>0.7</v>
      </c>
      <c r="J105">
        <v>0.6</v>
      </c>
    </row>
    <row r="106" spans="1:10">
      <c r="A106" s="4" t="s">
        <v>6</v>
      </c>
      <c r="B106">
        <v>525</v>
      </c>
      <c r="C106">
        <v>550</v>
      </c>
      <c r="D106">
        <v>400</v>
      </c>
      <c r="E106">
        <v>550</v>
      </c>
      <c r="F106">
        <v>600</v>
      </c>
      <c r="G106">
        <v>575</v>
      </c>
      <c r="H106">
        <v>600</v>
      </c>
      <c r="I106">
        <v>625</v>
      </c>
      <c r="J106">
        <v>575</v>
      </c>
    </row>
    <row r="107" spans="1:10">
      <c r="A107" s="4" t="s">
        <v>12</v>
      </c>
      <c r="B107">
        <v>0.37</v>
      </c>
      <c r="C107">
        <v>0.37</v>
      </c>
      <c r="D107">
        <v>0.37</v>
      </c>
      <c r="E107">
        <v>0.37</v>
      </c>
      <c r="F107">
        <v>0.37</v>
      </c>
      <c r="G107">
        <v>0.37</v>
      </c>
      <c r="H107">
        <v>0.37</v>
      </c>
      <c r="I107">
        <v>0.37</v>
      </c>
      <c r="J107">
        <v>0.37</v>
      </c>
    </row>
    <row r="108" spans="1:10">
      <c r="A108" s="4" t="s">
        <v>10</v>
      </c>
      <c r="B108">
        <v>20</v>
      </c>
      <c r="C108">
        <v>20</v>
      </c>
      <c r="D108">
        <v>15</v>
      </c>
      <c r="E108">
        <v>20</v>
      </c>
      <c r="F108">
        <v>25</v>
      </c>
      <c r="G108">
        <v>20</v>
      </c>
      <c r="H108">
        <v>25</v>
      </c>
      <c r="I108">
        <v>25</v>
      </c>
      <c r="J108">
        <v>20</v>
      </c>
    </row>
    <row r="109" spans="1:10">
      <c r="A109" s="4" t="s">
        <v>164</v>
      </c>
      <c r="B109">
        <v>1.111</v>
      </c>
      <c r="C109">
        <v>1.111</v>
      </c>
      <c r="D109">
        <v>1.111</v>
      </c>
      <c r="E109">
        <v>1.111</v>
      </c>
      <c r="F109">
        <v>1.111</v>
      </c>
      <c r="G109">
        <v>1.111</v>
      </c>
      <c r="H109">
        <v>1.111</v>
      </c>
      <c r="I109">
        <v>1.111</v>
      </c>
      <c r="J109">
        <v>1.111</v>
      </c>
    </row>
    <row r="110" spans="1:10">
      <c r="A110" s="3" t="s">
        <v>49</v>
      </c>
    </row>
    <row r="111" spans="1:10">
      <c r="A111" s="4" t="s">
        <v>14</v>
      </c>
      <c r="B111">
        <v>0.5</v>
      </c>
      <c r="C111">
        <v>0.5</v>
      </c>
      <c r="D111">
        <v>0.6</v>
      </c>
      <c r="E111">
        <v>0.5</v>
      </c>
      <c r="F111">
        <v>0.6</v>
      </c>
      <c r="G111">
        <v>0.4</v>
      </c>
      <c r="H111">
        <v>0.7</v>
      </c>
      <c r="I111">
        <v>0.5</v>
      </c>
      <c r="J111">
        <v>0.5</v>
      </c>
    </row>
    <row r="112" spans="1:10">
      <c r="A112" s="4" t="s">
        <v>6</v>
      </c>
      <c r="B112">
        <v>2850</v>
      </c>
      <c r="C112">
        <v>2900</v>
      </c>
      <c r="D112">
        <v>2500</v>
      </c>
      <c r="E112">
        <v>2800</v>
      </c>
      <c r="F112">
        <v>3900</v>
      </c>
      <c r="G112">
        <v>3500</v>
      </c>
      <c r="H112">
        <v>3750</v>
      </c>
      <c r="I112">
        <v>4050</v>
      </c>
      <c r="J112">
        <v>2950</v>
      </c>
    </row>
    <row r="113" spans="1:10">
      <c r="A113" s="4" t="s">
        <v>12</v>
      </c>
      <c r="B113">
        <v>0.38500000000000001</v>
      </c>
      <c r="C113">
        <v>0.38500000000000001</v>
      </c>
      <c r="D113">
        <v>0.38500000000000001</v>
      </c>
      <c r="E113">
        <v>0.38500000000000001</v>
      </c>
      <c r="F113">
        <v>0.38500000000000001</v>
      </c>
      <c r="G113">
        <v>0.38500000000000001</v>
      </c>
      <c r="H113">
        <v>0.38500000000000001</v>
      </c>
      <c r="I113">
        <v>0.38500000000000001</v>
      </c>
      <c r="J113">
        <v>0.38500000000000001</v>
      </c>
    </row>
    <row r="114" spans="1:10">
      <c r="A114" s="4" t="s">
        <v>10</v>
      </c>
      <c r="B114">
        <v>105</v>
      </c>
      <c r="C114">
        <v>110</v>
      </c>
      <c r="D114">
        <v>95</v>
      </c>
      <c r="E114">
        <v>105</v>
      </c>
      <c r="F114">
        <v>145</v>
      </c>
      <c r="G114">
        <v>130</v>
      </c>
      <c r="H114">
        <v>140</v>
      </c>
      <c r="I114">
        <v>150</v>
      </c>
      <c r="J114">
        <v>110</v>
      </c>
    </row>
    <row r="115" spans="1:10">
      <c r="A115" s="4" t="s">
        <v>164</v>
      </c>
      <c r="B115">
        <v>1.667</v>
      </c>
      <c r="C115">
        <v>1.667</v>
      </c>
      <c r="D115">
        <v>1.667</v>
      </c>
      <c r="E115">
        <v>1.667</v>
      </c>
      <c r="F115">
        <v>1.667</v>
      </c>
      <c r="G115">
        <v>1.667</v>
      </c>
      <c r="H115">
        <v>1.667</v>
      </c>
      <c r="I115">
        <v>1.667</v>
      </c>
      <c r="J115">
        <v>1.667</v>
      </c>
    </row>
    <row r="116" spans="1:10">
      <c r="A116" s="3" t="s">
        <v>50</v>
      </c>
    </row>
    <row r="117" spans="1:10">
      <c r="A117" s="4" t="s">
        <v>14</v>
      </c>
      <c r="B117">
        <v>0.5</v>
      </c>
      <c r="C117">
        <v>0.4</v>
      </c>
      <c r="D117">
        <v>0.7</v>
      </c>
      <c r="E117">
        <v>0.6</v>
      </c>
      <c r="F117">
        <v>0.6</v>
      </c>
      <c r="G117">
        <v>0.5</v>
      </c>
      <c r="H117">
        <v>0.6</v>
      </c>
      <c r="I117">
        <v>0.5</v>
      </c>
      <c r="J117">
        <v>0.8</v>
      </c>
    </row>
    <row r="118" spans="1:10">
      <c r="A118" s="4" t="s">
        <v>6</v>
      </c>
      <c r="B118">
        <v>4900</v>
      </c>
      <c r="C118">
        <v>4550</v>
      </c>
      <c r="D118">
        <v>4150</v>
      </c>
      <c r="E118">
        <v>4700</v>
      </c>
      <c r="F118">
        <v>5700</v>
      </c>
      <c r="G118">
        <v>5200</v>
      </c>
      <c r="H118">
        <v>5750</v>
      </c>
      <c r="I118">
        <v>5850</v>
      </c>
      <c r="J118">
        <v>5150</v>
      </c>
    </row>
    <row r="119" spans="1:10">
      <c r="A119" s="4" t="s">
        <v>12</v>
      </c>
      <c r="B119">
        <v>0.3</v>
      </c>
      <c r="C119">
        <v>0.3</v>
      </c>
      <c r="D119">
        <v>0.3</v>
      </c>
      <c r="E119">
        <v>0.3</v>
      </c>
      <c r="F119">
        <v>0.3</v>
      </c>
      <c r="G119">
        <v>0.3</v>
      </c>
      <c r="H119">
        <v>0.3</v>
      </c>
      <c r="I119">
        <v>0.3</v>
      </c>
      <c r="J119">
        <v>0.3</v>
      </c>
    </row>
    <row r="120" spans="1:10">
      <c r="A120" s="4" t="s">
        <v>10</v>
      </c>
      <c r="B120">
        <v>170</v>
      </c>
      <c r="C120">
        <v>160</v>
      </c>
      <c r="D120">
        <v>145</v>
      </c>
      <c r="E120">
        <v>165</v>
      </c>
      <c r="F120">
        <v>195</v>
      </c>
      <c r="G120">
        <v>180</v>
      </c>
      <c r="H120">
        <v>205</v>
      </c>
      <c r="I120">
        <v>200</v>
      </c>
      <c r="J120">
        <v>180</v>
      </c>
    </row>
    <row r="121" spans="1:10">
      <c r="A121" s="4" t="s">
        <v>164</v>
      </c>
      <c r="B121">
        <v>2.3610000000000002</v>
      </c>
      <c r="C121">
        <v>2.3610000000000002</v>
      </c>
      <c r="D121">
        <v>2.3610000000000002</v>
      </c>
      <c r="E121">
        <v>2.3610000000000002</v>
      </c>
      <c r="F121">
        <v>2.3610000000000002</v>
      </c>
      <c r="G121">
        <v>2.3610000000000002</v>
      </c>
      <c r="H121">
        <v>2.3610000000000002</v>
      </c>
      <c r="I121">
        <v>2.3610000000000002</v>
      </c>
      <c r="J121">
        <v>2.3610000000000002</v>
      </c>
    </row>
    <row r="122" spans="1:10">
      <c r="A122" s="3" t="s">
        <v>51</v>
      </c>
    </row>
    <row r="123" spans="1:10">
      <c r="A123" s="4" t="s">
        <v>14</v>
      </c>
      <c r="B123">
        <v>0.3</v>
      </c>
      <c r="C123">
        <v>0.28000000000000003</v>
      </c>
      <c r="D123">
        <v>0.28000000000000003</v>
      </c>
      <c r="E123">
        <v>0.26</v>
      </c>
      <c r="H123">
        <v>0.3</v>
      </c>
      <c r="I123">
        <v>0.28000000000000003</v>
      </c>
      <c r="J123">
        <v>0.3</v>
      </c>
    </row>
    <row r="124" spans="1:10">
      <c r="A124" s="4" t="s">
        <v>6</v>
      </c>
      <c r="B124">
        <v>5050</v>
      </c>
      <c r="C124">
        <v>5350</v>
      </c>
      <c r="D124">
        <v>4900</v>
      </c>
      <c r="E124">
        <v>5700</v>
      </c>
      <c r="H124">
        <v>5650</v>
      </c>
      <c r="I124">
        <v>6500</v>
      </c>
      <c r="J124">
        <v>5250</v>
      </c>
    </row>
    <row r="125" spans="1:10">
      <c r="A125" s="4" t="s">
        <v>12</v>
      </c>
      <c r="B125">
        <v>0.4</v>
      </c>
      <c r="C125">
        <v>0.4</v>
      </c>
      <c r="D125">
        <v>0.4</v>
      </c>
      <c r="E125">
        <v>0.4</v>
      </c>
      <c r="H125">
        <v>0.4</v>
      </c>
      <c r="I125">
        <v>0.4</v>
      </c>
      <c r="J125">
        <v>0.4</v>
      </c>
    </row>
    <row r="126" spans="1:10">
      <c r="A126" s="4" t="s">
        <v>10</v>
      </c>
      <c r="B126">
        <v>200</v>
      </c>
      <c r="C126">
        <v>210</v>
      </c>
      <c r="D126">
        <v>200</v>
      </c>
      <c r="E126">
        <v>230</v>
      </c>
      <c r="H126">
        <v>230</v>
      </c>
      <c r="I126">
        <v>260</v>
      </c>
      <c r="J126">
        <v>210</v>
      </c>
    </row>
    <row r="127" spans="1:10">
      <c r="A127" s="4" t="s">
        <v>164</v>
      </c>
      <c r="B127">
        <v>1.099</v>
      </c>
      <c r="C127">
        <v>1.099</v>
      </c>
      <c r="D127">
        <v>1.099</v>
      </c>
      <c r="E127">
        <v>1.099</v>
      </c>
      <c r="F127">
        <v>1.099</v>
      </c>
      <c r="G127">
        <v>1.099</v>
      </c>
      <c r="H127">
        <v>1.099</v>
      </c>
      <c r="I127">
        <v>1.099</v>
      </c>
      <c r="J127">
        <v>1.099</v>
      </c>
    </row>
    <row r="128" spans="1:10">
      <c r="A128" s="3" t="s">
        <v>52</v>
      </c>
    </row>
    <row r="129" spans="1:10">
      <c r="A129" s="4" t="s">
        <v>14</v>
      </c>
      <c r="B129">
        <v>0.8</v>
      </c>
      <c r="D129">
        <v>0.5</v>
      </c>
      <c r="E129">
        <v>0.5</v>
      </c>
      <c r="F129">
        <v>0.6</v>
      </c>
      <c r="G129">
        <v>0.65</v>
      </c>
      <c r="H129">
        <v>0.85</v>
      </c>
      <c r="I129">
        <v>0.6</v>
      </c>
      <c r="J129">
        <v>0.8</v>
      </c>
    </row>
    <row r="130" spans="1:10">
      <c r="A130" s="4" t="s">
        <v>6</v>
      </c>
      <c r="B130">
        <v>3050</v>
      </c>
      <c r="D130">
        <v>2300</v>
      </c>
      <c r="E130">
        <v>3600</v>
      </c>
      <c r="F130">
        <v>2800</v>
      </c>
      <c r="G130">
        <v>2200</v>
      </c>
      <c r="H130">
        <v>2850</v>
      </c>
      <c r="I130">
        <v>2150</v>
      </c>
      <c r="J130">
        <v>2200</v>
      </c>
    </row>
    <row r="131" spans="1:10">
      <c r="A131" s="4" t="s">
        <v>12</v>
      </c>
      <c r="B131">
        <v>0.1</v>
      </c>
      <c r="D131">
        <v>0.1</v>
      </c>
      <c r="E131">
        <v>0.1</v>
      </c>
      <c r="F131">
        <v>0.1</v>
      </c>
      <c r="G131">
        <v>0.1</v>
      </c>
      <c r="H131">
        <v>0.1</v>
      </c>
      <c r="I131">
        <v>0.1</v>
      </c>
      <c r="J131">
        <v>0.1</v>
      </c>
    </row>
    <row r="132" spans="1:10">
      <c r="A132" s="4" t="s">
        <v>10</v>
      </c>
      <c r="B132">
        <v>60</v>
      </c>
      <c r="D132">
        <v>45</v>
      </c>
      <c r="E132">
        <v>70</v>
      </c>
      <c r="F132">
        <v>55</v>
      </c>
      <c r="G132">
        <v>45</v>
      </c>
      <c r="H132">
        <v>55</v>
      </c>
      <c r="I132">
        <v>45</v>
      </c>
      <c r="J132">
        <v>45</v>
      </c>
    </row>
    <row r="133" spans="1:10">
      <c r="A133" s="4" t="s">
        <v>164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 s="3" t="s">
        <v>53</v>
      </c>
    </row>
    <row r="135" spans="1:10">
      <c r="A135" s="4" t="s">
        <v>6</v>
      </c>
      <c r="B135">
        <v>2100.8000000000002</v>
      </c>
      <c r="C135">
        <v>2100.8000000000002</v>
      </c>
      <c r="D135">
        <v>2100.8000000000002</v>
      </c>
      <c r="E135">
        <v>2100.8000000000002</v>
      </c>
      <c r="F135">
        <v>2100.8000000000002</v>
      </c>
      <c r="G135">
        <v>2100.8000000000002</v>
      </c>
      <c r="H135">
        <v>2100.8000000000002</v>
      </c>
      <c r="I135">
        <v>2100.8000000000002</v>
      </c>
      <c r="J135">
        <v>2100.8000000000002</v>
      </c>
    </row>
    <row r="136" spans="1:10">
      <c r="A136" s="4" t="s">
        <v>10</v>
      </c>
      <c r="B136">
        <v>48.2</v>
      </c>
      <c r="C136">
        <v>48.2</v>
      </c>
      <c r="D136">
        <v>48.2</v>
      </c>
      <c r="E136">
        <v>48.2</v>
      </c>
      <c r="F136">
        <v>48.2</v>
      </c>
      <c r="G136">
        <v>48.2</v>
      </c>
      <c r="H136">
        <v>48.2</v>
      </c>
      <c r="I136">
        <v>48.2</v>
      </c>
      <c r="J136">
        <v>48.2</v>
      </c>
    </row>
    <row r="137" spans="1:10">
      <c r="A137" s="4" t="s">
        <v>16</v>
      </c>
      <c r="B137">
        <v>0.86</v>
      </c>
      <c r="C137">
        <v>0.86</v>
      </c>
      <c r="D137">
        <v>0.86</v>
      </c>
      <c r="E137">
        <v>0.86</v>
      </c>
      <c r="F137">
        <v>0.86</v>
      </c>
      <c r="G137">
        <v>0.86</v>
      </c>
      <c r="H137">
        <v>0.86</v>
      </c>
      <c r="I137">
        <v>0.86</v>
      </c>
      <c r="J137">
        <v>0.86</v>
      </c>
    </row>
    <row r="138" spans="1:10">
      <c r="A138" s="4" t="s">
        <v>164</v>
      </c>
      <c r="B138">
        <v>0.13900000000000001</v>
      </c>
      <c r="C138">
        <v>0.13900000000000001</v>
      </c>
      <c r="D138">
        <v>0.13900000000000001</v>
      </c>
      <c r="E138">
        <v>0.13900000000000001</v>
      </c>
      <c r="F138">
        <v>0.13900000000000001</v>
      </c>
      <c r="G138">
        <v>0.13900000000000001</v>
      </c>
      <c r="H138">
        <v>0.13900000000000001</v>
      </c>
      <c r="I138">
        <v>0.13900000000000001</v>
      </c>
      <c r="J138">
        <v>0.13900000000000001</v>
      </c>
    </row>
    <row r="139" spans="1:10">
      <c r="A139" s="3" t="s">
        <v>54</v>
      </c>
    </row>
    <row r="140" spans="1:10">
      <c r="A140" s="4" t="s">
        <v>6</v>
      </c>
      <c r="B140">
        <v>3721.6</v>
      </c>
      <c r="C140">
        <v>3721.6</v>
      </c>
      <c r="D140">
        <v>3721.6</v>
      </c>
      <c r="E140">
        <v>3721.6</v>
      </c>
      <c r="F140">
        <v>3721.6</v>
      </c>
      <c r="G140">
        <v>3721.6</v>
      </c>
      <c r="H140">
        <v>3721.6</v>
      </c>
      <c r="I140">
        <v>3721.6</v>
      </c>
      <c r="J140">
        <v>3721.6</v>
      </c>
    </row>
    <row r="141" spans="1:10">
      <c r="A141" s="4" t="s">
        <v>10</v>
      </c>
      <c r="B141">
        <v>87.3</v>
      </c>
      <c r="C141">
        <v>87.3</v>
      </c>
      <c r="D141">
        <v>87.3</v>
      </c>
      <c r="E141">
        <v>87.3</v>
      </c>
      <c r="F141">
        <v>87.3</v>
      </c>
      <c r="G141">
        <v>87.3</v>
      </c>
      <c r="H141">
        <v>87.3</v>
      </c>
      <c r="I141">
        <v>87.3</v>
      </c>
      <c r="J141">
        <v>87.3</v>
      </c>
    </row>
    <row r="142" spans="1:10">
      <c r="A142" s="4" t="s">
        <v>16</v>
      </c>
      <c r="B142">
        <v>0.86</v>
      </c>
      <c r="C142">
        <v>0.86</v>
      </c>
      <c r="D142">
        <v>0.86</v>
      </c>
      <c r="E142">
        <v>0.86</v>
      </c>
      <c r="F142">
        <v>0.86</v>
      </c>
      <c r="G142">
        <v>0.86</v>
      </c>
      <c r="H142">
        <v>0.86</v>
      </c>
      <c r="I142">
        <v>0.86</v>
      </c>
      <c r="J142">
        <v>0.86</v>
      </c>
    </row>
    <row r="143" spans="1:10">
      <c r="A143" s="4" t="s">
        <v>164</v>
      </c>
      <c r="B143">
        <v>0.13900000000000001</v>
      </c>
      <c r="C143">
        <v>0.13900000000000001</v>
      </c>
      <c r="D143">
        <v>0.13900000000000001</v>
      </c>
      <c r="E143">
        <v>0.13900000000000001</v>
      </c>
      <c r="F143">
        <v>0.13900000000000001</v>
      </c>
      <c r="G143">
        <v>0.13900000000000001</v>
      </c>
      <c r="H143">
        <v>0.13900000000000001</v>
      </c>
      <c r="I143">
        <v>0.13900000000000001</v>
      </c>
      <c r="J143">
        <v>0.13900000000000001</v>
      </c>
    </row>
    <row r="144" spans="1:10">
      <c r="A144" s="2">
        <v>2025</v>
      </c>
    </row>
    <row r="145" spans="1:10">
      <c r="A145" s="3" t="s">
        <v>53</v>
      </c>
    </row>
    <row r="146" spans="1:10">
      <c r="A146" s="4" t="s">
        <v>6</v>
      </c>
      <c r="B146">
        <v>1711.4</v>
      </c>
      <c r="C146">
        <v>1711.4</v>
      </c>
      <c r="D146">
        <v>1711.4</v>
      </c>
      <c r="E146">
        <v>1711.4</v>
      </c>
      <c r="F146">
        <v>1711.4</v>
      </c>
      <c r="G146">
        <v>1711.4</v>
      </c>
      <c r="H146">
        <v>1711.4</v>
      </c>
      <c r="I146">
        <v>1711.4</v>
      </c>
      <c r="J146">
        <v>1711.4</v>
      </c>
    </row>
    <row r="147" spans="1:10">
      <c r="A147" s="4" t="s">
        <v>10</v>
      </c>
      <c r="B147">
        <v>119.39999999999999</v>
      </c>
      <c r="C147">
        <v>119.39999999999999</v>
      </c>
      <c r="D147">
        <v>119.39999999999999</v>
      </c>
      <c r="E147">
        <v>119.39999999999999</v>
      </c>
      <c r="F147">
        <v>119.39999999999999</v>
      </c>
      <c r="G147">
        <v>119.39999999999999</v>
      </c>
      <c r="H147">
        <v>119.39999999999999</v>
      </c>
      <c r="I147">
        <v>119.39999999999999</v>
      </c>
      <c r="J147">
        <v>119.39999999999999</v>
      </c>
    </row>
    <row r="148" spans="1:10">
      <c r="A148" s="4" t="s">
        <v>16</v>
      </c>
      <c r="B148">
        <v>0.86</v>
      </c>
      <c r="C148">
        <v>0.86</v>
      </c>
      <c r="D148">
        <v>0.86</v>
      </c>
      <c r="E148">
        <v>0.86</v>
      </c>
      <c r="F148">
        <v>0.86</v>
      </c>
      <c r="G148">
        <v>0.86</v>
      </c>
      <c r="H148">
        <v>0.86</v>
      </c>
      <c r="I148">
        <v>0.86</v>
      </c>
      <c r="J148">
        <v>0.86</v>
      </c>
    </row>
    <row r="149" spans="1:10">
      <c r="A149" s="4" t="s">
        <v>164</v>
      </c>
      <c r="B149">
        <v>0.13900000000000001</v>
      </c>
      <c r="C149">
        <v>0.13900000000000001</v>
      </c>
      <c r="D149">
        <v>0.13900000000000001</v>
      </c>
      <c r="E149">
        <v>0.13900000000000001</v>
      </c>
      <c r="F149">
        <v>0.13900000000000001</v>
      </c>
      <c r="G149">
        <v>0.13900000000000001</v>
      </c>
      <c r="H149">
        <v>0.13900000000000001</v>
      </c>
      <c r="I149">
        <v>0.13900000000000001</v>
      </c>
      <c r="J149">
        <v>0.13900000000000001</v>
      </c>
    </row>
    <row r="150" spans="1:10">
      <c r="A150" s="3" t="s">
        <v>54</v>
      </c>
    </row>
    <row r="151" spans="1:10">
      <c r="A151" s="4" t="s">
        <v>6</v>
      </c>
      <c r="B151">
        <v>2996.4</v>
      </c>
      <c r="C151">
        <v>2996.4</v>
      </c>
      <c r="D151">
        <v>2996.4</v>
      </c>
      <c r="E151">
        <v>2996.4</v>
      </c>
      <c r="F151">
        <v>2996.4</v>
      </c>
      <c r="G151">
        <v>2996.4</v>
      </c>
      <c r="H151">
        <v>2996.4</v>
      </c>
      <c r="I151">
        <v>2996.4</v>
      </c>
      <c r="J151">
        <v>2996.4</v>
      </c>
    </row>
    <row r="152" spans="1:10">
      <c r="A152" s="4" t="s">
        <v>10</v>
      </c>
      <c r="B152">
        <v>215.89999999999998</v>
      </c>
      <c r="C152">
        <v>215.89999999999998</v>
      </c>
      <c r="D152">
        <v>215.89999999999998</v>
      </c>
      <c r="E152">
        <v>215.89999999999998</v>
      </c>
      <c r="F152">
        <v>215.89999999999998</v>
      </c>
      <c r="G152">
        <v>215.89999999999998</v>
      </c>
      <c r="H152">
        <v>215.89999999999998</v>
      </c>
      <c r="I152">
        <v>215.89999999999998</v>
      </c>
      <c r="J152">
        <v>215.89999999999998</v>
      </c>
    </row>
    <row r="153" spans="1:10">
      <c r="A153" s="4" t="s">
        <v>16</v>
      </c>
      <c r="B153">
        <v>0.86</v>
      </c>
      <c r="C153">
        <v>0.86</v>
      </c>
      <c r="D153">
        <v>0.86</v>
      </c>
      <c r="E153">
        <v>0.86</v>
      </c>
      <c r="F153">
        <v>0.86</v>
      </c>
      <c r="G153">
        <v>0.86</v>
      </c>
      <c r="H153">
        <v>0.86</v>
      </c>
      <c r="I153">
        <v>0.86</v>
      </c>
      <c r="J153">
        <v>0.86</v>
      </c>
    </row>
    <row r="154" spans="1:10">
      <c r="A154" s="4" t="s">
        <v>164</v>
      </c>
      <c r="B154">
        <v>0.13900000000000001</v>
      </c>
      <c r="C154">
        <v>0.13900000000000001</v>
      </c>
      <c r="D154">
        <v>0.13900000000000001</v>
      </c>
      <c r="E154">
        <v>0.13900000000000001</v>
      </c>
      <c r="F154">
        <v>0.13900000000000001</v>
      </c>
      <c r="G154">
        <v>0.13900000000000001</v>
      </c>
      <c r="H154">
        <v>0.13900000000000001</v>
      </c>
      <c r="I154">
        <v>0.13900000000000001</v>
      </c>
      <c r="J154">
        <v>0.13900000000000001</v>
      </c>
    </row>
    <row r="155" spans="1:10">
      <c r="A155" s="2">
        <v>2030</v>
      </c>
    </row>
    <row r="156" spans="1:10">
      <c r="A156" s="3" t="s">
        <v>29</v>
      </c>
    </row>
    <row r="157" spans="1:10">
      <c r="A157" s="4" t="s">
        <v>6</v>
      </c>
      <c r="B157">
        <v>700</v>
      </c>
      <c r="C157">
        <v>700</v>
      </c>
      <c r="D157">
        <v>560</v>
      </c>
      <c r="E157">
        <v>700</v>
      </c>
      <c r="F157">
        <v>1100</v>
      </c>
      <c r="G157">
        <v>800</v>
      </c>
      <c r="H157">
        <v>1000</v>
      </c>
      <c r="I157">
        <v>1000</v>
      </c>
      <c r="J157">
        <v>800</v>
      </c>
    </row>
    <row r="158" spans="1:10">
      <c r="A158" s="4" t="s">
        <v>12</v>
      </c>
      <c r="B158">
        <v>0.59</v>
      </c>
      <c r="C158">
        <v>0.59</v>
      </c>
      <c r="D158">
        <v>0.57999999999999996</v>
      </c>
      <c r="E158">
        <v>0.56999999999999995</v>
      </c>
      <c r="F158">
        <v>0.6</v>
      </c>
      <c r="G158">
        <v>0.57999999999999996</v>
      </c>
      <c r="H158">
        <v>0.6</v>
      </c>
      <c r="I158">
        <v>0.6</v>
      </c>
      <c r="J158">
        <v>0.57999999999999996</v>
      </c>
    </row>
    <row r="159" spans="1:10">
      <c r="A159" s="4" t="s">
        <v>10</v>
      </c>
      <c r="B159">
        <v>25</v>
      </c>
      <c r="C159">
        <v>25</v>
      </c>
      <c r="D159">
        <v>20</v>
      </c>
      <c r="E159">
        <v>25</v>
      </c>
      <c r="F159">
        <v>30</v>
      </c>
      <c r="G159">
        <v>30</v>
      </c>
      <c r="H159">
        <v>25</v>
      </c>
      <c r="I159">
        <v>25</v>
      </c>
      <c r="J159">
        <v>30</v>
      </c>
    </row>
    <row r="160" spans="1:10">
      <c r="A160" s="4" t="s">
        <v>164</v>
      </c>
      <c r="B160">
        <v>0.56699999999999995</v>
      </c>
      <c r="C160">
        <v>0.56699999999999995</v>
      </c>
      <c r="D160">
        <v>0.56699999999999995</v>
      </c>
      <c r="E160">
        <v>0.56699999999999995</v>
      </c>
      <c r="F160">
        <v>0.56699999999999995</v>
      </c>
      <c r="G160">
        <v>0.56699999999999995</v>
      </c>
      <c r="H160">
        <v>0.56699999999999995</v>
      </c>
      <c r="I160">
        <v>0.56699999999999995</v>
      </c>
      <c r="J160">
        <v>0.56699999999999995</v>
      </c>
    </row>
    <row r="161" spans="1:10">
      <c r="A161" s="3" t="s">
        <v>30</v>
      </c>
    </row>
    <row r="162" spans="1:10">
      <c r="A162" s="4" t="s">
        <v>6</v>
      </c>
      <c r="B162">
        <v>400</v>
      </c>
      <c r="C162">
        <v>400</v>
      </c>
      <c r="D162">
        <v>350</v>
      </c>
      <c r="E162">
        <v>400</v>
      </c>
      <c r="F162">
        <v>500</v>
      </c>
      <c r="G162">
        <v>450</v>
      </c>
      <c r="H162">
        <v>500</v>
      </c>
      <c r="I162">
        <v>500</v>
      </c>
      <c r="J162">
        <v>450</v>
      </c>
    </row>
    <row r="163" spans="1:10">
      <c r="A163" s="4" t="s">
        <v>12</v>
      </c>
      <c r="B163">
        <v>0.39</v>
      </c>
      <c r="C163">
        <v>0.39</v>
      </c>
      <c r="D163">
        <v>0.39</v>
      </c>
      <c r="E163">
        <v>0.39</v>
      </c>
      <c r="F163">
        <v>0.41</v>
      </c>
      <c r="G163">
        <v>0.39</v>
      </c>
      <c r="H163">
        <v>0.41</v>
      </c>
      <c r="I163">
        <v>0.41</v>
      </c>
      <c r="J163">
        <v>0.39</v>
      </c>
    </row>
    <row r="164" spans="1:10">
      <c r="A164" s="4" t="s">
        <v>10</v>
      </c>
      <c r="B164">
        <v>20</v>
      </c>
      <c r="C164">
        <v>20</v>
      </c>
      <c r="D164">
        <v>20</v>
      </c>
      <c r="E164">
        <v>20</v>
      </c>
      <c r="F164">
        <v>20</v>
      </c>
      <c r="G164">
        <v>25</v>
      </c>
      <c r="H164">
        <v>20</v>
      </c>
      <c r="I164">
        <v>20</v>
      </c>
      <c r="J164">
        <v>25</v>
      </c>
    </row>
    <row r="165" spans="1:10">
      <c r="A165" s="4" t="s">
        <v>164</v>
      </c>
      <c r="B165">
        <v>1.9279999999999999</v>
      </c>
      <c r="C165">
        <v>1.9279999999999999</v>
      </c>
      <c r="D165">
        <v>1.9279999999999999</v>
      </c>
      <c r="E165">
        <v>1.9279999999999999</v>
      </c>
      <c r="F165">
        <v>1.9279999999999999</v>
      </c>
      <c r="G165">
        <v>1.9279999999999999</v>
      </c>
      <c r="H165">
        <v>1.9279999999999999</v>
      </c>
      <c r="I165">
        <v>1.9279999999999999</v>
      </c>
      <c r="J165">
        <v>1.9279999999999999</v>
      </c>
    </row>
    <row r="166" spans="1:10">
      <c r="A166" s="3" t="s">
        <v>31</v>
      </c>
    </row>
    <row r="167" spans="1:10">
      <c r="A167" s="4" t="s">
        <v>6</v>
      </c>
      <c r="B167">
        <v>920</v>
      </c>
      <c r="C167">
        <v>920</v>
      </c>
      <c r="D167">
        <v>720</v>
      </c>
      <c r="E167">
        <v>920</v>
      </c>
      <c r="F167">
        <v>1440</v>
      </c>
      <c r="G167">
        <v>1040</v>
      </c>
      <c r="H167">
        <v>1300</v>
      </c>
      <c r="I167">
        <v>1300</v>
      </c>
      <c r="J167">
        <v>1040</v>
      </c>
    </row>
    <row r="168" spans="1:10">
      <c r="A168" s="4" t="s">
        <v>12</v>
      </c>
      <c r="B168">
        <v>0.53300000000000003</v>
      </c>
      <c r="C168">
        <v>0.53300000000000003</v>
      </c>
      <c r="D168">
        <v>0.52700000000000002</v>
      </c>
      <c r="E168">
        <v>0.52</v>
      </c>
      <c r="F168">
        <v>0.54</v>
      </c>
      <c r="G168">
        <v>0.52700000000000002</v>
      </c>
      <c r="H168">
        <v>0.54</v>
      </c>
      <c r="I168">
        <v>0.54</v>
      </c>
      <c r="J168">
        <v>0.52700000000000002</v>
      </c>
    </row>
    <row r="169" spans="1:10">
      <c r="A169" s="4" t="s">
        <v>10</v>
      </c>
      <c r="B169">
        <v>35</v>
      </c>
      <c r="C169">
        <v>35</v>
      </c>
      <c r="D169">
        <v>30</v>
      </c>
      <c r="E169">
        <v>35</v>
      </c>
      <c r="F169">
        <v>45</v>
      </c>
      <c r="G169">
        <v>40</v>
      </c>
      <c r="H169">
        <v>40</v>
      </c>
      <c r="I169">
        <v>40</v>
      </c>
      <c r="J169">
        <v>40</v>
      </c>
    </row>
    <row r="170" spans="1:10">
      <c r="A170" s="4" t="s">
        <v>164</v>
      </c>
      <c r="B170">
        <v>0.69399999999999995</v>
      </c>
      <c r="C170">
        <v>0.69399999999999995</v>
      </c>
      <c r="D170">
        <v>0.69399999999999995</v>
      </c>
      <c r="E170">
        <v>0.69399999999999995</v>
      </c>
      <c r="F170">
        <v>0.69399999999999995</v>
      </c>
      <c r="G170">
        <v>0.69399999999999995</v>
      </c>
      <c r="H170">
        <v>0.69399999999999995</v>
      </c>
      <c r="I170">
        <v>0.69399999999999995</v>
      </c>
      <c r="J170">
        <v>0.69399999999999995</v>
      </c>
    </row>
    <row r="171" spans="1:10">
      <c r="A171" s="3" t="s">
        <v>32</v>
      </c>
    </row>
    <row r="172" spans="1:10">
      <c r="A172" s="4" t="s">
        <v>6</v>
      </c>
      <c r="B172">
        <v>2500</v>
      </c>
      <c r="C172">
        <v>2500</v>
      </c>
      <c r="D172">
        <v>2500</v>
      </c>
      <c r="E172">
        <v>2500</v>
      </c>
      <c r="F172">
        <v>2500</v>
      </c>
      <c r="G172">
        <v>2500</v>
      </c>
      <c r="H172">
        <v>2500</v>
      </c>
      <c r="I172">
        <v>2500</v>
      </c>
      <c r="J172">
        <v>2500</v>
      </c>
    </row>
    <row r="173" spans="1:10">
      <c r="A173" s="4" t="s">
        <v>12</v>
      </c>
      <c r="B173">
        <v>0.54</v>
      </c>
      <c r="C173">
        <v>0.54</v>
      </c>
      <c r="D173">
        <v>0.54</v>
      </c>
      <c r="E173">
        <v>0.54</v>
      </c>
      <c r="F173">
        <v>0.54</v>
      </c>
      <c r="G173">
        <v>0.54</v>
      </c>
      <c r="H173">
        <v>0.54</v>
      </c>
      <c r="I173">
        <v>0.54</v>
      </c>
      <c r="J173">
        <v>0.54</v>
      </c>
    </row>
    <row r="174" spans="1:10">
      <c r="A174" s="4" t="s">
        <v>10</v>
      </c>
      <c r="B174">
        <v>75</v>
      </c>
      <c r="C174">
        <v>75</v>
      </c>
      <c r="D174">
        <v>75</v>
      </c>
      <c r="E174">
        <v>75</v>
      </c>
      <c r="F174">
        <v>50</v>
      </c>
      <c r="G174">
        <v>75</v>
      </c>
      <c r="H174">
        <v>50</v>
      </c>
      <c r="I174">
        <v>50</v>
      </c>
      <c r="J174">
        <v>75</v>
      </c>
    </row>
    <row r="175" spans="1:10">
      <c r="A175" s="4" t="s">
        <v>164</v>
      </c>
      <c r="B175">
        <v>0.83299999999999996</v>
      </c>
      <c r="C175">
        <v>0.83299999999999996</v>
      </c>
      <c r="D175">
        <v>0.83299999999999996</v>
      </c>
      <c r="E175">
        <v>0.83299999999999996</v>
      </c>
      <c r="F175">
        <v>0.83299999999999996</v>
      </c>
      <c r="G175">
        <v>0.83299999999999996</v>
      </c>
      <c r="H175">
        <v>0.83299999999999996</v>
      </c>
      <c r="I175">
        <v>0.83299999999999996</v>
      </c>
      <c r="J175">
        <v>0.83299999999999996</v>
      </c>
    </row>
    <row r="176" spans="1:10">
      <c r="A176" s="3" t="s">
        <v>33</v>
      </c>
    </row>
    <row r="177" spans="1:10">
      <c r="A177" s="4" t="s">
        <v>6</v>
      </c>
      <c r="B177">
        <v>1300</v>
      </c>
      <c r="C177">
        <v>1300</v>
      </c>
      <c r="D177">
        <v>600</v>
      </c>
      <c r="E177">
        <v>1000</v>
      </c>
      <c r="F177">
        <v>2100</v>
      </c>
      <c r="G177">
        <v>1700</v>
      </c>
      <c r="H177">
        <v>1700</v>
      </c>
      <c r="I177">
        <v>1800</v>
      </c>
      <c r="J177">
        <v>1300</v>
      </c>
    </row>
    <row r="178" spans="1:10">
      <c r="A178" s="4" t="s">
        <v>12</v>
      </c>
      <c r="B178">
        <v>0.35</v>
      </c>
      <c r="C178">
        <v>0.39</v>
      </c>
      <c r="D178">
        <v>0.37</v>
      </c>
      <c r="E178">
        <v>0.36</v>
      </c>
      <c r="F178">
        <v>0.39</v>
      </c>
      <c r="G178">
        <v>0.39</v>
      </c>
      <c r="H178">
        <v>0.39</v>
      </c>
      <c r="I178">
        <v>0.39</v>
      </c>
      <c r="J178">
        <v>0.37</v>
      </c>
    </row>
    <row r="179" spans="1:10">
      <c r="A179" s="4" t="s">
        <v>10</v>
      </c>
      <c r="B179">
        <v>45</v>
      </c>
      <c r="C179">
        <v>45</v>
      </c>
      <c r="D179">
        <v>20</v>
      </c>
      <c r="E179">
        <v>35</v>
      </c>
      <c r="F179">
        <v>55</v>
      </c>
      <c r="G179">
        <v>50</v>
      </c>
      <c r="H179">
        <v>45</v>
      </c>
      <c r="I179">
        <v>45</v>
      </c>
      <c r="J179">
        <v>45</v>
      </c>
    </row>
    <row r="180" spans="1:10">
      <c r="A180" s="4" t="s">
        <v>164</v>
      </c>
      <c r="B180">
        <v>2.3610000000000002</v>
      </c>
      <c r="C180">
        <v>2.3610000000000002</v>
      </c>
      <c r="D180">
        <v>2.3610000000000002</v>
      </c>
      <c r="E180">
        <v>2.3610000000000002</v>
      </c>
      <c r="F180">
        <v>2.3610000000000002</v>
      </c>
      <c r="G180">
        <v>2.3610000000000002</v>
      </c>
      <c r="H180">
        <v>2.3610000000000002</v>
      </c>
      <c r="I180">
        <v>2.3610000000000002</v>
      </c>
      <c r="J180">
        <v>2.3610000000000002</v>
      </c>
    </row>
    <row r="181" spans="1:10">
      <c r="A181" s="3" t="s">
        <v>34</v>
      </c>
    </row>
    <row r="182" spans="1:10">
      <c r="A182" s="4" t="s">
        <v>6</v>
      </c>
      <c r="B182">
        <v>1600</v>
      </c>
      <c r="C182">
        <v>1600</v>
      </c>
      <c r="D182">
        <v>700</v>
      </c>
      <c r="E182">
        <v>1200</v>
      </c>
      <c r="F182">
        <v>2400</v>
      </c>
      <c r="G182">
        <v>2000</v>
      </c>
      <c r="H182">
        <v>2000</v>
      </c>
      <c r="I182">
        <v>2100</v>
      </c>
      <c r="J182">
        <v>1600</v>
      </c>
    </row>
    <row r="183" spans="1:10">
      <c r="A183" s="4" t="s">
        <v>12</v>
      </c>
      <c r="B183">
        <v>0.39</v>
      </c>
      <c r="C183">
        <v>0.43</v>
      </c>
      <c r="D183">
        <v>0.41</v>
      </c>
      <c r="E183">
        <v>0.4</v>
      </c>
      <c r="F183">
        <v>0.43</v>
      </c>
      <c r="G183">
        <v>0.43</v>
      </c>
      <c r="H183">
        <v>0.43</v>
      </c>
      <c r="I183">
        <v>0.43</v>
      </c>
      <c r="J183">
        <v>0.41</v>
      </c>
    </row>
    <row r="184" spans="1:10">
      <c r="A184" s="4" t="s">
        <v>10</v>
      </c>
      <c r="B184">
        <v>55</v>
      </c>
      <c r="C184">
        <v>65</v>
      </c>
      <c r="D184">
        <v>30</v>
      </c>
      <c r="E184">
        <v>50</v>
      </c>
      <c r="F184">
        <v>70</v>
      </c>
      <c r="G184">
        <v>70</v>
      </c>
      <c r="H184">
        <v>60</v>
      </c>
      <c r="I184">
        <v>65</v>
      </c>
      <c r="J184">
        <v>65</v>
      </c>
    </row>
    <row r="185" spans="1:10">
      <c r="A185" s="4" t="s">
        <v>164</v>
      </c>
      <c r="B185">
        <v>2.4969999999999999</v>
      </c>
      <c r="C185">
        <v>2.4969999999999999</v>
      </c>
      <c r="D185">
        <v>2.4969999999999999</v>
      </c>
      <c r="E185">
        <v>2.4969999999999999</v>
      </c>
      <c r="F185">
        <v>2.4969999999999999</v>
      </c>
      <c r="G185">
        <v>2.4969999999999999</v>
      </c>
      <c r="H185">
        <v>2.4969999999999999</v>
      </c>
      <c r="I185">
        <v>2.4969999999999999</v>
      </c>
      <c r="J185">
        <v>2.4969999999999999</v>
      </c>
    </row>
    <row r="186" spans="1:10">
      <c r="A186" s="3" t="s">
        <v>35</v>
      </c>
    </row>
    <row r="187" spans="1:10">
      <c r="A187" s="4" t="s">
        <v>6</v>
      </c>
      <c r="B187">
        <v>1900</v>
      </c>
      <c r="C187">
        <v>1800</v>
      </c>
      <c r="D187">
        <v>800</v>
      </c>
      <c r="E187">
        <v>1400</v>
      </c>
      <c r="F187">
        <v>2600</v>
      </c>
      <c r="G187">
        <v>2200</v>
      </c>
      <c r="H187">
        <v>2200</v>
      </c>
      <c r="I187">
        <v>2300</v>
      </c>
      <c r="J187">
        <v>1600</v>
      </c>
    </row>
    <row r="188" spans="1:10">
      <c r="A188" s="4" t="s">
        <v>12</v>
      </c>
      <c r="B188">
        <v>0.43</v>
      </c>
      <c r="C188">
        <v>0.47</v>
      </c>
      <c r="D188">
        <v>0.46</v>
      </c>
      <c r="E188">
        <v>0.42</v>
      </c>
      <c r="F188">
        <v>0.47</v>
      </c>
      <c r="G188">
        <v>0.47</v>
      </c>
      <c r="H188">
        <v>0.47</v>
      </c>
      <c r="I188">
        <v>0.47</v>
      </c>
      <c r="J188">
        <v>0.45</v>
      </c>
    </row>
    <row r="189" spans="1:10">
      <c r="A189" s="4" t="s">
        <v>10</v>
      </c>
      <c r="B189">
        <v>70</v>
      </c>
      <c r="C189">
        <v>70</v>
      </c>
      <c r="D189">
        <v>30</v>
      </c>
      <c r="E189">
        <v>55</v>
      </c>
      <c r="F189">
        <v>80</v>
      </c>
      <c r="G189">
        <v>65</v>
      </c>
      <c r="H189">
        <v>65</v>
      </c>
      <c r="I189">
        <v>70</v>
      </c>
      <c r="J189">
        <v>65</v>
      </c>
    </row>
    <row r="190" spans="1:10">
      <c r="A190" s="4" t="s">
        <v>164</v>
      </c>
      <c r="B190">
        <v>2.6389999999999998</v>
      </c>
      <c r="C190">
        <v>2.6389999999999998</v>
      </c>
      <c r="D190">
        <v>2.6389999999999998</v>
      </c>
      <c r="E190">
        <v>2.6389999999999998</v>
      </c>
      <c r="F190">
        <v>2.6389999999999998</v>
      </c>
      <c r="G190">
        <v>2.6389999999999998</v>
      </c>
      <c r="H190">
        <v>2.6389999999999998</v>
      </c>
      <c r="I190">
        <v>2.6389999999999998</v>
      </c>
      <c r="J190">
        <v>2.6389999999999998</v>
      </c>
    </row>
    <row r="191" spans="1:10">
      <c r="A191" s="3" t="s">
        <v>36</v>
      </c>
    </row>
    <row r="192" spans="1:10">
      <c r="A192" s="4" t="s">
        <v>6</v>
      </c>
      <c r="B192">
        <v>2100</v>
      </c>
      <c r="C192">
        <v>1900</v>
      </c>
      <c r="D192">
        <v>1000</v>
      </c>
      <c r="E192">
        <v>1500</v>
      </c>
      <c r="F192">
        <v>2750</v>
      </c>
      <c r="G192">
        <v>2350</v>
      </c>
      <c r="H192">
        <v>2350</v>
      </c>
      <c r="I192">
        <v>2450</v>
      </c>
      <c r="J192">
        <v>1900</v>
      </c>
    </row>
    <row r="193" spans="1:10">
      <c r="A193" s="4" t="s">
        <v>12</v>
      </c>
      <c r="B193">
        <v>0.43</v>
      </c>
      <c r="C193">
        <v>0.47</v>
      </c>
      <c r="D193">
        <v>0.46</v>
      </c>
      <c r="E193">
        <v>0.44</v>
      </c>
      <c r="F193">
        <v>0.47</v>
      </c>
      <c r="G193">
        <v>0.47</v>
      </c>
      <c r="H193">
        <v>0.47</v>
      </c>
      <c r="I193">
        <v>0.47</v>
      </c>
      <c r="J193">
        <v>0.45</v>
      </c>
    </row>
    <row r="194" spans="1:10">
      <c r="A194" s="4" t="s">
        <v>10</v>
      </c>
      <c r="B194">
        <v>85</v>
      </c>
      <c r="C194">
        <v>85</v>
      </c>
      <c r="D194">
        <v>45</v>
      </c>
      <c r="E194">
        <v>70</v>
      </c>
      <c r="F194">
        <v>95</v>
      </c>
      <c r="G194">
        <v>85</v>
      </c>
      <c r="H194">
        <v>85</v>
      </c>
      <c r="I194">
        <v>85</v>
      </c>
      <c r="J194">
        <v>85</v>
      </c>
    </row>
    <row r="195" spans="1:10">
      <c r="A195" s="3" t="s">
        <v>37</v>
      </c>
    </row>
    <row r="196" spans="1:10">
      <c r="A196" s="4" t="s">
        <v>6</v>
      </c>
      <c r="B196">
        <v>4500</v>
      </c>
      <c r="C196">
        <v>4300</v>
      </c>
      <c r="D196">
        <v>3400</v>
      </c>
      <c r="E196">
        <v>3900</v>
      </c>
      <c r="F196">
        <v>5900</v>
      </c>
      <c r="G196">
        <v>5100</v>
      </c>
      <c r="H196">
        <v>5500</v>
      </c>
      <c r="I196">
        <v>5600</v>
      </c>
      <c r="J196">
        <v>4500</v>
      </c>
    </row>
    <row r="197" spans="1:10">
      <c r="A197" s="4" t="s">
        <v>12</v>
      </c>
      <c r="B197">
        <v>0.33</v>
      </c>
      <c r="D197">
        <v>0.36</v>
      </c>
      <c r="E197">
        <v>0.32</v>
      </c>
      <c r="F197">
        <v>0.37</v>
      </c>
      <c r="G197">
        <v>0.37</v>
      </c>
      <c r="H197">
        <v>0.37</v>
      </c>
      <c r="I197">
        <v>0.37</v>
      </c>
    </row>
    <row r="198" spans="1:10">
      <c r="A198" s="4" t="s">
        <v>10</v>
      </c>
      <c r="B198">
        <v>175</v>
      </c>
      <c r="C198">
        <v>170</v>
      </c>
      <c r="D198">
        <v>135</v>
      </c>
      <c r="E198">
        <v>155</v>
      </c>
      <c r="F198">
        <v>175</v>
      </c>
      <c r="G198">
        <v>180</v>
      </c>
      <c r="H198">
        <v>165</v>
      </c>
      <c r="I198">
        <v>170</v>
      </c>
      <c r="J198">
        <v>180</v>
      </c>
    </row>
    <row r="199" spans="1:10">
      <c r="A199" s="4" t="s">
        <v>164</v>
      </c>
      <c r="B199">
        <v>4.1529999999999996</v>
      </c>
      <c r="C199">
        <v>4.1529999999999996</v>
      </c>
      <c r="D199">
        <v>4.1529999999999996</v>
      </c>
      <c r="E199">
        <v>4.1529999999999996</v>
      </c>
      <c r="F199">
        <v>4.1529999999999996</v>
      </c>
      <c r="G199">
        <v>4.1529999999999996</v>
      </c>
      <c r="H199">
        <v>4.1529999999999996</v>
      </c>
      <c r="I199">
        <v>4.1529999999999996</v>
      </c>
      <c r="J199">
        <v>4.1529999999999996</v>
      </c>
    </row>
    <row r="200" spans="1:10">
      <c r="A200" s="3" t="s">
        <v>38</v>
      </c>
    </row>
    <row r="201" spans="1:10">
      <c r="A201" s="4" t="s">
        <v>6</v>
      </c>
      <c r="B201">
        <v>4800</v>
      </c>
      <c r="C201">
        <v>4700</v>
      </c>
      <c r="D201">
        <v>3500</v>
      </c>
      <c r="E201">
        <v>4100</v>
      </c>
      <c r="F201">
        <v>6100</v>
      </c>
      <c r="G201">
        <v>5300</v>
      </c>
      <c r="H201">
        <v>5700</v>
      </c>
      <c r="I201">
        <v>5800</v>
      </c>
      <c r="J201">
        <v>4300</v>
      </c>
    </row>
    <row r="202" spans="1:10">
      <c r="A202" s="4" t="s">
        <v>12</v>
      </c>
      <c r="B202">
        <v>0.33</v>
      </c>
      <c r="D202">
        <v>0.36</v>
      </c>
      <c r="E202">
        <v>0.32</v>
      </c>
      <c r="F202">
        <v>0.37</v>
      </c>
      <c r="G202">
        <v>0.37</v>
      </c>
      <c r="H202">
        <v>0.37</v>
      </c>
      <c r="I202">
        <v>0.37</v>
      </c>
    </row>
    <row r="203" spans="1:10">
      <c r="A203" s="4" t="s">
        <v>10</v>
      </c>
      <c r="B203">
        <v>185</v>
      </c>
      <c r="C203">
        <v>190</v>
      </c>
      <c r="D203">
        <v>140</v>
      </c>
      <c r="E203">
        <v>165</v>
      </c>
      <c r="F203">
        <v>185</v>
      </c>
      <c r="G203">
        <v>160</v>
      </c>
      <c r="H203">
        <v>170</v>
      </c>
      <c r="I203">
        <v>175</v>
      </c>
      <c r="J203">
        <v>170</v>
      </c>
    </row>
    <row r="204" spans="1:10">
      <c r="A204" s="4" t="s">
        <v>164</v>
      </c>
      <c r="B204">
        <v>4.306</v>
      </c>
      <c r="C204">
        <v>4.306</v>
      </c>
      <c r="D204">
        <v>4.306</v>
      </c>
      <c r="E204">
        <v>4.306</v>
      </c>
      <c r="F204">
        <v>4.306</v>
      </c>
      <c r="G204">
        <v>4.306</v>
      </c>
      <c r="H204">
        <v>4.306</v>
      </c>
      <c r="I204">
        <v>4.306</v>
      </c>
      <c r="J204">
        <v>4.306</v>
      </c>
    </row>
    <row r="205" spans="1:10">
      <c r="A205" s="3" t="s">
        <v>39</v>
      </c>
    </row>
    <row r="206" spans="1:10">
      <c r="A206" s="4" t="s">
        <v>6</v>
      </c>
      <c r="B206">
        <v>4650</v>
      </c>
      <c r="C206">
        <v>4350</v>
      </c>
      <c r="D206">
        <v>3550</v>
      </c>
      <c r="E206">
        <v>3950</v>
      </c>
      <c r="F206">
        <v>6100</v>
      </c>
      <c r="G206">
        <v>5300</v>
      </c>
      <c r="H206">
        <v>5700</v>
      </c>
      <c r="I206">
        <v>5850</v>
      </c>
      <c r="J206">
        <v>4900</v>
      </c>
    </row>
    <row r="207" spans="1:10">
      <c r="A207" s="4" t="s">
        <v>12</v>
      </c>
      <c r="B207">
        <v>0.32</v>
      </c>
      <c r="D207">
        <v>0.35</v>
      </c>
      <c r="E207">
        <v>0.33</v>
      </c>
      <c r="F207">
        <v>0.36</v>
      </c>
      <c r="G207">
        <v>0.36</v>
      </c>
      <c r="H207">
        <v>0.36</v>
      </c>
      <c r="I207">
        <v>0.36</v>
      </c>
    </row>
    <row r="208" spans="1:10">
      <c r="A208" s="4" t="s">
        <v>10</v>
      </c>
      <c r="B208">
        <v>210</v>
      </c>
      <c r="C208">
        <v>195</v>
      </c>
      <c r="D208">
        <v>160</v>
      </c>
      <c r="E208">
        <v>190</v>
      </c>
      <c r="F208">
        <v>215</v>
      </c>
      <c r="G208">
        <v>185</v>
      </c>
      <c r="H208">
        <v>200</v>
      </c>
      <c r="I208">
        <v>205</v>
      </c>
      <c r="J208">
        <v>220</v>
      </c>
    </row>
    <row r="209" spans="1:10">
      <c r="A209" s="4" t="s">
        <v>164</v>
      </c>
      <c r="B209">
        <v>4.5830000000000002</v>
      </c>
      <c r="C209">
        <v>4.5830000000000002</v>
      </c>
      <c r="D209">
        <v>4.5830000000000002</v>
      </c>
      <c r="E209">
        <v>4.5830000000000002</v>
      </c>
      <c r="F209">
        <v>4.5830000000000002</v>
      </c>
      <c r="G209">
        <v>4.5830000000000002</v>
      </c>
      <c r="H209">
        <v>4.5830000000000002</v>
      </c>
      <c r="I209">
        <v>4.5830000000000002</v>
      </c>
      <c r="J209">
        <v>4.5830000000000002</v>
      </c>
    </row>
    <row r="210" spans="1:10">
      <c r="A210" s="3" t="s">
        <v>40</v>
      </c>
    </row>
    <row r="211" spans="1:10">
      <c r="A211" s="4" t="s">
        <v>6</v>
      </c>
      <c r="B211">
        <v>2450</v>
      </c>
      <c r="C211">
        <v>1650</v>
      </c>
      <c r="D211">
        <v>2200</v>
      </c>
      <c r="E211">
        <v>2300</v>
      </c>
      <c r="F211">
        <v>3200</v>
      </c>
      <c r="G211">
        <v>2650</v>
      </c>
      <c r="H211">
        <v>3100</v>
      </c>
      <c r="I211">
        <v>3100</v>
      </c>
      <c r="J211">
        <v>2800</v>
      </c>
    </row>
    <row r="212" spans="1:10">
      <c r="A212" s="4" t="s">
        <v>12</v>
      </c>
      <c r="B212">
        <v>0.51</v>
      </c>
      <c r="D212">
        <v>0.5</v>
      </c>
      <c r="E212">
        <v>0.49</v>
      </c>
      <c r="F212">
        <v>0.52</v>
      </c>
      <c r="G212">
        <v>0.5</v>
      </c>
      <c r="H212">
        <v>0.52</v>
      </c>
      <c r="I212">
        <v>0.52</v>
      </c>
      <c r="J212">
        <v>0.5</v>
      </c>
    </row>
    <row r="213" spans="1:10">
      <c r="A213" s="4" t="s">
        <v>10</v>
      </c>
      <c r="B213">
        <v>85</v>
      </c>
      <c r="C213">
        <v>55</v>
      </c>
      <c r="D213">
        <v>70</v>
      </c>
      <c r="E213">
        <v>80</v>
      </c>
      <c r="F213">
        <v>80</v>
      </c>
      <c r="G213">
        <v>95</v>
      </c>
      <c r="H213">
        <v>75</v>
      </c>
      <c r="I213">
        <v>75</v>
      </c>
      <c r="J213">
        <v>100</v>
      </c>
    </row>
    <row r="214" spans="1:10">
      <c r="A214" s="4" t="s">
        <v>164</v>
      </c>
      <c r="B214">
        <v>1.2</v>
      </c>
      <c r="C214">
        <v>1.2</v>
      </c>
      <c r="D214">
        <v>1.2</v>
      </c>
      <c r="E214">
        <v>1.2</v>
      </c>
      <c r="F214">
        <v>1.2</v>
      </c>
      <c r="G214">
        <v>1.2</v>
      </c>
      <c r="H214">
        <v>1.2</v>
      </c>
      <c r="I214">
        <v>1.2</v>
      </c>
      <c r="J214">
        <v>1.2</v>
      </c>
    </row>
    <row r="215" spans="1:10">
      <c r="A215" s="3" t="s">
        <v>41</v>
      </c>
    </row>
    <row r="216" spans="1:10">
      <c r="A216" s="4" t="s">
        <v>6</v>
      </c>
      <c r="B216">
        <v>4000</v>
      </c>
      <c r="C216">
        <v>4000</v>
      </c>
      <c r="D216">
        <v>2800</v>
      </c>
      <c r="E216">
        <v>2800</v>
      </c>
      <c r="F216">
        <v>4000</v>
      </c>
      <c r="G216">
        <v>3800</v>
      </c>
      <c r="H216">
        <v>5100</v>
      </c>
      <c r="I216">
        <v>4800</v>
      </c>
      <c r="J216">
        <v>3500</v>
      </c>
    </row>
    <row r="217" spans="1:10">
      <c r="A217" s="4" t="s">
        <v>10</v>
      </c>
      <c r="B217">
        <v>170</v>
      </c>
      <c r="C217">
        <v>170</v>
      </c>
      <c r="D217">
        <v>120</v>
      </c>
      <c r="E217">
        <v>140</v>
      </c>
      <c r="F217">
        <v>225</v>
      </c>
      <c r="G217">
        <v>160</v>
      </c>
      <c r="H217">
        <v>160</v>
      </c>
      <c r="I217">
        <v>175</v>
      </c>
      <c r="J217">
        <v>160</v>
      </c>
    </row>
    <row r="218" spans="1:10">
      <c r="A218" s="4" t="s">
        <v>164</v>
      </c>
      <c r="B218">
        <v>0.77800000000000002</v>
      </c>
      <c r="C218">
        <v>0.77800000000000002</v>
      </c>
      <c r="D218">
        <v>0.77800000000000002</v>
      </c>
      <c r="E218">
        <v>0.77800000000000002</v>
      </c>
      <c r="F218">
        <v>0.77800000000000002</v>
      </c>
      <c r="G218">
        <v>0.77800000000000002</v>
      </c>
      <c r="H218">
        <v>0.77800000000000002</v>
      </c>
      <c r="I218">
        <v>0.77800000000000002</v>
      </c>
      <c r="J218">
        <v>0.77800000000000002</v>
      </c>
    </row>
    <row r="219" spans="1:10">
      <c r="A219" s="3" t="s">
        <v>42</v>
      </c>
    </row>
    <row r="220" spans="1:10">
      <c r="A220" s="4" t="s">
        <v>14</v>
      </c>
      <c r="B220">
        <v>0.23</v>
      </c>
      <c r="C220">
        <v>0.21</v>
      </c>
      <c r="D220">
        <v>0.13</v>
      </c>
      <c r="E220">
        <v>0.21</v>
      </c>
      <c r="F220">
        <v>0.14000000000000001</v>
      </c>
      <c r="G220">
        <v>0.13</v>
      </c>
      <c r="H220">
        <v>0.14000000000000001</v>
      </c>
      <c r="I220">
        <v>0.22</v>
      </c>
      <c r="J220">
        <v>0.25</v>
      </c>
    </row>
    <row r="221" spans="1:10">
      <c r="A221" s="4" t="s">
        <v>6</v>
      </c>
      <c r="B221">
        <v>850</v>
      </c>
      <c r="C221">
        <v>460</v>
      </c>
      <c r="D221">
        <v>430</v>
      </c>
      <c r="E221">
        <v>390</v>
      </c>
      <c r="F221">
        <v>1250</v>
      </c>
      <c r="G221">
        <v>1090</v>
      </c>
      <c r="H221">
        <v>620</v>
      </c>
      <c r="I221">
        <v>690</v>
      </c>
      <c r="J221">
        <v>360</v>
      </c>
    </row>
    <row r="222" spans="1:10">
      <c r="A222" s="4" t="s">
        <v>12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</row>
    <row r="223" spans="1:10">
      <c r="A223" s="4" t="s">
        <v>10</v>
      </c>
      <c r="B223">
        <v>20</v>
      </c>
      <c r="C223">
        <v>10</v>
      </c>
      <c r="D223">
        <v>10</v>
      </c>
      <c r="E223">
        <v>8</v>
      </c>
      <c r="F223">
        <v>26</v>
      </c>
      <c r="G223">
        <v>24</v>
      </c>
      <c r="H223">
        <v>14</v>
      </c>
      <c r="I223">
        <v>16</v>
      </c>
      <c r="J223">
        <v>8</v>
      </c>
    </row>
    <row r="224" spans="1:10">
      <c r="A224" s="4" t="s">
        <v>164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 s="3" t="s">
        <v>43</v>
      </c>
    </row>
    <row r="226" spans="1:10">
      <c r="A226" s="4" t="s">
        <v>14</v>
      </c>
      <c r="B226">
        <v>0.34</v>
      </c>
      <c r="C226">
        <v>0.44</v>
      </c>
      <c r="D226">
        <v>0.27</v>
      </c>
      <c r="E226">
        <v>0.28000000000000003</v>
      </c>
      <c r="F226">
        <v>0.28000000000000003</v>
      </c>
      <c r="G226">
        <v>0.28999999999999998</v>
      </c>
      <c r="H226">
        <v>0.3</v>
      </c>
      <c r="I226">
        <v>0.43</v>
      </c>
      <c r="J226">
        <v>0.35</v>
      </c>
    </row>
    <row r="227" spans="1:10">
      <c r="A227" s="4" t="s">
        <v>6</v>
      </c>
      <c r="B227">
        <v>1830</v>
      </c>
      <c r="C227">
        <v>1000</v>
      </c>
      <c r="D227">
        <v>1040</v>
      </c>
      <c r="E227">
        <v>1060</v>
      </c>
      <c r="F227">
        <v>3320</v>
      </c>
      <c r="G227">
        <v>1550</v>
      </c>
      <c r="H227">
        <v>1670</v>
      </c>
      <c r="I227">
        <v>1160</v>
      </c>
      <c r="J227">
        <v>1830</v>
      </c>
    </row>
    <row r="228" spans="1:10">
      <c r="A228" s="4" t="s">
        <v>12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</row>
    <row r="229" spans="1:10">
      <c r="A229" s="4" t="s">
        <v>10</v>
      </c>
      <c r="B229">
        <v>46</v>
      </c>
      <c r="C229">
        <v>26</v>
      </c>
      <c r="D229">
        <v>26</v>
      </c>
      <c r="E229">
        <v>26</v>
      </c>
      <c r="F229">
        <v>84</v>
      </c>
      <c r="G229">
        <v>40</v>
      </c>
      <c r="H229">
        <v>42</v>
      </c>
      <c r="I229">
        <v>30</v>
      </c>
      <c r="J229">
        <v>46</v>
      </c>
    </row>
    <row r="230" spans="1:10">
      <c r="A230" s="4" t="s">
        <v>164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 s="3" t="s">
        <v>44</v>
      </c>
    </row>
    <row r="232" spans="1:10">
      <c r="A232" s="4" t="s">
        <v>14</v>
      </c>
      <c r="B232">
        <v>0.4</v>
      </c>
      <c r="C232">
        <v>0.52</v>
      </c>
      <c r="D232">
        <v>0.39</v>
      </c>
      <c r="E232">
        <v>0.37</v>
      </c>
      <c r="F232">
        <v>0.44</v>
      </c>
      <c r="G232">
        <v>0.42</v>
      </c>
      <c r="H232">
        <v>0.56000000000000005</v>
      </c>
      <c r="I232">
        <v>0.46</v>
      </c>
      <c r="J232">
        <v>0.37</v>
      </c>
    </row>
    <row r="233" spans="1:10">
      <c r="A233" s="4" t="s">
        <v>6</v>
      </c>
      <c r="B233">
        <v>2880</v>
      </c>
      <c r="C233">
        <v>3000</v>
      </c>
      <c r="D233">
        <v>1880</v>
      </c>
      <c r="E233">
        <v>2060</v>
      </c>
      <c r="F233">
        <v>4180</v>
      </c>
      <c r="G233">
        <v>3120</v>
      </c>
      <c r="H233">
        <v>2280</v>
      </c>
      <c r="I233">
        <v>2520</v>
      </c>
      <c r="J233">
        <v>3000</v>
      </c>
    </row>
    <row r="234" spans="1:10">
      <c r="A234" s="4" t="s">
        <v>12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</row>
    <row r="235" spans="1:10">
      <c r="A235" s="4" t="s">
        <v>10</v>
      </c>
      <c r="B235">
        <v>80</v>
      </c>
      <c r="C235">
        <v>80</v>
      </c>
      <c r="D235">
        <v>50</v>
      </c>
      <c r="E235">
        <v>55</v>
      </c>
      <c r="F235">
        <v>115</v>
      </c>
      <c r="G235">
        <v>85</v>
      </c>
      <c r="H235">
        <v>50</v>
      </c>
      <c r="I235">
        <v>90</v>
      </c>
      <c r="J235">
        <v>80</v>
      </c>
    </row>
    <row r="236" spans="1:10">
      <c r="A236" s="4" t="s">
        <v>164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s="3" t="s">
        <v>45</v>
      </c>
    </row>
    <row r="238" spans="1:10">
      <c r="A238" s="4" t="s">
        <v>14</v>
      </c>
      <c r="B238">
        <v>0.5</v>
      </c>
      <c r="C238">
        <v>0.5</v>
      </c>
      <c r="D238">
        <v>0.35</v>
      </c>
      <c r="E238">
        <v>0.4</v>
      </c>
      <c r="F238">
        <v>0.5</v>
      </c>
      <c r="G238">
        <v>0.4</v>
      </c>
      <c r="H238">
        <v>0.4</v>
      </c>
      <c r="I238">
        <v>0.4</v>
      </c>
      <c r="J238">
        <v>0.2</v>
      </c>
    </row>
    <row r="239" spans="1:10">
      <c r="A239" s="4" t="s">
        <v>6</v>
      </c>
      <c r="B239">
        <v>2100</v>
      </c>
      <c r="C239">
        <v>2100</v>
      </c>
      <c r="D239">
        <v>1600</v>
      </c>
      <c r="E239">
        <v>2000</v>
      </c>
      <c r="F239">
        <v>2400</v>
      </c>
      <c r="G239">
        <v>2050</v>
      </c>
      <c r="H239">
        <v>2650</v>
      </c>
      <c r="I239">
        <v>2700</v>
      </c>
      <c r="J239">
        <v>2150</v>
      </c>
    </row>
    <row r="240" spans="1:10">
      <c r="A240" s="4" t="s">
        <v>12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</row>
    <row r="241" spans="1:10">
      <c r="A241" s="4" t="s">
        <v>10</v>
      </c>
      <c r="B241">
        <v>50</v>
      </c>
      <c r="C241">
        <v>50</v>
      </c>
      <c r="D241">
        <v>40</v>
      </c>
      <c r="E241">
        <v>50</v>
      </c>
      <c r="F241">
        <v>60</v>
      </c>
      <c r="G241">
        <v>50</v>
      </c>
      <c r="H241">
        <v>60</v>
      </c>
      <c r="I241">
        <v>65</v>
      </c>
      <c r="J241">
        <v>55</v>
      </c>
    </row>
    <row r="242" spans="1:10">
      <c r="A242" s="4" t="s">
        <v>164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 s="3" t="s">
        <v>46</v>
      </c>
    </row>
    <row r="244" spans="1:10">
      <c r="A244" s="4" t="s">
        <v>14</v>
      </c>
      <c r="B244">
        <v>0.5</v>
      </c>
      <c r="C244">
        <v>0.5</v>
      </c>
      <c r="D244">
        <v>0.35</v>
      </c>
      <c r="E244">
        <v>0.35</v>
      </c>
      <c r="F244">
        <v>0.2</v>
      </c>
      <c r="G244">
        <v>0.4</v>
      </c>
      <c r="H244">
        <v>0.25</v>
      </c>
      <c r="I244">
        <v>0.3</v>
      </c>
      <c r="J244">
        <v>0.15</v>
      </c>
    </row>
    <row r="245" spans="1:10">
      <c r="A245" s="4" t="s">
        <v>6</v>
      </c>
      <c r="B245">
        <v>3300</v>
      </c>
      <c r="C245">
        <v>3350</v>
      </c>
      <c r="D245">
        <v>2000</v>
      </c>
      <c r="E245">
        <v>3050</v>
      </c>
      <c r="F245">
        <v>3550</v>
      </c>
      <c r="G245">
        <v>3500</v>
      </c>
      <c r="H245">
        <v>3900</v>
      </c>
      <c r="I245">
        <v>4050</v>
      </c>
      <c r="J245">
        <v>3400</v>
      </c>
    </row>
    <row r="246" spans="1:10">
      <c r="A246" s="4" t="s">
        <v>12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</row>
    <row r="247" spans="1:10">
      <c r="A247" s="4" t="s">
        <v>10</v>
      </c>
      <c r="B247">
        <v>65</v>
      </c>
      <c r="C247">
        <v>65</v>
      </c>
      <c r="D247">
        <v>40</v>
      </c>
      <c r="E247">
        <v>60</v>
      </c>
      <c r="F247">
        <v>70</v>
      </c>
      <c r="G247">
        <v>70</v>
      </c>
      <c r="H247">
        <v>80</v>
      </c>
      <c r="I247">
        <v>80</v>
      </c>
      <c r="J247">
        <v>70</v>
      </c>
    </row>
    <row r="248" spans="1:10">
      <c r="A248" s="4" t="s">
        <v>164</v>
      </c>
      <c r="B248">
        <v>0.27800000000000002</v>
      </c>
      <c r="C248">
        <v>0.27800000000000002</v>
      </c>
      <c r="D248">
        <v>0.27800000000000002</v>
      </c>
      <c r="E248">
        <v>0.27800000000000002</v>
      </c>
      <c r="F248">
        <v>0.27800000000000002</v>
      </c>
      <c r="G248">
        <v>0.27800000000000002</v>
      </c>
      <c r="H248">
        <v>0.27800000000000002</v>
      </c>
      <c r="I248">
        <v>0.27800000000000002</v>
      </c>
      <c r="J248">
        <v>0.27800000000000002</v>
      </c>
    </row>
    <row r="249" spans="1:10">
      <c r="A249" s="3" t="s">
        <v>47</v>
      </c>
    </row>
    <row r="250" spans="1:10">
      <c r="A250" s="4" t="s">
        <v>14</v>
      </c>
      <c r="B250">
        <v>0.5</v>
      </c>
      <c r="C250">
        <v>0.4</v>
      </c>
      <c r="D250">
        <v>0.7</v>
      </c>
      <c r="E250">
        <v>0.6</v>
      </c>
      <c r="F250">
        <v>0.6</v>
      </c>
      <c r="G250">
        <v>0.5</v>
      </c>
      <c r="H250">
        <v>0.6</v>
      </c>
      <c r="I250">
        <v>0.5</v>
      </c>
      <c r="J250">
        <v>0.8</v>
      </c>
    </row>
    <row r="251" spans="1:10">
      <c r="A251" s="4" t="s">
        <v>6</v>
      </c>
      <c r="B251">
        <v>2100</v>
      </c>
      <c r="C251">
        <v>2150</v>
      </c>
      <c r="D251">
        <v>1550</v>
      </c>
      <c r="E251">
        <v>2100</v>
      </c>
      <c r="F251">
        <v>2300</v>
      </c>
      <c r="G251">
        <v>2200</v>
      </c>
      <c r="H251">
        <v>2350</v>
      </c>
      <c r="I251">
        <v>2450</v>
      </c>
      <c r="J251">
        <v>2200</v>
      </c>
    </row>
    <row r="252" spans="1:10">
      <c r="A252" s="4" t="s">
        <v>12</v>
      </c>
      <c r="B252">
        <v>0.35</v>
      </c>
      <c r="C252">
        <v>0.35</v>
      </c>
      <c r="D252">
        <v>0.35</v>
      </c>
      <c r="E252">
        <v>0.35</v>
      </c>
      <c r="F252">
        <v>0.35</v>
      </c>
      <c r="G252">
        <v>0.35</v>
      </c>
      <c r="H252">
        <v>0.35</v>
      </c>
      <c r="I252">
        <v>0.35</v>
      </c>
      <c r="J252">
        <v>0.35</v>
      </c>
    </row>
    <row r="253" spans="1:10">
      <c r="A253" s="4" t="s">
        <v>10</v>
      </c>
      <c r="B253">
        <v>75</v>
      </c>
      <c r="C253">
        <v>75</v>
      </c>
      <c r="D253">
        <v>55</v>
      </c>
      <c r="E253">
        <v>75</v>
      </c>
      <c r="F253">
        <v>80</v>
      </c>
      <c r="G253">
        <v>75</v>
      </c>
      <c r="H253">
        <v>80</v>
      </c>
      <c r="I253">
        <v>85</v>
      </c>
      <c r="J253">
        <v>75</v>
      </c>
    </row>
    <row r="254" spans="1:10">
      <c r="A254" s="4" t="s">
        <v>164</v>
      </c>
      <c r="B254">
        <v>1.4570000000000001</v>
      </c>
      <c r="C254">
        <v>1.4570000000000001</v>
      </c>
      <c r="D254">
        <v>1.4570000000000001</v>
      </c>
      <c r="E254">
        <v>1.4570000000000001</v>
      </c>
      <c r="F254">
        <v>1.4570000000000001</v>
      </c>
      <c r="G254">
        <v>1.4570000000000001</v>
      </c>
      <c r="H254">
        <v>1.4570000000000001</v>
      </c>
      <c r="I254">
        <v>1.4570000000000001</v>
      </c>
      <c r="J254">
        <v>1.4570000000000001</v>
      </c>
    </row>
    <row r="255" spans="1:10">
      <c r="A255" s="3" t="s">
        <v>48</v>
      </c>
    </row>
    <row r="256" spans="1:10">
      <c r="A256" s="4" t="s">
        <v>14</v>
      </c>
      <c r="B256">
        <v>0.4</v>
      </c>
      <c r="C256">
        <v>0.7</v>
      </c>
      <c r="D256">
        <v>0.8</v>
      </c>
      <c r="E256">
        <v>0.6</v>
      </c>
      <c r="F256">
        <v>0.8</v>
      </c>
      <c r="G256">
        <v>0.6</v>
      </c>
      <c r="H256">
        <v>0.6</v>
      </c>
      <c r="I256">
        <v>0.7</v>
      </c>
      <c r="J256">
        <v>0.6</v>
      </c>
    </row>
    <row r="257" spans="1:10">
      <c r="A257" s="4" t="s">
        <v>6</v>
      </c>
      <c r="B257">
        <v>500</v>
      </c>
      <c r="C257">
        <v>550</v>
      </c>
      <c r="D257">
        <v>400</v>
      </c>
      <c r="E257">
        <v>550</v>
      </c>
      <c r="F257">
        <v>575</v>
      </c>
      <c r="G257">
        <v>550</v>
      </c>
      <c r="H257">
        <v>575</v>
      </c>
      <c r="I257">
        <v>625</v>
      </c>
      <c r="J257">
        <v>550</v>
      </c>
    </row>
    <row r="258" spans="1:10">
      <c r="A258" s="4" t="s">
        <v>12</v>
      </c>
      <c r="B258">
        <v>0.37</v>
      </c>
      <c r="C258">
        <v>0.37</v>
      </c>
      <c r="D258">
        <v>0.37</v>
      </c>
      <c r="E258">
        <v>0.37</v>
      </c>
      <c r="F258">
        <v>0.37</v>
      </c>
      <c r="G258">
        <v>0.37</v>
      </c>
      <c r="H258">
        <v>0.37</v>
      </c>
      <c r="I258">
        <v>0.37</v>
      </c>
      <c r="J258">
        <v>0.37</v>
      </c>
    </row>
    <row r="259" spans="1:10">
      <c r="A259" s="4" t="s">
        <v>10</v>
      </c>
      <c r="B259">
        <v>20</v>
      </c>
      <c r="C259">
        <v>20</v>
      </c>
      <c r="D259">
        <v>15</v>
      </c>
      <c r="E259">
        <v>20</v>
      </c>
      <c r="F259">
        <v>20</v>
      </c>
      <c r="G259">
        <v>20</v>
      </c>
      <c r="H259">
        <v>20</v>
      </c>
      <c r="I259">
        <v>25</v>
      </c>
      <c r="J259">
        <v>20</v>
      </c>
    </row>
    <row r="260" spans="1:10">
      <c r="A260" s="4" t="s">
        <v>164</v>
      </c>
      <c r="B260">
        <v>1.111</v>
      </c>
      <c r="C260">
        <v>1.111</v>
      </c>
      <c r="D260">
        <v>1.111</v>
      </c>
      <c r="E260">
        <v>1.111</v>
      </c>
      <c r="F260">
        <v>1.111</v>
      </c>
      <c r="G260">
        <v>1.111</v>
      </c>
      <c r="H260">
        <v>1.111</v>
      </c>
      <c r="I260">
        <v>1.111</v>
      </c>
      <c r="J260">
        <v>1.111</v>
      </c>
    </row>
    <row r="261" spans="1:10">
      <c r="A261" s="3" t="s">
        <v>49</v>
      </c>
    </row>
    <row r="262" spans="1:10">
      <c r="A262" s="4" t="s">
        <v>14</v>
      </c>
      <c r="B262">
        <v>0.5</v>
      </c>
      <c r="C262">
        <v>0.5</v>
      </c>
      <c r="D262">
        <v>0.6</v>
      </c>
      <c r="E262">
        <v>0.5</v>
      </c>
      <c r="F262">
        <v>0.6</v>
      </c>
      <c r="G262">
        <v>0.4</v>
      </c>
      <c r="H262">
        <v>0.7</v>
      </c>
      <c r="I262">
        <v>0.5</v>
      </c>
      <c r="J262">
        <v>0.5</v>
      </c>
    </row>
    <row r="263" spans="1:10">
      <c r="A263" s="4" t="s">
        <v>6</v>
      </c>
      <c r="B263">
        <v>2750</v>
      </c>
      <c r="C263">
        <v>2850</v>
      </c>
      <c r="D263">
        <v>2450</v>
      </c>
      <c r="E263">
        <v>2750</v>
      </c>
      <c r="F263">
        <v>3800</v>
      </c>
      <c r="G263">
        <v>3400</v>
      </c>
      <c r="H263">
        <v>3650</v>
      </c>
      <c r="I263">
        <v>3950</v>
      </c>
      <c r="J263">
        <v>2850</v>
      </c>
    </row>
    <row r="264" spans="1:10">
      <c r="A264" s="4" t="s">
        <v>12</v>
      </c>
      <c r="B264">
        <v>0.38500000000000001</v>
      </c>
      <c r="C264">
        <v>0.38500000000000001</v>
      </c>
      <c r="D264">
        <v>0.38500000000000001</v>
      </c>
      <c r="E264">
        <v>0.38500000000000001</v>
      </c>
      <c r="F264">
        <v>0.38500000000000001</v>
      </c>
      <c r="G264">
        <v>0.38500000000000001</v>
      </c>
      <c r="H264">
        <v>0.38500000000000001</v>
      </c>
      <c r="I264">
        <v>0.38500000000000001</v>
      </c>
      <c r="J264">
        <v>0.38500000000000001</v>
      </c>
    </row>
    <row r="265" spans="1:10">
      <c r="A265" s="4" t="s">
        <v>10</v>
      </c>
      <c r="B265">
        <v>105</v>
      </c>
      <c r="C265">
        <v>105</v>
      </c>
      <c r="D265">
        <v>90</v>
      </c>
      <c r="E265">
        <v>105</v>
      </c>
      <c r="F265">
        <v>145</v>
      </c>
      <c r="G265">
        <v>130</v>
      </c>
      <c r="H265">
        <v>140</v>
      </c>
      <c r="I265">
        <v>150</v>
      </c>
      <c r="J265">
        <v>105</v>
      </c>
    </row>
    <row r="266" spans="1:10">
      <c r="A266" s="4" t="s">
        <v>164</v>
      </c>
      <c r="B266">
        <v>1.667</v>
      </c>
      <c r="C266">
        <v>1.667</v>
      </c>
      <c r="D266">
        <v>1.667</v>
      </c>
      <c r="E266">
        <v>1.667</v>
      </c>
      <c r="F266">
        <v>1.667</v>
      </c>
      <c r="G266">
        <v>1.667</v>
      </c>
      <c r="H266">
        <v>1.667</v>
      </c>
      <c r="I266">
        <v>1.667</v>
      </c>
      <c r="J266">
        <v>1.667</v>
      </c>
    </row>
    <row r="267" spans="1:10">
      <c r="A267" s="3" t="s">
        <v>50</v>
      </c>
    </row>
    <row r="268" spans="1:10">
      <c r="A268" s="4" t="s">
        <v>14</v>
      </c>
      <c r="B268">
        <v>0.5</v>
      </c>
      <c r="C268">
        <v>0.4</v>
      </c>
      <c r="D268">
        <v>0.7</v>
      </c>
      <c r="E268">
        <v>0.6</v>
      </c>
      <c r="F268">
        <v>0.6</v>
      </c>
      <c r="G268">
        <v>0.5</v>
      </c>
      <c r="H268">
        <v>0.6</v>
      </c>
      <c r="I268">
        <v>0.5</v>
      </c>
      <c r="J268">
        <v>0.8</v>
      </c>
    </row>
    <row r="269" spans="1:10">
      <c r="A269" s="4" t="s">
        <v>6</v>
      </c>
      <c r="B269">
        <v>4850</v>
      </c>
      <c r="C269">
        <v>4500</v>
      </c>
      <c r="D269">
        <v>4100</v>
      </c>
      <c r="E269">
        <v>4650</v>
      </c>
      <c r="F269">
        <v>5650</v>
      </c>
      <c r="G269">
        <v>5150</v>
      </c>
      <c r="H269">
        <v>5700</v>
      </c>
      <c r="I269">
        <v>5800</v>
      </c>
      <c r="J269">
        <v>5050</v>
      </c>
    </row>
    <row r="270" spans="1:10">
      <c r="A270" s="4" t="s">
        <v>12</v>
      </c>
      <c r="B270">
        <v>0.3</v>
      </c>
      <c r="C270">
        <v>0.3</v>
      </c>
      <c r="D270">
        <v>0.3</v>
      </c>
      <c r="E270">
        <v>0.3</v>
      </c>
      <c r="F270">
        <v>0.3</v>
      </c>
      <c r="G270">
        <v>0.3</v>
      </c>
      <c r="H270">
        <v>0.3</v>
      </c>
      <c r="I270">
        <v>0.3</v>
      </c>
      <c r="J270">
        <v>0.3</v>
      </c>
    </row>
    <row r="271" spans="1:10">
      <c r="A271" s="4" t="s">
        <v>10</v>
      </c>
      <c r="B271">
        <v>170</v>
      </c>
      <c r="C271">
        <v>160</v>
      </c>
      <c r="D271">
        <v>145</v>
      </c>
      <c r="E271">
        <v>165</v>
      </c>
      <c r="F271">
        <v>200</v>
      </c>
      <c r="G271">
        <v>180</v>
      </c>
      <c r="H271">
        <v>200</v>
      </c>
      <c r="I271">
        <v>205</v>
      </c>
      <c r="J271">
        <v>175</v>
      </c>
    </row>
    <row r="272" spans="1:10">
      <c r="A272" s="4" t="s">
        <v>164</v>
      </c>
      <c r="B272">
        <v>2.3610000000000002</v>
      </c>
      <c r="C272">
        <v>2.3610000000000002</v>
      </c>
      <c r="D272">
        <v>2.3610000000000002</v>
      </c>
      <c r="E272">
        <v>2.3610000000000002</v>
      </c>
      <c r="F272">
        <v>2.3610000000000002</v>
      </c>
      <c r="G272">
        <v>2.3610000000000002</v>
      </c>
      <c r="H272">
        <v>2.3610000000000002</v>
      </c>
      <c r="I272">
        <v>2.3610000000000002</v>
      </c>
      <c r="J272">
        <v>2.3610000000000002</v>
      </c>
    </row>
    <row r="273" spans="1:10">
      <c r="A273" s="3" t="s">
        <v>51</v>
      </c>
    </row>
    <row r="274" spans="1:10">
      <c r="A274" s="4" t="s">
        <v>14</v>
      </c>
      <c r="B274">
        <v>0.36</v>
      </c>
      <c r="C274">
        <v>0.34</v>
      </c>
      <c r="D274">
        <v>0.34</v>
      </c>
      <c r="E274">
        <v>0.3</v>
      </c>
      <c r="H274">
        <v>0.36</v>
      </c>
      <c r="I274">
        <v>0.34</v>
      </c>
      <c r="J274">
        <v>0.36</v>
      </c>
    </row>
    <row r="275" spans="1:10">
      <c r="A275" s="4" t="s">
        <v>6</v>
      </c>
      <c r="B275">
        <v>4450</v>
      </c>
      <c r="C275">
        <v>4650</v>
      </c>
      <c r="D275">
        <v>4200</v>
      </c>
      <c r="E275">
        <v>5000</v>
      </c>
      <c r="H275">
        <v>4950</v>
      </c>
      <c r="I275">
        <v>5850</v>
      </c>
      <c r="J275">
        <v>4500</v>
      </c>
    </row>
    <row r="276" spans="1:10">
      <c r="A276" s="4" t="s">
        <v>12</v>
      </c>
      <c r="B276">
        <v>0.4</v>
      </c>
      <c r="C276">
        <v>0.4</v>
      </c>
      <c r="D276">
        <v>0.4</v>
      </c>
      <c r="E276">
        <v>0.4</v>
      </c>
      <c r="H276">
        <v>0.4</v>
      </c>
      <c r="I276">
        <v>0.4</v>
      </c>
      <c r="J276">
        <v>0.4</v>
      </c>
    </row>
    <row r="277" spans="1:10">
      <c r="A277" s="4" t="s">
        <v>10</v>
      </c>
      <c r="B277">
        <v>180</v>
      </c>
      <c r="C277">
        <v>190</v>
      </c>
      <c r="D277">
        <v>170</v>
      </c>
      <c r="E277">
        <v>200</v>
      </c>
      <c r="H277">
        <v>200</v>
      </c>
      <c r="I277">
        <v>230</v>
      </c>
      <c r="J277">
        <v>180</v>
      </c>
    </row>
    <row r="278" spans="1:10">
      <c r="A278" s="4" t="s">
        <v>164</v>
      </c>
      <c r="B278">
        <v>0.83299999999999996</v>
      </c>
      <c r="C278">
        <v>0.83299999999999996</v>
      </c>
      <c r="D278">
        <v>0.83299999999999996</v>
      </c>
      <c r="E278">
        <v>0.83299999999999996</v>
      </c>
      <c r="F278">
        <v>0.83299999999999996</v>
      </c>
      <c r="G278">
        <v>0.83299999999999996</v>
      </c>
      <c r="H278">
        <v>0.83299999999999996</v>
      </c>
      <c r="I278">
        <v>0.83299999999999996</v>
      </c>
      <c r="J278">
        <v>0.83299999999999996</v>
      </c>
    </row>
    <row r="279" spans="1:10">
      <c r="A279" s="3" t="s">
        <v>52</v>
      </c>
    </row>
    <row r="280" spans="1:10">
      <c r="A280" s="4" t="s">
        <v>14</v>
      </c>
      <c r="B280">
        <v>0.8</v>
      </c>
      <c r="D280">
        <v>0.5</v>
      </c>
      <c r="E280">
        <v>0.5</v>
      </c>
      <c r="F280">
        <v>0.6</v>
      </c>
      <c r="G280">
        <v>0.65</v>
      </c>
      <c r="H280">
        <v>0.85</v>
      </c>
      <c r="I280">
        <v>0.6</v>
      </c>
      <c r="J280">
        <v>0.8</v>
      </c>
    </row>
    <row r="281" spans="1:10">
      <c r="A281" s="4" t="s">
        <v>6</v>
      </c>
      <c r="B281">
        <v>2900</v>
      </c>
      <c r="D281">
        <v>2200</v>
      </c>
      <c r="E281">
        <v>3450</v>
      </c>
      <c r="F281">
        <v>2700</v>
      </c>
      <c r="G281">
        <v>2100</v>
      </c>
      <c r="H281">
        <v>2750</v>
      </c>
      <c r="I281">
        <v>2100</v>
      </c>
      <c r="J281">
        <v>2100</v>
      </c>
    </row>
    <row r="282" spans="1:10">
      <c r="A282" s="4" t="s">
        <v>12</v>
      </c>
      <c r="B282">
        <v>0.1</v>
      </c>
      <c r="D282">
        <v>0.1</v>
      </c>
      <c r="E282">
        <v>0.1</v>
      </c>
      <c r="F282">
        <v>0.1</v>
      </c>
      <c r="G282">
        <v>0.1</v>
      </c>
      <c r="H282">
        <v>0.1</v>
      </c>
      <c r="I282">
        <v>0.1</v>
      </c>
      <c r="J282">
        <v>0.1</v>
      </c>
    </row>
    <row r="283" spans="1:10">
      <c r="A283" s="4" t="s">
        <v>10</v>
      </c>
      <c r="B283">
        <v>60</v>
      </c>
      <c r="D283">
        <v>45</v>
      </c>
      <c r="E283">
        <v>70</v>
      </c>
      <c r="F283">
        <v>55</v>
      </c>
      <c r="G283">
        <v>40</v>
      </c>
      <c r="H283">
        <v>55</v>
      </c>
      <c r="I283">
        <v>40</v>
      </c>
      <c r="J283">
        <v>40</v>
      </c>
    </row>
    <row r="284" spans="1:10">
      <c r="A284" s="4" t="s">
        <v>164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 s="3" t="s">
        <v>53</v>
      </c>
    </row>
    <row r="286" spans="1:10">
      <c r="A286" s="4" t="s">
        <v>6</v>
      </c>
      <c r="B286">
        <v>1451.3</v>
      </c>
      <c r="C286">
        <v>1451.3</v>
      </c>
      <c r="D286">
        <v>1451.3</v>
      </c>
      <c r="E286">
        <v>1451.3</v>
      </c>
      <c r="F286">
        <v>1451.3</v>
      </c>
      <c r="G286">
        <v>1451.3</v>
      </c>
      <c r="H286">
        <v>1451.3</v>
      </c>
      <c r="I286">
        <v>1451.3</v>
      </c>
      <c r="J286">
        <v>1451.3</v>
      </c>
    </row>
    <row r="287" spans="1:10">
      <c r="A287" s="4" t="s">
        <v>10</v>
      </c>
      <c r="B287">
        <v>97.3</v>
      </c>
      <c r="C287">
        <v>97.3</v>
      </c>
      <c r="D287">
        <v>97.3</v>
      </c>
      <c r="E287">
        <v>97.3</v>
      </c>
      <c r="F287">
        <v>97.3</v>
      </c>
      <c r="G287">
        <v>97.3</v>
      </c>
      <c r="H287">
        <v>97.3</v>
      </c>
      <c r="I287">
        <v>97.3</v>
      </c>
      <c r="J287">
        <v>97.3</v>
      </c>
    </row>
    <row r="288" spans="1:10">
      <c r="A288" s="4" t="s">
        <v>16</v>
      </c>
      <c r="B288">
        <v>0.86</v>
      </c>
      <c r="C288">
        <v>0.86</v>
      </c>
      <c r="D288">
        <v>0.86</v>
      </c>
      <c r="E288">
        <v>0.86</v>
      </c>
      <c r="F288">
        <v>0.86</v>
      </c>
      <c r="G288">
        <v>0.86</v>
      </c>
      <c r="H288">
        <v>0.86</v>
      </c>
      <c r="I288">
        <v>0.86</v>
      </c>
      <c r="J288">
        <v>0.86</v>
      </c>
    </row>
    <row r="289" spans="1:10">
      <c r="A289" s="4" t="s">
        <v>164</v>
      </c>
      <c r="B289">
        <v>0.13900000000000001</v>
      </c>
      <c r="C289">
        <v>0.13900000000000001</v>
      </c>
      <c r="D289">
        <v>0.13900000000000001</v>
      </c>
      <c r="E289">
        <v>0.13900000000000001</v>
      </c>
      <c r="F289">
        <v>0.13900000000000001</v>
      </c>
      <c r="G289">
        <v>0.13900000000000001</v>
      </c>
      <c r="H289">
        <v>0.13900000000000001</v>
      </c>
      <c r="I289">
        <v>0.13900000000000001</v>
      </c>
      <c r="J289">
        <v>0.13900000000000001</v>
      </c>
    </row>
    <row r="290" spans="1:10">
      <c r="A290" s="3" t="s">
        <v>54</v>
      </c>
    </row>
    <row r="291" spans="1:10">
      <c r="A291" s="4" t="s">
        <v>6</v>
      </c>
      <c r="B291">
        <v>2470</v>
      </c>
      <c r="C291">
        <v>2470</v>
      </c>
      <c r="D291">
        <v>2470</v>
      </c>
      <c r="E291">
        <v>2470</v>
      </c>
      <c r="F291">
        <v>2470</v>
      </c>
      <c r="G291">
        <v>2470</v>
      </c>
      <c r="H291">
        <v>2470</v>
      </c>
      <c r="I291">
        <v>2470</v>
      </c>
      <c r="J291">
        <v>2470</v>
      </c>
    </row>
    <row r="292" spans="1:10">
      <c r="A292" s="4" t="s">
        <v>10</v>
      </c>
      <c r="B292">
        <v>173.6</v>
      </c>
      <c r="C292">
        <v>173.6</v>
      </c>
      <c r="D292">
        <v>173.6</v>
      </c>
      <c r="E292">
        <v>173.6</v>
      </c>
      <c r="F292">
        <v>173.6</v>
      </c>
      <c r="G292">
        <v>173.6</v>
      </c>
      <c r="H292">
        <v>173.6</v>
      </c>
      <c r="I292">
        <v>173.6</v>
      </c>
      <c r="J292">
        <v>173.6</v>
      </c>
    </row>
    <row r="293" spans="1:10">
      <c r="A293" s="4" t="s">
        <v>16</v>
      </c>
      <c r="B293">
        <v>0.86</v>
      </c>
      <c r="C293">
        <v>0.86</v>
      </c>
      <c r="D293">
        <v>0.86</v>
      </c>
      <c r="E293">
        <v>0.86</v>
      </c>
      <c r="F293">
        <v>0.86</v>
      </c>
      <c r="G293">
        <v>0.86</v>
      </c>
      <c r="H293">
        <v>0.86</v>
      </c>
      <c r="I293">
        <v>0.86</v>
      </c>
      <c r="J293">
        <v>0.86</v>
      </c>
    </row>
    <row r="294" spans="1:10">
      <c r="A294" s="4" t="s">
        <v>164</v>
      </c>
      <c r="B294">
        <v>0.13900000000000001</v>
      </c>
      <c r="C294">
        <v>0.13900000000000001</v>
      </c>
      <c r="D294">
        <v>0.13900000000000001</v>
      </c>
      <c r="E294">
        <v>0.13900000000000001</v>
      </c>
      <c r="F294">
        <v>0.13900000000000001</v>
      </c>
      <c r="G294">
        <v>0.13900000000000001</v>
      </c>
      <c r="H294">
        <v>0.13900000000000001</v>
      </c>
      <c r="I294">
        <v>0.13900000000000001</v>
      </c>
      <c r="J294">
        <v>0.13900000000000001</v>
      </c>
    </row>
    <row r="295" spans="1:10">
      <c r="A295" s="3" t="s">
        <v>55</v>
      </c>
    </row>
    <row r="296" spans="1:10">
      <c r="A296" s="4" t="s">
        <v>6</v>
      </c>
      <c r="B296">
        <v>8041.7</v>
      </c>
      <c r="C296">
        <v>8041.7</v>
      </c>
      <c r="D296">
        <v>5629.2</v>
      </c>
      <c r="E296">
        <v>5629.2</v>
      </c>
      <c r="F296">
        <v>8041.7</v>
      </c>
      <c r="G296">
        <v>7639.6</v>
      </c>
      <c r="H296">
        <v>10253.1</v>
      </c>
      <c r="I296">
        <v>9650</v>
      </c>
      <c r="J296">
        <v>7036.5</v>
      </c>
    </row>
    <row r="297" spans="1:10">
      <c r="A297" s="4" t="s">
        <v>10</v>
      </c>
      <c r="B297">
        <v>391.6</v>
      </c>
      <c r="C297">
        <v>391.6</v>
      </c>
      <c r="D297">
        <v>274.10000000000002</v>
      </c>
      <c r="E297">
        <v>274.10000000000002</v>
      </c>
      <c r="F297">
        <v>391.6</v>
      </c>
      <c r="G297">
        <v>372.09999999999997</v>
      </c>
      <c r="H297">
        <v>499.4</v>
      </c>
      <c r="I297">
        <v>470</v>
      </c>
      <c r="J297">
        <v>342.7</v>
      </c>
    </row>
    <row r="298" spans="1:10">
      <c r="A298" s="4" t="s">
        <v>164</v>
      </c>
      <c r="B298">
        <v>0.72199999999999998</v>
      </c>
      <c r="C298">
        <v>0.72199999999999998</v>
      </c>
      <c r="D298">
        <v>0.72199999999999998</v>
      </c>
      <c r="E298">
        <v>0.72199999999999998</v>
      </c>
      <c r="F298">
        <v>0.72199999999999998</v>
      </c>
      <c r="G298">
        <v>0.72199999999999998</v>
      </c>
      <c r="H298">
        <v>0.72199999999999998</v>
      </c>
      <c r="I298">
        <v>0.72199999999999998</v>
      </c>
      <c r="J298">
        <v>0.72199999999999998</v>
      </c>
    </row>
    <row r="299" spans="1:10">
      <c r="A299" s="2">
        <v>2035</v>
      </c>
    </row>
    <row r="300" spans="1:10">
      <c r="A300" s="3" t="s">
        <v>53</v>
      </c>
    </row>
    <row r="301" spans="1:10">
      <c r="A301" s="4" t="s">
        <v>6</v>
      </c>
      <c r="B301">
        <v>1347.4</v>
      </c>
      <c r="C301">
        <v>1347.4</v>
      </c>
      <c r="D301">
        <v>1347.4</v>
      </c>
      <c r="E301">
        <v>1347.4</v>
      </c>
      <c r="F301">
        <v>1347.4</v>
      </c>
      <c r="G301">
        <v>1347.4</v>
      </c>
      <c r="H301">
        <v>1347.4</v>
      </c>
      <c r="I301">
        <v>1347.4</v>
      </c>
      <c r="J301">
        <v>1347.4</v>
      </c>
    </row>
    <row r="302" spans="1:10">
      <c r="A302" s="4" t="s">
        <v>10</v>
      </c>
      <c r="B302">
        <v>91.2</v>
      </c>
      <c r="C302">
        <v>91.2</v>
      </c>
      <c r="D302">
        <v>91.2</v>
      </c>
      <c r="E302">
        <v>91.2</v>
      </c>
      <c r="F302">
        <v>91.2</v>
      </c>
      <c r="G302">
        <v>91.2</v>
      </c>
      <c r="H302">
        <v>91.2</v>
      </c>
      <c r="I302">
        <v>91.2</v>
      </c>
      <c r="J302">
        <v>91.2</v>
      </c>
    </row>
    <row r="303" spans="1:10">
      <c r="A303" s="4" t="s">
        <v>16</v>
      </c>
      <c r="B303">
        <v>0.86</v>
      </c>
      <c r="C303">
        <v>0.86</v>
      </c>
      <c r="D303">
        <v>0.86</v>
      </c>
      <c r="E303">
        <v>0.86</v>
      </c>
      <c r="F303">
        <v>0.86</v>
      </c>
      <c r="G303">
        <v>0.86</v>
      </c>
      <c r="H303">
        <v>0.86</v>
      </c>
      <c r="I303">
        <v>0.86</v>
      </c>
      <c r="J303">
        <v>0.86</v>
      </c>
    </row>
    <row r="304" spans="1:10">
      <c r="A304" s="4" t="s">
        <v>164</v>
      </c>
      <c r="B304">
        <v>0.13900000000000001</v>
      </c>
      <c r="C304">
        <v>0.13900000000000001</v>
      </c>
      <c r="D304">
        <v>0.13900000000000001</v>
      </c>
      <c r="E304">
        <v>0.13900000000000001</v>
      </c>
      <c r="F304">
        <v>0.13900000000000001</v>
      </c>
      <c r="G304">
        <v>0.13900000000000001</v>
      </c>
      <c r="H304">
        <v>0.13900000000000001</v>
      </c>
      <c r="I304">
        <v>0.13900000000000001</v>
      </c>
      <c r="J304">
        <v>0.13900000000000001</v>
      </c>
    </row>
    <row r="305" spans="1:10">
      <c r="A305" s="3" t="s">
        <v>54</v>
      </c>
    </row>
    <row r="306" spans="1:10">
      <c r="A306" s="4" t="s">
        <v>6</v>
      </c>
      <c r="B306">
        <v>2273.5</v>
      </c>
      <c r="C306">
        <v>2273.5</v>
      </c>
      <c r="D306">
        <v>2273.5</v>
      </c>
      <c r="E306">
        <v>2273.5</v>
      </c>
      <c r="F306">
        <v>2273.5</v>
      </c>
      <c r="G306">
        <v>2273.5</v>
      </c>
      <c r="H306">
        <v>2273.5</v>
      </c>
      <c r="I306">
        <v>2273.5</v>
      </c>
      <c r="J306">
        <v>2273.5</v>
      </c>
    </row>
    <row r="307" spans="1:10">
      <c r="A307" s="4" t="s">
        <v>10</v>
      </c>
      <c r="B307">
        <v>162.39999999999998</v>
      </c>
      <c r="C307">
        <v>162.39999999999998</v>
      </c>
      <c r="D307">
        <v>162.39999999999998</v>
      </c>
      <c r="E307">
        <v>162.39999999999998</v>
      </c>
      <c r="F307">
        <v>162.39999999999998</v>
      </c>
      <c r="G307">
        <v>162.39999999999998</v>
      </c>
      <c r="H307">
        <v>162.39999999999998</v>
      </c>
      <c r="I307">
        <v>162.39999999999998</v>
      </c>
      <c r="J307">
        <v>162.39999999999998</v>
      </c>
    </row>
    <row r="308" spans="1:10">
      <c r="A308" s="4" t="s">
        <v>16</v>
      </c>
      <c r="B308">
        <v>0.86</v>
      </c>
      <c r="C308">
        <v>0.86</v>
      </c>
      <c r="D308">
        <v>0.86</v>
      </c>
      <c r="E308">
        <v>0.86</v>
      </c>
      <c r="F308">
        <v>0.86</v>
      </c>
      <c r="G308">
        <v>0.86</v>
      </c>
      <c r="H308">
        <v>0.86</v>
      </c>
      <c r="I308">
        <v>0.86</v>
      </c>
      <c r="J308">
        <v>0.86</v>
      </c>
    </row>
    <row r="309" spans="1:10">
      <c r="A309" s="4" t="s">
        <v>164</v>
      </c>
      <c r="B309">
        <v>0.13900000000000001</v>
      </c>
      <c r="C309">
        <v>0.13900000000000001</v>
      </c>
      <c r="D309">
        <v>0.13900000000000001</v>
      </c>
      <c r="E309">
        <v>0.13900000000000001</v>
      </c>
      <c r="F309">
        <v>0.13900000000000001</v>
      </c>
      <c r="G309">
        <v>0.13900000000000001</v>
      </c>
      <c r="H309">
        <v>0.13900000000000001</v>
      </c>
      <c r="I309">
        <v>0.13900000000000001</v>
      </c>
      <c r="J309">
        <v>0.13900000000000001</v>
      </c>
    </row>
    <row r="310" spans="1:10">
      <c r="A310" s="3" t="s">
        <v>55</v>
      </c>
    </row>
    <row r="311" spans="1:10">
      <c r="A311" s="4" t="s">
        <v>6</v>
      </c>
      <c r="B311">
        <v>6989.3</v>
      </c>
      <c r="C311">
        <v>6989.3</v>
      </c>
      <c r="D311">
        <v>4368.3</v>
      </c>
      <c r="E311">
        <v>4892.5</v>
      </c>
      <c r="F311">
        <v>6989.3</v>
      </c>
      <c r="G311">
        <v>6639.9</v>
      </c>
      <c r="H311">
        <v>7863</v>
      </c>
      <c r="I311">
        <v>7863</v>
      </c>
      <c r="J311">
        <v>6115.7</v>
      </c>
    </row>
    <row r="312" spans="1:10">
      <c r="A312" s="4" t="s">
        <v>10</v>
      </c>
      <c r="B312">
        <v>417.79999999999995</v>
      </c>
      <c r="C312">
        <v>417.79999999999995</v>
      </c>
      <c r="D312">
        <v>261.2</v>
      </c>
      <c r="E312">
        <v>292.39999999999998</v>
      </c>
      <c r="F312">
        <v>417.79999999999995</v>
      </c>
      <c r="G312">
        <v>396.8</v>
      </c>
      <c r="H312">
        <v>470</v>
      </c>
      <c r="I312">
        <v>470</v>
      </c>
      <c r="J312">
        <v>365.6</v>
      </c>
    </row>
    <row r="313" spans="1:10">
      <c r="A313" s="4" t="s">
        <v>164</v>
      </c>
      <c r="B313">
        <v>0.72199999999999998</v>
      </c>
      <c r="C313">
        <v>0.72199999999999998</v>
      </c>
      <c r="D313">
        <v>0.72199999999999998</v>
      </c>
      <c r="E313">
        <v>0.72199999999999998</v>
      </c>
      <c r="F313">
        <v>0.72199999999999998</v>
      </c>
      <c r="G313">
        <v>0.72199999999999998</v>
      </c>
      <c r="H313">
        <v>0.72199999999999998</v>
      </c>
      <c r="I313">
        <v>0.72199999999999998</v>
      </c>
      <c r="J313">
        <v>0.72199999999999998</v>
      </c>
    </row>
    <row r="314" spans="1:10">
      <c r="A314" s="2">
        <v>2040</v>
      </c>
    </row>
    <row r="315" spans="1:10">
      <c r="A315" s="3" t="s">
        <v>53</v>
      </c>
    </row>
    <row r="316" spans="1:10">
      <c r="A316" s="4" t="s">
        <v>6</v>
      </c>
      <c r="B316">
        <v>1243.5</v>
      </c>
      <c r="C316">
        <v>1243.5</v>
      </c>
      <c r="D316">
        <v>1243.5</v>
      </c>
      <c r="E316">
        <v>1243.5</v>
      </c>
      <c r="F316">
        <v>1243.5</v>
      </c>
      <c r="G316">
        <v>1243.5</v>
      </c>
      <c r="H316">
        <v>1243.5</v>
      </c>
      <c r="I316">
        <v>1243.5</v>
      </c>
      <c r="J316">
        <v>1243.5</v>
      </c>
    </row>
    <row r="317" spans="1:10">
      <c r="A317" s="4" t="s">
        <v>10</v>
      </c>
      <c r="B317">
        <v>85.2</v>
      </c>
      <c r="C317">
        <v>85.2</v>
      </c>
      <c r="D317">
        <v>85.2</v>
      </c>
      <c r="E317">
        <v>85.2</v>
      </c>
      <c r="F317">
        <v>85.2</v>
      </c>
      <c r="G317">
        <v>85.2</v>
      </c>
      <c r="H317">
        <v>85.2</v>
      </c>
      <c r="I317">
        <v>85.2</v>
      </c>
      <c r="J317">
        <v>85.2</v>
      </c>
    </row>
    <row r="318" spans="1:10">
      <c r="A318" s="4" t="s">
        <v>16</v>
      </c>
      <c r="B318">
        <v>0.86</v>
      </c>
      <c r="C318">
        <v>0.86</v>
      </c>
      <c r="D318">
        <v>0.86</v>
      </c>
      <c r="E318">
        <v>0.86</v>
      </c>
      <c r="F318">
        <v>0.86</v>
      </c>
      <c r="G318">
        <v>0.86</v>
      </c>
      <c r="H318">
        <v>0.86</v>
      </c>
      <c r="I318">
        <v>0.86</v>
      </c>
      <c r="J318">
        <v>0.86</v>
      </c>
    </row>
    <row r="319" spans="1:10">
      <c r="A319" s="4" t="s">
        <v>164</v>
      </c>
      <c r="B319">
        <v>0.13900000000000001</v>
      </c>
      <c r="C319">
        <v>0.13900000000000001</v>
      </c>
      <c r="D319">
        <v>0.13900000000000001</v>
      </c>
      <c r="E319">
        <v>0.13900000000000001</v>
      </c>
      <c r="F319">
        <v>0.13900000000000001</v>
      </c>
      <c r="G319">
        <v>0.13900000000000001</v>
      </c>
      <c r="H319">
        <v>0.13900000000000001</v>
      </c>
      <c r="I319">
        <v>0.13900000000000001</v>
      </c>
      <c r="J319">
        <v>0.13900000000000001</v>
      </c>
    </row>
    <row r="320" spans="1:10">
      <c r="A320" s="3" t="s">
        <v>54</v>
      </c>
    </row>
    <row r="321" spans="1:10">
      <c r="A321" s="4" t="s">
        <v>6</v>
      </c>
      <c r="B321">
        <v>2077.5</v>
      </c>
      <c r="C321">
        <v>2077.5</v>
      </c>
      <c r="D321">
        <v>2077.5</v>
      </c>
      <c r="E321">
        <v>2077.5</v>
      </c>
      <c r="F321">
        <v>2077.5</v>
      </c>
      <c r="G321">
        <v>2077.5</v>
      </c>
      <c r="H321">
        <v>2077.5</v>
      </c>
      <c r="I321">
        <v>2077.5</v>
      </c>
      <c r="J321">
        <v>2077.5</v>
      </c>
    </row>
    <row r="322" spans="1:10">
      <c r="A322" s="4" t="s">
        <v>10</v>
      </c>
      <c r="B322">
        <v>151.30000000000001</v>
      </c>
      <c r="C322">
        <v>151.30000000000001</v>
      </c>
      <c r="D322">
        <v>151.30000000000001</v>
      </c>
      <c r="E322">
        <v>151.30000000000001</v>
      </c>
      <c r="F322">
        <v>151.30000000000001</v>
      </c>
      <c r="G322">
        <v>151.30000000000001</v>
      </c>
      <c r="H322">
        <v>151.30000000000001</v>
      </c>
      <c r="I322">
        <v>151.30000000000001</v>
      </c>
      <c r="J322">
        <v>151.30000000000001</v>
      </c>
    </row>
    <row r="323" spans="1:10">
      <c r="A323" s="4" t="s">
        <v>16</v>
      </c>
      <c r="B323">
        <v>0.86</v>
      </c>
      <c r="C323">
        <v>0.86</v>
      </c>
      <c r="D323">
        <v>0.86</v>
      </c>
      <c r="E323">
        <v>0.86</v>
      </c>
      <c r="F323">
        <v>0.86</v>
      </c>
      <c r="G323">
        <v>0.86</v>
      </c>
      <c r="H323">
        <v>0.86</v>
      </c>
      <c r="I323">
        <v>0.86</v>
      </c>
      <c r="J323">
        <v>0.86</v>
      </c>
    </row>
    <row r="324" spans="1:10">
      <c r="A324" s="4" t="s">
        <v>164</v>
      </c>
      <c r="B324">
        <v>0.13900000000000001</v>
      </c>
      <c r="C324">
        <v>0.13900000000000001</v>
      </c>
      <c r="D324">
        <v>0.13900000000000001</v>
      </c>
      <c r="E324">
        <v>0.13900000000000001</v>
      </c>
      <c r="F324">
        <v>0.13900000000000001</v>
      </c>
      <c r="G324">
        <v>0.13900000000000001</v>
      </c>
      <c r="H324">
        <v>0.13900000000000001</v>
      </c>
      <c r="I324">
        <v>0.13900000000000001</v>
      </c>
      <c r="J324">
        <v>0.13900000000000001</v>
      </c>
    </row>
    <row r="325" spans="1:10">
      <c r="A325" s="3" t="s">
        <v>55</v>
      </c>
    </row>
    <row r="326" spans="1:10">
      <c r="A326" s="4" t="s">
        <v>6</v>
      </c>
      <c r="B326">
        <v>5665.6</v>
      </c>
      <c r="C326">
        <v>5665.6</v>
      </c>
      <c r="D326">
        <v>3541</v>
      </c>
      <c r="E326">
        <v>3965.9</v>
      </c>
      <c r="F326">
        <v>5665.6</v>
      </c>
      <c r="G326">
        <v>5382.3</v>
      </c>
      <c r="H326">
        <v>6373.8</v>
      </c>
      <c r="I326">
        <v>6373.8</v>
      </c>
      <c r="J326">
        <v>4957.3999999999996</v>
      </c>
    </row>
    <row r="327" spans="1:10">
      <c r="A327" s="4" t="s">
        <v>10</v>
      </c>
      <c r="B327">
        <v>417.79999999999995</v>
      </c>
      <c r="C327">
        <v>417.79999999999995</v>
      </c>
      <c r="D327">
        <v>261.2</v>
      </c>
      <c r="E327">
        <v>292.39999999999998</v>
      </c>
      <c r="F327">
        <v>417.79999999999995</v>
      </c>
      <c r="G327">
        <v>396.8</v>
      </c>
      <c r="H327">
        <v>470</v>
      </c>
      <c r="I327">
        <v>470</v>
      </c>
      <c r="J327">
        <v>365.6</v>
      </c>
    </row>
    <row r="328" spans="1:10">
      <c r="A328" s="4" t="s">
        <v>164</v>
      </c>
      <c r="B328">
        <v>0.72199999999999998</v>
      </c>
      <c r="C328">
        <v>0.72199999999999998</v>
      </c>
      <c r="D328">
        <v>0.72199999999999998</v>
      </c>
      <c r="E328">
        <v>0.72199999999999998</v>
      </c>
      <c r="F328">
        <v>0.72199999999999998</v>
      </c>
      <c r="G328">
        <v>0.72199999999999998</v>
      </c>
      <c r="H328">
        <v>0.72199999999999998</v>
      </c>
      <c r="I328">
        <v>0.72199999999999998</v>
      </c>
      <c r="J328">
        <v>0.72199999999999998</v>
      </c>
    </row>
    <row r="329" spans="1:10">
      <c r="A329" s="2">
        <v>2045</v>
      </c>
    </row>
    <row r="330" spans="1:10">
      <c r="A330" s="3" t="s">
        <v>53</v>
      </c>
    </row>
    <row r="331" spans="1:10">
      <c r="A331" s="4" t="s">
        <v>6</v>
      </c>
      <c r="B331">
        <v>1139.5999999999999</v>
      </c>
      <c r="C331">
        <v>1139.5999999999999</v>
      </c>
      <c r="D331">
        <v>1139.5999999999999</v>
      </c>
      <c r="E331">
        <v>1139.5999999999999</v>
      </c>
      <c r="F331">
        <v>1139.5999999999999</v>
      </c>
      <c r="G331">
        <v>1139.5999999999999</v>
      </c>
      <c r="H331">
        <v>1139.5999999999999</v>
      </c>
      <c r="I331">
        <v>1139.5999999999999</v>
      </c>
      <c r="J331">
        <v>1139.5999999999999</v>
      </c>
    </row>
    <row r="332" spans="1:10">
      <c r="A332" s="4" t="s">
        <v>10</v>
      </c>
      <c r="B332">
        <v>79.2</v>
      </c>
      <c r="C332">
        <v>79.2</v>
      </c>
      <c r="D332">
        <v>79.2</v>
      </c>
      <c r="E332">
        <v>79.2</v>
      </c>
      <c r="F332">
        <v>79.2</v>
      </c>
      <c r="G332">
        <v>79.2</v>
      </c>
      <c r="H332">
        <v>79.2</v>
      </c>
      <c r="I332">
        <v>79.2</v>
      </c>
      <c r="J332">
        <v>79.2</v>
      </c>
    </row>
    <row r="333" spans="1:10">
      <c r="A333" s="4" t="s">
        <v>16</v>
      </c>
      <c r="B333">
        <v>0.86</v>
      </c>
      <c r="C333">
        <v>0.86</v>
      </c>
      <c r="D333">
        <v>0.86</v>
      </c>
      <c r="E333">
        <v>0.86</v>
      </c>
      <c r="F333">
        <v>0.86</v>
      </c>
      <c r="G333">
        <v>0.86</v>
      </c>
      <c r="H333">
        <v>0.86</v>
      </c>
      <c r="I333">
        <v>0.86</v>
      </c>
      <c r="J333">
        <v>0.86</v>
      </c>
    </row>
    <row r="334" spans="1:10">
      <c r="A334" s="4" t="s">
        <v>164</v>
      </c>
      <c r="B334">
        <v>0.13900000000000001</v>
      </c>
      <c r="C334">
        <v>0.13900000000000001</v>
      </c>
      <c r="D334">
        <v>0.13900000000000001</v>
      </c>
      <c r="E334">
        <v>0.13900000000000001</v>
      </c>
      <c r="F334">
        <v>0.13900000000000001</v>
      </c>
      <c r="G334">
        <v>0.13900000000000001</v>
      </c>
      <c r="H334">
        <v>0.13900000000000001</v>
      </c>
      <c r="I334">
        <v>0.13900000000000001</v>
      </c>
      <c r="J334">
        <v>0.13900000000000001</v>
      </c>
    </row>
    <row r="335" spans="1:10">
      <c r="A335" s="3" t="s">
        <v>54</v>
      </c>
    </row>
    <row r="336" spans="1:10">
      <c r="A336" s="4" t="s">
        <v>6</v>
      </c>
      <c r="B336">
        <v>1882.2</v>
      </c>
      <c r="C336">
        <v>1882.2</v>
      </c>
      <c r="D336">
        <v>1882.2</v>
      </c>
      <c r="E336">
        <v>1882.2</v>
      </c>
      <c r="F336">
        <v>1882.2</v>
      </c>
      <c r="G336">
        <v>1882.2</v>
      </c>
      <c r="H336">
        <v>1882.2</v>
      </c>
      <c r="I336">
        <v>1882.2</v>
      </c>
      <c r="J336">
        <v>1882.2</v>
      </c>
    </row>
    <row r="337" spans="1:10">
      <c r="A337" s="4" t="s">
        <v>10</v>
      </c>
      <c r="B337">
        <v>140.4</v>
      </c>
      <c r="C337">
        <v>140.4</v>
      </c>
      <c r="D337">
        <v>140.4</v>
      </c>
      <c r="E337">
        <v>140.4</v>
      </c>
      <c r="F337">
        <v>140.4</v>
      </c>
      <c r="G337">
        <v>140.4</v>
      </c>
      <c r="H337">
        <v>140.4</v>
      </c>
      <c r="I337">
        <v>140.4</v>
      </c>
      <c r="J337">
        <v>140.4</v>
      </c>
    </row>
    <row r="338" spans="1:10">
      <c r="A338" s="4" t="s">
        <v>16</v>
      </c>
      <c r="B338">
        <v>0.86</v>
      </c>
      <c r="C338">
        <v>0.86</v>
      </c>
      <c r="D338">
        <v>0.86</v>
      </c>
      <c r="E338">
        <v>0.86</v>
      </c>
      <c r="F338">
        <v>0.86</v>
      </c>
      <c r="G338">
        <v>0.86</v>
      </c>
      <c r="H338">
        <v>0.86</v>
      </c>
      <c r="I338">
        <v>0.86</v>
      </c>
      <c r="J338">
        <v>0.86</v>
      </c>
    </row>
    <row r="339" spans="1:10">
      <c r="A339" s="4" t="s">
        <v>164</v>
      </c>
      <c r="B339">
        <v>0.13900000000000001</v>
      </c>
      <c r="C339">
        <v>0.13900000000000001</v>
      </c>
      <c r="D339">
        <v>0.13900000000000001</v>
      </c>
      <c r="E339">
        <v>0.13900000000000001</v>
      </c>
      <c r="F339">
        <v>0.13900000000000001</v>
      </c>
      <c r="G339">
        <v>0.13900000000000001</v>
      </c>
      <c r="H339">
        <v>0.13900000000000001</v>
      </c>
      <c r="I339">
        <v>0.13900000000000001</v>
      </c>
      <c r="J339">
        <v>0.13900000000000001</v>
      </c>
    </row>
    <row r="340" spans="1:10">
      <c r="A340" s="3" t="s">
        <v>55</v>
      </c>
    </row>
    <row r="341" spans="1:10">
      <c r="A341" s="4" t="s">
        <v>6</v>
      </c>
      <c r="B341">
        <v>4871.3</v>
      </c>
      <c r="C341">
        <v>4871.3</v>
      </c>
      <c r="D341">
        <v>3044.6</v>
      </c>
      <c r="E341">
        <v>3409.9</v>
      </c>
      <c r="F341">
        <v>4871.3</v>
      </c>
      <c r="G341">
        <v>4627.7</v>
      </c>
      <c r="H341">
        <v>5480.2</v>
      </c>
      <c r="I341">
        <v>5480.2</v>
      </c>
      <c r="J341">
        <v>4262.3999999999996</v>
      </c>
    </row>
    <row r="342" spans="1:10">
      <c r="A342" s="4" t="s">
        <v>10</v>
      </c>
      <c r="B342">
        <v>417.79999999999995</v>
      </c>
      <c r="C342">
        <v>417.79999999999995</v>
      </c>
      <c r="D342">
        <v>261.2</v>
      </c>
      <c r="E342">
        <v>292.39999999999998</v>
      </c>
      <c r="F342">
        <v>417.79999999999995</v>
      </c>
      <c r="G342">
        <v>396.8</v>
      </c>
      <c r="H342">
        <v>470</v>
      </c>
      <c r="I342">
        <v>470</v>
      </c>
      <c r="J342">
        <v>365.6</v>
      </c>
    </row>
    <row r="343" spans="1:10">
      <c r="A343" s="4" t="s">
        <v>164</v>
      </c>
      <c r="B343">
        <v>0.72199999999999998</v>
      </c>
      <c r="C343">
        <v>0.72199999999999998</v>
      </c>
      <c r="D343">
        <v>0.72199999999999998</v>
      </c>
      <c r="E343">
        <v>0.72199999999999998</v>
      </c>
      <c r="F343">
        <v>0.72199999999999998</v>
      </c>
      <c r="G343">
        <v>0.72199999999999998</v>
      </c>
      <c r="H343">
        <v>0.72199999999999998</v>
      </c>
      <c r="I343">
        <v>0.72199999999999998</v>
      </c>
      <c r="J343">
        <v>0.72199999999999998</v>
      </c>
    </row>
    <row r="344" spans="1:10">
      <c r="A344" s="2">
        <v>2050</v>
      </c>
    </row>
    <row r="345" spans="1:10">
      <c r="A345" s="3" t="s">
        <v>29</v>
      </c>
    </row>
    <row r="346" spans="1:10">
      <c r="A346" s="4" t="s">
        <v>6</v>
      </c>
      <c r="B346">
        <v>700</v>
      </c>
      <c r="C346">
        <v>700</v>
      </c>
      <c r="D346">
        <v>560</v>
      </c>
      <c r="E346">
        <v>700</v>
      </c>
      <c r="F346">
        <v>1100</v>
      </c>
      <c r="G346">
        <v>800</v>
      </c>
      <c r="H346">
        <v>1000</v>
      </c>
      <c r="I346">
        <v>1000</v>
      </c>
      <c r="J346">
        <v>800</v>
      </c>
    </row>
    <row r="347" spans="1:10">
      <c r="A347" s="4" t="s">
        <v>12</v>
      </c>
      <c r="B347">
        <v>0.59</v>
      </c>
      <c r="C347">
        <v>0.59</v>
      </c>
      <c r="D347">
        <v>0.59</v>
      </c>
      <c r="E347">
        <v>0.57999999999999996</v>
      </c>
      <c r="F347">
        <v>0.61</v>
      </c>
      <c r="G347">
        <v>0.57999999999999996</v>
      </c>
      <c r="H347">
        <v>0.61</v>
      </c>
      <c r="I347">
        <v>0.61</v>
      </c>
      <c r="J347">
        <v>0.57999999999999996</v>
      </c>
    </row>
    <row r="348" spans="1:10">
      <c r="A348" s="4" t="s">
        <v>10</v>
      </c>
      <c r="B348">
        <v>25</v>
      </c>
      <c r="C348">
        <v>25</v>
      </c>
      <c r="D348">
        <v>20</v>
      </c>
      <c r="E348">
        <v>25</v>
      </c>
      <c r="F348">
        <v>30</v>
      </c>
      <c r="G348">
        <v>30</v>
      </c>
      <c r="H348">
        <v>25</v>
      </c>
      <c r="I348">
        <v>25</v>
      </c>
      <c r="J348">
        <v>30</v>
      </c>
    </row>
    <row r="349" spans="1:10">
      <c r="A349" s="4" t="s">
        <v>164</v>
      </c>
      <c r="B349">
        <v>0.497</v>
      </c>
      <c r="C349">
        <v>0.497</v>
      </c>
      <c r="D349">
        <v>0.497</v>
      </c>
      <c r="E349">
        <v>0.497</v>
      </c>
      <c r="F349">
        <v>0.497</v>
      </c>
      <c r="G349">
        <v>0.497</v>
      </c>
      <c r="H349">
        <v>0.497</v>
      </c>
      <c r="I349">
        <v>0.497</v>
      </c>
      <c r="J349">
        <v>0.497</v>
      </c>
    </row>
    <row r="350" spans="1:10">
      <c r="A350" s="3" t="s">
        <v>30</v>
      </c>
    </row>
    <row r="351" spans="1:10">
      <c r="A351" s="4" t="s">
        <v>6</v>
      </c>
      <c r="B351">
        <v>400</v>
      </c>
      <c r="C351">
        <v>400</v>
      </c>
      <c r="D351">
        <v>350</v>
      </c>
      <c r="E351">
        <v>400</v>
      </c>
      <c r="F351">
        <v>500</v>
      </c>
      <c r="G351">
        <v>450</v>
      </c>
      <c r="H351">
        <v>500</v>
      </c>
      <c r="I351">
        <v>500</v>
      </c>
      <c r="J351">
        <v>450</v>
      </c>
    </row>
    <row r="352" spans="1:10">
      <c r="A352" s="4" t="s">
        <v>12</v>
      </c>
      <c r="B352">
        <v>0.41</v>
      </c>
      <c r="C352">
        <v>0.41</v>
      </c>
      <c r="D352">
        <v>0.41</v>
      </c>
      <c r="E352">
        <v>0.41</v>
      </c>
      <c r="F352">
        <v>0.42</v>
      </c>
      <c r="G352">
        <v>0.41</v>
      </c>
      <c r="H352">
        <v>0.42</v>
      </c>
      <c r="I352">
        <v>0.42</v>
      </c>
      <c r="J352">
        <v>0.41</v>
      </c>
    </row>
    <row r="353" spans="1:10">
      <c r="A353" s="4" t="s">
        <v>10</v>
      </c>
      <c r="B353">
        <v>20</v>
      </c>
      <c r="C353">
        <v>20</v>
      </c>
      <c r="D353">
        <v>20</v>
      </c>
      <c r="E353">
        <v>20</v>
      </c>
      <c r="F353">
        <v>20</v>
      </c>
      <c r="G353">
        <v>25</v>
      </c>
      <c r="H353">
        <v>20</v>
      </c>
      <c r="I353">
        <v>20</v>
      </c>
      <c r="J353">
        <v>25</v>
      </c>
    </row>
    <row r="354" spans="1:10">
      <c r="A354" s="4" t="s">
        <v>164</v>
      </c>
      <c r="B354">
        <v>1.9279999999999999</v>
      </c>
      <c r="C354">
        <v>1.9279999999999999</v>
      </c>
      <c r="D354">
        <v>1.9279999999999999</v>
      </c>
      <c r="E354">
        <v>1.9279999999999999</v>
      </c>
      <c r="F354">
        <v>1.9279999999999999</v>
      </c>
      <c r="G354">
        <v>1.9279999999999999</v>
      </c>
      <c r="H354">
        <v>1.9279999999999999</v>
      </c>
      <c r="I354">
        <v>1.9279999999999999</v>
      </c>
      <c r="J354">
        <v>1.9279999999999999</v>
      </c>
    </row>
    <row r="355" spans="1:10">
      <c r="A355" s="3" t="s">
        <v>31</v>
      </c>
    </row>
    <row r="356" spans="1:10">
      <c r="A356" s="4" t="s">
        <v>6</v>
      </c>
      <c r="B356">
        <v>920</v>
      </c>
      <c r="C356">
        <v>920</v>
      </c>
      <c r="D356">
        <v>720</v>
      </c>
      <c r="E356">
        <v>920</v>
      </c>
      <c r="F356">
        <v>1440</v>
      </c>
      <c r="G356">
        <v>1040</v>
      </c>
      <c r="H356">
        <v>1300</v>
      </c>
      <c r="I356">
        <v>1300</v>
      </c>
      <c r="J356">
        <v>1040</v>
      </c>
    </row>
    <row r="357" spans="1:10">
      <c r="A357" s="4" t="s">
        <v>12</v>
      </c>
      <c r="B357">
        <v>0.54</v>
      </c>
      <c r="C357">
        <v>0.54</v>
      </c>
      <c r="D357">
        <v>0.53300000000000003</v>
      </c>
      <c r="E357">
        <v>0.52700000000000002</v>
      </c>
      <c r="F357">
        <v>0.54600000000000004</v>
      </c>
      <c r="G357">
        <v>0.53300000000000003</v>
      </c>
      <c r="H357">
        <v>0.54600000000000004</v>
      </c>
      <c r="I357">
        <v>0.54600000000000004</v>
      </c>
      <c r="J357">
        <v>0.53300000000000003</v>
      </c>
    </row>
    <row r="358" spans="1:10">
      <c r="A358" s="4" t="s">
        <v>10</v>
      </c>
      <c r="B358">
        <v>35</v>
      </c>
      <c r="C358">
        <v>35</v>
      </c>
      <c r="D358">
        <v>30</v>
      </c>
      <c r="E358">
        <v>35</v>
      </c>
      <c r="F358">
        <v>45</v>
      </c>
      <c r="G358">
        <v>40</v>
      </c>
      <c r="H358">
        <v>40</v>
      </c>
      <c r="I358">
        <v>40</v>
      </c>
      <c r="J358">
        <v>40</v>
      </c>
    </row>
    <row r="359" spans="1:10">
      <c r="A359" s="4" t="s">
        <v>164</v>
      </c>
      <c r="B359">
        <v>0.69399999999999995</v>
      </c>
      <c r="C359">
        <v>0.69399999999999995</v>
      </c>
      <c r="D359">
        <v>0.69399999999999995</v>
      </c>
      <c r="E359">
        <v>0.69399999999999995</v>
      </c>
      <c r="F359">
        <v>0.69399999999999995</v>
      </c>
      <c r="G359">
        <v>0.69399999999999995</v>
      </c>
      <c r="H359">
        <v>0.69399999999999995</v>
      </c>
      <c r="I359">
        <v>0.69399999999999995</v>
      </c>
      <c r="J359">
        <v>0.69399999999999995</v>
      </c>
    </row>
    <row r="360" spans="1:10">
      <c r="A360" s="3" t="s">
        <v>32</v>
      </c>
    </row>
    <row r="361" spans="1:10">
      <c r="A361" s="4" t="s">
        <v>6</v>
      </c>
      <c r="B361">
        <v>2500</v>
      </c>
      <c r="C361">
        <v>2500</v>
      </c>
      <c r="D361">
        <v>2500</v>
      </c>
      <c r="E361">
        <v>2500</v>
      </c>
      <c r="F361">
        <v>2500</v>
      </c>
      <c r="G361">
        <v>2500</v>
      </c>
      <c r="H361">
        <v>2500</v>
      </c>
      <c r="I361">
        <v>2500</v>
      </c>
      <c r="J361">
        <v>2500</v>
      </c>
    </row>
    <row r="362" spans="1:10">
      <c r="A362" s="4" t="s">
        <v>12</v>
      </c>
      <c r="B362">
        <v>0.6</v>
      </c>
      <c r="C362">
        <v>0.6</v>
      </c>
      <c r="D362">
        <v>0.6</v>
      </c>
      <c r="E362">
        <v>0.6</v>
      </c>
      <c r="F362">
        <v>0.6</v>
      </c>
      <c r="G362">
        <v>0.6</v>
      </c>
      <c r="H362">
        <v>0.6</v>
      </c>
      <c r="I362">
        <v>0.6</v>
      </c>
      <c r="J362">
        <v>0.6</v>
      </c>
    </row>
    <row r="363" spans="1:10">
      <c r="A363" s="4" t="s">
        <v>10</v>
      </c>
      <c r="B363">
        <v>75</v>
      </c>
      <c r="C363">
        <v>75</v>
      </c>
      <c r="D363">
        <v>75</v>
      </c>
      <c r="E363">
        <v>75</v>
      </c>
      <c r="F363">
        <v>50</v>
      </c>
      <c r="G363">
        <v>75</v>
      </c>
      <c r="H363">
        <v>50</v>
      </c>
      <c r="I363">
        <v>50</v>
      </c>
      <c r="J363">
        <v>75</v>
      </c>
    </row>
    <row r="364" spans="1:10">
      <c r="A364" s="4" t="s">
        <v>164</v>
      </c>
      <c r="B364">
        <v>0.83299999999999996</v>
      </c>
      <c r="C364">
        <v>0.83299999999999996</v>
      </c>
      <c r="D364">
        <v>0.83299999999999996</v>
      </c>
      <c r="E364">
        <v>0.83299999999999996</v>
      </c>
      <c r="F364">
        <v>0.83299999999999996</v>
      </c>
      <c r="G364">
        <v>0.83299999999999996</v>
      </c>
      <c r="H364">
        <v>0.83299999999999996</v>
      </c>
      <c r="I364">
        <v>0.83299999999999996</v>
      </c>
      <c r="J364">
        <v>0.83299999999999996</v>
      </c>
    </row>
    <row r="365" spans="1:10">
      <c r="A365" s="3" t="s">
        <v>33</v>
      </c>
    </row>
    <row r="366" spans="1:10">
      <c r="A366" s="4" t="s">
        <v>6</v>
      </c>
      <c r="B366">
        <v>1300</v>
      </c>
      <c r="C366">
        <v>1300</v>
      </c>
      <c r="D366">
        <v>600</v>
      </c>
      <c r="E366">
        <v>1000</v>
      </c>
      <c r="F366">
        <v>2100</v>
      </c>
      <c r="G366">
        <v>1700</v>
      </c>
      <c r="H366">
        <v>1700</v>
      </c>
      <c r="I366">
        <v>1800</v>
      </c>
      <c r="J366">
        <v>1300</v>
      </c>
    </row>
    <row r="367" spans="1:10">
      <c r="A367" s="4" t="s">
        <v>12</v>
      </c>
      <c r="B367">
        <v>0.35</v>
      </c>
      <c r="C367">
        <v>0.39</v>
      </c>
      <c r="D367">
        <v>0.37</v>
      </c>
      <c r="E367">
        <v>0.37</v>
      </c>
      <c r="F367">
        <v>0.39</v>
      </c>
      <c r="G367">
        <v>0.39</v>
      </c>
      <c r="H367">
        <v>0.39</v>
      </c>
      <c r="I367">
        <v>0.39</v>
      </c>
      <c r="J367">
        <v>0.37</v>
      </c>
    </row>
    <row r="368" spans="1:10">
      <c r="A368" s="4" t="s">
        <v>10</v>
      </c>
      <c r="B368">
        <v>45</v>
      </c>
      <c r="C368">
        <v>45</v>
      </c>
      <c r="D368">
        <v>20</v>
      </c>
      <c r="E368">
        <v>35</v>
      </c>
      <c r="F368">
        <v>55</v>
      </c>
      <c r="G368">
        <v>50</v>
      </c>
      <c r="H368">
        <v>45</v>
      </c>
      <c r="I368">
        <v>45</v>
      </c>
      <c r="J368">
        <v>45</v>
      </c>
    </row>
    <row r="369" spans="1:10">
      <c r="A369" s="4" t="s">
        <v>164</v>
      </c>
      <c r="B369">
        <v>2.3610000000000002</v>
      </c>
      <c r="C369">
        <v>2.3610000000000002</v>
      </c>
      <c r="D369">
        <v>2.3610000000000002</v>
      </c>
      <c r="E369">
        <v>2.3610000000000002</v>
      </c>
      <c r="F369">
        <v>2.3610000000000002</v>
      </c>
      <c r="G369">
        <v>2.3610000000000002</v>
      </c>
      <c r="H369">
        <v>2.3610000000000002</v>
      </c>
      <c r="I369">
        <v>2.3610000000000002</v>
      </c>
      <c r="J369">
        <v>2.3610000000000002</v>
      </c>
    </row>
    <row r="370" spans="1:10">
      <c r="A370" s="3" t="s">
        <v>34</v>
      </c>
    </row>
    <row r="371" spans="1:10">
      <c r="A371" s="4" t="s">
        <v>6</v>
      </c>
      <c r="B371">
        <v>1600</v>
      </c>
      <c r="C371">
        <v>1600</v>
      </c>
      <c r="D371">
        <v>700</v>
      </c>
      <c r="E371">
        <v>1200</v>
      </c>
      <c r="F371">
        <v>2400</v>
      </c>
      <c r="G371">
        <v>2000</v>
      </c>
      <c r="H371">
        <v>2000</v>
      </c>
      <c r="I371">
        <v>2100</v>
      </c>
      <c r="J371">
        <v>1600</v>
      </c>
    </row>
    <row r="372" spans="1:10">
      <c r="A372" s="4" t="s">
        <v>12</v>
      </c>
      <c r="B372">
        <v>0.39</v>
      </c>
      <c r="C372">
        <v>0.43</v>
      </c>
      <c r="D372">
        <v>0.41</v>
      </c>
      <c r="E372">
        <v>0.4</v>
      </c>
      <c r="F372">
        <v>0.43</v>
      </c>
      <c r="G372">
        <v>0.43</v>
      </c>
      <c r="H372">
        <v>0.43</v>
      </c>
      <c r="I372">
        <v>0.43</v>
      </c>
      <c r="J372">
        <v>0.41</v>
      </c>
    </row>
    <row r="373" spans="1:10">
      <c r="A373" s="4" t="s">
        <v>10</v>
      </c>
      <c r="B373">
        <v>55</v>
      </c>
      <c r="C373">
        <v>65</v>
      </c>
      <c r="D373">
        <v>30</v>
      </c>
      <c r="E373">
        <v>50</v>
      </c>
      <c r="F373">
        <v>70</v>
      </c>
      <c r="G373">
        <v>70</v>
      </c>
      <c r="H373">
        <v>60</v>
      </c>
      <c r="I373">
        <v>65</v>
      </c>
      <c r="J373">
        <v>65</v>
      </c>
    </row>
    <row r="374" spans="1:10">
      <c r="A374" s="4" t="s">
        <v>164</v>
      </c>
      <c r="B374">
        <v>2.3170000000000002</v>
      </c>
      <c r="C374">
        <v>2.3170000000000002</v>
      </c>
      <c r="D374">
        <v>2.3170000000000002</v>
      </c>
      <c r="E374">
        <v>2.3170000000000002</v>
      </c>
      <c r="F374">
        <v>2.3170000000000002</v>
      </c>
      <c r="G374">
        <v>2.3170000000000002</v>
      </c>
      <c r="H374">
        <v>2.3170000000000002</v>
      </c>
      <c r="I374">
        <v>2.3170000000000002</v>
      </c>
      <c r="J374">
        <v>2.3170000000000002</v>
      </c>
    </row>
    <row r="375" spans="1:10">
      <c r="A375" s="3" t="s">
        <v>35</v>
      </c>
    </row>
    <row r="376" spans="1:10">
      <c r="A376" s="4" t="s">
        <v>6</v>
      </c>
      <c r="B376">
        <v>1900</v>
      </c>
      <c r="C376">
        <v>1800</v>
      </c>
      <c r="D376">
        <v>800</v>
      </c>
      <c r="E376">
        <v>1400</v>
      </c>
      <c r="F376">
        <v>2600</v>
      </c>
      <c r="G376">
        <v>2200</v>
      </c>
      <c r="H376">
        <v>2200</v>
      </c>
      <c r="I376">
        <v>2300</v>
      </c>
      <c r="J376">
        <v>1600</v>
      </c>
    </row>
    <row r="377" spans="1:10">
      <c r="A377" s="4" t="s">
        <v>12</v>
      </c>
      <c r="B377">
        <v>0.44</v>
      </c>
      <c r="C377">
        <v>0.47</v>
      </c>
      <c r="D377">
        <v>0.47</v>
      </c>
      <c r="E377">
        <v>0.43</v>
      </c>
      <c r="F377">
        <v>0.47</v>
      </c>
      <c r="G377">
        <v>0.47</v>
      </c>
      <c r="H377">
        <v>0.47</v>
      </c>
      <c r="I377">
        <v>0.47</v>
      </c>
      <c r="J377">
        <v>0.45</v>
      </c>
    </row>
    <row r="378" spans="1:10">
      <c r="A378" s="4" t="s">
        <v>10</v>
      </c>
      <c r="B378">
        <v>70</v>
      </c>
      <c r="C378">
        <v>70</v>
      </c>
      <c r="D378">
        <v>30</v>
      </c>
      <c r="E378">
        <v>55</v>
      </c>
      <c r="F378">
        <v>80</v>
      </c>
      <c r="G378">
        <v>65</v>
      </c>
      <c r="H378">
        <v>65</v>
      </c>
      <c r="I378">
        <v>70</v>
      </c>
      <c r="J378">
        <v>65</v>
      </c>
    </row>
    <row r="379" spans="1:10">
      <c r="A379" s="4" t="s">
        <v>164</v>
      </c>
      <c r="B379">
        <v>2.6389999999999998</v>
      </c>
      <c r="C379">
        <v>2.6389999999999998</v>
      </c>
      <c r="D379">
        <v>2.6389999999999998</v>
      </c>
      <c r="E379">
        <v>2.6389999999999998</v>
      </c>
      <c r="F379">
        <v>2.6389999999999998</v>
      </c>
      <c r="G379">
        <v>2.6389999999999998</v>
      </c>
      <c r="H379">
        <v>2.6389999999999998</v>
      </c>
      <c r="I379">
        <v>2.6389999999999998</v>
      </c>
      <c r="J379">
        <v>2.6389999999999998</v>
      </c>
    </row>
    <row r="380" spans="1:10">
      <c r="A380" s="3" t="s">
        <v>36</v>
      </c>
    </row>
    <row r="381" spans="1:10">
      <c r="A381" s="4" t="s">
        <v>6</v>
      </c>
      <c r="B381">
        <v>2100</v>
      </c>
      <c r="C381">
        <v>1900</v>
      </c>
      <c r="D381">
        <v>900</v>
      </c>
      <c r="E381">
        <v>1500</v>
      </c>
      <c r="F381">
        <v>2700</v>
      </c>
      <c r="G381">
        <v>2300</v>
      </c>
      <c r="H381">
        <v>2300</v>
      </c>
      <c r="I381">
        <v>2400</v>
      </c>
      <c r="J381">
        <v>1900</v>
      </c>
    </row>
    <row r="382" spans="1:10">
      <c r="A382" s="4" t="s">
        <v>12</v>
      </c>
      <c r="B382">
        <v>0.45</v>
      </c>
      <c r="C382">
        <v>0.49</v>
      </c>
      <c r="D382">
        <v>0.49</v>
      </c>
      <c r="E382">
        <v>0.47</v>
      </c>
      <c r="F382">
        <v>0.49</v>
      </c>
      <c r="G382">
        <v>0.49</v>
      </c>
      <c r="H382">
        <v>0.49</v>
      </c>
      <c r="I382">
        <v>0.49</v>
      </c>
      <c r="J382">
        <v>0.47</v>
      </c>
    </row>
    <row r="383" spans="1:10">
      <c r="A383" s="4" t="s">
        <v>10</v>
      </c>
      <c r="B383">
        <v>85</v>
      </c>
      <c r="C383">
        <v>85</v>
      </c>
      <c r="D383">
        <v>40</v>
      </c>
      <c r="E383">
        <v>70</v>
      </c>
      <c r="F383">
        <v>95</v>
      </c>
      <c r="G383">
        <v>80</v>
      </c>
      <c r="H383">
        <v>80</v>
      </c>
      <c r="I383">
        <v>85</v>
      </c>
      <c r="J383">
        <v>85</v>
      </c>
    </row>
    <row r="384" spans="1:10">
      <c r="A384" s="3" t="s">
        <v>37</v>
      </c>
    </row>
    <row r="385" spans="1:10">
      <c r="A385" s="4" t="s">
        <v>6</v>
      </c>
      <c r="B385">
        <v>3650</v>
      </c>
      <c r="C385">
        <v>3550</v>
      </c>
      <c r="D385">
        <v>2550</v>
      </c>
      <c r="E385">
        <v>3150</v>
      </c>
      <c r="F385">
        <v>4900</v>
      </c>
      <c r="G385">
        <v>4200</v>
      </c>
      <c r="H385">
        <v>4500</v>
      </c>
      <c r="I385">
        <v>4450</v>
      </c>
      <c r="J385">
        <v>3650</v>
      </c>
    </row>
    <row r="386" spans="1:10">
      <c r="A386" s="4" t="s">
        <v>12</v>
      </c>
      <c r="B386">
        <v>0.33</v>
      </c>
      <c r="D386">
        <v>0.36</v>
      </c>
      <c r="E386">
        <v>0.31</v>
      </c>
      <c r="F386">
        <v>0.37</v>
      </c>
      <c r="G386">
        <v>0.37</v>
      </c>
      <c r="H386">
        <v>0.37</v>
      </c>
      <c r="I386">
        <v>0.37</v>
      </c>
    </row>
    <row r="387" spans="1:10">
      <c r="A387" s="4" t="s">
        <v>10</v>
      </c>
      <c r="B387">
        <v>140</v>
      </c>
      <c r="C387">
        <v>140</v>
      </c>
      <c r="D387">
        <v>100</v>
      </c>
      <c r="E387">
        <v>125</v>
      </c>
      <c r="F387">
        <v>145</v>
      </c>
      <c r="G387">
        <v>145</v>
      </c>
      <c r="H387">
        <v>135</v>
      </c>
      <c r="I387">
        <v>135</v>
      </c>
      <c r="J387">
        <v>145</v>
      </c>
    </row>
    <row r="388" spans="1:10">
      <c r="A388" s="4" t="s">
        <v>164</v>
      </c>
      <c r="B388">
        <v>3.7309999999999999</v>
      </c>
      <c r="C388">
        <v>3.7309999999999999</v>
      </c>
      <c r="D388">
        <v>3.7309999999999999</v>
      </c>
      <c r="E388">
        <v>3.7309999999999999</v>
      </c>
      <c r="F388">
        <v>3.7309999999999999</v>
      </c>
      <c r="G388">
        <v>3.7309999999999999</v>
      </c>
      <c r="H388">
        <v>3.7309999999999999</v>
      </c>
      <c r="I388">
        <v>3.7309999999999999</v>
      </c>
      <c r="J388">
        <v>3.7309999999999999</v>
      </c>
    </row>
    <row r="389" spans="1:10">
      <c r="A389" s="3" t="s">
        <v>38</v>
      </c>
    </row>
    <row r="390" spans="1:10">
      <c r="A390" s="4" t="s">
        <v>6</v>
      </c>
      <c r="B390">
        <v>4350</v>
      </c>
      <c r="C390">
        <v>4250</v>
      </c>
      <c r="D390">
        <v>3050</v>
      </c>
      <c r="E390">
        <v>3700</v>
      </c>
      <c r="F390">
        <v>5550</v>
      </c>
      <c r="G390">
        <v>4850</v>
      </c>
      <c r="H390">
        <v>5150</v>
      </c>
      <c r="I390">
        <v>5200</v>
      </c>
      <c r="J390">
        <v>3900</v>
      </c>
    </row>
    <row r="391" spans="1:10">
      <c r="A391" s="4" t="s">
        <v>12</v>
      </c>
      <c r="B391">
        <v>0.33</v>
      </c>
      <c r="D391">
        <v>0.36</v>
      </c>
      <c r="E391">
        <v>0.32</v>
      </c>
      <c r="F391">
        <v>0.37</v>
      </c>
      <c r="G391">
        <v>0.37</v>
      </c>
      <c r="H391">
        <v>0.37</v>
      </c>
      <c r="I391">
        <v>0.37</v>
      </c>
    </row>
    <row r="392" spans="1:10">
      <c r="A392" s="4" t="s">
        <v>10</v>
      </c>
      <c r="B392">
        <v>165</v>
      </c>
      <c r="C392">
        <v>170</v>
      </c>
      <c r="D392">
        <v>120</v>
      </c>
      <c r="E392">
        <v>150</v>
      </c>
      <c r="F392">
        <v>165</v>
      </c>
      <c r="G392">
        <v>145</v>
      </c>
      <c r="H392">
        <v>155</v>
      </c>
      <c r="I392">
        <v>155</v>
      </c>
      <c r="J392">
        <v>155</v>
      </c>
    </row>
    <row r="393" spans="1:10">
      <c r="A393" s="4" t="s">
        <v>164</v>
      </c>
      <c r="B393">
        <v>4.306</v>
      </c>
      <c r="C393">
        <v>4.306</v>
      </c>
      <c r="D393">
        <v>4.306</v>
      </c>
      <c r="E393">
        <v>4.306</v>
      </c>
      <c r="F393">
        <v>4.306</v>
      </c>
      <c r="G393">
        <v>4.306</v>
      </c>
      <c r="H393">
        <v>4.306</v>
      </c>
      <c r="I393">
        <v>4.306</v>
      </c>
      <c r="J393">
        <v>4.306</v>
      </c>
    </row>
    <row r="394" spans="1:10">
      <c r="A394" s="3" t="s">
        <v>39</v>
      </c>
    </row>
    <row r="395" spans="1:10">
      <c r="A395" s="4" t="s">
        <v>6</v>
      </c>
      <c r="B395">
        <v>4250</v>
      </c>
      <c r="C395">
        <v>4000</v>
      </c>
      <c r="D395">
        <v>3000</v>
      </c>
      <c r="E395">
        <v>3550</v>
      </c>
      <c r="F395">
        <v>5550</v>
      </c>
      <c r="G395">
        <v>4800</v>
      </c>
      <c r="H395">
        <v>5150</v>
      </c>
      <c r="I395">
        <v>5150</v>
      </c>
      <c r="J395">
        <v>4450</v>
      </c>
    </row>
    <row r="396" spans="1:10">
      <c r="A396" s="4" t="s">
        <v>12</v>
      </c>
      <c r="B396">
        <v>0.35</v>
      </c>
      <c r="D396">
        <v>0.38</v>
      </c>
      <c r="E396">
        <v>0.36</v>
      </c>
      <c r="F396">
        <v>0.39</v>
      </c>
      <c r="G396">
        <v>0.39</v>
      </c>
      <c r="H396">
        <v>0.39</v>
      </c>
      <c r="I396">
        <v>0.39</v>
      </c>
    </row>
    <row r="397" spans="1:10">
      <c r="A397" s="4" t="s">
        <v>10</v>
      </c>
      <c r="B397">
        <v>190</v>
      </c>
      <c r="C397">
        <v>180</v>
      </c>
      <c r="D397">
        <v>135</v>
      </c>
      <c r="E397">
        <v>170</v>
      </c>
      <c r="F397">
        <v>195</v>
      </c>
      <c r="G397">
        <v>170</v>
      </c>
      <c r="H397">
        <v>180</v>
      </c>
      <c r="I397">
        <v>180</v>
      </c>
      <c r="J397">
        <v>200</v>
      </c>
    </row>
    <row r="398" spans="1:10">
      <c r="A398" s="4" t="s">
        <v>164</v>
      </c>
      <c r="B398">
        <v>4.5830000000000002</v>
      </c>
      <c r="C398">
        <v>4.5830000000000002</v>
      </c>
      <c r="D398">
        <v>4.5830000000000002</v>
      </c>
      <c r="E398">
        <v>4.5830000000000002</v>
      </c>
      <c r="F398">
        <v>4.5830000000000002</v>
      </c>
      <c r="G398">
        <v>4.5830000000000002</v>
      </c>
      <c r="H398">
        <v>4.5830000000000002</v>
      </c>
      <c r="I398">
        <v>4.5830000000000002</v>
      </c>
      <c r="J398">
        <v>4.5830000000000002</v>
      </c>
    </row>
    <row r="399" spans="1:10">
      <c r="A399" s="3" t="s">
        <v>40</v>
      </c>
    </row>
    <row r="400" spans="1:10">
      <c r="A400" s="4" t="s">
        <v>6</v>
      </c>
      <c r="B400">
        <v>1950</v>
      </c>
      <c r="C400">
        <v>1350</v>
      </c>
      <c r="D400">
        <v>1650</v>
      </c>
      <c r="E400">
        <v>1850</v>
      </c>
      <c r="F400">
        <v>2600</v>
      </c>
      <c r="G400">
        <v>2100</v>
      </c>
      <c r="H400">
        <v>2500</v>
      </c>
      <c r="I400">
        <v>2400</v>
      </c>
      <c r="J400">
        <v>2250</v>
      </c>
    </row>
    <row r="401" spans="1:10">
      <c r="A401" s="4" t="s">
        <v>12</v>
      </c>
      <c r="B401">
        <v>0.51</v>
      </c>
      <c r="D401">
        <v>0.5</v>
      </c>
      <c r="E401">
        <v>0.49</v>
      </c>
      <c r="F401">
        <v>0.52</v>
      </c>
      <c r="G401">
        <v>0.5</v>
      </c>
      <c r="H401">
        <v>0.52</v>
      </c>
      <c r="I401">
        <v>0.52</v>
      </c>
      <c r="J401">
        <v>0.5</v>
      </c>
    </row>
    <row r="402" spans="1:10">
      <c r="A402" s="4" t="s">
        <v>10</v>
      </c>
      <c r="B402">
        <v>70</v>
      </c>
      <c r="C402">
        <v>50</v>
      </c>
      <c r="D402">
        <v>55</v>
      </c>
      <c r="E402">
        <v>65</v>
      </c>
      <c r="F402">
        <v>65</v>
      </c>
      <c r="G402">
        <v>75</v>
      </c>
      <c r="H402">
        <v>60</v>
      </c>
      <c r="I402">
        <v>60</v>
      </c>
      <c r="J402">
        <v>80</v>
      </c>
    </row>
    <row r="403" spans="1:10">
      <c r="A403" s="4" t="s">
        <v>164</v>
      </c>
      <c r="B403">
        <v>0.98899999999999999</v>
      </c>
      <c r="C403">
        <v>0.98899999999999999</v>
      </c>
      <c r="D403">
        <v>0.98899999999999999</v>
      </c>
      <c r="E403">
        <v>0.98899999999999999</v>
      </c>
      <c r="F403">
        <v>0.98899999999999999</v>
      </c>
      <c r="G403">
        <v>0.98899999999999999</v>
      </c>
      <c r="H403">
        <v>0.98899999999999999</v>
      </c>
      <c r="I403">
        <v>0.98899999999999999</v>
      </c>
      <c r="J403">
        <v>0.98899999999999999</v>
      </c>
    </row>
    <row r="404" spans="1:10">
      <c r="A404" s="3" t="s">
        <v>41</v>
      </c>
    </row>
    <row r="405" spans="1:10">
      <c r="A405" s="4" t="s">
        <v>6</v>
      </c>
      <c r="B405">
        <v>4000</v>
      </c>
      <c r="C405">
        <v>4000</v>
      </c>
      <c r="D405">
        <v>2500</v>
      </c>
      <c r="E405">
        <v>2800</v>
      </c>
      <c r="F405">
        <v>4000</v>
      </c>
      <c r="G405">
        <v>3800</v>
      </c>
      <c r="H405">
        <v>4500</v>
      </c>
      <c r="I405">
        <v>4500</v>
      </c>
      <c r="J405">
        <v>3500</v>
      </c>
    </row>
    <row r="406" spans="1:10">
      <c r="A406" s="4" t="s">
        <v>10</v>
      </c>
      <c r="B406">
        <v>170</v>
      </c>
      <c r="C406">
        <v>170</v>
      </c>
      <c r="D406">
        <v>120</v>
      </c>
      <c r="E406">
        <v>140</v>
      </c>
      <c r="F406">
        <v>225</v>
      </c>
      <c r="G406">
        <v>160</v>
      </c>
      <c r="H406">
        <v>160</v>
      </c>
      <c r="I406">
        <v>175</v>
      </c>
      <c r="J406">
        <v>160</v>
      </c>
    </row>
    <row r="407" spans="1:10">
      <c r="A407" s="4" t="s">
        <v>164</v>
      </c>
      <c r="B407">
        <v>0.77800000000000002</v>
      </c>
      <c r="C407">
        <v>0.77800000000000002</v>
      </c>
      <c r="D407">
        <v>0.77800000000000002</v>
      </c>
      <c r="E407">
        <v>0.77800000000000002</v>
      </c>
      <c r="F407">
        <v>0.77800000000000002</v>
      </c>
      <c r="G407">
        <v>0.77800000000000002</v>
      </c>
      <c r="H407">
        <v>0.77800000000000002</v>
      </c>
      <c r="I407">
        <v>0.77800000000000002</v>
      </c>
      <c r="J407">
        <v>0.77800000000000002</v>
      </c>
    </row>
    <row r="408" spans="1:10">
      <c r="A408" s="3" t="s">
        <v>42</v>
      </c>
    </row>
    <row r="409" spans="1:10">
      <c r="A409" s="4" t="s">
        <v>14</v>
      </c>
      <c r="B409">
        <v>0.23</v>
      </c>
      <c r="C409">
        <v>0.21</v>
      </c>
      <c r="D409">
        <v>0.14000000000000001</v>
      </c>
      <c r="E409">
        <v>0.22</v>
      </c>
      <c r="F409">
        <v>0.14000000000000001</v>
      </c>
      <c r="G409">
        <v>0.14000000000000001</v>
      </c>
      <c r="H409">
        <v>0.14000000000000001</v>
      </c>
      <c r="I409">
        <v>0.23</v>
      </c>
      <c r="J409">
        <v>0.26</v>
      </c>
    </row>
    <row r="410" spans="1:10">
      <c r="A410" s="4" t="s">
        <v>6</v>
      </c>
      <c r="B410">
        <v>580</v>
      </c>
      <c r="C410">
        <v>330</v>
      </c>
      <c r="D410">
        <v>300</v>
      </c>
      <c r="E410">
        <v>270</v>
      </c>
      <c r="F410">
        <v>940</v>
      </c>
      <c r="G410">
        <v>770</v>
      </c>
      <c r="H410">
        <v>450</v>
      </c>
      <c r="I410">
        <v>480</v>
      </c>
      <c r="J410">
        <v>250</v>
      </c>
    </row>
    <row r="411" spans="1:10">
      <c r="A411" s="4" t="s">
        <v>12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</row>
    <row r="412" spans="1:10">
      <c r="A412" s="4" t="s">
        <v>10</v>
      </c>
      <c r="B412">
        <v>18</v>
      </c>
      <c r="C412">
        <v>10</v>
      </c>
      <c r="D412">
        <v>10</v>
      </c>
      <c r="E412">
        <v>8</v>
      </c>
      <c r="F412">
        <v>24</v>
      </c>
      <c r="G412">
        <v>22</v>
      </c>
      <c r="H412">
        <v>12</v>
      </c>
      <c r="I412">
        <v>16</v>
      </c>
      <c r="J412">
        <v>8</v>
      </c>
    </row>
    <row r="413" spans="1:10">
      <c r="A413" s="4" t="s">
        <v>164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 s="3" t="s">
        <v>43</v>
      </c>
    </row>
    <row r="415" spans="1:10">
      <c r="A415" s="4" t="s">
        <v>14</v>
      </c>
      <c r="B415">
        <v>0.35</v>
      </c>
      <c r="C415">
        <v>0.44</v>
      </c>
      <c r="D415">
        <v>0.28000000000000003</v>
      </c>
      <c r="E415">
        <v>0.3</v>
      </c>
      <c r="F415">
        <v>0.28999999999999998</v>
      </c>
      <c r="G415">
        <v>0.31</v>
      </c>
      <c r="H415">
        <v>0.3</v>
      </c>
      <c r="I415">
        <v>0.44</v>
      </c>
      <c r="J415">
        <v>0.36</v>
      </c>
    </row>
    <row r="416" spans="1:10">
      <c r="A416" s="4" t="s">
        <v>6</v>
      </c>
      <c r="B416">
        <v>1740</v>
      </c>
      <c r="C416">
        <v>950</v>
      </c>
      <c r="D416">
        <v>1000</v>
      </c>
      <c r="E416">
        <v>1010</v>
      </c>
      <c r="F416">
        <v>3170</v>
      </c>
      <c r="G416">
        <v>1470</v>
      </c>
      <c r="H416">
        <v>1610</v>
      </c>
      <c r="I416">
        <v>1110</v>
      </c>
      <c r="J416">
        <v>1710</v>
      </c>
    </row>
    <row r="417" spans="1:10">
      <c r="A417" s="4" t="s">
        <v>12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</row>
    <row r="418" spans="1:10">
      <c r="A418" s="4" t="s">
        <v>10</v>
      </c>
      <c r="B418">
        <v>44</v>
      </c>
      <c r="C418">
        <v>24</v>
      </c>
      <c r="D418">
        <v>26</v>
      </c>
      <c r="E418">
        <v>26</v>
      </c>
      <c r="F418">
        <v>82</v>
      </c>
      <c r="G418">
        <v>38</v>
      </c>
      <c r="H418">
        <v>42</v>
      </c>
      <c r="I418">
        <v>30</v>
      </c>
      <c r="J418">
        <v>44</v>
      </c>
    </row>
    <row r="419" spans="1:10">
      <c r="A419" s="4" t="s">
        <v>164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 s="3" t="s">
        <v>44</v>
      </c>
    </row>
    <row r="421" spans="1:10">
      <c r="A421" s="4" t="s">
        <v>14</v>
      </c>
      <c r="B421">
        <v>0.43</v>
      </c>
      <c r="C421">
        <v>0.55000000000000004</v>
      </c>
      <c r="D421">
        <v>0.43</v>
      </c>
      <c r="E421">
        <v>0.39</v>
      </c>
      <c r="F421">
        <v>0.46</v>
      </c>
      <c r="G421">
        <v>0.44</v>
      </c>
      <c r="H421">
        <v>0.59</v>
      </c>
      <c r="I421">
        <v>0.49</v>
      </c>
      <c r="J421">
        <v>0.39</v>
      </c>
    </row>
    <row r="422" spans="1:10">
      <c r="A422" s="4" t="s">
        <v>6</v>
      </c>
      <c r="B422">
        <v>2080</v>
      </c>
      <c r="C422">
        <v>2160</v>
      </c>
      <c r="D422">
        <v>1420</v>
      </c>
      <c r="E422">
        <v>1500</v>
      </c>
      <c r="F422">
        <v>3160</v>
      </c>
      <c r="G422">
        <v>2280</v>
      </c>
      <c r="H422">
        <v>1740</v>
      </c>
      <c r="I422">
        <v>1900</v>
      </c>
      <c r="J422">
        <v>2180</v>
      </c>
    </row>
    <row r="423" spans="1:10">
      <c r="A423" s="4" t="s">
        <v>12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</row>
    <row r="424" spans="1:10">
      <c r="A424" s="4" t="s">
        <v>10</v>
      </c>
      <c r="B424">
        <v>65</v>
      </c>
      <c r="C424">
        <v>65</v>
      </c>
      <c r="D424">
        <v>45</v>
      </c>
      <c r="E424">
        <v>45</v>
      </c>
      <c r="F424">
        <v>95</v>
      </c>
      <c r="G424">
        <v>70</v>
      </c>
      <c r="H424">
        <v>45</v>
      </c>
      <c r="I424">
        <v>70</v>
      </c>
      <c r="J424">
        <v>65</v>
      </c>
    </row>
    <row r="425" spans="1:10">
      <c r="A425" s="4" t="s">
        <v>164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 s="3" t="s">
        <v>45</v>
      </c>
    </row>
    <row r="427" spans="1:10">
      <c r="A427" s="4" t="s">
        <v>14</v>
      </c>
      <c r="B427">
        <v>0.5</v>
      </c>
      <c r="C427">
        <v>0.5</v>
      </c>
      <c r="D427">
        <v>0.35</v>
      </c>
      <c r="E427">
        <v>0.4</v>
      </c>
      <c r="F427">
        <v>0.5</v>
      </c>
      <c r="G427">
        <v>0.4</v>
      </c>
      <c r="H427">
        <v>0.4</v>
      </c>
      <c r="I427">
        <v>0.4</v>
      </c>
      <c r="J427">
        <v>0.2</v>
      </c>
    </row>
    <row r="428" spans="1:10">
      <c r="A428" s="4" t="s">
        <v>6</v>
      </c>
      <c r="B428">
        <v>2100</v>
      </c>
      <c r="C428">
        <v>2100</v>
      </c>
      <c r="D428">
        <v>1600</v>
      </c>
      <c r="E428">
        <v>2000</v>
      </c>
      <c r="F428">
        <v>2400</v>
      </c>
      <c r="G428">
        <v>2050</v>
      </c>
      <c r="H428">
        <v>2650</v>
      </c>
      <c r="I428">
        <v>2700</v>
      </c>
      <c r="J428">
        <v>2150</v>
      </c>
    </row>
    <row r="429" spans="1:10">
      <c r="A429" s="4" t="s">
        <v>12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</row>
    <row r="430" spans="1:10">
      <c r="A430" s="4" t="s">
        <v>10</v>
      </c>
      <c r="B430">
        <v>50</v>
      </c>
      <c r="C430">
        <v>50</v>
      </c>
      <c r="D430">
        <v>40</v>
      </c>
      <c r="E430">
        <v>50</v>
      </c>
      <c r="F430">
        <v>60</v>
      </c>
      <c r="G430">
        <v>50</v>
      </c>
      <c r="H430">
        <v>60</v>
      </c>
      <c r="I430">
        <v>65</v>
      </c>
      <c r="J430">
        <v>50</v>
      </c>
    </row>
    <row r="431" spans="1:10">
      <c r="A431" s="4" t="s">
        <v>164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 s="3" t="s">
        <v>46</v>
      </c>
    </row>
    <row r="433" spans="1:10">
      <c r="A433" s="4" t="s">
        <v>14</v>
      </c>
      <c r="B433">
        <v>0.5</v>
      </c>
      <c r="C433">
        <v>0.5</v>
      </c>
      <c r="D433">
        <v>0.35</v>
      </c>
      <c r="E433">
        <v>0.35</v>
      </c>
      <c r="F433">
        <v>0.2</v>
      </c>
      <c r="G433">
        <v>0.4</v>
      </c>
      <c r="H433">
        <v>0.25</v>
      </c>
      <c r="I433">
        <v>0.3</v>
      </c>
      <c r="J433">
        <v>0.15</v>
      </c>
    </row>
    <row r="434" spans="1:10">
      <c r="A434" s="4" t="s">
        <v>6</v>
      </c>
      <c r="B434">
        <v>3250</v>
      </c>
      <c r="C434">
        <v>3350</v>
      </c>
      <c r="D434">
        <v>2000</v>
      </c>
      <c r="E434">
        <v>3050</v>
      </c>
      <c r="F434">
        <v>3550</v>
      </c>
      <c r="G434">
        <v>3500</v>
      </c>
      <c r="H434">
        <v>3900</v>
      </c>
      <c r="I434">
        <v>4050</v>
      </c>
      <c r="J434">
        <v>3400</v>
      </c>
    </row>
    <row r="435" spans="1:10">
      <c r="A435" s="4" t="s">
        <v>12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</row>
    <row r="436" spans="1:10">
      <c r="A436" s="4" t="s">
        <v>10</v>
      </c>
      <c r="B436">
        <v>65</v>
      </c>
      <c r="C436">
        <v>65</v>
      </c>
      <c r="D436">
        <v>40</v>
      </c>
      <c r="E436">
        <v>60</v>
      </c>
      <c r="F436">
        <v>70</v>
      </c>
      <c r="G436">
        <v>70</v>
      </c>
      <c r="H436">
        <v>80</v>
      </c>
      <c r="I436">
        <v>80</v>
      </c>
      <c r="J436">
        <v>70</v>
      </c>
    </row>
    <row r="437" spans="1:10">
      <c r="A437" s="4" t="s">
        <v>164</v>
      </c>
      <c r="B437">
        <v>0.27800000000000002</v>
      </c>
      <c r="C437">
        <v>0.27800000000000002</v>
      </c>
      <c r="D437">
        <v>0.27800000000000002</v>
      </c>
      <c r="E437">
        <v>0.27800000000000002</v>
      </c>
      <c r="F437">
        <v>0.27800000000000002</v>
      </c>
      <c r="G437">
        <v>0.27800000000000002</v>
      </c>
      <c r="H437">
        <v>0.27800000000000002</v>
      </c>
      <c r="I437">
        <v>0.27800000000000002</v>
      </c>
      <c r="J437">
        <v>0.27800000000000002</v>
      </c>
    </row>
    <row r="438" spans="1:10">
      <c r="A438" s="3" t="s">
        <v>47</v>
      </c>
    </row>
    <row r="439" spans="1:10">
      <c r="A439" s="4" t="s">
        <v>14</v>
      </c>
      <c r="B439">
        <v>0.5</v>
      </c>
      <c r="C439">
        <v>0.4</v>
      </c>
      <c r="D439">
        <v>0.7</v>
      </c>
      <c r="E439">
        <v>0.6</v>
      </c>
      <c r="F439">
        <v>0.6</v>
      </c>
      <c r="G439">
        <v>0.5</v>
      </c>
      <c r="H439">
        <v>0.6</v>
      </c>
      <c r="I439">
        <v>0.5</v>
      </c>
      <c r="J439">
        <v>0.8</v>
      </c>
    </row>
    <row r="440" spans="1:10">
      <c r="A440" s="4" t="s">
        <v>6</v>
      </c>
      <c r="B440">
        <v>2000</v>
      </c>
      <c r="C440">
        <v>2100</v>
      </c>
      <c r="D440">
        <v>1500</v>
      </c>
      <c r="E440">
        <v>2050</v>
      </c>
      <c r="F440">
        <v>2250</v>
      </c>
      <c r="G440">
        <v>2100</v>
      </c>
      <c r="H440">
        <v>2300</v>
      </c>
      <c r="I440">
        <v>2350</v>
      </c>
      <c r="J440">
        <v>2100</v>
      </c>
    </row>
    <row r="441" spans="1:10">
      <c r="A441" s="4" t="s">
        <v>12</v>
      </c>
      <c r="B441">
        <v>0.35</v>
      </c>
      <c r="C441">
        <v>0.35</v>
      </c>
      <c r="D441">
        <v>0.35</v>
      </c>
      <c r="E441">
        <v>0.35</v>
      </c>
      <c r="F441">
        <v>0.35</v>
      </c>
      <c r="G441">
        <v>0.35</v>
      </c>
      <c r="H441">
        <v>0.35</v>
      </c>
      <c r="I441">
        <v>0.35</v>
      </c>
      <c r="J441">
        <v>0.35</v>
      </c>
    </row>
    <row r="442" spans="1:10">
      <c r="A442" s="4" t="s">
        <v>10</v>
      </c>
      <c r="B442">
        <v>70</v>
      </c>
      <c r="C442">
        <v>75</v>
      </c>
      <c r="D442">
        <v>55</v>
      </c>
      <c r="E442">
        <v>70</v>
      </c>
      <c r="F442">
        <v>80</v>
      </c>
      <c r="G442">
        <v>75</v>
      </c>
      <c r="H442">
        <v>80</v>
      </c>
      <c r="I442">
        <v>85</v>
      </c>
      <c r="J442">
        <v>75</v>
      </c>
    </row>
    <row r="443" spans="1:10">
      <c r="A443" s="4" t="s">
        <v>164</v>
      </c>
      <c r="B443">
        <v>1.4570000000000001</v>
      </c>
      <c r="C443">
        <v>1.4570000000000001</v>
      </c>
      <c r="D443">
        <v>1.4570000000000001</v>
      </c>
      <c r="E443">
        <v>1.4570000000000001</v>
      </c>
      <c r="F443">
        <v>1.4570000000000001</v>
      </c>
      <c r="G443">
        <v>1.4570000000000001</v>
      </c>
      <c r="H443">
        <v>1.4570000000000001</v>
      </c>
      <c r="I443">
        <v>1.4570000000000001</v>
      </c>
      <c r="J443">
        <v>1.4570000000000001</v>
      </c>
    </row>
    <row r="444" spans="1:10">
      <c r="A444" s="3" t="s">
        <v>48</v>
      </c>
    </row>
    <row r="445" spans="1:10">
      <c r="A445" s="4" t="s">
        <v>14</v>
      </c>
      <c r="B445">
        <v>0.4</v>
      </c>
      <c r="C445">
        <v>0.7</v>
      </c>
      <c r="D445">
        <v>0.8</v>
      </c>
      <c r="E445">
        <v>0.6</v>
      </c>
      <c r="F445">
        <v>0.8</v>
      </c>
      <c r="G445">
        <v>0.6</v>
      </c>
      <c r="H445">
        <v>0.6</v>
      </c>
      <c r="I445">
        <v>0.7</v>
      </c>
      <c r="J445">
        <v>0.6</v>
      </c>
    </row>
    <row r="446" spans="1:10">
      <c r="A446" s="4" t="s">
        <v>6</v>
      </c>
      <c r="B446">
        <v>500</v>
      </c>
      <c r="C446">
        <v>525</v>
      </c>
      <c r="D446">
        <v>375</v>
      </c>
      <c r="E446">
        <v>525</v>
      </c>
      <c r="F446">
        <v>575</v>
      </c>
      <c r="G446">
        <v>525</v>
      </c>
      <c r="H446">
        <v>575</v>
      </c>
      <c r="I446">
        <v>600</v>
      </c>
      <c r="J446">
        <v>525</v>
      </c>
    </row>
    <row r="447" spans="1:10">
      <c r="A447" s="4" t="s">
        <v>12</v>
      </c>
      <c r="B447">
        <v>0.37</v>
      </c>
      <c r="C447">
        <v>0.37</v>
      </c>
      <c r="D447">
        <v>0.37</v>
      </c>
      <c r="E447">
        <v>0.37</v>
      </c>
      <c r="F447">
        <v>0.37</v>
      </c>
      <c r="G447">
        <v>0.37</v>
      </c>
      <c r="H447">
        <v>0.37</v>
      </c>
      <c r="I447">
        <v>0.37</v>
      </c>
      <c r="J447">
        <v>0.37</v>
      </c>
    </row>
    <row r="448" spans="1:10">
      <c r="A448" s="4" t="s">
        <v>10</v>
      </c>
      <c r="B448">
        <v>20</v>
      </c>
      <c r="C448">
        <v>20</v>
      </c>
      <c r="D448">
        <v>15</v>
      </c>
      <c r="E448">
        <v>20</v>
      </c>
      <c r="F448">
        <v>20</v>
      </c>
      <c r="G448">
        <v>20</v>
      </c>
      <c r="H448">
        <v>20</v>
      </c>
      <c r="I448">
        <v>25</v>
      </c>
      <c r="J448">
        <v>20</v>
      </c>
    </row>
    <row r="449" spans="1:10">
      <c r="A449" s="4" t="s">
        <v>164</v>
      </c>
      <c r="B449">
        <v>1.111</v>
      </c>
      <c r="C449">
        <v>1.111</v>
      </c>
      <c r="D449">
        <v>1.111</v>
      </c>
      <c r="E449">
        <v>1.111</v>
      </c>
      <c r="F449">
        <v>1.111</v>
      </c>
      <c r="G449">
        <v>1.111</v>
      </c>
      <c r="H449">
        <v>1.111</v>
      </c>
      <c r="I449">
        <v>1.111</v>
      </c>
      <c r="J449">
        <v>1.111</v>
      </c>
    </row>
    <row r="450" spans="1:10">
      <c r="A450" s="3" t="s">
        <v>49</v>
      </c>
    </row>
    <row r="451" spans="1:10">
      <c r="A451" s="4" t="s">
        <v>14</v>
      </c>
      <c r="B451">
        <v>0.5</v>
      </c>
      <c r="C451">
        <v>0.5</v>
      </c>
      <c r="D451">
        <v>0.6</v>
      </c>
      <c r="E451">
        <v>0.5</v>
      </c>
      <c r="F451">
        <v>0.6</v>
      </c>
      <c r="G451">
        <v>0.4</v>
      </c>
      <c r="H451">
        <v>0.7</v>
      </c>
      <c r="I451">
        <v>0.5</v>
      </c>
      <c r="J451">
        <v>0.5</v>
      </c>
    </row>
    <row r="452" spans="1:10">
      <c r="A452" s="4" t="s">
        <v>6</v>
      </c>
      <c r="B452">
        <v>2650</v>
      </c>
      <c r="C452">
        <v>2750</v>
      </c>
      <c r="D452">
        <v>2350</v>
      </c>
      <c r="E452">
        <v>2650</v>
      </c>
      <c r="F452">
        <v>3700</v>
      </c>
      <c r="G452">
        <v>3250</v>
      </c>
      <c r="H452">
        <v>3550</v>
      </c>
      <c r="I452">
        <v>3850</v>
      </c>
      <c r="J452">
        <v>2700</v>
      </c>
    </row>
    <row r="453" spans="1:10">
      <c r="A453" s="4" t="s">
        <v>12</v>
      </c>
      <c r="B453">
        <v>0.38500000000000001</v>
      </c>
      <c r="C453">
        <v>0.38500000000000001</v>
      </c>
      <c r="D453">
        <v>0.38500000000000001</v>
      </c>
      <c r="E453">
        <v>0.38500000000000001</v>
      </c>
      <c r="F453">
        <v>0.38500000000000001</v>
      </c>
      <c r="G453">
        <v>0.38500000000000001</v>
      </c>
      <c r="H453">
        <v>0.38500000000000001</v>
      </c>
      <c r="I453">
        <v>0.38500000000000001</v>
      </c>
      <c r="J453">
        <v>0.38500000000000001</v>
      </c>
    </row>
    <row r="454" spans="1:10">
      <c r="A454" s="4" t="s">
        <v>10</v>
      </c>
      <c r="B454">
        <v>100</v>
      </c>
      <c r="C454">
        <v>105</v>
      </c>
      <c r="D454">
        <v>90</v>
      </c>
      <c r="E454">
        <v>100</v>
      </c>
      <c r="F454">
        <v>140</v>
      </c>
      <c r="G454">
        <v>120</v>
      </c>
      <c r="H454">
        <v>130</v>
      </c>
      <c r="I454">
        <v>145</v>
      </c>
      <c r="J454">
        <v>100</v>
      </c>
    </row>
    <row r="455" spans="1:10">
      <c r="A455" s="4" t="s">
        <v>164</v>
      </c>
      <c r="B455">
        <v>1.667</v>
      </c>
      <c r="C455">
        <v>1.667</v>
      </c>
      <c r="D455">
        <v>1.667</v>
      </c>
      <c r="E455">
        <v>1.667</v>
      </c>
      <c r="F455">
        <v>1.667</v>
      </c>
      <c r="G455">
        <v>1.667</v>
      </c>
      <c r="H455">
        <v>1.667</v>
      </c>
      <c r="I455">
        <v>1.667</v>
      </c>
      <c r="J455">
        <v>1.667</v>
      </c>
    </row>
    <row r="456" spans="1:10">
      <c r="A456" s="3" t="s">
        <v>50</v>
      </c>
    </row>
    <row r="457" spans="1:10">
      <c r="A457" s="4" t="s">
        <v>14</v>
      </c>
      <c r="B457">
        <v>0.5</v>
      </c>
      <c r="C457">
        <v>0.4</v>
      </c>
      <c r="D457">
        <v>0.7</v>
      </c>
      <c r="E457">
        <v>0.6</v>
      </c>
      <c r="F457">
        <v>0.6</v>
      </c>
      <c r="G457">
        <v>0.5</v>
      </c>
      <c r="H457">
        <v>0.6</v>
      </c>
      <c r="I457">
        <v>0.5</v>
      </c>
      <c r="J457">
        <v>0.8</v>
      </c>
    </row>
    <row r="458" spans="1:10">
      <c r="A458" s="4" t="s">
        <v>6</v>
      </c>
      <c r="B458">
        <v>4350</v>
      </c>
      <c r="C458">
        <v>4050</v>
      </c>
      <c r="D458">
        <v>3650</v>
      </c>
      <c r="E458">
        <v>4200</v>
      </c>
      <c r="F458">
        <v>5100</v>
      </c>
      <c r="G458">
        <v>4600</v>
      </c>
      <c r="H458">
        <v>5100</v>
      </c>
      <c r="I458">
        <v>5150</v>
      </c>
      <c r="J458">
        <v>4500</v>
      </c>
    </row>
    <row r="459" spans="1:10">
      <c r="A459" s="4" t="s">
        <v>12</v>
      </c>
      <c r="B459">
        <v>0.3</v>
      </c>
      <c r="C459">
        <v>0.3</v>
      </c>
      <c r="D459">
        <v>0.3</v>
      </c>
      <c r="E459">
        <v>0.3</v>
      </c>
      <c r="F459">
        <v>0.3</v>
      </c>
      <c r="G459">
        <v>0.3</v>
      </c>
      <c r="H459">
        <v>0.3</v>
      </c>
      <c r="I459">
        <v>0.3</v>
      </c>
      <c r="J459">
        <v>0.3</v>
      </c>
    </row>
    <row r="460" spans="1:10">
      <c r="A460" s="4" t="s">
        <v>10</v>
      </c>
      <c r="B460">
        <v>150</v>
      </c>
      <c r="C460">
        <v>145</v>
      </c>
      <c r="D460">
        <v>125</v>
      </c>
      <c r="E460">
        <v>145</v>
      </c>
      <c r="F460">
        <v>175</v>
      </c>
      <c r="G460">
        <v>160</v>
      </c>
      <c r="H460">
        <v>180</v>
      </c>
      <c r="I460">
        <v>180</v>
      </c>
      <c r="J460">
        <v>160</v>
      </c>
    </row>
    <row r="461" spans="1:10">
      <c r="A461" s="4" t="s">
        <v>164</v>
      </c>
      <c r="B461">
        <v>2.3610000000000002</v>
      </c>
      <c r="C461">
        <v>2.3610000000000002</v>
      </c>
      <c r="D461">
        <v>2.3610000000000002</v>
      </c>
      <c r="E461">
        <v>2.3610000000000002</v>
      </c>
      <c r="F461">
        <v>2.3610000000000002</v>
      </c>
      <c r="G461">
        <v>2.3610000000000002</v>
      </c>
      <c r="H461">
        <v>2.3610000000000002</v>
      </c>
      <c r="I461">
        <v>2.3610000000000002</v>
      </c>
      <c r="J461">
        <v>2.3610000000000002</v>
      </c>
    </row>
    <row r="462" spans="1:10">
      <c r="A462" s="3" t="s">
        <v>51</v>
      </c>
    </row>
    <row r="463" spans="1:10">
      <c r="A463" s="4" t="s">
        <v>14</v>
      </c>
      <c r="B463">
        <v>0.42</v>
      </c>
      <c r="C463">
        <v>0.4</v>
      </c>
      <c r="D463">
        <v>0.4</v>
      </c>
      <c r="E463">
        <v>0.36</v>
      </c>
      <c r="H463">
        <v>0.42</v>
      </c>
      <c r="I463">
        <v>0.4</v>
      </c>
      <c r="J463">
        <v>0.42</v>
      </c>
    </row>
    <row r="464" spans="1:10">
      <c r="A464" s="4" t="s">
        <v>6</v>
      </c>
      <c r="B464">
        <v>3450</v>
      </c>
      <c r="C464">
        <v>3450</v>
      </c>
      <c r="D464">
        <v>3250</v>
      </c>
      <c r="E464">
        <v>3800</v>
      </c>
      <c r="H464">
        <v>3850</v>
      </c>
      <c r="I464">
        <v>4550</v>
      </c>
      <c r="J464">
        <v>3400</v>
      </c>
    </row>
    <row r="465" spans="1:10">
      <c r="A465" s="4" t="s">
        <v>12</v>
      </c>
      <c r="B465">
        <v>0.4</v>
      </c>
      <c r="C465">
        <v>0.4</v>
      </c>
      <c r="D465">
        <v>0.4</v>
      </c>
      <c r="E465">
        <v>0.4</v>
      </c>
      <c r="H465">
        <v>0.4</v>
      </c>
      <c r="I465">
        <v>0.4</v>
      </c>
      <c r="J465">
        <v>0.4</v>
      </c>
    </row>
    <row r="466" spans="1:10">
      <c r="A466" s="4" t="s">
        <v>10</v>
      </c>
      <c r="B466">
        <v>140</v>
      </c>
      <c r="C466">
        <v>140</v>
      </c>
      <c r="D466">
        <v>130</v>
      </c>
      <c r="E466">
        <v>150</v>
      </c>
      <c r="H466">
        <v>150</v>
      </c>
      <c r="I466">
        <v>180</v>
      </c>
      <c r="J466">
        <v>140</v>
      </c>
    </row>
    <row r="467" spans="1:10">
      <c r="A467" s="4" t="s">
        <v>164</v>
      </c>
      <c r="B467">
        <v>0.83299999999999996</v>
      </c>
      <c r="C467">
        <v>0.83299999999999996</v>
      </c>
      <c r="D467">
        <v>0.83299999999999996</v>
      </c>
      <c r="E467">
        <v>0.83299999999999996</v>
      </c>
      <c r="F467">
        <v>0.83299999999999996</v>
      </c>
      <c r="G467">
        <v>0.83299999999999996</v>
      </c>
      <c r="H467">
        <v>0.83299999999999996</v>
      </c>
      <c r="I467">
        <v>0.83299999999999996</v>
      </c>
      <c r="J467">
        <v>0.83299999999999996</v>
      </c>
    </row>
    <row r="468" spans="1:10">
      <c r="A468" s="3" t="s">
        <v>52</v>
      </c>
    </row>
    <row r="469" spans="1:10">
      <c r="A469" s="4" t="s">
        <v>14</v>
      </c>
      <c r="B469">
        <v>0.8</v>
      </c>
      <c r="D469">
        <v>0.5</v>
      </c>
      <c r="E469">
        <v>0.5</v>
      </c>
      <c r="F469">
        <v>0.6</v>
      </c>
      <c r="G469">
        <v>0.65</v>
      </c>
      <c r="H469">
        <v>0.85</v>
      </c>
      <c r="I469">
        <v>0.6</v>
      </c>
      <c r="J469">
        <v>0.8</v>
      </c>
    </row>
    <row r="470" spans="1:10">
      <c r="A470" s="4" t="s">
        <v>6</v>
      </c>
      <c r="B470">
        <v>2700</v>
      </c>
      <c r="D470">
        <v>2000</v>
      </c>
      <c r="E470">
        <v>3200</v>
      </c>
      <c r="F470">
        <v>2500</v>
      </c>
      <c r="G470">
        <v>1950</v>
      </c>
      <c r="H470">
        <v>2550</v>
      </c>
      <c r="I470">
        <v>1950</v>
      </c>
      <c r="J470">
        <v>2000</v>
      </c>
    </row>
    <row r="471" spans="1:10">
      <c r="A471" s="4" t="s">
        <v>12</v>
      </c>
      <c r="B471">
        <v>0.1</v>
      </c>
      <c r="D471">
        <v>0.1</v>
      </c>
      <c r="E471">
        <v>0.1</v>
      </c>
      <c r="F471">
        <v>0.1</v>
      </c>
      <c r="G471">
        <v>0.1</v>
      </c>
      <c r="H471">
        <v>0.1</v>
      </c>
      <c r="I471">
        <v>0.1</v>
      </c>
      <c r="J471">
        <v>0.1</v>
      </c>
    </row>
    <row r="472" spans="1:10">
      <c r="A472" s="4" t="s">
        <v>10</v>
      </c>
      <c r="B472">
        <v>55</v>
      </c>
      <c r="D472">
        <v>40</v>
      </c>
      <c r="E472">
        <v>65</v>
      </c>
      <c r="F472">
        <v>50</v>
      </c>
      <c r="G472">
        <v>40</v>
      </c>
      <c r="H472">
        <v>50</v>
      </c>
      <c r="I472">
        <v>40</v>
      </c>
      <c r="J472">
        <v>40</v>
      </c>
    </row>
    <row r="473" spans="1:10">
      <c r="A473" s="4" t="s">
        <v>164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 s="3" t="s">
        <v>53</v>
      </c>
    </row>
    <row r="475" spans="1:10">
      <c r="A475" s="4" t="s">
        <v>6</v>
      </c>
      <c r="B475">
        <v>1035.8</v>
      </c>
      <c r="C475">
        <v>1035.8</v>
      </c>
      <c r="D475">
        <v>1035.8</v>
      </c>
      <c r="E475">
        <v>1035.8</v>
      </c>
      <c r="F475">
        <v>1035.8</v>
      </c>
      <c r="G475">
        <v>1035.8</v>
      </c>
      <c r="H475">
        <v>1035.8</v>
      </c>
      <c r="I475">
        <v>1035.8</v>
      </c>
      <c r="J475">
        <v>1035.8</v>
      </c>
    </row>
    <row r="476" spans="1:10">
      <c r="A476" s="4" t="s">
        <v>10</v>
      </c>
      <c r="B476">
        <v>73.199999999999989</v>
      </c>
      <c r="C476">
        <v>73.199999999999989</v>
      </c>
      <c r="D476">
        <v>73.199999999999989</v>
      </c>
      <c r="E476">
        <v>73.199999999999989</v>
      </c>
      <c r="F476">
        <v>73.199999999999989</v>
      </c>
      <c r="G476">
        <v>73.199999999999989</v>
      </c>
      <c r="H476">
        <v>73.199999999999989</v>
      </c>
      <c r="I476">
        <v>73.199999999999989</v>
      </c>
      <c r="J476">
        <v>73.199999999999989</v>
      </c>
    </row>
    <row r="477" spans="1:10">
      <c r="A477" s="4" t="s">
        <v>16</v>
      </c>
      <c r="B477">
        <v>0.86</v>
      </c>
      <c r="C477">
        <v>0.86</v>
      </c>
      <c r="D477">
        <v>0.86</v>
      </c>
      <c r="E477">
        <v>0.86</v>
      </c>
      <c r="F477">
        <v>0.86</v>
      </c>
      <c r="G477">
        <v>0.86</v>
      </c>
      <c r="H477">
        <v>0.86</v>
      </c>
      <c r="I477">
        <v>0.86</v>
      </c>
      <c r="J477">
        <v>0.86</v>
      </c>
    </row>
    <row r="478" spans="1:10">
      <c r="A478" s="4" t="s">
        <v>164</v>
      </c>
      <c r="B478">
        <v>0.13900000000000001</v>
      </c>
      <c r="C478">
        <v>0.13900000000000001</v>
      </c>
      <c r="D478">
        <v>0.13900000000000001</v>
      </c>
      <c r="E478">
        <v>0.13900000000000001</v>
      </c>
      <c r="F478">
        <v>0.13900000000000001</v>
      </c>
      <c r="G478">
        <v>0.13900000000000001</v>
      </c>
      <c r="H478">
        <v>0.13900000000000001</v>
      </c>
      <c r="I478">
        <v>0.13900000000000001</v>
      </c>
      <c r="J478">
        <v>0.13900000000000001</v>
      </c>
    </row>
    <row r="479" spans="1:10">
      <c r="A479" s="3" t="s">
        <v>54</v>
      </c>
    </row>
    <row r="480" spans="1:10">
      <c r="A480" s="4" t="s">
        <v>6</v>
      </c>
      <c r="B480">
        <v>1687.7</v>
      </c>
      <c r="C480">
        <v>1687.7</v>
      </c>
      <c r="D480">
        <v>1687.7</v>
      </c>
      <c r="E480">
        <v>1687.7</v>
      </c>
      <c r="F480">
        <v>1687.7</v>
      </c>
      <c r="G480">
        <v>1687.7</v>
      </c>
      <c r="H480">
        <v>1687.7</v>
      </c>
      <c r="I480">
        <v>1687.7</v>
      </c>
      <c r="J480">
        <v>1687.7</v>
      </c>
    </row>
    <row r="481" spans="1:10">
      <c r="A481" s="4" t="s">
        <v>10</v>
      </c>
      <c r="B481">
        <v>129.30000000000001</v>
      </c>
      <c r="C481">
        <v>129.30000000000001</v>
      </c>
      <c r="D481">
        <v>129.30000000000001</v>
      </c>
      <c r="E481">
        <v>129.30000000000001</v>
      </c>
      <c r="F481">
        <v>129.30000000000001</v>
      </c>
      <c r="G481">
        <v>129.30000000000001</v>
      </c>
      <c r="H481">
        <v>129.30000000000001</v>
      </c>
      <c r="I481">
        <v>129.30000000000001</v>
      </c>
      <c r="J481">
        <v>129.30000000000001</v>
      </c>
    </row>
    <row r="482" spans="1:10">
      <c r="A482" s="4" t="s">
        <v>16</v>
      </c>
      <c r="B482">
        <v>0.86</v>
      </c>
      <c r="C482">
        <v>0.86</v>
      </c>
      <c r="D482">
        <v>0.86</v>
      </c>
      <c r="E482">
        <v>0.86</v>
      </c>
      <c r="F482">
        <v>0.86</v>
      </c>
      <c r="G482">
        <v>0.86</v>
      </c>
      <c r="H482">
        <v>0.86</v>
      </c>
      <c r="I482">
        <v>0.86</v>
      </c>
      <c r="J482">
        <v>0.86</v>
      </c>
    </row>
    <row r="483" spans="1:10">
      <c r="A483" s="4" t="s">
        <v>164</v>
      </c>
      <c r="B483">
        <v>0.13900000000000001</v>
      </c>
      <c r="C483">
        <v>0.13900000000000001</v>
      </c>
      <c r="D483">
        <v>0.13900000000000001</v>
      </c>
      <c r="E483">
        <v>0.13900000000000001</v>
      </c>
      <c r="F483">
        <v>0.13900000000000001</v>
      </c>
      <c r="G483">
        <v>0.13900000000000001</v>
      </c>
      <c r="H483">
        <v>0.13900000000000001</v>
      </c>
      <c r="I483">
        <v>0.13900000000000001</v>
      </c>
      <c r="J483">
        <v>0.13900000000000001</v>
      </c>
    </row>
    <row r="484" spans="1:10">
      <c r="A484" s="3" t="s">
        <v>55</v>
      </c>
    </row>
    <row r="485" spans="1:10">
      <c r="A485" s="4" t="s">
        <v>6</v>
      </c>
      <c r="B485">
        <v>4341.8999999999996</v>
      </c>
      <c r="C485">
        <v>4341.8999999999996</v>
      </c>
      <c r="D485">
        <v>2713.7</v>
      </c>
      <c r="E485">
        <v>3039.3</v>
      </c>
      <c r="F485">
        <v>4341.8999999999996</v>
      </c>
      <c r="G485">
        <v>4124.8</v>
      </c>
      <c r="H485">
        <v>4884.6000000000004</v>
      </c>
      <c r="I485">
        <v>4884.6000000000004</v>
      </c>
      <c r="J485">
        <v>3799.1</v>
      </c>
    </row>
    <row r="486" spans="1:10">
      <c r="A486" s="4" t="s">
        <v>10</v>
      </c>
      <c r="B486">
        <v>417.79999999999995</v>
      </c>
      <c r="C486">
        <v>417.79999999999995</v>
      </c>
      <c r="D486">
        <v>261.2</v>
      </c>
      <c r="E486">
        <v>292.39999999999998</v>
      </c>
      <c r="F486">
        <v>417.79999999999995</v>
      </c>
      <c r="G486">
        <v>396.8</v>
      </c>
      <c r="H486">
        <v>470</v>
      </c>
      <c r="I486">
        <v>470</v>
      </c>
      <c r="J486">
        <v>365.6</v>
      </c>
    </row>
    <row r="487" spans="1:10">
      <c r="A487" s="4" t="s">
        <v>164</v>
      </c>
      <c r="B487">
        <v>0.72199999999999998</v>
      </c>
      <c r="C487">
        <v>0.72199999999999998</v>
      </c>
      <c r="D487">
        <v>0.72199999999999998</v>
      </c>
      <c r="E487">
        <v>0.72199999999999998</v>
      </c>
      <c r="F487">
        <v>0.72199999999999998</v>
      </c>
      <c r="G487">
        <v>0.72199999999999998</v>
      </c>
      <c r="H487">
        <v>0.72199999999999998</v>
      </c>
      <c r="I487">
        <v>0.72199999999999998</v>
      </c>
      <c r="J487">
        <v>0.72199999999999998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39C4-FD5B-48B4-839E-092C726FB09F}">
  <dimension ref="A1:O5335"/>
  <sheetViews>
    <sheetView workbookViewId="0">
      <selection activeCell="A2" sqref="A2"/>
    </sheetView>
  </sheetViews>
  <sheetFormatPr defaultRowHeight="14.25"/>
  <cols>
    <col min="1" max="1" width="13.19921875" customWidth="1"/>
    <col min="2" max="2" width="13.265625" bestFit="1" customWidth="1"/>
    <col min="9" max="9" width="21.19921875" bestFit="1" customWidth="1"/>
    <col min="10" max="10" width="8.86328125" bestFit="1" customWidth="1"/>
    <col min="11" max="11" width="13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56</v>
      </c>
      <c r="J1" t="s">
        <v>58</v>
      </c>
      <c r="K1" t="s">
        <v>59</v>
      </c>
      <c r="M1" t="s">
        <v>57</v>
      </c>
      <c r="O1" s="22" t="s">
        <v>162</v>
      </c>
    </row>
    <row r="2" spans="1:15">
      <c r="A2" t="s">
        <v>29</v>
      </c>
      <c r="B2" t="s">
        <v>20</v>
      </c>
      <c r="C2">
        <v>2022</v>
      </c>
      <c r="D2" t="s">
        <v>6</v>
      </c>
      <c r="E2">
        <v>1000</v>
      </c>
      <c r="F2" t="s">
        <v>7</v>
      </c>
      <c r="I2" t="s">
        <v>29</v>
      </c>
      <c r="J2">
        <v>30</v>
      </c>
      <c r="K2">
        <v>3</v>
      </c>
      <c r="M2" t="s">
        <v>60</v>
      </c>
      <c r="O2" t="str" cm="1">
        <f t="array" ref="O2:O8">_xlfn.UNIQUE(_xlfn._xlws.FILTER(B:B,(A:A="en_coal_ccs")*(D:D="efficiency")))</f>
        <v>ieapg_european_union</v>
      </c>
    </row>
    <row r="3" spans="1:15">
      <c r="A3" t="s">
        <v>29</v>
      </c>
      <c r="B3" t="s">
        <v>20</v>
      </c>
      <c r="C3">
        <v>2022</v>
      </c>
      <c r="D3" t="s">
        <v>8</v>
      </c>
      <c r="E3">
        <v>1000</v>
      </c>
      <c r="F3" t="s">
        <v>7</v>
      </c>
      <c r="I3" t="s">
        <v>30</v>
      </c>
      <c r="J3">
        <v>30</v>
      </c>
      <c r="K3">
        <v>2</v>
      </c>
      <c r="M3" t="s">
        <v>61</v>
      </c>
      <c r="O3" t="str">
        <v>ieapg_united_states</v>
      </c>
    </row>
    <row r="4" spans="1:15">
      <c r="A4" t="s">
        <v>29</v>
      </c>
      <c r="B4" t="s">
        <v>20</v>
      </c>
      <c r="C4">
        <v>2022</v>
      </c>
      <c r="D4" t="s">
        <v>9</v>
      </c>
      <c r="E4">
        <v>1000</v>
      </c>
      <c r="F4" t="s">
        <v>7</v>
      </c>
      <c r="I4" t="s">
        <v>31</v>
      </c>
      <c r="J4">
        <v>25</v>
      </c>
      <c r="K4">
        <v>3</v>
      </c>
      <c r="M4" t="s">
        <v>62</v>
      </c>
      <c r="O4" t="str">
        <v>ieapg_japan</v>
      </c>
    </row>
    <row r="5" spans="1:15">
      <c r="A5" t="s">
        <v>29</v>
      </c>
      <c r="B5" t="s">
        <v>20</v>
      </c>
      <c r="C5">
        <v>2022</v>
      </c>
      <c r="D5" t="s">
        <v>10</v>
      </c>
      <c r="E5">
        <v>25</v>
      </c>
      <c r="F5" t="s">
        <v>11</v>
      </c>
      <c r="I5" t="s">
        <v>32</v>
      </c>
      <c r="J5">
        <v>20</v>
      </c>
      <c r="K5">
        <v>2</v>
      </c>
      <c r="M5" t="s">
        <v>63</v>
      </c>
      <c r="O5" t="str">
        <v>ieapg_russia</v>
      </c>
    </row>
    <row r="6" spans="1:15">
      <c r="A6" t="s">
        <v>29</v>
      </c>
      <c r="B6" t="s">
        <v>20</v>
      </c>
      <c r="C6">
        <v>2022</v>
      </c>
      <c r="D6" t="s">
        <v>12</v>
      </c>
      <c r="E6">
        <v>0.59</v>
      </c>
      <c r="F6" t="s">
        <v>13</v>
      </c>
      <c r="I6" t="s">
        <v>40</v>
      </c>
      <c r="J6">
        <v>30</v>
      </c>
      <c r="K6">
        <v>4</v>
      </c>
      <c r="M6" t="s">
        <v>64</v>
      </c>
      <c r="O6" t="str">
        <v>ieapg_china</v>
      </c>
    </row>
    <row r="7" spans="1:15">
      <c r="A7" t="s">
        <v>29</v>
      </c>
      <c r="B7" t="s">
        <v>20</v>
      </c>
      <c r="C7">
        <v>2022</v>
      </c>
      <c r="D7" t="s">
        <v>164</v>
      </c>
      <c r="E7">
        <v>0.60299999999999998</v>
      </c>
      <c r="F7" t="s">
        <v>166</v>
      </c>
      <c r="I7" t="s">
        <v>33</v>
      </c>
      <c r="J7">
        <v>40</v>
      </c>
      <c r="K7">
        <v>4</v>
      </c>
      <c r="M7" t="s">
        <v>65</v>
      </c>
      <c r="O7" t="str">
        <v>ieapg_india</v>
      </c>
    </row>
    <row r="8" spans="1:15">
      <c r="A8" t="s">
        <v>29</v>
      </c>
      <c r="B8" t="s">
        <v>20</v>
      </c>
      <c r="C8">
        <v>2030</v>
      </c>
      <c r="D8" t="s">
        <v>6</v>
      </c>
      <c r="E8">
        <v>1000</v>
      </c>
      <c r="F8" t="s">
        <v>7</v>
      </c>
      <c r="I8" t="s">
        <v>34</v>
      </c>
      <c r="J8">
        <v>40</v>
      </c>
      <c r="K8">
        <v>4</v>
      </c>
      <c r="M8" t="s">
        <v>66</v>
      </c>
      <c r="O8" t="str">
        <v>ieapg_africa</v>
      </c>
    </row>
    <row r="9" spans="1:15">
      <c r="A9" t="s">
        <v>29</v>
      </c>
      <c r="B9" t="s">
        <v>20</v>
      </c>
      <c r="C9">
        <v>2030</v>
      </c>
      <c r="D9" t="s">
        <v>8</v>
      </c>
      <c r="E9">
        <v>1015.8</v>
      </c>
      <c r="F9" t="s">
        <v>7</v>
      </c>
      <c r="I9" t="s">
        <v>35</v>
      </c>
      <c r="J9">
        <v>40</v>
      </c>
      <c r="K9">
        <v>4</v>
      </c>
      <c r="M9" t="s">
        <v>67</v>
      </c>
    </row>
    <row r="10" spans="1:15">
      <c r="A10" t="s">
        <v>29</v>
      </c>
      <c r="B10" t="s">
        <v>20</v>
      </c>
      <c r="C10">
        <v>2030</v>
      </c>
      <c r="D10" t="s">
        <v>9</v>
      </c>
      <c r="E10">
        <v>984.2</v>
      </c>
      <c r="F10" t="s">
        <v>7</v>
      </c>
      <c r="I10" t="s">
        <v>36</v>
      </c>
      <c r="J10">
        <v>40</v>
      </c>
      <c r="K10">
        <v>4</v>
      </c>
      <c r="M10" t="s">
        <v>68</v>
      </c>
    </row>
    <row r="11" spans="1:15">
      <c r="A11" t="s">
        <v>29</v>
      </c>
      <c r="B11" t="s">
        <v>20</v>
      </c>
      <c r="C11">
        <v>2030</v>
      </c>
      <c r="D11" t="s">
        <v>10</v>
      </c>
      <c r="E11">
        <v>25</v>
      </c>
      <c r="F11" t="s">
        <v>11</v>
      </c>
      <c r="I11" t="s">
        <v>37</v>
      </c>
      <c r="J11">
        <v>40</v>
      </c>
      <c r="K11">
        <v>5</v>
      </c>
      <c r="M11" t="s">
        <v>69</v>
      </c>
    </row>
    <row r="12" spans="1:15">
      <c r="A12" t="s">
        <v>29</v>
      </c>
      <c r="B12" t="s">
        <v>20</v>
      </c>
      <c r="C12">
        <v>2030</v>
      </c>
      <c r="D12" t="s">
        <v>12</v>
      </c>
      <c r="E12">
        <v>0.6</v>
      </c>
      <c r="F12" t="s">
        <v>13</v>
      </c>
      <c r="I12" t="s">
        <v>38</v>
      </c>
      <c r="J12">
        <v>40</v>
      </c>
      <c r="K12">
        <v>5</v>
      </c>
      <c r="M12" t="s">
        <v>70</v>
      </c>
    </row>
    <row r="13" spans="1:15">
      <c r="A13" t="s">
        <v>29</v>
      </c>
      <c r="B13" t="s">
        <v>20</v>
      </c>
      <c r="C13">
        <v>2030</v>
      </c>
      <c r="D13" t="s">
        <v>164</v>
      </c>
      <c r="E13">
        <v>0.56699999999999995</v>
      </c>
      <c r="F13" t="s">
        <v>166</v>
      </c>
      <c r="I13" t="s">
        <v>39</v>
      </c>
      <c r="J13">
        <v>40</v>
      </c>
      <c r="K13">
        <v>5</v>
      </c>
      <c r="M13" t="s">
        <v>71</v>
      </c>
    </row>
    <row r="14" spans="1:15">
      <c r="A14" t="s">
        <v>29</v>
      </c>
      <c r="B14" t="s">
        <v>20</v>
      </c>
      <c r="C14">
        <v>2050</v>
      </c>
      <c r="D14" t="s">
        <v>6</v>
      </c>
      <c r="E14">
        <v>1000</v>
      </c>
      <c r="F14" t="s">
        <v>7</v>
      </c>
      <c r="I14" t="s">
        <v>41</v>
      </c>
      <c r="J14">
        <v>60</v>
      </c>
      <c r="K14">
        <v>7</v>
      </c>
      <c r="M14" t="s">
        <v>72</v>
      </c>
    </row>
    <row r="15" spans="1:15">
      <c r="A15" t="s">
        <v>29</v>
      </c>
      <c r="B15" t="s">
        <v>20</v>
      </c>
      <c r="C15">
        <v>2050</v>
      </c>
      <c r="D15" t="s">
        <v>8</v>
      </c>
      <c r="E15">
        <v>1041.9000000000001</v>
      </c>
      <c r="F15" t="s">
        <v>7</v>
      </c>
      <c r="I15" t="s">
        <v>55</v>
      </c>
      <c r="J15">
        <v>40</v>
      </c>
      <c r="K15">
        <v>3</v>
      </c>
      <c r="M15" t="s">
        <v>73</v>
      </c>
    </row>
    <row r="16" spans="1:15">
      <c r="A16" t="s">
        <v>29</v>
      </c>
      <c r="B16" t="s">
        <v>20</v>
      </c>
      <c r="C16">
        <v>2050</v>
      </c>
      <c r="D16" t="s">
        <v>9</v>
      </c>
      <c r="E16">
        <v>958.2</v>
      </c>
      <c r="F16" t="s">
        <v>7</v>
      </c>
      <c r="I16" t="s">
        <v>42</v>
      </c>
      <c r="J16">
        <v>30</v>
      </c>
      <c r="K16">
        <v>1.5</v>
      </c>
      <c r="M16" t="s">
        <v>74</v>
      </c>
    </row>
    <row r="17" spans="1:13">
      <c r="A17" t="s">
        <v>29</v>
      </c>
      <c r="B17" t="s">
        <v>20</v>
      </c>
      <c r="C17">
        <v>2050</v>
      </c>
      <c r="D17" t="s">
        <v>10</v>
      </c>
      <c r="E17">
        <v>25</v>
      </c>
      <c r="F17" t="s">
        <v>11</v>
      </c>
      <c r="I17" t="s">
        <v>51</v>
      </c>
      <c r="J17">
        <v>30</v>
      </c>
      <c r="K17">
        <v>3</v>
      </c>
      <c r="M17" t="s">
        <v>75</v>
      </c>
    </row>
    <row r="18" spans="1:13">
      <c r="A18" t="s">
        <v>29</v>
      </c>
      <c r="B18" t="s">
        <v>20</v>
      </c>
      <c r="C18">
        <v>2050</v>
      </c>
      <c r="D18" t="s">
        <v>12</v>
      </c>
      <c r="E18">
        <v>0.61</v>
      </c>
      <c r="F18" t="s">
        <v>13</v>
      </c>
      <c r="I18" t="s">
        <v>43</v>
      </c>
      <c r="J18">
        <v>30</v>
      </c>
      <c r="K18">
        <v>1.5</v>
      </c>
      <c r="M18" t="s">
        <v>76</v>
      </c>
    </row>
    <row r="19" spans="1:13">
      <c r="A19" t="s">
        <v>29</v>
      </c>
      <c r="B19" t="s">
        <v>20</v>
      </c>
      <c r="C19">
        <v>2050</v>
      </c>
      <c r="D19" t="s">
        <v>164</v>
      </c>
      <c r="E19">
        <v>0.497</v>
      </c>
      <c r="F19" t="s">
        <v>166</v>
      </c>
      <c r="I19" t="s">
        <v>44</v>
      </c>
      <c r="J19">
        <v>30</v>
      </c>
      <c r="K19">
        <v>3</v>
      </c>
      <c r="M19" t="s">
        <v>77</v>
      </c>
    </row>
    <row r="20" spans="1:13">
      <c r="A20" t="s">
        <v>29</v>
      </c>
      <c r="B20" t="s">
        <v>21</v>
      </c>
      <c r="C20">
        <v>2022</v>
      </c>
      <c r="D20" t="s">
        <v>6</v>
      </c>
      <c r="E20">
        <v>1000</v>
      </c>
      <c r="F20" t="s">
        <v>7</v>
      </c>
      <c r="I20" t="s">
        <v>45</v>
      </c>
      <c r="J20">
        <v>100</v>
      </c>
      <c r="K20">
        <v>4</v>
      </c>
      <c r="M20" t="s">
        <v>78</v>
      </c>
    </row>
    <row r="21" spans="1:13">
      <c r="A21" t="s">
        <v>29</v>
      </c>
      <c r="B21" t="s">
        <v>21</v>
      </c>
      <c r="C21">
        <v>2022</v>
      </c>
      <c r="D21" t="s">
        <v>8</v>
      </c>
      <c r="E21">
        <v>1000</v>
      </c>
      <c r="F21" t="s">
        <v>7</v>
      </c>
      <c r="I21" t="s">
        <v>46</v>
      </c>
      <c r="J21">
        <v>60</v>
      </c>
      <c r="K21">
        <v>4</v>
      </c>
      <c r="M21" t="s">
        <v>79</v>
      </c>
    </row>
    <row r="22" spans="1:13">
      <c r="A22" t="s">
        <v>29</v>
      </c>
      <c r="B22" t="s">
        <v>21</v>
      </c>
      <c r="C22">
        <v>2022</v>
      </c>
      <c r="D22" t="s">
        <v>9</v>
      </c>
      <c r="E22">
        <v>1000</v>
      </c>
      <c r="F22" t="s">
        <v>7</v>
      </c>
      <c r="I22" t="s">
        <v>47</v>
      </c>
      <c r="J22">
        <v>45</v>
      </c>
      <c r="K22">
        <v>3</v>
      </c>
      <c r="M22" t="s">
        <v>80</v>
      </c>
    </row>
    <row r="23" spans="1:13">
      <c r="A23" t="s">
        <v>29</v>
      </c>
      <c r="B23" t="s">
        <v>21</v>
      </c>
      <c r="C23">
        <v>2022</v>
      </c>
      <c r="D23" t="s">
        <v>10</v>
      </c>
      <c r="E23">
        <v>25</v>
      </c>
      <c r="F23" t="s">
        <v>11</v>
      </c>
      <c r="I23" t="s">
        <v>48</v>
      </c>
      <c r="J23">
        <v>40</v>
      </c>
      <c r="K23">
        <v>2</v>
      </c>
      <c r="M23" t="s">
        <v>81</v>
      </c>
    </row>
    <row r="24" spans="1:13">
      <c r="A24" t="s">
        <v>29</v>
      </c>
      <c r="B24" t="s">
        <v>21</v>
      </c>
      <c r="C24">
        <v>2022</v>
      </c>
      <c r="D24" t="s">
        <v>12</v>
      </c>
      <c r="E24">
        <v>0.59</v>
      </c>
      <c r="F24" t="s">
        <v>13</v>
      </c>
      <c r="I24" t="s">
        <v>49</v>
      </c>
      <c r="J24">
        <v>25</v>
      </c>
      <c r="K24">
        <v>2</v>
      </c>
      <c r="M24" t="s">
        <v>82</v>
      </c>
    </row>
    <row r="25" spans="1:13">
      <c r="A25" t="s">
        <v>29</v>
      </c>
      <c r="B25" t="s">
        <v>21</v>
      </c>
      <c r="C25">
        <v>2022</v>
      </c>
      <c r="D25" t="s">
        <v>164</v>
      </c>
      <c r="E25">
        <v>0.60299999999999998</v>
      </c>
      <c r="F25" t="s">
        <v>166</v>
      </c>
      <c r="I25" t="s">
        <v>50</v>
      </c>
      <c r="J25">
        <v>30</v>
      </c>
      <c r="K25">
        <v>3</v>
      </c>
      <c r="M25" t="s">
        <v>83</v>
      </c>
    </row>
    <row r="26" spans="1:13">
      <c r="A26" t="s">
        <v>29</v>
      </c>
      <c r="B26" t="s">
        <v>21</v>
      </c>
      <c r="C26">
        <v>2030</v>
      </c>
      <c r="D26" t="s">
        <v>6</v>
      </c>
      <c r="E26">
        <v>1000</v>
      </c>
      <c r="F26" t="s">
        <v>7</v>
      </c>
      <c r="I26" t="s">
        <v>52</v>
      </c>
      <c r="J26">
        <v>30</v>
      </c>
      <c r="K26">
        <v>4</v>
      </c>
      <c r="M26" t="s">
        <v>84</v>
      </c>
    </row>
    <row r="27" spans="1:13">
      <c r="A27" t="s">
        <v>29</v>
      </c>
      <c r="B27" t="s">
        <v>21</v>
      </c>
      <c r="C27">
        <v>2030</v>
      </c>
      <c r="D27" t="s">
        <v>8</v>
      </c>
      <c r="E27">
        <v>1015.8</v>
      </c>
      <c r="F27" t="s">
        <v>7</v>
      </c>
      <c r="I27" t="s">
        <v>53</v>
      </c>
      <c r="J27">
        <v>20</v>
      </c>
      <c r="K27">
        <v>1</v>
      </c>
      <c r="M27" t="s">
        <v>85</v>
      </c>
    </row>
    <row r="28" spans="1:13">
      <c r="A28" t="s">
        <v>29</v>
      </c>
      <c r="B28" t="s">
        <v>21</v>
      </c>
      <c r="C28">
        <v>2030</v>
      </c>
      <c r="D28" t="s">
        <v>9</v>
      </c>
      <c r="E28">
        <v>984.2</v>
      </c>
      <c r="F28" t="s">
        <v>7</v>
      </c>
      <c r="I28" t="s">
        <v>54</v>
      </c>
      <c r="J28">
        <v>20</v>
      </c>
      <c r="K28">
        <v>1</v>
      </c>
      <c r="M28" t="s">
        <v>86</v>
      </c>
    </row>
    <row r="29" spans="1:13">
      <c r="A29" t="s">
        <v>29</v>
      </c>
      <c r="B29" t="s">
        <v>21</v>
      </c>
      <c r="C29">
        <v>2030</v>
      </c>
      <c r="D29" t="s">
        <v>10</v>
      </c>
      <c r="E29">
        <v>25</v>
      </c>
      <c r="F29" t="s">
        <v>11</v>
      </c>
    </row>
    <row r="30" spans="1:13">
      <c r="A30" t="s">
        <v>29</v>
      </c>
      <c r="B30" t="s">
        <v>21</v>
      </c>
      <c r="C30">
        <v>2030</v>
      </c>
      <c r="D30" t="s">
        <v>12</v>
      </c>
      <c r="E30">
        <v>0.6</v>
      </c>
      <c r="F30" t="s">
        <v>13</v>
      </c>
    </row>
    <row r="31" spans="1:13">
      <c r="A31" t="s">
        <v>29</v>
      </c>
      <c r="B31" t="s">
        <v>21</v>
      </c>
      <c r="C31">
        <v>2030</v>
      </c>
      <c r="D31" t="s">
        <v>164</v>
      </c>
      <c r="E31">
        <v>0.56699999999999995</v>
      </c>
      <c r="F31" t="s">
        <v>166</v>
      </c>
      <c r="I31" s="9" t="s">
        <v>6</v>
      </c>
      <c r="J31" s="9" t="s">
        <v>89</v>
      </c>
    </row>
    <row r="32" spans="1:13">
      <c r="A32" t="s">
        <v>29</v>
      </c>
      <c r="B32" t="s">
        <v>21</v>
      </c>
      <c r="C32">
        <v>2050</v>
      </c>
      <c r="D32" t="s">
        <v>6</v>
      </c>
      <c r="E32">
        <v>1000</v>
      </c>
      <c r="F32" t="s">
        <v>7</v>
      </c>
      <c r="I32" s="9" t="s">
        <v>8</v>
      </c>
      <c r="J32" s="9" t="s">
        <v>89</v>
      </c>
    </row>
    <row r="33" spans="1:10">
      <c r="A33" t="s">
        <v>29</v>
      </c>
      <c r="B33" t="s">
        <v>21</v>
      </c>
      <c r="C33">
        <v>2050</v>
      </c>
      <c r="D33" t="s">
        <v>8</v>
      </c>
      <c r="E33">
        <v>1041.9000000000001</v>
      </c>
      <c r="F33" t="s">
        <v>7</v>
      </c>
      <c r="I33" s="9" t="s">
        <v>9</v>
      </c>
      <c r="J33" s="9" t="s">
        <v>89</v>
      </c>
    </row>
    <row r="34" spans="1:10">
      <c r="A34" t="s">
        <v>29</v>
      </c>
      <c r="B34" t="s">
        <v>21</v>
      </c>
      <c r="C34">
        <v>2050</v>
      </c>
      <c r="D34" t="s">
        <v>9</v>
      </c>
      <c r="E34">
        <v>958.2</v>
      </c>
      <c r="F34" t="s">
        <v>7</v>
      </c>
      <c r="I34" s="9" t="s">
        <v>10</v>
      </c>
      <c r="J34" s="9" t="s">
        <v>90</v>
      </c>
    </row>
    <row r="35" spans="1:10">
      <c r="A35" t="s">
        <v>29</v>
      </c>
      <c r="B35" t="s">
        <v>21</v>
      </c>
      <c r="C35">
        <v>2050</v>
      </c>
      <c r="D35" t="s">
        <v>10</v>
      </c>
      <c r="E35">
        <v>25</v>
      </c>
      <c r="F35" t="s">
        <v>11</v>
      </c>
      <c r="I35" s="9" t="s">
        <v>164</v>
      </c>
      <c r="J35" s="9" t="s">
        <v>165</v>
      </c>
    </row>
    <row r="36" spans="1:10">
      <c r="A36" t="s">
        <v>29</v>
      </c>
      <c r="B36" t="s">
        <v>21</v>
      </c>
      <c r="C36">
        <v>2050</v>
      </c>
      <c r="D36" t="s">
        <v>12</v>
      </c>
      <c r="E36">
        <v>0.61</v>
      </c>
      <c r="F36" t="s">
        <v>13</v>
      </c>
      <c r="I36" s="9" t="s">
        <v>12</v>
      </c>
      <c r="J36" s="9" t="str">
        <f>I36</f>
        <v>efficiency</v>
      </c>
    </row>
    <row r="37" spans="1:10">
      <c r="A37" t="s">
        <v>29</v>
      </c>
      <c r="B37" t="s">
        <v>21</v>
      </c>
      <c r="C37">
        <v>2050</v>
      </c>
      <c r="D37" t="s">
        <v>164</v>
      </c>
      <c r="E37">
        <v>0.497</v>
      </c>
      <c r="F37" t="s">
        <v>166</v>
      </c>
      <c r="I37" s="9" t="s">
        <v>14</v>
      </c>
      <c r="J37" s="23" t="s">
        <v>161</v>
      </c>
    </row>
    <row r="38" spans="1:10">
      <c r="A38" t="s">
        <v>29</v>
      </c>
      <c r="B38" t="s">
        <v>22</v>
      </c>
      <c r="C38">
        <v>2022</v>
      </c>
      <c r="D38" t="s">
        <v>6</v>
      </c>
      <c r="E38">
        <v>1100</v>
      </c>
      <c r="F38" t="s">
        <v>7</v>
      </c>
      <c r="I38" s="9" t="s">
        <v>16</v>
      </c>
      <c r="J38" s="9" t="s">
        <v>91</v>
      </c>
    </row>
    <row r="39" spans="1:10">
      <c r="A39" t="s">
        <v>29</v>
      </c>
      <c r="B39" t="s">
        <v>22</v>
      </c>
      <c r="C39">
        <v>2022</v>
      </c>
      <c r="D39" t="s">
        <v>8</v>
      </c>
      <c r="E39">
        <v>1100</v>
      </c>
      <c r="F39" t="s">
        <v>7</v>
      </c>
    </row>
    <row r="40" spans="1:10">
      <c r="A40" t="s">
        <v>29</v>
      </c>
      <c r="B40" t="s">
        <v>22</v>
      </c>
      <c r="C40">
        <v>2022</v>
      </c>
      <c r="D40" t="s">
        <v>9</v>
      </c>
      <c r="E40">
        <v>1100</v>
      </c>
      <c r="F40" t="s">
        <v>7</v>
      </c>
    </row>
    <row r="41" spans="1:10">
      <c r="A41" t="s">
        <v>29</v>
      </c>
      <c r="B41" t="s">
        <v>22</v>
      </c>
      <c r="C41">
        <v>2022</v>
      </c>
      <c r="D41" t="s">
        <v>10</v>
      </c>
      <c r="E41">
        <v>30</v>
      </c>
      <c r="F41" t="s">
        <v>11</v>
      </c>
      <c r="I41" s="9" t="s">
        <v>29</v>
      </c>
      <c r="J41" s="9" t="str">
        <f>I41</f>
        <v>en_gas_ccgt</v>
      </c>
    </row>
    <row r="42" spans="1:10">
      <c r="A42" t="s">
        <v>29</v>
      </c>
      <c r="B42" t="s">
        <v>22</v>
      </c>
      <c r="C42">
        <v>2022</v>
      </c>
      <c r="D42" t="s">
        <v>12</v>
      </c>
      <c r="E42">
        <v>0.59</v>
      </c>
      <c r="F42" t="s">
        <v>13</v>
      </c>
      <c r="I42" s="9" t="s">
        <v>30</v>
      </c>
      <c r="J42" s="9" t="str">
        <f t="shared" ref="J42:J67" si="0">I42</f>
        <v>en_gas_turbine</v>
      </c>
    </row>
    <row r="43" spans="1:10">
      <c r="A43" t="s">
        <v>29</v>
      </c>
      <c r="B43" t="s">
        <v>22</v>
      </c>
      <c r="C43">
        <v>2022</v>
      </c>
      <c r="D43" t="s">
        <v>164</v>
      </c>
      <c r="E43">
        <v>0.60299999999999998</v>
      </c>
      <c r="F43" t="s">
        <v>166</v>
      </c>
      <c r="I43" s="9" t="s">
        <v>31</v>
      </c>
      <c r="J43" s="9" t="str">
        <f t="shared" si="0"/>
        <v>en_gas_chp</v>
      </c>
    </row>
    <row r="44" spans="1:10">
      <c r="A44" t="s">
        <v>29</v>
      </c>
      <c r="B44" t="s">
        <v>22</v>
      </c>
      <c r="C44">
        <v>2030</v>
      </c>
      <c r="D44" t="s">
        <v>6</v>
      </c>
      <c r="E44">
        <v>1100</v>
      </c>
      <c r="F44" t="s">
        <v>7</v>
      </c>
      <c r="I44" s="9" t="s">
        <v>32</v>
      </c>
      <c r="J44" s="9" t="s">
        <v>94</v>
      </c>
    </row>
    <row r="45" spans="1:10">
      <c r="A45" t="s">
        <v>29</v>
      </c>
      <c r="B45" t="s">
        <v>22</v>
      </c>
      <c r="C45">
        <v>2030</v>
      </c>
      <c r="D45" t="s">
        <v>8</v>
      </c>
      <c r="E45">
        <v>1117.4000000000001</v>
      </c>
      <c r="F45" t="s">
        <v>7</v>
      </c>
      <c r="I45" s="9" t="s">
        <v>40</v>
      </c>
      <c r="J45" s="9" t="str">
        <f t="shared" si="0"/>
        <v>en_gas_ccs</v>
      </c>
    </row>
    <row r="46" spans="1:10">
      <c r="A46" t="s">
        <v>29</v>
      </c>
      <c r="B46" t="s">
        <v>22</v>
      </c>
      <c r="C46">
        <v>2030</v>
      </c>
      <c r="D46" t="s">
        <v>9</v>
      </c>
      <c r="E46">
        <v>1082.5999999999999</v>
      </c>
      <c r="F46" t="s">
        <v>7</v>
      </c>
      <c r="I46" s="9" t="s">
        <v>33</v>
      </c>
      <c r="J46" s="9" t="str">
        <f t="shared" si="0"/>
        <v>en_coal_subcritical</v>
      </c>
    </row>
    <row r="47" spans="1:10">
      <c r="A47" t="s">
        <v>29</v>
      </c>
      <c r="B47" t="s">
        <v>22</v>
      </c>
      <c r="C47">
        <v>2030</v>
      </c>
      <c r="D47" t="s">
        <v>10</v>
      </c>
      <c r="E47">
        <v>30</v>
      </c>
      <c r="F47" t="s">
        <v>11</v>
      </c>
      <c r="I47" s="9" t="s">
        <v>34</v>
      </c>
      <c r="J47" s="9" t="str">
        <f t="shared" si="0"/>
        <v>en_coal_supercritical</v>
      </c>
    </row>
    <row r="48" spans="1:10">
      <c r="A48" t="s">
        <v>29</v>
      </c>
      <c r="B48" t="s">
        <v>22</v>
      </c>
      <c r="C48">
        <v>2030</v>
      </c>
      <c r="D48" t="s">
        <v>12</v>
      </c>
      <c r="E48">
        <v>0.6</v>
      </c>
      <c r="F48" t="s">
        <v>13</v>
      </c>
      <c r="I48" s="9" t="s">
        <v>35</v>
      </c>
      <c r="J48" s="9" t="str">
        <f t="shared" si="0"/>
        <v>en_coal_ultrasupercritical</v>
      </c>
    </row>
    <row r="49" spans="1:10">
      <c r="A49" t="s">
        <v>29</v>
      </c>
      <c r="B49" t="s">
        <v>22</v>
      </c>
      <c r="C49">
        <v>2030</v>
      </c>
      <c r="D49" t="s">
        <v>164</v>
      </c>
      <c r="E49">
        <v>0.56699999999999995</v>
      </c>
      <c r="F49" t="s">
        <v>166</v>
      </c>
      <c r="I49" s="9" t="s">
        <v>36</v>
      </c>
      <c r="J49" s="9" t="str">
        <f t="shared" si="0"/>
        <v>en_coal_igcc</v>
      </c>
    </row>
    <row r="50" spans="1:10">
      <c r="A50" t="s">
        <v>29</v>
      </c>
      <c r="B50" t="s">
        <v>22</v>
      </c>
      <c r="C50">
        <v>2050</v>
      </c>
      <c r="D50" t="s">
        <v>6</v>
      </c>
      <c r="E50">
        <v>1100</v>
      </c>
      <c r="F50" t="s">
        <v>7</v>
      </c>
      <c r="I50" s="9" t="s">
        <v>37</v>
      </c>
      <c r="J50" s="9" t="str">
        <f t="shared" si="0"/>
        <v>en_coal_ccs</v>
      </c>
    </row>
    <row r="51" spans="1:10">
      <c r="A51" t="s">
        <v>29</v>
      </c>
      <c r="B51" t="s">
        <v>22</v>
      </c>
      <c r="C51">
        <v>2050</v>
      </c>
      <c r="D51" t="s">
        <v>8</v>
      </c>
      <c r="E51">
        <v>1146.0999999999999</v>
      </c>
      <c r="F51" t="s">
        <v>7</v>
      </c>
      <c r="I51" s="9" t="s">
        <v>38</v>
      </c>
      <c r="J51" s="9" t="s">
        <v>94</v>
      </c>
    </row>
    <row r="52" spans="1:10">
      <c r="A52" t="s">
        <v>29</v>
      </c>
      <c r="B52" t="s">
        <v>22</v>
      </c>
      <c r="C52">
        <v>2050</v>
      </c>
      <c r="D52" t="s">
        <v>9</v>
      </c>
      <c r="E52">
        <v>1054</v>
      </c>
      <c r="F52" t="s">
        <v>7</v>
      </c>
      <c r="I52" s="9" t="s">
        <v>39</v>
      </c>
      <c r="J52" s="9" t="str">
        <f t="shared" si="0"/>
        <v>en_coal_igcc_ccs</v>
      </c>
    </row>
    <row r="53" spans="1:10">
      <c r="A53" t="s">
        <v>29</v>
      </c>
      <c r="B53" t="s">
        <v>22</v>
      </c>
      <c r="C53">
        <v>2050</v>
      </c>
      <c r="D53" t="s">
        <v>10</v>
      </c>
      <c r="E53">
        <v>30</v>
      </c>
      <c r="F53" t="s">
        <v>11</v>
      </c>
      <c r="I53" s="9" t="s">
        <v>41</v>
      </c>
      <c r="J53" s="9" t="str">
        <f t="shared" si="0"/>
        <v>en_nuclear</v>
      </c>
    </row>
    <row r="54" spans="1:10">
      <c r="A54" t="s">
        <v>29</v>
      </c>
      <c r="B54" t="s">
        <v>22</v>
      </c>
      <c r="C54">
        <v>2050</v>
      </c>
      <c r="D54" t="s">
        <v>12</v>
      </c>
      <c r="E54">
        <v>0.61</v>
      </c>
      <c r="F54" t="s">
        <v>13</v>
      </c>
      <c r="I54" s="9" t="s">
        <v>55</v>
      </c>
      <c r="J54" s="9" t="str">
        <f t="shared" si="0"/>
        <v>en_nuclear_smr</v>
      </c>
    </row>
    <row r="55" spans="1:10">
      <c r="A55" t="s">
        <v>29</v>
      </c>
      <c r="B55" t="s">
        <v>22</v>
      </c>
      <c r="C55">
        <v>2050</v>
      </c>
      <c r="D55" t="s">
        <v>164</v>
      </c>
      <c r="E55">
        <v>0.497</v>
      </c>
      <c r="F55" t="s">
        <v>166</v>
      </c>
      <c r="I55" s="9" t="s">
        <v>42</v>
      </c>
      <c r="J55" s="9" t="s">
        <v>94</v>
      </c>
    </row>
    <row r="56" spans="1:10">
      <c r="A56" t="s">
        <v>29</v>
      </c>
      <c r="B56" t="s">
        <v>23</v>
      </c>
      <c r="C56">
        <v>2022</v>
      </c>
      <c r="D56" t="s">
        <v>6</v>
      </c>
      <c r="E56">
        <v>800</v>
      </c>
      <c r="F56" t="s">
        <v>7</v>
      </c>
      <c r="I56" s="9" t="s">
        <v>51</v>
      </c>
      <c r="J56" s="9" t="s">
        <v>94</v>
      </c>
    </row>
    <row r="57" spans="1:10">
      <c r="A57" t="s">
        <v>29</v>
      </c>
      <c r="B57" t="s">
        <v>23</v>
      </c>
      <c r="C57">
        <v>2022</v>
      </c>
      <c r="D57" t="s">
        <v>8</v>
      </c>
      <c r="E57">
        <v>800</v>
      </c>
      <c r="F57" t="s">
        <v>7</v>
      </c>
      <c r="I57" s="9" t="s">
        <v>43</v>
      </c>
      <c r="J57" s="9" t="s">
        <v>94</v>
      </c>
    </row>
    <row r="58" spans="1:10">
      <c r="A58" t="s">
        <v>29</v>
      </c>
      <c r="B58" t="s">
        <v>23</v>
      </c>
      <c r="C58">
        <v>2022</v>
      </c>
      <c r="D58" t="s">
        <v>9</v>
      </c>
      <c r="E58">
        <v>800</v>
      </c>
      <c r="F58" t="s">
        <v>7</v>
      </c>
      <c r="I58" s="9" t="s">
        <v>44</v>
      </c>
      <c r="J58" s="9" t="s">
        <v>94</v>
      </c>
    </row>
    <row r="59" spans="1:10">
      <c r="A59" t="s">
        <v>29</v>
      </c>
      <c r="B59" t="s">
        <v>23</v>
      </c>
      <c r="C59">
        <v>2022</v>
      </c>
      <c r="D59" t="s">
        <v>10</v>
      </c>
      <c r="E59">
        <v>30</v>
      </c>
      <c r="F59" t="s">
        <v>11</v>
      </c>
      <c r="I59" s="9" t="s">
        <v>45</v>
      </c>
      <c r="J59" s="9" t="s">
        <v>94</v>
      </c>
    </row>
    <row r="60" spans="1:10">
      <c r="A60" t="s">
        <v>29</v>
      </c>
      <c r="B60" t="s">
        <v>23</v>
      </c>
      <c r="C60">
        <v>2022</v>
      </c>
      <c r="D60" t="s">
        <v>12</v>
      </c>
      <c r="E60">
        <v>0.56999999999999995</v>
      </c>
      <c r="F60" t="s">
        <v>13</v>
      </c>
      <c r="I60" s="9" t="s">
        <v>46</v>
      </c>
      <c r="J60" s="9" t="s">
        <v>94</v>
      </c>
    </row>
    <row r="61" spans="1:10">
      <c r="A61" t="s">
        <v>29</v>
      </c>
      <c r="B61" t="s">
        <v>23</v>
      </c>
      <c r="C61">
        <v>2022</v>
      </c>
      <c r="D61" t="s">
        <v>164</v>
      </c>
      <c r="E61">
        <v>0.60299999999999998</v>
      </c>
      <c r="F61" t="s">
        <v>166</v>
      </c>
      <c r="I61" s="9" t="s">
        <v>47</v>
      </c>
      <c r="J61" s="9" t="str">
        <f t="shared" si="0"/>
        <v>en_biomass</v>
      </c>
    </row>
    <row r="62" spans="1:10">
      <c r="A62" t="s">
        <v>29</v>
      </c>
      <c r="B62" t="s">
        <v>23</v>
      </c>
      <c r="C62">
        <v>2030</v>
      </c>
      <c r="D62" t="s">
        <v>6</v>
      </c>
      <c r="E62">
        <v>800</v>
      </c>
      <c r="F62" t="s">
        <v>7</v>
      </c>
      <c r="I62" s="9" t="s">
        <v>48</v>
      </c>
      <c r="J62" s="9" t="s">
        <v>94</v>
      </c>
    </row>
    <row r="63" spans="1:10">
      <c r="A63" t="s">
        <v>29</v>
      </c>
      <c r="B63" t="s">
        <v>23</v>
      </c>
      <c r="C63">
        <v>2030</v>
      </c>
      <c r="D63" t="s">
        <v>8</v>
      </c>
      <c r="E63">
        <v>812.6</v>
      </c>
      <c r="F63" t="s">
        <v>7</v>
      </c>
      <c r="I63" s="9" t="s">
        <v>49</v>
      </c>
      <c r="J63" s="9" t="str">
        <f t="shared" si="0"/>
        <v>en_biomass_chp</v>
      </c>
    </row>
    <row r="64" spans="1:10">
      <c r="A64" t="s">
        <v>29</v>
      </c>
      <c r="B64" t="s">
        <v>23</v>
      </c>
      <c r="C64">
        <v>2030</v>
      </c>
      <c r="D64" t="s">
        <v>9</v>
      </c>
      <c r="E64">
        <v>787.4</v>
      </c>
      <c r="F64" t="s">
        <v>7</v>
      </c>
      <c r="I64" s="9" t="s">
        <v>50</v>
      </c>
      <c r="J64" s="9" t="str">
        <f t="shared" si="0"/>
        <v>en_biomass_ccs</v>
      </c>
    </row>
    <row r="65" spans="1:10">
      <c r="A65" t="s">
        <v>29</v>
      </c>
      <c r="B65" t="s">
        <v>23</v>
      </c>
      <c r="C65">
        <v>2030</v>
      </c>
      <c r="D65" t="s">
        <v>10</v>
      </c>
      <c r="E65">
        <v>30</v>
      </c>
      <c r="F65" t="s">
        <v>11</v>
      </c>
      <c r="I65" s="9" t="s">
        <v>52</v>
      </c>
      <c r="J65" s="9" t="s">
        <v>94</v>
      </c>
    </row>
    <row r="66" spans="1:10">
      <c r="A66" t="s">
        <v>29</v>
      </c>
      <c r="B66" t="s">
        <v>23</v>
      </c>
      <c r="C66">
        <v>2030</v>
      </c>
      <c r="D66" t="s">
        <v>12</v>
      </c>
      <c r="E66">
        <v>0.57999999999999996</v>
      </c>
      <c r="F66" t="s">
        <v>13</v>
      </c>
      <c r="I66" s="9" t="s">
        <v>53</v>
      </c>
      <c r="J66" s="9" t="str">
        <f t="shared" si="0"/>
        <v>en_battery_4h</v>
      </c>
    </row>
    <row r="67" spans="1:10">
      <c r="A67" t="s">
        <v>29</v>
      </c>
      <c r="B67" t="s">
        <v>23</v>
      </c>
      <c r="C67">
        <v>2030</v>
      </c>
      <c r="D67" t="s">
        <v>164</v>
      </c>
      <c r="E67">
        <v>0.56699999999999995</v>
      </c>
      <c r="F67" t="s">
        <v>166</v>
      </c>
      <c r="I67" s="9" t="s">
        <v>54</v>
      </c>
      <c r="J67" s="9" t="str">
        <f t="shared" si="0"/>
        <v>en_battery_8h</v>
      </c>
    </row>
    <row r="68" spans="1:10">
      <c r="A68" t="s">
        <v>29</v>
      </c>
      <c r="B68" t="s">
        <v>23</v>
      </c>
      <c r="C68">
        <v>2050</v>
      </c>
      <c r="D68" t="s">
        <v>6</v>
      </c>
      <c r="E68">
        <v>800</v>
      </c>
      <c r="F68" t="s">
        <v>7</v>
      </c>
    </row>
    <row r="69" spans="1:10">
      <c r="A69" t="s">
        <v>29</v>
      </c>
      <c r="B69" t="s">
        <v>23</v>
      </c>
      <c r="C69">
        <v>2050</v>
      </c>
      <c r="D69" t="s">
        <v>8</v>
      </c>
      <c r="E69">
        <v>833.5</v>
      </c>
      <c r="F69" t="s">
        <v>7</v>
      </c>
    </row>
    <row r="70" spans="1:10">
      <c r="A70" t="s">
        <v>29</v>
      </c>
      <c r="B70" t="s">
        <v>23</v>
      </c>
      <c r="C70">
        <v>2050</v>
      </c>
      <c r="D70" t="s">
        <v>9</v>
      </c>
      <c r="E70">
        <v>766.6</v>
      </c>
      <c r="F70" t="s">
        <v>7</v>
      </c>
    </row>
    <row r="71" spans="1:10">
      <c r="A71" t="s">
        <v>29</v>
      </c>
      <c r="B71" t="s">
        <v>23</v>
      </c>
      <c r="C71">
        <v>2050</v>
      </c>
      <c r="D71" t="s">
        <v>10</v>
      </c>
      <c r="E71">
        <v>30</v>
      </c>
      <c r="F71" t="s">
        <v>11</v>
      </c>
    </row>
    <row r="72" spans="1:10">
      <c r="A72" t="s">
        <v>29</v>
      </c>
      <c r="B72" t="s">
        <v>23</v>
      </c>
      <c r="C72">
        <v>2050</v>
      </c>
      <c r="D72" t="s">
        <v>12</v>
      </c>
      <c r="E72">
        <v>0.57999999999999996</v>
      </c>
      <c r="F72" t="s">
        <v>13</v>
      </c>
    </row>
    <row r="73" spans="1:10">
      <c r="A73" t="s">
        <v>29</v>
      </c>
      <c r="B73" t="s">
        <v>23</v>
      </c>
      <c r="C73">
        <v>2050</v>
      </c>
      <c r="D73" t="s">
        <v>164</v>
      </c>
      <c r="E73">
        <v>0.497</v>
      </c>
      <c r="F73" t="s">
        <v>166</v>
      </c>
    </row>
    <row r="74" spans="1:10">
      <c r="A74" t="s">
        <v>29</v>
      </c>
      <c r="B74" t="s">
        <v>24</v>
      </c>
      <c r="C74">
        <v>2022</v>
      </c>
      <c r="D74" t="s">
        <v>6</v>
      </c>
      <c r="E74">
        <v>560</v>
      </c>
      <c r="F74" t="s">
        <v>7</v>
      </c>
    </row>
    <row r="75" spans="1:10">
      <c r="A75" t="s">
        <v>29</v>
      </c>
      <c r="B75" t="s">
        <v>24</v>
      </c>
      <c r="C75">
        <v>2022</v>
      </c>
      <c r="D75" t="s">
        <v>8</v>
      </c>
      <c r="E75">
        <v>560</v>
      </c>
      <c r="F75" t="s">
        <v>7</v>
      </c>
    </row>
    <row r="76" spans="1:10">
      <c r="A76" t="s">
        <v>29</v>
      </c>
      <c r="B76" t="s">
        <v>24</v>
      </c>
      <c r="C76">
        <v>2022</v>
      </c>
      <c r="D76" t="s">
        <v>9</v>
      </c>
      <c r="E76">
        <v>560</v>
      </c>
      <c r="F76" t="s">
        <v>7</v>
      </c>
    </row>
    <row r="77" spans="1:10">
      <c r="A77" t="s">
        <v>29</v>
      </c>
      <c r="B77" t="s">
        <v>24</v>
      </c>
      <c r="C77">
        <v>2022</v>
      </c>
      <c r="D77" t="s">
        <v>10</v>
      </c>
      <c r="E77">
        <v>20</v>
      </c>
      <c r="F77" t="s">
        <v>11</v>
      </c>
    </row>
    <row r="78" spans="1:10">
      <c r="A78" t="s">
        <v>29</v>
      </c>
      <c r="B78" t="s">
        <v>24</v>
      </c>
      <c r="C78">
        <v>2022</v>
      </c>
      <c r="D78" t="s">
        <v>12</v>
      </c>
      <c r="E78">
        <v>0.56999999999999995</v>
      </c>
      <c r="F78" t="s">
        <v>13</v>
      </c>
    </row>
    <row r="79" spans="1:10">
      <c r="A79" t="s">
        <v>29</v>
      </c>
      <c r="B79" t="s">
        <v>24</v>
      </c>
      <c r="C79">
        <v>2022</v>
      </c>
      <c r="D79" t="s">
        <v>164</v>
      </c>
      <c r="E79">
        <v>0.60299999999999998</v>
      </c>
      <c r="F79" t="s">
        <v>166</v>
      </c>
    </row>
    <row r="80" spans="1:10">
      <c r="A80" t="s">
        <v>29</v>
      </c>
      <c r="B80" t="s">
        <v>24</v>
      </c>
      <c r="C80">
        <v>2030</v>
      </c>
      <c r="D80" t="s">
        <v>6</v>
      </c>
      <c r="E80">
        <v>560</v>
      </c>
      <c r="F80" t="s">
        <v>7</v>
      </c>
    </row>
    <row r="81" spans="1:6">
      <c r="A81" t="s">
        <v>29</v>
      </c>
      <c r="B81" t="s">
        <v>24</v>
      </c>
      <c r="C81">
        <v>2030</v>
      </c>
      <c r="D81" t="s">
        <v>8</v>
      </c>
      <c r="E81">
        <v>568.79999999999995</v>
      </c>
      <c r="F81" t="s">
        <v>7</v>
      </c>
    </row>
    <row r="82" spans="1:6">
      <c r="A82" t="s">
        <v>29</v>
      </c>
      <c r="B82" t="s">
        <v>24</v>
      </c>
      <c r="C82">
        <v>2030</v>
      </c>
      <c r="D82" t="s">
        <v>9</v>
      </c>
      <c r="E82">
        <v>551.20000000000005</v>
      </c>
      <c r="F82" t="s">
        <v>7</v>
      </c>
    </row>
    <row r="83" spans="1:6">
      <c r="A83" t="s">
        <v>29</v>
      </c>
      <c r="B83" t="s">
        <v>24</v>
      </c>
      <c r="C83">
        <v>2030</v>
      </c>
      <c r="D83" t="s">
        <v>10</v>
      </c>
      <c r="E83">
        <v>20</v>
      </c>
      <c r="F83" t="s">
        <v>11</v>
      </c>
    </row>
    <row r="84" spans="1:6">
      <c r="A84" t="s">
        <v>29</v>
      </c>
      <c r="B84" t="s">
        <v>24</v>
      </c>
      <c r="C84">
        <v>2030</v>
      </c>
      <c r="D84" t="s">
        <v>12</v>
      </c>
      <c r="E84">
        <v>0.57999999999999996</v>
      </c>
      <c r="F84" t="s">
        <v>13</v>
      </c>
    </row>
    <row r="85" spans="1:6">
      <c r="A85" t="s">
        <v>29</v>
      </c>
      <c r="B85" t="s">
        <v>24</v>
      </c>
      <c r="C85">
        <v>2030</v>
      </c>
      <c r="D85" t="s">
        <v>164</v>
      </c>
      <c r="E85">
        <v>0.56699999999999995</v>
      </c>
      <c r="F85" t="s">
        <v>166</v>
      </c>
    </row>
    <row r="86" spans="1:6">
      <c r="A86" t="s">
        <v>29</v>
      </c>
      <c r="B86" t="s">
        <v>24</v>
      </c>
      <c r="C86">
        <v>2050</v>
      </c>
      <c r="D86" t="s">
        <v>6</v>
      </c>
      <c r="E86">
        <v>560</v>
      </c>
      <c r="F86" t="s">
        <v>7</v>
      </c>
    </row>
    <row r="87" spans="1:6">
      <c r="A87" t="s">
        <v>29</v>
      </c>
      <c r="B87" t="s">
        <v>24</v>
      </c>
      <c r="C87">
        <v>2050</v>
      </c>
      <c r="D87" t="s">
        <v>8</v>
      </c>
      <c r="E87">
        <v>583.5</v>
      </c>
      <c r="F87" t="s">
        <v>7</v>
      </c>
    </row>
    <row r="88" spans="1:6">
      <c r="A88" t="s">
        <v>29</v>
      </c>
      <c r="B88" t="s">
        <v>24</v>
      </c>
      <c r="C88">
        <v>2050</v>
      </c>
      <c r="D88" t="s">
        <v>9</v>
      </c>
      <c r="E88">
        <v>536.6</v>
      </c>
      <c r="F88" t="s">
        <v>7</v>
      </c>
    </row>
    <row r="89" spans="1:6">
      <c r="A89" t="s">
        <v>29</v>
      </c>
      <c r="B89" t="s">
        <v>24</v>
      </c>
      <c r="C89">
        <v>2050</v>
      </c>
      <c r="D89" t="s">
        <v>10</v>
      </c>
      <c r="E89">
        <v>20</v>
      </c>
      <c r="F89" t="s">
        <v>11</v>
      </c>
    </row>
    <row r="90" spans="1:6">
      <c r="A90" t="s">
        <v>29</v>
      </c>
      <c r="B90" t="s">
        <v>24</v>
      </c>
      <c r="C90">
        <v>2050</v>
      </c>
      <c r="D90" t="s">
        <v>12</v>
      </c>
      <c r="E90">
        <v>0.59</v>
      </c>
      <c r="F90" t="s">
        <v>13</v>
      </c>
    </row>
    <row r="91" spans="1:6">
      <c r="A91" t="s">
        <v>29</v>
      </c>
      <c r="B91" t="s">
        <v>24</v>
      </c>
      <c r="C91">
        <v>2050</v>
      </c>
      <c r="D91" t="s">
        <v>164</v>
      </c>
      <c r="E91">
        <v>0.497</v>
      </c>
      <c r="F91" t="s">
        <v>166</v>
      </c>
    </row>
    <row r="92" spans="1:6">
      <c r="A92" t="s">
        <v>29</v>
      </c>
      <c r="B92" t="s">
        <v>25</v>
      </c>
      <c r="C92">
        <v>2022</v>
      </c>
      <c r="D92" t="s">
        <v>6</v>
      </c>
      <c r="E92">
        <v>700</v>
      </c>
      <c r="F92" t="s">
        <v>7</v>
      </c>
    </row>
    <row r="93" spans="1:6">
      <c r="A93" t="s">
        <v>29</v>
      </c>
      <c r="B93" t="s">
        <v>25</v>
      </c>
      <c r="C93">
        <v>2022</v>
      </c>
      <c r="D93" t="s">
        <v>8</v>
      </c>
      <c r="E93">
        <v>700</v>
      </c>
      <c r="F93" t="s">
        <v>7</v>
      </c>
    </row>
    <row r="94" spans="1:6">
      <c r="A94" t="s">
        <v>29</v>
      </c>
      <c r="B94" t="s">
        <v>25</v>
      </c>
      <c r="C94">
        <v>2022</v>
      </c>
      <c r="D94" t="s">
        <v>9</v>
      </c>
      <c r="E94">
        <v>700</v>
      </c>
      <c r="F94" t="s">
        <v>7</v>
      </c>
    </row>
    <row r="95" spans="1:6">
      <c r="A95" t="s">
        <v>29</v>
      </c>
      <c r="B95" t="s">
        <v>25</v>
      </c>
      <c r="C95">
        <v>2022</v>
      </c>
      <c r="D95" t="s">
        <v>10</v>
      </c>
      <c r="E95">
        <v>25</v>
      </c>
      <c r="F95" t="s">
        <v>11</v>
      </c>
    </row>
    <row r="96" spans="1:6">
      <c r="A96" t="s">
        <v>29</v>
      </c>
      <c r="B96" t="s">
        <v>25</v>
      </c>
      <c r="C96">
        <v>2022</v>
      </c>
      <c r="D96" t="s">
        <v>12</v>
      </c>
      <c r="E96">
        <v>0.56000000000000005</v>
      </c>
      <c r="F96" t="s">
        <v>13</v>
      </c>
    </row>
    <row r="97" spans="1:6">
      <c r="A97" t="s">
        <v>29</v>
      </c>
      <c r="B97" t="s">
        <v>25</v>
      </c>
      <c r="C97">
        <v>2022</v>
      </c>
      <c r="D97" t="s">
        <v>164</v>
      </c>
      <c r="E97">
        <v>0.60299999999999998</v>
      </c>
      <c r="F97" t="s">
        <v>166</v>
      </c>
    </row>
    <row r="98" spans="1:6">
      <c r="A98" t="s">
        <v>29</v>
      </c>
      <c r="B98" t="s">
        <v>25</v>
      </c>
      <c r="C98">
        <v>2030</v>
      </c>
      <c r="D98" t="s">
        <v>6</v>
      </c>
      <c r="E98">
        <v>700</v>
      </c>
      <c r="F98" t="s">
        <v>7</v>
      </c>
    </row>
    <row r="99" spans="1:6">
      <c r="A99" t="s">
        <v>29</v>
      </c>
      <c r="B99" t="s">
        <v>25</v>
      </c>
      <c r="C99">
        <v>2030</v>
      </c>
      <c r="D99" t="s">
        <v>8</v>
      </c>
      <c r="E99">
        <v>711.1</v>
      </c>
      <c r="F99" t="s">
        <v>7</v>
      </c>
    </row>
    <row r="100" spans="1:6">
      <c r="A100" t="s">
        <v>29</v>
      </c>
      <c r="B100" t="s">
        <v>25</v>
      </c>
      <c r="C100">
        <v>2030</v>
      </c>
      <c r="D100" t="s">
        <v>9</v>
      </c>
      <c r="E100">
        <v>688.9</v>
      </c>
      <c r="F100" t="s">
        <v>7</v>
      </c>
    </row>
    <row r="101" spans="1:6">
      <c r="A101" t="s">
        <v>29</v>
      </c>
      <c r="B101" t="s">
        <v>25</v>
      </c>
      <c r="C101">
        <v>2030</v>
      </c>
      <c r="D101" t="s">
        <v>10</v>
      </c>
      <c r="E101">
        <v>25</v>
      </c>
      <c r="F101" t="s">
        <v>11</v>
      </c>
    </row>
    <row r="102" spans="1:6">
      <c r="A102" t="s">
        <v>29</v>
      </c>
      <c r="B102" t="s">
        <v>25</v>
      </c>
      <c r="C102">
        <v>2030</v>
      </c>
      <c r="D102" t="s">
        <v>12</v>
      </c>
      <c r="E102">
        <v>0.56999999999999995</v>
      </c>
      <c r="F102" t="s">
        <v>13</v>
      </c>
    </row>
    <row r="103" spans="1:6">
      <c r="A103" t="s">
        <v>29</v>
      </c>
      <c r="B103" t="s">
        <v>25</v>
      </c>
      <c r="C103">
        <v>2030</v>
      </c>
      <c r="D103" t="s">
        <v>164</v>
      </c>
      <c r="E103">
        <v>0.56699999999999995</v>
      </c>
      <c r="F103" t="s">
        <v>166</v>
      </c>
    </row>
    <row r="104" spans="1:6">
      <c r="A104" t="s">
        <v>29</v>
      </c>
      <c r="B104" t="s">
        <v>25</v>
      </c>
      <c r="C104">
        <v>2050</v>
      </c>
      <c r="D104" t="s">
        <v>6</v>
      </c>
      <c r="E104">
        <v>700</v>
      </c>
      <c r="F104" t="s">
        <v>7</v>
      </c>
    </row>
    <row r="105" spans="1:6">
      <c r="A105" t="s">
        <v>29</v>
      </c>
      <c r="B105" t="s">
        <v>25</v>
      </c>
      <c r="C105">
        <v>2050</v>
      </c>
      <c r="D105" t="s">
        <v>8</v>
      </c>
      <c r="E105">
        <v>729.3</v>
      </c>
      <c r="F105" t="s">
        <v>7</v>
      </c>
    </row>
    <row r="106" spans="1:6">
      <c r="A106" t="s">
        <v>29</v>
      </c>
      <c r="B106" t="s">
        <v>25</v>
      </c>
      <c r="C106">
        <v>2050</v>
      </c>
      <c r="D106" t="s">
        <v>9</v>
      </c>
      <c r="E106">
        <v>670.7</v>
      </c>
      <c r="F106" t="s">
        <v>7</v>
      </c>
    </row>
    <row r="107" spans="1:6">
      <c r="A107" t="s">
        <v>29</v>
      </c>
      <c r="B107" t="s">
        <v>25</v>
      </c>
      <c r="C107">
        <v>2050</v>
      </c>
      <c r="D107" t="s">
        <v>10</v>
      </c>
      <c r="E107">
        <v>25</v>
      </c>
      <c r="F107" t="s">
        <v>11</v>
      </c>
    </row>
    <row r="108" spans="1:6">
      <c r="A108" t="s">
        <v>29</v>
      </c>
      <c r="B108" t="s">
        <v>25</v>
      </c>
      <c r="C108">
        <v>2050</v>
      </c>
      <c r="D108" t="s">
        <v>12</v>
      </c>
      <c r="E108">
        <v>0.57999999999999996</v>
      </c>
      <c r="F108" t="s">
        <v>13</v>
      </c>
    </row>
    <row r="109" spans="1:6">
      <c r="A109" t="s">
        <v>29</v>
      </c>
      <c r="B109" t="s">
        <v>25</v>
      </c>
      <c r="C109">
        <v>2050</v>
      </c>
      <c r="D109" t="s">
        <v>164</v>
      </c>
      <c r="E109">
        <v>0.497</v>
      </c>
      <c r="F109" t="s">
        <v>166</v>
      </c>
    </row>
    <row r="110" spans="1:6">
      <c r="A110" t="s">
        <v>29</v>
      </c>
      <c r="B110" t="s">
        <v>26</v>
      </c>
      <c r="C110">
        <v>2022</v>
      </c>
      <c r="D110" t="s">
        <v>6</v>
      </c>
      <c r="E110">
        <v>800</v>
      </c>
      <c r="F110" t="s">
        <v>7</v>
      </c>
    </row>
    <row r="111" spans="1:6">
      <c r="A111" t="s">
        <v>29</v>
      </c>
      <c r="B111" t="s">
        <v>26</v>
      </c>
      <c r="C111">
        <v>2022</v>
      </c>
      <c r="D111" t="s">
        <v>8</v>
      </c>
      <c r="E111">
        <v>800</v>
      </c>
      <c r="F111" t="s">
        <v>7</v>
      </c>
    </row>
    <row r="112" spans="1:6">
      <c r="A112" t="s">
        <v>29</v>
      </c>
      <c r="B112" t="s">
        <v>26</v>
      </c>
      <c r="C112">
        <v>2022</v>
      </c>
      <c r="D112" t="s">
        <v>9</v>
      </c>
      <c r="E112">
        <v>800</v>
      </c>
      <c r="F112" t="s">
        <v>7</v>
      </c>
    </row>
    <row r="113" spans="1:6">
      <c r="A113" t="s">
        <v>29</v>
      </c>
      <c r="B113" t="s">
        <v>26</v>
      </c>
      <c r="C113">
        <v>2022</v>
      </c>
      <c r="D113" t="s">
        <v>10</v>
      </c>
      <c r="E113">
        <v>30</v>
      </c>
      <c r="F113" t="s">
        <v>11</v>
      </c>
    </row>
    <row r="114" spans="1:6">
      <c r="A114" t="s">
        <v>29</v>
      </c>
      <c r="B114" t="s">
        <v>26</v>
      </c>
      <c r="C114">
        <v>2022</v>
      </c>
      <c r="D114" t="s">
        <v>12</v>
      </c>
      <c r="E114">
        <v>0.56999999999999995</v>
      </c>
      <c r="F114" t="s">
        <v>13</v>
      </c>
    </row>
    <row r="115" spans="1:6">
      <c r="A115" t="s">
        <v>29</v>
      </c>
      <c r="B115" t="s">
        <v>26</v>
      </c>
      <c r="C115">
        <v>2022</v>
      </c>
      <c r="D115" t="s">
        <v>164</v>
      </c>
      <c r="E115">
        <v>0.60299999999999998</v>
      </c>
      <c r="F115" t="s">
        <v>166</v>
      </c>
    </row>
    <row r="116" spans="1:6">
      <c r="A116" t="s">
        <v>29</v>
      </c>
      <c r="B116" t="s">
        <v>26</v>
      </c>
      <c r="C116">
        <v>2030</v>
      </c>
      <c r="D116" t="s">
        <v>6</v>
      </c>
      <c r="E116">
        <v>800</v>
      </c>
      <c r="F116" t="s">
        <v>7</v>
      </c>
    </row>
    <row r="117" spans="1:6">
      <c r="A117" t="s">
        <v>29</v>
      </c>
      <c r="B117" t="s">
        <v>26</v>
      </c>
      <c r="C117">
        <v>2030</v>
      </c>
      <c r="D117" t="s">
        <v>8</v>
      </c>
      <c r="E117">
        <v>812.6</v>
      </c>
      <c r="F117" t="s">
        <v>7</v>
      </c>
    </row>
    <row r="118" spans="1:6">
      <c r="A118" t="s">
        <v>29</v>
      </c>
      <c r="B118" t="s">
        <v>26</v>
      </c>
      <c r="C118">
        <v>2030</v>
      </c>
      <c r="D118" t="s">
        <v>9</v>
      </c>
      <c r="E118">
        <v>787.4</v>
      </c>
      <c r="F118" t="s">
        <v>7</v>
      </c>
    </row>
    <row r="119" spans="1:6">
      <c r="A119" t="s">
        <v>29</v>
      </c>
      <c r="B119" t="s">
        <v>26</v>
      </c>
      <c r="C119">
        <v>2030</v>
      </c>
      <c r="D119" t="s">
        <v>10</v>
      </c>
      <c r="E119">
        <v>30</v>
      </c>
      <c r="F119" t="s">
        <v>11</v>
      </c>
    </row>
    <row r="120" spans="1:6">
      <c r="A120" t="s">
        <v>29</v>
      </c>
      <c r="B120" t="s">
        <v>26</v>
      </c>
      <c r="C120">
        <v>2030</v>
      </c>
      <c r="D120" t="s">
        <v>12</v>
      </c>
      <c r="E120">
        <v>0.57999999999999996</v>
      </c>
      <c r="F120" t="s">
        <v>13</v>
      </c>
    </row>
    <row r="121" spans="1:6">
      <c r="A121" t="s">
        <v>29</v>
      </c>
      <c r="B121" t="s">
        <v>26</v>
      </c>
      <c r="C121">
        <v>2030</v>
      </c>
      <c r="D121" t="s">
        <v>164</v>
      </c>
      <c r="E121">
        <v>0.56699999999999995</v>
      </c>
      <c r="F121" t="s">
        <v>166</v>
      </c>
    </row>
    <row r="122" spans="1:6">
      <c r="A122" t="s">
        <v>29</v>
      </c>
      <c r="B122" t="s">
        <v>26</v>
      </c>
      <c r="C122">
        <v>2050</v>
      </c>
      <c r="D122" t="s">
        <v>6</v>
      </c>
      <c r="E122">
        <v>800</v>
      </c>
      <c r="F122" t="s">
        <v>7</v>
      </c>
    </row>
    <row r="123" spans="1:6">
      <c r="A123" t="s">
        <v>29</v>
      </c>
      <c r="B123" t="s">
        <v>26</v>
      </c>
      <c r="C123">
        <v>2050</v>
      </c>
      <c r="D123" t="s">
        <v>8</v>
      </c>
      <c r="E123">
        <v>833.5</v>
      </c>
      <c r="F123" t="s">
        <v>7</v>
      </c>
    </row>
    <row r="124" spans="1:6">
      <c r="A124" t="s">
        <v>29</v>
      </c>
      <c r="B124" t="s">
        <v>26</v>
      </c>
      <c r="C124">
        <v>2050</v>
      </c>
      <c r="D124" t="s">
        <v>9</v>
      </c>
      <c r="E124">
        <v>766.6</v>
      </c>
      <c r="F124" t="s">
        <v>7</v>
      </c>
    </row>
    <row r="125" spans="1:6">
      <c r="A125" t="s">
        <v>29</v>
      </c>
      <c r="B125" t="s">
        <v>26</v>
      </c>
      <c r="C125">
        <v>2050</v>
      </c>
      <c r="D125" t="s">
        <v>10</v>
      </c>
      <c r="E125">
        <v>30</v>
      </c>
      <c r="F125" t="s">
        <v>11</v>
      </c>
    </row>
    <row r="126" spans="1:6">
      <c r="A126" t="s">
        <v>29</v>
      </c>
      <c r="B126" t="s">
        <v>26</v>
      </c>
      <c r="C126">
        <v>2050</v>
      </c>
      <c r="D126" t="s">
        <v>12</v>
      </c>
      <c r="E126">
        <v>0.57999999999999996</v>
      </c>
      <c r="F126" t="s">
        <v>13</v>
      </c>
    </row>
    <row r="127" spans="1:6">
      <c r="A127" t="s">
        <v>29</v>
      </c>
      <c r="B127" t="s">
        <v>26</v>
      </c>
      <c r="C127">
        <v>2050</v>
      </c>
      <c r="D127" t="s">
        <v>164</v>
      </c>
      <c r="E127">
        <v>0.497</v>
      </c>
      <c r="F127" t="s">
        <v>166</v>
      </c>
    </row>
    <row r="128" spans="1:6">
      <c r="A128" t="s">
        <v>29</v>
      </c>
      <c r="B128" t="s">
        <v>27</v>
      </c>
      <c r="C128">
        <v>2022</v>
      </c>
      <c r="D128" t="s">
        <v>6</v>
      </c>
      <c r="E128">
        <v>700</v>
      </c>
      <c r="F128" t="s">
        <v>7</v>
      </c>
    </row>
    <row r="129" spans="1:6">
      <c r="A129" t="s">
        <v>29</v>
      </c>
      <c r="B129" t="s">
        <v>27</v>
      </c>
      <c r="C129">
        <v>2022</v>
      </c>
      <c r="D129" t="s">
        <v>8</v>
      </c>
      <c r="E129">
        <v>700</v>
      </c>
      <c r="F129" t="s">
        <v>7</v>
      </c>
    </row>
    <row r="130" spans="1:6">
      <c r="A130" t="s">
        <v>29</v>
      </c>
      <c r="B130" t="s">
        <v>27</v>
      </c>
      <c r="C130">
        <v>2022</v>
      </c>
      <c r="D130" t="s">
        <v>9</v>
      </c>
      <c r="E130">
        <v>700</v>
      </c>
      <c r="F130" t="s">
        <v>7</v>
      </c>
    </row>
    <row r="131" spans="1:6">
      <c r="A131" t="s">
        <v>29</v>
      </c>
      <c r="B131" t="s">
        <v>27</v>
      </c>
      <c r="C131">
        <v>2022</v>
      </c>
      <c r="D131" t="s">
        <v>10</v>
      </c>
      <c r="E131">
        <v>25</v>
      </c>
      <c r="F131" t="s">
        <v>11</v>
      </c>
    </row>
    <row r="132" spans="1:6">
      <c r="A132" t="s">
        <v>29</v>
      </c>
      <c r="B132" t="s">
        <v>27</v>
      </c>
      <c r="C132">
        <v>2022</v>
      </c>
      <c r="D132" t="s">
        <v>12</v>
      </c>
      <c r="E132">
        <v>0.57999999999999996</v>
      </c>
      <c r="F132" t="s">
        <v>13</v>
      </c>
    </row>
    <row r="133" spans="1:6">
      <c r="A133" t="s">
        <v>29</v>
      </c>
      <c r="B133" t="s">
        <v>27</v>
      </c>
      <c r="C133">
        <v>2022</v>
      </c>
      <c r="D133" t="s">
        <v>164</v>
      </c>
      <c r="E133">
        <v>0.60299999999999998</v>
      </c>
      <c r="F133" t="s">
        <v>166</v>
      </c>
    </row>
    <row r="134" spans="1:6">
      <c r="A134" t="s">
        <v>29</v>
      </c>
      <c r="B134" t="s">
        <v>27</v>
      </c>
      <c r="C134">
        <v>2030</v>
      </c>
      <c r="D134" t="s">
        <v>6</v>
      </c>
      <c r="E134">
        <v>700</v>
      </c>
      <c r="F134" t="s">
        <v>7</v>
      </c>
    </row>
    <row r="135" spans="1:6">
      <c r="A135" t="s">
        <v>29</v>
      </c>
      <c r="B135" t="s">
        <v>27</v>
      </c>
      <c r="C135">
        <v>2030</v>
      </c>
      <c r="D135" t="s">
        <v>8</v>
      </c>
      <c r="E135">
        <v>711.1</v>
      </c>
      <c r="F135" t="s">
        <v>7</v>
      </c>
    </row>
    <row r="136" spans="1:6">
      <c r="A136" t="s">
        <v>29</v>
      </c>
      <c r="B136" t="s">
        <v>27</v>
      </c>
      <c r="C136">
        <v>2030</v>
      </c>
      <c r="D136" t="s">
        <v>9</v>
      </c>
      <c r="E136">
        <v>688.9</v>
      </c>
      <c r="F136" t="s">
        <v>7</v>
      </c>
    </row>
    <row r="137" spans="1:6">
      <c r="A137" t="s">
        <v>29</v>
      </c>
      <c r="B137" t="s">
        <v>27</v>
      </c>
      <c r="C137">
        <v>2030</v>
      </c>
      <c r="D137" t="s">
        <v>10</v>
      </c>
      <c r="E137">
        <v>25</v>
      </c>
      <c r="F137" t="s">
        <v>11</v>
      </c>
    </row>
    <row r="138" spans="1:6">
      <c r="A138" t="s">
        <v>29</v>
      </c>
      <c r="B138" t="s">
        <v>27</v>
      </c>
      <c r="C138">
        <v>2030</v>
      </c>
      <c r="D138" t="s">
        <v>12</v>
      </c>
      <c r="E138">
        <v>0.59</v>
      </c>
      <c r="F138" t="s">
        <v>13</v>
      </c>
    </row>
    <row r="139" spans="1:6">
      <c r="A139" t="s">
        <v>29</v>
      </c>
      <c r="B139" t="s">
        <v>27</v>
      </c>
      <c r="C139">
        <v>2030</v>
      </c>
      <c r="D139" t="s">
        <v>164</v>
      </c>
      <c r="E139">
        <v>0.56699999999999995</v>
      </c>
      <c r="F139" t="s">
        <v>166</v>
      </c>
    </row>
    <row r="140" spans="1:6">
      <c r="A140" t="s">
        <v>29</v>
      </c>
      <c r="B140" t="s">
        <v>27</v>
      </c>
      <c r="C140">
        <v>2050</v>
      </c>
      <c r="D140" t="s">
        <v>6</v>
      </c>
      <c r="E140">
        <v>700</v>
      </c>
      <c r="F140" t="s">
        <v>7</v>
      </c>
    </row>
    <row r="141" spans="1:6">
      <c r="A141" t="s">
        <v>29</v>
      </c>
      <c r="B141" t="s">
        <v>27</v>
      </c>
      <c r="C141">
        <v>2050</v>
      </c>
      <c r="D141" t="s">
        <v>8</v>
      </c>
      <c r="E141">
        <v>729.3</v>
      </c>
      <c r="F141" t="s">
        <v>7</v>
      </c>
    </row>
    <row r="142" spans="1:6">
      <c r="A142" t="s">
        <v>29</v>
      </c>
      <c r="B142" t="s">
        <v>27</v>
      </c>
      <c r="C142">
        <v>2050</v>
      </c>
      <c r="D142" t="s">
        <v>9</v>
      </c>
      <c r="E142">
        <v>670.7</v>
      </c>
      <c r="F142" t="s">
        <v>7</v>
      </c>
    </row>
    <row r="143" spans="1:6">
      <c r="A143" t="s">
        <v>29</v>
      </c>
      <c r="B143" t="s">
        <v>27</v>
      </c>
      <c r="C143">
        <v>2050</v>
      </c>
      <c r="D143" t="s">
        <v>10</v>
      </c>
      <c r="E143">
        <v>25</v>
      </c>
      <c r="F143" t="s">
        <v>11</v>
      </c>
    </row>
    <row r="144" spans="1:6">
      <c r="A144" t="s">
        <v>29</v>
      </c>
      <c r="B144" t="s">
        <v>27</v>
      </c>
      <c r="C144">
        <v>2050</v>
      </c>
      <c r="D144" t="s">
        <v>12</v>
      </c>
      <c r="E144">
        <v>0.59</v>
      </c>
      <c r="F144" t="s">
        <v>13</v>
      </c>
    </row>
    <row r="145" spans="1:6">
      <c r="A145" t="s">
        <v>29</v>
      </c>
      <c r="B145" t="s">
        <v>27</v>
      </c>
      <c r="C145">
        <v>2050</v>
      </c>
      <c r="D145" t="s">
        <v>164</v>
      </c>
      <c r="E145">
        <v>0.497</v>
      </c>
      <c r="F145" t="s">
        <v>166</v>
      </c>
    </row>
    <row r="146" spans="1:6">
      <c r="A146" t="s">
        <v>29</v>
      </c>
      <c r="B146" t="s">
        <v>28</v>
      </c>
      <c r="C146">
        <v>2022</v>
      </c>
      <c r="D146" t="s">
        <v>6</v>
      </c>
      <c r="E146">
        <v>700</v>
      </c>
      <c r="F146" t="s">
        <v>7</v>
      </c>
    </row>
    <row r="147" spans="1:6">
      <c r="A147" t="s">
        <v>29</v>
      </c>
      <c r="B147" t="s">
        <v>28</v>
      </c>
      <c r="C147">
        <v>2022</v>
      </c>
      <c r="D147" t="s">
        <v>8</v>
      </c>
      <c r="E147">
        <v>700</v>
      </c>
      <c r="F147" t="s">
        <v>7</v>
      </c>
    </row>
    <row r="148" spans="1:6">
      <c r="A148" t="s">
        <v>29</v>
      </c>
      <c r="B148" t="s">
        <v>28</v>
      </c>
      <c r="C148">
        <v>2022</v>
      </c>
      <c r="D148" t="s">
        <v>9</v>
      </c>
      <c r="E148">
        <v>700</v>
      </c>
      <c r="F148" t="s">
        <v>7</v>
      </c>
    </row>
    <row r="149" spans="1:6">
      <c r="A149" t="s">
        <v>29</v>
      </c>
      <c r="B149" t="s">
        <v>28</v>
      </c>
      <c r="C149">
        <v>2022</v>
      </c>
      <c r="D149" t="s">
        <v>10</v>
      </c>
      <c r="E149">
        <v>25</v>
      </c>
      <c r="F149" t="s">
        <v>11</v>
      </c>
    </row>
    <row r="150" spans="1:6">
      <c r="A150" t="s">
        <v>29</v>
      </c>
      <c r="B150" t="s">
        <v>28</v>
      </c>
      <c r="C150">
        <v>2022</v>
      </c>
      <c r="D150" t="s">
        <v>12</v>
      </c>
      <c r="E150">
        <v>0.57999999999999996</v>
      </c>
      <c r="F150" t="s">
        <v>13</v>
      </c>
    </row>
    <row r="151" spans="1:6">
      <c r="A151" t="s">
        <v>29</v>
      </c>
      <c r="B151" t="s">
        <v>28</v>
      </c>
      <c r="C151">
        <v>2022</v>
      </c>
      <c r="D151" t="s">
        <v>164</v>
      </c>
      <c r="E151">
        <v>0.60299999999999998</v>
      </c>
      <c r="F151" t="s">
        <v>166</v>
      </c>
    </row>
    <row r="152" spans="1:6">
      <c r="A152" t="s">
        <v>29</v>
      </c>
      <c r="B152" t="s">
        <v>28</v>
      </c>
      <c r="C152">
        <v>2030</v>
      </c>
      <c r="D152" t="s">
        <v>6</v>
      </c>
      <c r="E152">
        <v>700</v>
      </c>
      <c r="F152" t="s">
        <v>7</v>
      </c>
    </row>
    <row r="153" spans="1:6">
      <c r="A153" t="s">
        <v>29</v>
      </c>
      <c r="B153" t="s">
        <v>28</v>
      </c>
      <c r="C153">
        <v>2030</v>
      </c>
      <c r="D153" t="s">
        <v>8</v>
      </c>
      <c r="E153">
        <v>711.1</v>
      </c>
      <c r="F153" t="s">
        <v>7</v>
      </c>
    </row>
    <row r="154" spans="1:6">
      <c r="A154" t="s">
        <v>29</v>
      </c>
      <c r="B154" t="s">
        <v>28</v>
      </c>
      <c r="C154">
        <v>2030</v>
      </c>
      <c r="D154" t="s">
        <v>9</v>
      </c>
      <c r="E154">
        <v>688.9</v>
      </c>
      <c r="F154" t="s">
        <v>7</v>
      </c>
    </row>
    <row r="155" spans="1:6">
      <c r="A155" t="s">
        <v>29</v>
      </c>
      <c r="B155" t="s">
        <v>28</v>
      </c>
      <c r="C155">
        <v>2030</v>
      </c>
      <c r="D155" t="s">
        <v>10</v>
      </c>
      <c r="E155">
        <v>25</v>
      </c>
      <c r="F155" t="s">
        <v>11</v>
      </c>
    </row>
    <row r="156" spans="1:6">
      <c r="A156" t="s">
        <v>29</v>
      </c>
      <c r="B156" t="s">
        <v>28</v>
      </c>
      <c r="C156">
        <v>2030</v>
      </c>
      <c r="D156" t="s">
        <v>12</v>
      </c>
      <c r="E156">
        <v>0.59</v>
      </c>
      <c r="F156" t="s">
        <v>13</v>
      </c>
    </row>
    <row r="157" spans="1:6">
      <c r="A157" t="s">
        <v>29</v>
      </c>
      <c r="B157" t="s">
        <v>28</v>
      </c>
      <c r="C157">
        <v>2030</v>
      </c>
      <c r="D157" t="s">
        <v>164</v>
      </c>
      <c r="E157">
        <v>0.56699999999999995</v>
      </c>
      <c r="F157" t="s">
        <v>166</v>
      </c>
    </row>
    <row r="158" spans="1:6">
      <c r="A158" t="s">
        <v>29</v>
      </c>
      <c r="B158" t="s">
        <v>28</v>
      </c>
      <c r="C158">
        <v>2050</v>
      </c>
      <c r="D158" t="s">
        <v>6</v>
      </c>
      <c r="E158">
        <v>700</v>
      </c>
      <c r="F158" t="s">
        <v>7</v>
      </c>
    </row>
    <row r="159" spans="1:6">
      <c r="A159" t="s">
        <v>29</v>
      </c>
      <c r="B159" t="s">
        <v>28</v>
      </c>
      <c r="C159">
        <v>2050</v>
      </c>
      <c r="D159" t="s">
        <v>8</v>
      </c>
      <c r="E159">
        <v>729.3</v>
      </c>
      <c r="F159" t="s">
        <v>7</v>
      </c>
    </row>
    <row r="160" spans="1:6">
      <c r="A160" t="s">
        <v>29</v>
      </c>
      <c r="B160" t="s">
        <v>28</v>
      </c>
      <c r="C160">
        <v>2050</v>
      </c>
      <c r="D160" t="s">
        <v>9</v>
      </c>
      <c r="E160">
        <v>670.7</v>
      </c>
      <c r="F160" t="s">
        <v>7</v>
      </c>
    </row>
    <row r="161" spans="1:6">
      <c r="A161" t="s">
        <v>29</v>
      </c>
      <c r="B161" t="s">
        <v>28</v>
      </c>
      <c r="C161">
        <v>2050</v>
      </c>
      <c r="D161" t="s">
        <v>10</v>
      </c>
      <c r="E161">
        <v>25</v>
      </c>
      <c r="F161" t="s">
        <v>11</v>
      </c>
    </row>
    <row r="162" spans="1:6">
      <c r="A162" t="s">
        <v>29</v>
      </c>
      <c r="B162" t="s">
        <v>28</v>
      </c>
      <c r="C162">
        <v>2050</v>
      </c>
      <c r="D162" t="s">
        <v>12</v>
      </c>
      <c r="E162">
        <v>0.59</v>
      </c>
      <c r="F162" t="s">
        <v>13</v>
      </c>
    </row>
    <row r="163" spans="1:6">
      <c r="A163" t="s">
        <v>29</v>
      </c>
      <c r="B163" t="s">
        <v>28</v>
      </c>
      <c r="C163">
        <v>2050</v>
      </c>
      <c r="D163" t="s">
        <v>164</v>
      </c>
      <c r="E163">
        <v>0.497</v>
      </c>
      <c r="F163" t="s">
        <v>166</v>
      </c>
    </row>
    <row r="164" spans="1:6">
      <c r="A164" t="s">
        <v>30</v>
      </c>
      <c r="B164" t="s">
        <v>20</v>
      </c>
      <c r="C164">
        <v>2022</v>
      </c>
      <c r="D164" t="s">
        <v>6</v>
      </c>
      <c r="E164">
        <v>500</v>
      </c>
      <c r="F164" t="s">
        <v>7</v>
      </c>
    </row>
    <row r="165" spans="1:6">
      <c r="A165" t="s">
        <v>30</v>
      </c>
      <c r="B165" t="s">
        <v>20</v>
      </c>
      <c r="C165">
        <v>2022</v>
      </c>
      <c r="D165" t="s">
        <v>8</v>
      </c>
      <c r="E165">
        <v>500</v>
      </c>
      <c r="F165" t="s">
        <v>7</v>
      </c>
    </row>
    <row r="166" spans="1:6">
      <c r="A166" t="s">
        <v>30</v>
      </c>
      <c r="B166" t="s">
        <v>20</v>
      </c>
      <c r="C166">
        <v>2022</v>
      </c>
      <c r="D166" t="s">
        <v>9</v>
      </c>
      <c r="E166">
        <v>500</v>
      </c>
      <c r="F166" t="s">
        <v>7</v>
      </c>
    </row>
    <row r="167" spans="1:6">
      <c r="A167" t="s">
        <v>30</v>
      </c>
      <c r="B167" t="s">
        <v>20</v>
      </c>
      <c r="C167">
        <v>2022</v>
      </c>
      <c r="D167" t="s">
        <v>10</v>
      </c>
      <c r="E167">
        <v>20</v>
      </c>
      <c r="F167" t="s">
        <v>11</v>
      </c>
    </row>
    <row r="168" spans="1:6">
      <c r="A168" t="s">
        <v>30</v>
      </c>
      <c r="B168" t="s">
        <v>20</v>
      </c>
      <c r="C168">
        <v>2022</v>
      </c>
      <c r="D168" t="s">
        <v>12</v>
      </c>
      <c r="E168">
        <v>0.4</v>
      </c>
      <c r="F168" t="s">
        <v>13</v>
      </c>
    </row>
    <row r="169" spans="1:6">
      <c r="A169" t="s">
        <v>30</v>
      </c>
      <c r="B169" t="s">
        <v>20</v>
      </c>
      <c r="C169">
        <v>2022</v>
      </c>
      <c r="D169" t="s">
        <v>164</v>
      </c>
      <c r="E169">
        <v>1.9279999999999999</v>
      </c>
      <c r="F169" t="s">
        <v>166</v>
      </c>
    </row>
    <row r="170" spans="1:6">
      <c r="A170" t="s">
        <v>30</v>
      </c>
      <c r="B170" t="s">
        <v>20</v>
      </c>
      <c r="C170">
        <v>2030</v>
      </c>
      <c r="D170" t="s">
        <v>6</v>
      </c>
      <c r="E170">
        <v>500</v>
      </c>
      <c r="F170" t="s">
        <v>7</v>
      </c>
    </row>
    <row r="171" spans="1:6">
      <c r="A171" t="s">
        <v>30</v>
      </c>
      <c r="B171" t="s">
        <v>20</v>
      </c>
      <c r="C171">
        <v>2030</v>
      </c>
      <c r="D171" t="s">
        <v>8</v>
      </c>
      <c r="E171">
        <v>500</v>
      </c>
      <c r="F171" t="s">
        <v>7</v>
      </c>
    </row>
    <row r="172" spans="1:6">
      <c r="A172" t="s">
        <v>30</v>
      </c>
      <c r="B172" t="s">
        <v>20</v>
      </c>
      <c r="C172">
        <v>2030</v>
      </c>
      <c r="D172" t="s">
        <v>9</v>
      </c>
      <c r="E172">
        <v>500</v>
      </c>
      <c r="F172" t="s">
        <v>7</v>
      </c>
    </row>
    <row r="173" spans="1:6">
      <c r="A173" t="s">
        <v>30</v>
      </c>
      <c r="B173" t="s">
        <v>20</v>
      </c>
      <c r="C173">
        <v>2030</v>
      </c>
      <c r="D173" t="s">
        <v>10</v>
      </c>
      <c r="E173">
        <v>20</v>
      </c>
      <c r="F173" t="s">
        <v>11</v>
      </c>
    </row>
    <row r="174" spans="1:6">
      <c r="A174" t="s">
        <v>30</v>
      </c>
      <c r="B174" t="s">
        <v>20</v>
      </c>
      <c r="C174">
        <v>2030</v>
      </c>
      <c r="D174" t="s">
        <v>12</v>
      </c>
      <c r="E174">
        <v>0.41</v>
      </c>
      <c r="F174" t="s">
        <v>13</v>
      </c>
    </row>
    <row r="175" spans="1:6">
      <c r="A175" t="s">
        <v>30</v>
      </c>
      <c r="B175" t="s">
        <v>20</v>
      </c>
      <c r="C175">
        <v>2030</v>
      </c>
      <c r="D175" t="s">
        <v>164</v>
      </c>
      <c r="E175">
        <v>1.9279999999999999</v>
      </c>
      <c r="F175" t="s">
        <v>166</v>
      </c>
    </row>
    <row r="176" spans="1:6">
      <c r="A176" t="s">
        <v>30</v>
      </c>
      <c r="B176" t="s">
        <v>20</v>
      </c>
      <c r="C176">
        <v>2050</v>
      </c>
      <c r="D176" t="s">
        <v>6</v>
      </c>
      <c r="E176">
        <v>500</v>
      </c>
      <c r="F176" t="s">
        <v>7</v>
      </c>
    </row>
    <row r="177" spans="1:6">
      <c r="A177" t="s">
        <v>30</v>
      </c>
      <c r="B177" t="s">
        <v>20</v>
      </c>
      <c r="C177">
        <v>2050</v>
      </c>
      <c r="D177" t="s">
        <v>8</v>
      </c>
      <c r="E177">
        <v>500</v>
      </c>
      <c r="F177" t="s">
        <v>7</v>
      </c>
    </row>
    <row r="178" spans="1:6">
      <c r="A178" t="s">
        <v>30</v>
      </c>
      <c r="B178" t="s">
        <v>20</v>
      </c>
      <c r="C178">
        <v>2050</v>
      </c>
      <c r="D178" t="s">
        <v>9</v>
      </c>
      <c r="E178">
        <v>500</v>
      </c>
      <c r="F178" t="s">
        <v>7</v>
      </c>
    </row>
    <row r="179" spans="1:6">
      <c r="A179" t="s">
        <v>30</v>
      </c>
      <c r="B179" t="s">
        <v>20</v>
      </c>
      <c r="C179">
        <v>2050</v>
      </c>
      <c r="D179" t="s">
        <v>10</v>
      </c>
      <c r="E179">
        <v>20</v>
      </c>
      <c r="F179" t="s">
        <v>11</v>
      </c>
    </row>
    <row r="180" spans="1:6">
      <c r="A180" t="s">
        <v>30</v>
      </c>
      <c r="B180" t="s">
        <v>20</v>
      </c>
      <c r="C180">
        <v>2050</v>
      </c>
      <c r="D180" t="s">
        <v>12</v>
      </c>
      <c r="E180">
        <v>0.42</v>
      </c>
      <c r="F180" t="s">
        <v>13</v>
      </c>
    </row>
    <row r="181" spans="1:6">
      <c r="A181" t="s">
        <v>30</v>
      </c>
      <c r="B181" t="s">
        <v>20</v>
      </c>
      <c r="C181">
        <v>2050</v>
      </c>
      <c r="D181" t="s">
        <v>164</v>
      </c>
      <c r="E181">
        <v>1.9279999999999999</v>
      </c>
      <c r="F181" t="s">
        <v>166</v>
      </c>
    </row>
    <row r="182" spans="1:6">
      <c r="A182" t="s">
        <v>30</v>
      </c>
      <c r="B182" t="s">
        <v>21</v>
      </c>
      <c r="C182">
        <v>2022</v>
      </c>
      <c r="D182" t="s">
        <v>6</v>
      </c>
      <c r="E182">
        <v>500</v>
      </c>
      <c r="F182" t="s">
        <v>7</v>
      </c>
    </row>
    <row r="183" spans="1:6">
      <c r="A183" t="s">
        <v>30</v>
      </c>
      <c r="B183" t="s">
        <v>21</v>
      </c>
      <c r="C183">
        <v>2022</v>
      </c>
      <c r="D183" t="s">
        <v>8</v>
      </c>
      <c r="E183">
        <v>500</v>
      </c>
      <c r="F183" t="s">
        <v>7</v>
      </c>
    </row>
    <row r="184" spans="1:6">
      <c r="A184" t="s">
        <v>30</v>
      </c>
      <c r="B184" t="s">
        <v>21</v>
      </c>
      <c r="C184">
        <v>2022</v>
      </c>
      <c r="D184" t="s">
        <v>9</v>
      </c>
      <c r="E184">
        <v>500</v>
      </c>
      <c r="F184" t="s">
        <v>7</v>
      </c>
    </row>
    <row r="185" spans="1:6">
      <c r="A185" t="s">
        <v>30</v>
      </c>
      <c r="B185" t="s">
        <v>21</v>
      </c>
      <c r="C185">
        <v>2022</v>
      </c>
      <c r="D185" t="s">
        <v>10</v>
      </c>
      <c r="E185">
        <v>20</v>
      </c>
      <c r="F185" t="s">
        <v>11</v>
      </c>
    </row>
    <row r="186" spans="1:6">
      <c r="A186" t="s">
        <v>30</v>
      </c>
      <c r="B186" t="s">
        <v>21</v>
      </c>
      <c r="C186">
        <v>2022</v>
      </c>
      <c r="D186" t="s">
        <v>12</v>
      </c>
      <c r="E186">
        <v>0.4</v>
      </c>
      <c r="F186" t="s">
        <v>13</v>
      </c>
    </row>
    <row r="187" spans="1:6">
      <c r="A187" t="s">
        <v>30</v>
      </c>
      <c r="B187" t="s">
        <v>21</v>
      </c>
      <c r="C187">
        <v>2022</v>
      </c>
      <c r="D187" t="s">
        <v>164</v>
      </c>
      <c r="E187">
        <v>1.9279999999999999</v>
      </c>
      <c r="F187" t="s">
        <v>166</v>
      </c>
    </row>
    <row r="188" spans="1:6">
      <c r="A188" t="s">
        <v>30</v>
      </c>
      <c r="B188" t="s">
        <v>21</v>
      </c>
      <c r="C188">
        <v>2030</v>
      </c>
      <c r="D188" t="s">
        <v>6</v>
      </c>
      <c r="E188">
        <v>500</v>
      </c>
      <c r="F188" t="s">
        <v>7</v>
      </c>
    </row>
    <row r="189" spans="1:6">
      <c r="A189" t="s">
        <v>30</v>
      </c>
      <c r="B189" t="s">
        <v>21</v>
      </c>
      <c r="C189">
        <v>2030</v>
      </c>
      <c r="D189" t="s">
        <v>8</v>
      </c>
      <c r="E189">
        <v>500</v>
      </c>
      <c r="F189" t="s">
        <v>7</v>
      </c>
    </row>
    <row r="190" spans="1:6">
      <c r="A190" t="s">
        <v>30</v>
      </c>
      <c r="B190" t="s">
        <v>21</v>
      </c>
      <c r="C190">
        <v>2030</v>
      </c>
      <c r="D190" t="s">
        <v>9</v>
      </c>
      <c r="E190">
        <v>500</v>
      </c>
      <c r="F190" t="s">
        <v>7</v>
      </c>
    </row>
    <row r="191" spans="1:6">
      <c r="A191" t="s">
        <v>30</v>
      </c>
      <c r="B191" t="s">
        <v>21</v>
      </c>
      <c r="C191">
        <v>2030</v>
      </c>
      <c r="D191" t="s">
        <v>10</v>
      </c>
      <c r="E191">
        <v>20</v>
      </c>
      <c r="F191" t="s">
        <v>11</v>
      </c>
    </row>
    <row r="192" spans="1:6">
      <c r="A192" t="s">
        <v>30</v>
      </c>
      <c r="B192" t="s">
        <v>21</v>
      </c>
      <c r="C192">
        <v>2030</v>
      </c>
      <c r="D192" t="s">
        <v>12</v>
      </c>
      <c r="E192">
        <v>0.41</v>
      </c>
      <c r="F192" t="s">
        <v>13</v>
      </c>
    </row>
    <row r="193" spans="1:6">
      <c r="A193" t="s">
        <v>30</v>
      </c>
      <c r="B193" t="s">
        <v>21</v>
      </c>
      <c r="C193">
        <v>2030</v>
      </c>
      <c r="D193" t="s">
        <v>164</v>
      </c>
      <c r="E193">
        <v>1.9279999999999999</v>
      </c>
      <c r="F193" t="s">
        <v>166</v>
      </c>
    </row>
    <row r="194" spans="1:6">
      <c r="A194" t="s">
        <v>30</v>
      </c>
      <c r="B194" t="s">
        <v>21</v>
      </c>
      <c r="C194">
        <v>2050</v>
      </c>
      <c r="D194" t="s">
        <v>6</v>
      </c>
      <c r="E194">
        <v>500</v>
      </c>
      <c r="F194" t="s">
        <v>7</v>
      </c>
    </row>
    <row r="195" spans="1:6">
      <c r="A195" t="s">
        <v>30</v>
      </c>
      <c r="B195" t="s">
        <v>21</v>
      </c>
      <c r="C195">
        <v>2050</v>
      </c>
      <c r="D195" t="s">
        <v>8</v>
      </c>
      <c r="E195">
        <v>500</v>
      </c>
      <c r="F195" t="s">
        <v>7</v>
      </c>
    </row>
    <row r="196" spans="1:6">
      <c r="A196" t="s">
        <v>30</v>
      </c>
      <c r="B196" t="s">
        <v>21</v>
      </c>
      <c r="C196">
        <v>2050</v>
      </c>
      <c r="D196" t="s">
        <v>9</v>
      </c>
      <c r="E196">
        <v>500</v>
      </c>
      <c r="F196" t="s">
        <v>7</v>
      </c>
    </row>
    <row r="197" spans="1:6">
      <c r="A197" t="s">
        <v>30</v>
      </c>
      <c r="B197" t="s">
        <v>21</v>
      </c>
      <c r="C197">
        <v>2050</v>
      </c>
      <c r="D197" t="s">
        <v>10</v>
      </c>
      <c r="E197">
        <v>20</v>
      </c>
      <c r="F197" t="s">
        <v>11</v>
      </c>
    </row>
    <row r="198" spans="1:6">
      <c r="A198" t="s">
        <v>30</v>
      </c>
      <c r="B198" t="s">
        <v>21</v>
      </c>
      <c r="C198">
        <v>2050</v>
      </c>
      <c r="D198" t="s">
        <v>12</v>
      </c>
      <c r="E198">
        <v>0.42</v>
      </c>
      <c r="F198" t="s">
        <v>13</v>
      </c>
    </row>
    <row r="199" spans="1:6">
      <c r="A199" t="s">
        <v>30</v>
      </c>
      <c r="B199" t="s">
        <v>21</v>
      </c>
      <c r="C199">
        <v>2050</v>
      </c>
      <c r="D199" t="s">
        <v>164</v>
      </c>
      <c r="E199">
        <v>1.9279999999999999</v>
      </c>
      <c r="F199" t="s">
        <v>166</v>
      </c>
    </row>
    <row r="200" spans="1:6">
      <c r="A200" t="s">
        <v>30</v>
      </c>
      <c r="B200" t="s">
        <v>22</v>
      </c>
      <c r="C200">
        <v>2022</v>
      </c>
      <c r="D200" t="s">
        <v>6</v>
      </c>
      <c r="E200">
        <v>500</v>
      </c>
      <c r="F200" t="s">
        <v>7</v>
      </c>
    </row>
    <row r="201" spans="1:6">
      <c r="A201" t="s">
        <v>30</v>
      </c>
      <c r="B201" t="s">
        <v>22</v>
      </c>
      <c r="C201">
        <v>2022</v>
      </c>
      <c r="D201" t="s">
        <v>8</v>
      </c>
      <c r="E201">
        <v>500</v>
      </c>
      <c r="F201" t="s">
        <v>7</v>
      </c>
    </row>
    <row r="202" spans="1:6">
      <c r="A202" t="s">
        <v>30</v>
      </c>
      <c r="B202" t="s">
        <v>22</v>
      </c>
      <c r="C202">
        <v>2022</v>
      </c>
      <c r="D202" t="s">
        <v>9</v>
      </c>
      <c r="E202">
        <v>500</v>
      </c>
      <c r="F202" t="s">
        <v>7</v>
      </c>
    </row>
    <row r="203" spans="1:6">
      <c r="A203" t="s">
        <v>30</v>
      </c>
      <c r="B203" t="s">
        <v>22</v>
      </c>
      <c r="C203">
        <v>2022</v>
      </c>
      <c r="D203" t="s">
        <v>10</v>
      </c>
      <c r="E203">
        <v>20</v>
      </c>
      <c r="F203" t="s">
        <v>11</v>
      </c>
    </row>
    <row r="204" spans="1:6">
      <c r="A204" t="s">
        <v>30</v>
      </c>
      <c r="B204" t="s">
        <v>22</v>
      </c>
      <c r="C204">
        <v>2022</v>
      </c>
      <c r="D204" t="s">
        <v>12</v>
      </c>
      <c r="E204">
        <v>0.4</v>
      </c>
      <c r="F204" t="s">
        <v>13</v>
      </c>
    </row>
    <row r="205" spans="1:6">
      <c r="A205" t="s">
        <v>30</v>
      </c>
      <c r="B205" t="s">
        <v>22</v>
      </c>
      <c r="C205">
        <v>2022</v>
      </c>
      <c r="D205" t="s">
        <v>164</v>
      </c>
      <c r="E205">
        <v>1.9279999999999999</v>
      </c>
      <c r="F205" t="s">
        <v>166</v>
      </c>
    </row>
    <row r="206" spans="1:6">
      <c r="A206" t="s">
        <v>30</v>
      </c>
      <c r="B206" t="s">
        <v>22</v>
      </c>
      <c r="C206">
        <v>2030</v>
      </c>
      <c r="D206" t="s">
        <v>6</v>
      </c>
      <c r="E206">
        <v>500</v>
      </c>
      <c r="F206" t="s">
        <v>7</v>
      </c>
    </row>
    <row r="207" spans="1:6">
      <c r="A207" t="s">
        <v>30</v>
      </c>
      <c r="B207" t="s">
        <v>22</v>
      </c>
      <c r="C207">
        <v>2030</v>
      </c>
      <c r="D207" t="s">
        <v>8</v>
      </c>
      <c r="E207">
        <v>500</v>
      </c>
      <c r="F207" t="s">
        <v>7</v>
      </c>
    </row>
    <row r="208" spans="1:6">
      <c r="A208" t="s">
        <v>30</v>
      </c>
      <c r="B208" t="s">
        <v>22</v>
      </c>
      <c r="C208">
        <v>2030</v>
      </c>
      <c r="D208" t="s">
        <v>9</v>
      </c>
      <c r="E208">
        <v>500</v>
      </c>
      <c r="F208" t="s">
        <v>7</v>
      </c>
    </row>
    <row r="209" spans="1:6">
      <c r="A209" t="s">
        <v>30</v>
      </c>
      <c r="B209" t="s">
        <v>22</v>
      </c>
      <c r="C209">
        <v>2030</v>
      </c>
      <c r="D209" t="s">
        <v>10</v>
      </c>
      <c r="E209">
        <v>20</v>
      </c>
      <c r="F209" t="s">
        <v>11</v>
      </c>
    </row>
    <row r="210" spans="1:6">
      <c r="A210" t="s">
        <v>30</v>
      </c>
      <c r="B210" t="s">
        <v>22</v>
      </c>
      <c r="C210">
        <v>2030</v>
      </c>
      <c r="D210" t="s">
        <v>12</v>
      </c>
      <c r="E210">
        <v>0.41</v>
      </c>
      <c r="F210" t="s">
        <v>13</v>
      </c>
    </row>
    <row r="211" spans="1:6">
      <c r="A211" t="s">
        <v>30</v>
      </c>
      <c r="B211" t="s">
        <v>22</v>
      </c>
      <c r="C211">
        <v>2030</v>
      </c>
      <c r="D211" t="s">
        <v>164</v>
      </c>
      <c r="E211">
        <v>1.9279999999999999</v>
      </c>
      <c r="F211" t="s">
        <v>166</v>
      </c>
    </row>
    <row r="212" spans="1:6">
      <c r="A212" t="s">
        <v>30</v>
      </c>
      <c r="B212" t="s">
        <v>22</v>
      </c>
      <c r="C212">
        <v>2050</v>
      </c>
      <c r="D212" t="s">
        <v>6</v>
      </c>
      <c r="E212">
        <v>500</v>
      </c>
      <c r="F212" t="s">
        <v>7</v>
      </c>
    </row>
    <row r="213" spans="1:6">
      <c r="A213" t="s">
        <v>30</v>
      </c>
      <c r="B213" t="s">
        <v>22</v>
      </c>
      <c r="C213">
        <v>2050</v>
      </c>
      <c r="D213" t="s">
        <v>8</v>
      </c>
      <c r="E213">
        <v>500</v>
      </c>
      <c r="F213" t="s">
        <v>7</v>
      </c>
    </row>
    <row r="214" spans="1:6">
      <c r="A214" t="s">
        <v>30</v>
      </c>
      <c r="B214" t="s">
        <v>22</v>
      </c>
      <c r="C214">
        <v>2050</v>
      </c>
      <c r="D214" t="s">
        <v>9</v>
      </c>
      <c r="E214">
        <v>500</v>
      </c>
      <c r="F214" t="s">
        <v>7</v>
      </c>
    </row>
    <row r="215" spans="1:6">
      <c r="A215" t="s">
        <v>30</v>
      </c>
      <c r="B215" t="s">
        <v>22</v>
      </c>
      <c r="C215">
        <v>2050</v>
      </c>
      <c r="D215" t="s">
        <v>10</v>
      </c>
      <c r="E215">
        <v>20</v>
      </c>
      <c r="F215" t="s">
        <v>11</v>
      </c>
    </row>
    <row r="216" spans="1:6">
      <c r="A216" t="s">
        <v>30</v>
      </c>
      <c r="B216" t="s">
        <v>22</v>
      </c>
      <c r="C216">
        <v>2050</v>
      </c>
      <c r="D216" t="s">
        <v>12</v>
      </c>
      <c r="E216">
        <v>0.42</v>
      </c>
      <c r="F216" t="s">
        <v>13</v>
      </c>
    </row>
    <row r="217" spans="1:6">
      <c r="A217" t="s">
        <v>30</v>
      </c>
      <c r="B217" t="s">
        <v>22</v>
      </c>
      <c r="C217">
        <v>2050</v>
      </c>
      <c r="D217" t="s">
        <v>164</v>
      </c>
      <c r="E217">
        <v>1.9279999999999999</v>
      </c>
      <c r="F217" t="s">
        <v>166</v>
      </c>
    </row>
    <row r="218" spans="1:6">
      <c r="A218" t="s">
        <v>30</v>
      </c>
      <c r="B218" t="s">
        <v>23</v>
      </c>
      <c r="C218">
        <v>2022</v>
      </c>
      <c r="D218" t="s">
        <v>6</v>
      </c>
      <c r="E218">
        <v>450</v>
      </c>
      <c r="F218" t="s">
        <v>7</v>
      </c>
    </row>
    <row r="219" spans="1:6">
      <c r="A219" t="s">
        <v>30</v>
      </c>
      <c r="B219" t="s">
        <v>23</v>
      </c>
      <c r="C219">
        <v>2022</v>
      </c>
      <c r="D219" t="s">
        <v>8</v>
      </c>
      <c r="E219">
        <v>450</v>
      </c>
      <c r="F219" t="s">
        <v>7</v>
      </c>
    </row>
    <row r="220" spans="1:6">
      <c r="A220" t="s">
        <v>30</v>
      </c>
      <c r="B220" t="s">
        <v>23</v>
      </c>
      <c r="C220">
        <v>2022</v>
      </c>
      <c r="D220" t="s">
        <v>9</v>
      </c>
      <c r="E220">
        <v>450</v>
      </c>
      <c r="F220" t="s">
        <v>7</v>
      </c>
    </row>
    <row r="221" spans="1:6">
      <c r="A221" t="s">
        <v>30</v>
      </c>
      <c r="B221" t="s">
        <v>23</v>
      </c>
      <c r="C221">
        <v>2022</v>
      </c>
      <c r="D221" t="s">
        <v>10</v>
      </c>
      <c r="E221">
        <v>25</v>
      </c>
      <c r="F221" t="s">
        <v>11</v>
      </c>
    </row>
    <row r="222" spans="1:6">
      <c r="A222" t="s">
        <v>30</v>
      </c>
      <c r="B222" t="s">
        <v>23</v>
      </c>
      <c r="C222">
        <v>2022</v>
      </c>
      <c r="D222" t="s">
        <v>12</v>
      </c>
      <c r="E222">
        <v>0.38</v>
      </c>
      <c r="F222" t="s">
        <v>13</v>
      </c>
    </row>
    <row r="223" spans="1:6">
      <c r="A223" t="s">
        <v>30</v>
      </c>
      <c r="B223" t="s">
        <v>23</v>
      </c>
      <c r="C223">
        <v>2022</v>
      </c>
      <c r="D223" t="s">
        <v>164</v>
      </c>
      <c r="E223">
        <v>1.9279999999999999</v>
      </c>
      <c r="F223" t="s">
        <v>166</v>
      </c>
    </row>
    <row r="224" spans="1:6">
      <c r="A224" t="s">
        <v>30</v>
      </c>
      <c r="B224" t="s">
        <v>23</v>
      </c>
      <c r="C224">
        <v>2030</v>
      </c>
      <c r="D224" t="s">
        <v>6</v>
      </c>
      <c r="E224">
        <v>450</v>
      </c>
      <c r="F224" t="s">
        <v>7</v>
      </c>
    </row>
    <row r="225" spans="1:6">
      <c r="A225" t="s">
        <v>30</v>
      </c>
      <c r="B225" t="s">
        <v>23</v>
      </c>
      <c r="C225">
        <v>2030</v>
      </c>
      <c r="D225" t="s">
        <v>8</v>
      </c>
      <c r="E225">
        <v>450</v>
      </c>
      <c r="F225" t="s">
        <v>7</v>
      </c>
    </row>
    <row r="226" spans="1:6">
      <c r="A226" t="s">
        <v>30</v>
      </c>
      <c r="B226" t="s">
        <v>23</v>
      </c>
      <c r="C226">
        <v>2030</v>
      </c>
      <c r="D226" t="s">
        <v>9</v>
      </c>
      <c r="E226">
        <v>450</v>
      </c>
      <c r="F226" t="s">
        <v>7</v>
      </c>
    </row>
    <row r="227" spans="1:6">
      <c r="A227" t="s">
        <v>30</v>
      </c>
      <c r="B227" t="s">
        <v>23</v>
      </c>
      <c r="C227">
        <v>2030</v>
      </c>
      <c r="D227" t="s">
        <v>10</v>
      </c>
      <c r="E227">
        <v>25</v>
      </c>
      <c r="F227" t="s">
        <v>11</v>
      </c>
    </row>
    <row r="228" spans="1:6">
      <c r="A228" t="s">
        <v>30</v>
      </c>
      <c r="B228" t="s">
        <v>23</v>
      </c>
      <c r="C228">
        <v>2030</v>
      </c>
      <c r="D228" t="s">
        <v>12</v>
      </c>
      <c r="E228">
        <v>0.39</v>
      </c>
      <c r="F228" t="s">
        <v>13</v>
      </c>
    </row>
    <row r="229" spans="1:6">
      <c r="A229" t="s">
        <v>30</v>
      </c>
      <c r="B229" t="s">
        <v>23</v>
      </c>
      <c r="C229">
        <v>2030</v>
      </c>
      <c r="D229" t="s">
        <v>164</v>
      </c>
      <c r="E229">
        <v>1.9279999999999999</v>
      </c>
      <c r="F229" t="s">
        <v>166</v>
      </c>
    </row>
    <row r="230" spans="1:6">
      <c r="A230" t="s">
        <v>30</v>
      </c>
      <c r="B230" t="s">
        <v>23</v>
      </c>
      <c r="C230">
        <v>2050</v>
      </c>
      <c r="D230" t="s">
        <v>6</v>
      </c>
      <c r="E230">
        <v>450</v>
      </c>
      <c r="F230" t="s">
        <v>7</v>
      </c>
    </row>
    <row r="231" spans="1:6">
      <c r="A231" t="s">
        <v>30</v>
      </c>
      <c r="B231" t="s">
        <v>23</v>
      </c>
      <c r="C231">
        <v>2050</v>
      </c>
      <c r="D231" t="s">
        <v>8</v>
      </c>
      <c r="E231">
        <v>450</v>
      </c>
      <c r="F231" t="s">
        <v>7</v>
      </c>
    </row>
    <row r="232" spans="1:6">
      <c r="A232" t="s">
        <v>30</v>
      </c>
      <c r="B232" t="s">
        <v>23</v>
      </c>
      <c r="C232">
        <v>2050</v>
      </c>
      <c r="D232" t="s">
        <v>9</v>
      </c>
      <c r="E232">
        <v>450</v>
      </c>
      <c r="F232" t="s">
        <v>7</v>
      </c>
    </row>
    <row r="233" spans="1:6">
      <c r="A233" t="s">
        <v>30</v>
      </c>
      <c r="B233" t="s">
        <v>23</v>
      </c>
      <c r="C233">
        <v>2050</v>
      </c>
      <c r="D233" t="s">
        <v>10</v>
      </c>
      <c r="E233">
        <v>25</v>
      </c>
      <c r="F233" t="s">
        <v>11</v>
      </c>
    </row>
    <row r="234" spans="1:6">
      <c r="A234" t="s">
        <v>30</v>
      </c>
      <c r="B234" t="s">
        <v>23</v>
      </c>
      <c r="C234">
        <v>2050</v>
      </c>
      <c r="D234" t="s">
        <v>12</v>
      </c>
      <c r="E234">
        <v>0.41</v>
      </c>
      <c r="F234" t="s">
        <v>13</v>
      </c>
    </row>
    <row r="235" spans="1:6">
      <c r="A235" t="s">
        <v>30</v>
      </c>
      <c r="B235" t="s">
        <v>23</v>
      </c>
      <c r="C235">
        <v>2050</v>
      </c>
      <c r="D235" t="s">
        <v>164</v>
      </c>
      <c r="E235">
        <v>1.9279999999999999</v>
      </c>
      <c r="F235" t="s">
        <v>166</v>
      </c>
    </row>
    <row r="236" spans="1:6">
      <c r="A236" t="s">
        <v>30</v>
      </c>
      <c r="B236" t="s">
        <v>24</v>
      </c>
      <c r="C236">
        <v>2022</v>
      </c>
      <c r="D236" t="s">
        <v>6</v>
      </c>
      <c r="E236">
        <v>350</v>
      </c>
      <c r="F236" t="s">
        <v>7</v>
      </c>
    </row>
    <row r="237" spans="1:6">
      <c r="A237" t="s">
        <v>30</v>
      </c>
      <c r="B237" t="s">
        <v>24</v>
      </c>
      <c r="C237">
        <v>2022</v>
      </c>
      <c r="D237" t="s">
        <v>8</v>
      </c>
      <c r="E237">
        <v>350</v>
      </c>
      <c r="F237" t="s">
        <v>7</v>
      </c>
    </row>
    <row r="238" spans="1:6">
      <c r="A238" t="s">
        <v>30</v>
      </c>
      <c r="B238" t="s">
        <v>24</v>
      </c>
      <c r="C238">
        <v>2022</v>
      </c>
      <c r="D238" t="s">
        <v>9</v>
      </c>
      <c r="E238">
        <v>350</v>
      </c>
      <c r="F238" t="s">
        <v>7</v>
      </c>
    </row>
    <row r="239" spans="1:6">
      <c r="A239" t="s">
        <v>30</v>
      </c>
      <c r="B239" t="s">
        <v>24</v>
      </c>
      <c r="C239">
        <v>2022</v>
      </c>
      <c r="D239" t="s">
        <v>10</v>
      </c>
      <c r="E239">
        <v>20</v>
      </c>
      <c r="F239" t="s">
        <v>11</v>
      </c>
    </row>
    <row r="240" spans="1:6">
      <c r="A240" t="s">
        <v>30</v>
      </c>
      <c r="B240" t="s">
        <v>24</v>
      </c>
      <c r="C240">
        <v>2022</v>
      </c>
      <c r="D240" t="s">
        <v>12</v>
      </c>
      <c r="E240">
        <v>0.38</v>
      </c>
      <c r="F240" t="s">
        <v>13</v>
      </c>
    </row>
    <row r="241" spans="1:6">
      <c r="A241" t="s">
        <v>30</v>
      </c>
      <c r="B241" t="s">
        <v>24</v>
      </c>
      <c r="C241">
        <v>2022</v>
      </c>
      <c r="D241" t="s">
        <v>164</v>
      </c>
      <c r="E241">
        <v>1.9279999999999999</v>
      </c>
      <c r="F241" t="s">
        <v>166</v>
      </c>
    </row>
    <row r="242" spans="1:6">
      <c r="A242" t="s">
        <v>30</v>
      </c>
      <c r="B242" t="s">
        <v>24</v>
      </c>
      <c r="C242">
        <v>2030</v>
      </c>
      <c r="D242" t="s">
        <v>6</v>
      </c>
      <c r="E242">
        <v>350</v>
      </c>
      <c r="F242" t="s">
        <v>7</v>
      </c>
    </row>
    <row r="243" spans="1:6">
      <c r="A243" t="s">
        <v>30</v>
      </c>
      <c r="B243" t="s">
        <v>24</v>
      </c>
      <c r="C243">
        <v>2030</v>
      </c>
      <c r="D243" t="s">
        <v>8</v>
      </c>
      <c r="E243">
        <v>350</v>
      </c>
      <c r="F243" t="s">
        <v>7</v>
      </c>
    </row>
    <row r="244" spans="1:6">
      <c r="A244" t="s">
        <v>30</v>
      </c>
      <c r="B244" t="s">
        <v>24</v>
      </c>
      <c r="C244">
        <v>2030</v>
      </c>
      <c r="D244" t="s">
        <v>9</v>
      </c>
      <c r="E244">
        <v>350</v>
      </c>
      <c r="F244" t="s">
        <v>7</v>
      </c>
    </row>
    <row r="245" spans="1:6">
      <c r="A245" t="s">
        <v>30</v>
      </c>
      <c r="B245" t="s">
        <v>24</v>
      </c>
      <c r="C245">
        <v>2030</v>
      </c>
      <c r="D245" t="s">
        <v>10</v>
      </c>
      <c r="E245">
        <v>20</v>
      </c>
      <c r="F245" t="s">
        <v>11</v>
      </c>
    </row>
    <row r="246" spans="1:6">
      <c r="A246" t="s">
        <v>30</v>
      </c>
      <c r="B246" t="s">
        <v>24</v>
      </c>
      <c r="C246">
        <v>2030</v>
      </c>
      <c r="D246" t="s">
        <v>12</v>
      </c>
      <c r="E246">
        <v>0.39</v>
      </c>
      <c r="F246" t="s">
        <v>13</v>
      </c>
    </row>
    <row r="247" spans="1:6">
      <c r="A247" t="s">
        <v>30</v>
      </c>
      <c r="B247" t="s">
        <v>24</v>
      </c>
      <c r="C247">
        <v>2030</v>
      </c>
      <c r="D247" t="s">
        <v>164</v>
      </c>
      <c r="E247">
        <v>1.9279999999999999</v>
      </c>
      <c r="F247" t="s">
        <v>166</v>
      </c>
    </row>
    <row r="248" spans="1:6">
      <c r="A248" t="s">
        <v>30</v>
      </c>
      <c r="B248" t="s">
        <v>24</v>
      </c>
      <c r="C248">
        <v>2050</v>
      </c>
      <c r="D248" t="s">
        <v>6</v>
      </c>
      <c r="E248">
        <v>350</v>
      </c>
      <c r="F248" t="s">
        <v>7</v>
      </c>
    </row>
    <row r="249" spans="1:6">
      <c r="A249" t="s">
        <v>30</v>
      </c>
      <c r="B249" t="s">
        <v>24</v>
      </c>
      <c r="C249">
        <v>2050</v>
      </c>
      <c r="D249" t="s">
        <v>8</v>
      </c>
      <c r="E249">
        <v>350</v>
      </c>
      <c r="F249" t="s">
        <v>7</v>
      </c>
    </row>
    <row r="250" spans="1:6">
      <c r="A250" t="s">
        <v>30</v>
      </c>
      <c r="B250" t="s">
        <v>24</v>
      </c>
      <c r="C250">
        <v>2050</v>
      </c>
      <c r="D250" t="s">
        <v>9</v>
      </c>
      <c r="E250">
        <v>350</v>
      </c>
      <c r="F250" t="s">
        <v>7</v>
      </c>
    </row>
    <row r="251" spans="1:6">
      <c r="A251" t="s">
        <v>30</v>
      </c>
      <c r="B251" t="s">
        <v>24</v>
      </c>
      <c r="C251">
        <v>2050</v>
      </c>
      <c r="D251" t="s">
        <v>10</v>
      </c>
      <c r="E251">
        <v>20</v>
      </c>
      <c r="F251" t="s">
        <v>11</v>
      </c>
    </row>
    <row r="252" spans="1:6">
      <c r="A252" t="s">
        <v>30</v>
      </c>
      <c r="B252" t="s">
        <v>24</v>
      </c>
      <c r="C252">
        <v>2050</v>
      </c>
      <c r="D252" t="s">
        <v>12</v>
      </c>
      <c r="E252">
        <v>0.41</v>
      </c>
      <c r="F252" t="s">
        <v>13</v>
      </c>
    </row>
    <row r="253" spans="1:6">
      <c r="A253" t="s">
        <v>30</v>
      </c>
      <c r="B253" t="s">
        <v>24</v>
      </c>
      <c r="C253">
        <v>2050</v>
      </c>
      <c r="D253" t="s">
        <v>164</v>
      </c>
      <c r="E253">
        <v>1.9279999999999999</v>
      </c>
      <c r="F253" t="s">
        <v>166</v>
      </c>
    </row>
    <row r="254" spans="1:6">
      <c r="A254" t="s">
        <v>30</v>
      </c>
      <c r="B254" t="s">
        <v>25</v>
      </c>
      <c r="C254">
        <v>2022</v>
      </c>
      <c r="D254" t="s">
        <v>6</v>
      </c>
      <c r="E254">
        <v>400</v>
      </c>
      <c r="F254" t="s">
        <v>7</v>
      </c>
    </row>
    <row r="255" spans="1:6">
      <c r="A255" t="s">
        <v>30</v>
      </c>
      <c r="B255" t="s">
        <v>25</v>
      </c>
      <c r="C255">
        <v>2022</v>
      </c>
      <c r="D255" t="s">
        <v>8</v>
      </c>
      <c r="E255">
        <v>400</v>
      </c>
      <c r="F255" t="s">
        <v>7</v>
      </c>
    </row>
    <row r="256" spans="1:6">
      <c r="A256" t="s">
        <v>30</v>
      </c>
      <c r="B256" t="s">
        <v>25</v>
      </c>
      <c r="C256">
        <v>2022</v>
      </c>
      <c r="D256" t="s">
        <v>9</v>
      </c>
      <c r="E256">
        <v>400</v>
      </c>
      <c r="F256" t="s">
        <v>7</v>
      </c>
    </row>
    <row r="257" spans="1:6">
      <c r="A257" t="s">
        <v>30</v>
      </c>
      <c r="B257" t="s">
        <v>25</v>
      </c>
      <c r="C257">
        <v>2022</v>
      </c>
      <c r="D257" t="s">
        <v>10</v>
      </c>
      <c r="E257">
        <v>20</v>
      </c>
      <c r="F257" t="s">
        <v>11</v>
      </c>
    </row>
    <row r="258" spans="1:6">
      <c r="A258" t="s">
        <v>30</v>
      </c>
      <c r="B258" t="s">
        <v>25</v>
      </c>
      <c r="C258">
        <v>2022</v>
      </c>
      <c r="D258" t="s">
        <v>12</v>
      </c>
      <c r="E258">
        <v>0.38</v>
      </c>
      <c r="F258" t="s">
        <v>13</v>
      </c>
    </row>
    <row r="259" spans="1:6">
      <c r="A259" t="s">
        <v>30</v>
      </c>
      <c r="B259" t="s">
        <v>25</v>
      </c>
      <c r="C259">
        <v>2022</v>
      </c>
      <c r="D259" t="s">
        <v>164</v>
      </c>
      <c r="E259">
        <v>1.9279999999999999</v>
      </c>
      <c r="F259" t="s">
        <v>166</v>
      </c>
    </row>
    <row r="260" spans="1:6">
      <c r="A260" t="s">
        <v>30</v>
      </c>
      <c r="B260" t="s">
        <v>25</v>
      </c>
      <c r="C260">
        <v>2030</v>
      </c>
      <c r="D260" t="s">
        <v>6</v>
      </c>
      <c r="E260">
        <v>400</v>
      </c>
      <c r="F260" t="s">
        <v>7</v>
      </c>
    </row>
    <row r="261" spans="1:6">
      <c r="A261" t="s">
        <v>30</v>
      </c>
      <c r="B261" t="s">
        <v>25</v>
      </c>
      <c r="C261">
        <v>2030</v>
      </c>
      <c r="D261" t="s">
        <v>8</v>
      </c>
      <c r="E261">
        <v>400</v>
      </c>
      <c r="F261" t="s">
        <v>7</v>
      </c>
    </row>
    <row r="262" spans="1:6">
      <c r="A262" t="s">
        <v>30</v>
      </c>
      <c r="B262" t="s">
        <v>25</v>
      </c>
      <c r="C262">
        <v>2030</v>
      </c>
      <c r="D262" t="s">
        <v>9</v>
      </c>
      <c r="E262">
        <v>400</v>
      </c>
      <c r="F262" t="s">
        <v>7</v>
      </c>
    </row>
    <row r="263" spans="1:6">
      <c r="A263" t="s">
        <v>30</v>
      </c>
      <c r="B263" t="s">
        <v>25</v>
      </c>
      <c r="C263">
        <v>2030</v>
      </c>
      <c r="D263" t="s">
        <v>10</v>
      </c>
      <c r="E263">
        <v>20</v>
      </c>
      <c r="F263" t="s">
        <v>11</v>
      </c>
    </row>
    <row r="264" spans="1:6">
      <c r="A264" t="s">
        <v>30</v>
      </c>
      <c r="B264" t="s">
        <v>25</v>
      </c>
      <c r="C264">
        <v>2030</v>
      </c>
      <c r="D264" t="s">
        <v>12</v>
      </c>
      <c r="E264">
        <v>0.39</v>
      </c>
      <c r="F264" t="s">
        <v>13</v>
      </c>
    </row>
    <row r="265" spans="1:6">
      <c r="A265" t="s">
        <v>30</v>
      </c>
      <c r="B265" t="s">
        <v>25</v>
      </c>
      <c r="C265">
        <v>2030</v>
      </c>
      <c r="D265" t="s">
        <v>164</v>
      </c>
      <c r="E265">
        <v>1.9279999999999999</v>
      </c>
      <c r="F265" t="s">
        <v>166</v>
      </c>
    </row>
    <row r="266" spans="1:6">
      <c r="A266" t="s">
        <v>30</v>
      </c>
      <c r="B266" t="s">
        <v>25</v>
      </c>
      <c r="C266">
        <v>2050</v>
      </c>
      <c r="D266" t="s">
        <v>6</v>
      </c>
      <c r="E266">
        <v>400</v>
      </c>
      <c r="F266" t="s">
        <v>7</v>
      </c>
    </row>
    <row r="267" spans="1:6">
      <c r="A267" t="s">
        <v>30</v>
      </c>
      <c r="B267" t="s">
        <v>25</v>
      </c>
      <c r="C267">
        <v>2050</v>
      </c>
      <c r="D267" t="s">
        <v>8</v>
      </c>
      <c r="E267">
        <v>400</v>
      </c>
      <c r="F267" t="s">
        <v>7</v>
      </c>
    </row>
    <row r="268" spans="1:6">
      <c r="A268" t="s">
        <v>30</v>
      </c>
      <c r="B268" t="s">
        <v>25</v>
      </c>
      <c r="C268">
        <v>2050</v>
      </c>
      <c r="D268" t="s">
        <v>9</v>
      </c>
      <c r="E268">
        <v>400</v>
      </c>
      <c r="F268" t="s">
        <v>7</v>
      </c>
    </row>
    <row r="269" spans="1:6">
      <c r="A269" t="s">
        <v>30</v>
      </c>
      <c r="B269" t="s">
        <v>25</v>
      </c>
      <c r="C269">
        <v>2050</v>
      </c>
      <c r="D269" t="s">
        <v>10</v>
      </c>
      <c r="E269">
        <v>20</v>
      </c>
      <c r="F269" t="s">
        <v>11</v>
      </c>
    </row>
    <row r="270" spans="1:6">
      <c r="A270" t="s">
        <v>30</v>
      </c>
      <c r="B270" t="s">
        <v>25</v>
      </c>
      <c r="C270">
        <v>2050</v>
      </c>
      <c r="D270" t="s">
        <v>12</v>
      </c>
      <c r="E270">
        <v>0.41</v>
      </c>
      <c r="F270" t="s">
        <v>13</v>
      </c>
    </row>
    <row r="271" spans="1:6">
      <c r="A271" t="s">
        <v>30</v>
      </c>
      <c r="B271" t="s">
        <v>25</v>
      </c>
      <c r="C271">
        <v>2050</v>
      </c>
      <c r="D271" t="s">
        <v>164</v>
      </c>
      <c r="E271">
        <v>1.9279999999999999</v>
      </c>
      <c r="F271" t="s">
        <v>166</v>
      </c>
    </row>
    <row r="272" spans="1:6">
      <c r="A272" t="s">
        <v>30</v>
      </c>
      <c r="B272" t="s">
        <v>26</v>
      </c>
      <c r="C272">
        <v>2022</v>
      </c>
      <c r="D272" t="s">
        <v>6</v>
      </c>
      <c r="E272">
        <v>450</v>
      </c>
      <c r="F272" t="s">
        <v>7</v>
      </c>
    </row>
    <row r="273" spans="1:6">
      <c r="A273" t="s">
        <v>30</v>
      </c>
      <c r="B273" t="s">
        <v>26</v>
      </c>
      <c r="C273">
        <v>2022</v>
      </c>
      <c r="D273" t="s">
        <v>8</v>
      </c>
      <c r="E273">
        <v>450</v>
      </c>
      <c r="F273" t="s">
        <v>7</v>
      </c>
    </row>
    <row r="274" spans="1:6">
      <c r="A274" t="s">
        <v>30</v>
      </c>
      <c r="B274" t="s">
        <v>26</v>
      </c>
      <c r="C274">
        <v>2022</v>
      </c>
      <c r="D274" t="s">
        <v>9</v>
      </c>
      <c r="E274">
        <v>450</v>
      </c>
      <c r="F274" t="s">
        <v>7</v>
      </c>
    </row>
    <row r="275" spans="1:6">
      <c r="A275" t="s">
        <v>30</v>
      </c>
      <c r="B275" t="s">
        <v>26</v>
      </c>
      <c r="C275">
        <v>2022</v>
      </c>
      <c r="D275" t="s">
        <v>10</v>
      </c>
      <c r="E275">
        <v>25</v>
      </c>
      <c r="F275" t="s">
        <v>11</v>
      </c>
    </row>
    <row r="276" spans="1:6">
      <c r="A276" t="s">
        <v>30</v>
      </c>
      <c r="B276" t="s">
        <v>26</v>
      </c>
      <c r="C276">
        <v>2022</v>
      </c>
      <c r="D276" t="s">
        <v>12</v>
      </c>
      <c r="E276">
        <v>0.38</v>
      </c>
      <c r="F276" t="s">
        <v>13</v>
      </c>
    </row>
    <row r="277" spans="1:6">
      <c r="A277" t="s">
        <v>30</v>
      </c>
      <c r="B277" t="s">
        <v>26</v>
      </c>
      <c r="C277">
        <v>2022</v>
      </c>
      <c r="D277" t="s">
        <v>164</v>
      </c>
      <c r="E277">
        <v>1.9279999999999999</v>
      </c>
      <c r="F277" t="s">
        <v>166</v>
      </c>
    </row>
    <row r="278" spans="1:6">
      <c r="A278" t="s">
        <v>30</v>
      </c>
      <c r="B278" t="s">
        <v>26</v>
      </c>
      <c r="C278">
        <v>2030</v>
      </c>
      <c r="D278" t="s">
        <v>6</v>
      </c>
      <c r="E278">
        <v>450</v>
      </c>
      <c r="F278" t="s">
        <v>7</v>
      </c>
    </row>
    <row r="279" spans="1:6">
      <c r="A279" t="s">
        <v>30</v>
      </c>
      <c r="B279" t="s">
        <v>26</v>
      </c>
      <c r="C279">
        <v>2030</v>
      </c>
      <c r="D279" t="s">
        <v>8</v>
      </c>
      <c r="E279">
        <v>450</v>
      </c>
      <c r="F279" t="s">
        <v>7</v>
      </c>
    </row>
    <row r="280" spans="1:6">
      <c r="A280" t="s">
        <v>30</v>
      </c>
      <c r="B280" t="s">
        <v>26</v>
      </c>
      <c r="C280">
        <v>2030</v>
      </c>
      <c r="D280" t="s">
        <v>9</v>
      </c>
      <c r="E280">
        <v>450</v>
      </c>
      <c r="F280" t="s">
        <v>7</v>
      </c>
    </row>
    <row r="281" spans="1:6">
      <c r="A281" t="s">
        <v>30</v>
      </c>
      <c r="B281" t="s">
        <v>26</v>
      </c>
      <c r="C281">
        <v>2030</v>
      </c>
      <c r="D281" t="s">
        <v>10</v>
      </c>
      <c r="E281">
        <v>25</v>
      </c>
      <c r="F281" t="s">
        <v>11</v>
      </c>
    </row>
    <row r="282" spans="1:6">
      <c r="A282" t="s">
        <v>30</v>
      </c>
      <c r="B282" t="s">
        <v>26</v>
      </c>
      <c r="C282">
        <v>2030</v>
      </c>
      <c r="D282" t="s">
        <v>12</v>
      </c>
      <c r="E282">
        <v>0.39</v>
      </c>
      <c r="F282" t="s">
        <v>13</v>
      </c>
    </row>
    <row r="283" spans="1:6">
      <c r="A283" t="s">
        <v>30</v>
      </c>
      <c r="B283" t="s">
        <v>26</v>
      </c>
      <c r="C283">
        <v>2030</v>
      </c>
      <c r="D283" t="s">
        <v>164</v>
      </c>
      <c r="E283">
        <v>1.9279999999999999</v>
      </c>
      <c r="F283" t="s">
        <v>166</v>
      </c>
    </row>
    <row r="284" spans="1:6">
      <c r="A284" t="s">
        <v>30</v>
      </c>
      <c r="B284" t="s">
        <v>26</v>
      </c>
      <c r="C284">
        <v>2050</v>
      </c>
      <c r="D284" t="s">
        <v>6</v>
      </c>
      <c r="E284">
        <v>450</v>
      </c>
      <c r="F284" t="s">
        <v>7</v>
      </c>
    </row>
    <row r="285" spans="1:6">
      <c r="A285" t="s">
        <v>30</v>
      </c>
      <c r="B285" t="s">
        <v>26</v>
      </c>
      <c r="C285">
        <v>2050</v>
      </c>
      <c r="D285" t="s">
        <v>8</v>
      </c>
      <c r="E285">
        <v>450</v>
      </c>
      <c r="F285" t="s">
        <v>7</v>
      </c>
    </row>
    <row r="286" spans="1:6">
      <c r="A286" t="s">
        <v>30</v>
      </c>
      <c r="B286" t="s">
        <v>26</v>
      </c>
      <c r="C286">
        <v>2050</v>
      </c>
      <c r="D286" t="s">
        <v>9</v>
      </c>
      <c r="E286">
        <v>450</v>
      </c>
      <c r="F286" t="s">
        <v>7</v>
      </c>
    </row>
    <row r="287" spans="1:6">
      <c r="A287" t="s">
        <v>30</v>
      </c>
      <c r="B287" t="s">
        <v>26</v>
      </c>
      <c r="C287">
        <v>2050</v>
      </c>
      <c r="D287" t="s">
        <v>10</v>
      </c>
      <c r="E287">
        <v>25</v>
      </c>
      <c r="F287" t="s">
        <v>11</v>
      </c>
    </row>
    <row r="288" spans="1:6">
      <c r="A288" t="s">
        <v>30</v>
      </c>
      <c r="B288" t="s">
        <v>26</v>
      </c>
      <c r="C288">
        <v>2050</v>
      </c>
      <c r="D288" t="s">
        <v>12</v>
      </c>
      <c r="E288">
        <v>0.41</v>
      </c>
      <c r="F288" t="s">
        <v>13</v>
      </c>
    </row>
    <row r="289" spans="1:6">
      <c r="A289" t="s">
        <v>30</v>
      </c>
      <c r="B289" t="s">
        <v>26</v>
      </c>
      <c r="C289">
        <v>2050</v>
      </c>
      <c r="D289" t="s">
        <v>164</v>
      </c>
      <c r="E289">
        <v>1.9279999999999999</v>
      </c>
      <c r="F289" t="s">
        <v>166</v>
      </c>
    </row>
    <row r="290" spans="1:6">
      <c r="A290" t="s">
        <v>30</v>
      </c>
      <c r="B290" t="s">
        <v>27</v>
      </c>
      <c r="C290">
        <v>2022</v>
      </c>
      <c r="D290" t="s">
        <v>6</v>
      </c>
      <c r="E290">
        <v>400</v>
      </c>
      <c r="F290" t="s">
        <v>7</v>
      </c>
    </row>
    <row r="291" spans="1:6">
      <c r="A291" t="s">
        <v>30</v>
      </c>
      <c r="B291" t="s">
        <v>27</v>
      </c>
      <c r="C291">
        <v>2022</v>
      </c>
      <c r="D291" t="s">
        <v>8</v>
      </c>
      <c r="E291">
        <v>400</v>
      </c>
      <c r="F291" t="s">
        <v>7</v>
      </c>
    </row>
    <row r="292" spans="1:6">
      <c r="A292" t="s">
        <v>30</v>
      </c>
      <c r="B292" t="s">
        <v>27</v>
      </c>
      <c r="C292">
        <v>2022</v>
      </c>
      <c r="D292" t="s">
        <v>9</v>
      </c>
      <c r="E292">
        <v>400</v>
      </c>
      <c r="F292" t="s">
        <v>7</v>
      </c>
    </row>
    <row r="293" spans="1:6">
      <c r="A293" t="s">
        <v>30</v>
      </c>
      <c r="B293" t="s">
        <v>27</v>
      </c>
      <c r="C293">
        <v>2022</v>
      </c>
      <c r="D293" t="s">
        <v>10</v>
      </c>
      <c r="E293">
        <v>20</v>
      </c>
      <c r="F293" t="s">
        <v>11</v>
      </c>
    </row>
    <row r="294" spans="1:6">
      <c r="A294" t="s">
        <v>30</v>
      </c>
      <c r="B294" t="s">
        <v>27</v>
      </c>
      <c r="C294">
        <v>2022</v>
      </c>
      <c r="D294" t="s">
        <v>12</v>
      </c>
      <c r="E294">
        <v>0.38</v>
      </c>
      <c r="F294" t="s">
        <v>13</v>
      </c>
    </row>
    <row r="295" spans="1:6">
      <c r="A295" t="s">
        <v>30</v>
      </c>
      <c r="B295" t="s">
        <v>27</v>
      </c>
      <c r="C295">
        <v>2022</v>
      </c>
      <c r="D295" t="s">
        <v>164</v>
      </c>
      <c r="E295">
        <v>1.9279999999999999</v>
      </c>
      <c r="F295" t="s">
        <v>166</v>
      </c>
    </row>
    <row r="296" spans="1:6">
      <c r="A296" t="s">
        <v>30</v>
      </c>
      <c r="B296" t="s">
        <v>27</v>
      </c>
      <c r="C296">
        <v>2030</v>
      </c>
      <c r="D296" t="s">
        <v>6</v>
      </c>
      <c r="E296">
        <v>400</v>
      </c>
      <c r="F296" t="s">
        <v>7</v>
      </c>
    </row>
    <row r="297" spans="1:6">
      <c r="A297" t="s">
        <v>30</v>
      </c>
      <c r="B297" t="s">
        <v>27</v>
      </c>
      <c r="C297">
        <v>2030</v>
      </c>
      <c r="D297" t="s">
        <v>8</v>
      </c>
      <c r="E297">
        <v>400</v>
      </c>
      <c r="F297" t="s">
        <v>7</v>
      </c>
    </row>
    <row r="298" spans="1:6">
      <c r="A298" t="s">
        <v>30</v>
      </c>
      <c r="B298" t="s">
        <v>27</v>
      </c>
      <c r="C298">
        <v>2030</v>
      </c>
      <c r="D298" t="s">
        <v>9</v>
      </c>
      <c r="E298">
        <v>400</v>
      </c>
      <c r="F298" t="s">
        <v>7</v>
      </c>
    </row>
    <row r="299" spans="1:6">
      <c r="A299" t="s">
        <v>30</v>
      </c>
      <c r="B299" t="s">
        <v>27</v>
      </c>
      <c r="C299">
        <v>2030</v>
      </c>
      <c r="D299" t="s">
        <v>10</v>
      </c>
      <c r="E299">
        <v>20</v>
      </c>
      <c r="F299" t="s">
        <v>11</v>
      </c>
    </row>
    <row r="300" spans="1:6">
      <c r="A300" t="s">
        <v>30</v>
      </c>
      <c r="B300" t="s">
        <v>27</v>
      </c>
      <c r="C300">
        <v>2030</v>
      </c>
      <c r="D300" t="s">
        <v>12</v>
      </c>
      <c r="E300">
        <v>0.39</v>
      </c>
      <c r="F300" t="s">
        <v>13</v>
      </c>
    </row>
    <row r="301" spans="1:6">
      <c r="A301" t="s">
        <v>30</v>
      </c>
      <c r="B301" t="s">
        <v>27</v>
      </c>
      <c r="C301">
        <v>2030</v>
      </c>
      <c r="D301" t="s">
        <v>164</v>
      </c>
      <c r="E301">
        <v>1.9279999999999999</v>
      </c>
      <c r="F301" t="s">
        <v>166</v>
      </c>
    </row>
    <row r="302" spans="1:6">
      <c r="A302" t="s">
        <v>30</v>
      </c>
      <c r="B302" t="s">
        <v>27</v>
      </c>
      <c r="C302">
        <v>2050</v>
      </c>
      <c r="D302" t="s">
        <v>6</v>
      </c>
      <c r="E302">
        <v>400</v>
      </c>
      <c r="F302" t="s">
        <v>7</v>
      </c>
    </row>
    <row r="303" spans="1:6">
      <c r="A303" t="s">
        <v>30</v>
      </c>
      <c r="B303" t="s">
        <v>27</v>
      </c>
      <c r="C303">
        <v>2050</v>
      </c>
      <c r="D303" t="s">
        <v>8</v>
      </c>
      <c r="E303">
        <v>400</v>
      </c>
      <c r="F303" t="s">
        <v>7</v>
      </c>
    </row>
    <row r="304" spans="1:6">
      <c r="A304" t="s">
        <v>30</v>
      </c>
      <c r="B304" t="s">
        <v>27</v>
      </c>
      <c r="C304">
        <v>2050</v>
      </c>
      <c r="D304" t="s">
        <v>9</v>
      </c>
      <c r="E304">
        <v>400</v>
      </c>
      <c r="F304" t="s">
        <v>7</v>
      </c>
    </row>
    <row r="305" spans="1:6">
      <c r="A305" t="s">
        <v>30</v>
      </c>
      <c r="B305" t="s">
        <v>27</v>
      </c>
      <c r="C305">
        <v>2050</v>
      </c>
      <c r="D305" t="s">
        <v>10</v>
      </c>
      <c r="E305">
        <v>20</v>
      </c>
      <c r="F305" t="s">
        <v>11</v>
      </c>
    </row>
    <row r="306" spans="1:6">
      <c r="A306" t="s">
        <v>30</v>
      </c>
      <c r="B306" t="s">
        <v>27</v>
      </c>
      <c r="C306">
        <v>2050</v>
      </c>
      <c r="D306" t="s">
        <v>12</v>
      </c>
      <c r="E306">
        <v>0.41</v>
      </c>
      <c r="F306" t="s">
        <v>13</v>
      </c>
    </row>
    <row r="307" spans="1:6">
      <c r="A307" t="s">
        <v>30</v>
      </c>
      <c r="B307" t="s">
        <v>27</v>
      </c>
      <c r="C307">
        <v>2050</v>
      </c>
      <c r="D307" t="s">
        <v>164</v>
      </c>
      <c r="E307">
        <v>1.9279999999999999</v>
      </c>
      <c r="F307" t="s">
        <v>166</v>
      </c>
    </row>
    <row r="308" spans="1:6">
      <c r="A308" t="s">
        <v>30</v>
      </c>
      <c r="B308" t="s">
        <v>28</v>
      </c>
      <c r="C308">
        <v>2022</v>
      </c>
      <c r="D308" t="s">
        <v>6</v>
      </c>
      <c r="E308">
        <v>400</v>
      </c>
      <c r="F308" t="s">
        <v>7</v>
      </c>
    </row>
    <row r="309" spans="1:6">
      <c r="A309" t="s">
        <v>30</v>
      </c>
      <c r="B309" t="s">
        <v>28</v>
      </c>
      <c r="C309">
        <v>2022</v>
      </c>
      <c r="D309" t="s">
        <v>8</v>
      </c>
      <c r="E309">
        <v>400</v>
      </c>
      <c r="F309" t="s">
        <v>7</v>
      </c>
    </row>
    <row r="310" spans="1:6">
      <c r="A310" t="s">
        <v>30</v>
      </c>
      <c r="B310" t="s">
        <v>28</v>
      </c>
      <c r="C310">
        <v>2022</v>
      </c>
      <c r="D310" t="s">
        <v>9</v>
      </c>
      <c r="E310">
        <v>400</v>
      </c>
      <c r="F310" t="s">
        <v>7</v>
      </c>
    </row>
    <row r="311" spans="1:6">
      <c r="A311" t="s">
        <v>30</v>
      </c>
      <c r="B311" t="s">
        <v>28</v>
      </c>
      <c r="C311">
        <v>2022</v>
      </c>
      <c r="D311" t="s">
        <v>10</v>
      </c>
      <c r="E311">
        <v>20</v>
      </c>
      <c r="F311" t="s">
        <v>11</v>
      </c>
    </row>
    <row r="312" spans="1:6">
      <c r="A312" t="s">
        <v>30</v>
      </c>
      <c r="B312" t="s">
        <v>28</v>
      </c>
      <c r="C312">
        <v>2022</v>
      </c>
      <c r="D312" t="s">
        <v>12</v>
      </c>
      <c r="E312">
        <v>0.38</v>
      </c>
      <c r="F312" t="s">
        <v>13</v>
      </c>
    </row>
    <row r="313" spans="1:6">
      <c r="A313" t="s">
        <v>30</v>
      </c>
      <c r="B313" t="s">
        <v>28</v>
      </c>
      <c r="C313">
        <v>2022</v>
      </c>
      <c r="D313" t="s">
        <v>164</v>
      </c>
      <c r="E313">
        <v>1.9279999999999999</v>
      </c>
      <c r="F313" t="s">
        <v>166</v>
      </c>
    </row>
    <row r="314" spans="1:6">
      <c r="A314" t="s">
        <v>30</v>
      </c>
      <c r="B314" t="s">
        <v>28</v>
      </c>
      <c r="C314">
        <v>2030</v>
      </c>
      <c r="D314" t="s">
        <v>6</v>
      </c>
      <c r="E314">
        <v>400</v>
      </c>
      <c r="F314" t="s">
        <v>7</v>
      </c>
    </row>
    <row r="315" spans="1:6">
      <c r="A315" t="s">
        <v>30</v>
      </c>
      <c r="B315" t="s">
        <v>28</v>
      </c>
      <c r="C315">
        <v>2030</v>
      </c>
      <c r="D315" t="s">
        <v>8</v>
      </c>
      <c r="E315">
        <v>400</v>
      </c>
      <c r="F315" t="s">
        <v>7</v>
      </c>
    </row>
    <row r="316" spans="1:6">
      <c r="A316" t="s">
        <v>30</v>
      </c>
      <c r="B316" t="s">
        <v>28</v>
      </c>
      <c r="C316">
        <v>2030</v>
      </c>
      <c r="D316" t="s">
        <v>9</v>
      </c>
      <c r="E316">
        <v>400</v>
      </c>
      <c r="F316" t="s">
        <v>7</v>
      </c>
    </row>
    <row r="317" spans="1:6">
      <c r="A317" t="s">
        <v>30</v>
      </c>
      <c r="B317" t="s">
        <v>28</v>
      </c>
      <c r="C317">
        <v>2030</v>
      </c>
      <c r="D317" t="s">
        <v>10</v>
      </c>
      <c r="E317">
        <v>20</v>
      </c>
      <c r="F317" t="s">
        <v>11</v>
      </c>
    </row>
    <row r="318" spans="1:6">
      <c r="A318" t="s">
        <v>30</v>
      </c>
      <c r="B318" t="s">
        <v>28</v>
      </c>
      <c r="C318">
        <v>2030</v>
      </c>
      <c r="D318" t="s">
        <v>12</v>
      </c>
      <c r="E318">
        <v>0.39</v>
      </c>
      <c r="F318" t="s">
        <v>13</v>
      </c>
    </row>
    <row r="319" spans="1:6">
      <c r="A319" t="s">
        <v>30</v>
      </c>
      <c r="B319" t="s">
        <v>28</v>
      </c>
      <c r="C319">
        <v>2030</v>
      </c>
      <c r="D319" t="s">
        <v>164</v>
      </c>
      <c r="E319">
        <v>1.9279999999999999</v>
      </c>
      <c r="F319" t="s">
        <v>166</v>
      </c>
    </row>
    <row r="320" spans="1:6">
      <c r="A320" t="s">
        <v>30</v>
      </c>
      <c r="B320" t="s">
        <v>28</v>
      </c>
      <c r="C320">
        <v>2050</v>
      </c>
      <c r="D320" t="s">
        <v>6</v>
      </c>
      <c r="E320">
        <v>400</v>
      </c>
      <c r="F320" t="s">
        <v>7</v>
      </c>
    </row>
    <row r="321" spans="1:6">
      <c r="A321" t="s">
        <v>30</v>
      </c>
      <c r="B321" t="s">
        <v>28</v>
      </c>
      <c r="C321">
        <v>2050</v>
      </c>
      <c r="D321" t="s">
        <v>8</v>
      </c>
      <c r="E321">
        <v>400</v>
      </c>
      <c r="F321" t="s">
        <v>7</v>
      </c>
    </row>
    <row r="322" spans="1:6">
      <c r="A322" t="s">
        <v>30</v>
      </c>
      <c r="B322" t="s">
        <v>28</v>
      </c>
      <c r="C322">
        <v>2050</v>
      </c>
      <c r="D322" t="s">
        <v>9</v>
      </c>
      <c r="E322">
        <v>400</v>
      </c>
      <c r="F322" t="s">
        <v>7</v>
      </c>
    </row>
    <row r="323" spans="1:6">
      <c r="A323" t="s">
        <v>30</v>
      </c>
      <c r="B323" t="s">
        <v>28</v>
      </c>
      <c r="C323">
        <v>2050</v>
      </c>
      <c r="D323" t="s">
        <v>10</v>
      </c>
      <c r="E323">
        <v>20</v>
      </c>
      <c r="F323" t="s">
        <v>11</v>
      </c>
    </row>
    <row r="324" spans="1:6">
      <c r="A324" t="s">
        <v>30</v>
      </c>
      <c r="B324" t="s">
        <v>28</v>
      </c>
      <c r="C324">
        <v>2050</v>
      </c>
      <c r="D324" t="s">
        <v>12</v>
      </c>
      <c r="E324">
        <v>0.41</v>
      </c>
      <c r="F324" t="s">
        <v>13</v>
      </c>
    </row>
    <row r="325" spans="1:6">
      <c r="A325" t="s">
        <v>30</v>
      </c>
      <c r="B325" t="s">
        <v>28</v>
      </c>
      <c r="C325">
        <v>2050</v>
      </c>
      <c r="D325" t="s">
        <v>164</v>
      </c>
      <c r="E325">
        <v>1.9279999999999999</v>
      </c>
      <c r="F325" t="s">
        <v>166</v>
      </c>
    </row>
    <row r="326" spans="1:6">
      <c r="A326" t="s">
        <v>31</v>
      </c>
      <c r="B326" t="s">
        <v>20</v>
      </c>
      <c r="C326">
        <v>2022</v>
      </c>
      <c r="D326" t="s">
        <v>6</v>
      </c>
      <c r="E326">
        <v>1300</v>
      </c>
      <c r="F326" t="s">
        <v>7</v>
      </c>
    </row>
    <row r="327" spans="1:6">
      <c r="A327" t="s">
        <v>31</v>
      </c>
      <c r="B327" t="s">
        <v>20</v>
      </c>
      <c r="C327">
        <v>2022</v>
      </c>
      <c r="D327" t="s">
        <v>8</v>
      </c>
      <c r="E327">
        <v>1300</v>
      </c>
      <c r="F327" t="s">
        <v>7</v>
      </c>
    </row>
    <row r="328" spans="1:6">
      <c r="A328" t="s">
        <v>31</v>
      </c>
      <c r="B328" t="s">
        <v>20</v>
      </c>
      <c r="C328">
        <v>2022</v>
      </c>
      <c r="D328" t="s">
        <v>9</v>
      </c>
      <c r="E328">
        <v>1300</v>
      </c>
      <c r="F328" t="s">
        <v>7</v>
      </c>
    </row>
    <row r="329" spans="1:6">
      <c r="A329" t="s">
        <v>31</v>
      </c>
      <c r="B329" t="s">
        <v>20</v>
      </c>
      <c r="C329">
        <v>2022</v>
      </c>
      <c r="D329" t="s">
        <v>10</v>
      </c>
      <c r="E329">
        <v>40</v>
      </c>
      <c r="F329" t="s">
        <v>11</v>
      </c>
    </row>
    <row r="330" spans="1:6">
      <c r="A330" t="s">
        <v>31</v>
      </c>
      <c r="B330" t="s">
        <v>20</v>
      </c>
      <c r="C330">
        <v>2022</v>
      </c>
      <c r="D330" t="s">
        <v>12</v>
      </c>
      <c r="E330">
        <v>0.53300000000000003</v>
      </c>
      <c r="F330" t="s">
        <v>13</v>
      </c>
    </row>
    <row r="331" spans="1:6">
      <c r="A331" t="s">
        <v>31</v>
      </c>
      <c r="B331" t="s">
        <v>20</v>
      </c>
      <c r="C331">
        <v>2022</v>
      </c>
      <c r="D331" t="s">
        <v>164</v>
      </c>
      <c r="E331">
        <v>0.69399999999999995</v>
      </c>
      <c r="F331" t="s">
        <v>166</v>
      </c>
    </row>
    <row r="332" spans="1:6">
      <c r="A332" t="s">
        <v>31</v>
      </c>
      <c r="B332" t="s">
        <v>20</v>
      </c>
      <c r="C332">
        <v>2030</v>
      </c>
      <c r="D332" t="s">
        <v>6</v>
      </c>
      <c r="E332">
        <v>1300</v>
      </c>
      <c r="F332" t="s">
        <v>7</v>
      </c>
    </row>
    <row r="333" spans="1:6">
      <c r="A333" t="s">
        <v>31</v>
      </c>
      <c r="B333" t="s">
        <v>20</v>
      </c>
      <c r="C333">
        <v>2030</v>
      </c>
      <c r="D333" t="s">
        <v>8</v>
      </c>
      <c r="E333">
        <v>1300</v>
      </c>
      <c r="F333" t="s">
        <v>7</v>
      </c>
    </row>
    <row r="334" spans="1:6">
      <c r="A334" t="s">
        <v>31</v>
      </c>
      <c r="B334" t="s">
        <v>20</v>
      </c>
      <c r="C334">
        <v>2030</v>
      </c>
      <c r="D334" t="s">
        <v>9</v>
      </c>
      <c r="E334">
        <v>1300</v>
      </c>
      <c r="F334" t="s">
        <v>7</v>
      </c>
    </row>
    <row r="335" spans="1:6">
      <c r="A335" t="s">
        <v>31</v>
      </c>
      <c r="B335" t="s">
        <v>20</v>
      </c>
      <c r="C335">
        <v>2030</v>
      </c>
      <c r="D335" t="s">
        <v>10</v>
      </c>
      <c r="E335">
        <v>40</v>
      </c>
      <c r="F335" t="s">
        <v>11</v>
      </c>
    </row>
    <row r="336" spans="1:6">
      <c r="A336" t="s">
        <v>31</v>
      </c>
      <c r="B336" t="s">
        <v>20</v>
      </c>
      <c r="C336">
        <v>2030</v>
      </c>
      <c r="D336" t="s">
        <v>12</v>
      </c>
      <c r="E336">
        <v>0.54</v>
      </c>
      <c r="F336" t="s">
        <v>13</v>
      </c>
    </row>
    <row r="337" spans="1:6">
      <c r="A337" t="s">
        <v>31</v>
      </c>
      <c r="B337" t="s">
        <v>20</v>
      </c>
      <c r="C337">
        <v>2030</v>
      </c>
      <c r="D337" t="s">
        <v>164</v>
      </c>
      <c r="E337">
        <v>0.69399999999999995</v>
      </c>
      <c r="F337" t="s">
        <v>166</v>
      </c>
    </row>
    <row r="338" spans="1:6">
      <c r="A338" t="s">
        <v>31</v>
      </c>
      <c r="B338" t="s">
        <v>20</v>
      </c>
      <c r="C338">
        <v>2050</v>
      </c>
      <c r="D338" t="s">
        <v>6</v>
      </c>
      <c r="E338">
        <v>1300</v>
      </c>
      <c r="F338" t="s">
        <v>7</v>
      </c>
    </row>
    <row r="339" spans="1:6">
      <c r="A339" t="s">
        <v>31</v>
      </c>
      <c r="B339" t="s">
        <v>20</v>
      </c>
      <c r="C339">
        <v>2050</v>
      </c>
      <c r="D339" t="s">
        <v>8</v>
      </c>
      <c r="E339">
        <v>1300</v>
      </c>
      <c r="F339" t="s">
        <v>7</v>
      </c>
    </row>
    <row r="340" spans="1:6">
      <c r="A340" t="s">
        <v>31</v>
      </c>
      <c r="B340" t="s">
        <v>20</v>
      </c>
      <c r="C340">
        <v>2050</v>
      </c>
      <c r="D340" t="s">
        <v>9</v>
      </c>
      <c r="E340">
        <v>1300</v>
      </c>
      <c r="F340" t="s">
        <v>7</v>
      </c>
    </row>
    <row r="341" spans="1:6">
      <c r="A341" t="s">
        <v>31</v>
      </c>
      <c r="B341" t="s">
        <v>20</v>
      </c>
      <c r="C341">
        <v>2050</v>
      </c>
      <c r="D341" t="s">
        <v>10</v>
      </c>
      <c r="E341">
        <v>40</v>
      </c>
      <c r="F341" t="s">
        <v>11</v>
      </c>
    </row>
    <row r="342" spans="1:6">
      <c r="A342" t="s">
        <v>31</v>
      </c>
      <c r="B342" t="s">
        <v>20</v>
      </c>
      <c r="C342">
        <v>2050</v>
      </c>
      <c r="D342" t="s">
        <v>12</v>
      </c>
      <c r="E342">
        <v>0.54600000000000004</v>
      </c>
      <c r="F342" t="s">
        <v>13</v>
      </c>
    </row>
    <row r="343" spans="1:6">
      <c r="A343" t="s">
        <v>31</v>
      </c>
      <c r="B343" t="s">
        <v>20</v>
      </c>
      <c r="C343">
        <v>2050</v>
      </c>
      <c r="D343" t="s">
        <v>164</v>
      </c>
      <c r="E343">
        <v>0.69399999999999995</v>
      </c>
      <c r="F343" t="s">
        <v>166</v>
      </c>
    </row>
    <row r="344" spans="1:6">
      <c r="A344" t="s">
        <v>31</v>
      </c>
      <c r="B344" t="s">
        <v>21</v>
      </c>
      <c r="C344">
        <v>2022</v>
      </c>
      <c r="D344" t="s">
        <v>6</v>
      </c>
      <c r="E344">
        <v>1300</v>
      </c>
      <c r="F344" t="s">
        <v>7</v>
      </c>
    </row>
    <row r="345" spans="1:6">
      <c r="A345" t="s">
        <v>31</v>
      </c>
      <c r="B345" t="s">
        <v>21</v>
      </c>
      <c r="C345">
        <v>2022</v>
      </c>
      <c r="D345" t="s">
        <v>8</v>
      </c>
      <c r="E345">
        <v>1300</v>
      </c>
      <c r="F345" t="s">
        <v>7</v>
      </c>
    </row>
    <row r="346" spans="1:6">
      <c r="A346" t="s">
        <v>31</v>
      </c>
      <c r="B346" t="s">
        <v>21</v>
      </c>
      <c r="C346">
        <v>2022</v>
      </c>
      <c r="D346" t="s">
        <v>9</v>
      </c>
      <c r="E346">
        <v>1300</v>
      </c>
      <c r="F346" t="s">
        <v>7</v>
      </c>
    </row>
    <row r="347" spans="1:6">
      <c r="A347" t="s">
        <v>31</v>
      </c>
      <c r="B347" t="s">
        <v>21</v>
      </c>
      <c r="C347">
        <v>2022</v>
      </c>
      <c r="D347" t="s">
        <v>10</v>
      </c>
      <c r="E347">
        <v>40</v>
      </c>
      <c r="F347" t="s">
        <v>11</v>
      </c>
    </row>
    <row r="348" spans="1:6">
      <c r="A348" t="s">
        <v>31</v>
      </c>
      <c r="B348" t="s">
        <v>21</v>
      </c>
      <c r="C348">
        <v>2022</v>
      </c>
      <c r="D348" t="s">
        <v>12</v>
      </c>
      <c r="E348">
        <v>0.53300000000000003</v>
      </c>
      <c r="F348" t="s">
        <v>13</v>
      </c>
    </row>
    <row r="349" spans="1:6">
      <c r="A349" t="s">
        <v>31</v>
      </c>
      <c r="B349" t="s">
        <v>21</v>
      </c>
      <c r="C349">
        <v>2022</v>
      </c>
      <c r="D349" t="s">
        <v>164</v>
      </c>
      <c r="E349">
        <v>0.69399999999999995</v>
      </c>
      <c r="F349" t="s">
        <v>166</v>
      </c>
    </row>
    <row r="350" spans="1:6">
      <c r="A350" t="s">
        <v>31</v>
      </c>
      <c r="B350" t="s">
        <v>21</v>
      </c>
      <c r="C350">
        <v>2030</v>
      </c>
      <c r="D350" t="s">
        <v>6</v>
      </c>
      <c r="E350">
        <v>1300</v>
      </c>
      <c r="F350" t="s">
        <v>7</v>
      </c>
    </row>
    <row r="351" spans="1:6">
      <c r="A351" t="s">
        <v>31</v>
      </c>
      <c r="B351" t="s">
        <v>21</v>
      </c>
      <c r="C351">
        <v>2030</v>
      </c>
      <c r="D351" t="s">
        <v>8</v>
      </c>
      <c r="E351">
        <v>1300</v>
      </c>
      <c r="F351" t="s">
        <v>7</v>
      </c>
    </row>
    <row r="352" spans="1:6">
      <c r="A352" t="s">
        <v>31</v>
      </c>
      <c r="B352" t="s">
        <v>21</v>
      </c>
      <c r="C352">
        <v>2030</v>
      </c>
      <c r="D352" t="s">
        <v>9</v>
      </c>
      <c r="E352">
        <v>1300</v>
      </c>
      <c r="F352" t="s">
        <v>7</v>
      </c>
    </row>
    <row r="353" spans="1:6">
      <c r="A353" t="s">
        <v>31</v>
      </c>
      <c r="B353" t="s">
        <v>21</v>
      </c>
      <c r="C353">
        <v>2030</v>
      </c>
      <c r="D353" t="s">
        <v>10</v>
      </c>
      <c r="E353">
        <v>40</v>
      </c>
      <c r="F353" t="s">
        <v>11</v>
      </c>
    </row>
    <row r="354" spans="1:6">
      <c r="A354" t="s">
        <v>31</v>
      </c>
      <c r="B354" t="s">
        <v>21</v>
      </c>
      <c r="C354">
        <v>2030</v>
      </c>
      <c r="D354" t="s">
        <v>12</v>
      </c>
      <c r="E354">
        <v>0.54</v>
      </c>
      <c r="F354" t="s">
        <v>13</v>
      </c>
    </row>
    <row r="355" spans="1:6">
      <c r="A355" t="s">
        <v>31</v>
      </c>
      <c r="B355" t="s">
        <v>21</v>
      </c>
      <c r="C355">
        <v>2030</v>
      </c>
      <c r="D355" t="s">
        <v>164</v>
      </c>
      <c r="E355">
        <v>0.69399999999999995</v>
      </c>
      <c r="F355" t="s">
        <v>166</v>
      </c>
    </row>
    <row r="356" spans="1:6">
      <c r="A356" t="s">
        <v>31</v>
      </c>
      <c r="B356" t="s">
        <v>21</v>
      </c>
      <c r="C356">
        <v>2050</v>
      </c>
      <c r="D356" t="s">
        <v>6</v>
      </c>
      <c r="E356">
        <v>1300</v>
      </c>
      <c r="F356" t="s">
        <v>7</v>
      </c>
    </row>
    <row r="357" spans="1:6">
      <c r="A357" t="s">
        <v>31</v>
      </c>
      <c r="B357" t="s">
        <v>21</v>
      </c>
      <c r="C357">
        <v>2050</v>
      </c>
      <c r="D357" t="s">
        <v>8</v>
      </c>
      <c r="E357">
        <v>1300</v>
      </c>
      <c r="F357" t="s">
        <v>7</v>
      </c>
    </row>
    <row r="358" spans="1:6">
      <c r="A358" t="s">
        <v>31</v>
      </c>
      <c r="B358" t="s">
        <v>21</v>
      </c>
      <c r="C358">
        <v>2050</v>
      </c>
      <c r="D358" t="s">
        <v>9</v>
      </c>
      <c r="E358">
        <v>1300</v>
      </c>
      <c r="F358" t="s">
        <v>7</v>
      </c>
    </row>
    <row r="359" spans="1:6">
      <c r="A359" t="s">
        <v>31</v>
      </c>
      <c r="B359" t="s">
        <v>21</v>
      </c>
      <c r="C359">
        <v>2050</v>
      </c>
      <c r="D359" t="s">
        <v>10</v>
      </c>
      <c r="E359">
        <v>40</v>
      </c>
      <c r="F359" t="s">
        <v>11</v>
      </c>
    </row>
    <row r="360" spans="1:6">
      <c r="A360" t="s">
        <v>31</v>
      </c>
      <c r="B360" t="s">
        <v>21</v>
      </c>
      <c r="C360">
        <v>2050</v>
      </c>
      <c r="D360" t="s">
        <v>12</v>
      </c>
      <c r="E360">
        <v>0.54600000000000004</v>
      </c>
      <c r="F360" t="s">
        <v>13</v>
      </c>
    </row>
    <row r="361" spans="1:6">
      <c r="A361" t="s">
        <v>31</v>
      </c>
      <c r="B361" t="s">
        <v>21</v>
      </c>
      <c r="C361">
        <v>2050</v>
      </c>
      <c r="D361" t="s">
        <v>164</v>
      </c>
      <c r="E361">
        <v>0.69399999999999995</v>
      </c>
      <c r="F361" t="s">
        <v>166</v>
      </c>
    </row>
    <row r="362" spans="1:6">
      <c r="A362" t="s">
        <v>31</v>
      </c>
      <c r="B362" t="s">
        <v>22</v>
      </c>
      <c r="C362">
        <v>2022</v>
      </c>
      <c r="D362" t="s">
        <v>6</v>
      </c>
      <c r="E362">
        <v>1440</v>
      </c>
      <c r="F362" t="s">
        <v>7</v>
      </c>
    </row>
    <row r="363" spans="1:6">
      <c r="A363" t="s">
        <v>31</v>
      </c>
      <c r="B363" t="s">
        <v>22</v>
      </c>
      <c r="C363">
        <v>2022</v>
      </c>
      <c r="D363" t="s">
        <v>8</v>
      </c>
      <c r="E363">
        <v>1440</v>
      </c>
      <c r="F363" t="s">
        <v>7</v>
      </c>
    </row>
    <row r="364" spans="1:6">
      <c r="A364" t="s">
        <v>31</v>
      </c>
      <c r="B364" t="s">
        <v>22</v>
      </c>
      <c r="C364">
        <v>2022</v>
      </c>
      <c r="D364" t="s">
        <v>9</v>
      </c>
      <c r="E364">
        <v>1440</v>
      </c>
      <c r="F364" t="s">
        <v>7</v>
      </c>
    </row>
    <row r="365" spans="1:6">
      <c r="A365" t="s">
        <v>31</v>
      </c>
      <c r="B365" t="s">
        <v>22</v>
      </c>
      <c r="C365">
        <v>2022</v>
      </c>
      <c r="D365" t="s">
        <v>10</v>
      </c>
      <c r="E365">
        <v>45</v>
      </c>
      <c r="F365" t="s">
        <v>11</v>
      </c>
    </row>
    <row r="366" spans="1:6">
      <c r="A366" t="s">
        <v>31</v>
      </c>
      <c r="B366" t="s">
        <v>22</v>
      </c>
      <c r="C366">
        <v>2022</v>
      </c>
      <c r="D366" t="s">
        <v>12</v>
      </c>
      <c r="E366">
        <v>0.53300000000000003</v>
      </c>
      <c r="F366" t="s">
        <v>13</v>
      </c>
    </row>
    <row r="367" spans="1:6">
      <c r="A367" t="s">
        <v>31</v>
      </c>
      <c r="B367" t="s">
        <v>22</v>
      </c>
      <c r="C367">
        <v>2022</v>
      </c>
      <c r="D367" t="s">
        <v>164</v>
      </c>
      <c r="E367">
        <v>0.69399999999999995</v>
      </c>
      <c r="F367" t="s">
        <v>166</v>
      </c>
    </row>
    <row r="368" spans="1:6">
      <c r="A368" t="s">
        <v>31</v>
      </c>
      <c r="B368" t="s">
        <v>22</v>
      </c>
      <c r="C368">
        <v>2030</v>
      </c>
      <c r="D368" t="s">
        <v>6</v>
      </c>
      <c r="E368">
        <v>1440</v>
      </c>
      <c r="F368" t="s">
        <v>7</v>
      </c>
    </row>
    <row r="369" spans="1:6">
      <c r="A369" t="s">
        <v>31</v>
      </c>
      <c r="B369" t="s">
        <v>22</v>
      </c>
      <c r="C369">
        <v>2030</v>
      </c>
      <c r="D369" t="s">
        <v>8</v>
      </c>
      <c r="E369">
        <v>1440</v>
      </c>
      <c r="F369" t="s">
        <v>7</v>
      </c>
    </row>
    <row r="370" spans="1:6">
      <c r="A370" t="s">
        <v>31</v>
      </c>
      <c r="B370" t="s">
        <v>22</v>
      </c>
      <c r="C370">
        <v>2030</v>
      </c>
      <c r="D370" t="s">
        <v>9</v>
      </c>
      <c r="E370">
        <v>1440</v>
      </c>
      <c r="F370" t="s">
        <v>7</v>
      </c>
    </row>
    <row r="371" spans="1:6">
      <c r="A371" t="s">
        <v>31</v>
      </c>
      <c r="B371" t="s">
        <v>22</v>
      </c>
      <c r="C371">
        <v>2030</v>
      </c>
      <c r="D371" t="s">
        <v>10</v>
      </c>
      <c r="E371">
        <v>45</v>
      </c>
      <c r="F371" t="s">
        <v>11</v>
      </c>
    </row>
    <row r="372" spans="1:6">
      <c r="A372" t="s">
        <v>31</v>
      </c>
      <c r="B372" t="s">
        <v>22</v>
      </c>
      <c r="C372">
        <v>2030</v>
      </c>
      <c r="D372" t="s">
        <v>12</v>
      </c>
      <c r="E372">
        <v>0.54</v>
      </c>
      <c r="F372" t="s">
        <v>13</v>
      </c>
    </row>
    <row r="373" spans="1:6">
      <c r="A373" t="s">
        <v>31</v>
      </c>
      <c r="B373" t="s">
        <v>22</v>
      </c>
      <c r="C373">
        <v>2030</v>
      </c>
      <c r="D373" t="s">
        <v>164</v>
      </c>
      <c r="E373">
        <v>0.69399999999999995</v>
      </c>
      <c r="F373" t="s">
        <v>166</v>
      </c>
    </row>
    <row r="374" spans="1:6">
      <c r="A374" t="s">
        <v>31</v>
      </c>
      <c r="B374" t="s">
        <v>22</v>
      </c>
      <c r="C374">
        <v>2050</v>
      </c>
      <c r="D374" t="s">
        <v>6</v>
      </c>
      <c r="E374">
        <v>1440</v>
      </c>
      <c r="F374" t="s">
        <v>7</v>
      </c>
    </row>
    <row r="375" spans="1:6">
      <c r="A375" t="s">
        <v>31</v>
      </c>
      <c r="B375" t="s">
        <v>22</v>
      </c>
      <c r="C375">
        <v>2050</v>
      </c>
      <c r="D375" t="s">
        <v>8</v>
      </c>
      <c r="E375">
        <v>1440</v>
      </c>
      <c r="F375" t="s">
        <v>7</v>
      </c>
    </row>
    <row r="376" spans="1:6">
      <c r="A376" t="s">
        <v>31</v>
      </c>
      <c r="B376" t="s">
        <v>22</v>
      </c>
      <c r="C376">
        <v>2050</v>
      </c>
      <c r="D376" t="s">
        <v>9</v>
      </c>
      <c r="E376">
        <v>1440</v>
      </c>
      <c r="F376" t="s">
        <v>7</v>
      </c>
    </row>
    <row r="377" spans="1:6">
      <c r="A377" t="s">
        <v>31</v>
      </c>
      <c r="B377" t="s">
        <v>22</v>
      </c>
      <c r="C377">
        <v>2050</v>
      </c>
      <c r="D377" t="s">
        <v>10</v>
      </c>
      <c r="E377">
        <v>45</v>
      </c>
      <c r="F377" t="s">
        <v>11</v>
      </c>
    </row>
    <row r="378" spans="1:6">
      <c r="A378" t="s">
        <v>31</v>
      </c>
      <c r="B378" t="s">
        <v>22</v>
      </c>
      <c r="C378">
        <v>2050</v>
      </c>
      <c r="D378" t="s">
        <v>12</v>
      </c>
      <c r="E378">
        <v>0.54600000000000004</v>
      </c>
      <c r="F378" t="s">
        <v>13</v>
      </c>
    </row>
    <row r="379" spans="1:6">
      <c r="A379" t="s">
        <v>31</v>
      </c>
      <c r="B379" t="s">
        <v>22</v>
      </c>
      <c r="C379">
        <v>2050</v>
      </c>
      <c r="D379" t="s">
        <v>164</v>
      </c>
      <c r="E379">
        <v>0.69399999999999995</v>
      </c>
      <c r="F379" t="s">
        <v>166</v>
      </c>
    </row>
    <row r="380" spans="1:6">
      <c r="A380" t="s">
        <v>31</v>
      </c>
      <c r="B380" t="s">
        <v>23</v>
      </c>
      <c r="C380">
        <v>2022</v>
      </c>
      <c r="D380" t="s">
        <v>6</v>
      </c>
      <c r="E380">
        <v>1040</v>
      </c>
      <c r="F380" t="s">
        <v>7</v>
      </c>
    </row>
    <row r="381" spans="1:6">
      <c r="A381" t="s">
        <v>31</v>
      </c>
      <c r="B381" t="s">
        <v>23</v>
      </c>
      <c r="C381">
        <v>2022</v>
      </c>
      <c r="D381" t="s">
        <v>8</v>
      </c>
      <c r="E381">
        <v>1040</v>
      </c>
      <c r="F381" t="s">
        <v>7</v>
      </c>
    </row>
    <row r="382" spans="1:6">
      <c r="A382" t="s">
        <v>31</v>
      </c>
      <c r="B382" t="s">
        <v>23</v>
      </c>
      <c r="C382">
        <v>2022</v>
      </c>
      <c r="D382" t="s">
        <v>9</v>
      </c>
      <c r="E382">
        <v>1040</v>
      </c>
      <c r="F382" t="s">
        <v>7</v>
      </c>
    </row>
    <row r="383" spans="1:6">
      <c r="A383" t="s">
        <v>31</v>
      </c>
      <c r="B383" t="s">
        <v>23</v>
      </c>
      <c r="C383">
        <v>2022</v>
      </c>
      <c r="D383" t="s">
        <v>10</v>
      </c>
      <c r="E383">
        <v>40</v>
      </c>
      <c r="F383" t="s">
        <v>11</v>
      </c>
    </row>
    <row r="384" spans="1:6">
      <c r="A384" t="s">
        <v>31</v>
      </c>
      <c r="B384" t="s">
        <v>23</v>
      </c>
      <c r="C384">
        <v>2022</v>
      </c>
      <c r="D384" t="s">
        <v>12</v>
      </c>
      <c r="E384">
        <v>0.52</v>
      </c>
      <c r="F384" t="s">
        <v>13</v>
      </c>
    </row>
    <row r="385" spans="1:6">
      <c r="A385" t="s">
        <v>31</v>
      </c>
      <c r="B385" t="s">
        <v>23</v>
      </c>
      <c r="C385">
        <v>2022</v>
      </c>
      <c r="D385" t="s">
        <v>164</v>
      </c>
      <c r="E385">
        <v>0.69399999999999995</v>
      </c>
      <c r="F385" t="s">
        <v>166</v>
      </c>
    </row>
    <row r="386" spans="1:6">
      <c r="A386" t="s">
        <v>31</v>
      </c>
      <c r="B386" t="s">
        <v>23</v>
      </c>
      <c r="C386">
        <v>2030</v>
      </c>
      <c r="D386" t="s">
        <v>6</v>
      </c>
      <c r="E386">
        <v>1040</v>
      </c>
      <c r="F386" t="s">
        <v>7</v>
      </c>
    </row>
    <row r="387" spans="1:6">
      <c r="A387" t="s">
        <v>31</v>
      </c>
      <c r="B387" t="s">
        <v>23</v>
      </c>
      <c r="C387">
        <v>2030</v>
      </c>
      <c r="D387" t="s">
        <v>8</v>
      </c>
      <c r="E387">
        <v>1040</v>
      </c>
      <c r="F387" t="s">
        <v>7</v>
      </c>
    </row>
    <row r="388" spans="1:6">
      <c r="A388" t="s">
        <v>31</v>
      </c>
      <c r="B388" t="s">
        <v>23</v>
      </c>
      <c r="C388">
        <v>2030</v>
      </c>
      <c r="D388" t="s">
        <v>9</v>
      </c>
      <c r="E388">
        <v>1040</v>
      </c>
      <c r="F388" t="s">
        <v>7</v>
      </c>
    </row>
    <row r="389" spans="1:6">
      <c r="A389" t="s">
        <v>31</v>
      </c>
      <c r="B389" t="s">
        <v>23</v>
      </c>
      <c r="C389">
        <v>2030</v>
      </c>
      <c r="D389" t="s">
        <v>10</v>
      </c>
      <c r="E389">
        <v>40</v>
      </c>
      <c r="F389" t="s">
        <v>11</v>
      </c>
    </row>
    <row r="390" spans="1:6">
      <c r="A390" t="s">
        <v>31</v>
      </c>
      <c r="B390" t="s">
        <v>23</v>
      </c>
      <c r="C390">
        <v>2030</v>
      </c>
      <c r="D390" t="s">
        <v>12</v>
      </c>
      <c r="E390">
        <v>0.52700000000000002</v>
      </c>
      <c r="F390" t="s">
        <v>13</v>
      </c>
    </row>
    <row r="391" spans="1:6">
      <c r="A391" t="s">
        <v>31</v>
      </c>
      <c r="B391" t="s">
        <v>23</v>
      </c>
      <c r="C391">
        <v>2030</v>
      </c>
      <c r="D391" t="s">
        <v>164</v>
      </c>
      <c r="E391">
        <v>0.69399999999999995</v>
      </c>
      <c r="F391" t="s">
        <v>166</v>
      </c>
    </row>
    <row r="392" spans="1:6">
      <c r="A392" t="s">
        <v>31</v>
      </c>
      <c r="B392" t="s">
        <v>23</v>
      </c>
      <c r="C392">
        <v>2050</v>
      </c>
      <c r="D392" t="s">
        <v>6</v>
      </c>
      <c r="E392">
        <v>1040</v>
      </c>
      <c r="F392" t="s">
        <v>7</v>
      </c>
    </row>
    <row r="393" spans="1:6">
      <c r="A393" t="s">
        <v>31</v>
      </c>
      <c r="B393" t="s">
        <v>23</v>
      </c>
      <c r="C393">
        <v>2050</v>
      </c>
      <c r="D393" t="s">
        <v>8</v>
      </c>
      <c r="E393">
        <v>1040</v>
      </c>
      <c r="F393" t="s">
        <v>7</v>
      </c>
    </row>
    <row r="394" spans="1:6">
      <c r="A394" t="s">
        <v>31</v>
      </c>
      <c r="B394" t="s">
        <v>23</v>
      </c>
      <c r="C394">
        <v>2050</v>
      </c>
      <c r="D394" t="s">
        <v>9</v>
      </c>
      <c r="E394">
        <v>1040</v>
      </c>
      <c r="F394" t="s">
        <v>7</v>
      </c>
    </row>
    <row r="395" spans="1:6">
      <c r="A395" t="s">
        <v>31</v>
      </c>
      <c r="B395" t="s">
        <v>23</v>
      </c>
      <c r="C395">
        <v>2050</v>
      </c>
      <c r="D395" t="s">
        <v>10</v>
      </c>
      <c r="E395">
        <v>40</v>
      </c>
      <c r="F395" t="s">
        <v>11</v>
      </c>
    </row>
    <row r="396" spans="1:6">
      <c r="A396" t="s">
        <v>31</v>
      </c>
      <c r="B396" t="s">
        <v>23</v>
      </c>
      <c r="C396">
        <v>2050</v>
      </c>
      <c r="D396" t="s">
        <v>12</v>
      </c>
      <c r="E396">
        <v>0.53300000000000003</v>
      </c>
      <c r="F396" t="s">
        <v>13</v>
      </c>
    </row>
    <row r="397" spans="1:6">
      <c r="A397" t="s">
        <v>31</v>
      </c>
      <c r="B397" t="s">
        <v>23</v>
      </c>
      <c r="C397">
        <v>2050</v>
      </c>
      <c r="D397" t="s">
        <v>164</v>
      </c>
      <c r="E397">
        <v>0.69399999999999995</v>
      </c>
      <c r="F397" t="s">
        <v>166</v>
      </c>
    </row>
    <row r="398" spans="1:6">
      <c r="A398" t="s">
        <v>31</v>
      </c>
      <c r="B398" t="s">
        <v>24</v>
      </c>
      <c r="C398">
        <v>2022</v>
      </c>
      <c r="D398" t="s">
        <v>6</v>
      </c>
      <c r="E398">
        <v>720</v>
      </c>
      <c r="F398" t="s">
        <v>7</v>
      </c>
    </row>
    <row r="399" spans="1:6">
      <c r="A399" t="s">
        <v>31</v>
      </c>
      <c r="B399" t="s">
        <v>24</v>
      </c>
      <c r="C399">
        <v>2022</v>
      </c>
      <c r="D399" t="s">
        <v>8</v>
      </c>
      <c r="E399">
        <v>720</v>
      </c>
      <c r="F399" t="s">
        <v>7</v>
      </c>
    </row>
    <row r="400" spans="1:6">
      <c r="A400" t="s">
        <v>31</v>
      </c>
      <c r="B400" t="s">
        <v>24</v>
      </c>
      <c r="C400">
        <v>2022</v>
      </c>
      <c r="D400" t="s">
        <v>9</v>
      </c>
      <c r="E400">
        <v>720</v>
      </c>
      <c r="F400" t="s">
        <v>7</v>
      </c>
    </row>
    <row r="401" spans="1:6">
      <c r="A401" t="s">
        <v>31</v>
      </c>
      <c r="B401" t="s">
        <v>24</v>
      </c>
      <c r="C401">
        <v>2022</v>
      </c>
      <c r="D401" t="s">
        <v>10</v>
      </c>
      <c r="E401">
        <v>30</v>
      </c>
      <c r="F401" t="s">
        <v>11</v>
      </c>
    </row>
    <row r="402" spans="1:6">
      <c r="A402" t="s">
        <v>31</v>
      </c>
      <c r="B402" t="s">
        <v>24</v>
      </c>
      <c r="C402">
        <v>2022</v>
      </c>
      <c r="D402" t="s">
        <v>12</v>
      </c>
      <c r="E402">
        <v>0.52</v>
      </c>
      <c r="F402" t="s">
        <v>13</v>
      </c>
    </row>
    <row r="403" spans="1:6">
      <c r="A403" t="s">
        <v>31</v>
      </c>
      <c r="B403" t="s">
        <v>24</v>
      </c>
      <c r="C403">
        <v>2022</v>
      </c>
      <c r="D403" t="s">
        <v>164</v>
      </c>
      <c r="E403">
        <v>0.69399999999999995</v>
      </c>
      <c r="F403" t="s">
        <v>166</v>
      </c>
    </row>
    <row r="404" spans="1:6">
      <c r="A404" t="s">
        <v>31</v>
      </c>
      <c r="B404" t="s">
        <v>24</v>
      </c>
      <c r="C404">
        <v>2030</v>
      </c>
      <c r="D404" t="s">
        <v>6</v>
      </c>
      <c r="E404">
        <v>720</v>
      </c>
      <c r="F404" t="s">
        <v>7</v>
      </c>
    </row>
    <row r="405" spans="1:6">
      <c r="A405" t="s">
        <v>31</v>
      </c>
      <c r="B405" t="s">
        <v>24</v>
      </c>
      <c r="C405">
        <v>2030</v>
      </c>
      <c r="D405" t="s">
        <v>8</v>
      </c>
      <c r="E405">
        <v>720</v>
      </c>
      <c r="F405" t="s">
        <v>7</v>
      </c>
    </row>
    <row r="406" spans="1:6">
      <c r="A406" t="s">
        <v>31</v>
      </c>
      <c r="B406" t="s">
        <v>24</v>
      </c>
      <c r="C406">
        <v>2030</v>
      </c>
      <c r="D406" t="s">
        <v>9</v>
      </c>
      <c r="E406">
        <v>720</v>
      </c>
      <c r="F406" t="s">
        <v>7</v>
      </c>
    </row>
    <row r="407" spans="1:6">
      <c r="A407" t="s">
        <v>31</v>
      </c>
      <c r="B407" t="s">
        <v>24</v>
      </c>
      <c r="C407">
        <v>2030</v>
      </c>
      <c r="D407" t="s">
        <v>10</v>
      </c>
      <c r="E407">
        <v>30</v>
      </c>
      <c r="F407" t="s">
        <v>11</v>
      </c>
    </row>
    <row r="408" spans="1:6">
      <c r="A408" t="s">
        <v>31</v>
      </c>
      <c r="B408" t="s">
        <v>24</v>
      </c>
      <c r="C408">
        <v>2030</v>
      </c>
      <c r="D408" t="s">
        <v>12</v>
      </c>
      <c r="E408">
        <v>0.52700000000000002</v>
      </c>
      <c r="F408" t="s">
        <v>13</v>
      </c>
    </row>
    <row r="409" spans="1:6">
      <c r="A409" t="s">
        <v>31</v>
      </c>
      <c r="B409" t="s">
        <v>24</v>
      </c>
      <c r="C409">
        <v>2030</v>
      </c>
      <c r="D409" t="s">
        <v>164</v>
      </c>
      <c r="E409">
        <v>0.69399999999999995</v>
      </c>
      <c r="F409" t="s">
        <v>166</v>
      </c>
    </row>
    <row r="410" spans="1:6">
      <c r="A410" t="s">
        <v>31</v>
      </c>
      <c r="B410" t="s">
        <v>24</v>
      </c>
      <c r="C410">
        <v>2050</v>
      </c>
      <c r="D410" t="s">
        <v>6</v>
      </c>
      <c r="E410">
        <v>720</v>
      </c>
      <c r="F410" t="s">
        <v>7</v>
      </c>
    </row>
    <row r="411" spans="1:6">
      <c r="A411" t="s">
        <v>31</v>
      </c>
      <c r="B411" t="s">
        <v>24</v>
      </c>
      <c r="C411">
        <v>2050</v>
      </c>
      <c r="D411" t="s">
        <v>8</v>
      </c>
      <c r="E411">
        <v>720</v>
      </c>
      <c r="F411" t="s">
        <v>7</v>
      </c>
    </row>
    <row r="412" spans="1:6">
      <c r="A412" t="s">
        <v>31</v>
      </c>
      <c r="B412" t="s">
        <v>24</v>
      </c>
      <c r="C412">
        <v>2050</v>
      </c>
      <c r="D412" t="s">
        <v>9</v>
      </c>
      <c r="E412">
        <v>720</v>
      </c>
      <c r="F412" t="s">
        <v>7</v>
      </c>
    </row>
    <row r="413" spans="1:6">
      <c r="A413" t="s">
        <v>31</v>
      </c>
      <c r="B413" t="s">
        <v>24</v>
      </c>
      <c r="C413">
        <v>2050</v>
      </c>
      <c r="D413" t="s">
        <v>10</v>
      </c>
      <c r="E413">
        <v>30</v>
      </c>
      <c r="F413" t="s">
        <v>11</v>
      </c>
    </row>
    <row r="414" spans="1:6">
      <c r="A414" t="s">
        <v>31</v>
      </c>
      <c r="B414" t="s">
        <v>24</v>
      </c>
      <c r="C414">
        <v>2050</v>
      </c>
      <c r="D414" t="s">
        <v>12</v>
      </c>
      <c r="E414">
        <v>0.53300000000000003</v>
      </c>
      <c r="F414" t="s">
        <v>13</v>
      </c>
    </row>
    <row r="415" spans="1:6">
      <c r="A415" t="s">
        <v>31</v>
      </c>
      <c r="B415" t="s">
        <v>24</v>
      </c>
      <c r="C415">
        <v>2050</v>
      </c>
      <c r="D415" t="s">
        <v>164</v>
      </c>
      <c r="E415">
        <v>0.69399999999999995</v>
      </c>
      <c r="F415" t="s">
        <v>166</v>
      </c>
    </row>
    <row r="416" spans="1:6">
      <c r="A416" t="s">
        <v>31</v>
      </c>
      <c r="B416" t="s">
        <v>25</v>
      </c>
      <c r="C416">
        <v>2022</v>
      </c>
      <c r="D416" t="s">
        <v>6</v>
      </c>
      <c r="E416">
        <v>920</v>
      </c>
      <c r="F416" t="s">
        <v>7</v>
      </c>
    </row>
    <row r="417" spans="1:6">
      <c r="A417" t="s">
        <v>31</v>
      </c>
      <c r="B417" t="s">
        <v>25</v>
      </c>
      <c r="C417">
        <v>2022</v>
      </c>
      <c r="D417" t="s">
        <v>8</v>
      </c>
      <c r="E417">
        <v>920</v>
      </c>
      <c r="F417" t="s">
        <v>7</v>
      </c>
    </row>
    <row r="418" spans="1:6">
      <c r="A418" t="s">
        <v>31</v>
      </c>
      <c r="B418" t="s">
        <v>25</v>
      </c>
      <c r="C418">
        <v>2022</v>
      </c>
      <c r="D418" t="s">
        <v>9</v>
      </c>
      <c r="E418">
        <v>920</v>
      </c>
      <c r="F418" t="s">
        <v>7</v>
      </c>
    </row>
    <row r="419" spans="1:6">
      <c r="A419" t="s">
        <v>31</v>
      </c>
      <c r="B419" t="s">
        <v>25</v>
      </c>
      <c r="C419">
        <v>2022</v>
      </c>
      <c r="D419" t="s">
        <v>10</v>
      </c>
      <c r="E419">
        <v>35</v>
      </c>
      <c r="F419" t="s">
        <v>11</v>
      </c>
    </row>
    <row r="420" spans="1:6">
      <c r="A420" t="s">
        <v>31</v>
      </c>
      <c r="B420" t="s">
        <v>25</v>
      </c>
      <c r="C420">
        <v>2022</v>
      </c>
      <c r="D420" t="s">
        <v>12</v>
      </c>
      <c r="E420">
        <v>0.51400000000000001</v>
      </c>
      <c r="F420" t="s">
        <v>13</v>
      </c>
    </row>
    <row r="421" spans="1:6">
      <c r="A421" t="s">
        <v>31</v>
      </c>
      <c r="B421" t="s">
        <v>25</v>
      </c>
      <c r="C421">
        <v>2022</v>
      </c>
      <c r="D421" t="s">
        <v>164</v>
      </c>
      <c r="E421">
        <v>0.69399999999999995</v>
      </c>
      <c r="F421" t="s">
        <v>166</v>
      </c>
    </row>
    <row r="422" spans="1:6">
      <c r="A422" t="s">
        <v>31</v>
      </c>
      <c r="B422" t="s">
        <v>25</v>
      </c>
      <c r="C422">
        <v>2030</v>
      </c>
      <c r="D422" t="s">
        <v>6</v>
      </c>
      <c r="E422">
        <v>920</v>
      </c>
      <c r="F422" t="s">
        <v>7</v>
      </c>
    </row>
    <row r="423" spans="1:6">
      <c r="A423" t="s">
        <v>31</v>
      </c>
      <c r="B423" t="s">
        <v>25</v>
      </c>
      <c r="C423">
        <v>2030</v>
      </c>
      <c r="D423" t="s">
        <v>8</v>
      </c>
      <c r="E423">
        <v>920</v>
      </c>
      <c r="F423" t="s">
        <v>7</v>
      </c>
    </row>
    <row r="424" spans="1:6">
      <c r="A424" t="s">
        <v>31</v>
      </c>
      <c r="B424" t="s">
        <v>25</v>
      </c>
      <c r="C424">
        <v>2030</v>
      </c>
      <c r="D424" t="s">
        <v>9</v>
      </c>
      <c r="E424">
        <v>920</v>
      </c>
      <c r="F424" t="s">
        <v>7</v>
      </c>
    </row>
    <row r="425" spans="1:6">
      <c r="A425" t="s">
        <v>31</v>
      </c>
      <c r="B425" t="s">
        <v>25</v>
      </c>
      <c r="C425">
        <v>2030</v>
      </c>
      <c r="D425" t="s">
        <v>10</v>
      </c>
      <c r="E425">
        <v>35</v>
      </c>
      <c r="F425" t="s">
        <v>11</v>
      </c>
    </row>
    <row r="426" spans="1:6">
      <c r="A426" t="s">
        <v>31</v>
      </c>
      <c r="B426" t="s">
        <v>25</v>
      </c>
      <c r="C426">
        <v>2030</v>
      </c>
      <c r="D426" t="s">
        <v>12</v>
      </c>
      <c r="E426">
        <v>0.52</v>
      </c>
      <c r="F426" t="s">
        <v>13</v>
      </c>
    </row>
    <row r="427" spans="1:6">
      <c r="A427" t="s">
        <v>31</v>
      </c>
      <c r="B427" t="s">
        <v>25</v>
      </c>
      <c r="C427">
        <v>2030</v>
      </c>
      <c r="D427" t="s">
        <v>164</v>
      </c>
      <c r="E427">
        <v>0.69399999999999995</v>
      </c>
      <c r="F427" t="s">
        <v>166</v>
      </c>
    </row>
    <row r="428" spans="1:6">
      <c r="A428" t="s">
        <v>31</v>
      </c>
      <c r="B428" t="s">
        <v>25</v>
      </c>
      <c r="C428">
        <v>2050</v>
      </c>
      <c r="D428" t="s">
        <v>6</v>
      </c>
      <c r="E428">
        <v>920</v>
      </c>
      <c r="F428" t="s">
        <v>7</v>
      </c>
    </row>
    <row r="429" spans="1:6">
      <c r="A429" t="s">
        <v>31</v>
      </c>
      <c r="B429" t="s">
        <v>25</v>
      </c>
      <c r="C429">
        <v>2050</v>
      </c>
      <c r="D429" t="s">
        <v>8</v>
      </c>
      <c r="E429">
        <v>920</v>
      </c>
      <c r="F429" t="s">
        <v>7</v>
      </c>
    </row>
    <row r="430" spans="1:6">
      <c r="A430" t="s">
        <v>31</v>
      </c>
      <c r="B430" t="s">
        <v>25</v>
      </c>
      <c r="C430">
        <v>2050</v>
      </c>
      <c r="D430" t="s">
        <v>9</v>
      </c>
      <c r="E430">
        <v>920</v>
      </c>
      <c r="F430" t="s">
        <v>7</v>
      </c>
    </row>
    <row r="431" spans="1:6">
      <c r="A431" t="s">
        <v>31</v>
      </c>
      <c r="B431" t="s">
        <v>25</v>
      </c>
      <c r="C431">
        <v>2050</v>
      </c>
      <c r="D431" t="s">
        <v>10</v>
      </c>
      <c r="E431">
        <v>35</v>
      </c>
      <c r="F431" t="s">
        <v>11</v>
      </c>
    </row>
    <row r="432" spans="1:6">
      <c r="A432" t="s">
        <v>31</v>
      </c>
      <c r="B432" t="s">
        <v>25</v>
      </c>
      <c r="C432">
        <v>2050</v>
      </c>
      <c r="D432" t="s">
        <v>12</v>
      </c>
      <c r="E432">
        <v>0.52700000000000002</v>
      </c>
      <c r="F432" t="s">
        <v>13</v>
      </c>
    </row>
    <row r="433" spans="1:6">
      <c r="A433" t="s">
        <v>31</v>
      </c>
      <c r="B433" t="s">
        <v>25</v>
      </c>
      <c r="C433">
        <v>2050</v>
      </c>
      <c r="D433" t="s">
        <v>164</v>
      </c>
      <c r="E433">
        <v>0.69399999999999995</v>
      </c>
      <c r="F433" t="s">
        <v>166</v>
      </c>
    </row>
    <row r="434" spans="1:6">
      <c r="A434" t="s">
        <v>31</v>
      </c>
      <c r="B434" t="s">
        <v>26</v>
      </c>
      <c r="C434">
        <v>2022</v>
      </c>
      <c r="D434" t="s">
        <v>6</v>
      </c>
      <c r="E434">
        <v>1040</v>
      </c>
      <c r="F434" t="s">
        <v>7</v>
      </c>
    </row>
    <row r="435" spans="1:6">
      <c r="A435" t="s">
        <v>31</v>
      </c>
      <c r="B435" t="s">
        <v>26</v>
      </c>
      <c r="C435">
        <v>2022</v>
      </c>
      <c r="D435" t="s">
        <v>8</v>
      </c>
      <c r="E435">
        <v>1040</v>
      </c>
      <c r="F435" t="s">
        <v>7</v>
      </c>
    </row>
    <row r="436" spans="1:6">
      <c r="A436" t="s">
        <v>31</v>
      </c>
      <c r="B436" t="s">
        <v>26</v>
      </c>
      <c r="C436">
        <v>2022</v>
      </c>
      <c r="D436" t="s">
        <v>9</v>
      </c>
      <c r="E436">
        <v>1040</v>
      </c>
      <c r="F436" t="s">
        <v>7</v>
      </c>
    </row>
    <row r="437" spans="1:6">
      <c r="A437" t="s">
        <v>31</v>
      </c>
      <c r="B437" t="s">
        <v>26</v>
      </c>
      <c r="C437">
        <v>2022</v>
      </c>
      <c r="D437" t="s">
        <v>10</v>
      </c>
      <c r="E437">
        <v>40</v>
      </c>
      <c r="F437" t="s">
        <v>11</v>
      </c>
    </row>
    <row r="438" spans="1:6">
      <c r="A438" t="s">
        <v>31</v>
      </c>
      <c r="B438" t="s">
        <v>26</v>
      </c>
      <c r="C438">
        <v>2022</v>
      </c>
      <c r="D438" t="s">
        <v>12</v>
      </c>
      <c r="E438">
        <v>0.52</v>
      </c>
      <c r="F438" t="s">
        <v>13</v>
      </c>
    </row>
    <row r="439" spans="1:6">
      <c r="A439" t="s">
        <v>31</v>
      </c>
      <c r="B439" t="s">
        <v>26</v>
      </c>
      <c r="C439">
        <v>2022</v>
      </c>
      <c r="D439" t="s">
        <v>164</v>
      </c>
      <c r="E439">
        <v>0.69399999999999995</v>
      </c>
      <c r="F439" t="s">
        <v>166</v>
      </c>
    </row>
    <row r="440" spans="1:6">
      <c r="A440" t="s">
        <v>31</v>
      </c>
      <c r="B440" t="s">
        <v>26</v>
      </c>
      <c r="C440">
        <v>2030</v>
      </c>
      <c r="D440" t="s">
        <v>6</v>
      </c>
      <c r="E440">
        <v>1040</v>
      </c>
      <c r="F440" t="s">
        <v>7</v>
      </c>
    </row>
    <row r="441" spans="1:6">
      <c r="A441" t="s">
        <v>31</v>
      </c>
      <c r="B441" t="s">
        <v>26</v>
      </c>
      <c r="C441">
        <v>2030</v>
      </c>
      <c r="D441" t="s">
        <v>8</v>
      </c>
      <c r="E441">
        <v>1040</v>
      </c>
      <c r="F441" t="s">
        <v>7</v>
      </c>
    </row>
    <row r="442" spans="1:6">
      <c r="A442" t="s">
        <v>31</v>
      </c>
      <c r="B442" t="s">
        <v>26</v>
      </c>
      <c r="C442">
        <v>2030</v>
      </c>
      <c r="D442" t="s">
        <v>9</v>
      </c>
      <c r="E442">
        <v>1040</v>
      </c>
      <c r="F442" t="s">
        <v>7</v>
      </c>
    </row>
    <row r="443" spans="1:6">
      <c r="A443" t="s">
        <v>31</v>
      </c>
      <c r="B443" t="s">
        <v>26</v>
      </c>
      <c r="C443">
        <v>2030</v>
      </c>
      <c r="D443" t="s">
        <v>10</v>
      </c>
      <c r="E443">
        <v>40</v>
      </c>
      <c r="F443" t="s">
        <v>11</v>
      </c>
    </row>
    <row r="444" spans="1:6">
      <c r="A444" t="s">
        <v>31</v>
      </c>
      <c r="B444" t="s">
        <v>26</v>
      </c>
      <c r="C444">
        <v>2030</v>
      </c>
      <c r="D444" t="s">
        <v>12</v>
      </c>
      <c r="E444">
        <v>0.52700000000000002</v>
      </c>
      <c r="F444" t="s">
        <v>13</v>
      </c>
    </row>
    <row r="445" spans="1:6">
      <c r="A445" t="s">
        <v>31</v>
      </c>
      <c r="B445" t="s">
        <v>26</v>
      </c>
      <c r="C445">
        <v>2030</v>
      </c>
      <c r="D445" t="s">
        <v>164</v>
      </c>
      <c r="E445">
        <v>0.69399999999999995</v>
      </c>
      <c r="F445" t="s">
        <v>166</v>
      </c>
    </row>
    <row r="446" spans="1:6">
      <c r="A446" t="s">
        <v>31</v>
      </c>
      <c r="B446" t="s">
        <v>26</v>
      </c>
      <c r="C446">
        <v>2050</v>
      </c>
      <c r="D446" t="s">
        <v>6</v>
      </c>
      <c r="E446">
        <v>1040</v>
      </c>
      <c r="F446" t="s">
        <v>7</v>
      </c>
    </row>
    <row r="447" spans="1:6">
      <c r="A447" t="s">
        <v>31</v>
      </c>
      <c r="B447" t="s">
        <v>26</v>
      </c>
      <c r="C447">
        <v>2050</v>
      </c>
      <c r="D447" t="s">
        <v>8</v>
      </c>
      <c r="E447">
        <v>1040</v>
      </c>
      <c r="F447" t="s">
        <v>7</v>
      </c>
    </row>
    <row r="448" spans="1:6">
      <c r="A448" t="s">
        <v>31</v>
      </c>
      <c r="B448" t="s">
        <v>26</v>
      </c>
      <c r="C448">
        <v>2050</v>
      </c>
      <c r="D448" t="s">
        <v>9</v>
      </c>
      <c r="E448">
        <v>1040</v>
      </c>
      <c r="F448" t="s">
        <v>7</v>
      </c>
    </row>
    <row r="449" spans="1:6">
      <c r="A449" t="s">
        <v>31</v>
      </c>
      <c r="B449" t="s">
        <v>26</v>
      </c>
      <c r="C449">
        <v>2050</v>
      </c>
      <c r="D449" t="s">
        <v>10</v>
      </c>
      <c r="E449">
        <v>40</v>
      </c>
      <c r="F449" t="s">
        <v>11</v>
      </c>
    </row>
    <row r="450" spans="1:6">
      <c r="A450" t="s">
        <v>31</v>
      </c>
      <c r="B450" t="s">
        <v>26</v>
      </c>
      <c r="C450">
        <v>2050</v>
      </c>
      <c r="D450" t="s">
        <v>12</v>
      </c>
      <c r="E450">
        <v>0.53300000000000003</v>
      </c>
      <c r="F450" t="s">
        <v>13</v>
      </c>
    </row>
    <row r="451" spans="1:6">
      <c r="A451" t="s">
        <v>31</v>
      </c>
      <c r="B451" t="s">
        <v>26</v>
      </c>
      <c r="C451">
        <v>2050</v>
      </c>
      <c r="D451" t="s">
        <v>164</v>
      </c>
      <c r="E451">
        <v>0.69399999999999995</v>
      </c>
      <c r="F451" t="s">
        <v>166</v>
      </c>
    </row>
    <row r="452" spans="1:6">
      <c r="A452" t="s">
        <v>31</v>
      </c>
      <c r="B452" t="s">
        <v>27</v>
      </c>
      <c r="C452">
        <v>2022</v>
      </c>
      <c r="D452" t="s">
        <v>6</v>
      </c>
      <c r="E452">
        <v>920</v>
      </c>
      <c r="F452" t="s">
        <v>7</v>
      </c>
    </row>
    <row r="453" spans="1:6">
      <c r="A453" t="s">
        <v>31</v>
      </c>
      <c r="B453" t="s">
        <v>27</v>
      </c>
      <c r="C453">
        <v>2022</v>
      </c>
      <c r="D453" t="s">
        <v>8</v>
      </c>
      <c r="E453">
        <v>920</v>
      </c>
      <c r="F453" t="s">
        <v>7</v>
      </c>
    </row>
    <row r="454" spans="1:6">
      <c r="A454" t="s">
        <v>31</v>
      </c>
      <c r="B454" t="s">
        <v>27</v>
      </c>
      <c r="C454">
        <v>2022</v>
      </c>
      <c r="D454" t="s">
        <v>9</v>
      </c>
      <c r="E454">
        <v>920</v>
      </c>
      <c r="F454" t="s">
        <v>7</v>
      </c>
    </row>
    <row r="455" spans="1:6">
      <c r="A455" t="s">
        <v>31</v>
      </c>
      <c r="B455" t="s">
        <v>27</v>
      </c>
      <c r="C455">
        <v>2022</v>
      </c>
      <c r="D455" t="s">
        <v>10</v>
      </c>
      <c r="E455">
        <v>35</v>
      </c>
      <c r="F455" t="s">
        <v>11</v>
      </c>
    </row>
    <row r="456" spans="1:6">
      <c r="A456" t="s">
        <v>31</v>
      </c>
      <c r="B456" t="s">
        <v>27</v>
      </c>
      <c r="C456">
        <v>2022</v>
      </c>
      <c r="D456" t="s">
        <v>12</v>
      </c>
      <c r="E456">
        <v>0.52700000000000002</v>
      </c>
      <c r="F456" t="s">
        <v>13</v>
      </c>
    </row>
    <row r="457" spans="1:6">
      <c r="A457" t="s">
        <v>31</v>
      </c>
      <c r="B457" t="s">
        <v>27</v>
      </c>
      <c r="C457">
        <v>2022</v>
      </c>
      <c r="D457" t="s">
        <v>164</v>
      </c>
      <c r="E457">
        <v>0.69399999999999995</v>
      </c>
      <c r="F457" t="s">
        <v>166</v>
      </c>
    </row>
    <row r="458" spans="1:6">
      <c r="A458" t="s">
        <v>31</v>
      </c>
      <c r="B458" t="s">
        <v>27</v>
      </c>
      <c r="C458">
        <v>2030</v>
      </c>
      <c r="D458" t="s">
        <v>6</v>
      </c>
      <c r="E458">
        <v>920</v>
      </c>
      <c r="F458" t="s">
        <v>7</v>
      </c>
    </row>
    <row r="459" spans="1:6">
      <c r="A459" t="s">
        <v>31</v>
      </c>
      <c r="B459" t="s">
        <v>27</v>
      </c>
      <c r="C459">
        <v>2030</v>
      </c>
      <c r="D459" t="s">
        <v>8</v>
      </c>
      <c r="E459">
        <v>920</v>
      </c>
      <c r="F459" t="s">
        <v>7</v>
      </c>
    </row>
    <row r="460" spans="1:6">
      <c r="A460" t="s">
        <v>31</v>
      </c>
      <c r="B460" t="s">
        <v>27</v>
      </c>
      <c r="C460">
        <v>2030</v>
      </c>
      <c r="D460" t="s">
        <v>9</v>
      </c>
      <c r="E460">
        <v>920</v>
      </c>
      <c r="F460" t="s">
        <v>7</v>
      </c>
    </row>
    <row r="461" spans="1:6">
      <c r="A461" t="s">
        <v>31</v>
      </c>
      <c r="B461" t="s">
        <v>27</v>
      </c>
      <c r="C461">
        <v>2030</v>
      </c>
      <c r="D461" t="s">
        <v>10</v>
      </c>
      <c r="E461">
        <v>35</v>
      </c>
      <c r="F461" t="s">
        <v>11</v>
      </c>
    </row>
    <row r="462" spans="1:6">
      <c r="A462" t="s">
        <v>31</v>
      </c>
      <c r="B462" t="s">
        <v>27</v>
      </c>
      <c r="C462">
        <v>2030</v>
      </c>
      <c r="D462" t="s">
        <v>12</v>
      </c>
      <c r="E462">
        <v>0.53300000000000003</v>
      </c>
      <c r="F462" t="s">
        <v>13</v>
      </c>
    </row>
    <row r="463" spans="1:6">
      <c r="A463" t="s">
        <v>31</v>
      </c>
      <c r="B463" t="s">
        <v>27</v>
      </c>
      <c r="C463">
        <v>2030</v>
      </c>
      <c r="D463" t="s">
        <v>164</v>
      </c>
      <c r="E463">
        <v>0.69399999999999995</v>
      </c>
      <c r="F463" t="s">
        <v>166</v>
      </c>
    </row>
    <row r="464" spans="1:6">
      <c r="A464" t="s">
        <v>31</v>
      </c>
      <c r="B464" t="s">
        <v>27</v>
      </c>
      <c r="C464">
        <v>2050</v>
      </c>
      <c r="D464" t="s">
        <v>6</v>
      </c>
      <c r="E464">
        <v>920</v>
      </c>
      <c r="F464" t="s">
        <v>7</v>
      </c>
    </row>
    <row r="465" spans="1:6">
      <c r="A465" t="s">
        <v>31</v>
      </c>
      <c r="B465" t="s">
        <v>27</v>
      </c>
      <c r="C465">
        <v>2050</v>
      </c>
      <c r="D465" t="s">
        <v>8</v>
      </c>
      <c r="E465">
        <v>920</v>
      </c>
      <c r="F465" t="s">
        <v>7</v>
      </c>
    </row>
    <row r="466" spans="1:6">
      <c r="A466" t="s">
        <v>31</v>
      </c>
      <c r="B466" t="s">
        <v>27</v>
      </c>
      <c r="C466">
        <v>2050</v>
      </c>
      <c r="D466" t="s">
        <v>9</v>
      </c>
      <c r="E466">
        <v>920</v>
      </c>
      <c r="F466" t="s">
        <v>7</v>
      </c>
    </row>
    <row r="467" spans="1:6">
      <c r="A467" t="s">
        <v>31</v>
      </c>
      <c r="B467" t="s">
        <v>27</v>
      </c>
      <c r="C467">
        <v>2050</v>
      </c>
      <c r="D467" t="s">
        <v>10</v>
      </c>
      <c r="E467">
        <v>35</v>
      </c>
      <c r="F467" t="s">
        <v>11</v>
      </c>
    </row>
    <row r="468" spans="1:6">
      <c r="A468" t="s">
        <v>31</v>
      </c>
      <c r="B468" t="s">
        <v>27</v>
      </c>
      <c r="C468">
        <v>2050</v>
      </c>
      <c r="D468" t="s">
        <v>12</v>
      </c>
      <c r="E468">
        <v>0.54</v>
      </c>
      <c r="F468" t="s">
        <v>13</v>
      </c>
    </row>
    <row r="469" spans="1:6">
      <c r="A469" t="s">
        <v>31</v>
      </c>
      <c r="B469" t="s">
        <v>27</v>
      </c>
      <c r="C469">
        <v>2050</v>
      </c>
      <c r="D469" t="s">
        <v>164</v>
      </c>
      <c r="E469">
        <v>0.69399999999999995</v>
      </c>
      <c r="F469" t="s">
        <v>166</v>
      </c>
    </row>
    <row r="470" spans="1:6">
      <c r="A470" t="s">
        <v>31</v>
      </c>
      <c r="B470" t="s">
        <v>28</v>
      </c>
      <c r="C470">
        <v>2022</v>
      </c>
      <c r="D470" t="s">
        <v>6</v>
      </c>
      <c r="E470">
        <v>920</v>
      </c>
      <c r="F470" t="s">
        <v>7</v>
      </c>
    </row>
    <row r="471" spans="1:6">
      <c r="A471" t="s">
        <v>31</v>
      </c>
      <c r="B471" t="s">
        <v>28</v>
      </c>
      <c r="C471">
        <v>2022</v>
      </c>
      <c r="D471" t="s">
        <v>8</v>
      </c>
      <c r="E471">
        <v>920</v>
      </c>
      <c r="F471" t="s">
        <v>7</v>
      </c>
    </row>
    <row r="472" spans="1:6">
      <c r="A472" t="s">
        <v>31</v>
      </c>
      <c r="B472" t="s">
        <v>28</v>
      </c>
      <c r="C472">
        <v>2022</v>
      </c>
      <c r="D472" t="s">
        <v>9</v>
      </c>
      <c r="E472">
        <v>920</v>
      </c>
      <c r="F472" t="s">
        <v>7</v>
      </c>
    </row>
    <row r="473" spans="1:6">
      <c r="A473" t="s">
        <v>31</v>
      </c>
      <c r="B473" t="s">
        <v>28</v>
      </c>
      <c r="C473">
        <v>2022</v>
      </c>
      <c r="D473" t="s">
        <v>10</v>
      </c>
      <c r="E473">
        <v>35</v>
      </c>
      <c r="F473" t="s">
        <v>11</v>
      </c>
    </row>
    <row r="474" spans="1:6">
      <c r="A474" t="s">
        <v>31</v>
      </c>
      <c r="B474" t="s">
        <v>28</v>
      </c>
      <c r="C474">
        <v>2022</v>
      </c>
      <c r="D474" t="s">
        <v>12</v>
      </c>
      <c r="E474">
        <v>0.52700000000000002</v>
      </c>
      <c r="F474" t="s">
        <v>13</v>
      </c>
    </row>
    <row r="475" spans="1:6">
      <c r="A475" t="s">
        <v>31</v>
      </c>
      <c r="B475" t="s">
        <v>28</v>
      </c>
      <c r="C475">
        <v>2022</v>
      </c>
      <c r="D475" t="s">
        <v>164</v>
      </c>
      <c r="E475">
        <v>0.69399999999999995</v>
      </c>
      <c r="F475" t="s">
        <v>166</v>
      </c>
    </row>
    <row r="476" spans="1:6">
      <c r="A476" t="s">
        <v>31</v>
      </c>
      <c r="B476" t="s">
        <v>28</v>
      </c>
      <c r="C476">
        <v>2030</v>
      </c>
      <c r="D476" t="s">
        <v>6</v>
      </c>
      <c r="E476">
        <v>920</v>
      </c>
      <c r="F476" t="s">
        <v>7</v>
      </c>
    </row>
    <row r="477" spans="1:6">
      <c r="A477" t="s">
        <v>31</v>
      </c>
      <c r="B477" t="s">
        <v>28</v>
      </c>
      <c r="C477">
        <v>2030</v>
      </c>
      <c r="D477" t="s">
        <v>8</v>
      </c>
      <c r="E477">
        <v>920</v>
      </c>
      <c r="F477" t="s">
        <v>7</v>
      </c>
    </row>
    <row r="478" spans="1:6">
      <c r="A478" t="s">
        <v>31</v>
      </c>
      <c r="B478" t="s">
        <v>28</v>
      </c>
      <c r="C478">
        <v>2030</v>
      </c>
      <c r="D478" t="s">
        <v>9</v>
      </c>
      <c r="E478">
        <v>920</v>
      </c>
      <c r="F478" t="s">
        <v>7</v>
      </c>
    </row>
    <row r="479" spans="1:6">
      <c r="A479" t="s">
        <v>31</v>
      </c>
      <c r="B479" t="s">
        <v>28</v>
      </c>
      <c r="C479">
        <v>2030</v>
      </c>
      <c r="D479" t="s">
        <v>10</v>
      </c>
      <c r="E479">
        <v>35</v>
      </c>
      <c r="F479" t="s">
        <v>11</v>
      </c>
    </row>
    <row r="480" spans="1:6">
      <c r="A480" t="s">
        <v>31</v>
      </c>
      <c r="B480" t="s">
        <v>28</v>
      </c>
      <c r="C480">
        <v>2030</v>
      </c>
      <c r="D480" t="s">
        <v>12</v>
      </c>
      <c r="E480">
        <v>0.53300000000000003</v>
      </c>
      <c r="F480" t="s">
        <v>13</v>
      </c>
    </row>
    <row r="481" spans="1:6">
      <c r="A481" t="s">
        <v>31</v>
      </c>
      <c r="B481" t="s">
        <v>28</v>
      </c>
      <c r="C481">
        <v>2030</v>
      </c>
      <c r="D481" t="s">
        <v>164</v>
      </c>
      <c r="E481">
        <v>0.69399999999999995</v>
      </c>
      <c r="F481" t="s">
        <v>166</v>
      </c>
    </row>
    <row r="482" spans="1:6">
      <c r="A482" t="s">
        <v>31</v>
      </c>
      <c r="B482" t="s">
        <v>28</v>
      </c>
      <c r="C482">
        <v>2050</v>
      </c>
      <c r="D482" t="s">
        <v>6</v>
      </c>
      <c r="E482">
        <v>920</v>
      </c>
      <c r="F482" t="s">
        <v>7</v>
      </c>
    </row>
    <row r="483" spans="1:6">
      <c r="A483" t="s">
        <v>31</v>
      </c>
      <c r="B483" t="s">
        <v>28</v>
      </c>
      <c r="C483">
        <v>2050</v>
      </c>
      <c r="D483" t="s">
        <v>8</v>
      </c>
      <c r="E483">
        <v>920</v>
      </c>
      <c r="F483" t="s">
        <v>7</v>
      </c>
    </row>
    <row r="484" spans="1:6">
      <c r="A484" t="s">
        <v>31</v>
      </c>
      <c r="B484" t="s">
        <v>28</v>
      </c>
      <c r="C484">
        <v>2050</v>
      </c>
      <c r="D484" t="s">
        <v>9</v>
      </c>
      <c r="E484">
        <v>920</v>
      </c>
      <c r="F484" t="s">
        <v>7</v>
      </c>
    </row>
    <row r="485" spans="1:6">
      <c r="A485" t="s">
        <v>31</v>
      </c>
      <c r="B485" t="s">
        <v>28</v>
      </c>
      <c r="C485">
        <v>2050</v>
      </c>
      <c r="D485" t="s">
        <v>10</v>
      </c>
      <c r="E485">
        <v>35</v>
      </c>
      <c r="F485" t="s">
        <v>11</v>
      </c>
    </row>
    <row r="486" spans="1:6">
      <c r="A486" t="s">
        <v>31</v>
      </c>
      <c r="B486" t="s">
        <v>28</v>
      </c>
      <c r="C486">
        <v>2050</v>
      </c>
      <c r="D486" t="s">
        <v>12</v>
      </c>
      <c r="E486">
        <v>0.54</v>
      </c>
      <c r="F486" t="s">
        <v>13</v>
      </c>
    </row>
    <row r="487" spans="1:6">
      <c r="A487" t="s">
        <v>31</v>
      </c>
      <c r="B487" t="s">
        <v>28</v>
      </c>
      <c r="C487">
        <v>2050</v>
      </c>
      <c r="D487" t="s">
        <v>164</v>
      </c>
      <c r="E487">
        <v>0.69399999999999995</v>
      </c>
      <c r="F487" t="s">
        <v>166</v>
      </c>
    </row>
    <row r="488" spans="1:6">
      <c r="A488" t="s">
        <v>32</v>
      </c>
      <c r="B488" t="s">
        <v>20</v>
      </c>
      <c r="C488">
        <v>2022</v>
      </c>
      <c r="D488" t="s">
        <v>6</v>
      </c>
      <c r="E488">
        <v>5000</v>
      </c>
      <c r="F488" t="s">
        <v>7</v>
      </c>
    </row>
    <row r="489" spans="1:6">
      <c r="A489" t="s">
        <v>32</v>
      </c>
      <c r="B489" t="s">
        <v>20</v>
      </c>
      <c r="C489">
        <v>2022</v>
      </c>
      <c r="D489" t="s">
        <v>8</v>
      </c>
      <c r="E489">
        <v>5000</v>
      </c>
      <c r="F489" t="s">
        <v>7</v>
      </c>
    </row>
    <row r="490" spans="1:6">
      <c r="A490" t="s">
        <v>32</v>
      </c>
      <c r="B490" t="s">
        <v>20</v>
      </c>
      <c r="C490">
        <v>2022</v>
      </c>
      <c r="D490" t="s">
        <v>9</v>
      </c>
      <c r="E490">
        <v>5000</v>
      </c>
      <c r="F490" t="s">
        <v>7</v>
      </c>
    </row>
    <row r="491" spans="1:6">
      <c r="A491" t="s">
        <v>32</v>
      </c>
      <c r="B491" t="s">
        <v>20</v>
      </c>
      <c r="C491">
        <v>2022</v>
      </c>
      <c r="D491" t="s">
        <v>10</v>
      </c>
      <c r="E491">
        <v>100</v>
      </c>
      <c r="F491" t="s">
        <v>11</v>
      </c>
    </row>
    <row r="492" spans="1:6">
      <c r="A492" t="s">
        <v>32</v>
      </c>
      <c r="B492" t="s">
        <v>20</v>
      </c>
      <c r="C492">
        <v>2022</v>
      </c>
      <c r="D492" t="s">
        <v>12</v>
      </c>
      <c r="E492">
        <v>0.46</v>
      </c>
      <c r="F492" t="s">
        <v>13</v>
      </c>
    </row>
    <row r="493" spans="1:6">
      <c r="A493" t="s">
        <v>32</v>
      </c>
      <c r="B493" t="s">
        <v>20</v>
      </c>
      <c r="C493">
        <v>2022</v>
      </c>
      <c r="D493" t="s">
        <v>164</v>
      </c>
      <c r="E493">
        <v>0.83299999999999996</v>
      </c>
      <c r="F493" t="s">
        <v>166</v>
      </c>
    </row>
    <row r="494" spans="1:6">
      <c r="A494" t="s">
        <v>32</v>
      </c>
      <c r="B494" t="s">
        <v>20</v>
      </c>
      <c r="C494">
        <v>2030</v>
      </c>
      <c r="D494" t="s">
        <v>6</v>
      </c>
      <c r="E494">
        <v>2500</v>
      </c>
      <c r="F494" t="s">
        <v>7</v>
      </c>
    </row>
    <row r="495" spans="1:6">
      <c r="A495" t="s">
        <v>32</v>
      </c>
      <c r="B495" t="s">
        <v>20</v>
      </c>
      <c r="C495">
        <v>2030</v>
      </c>
      <c r="D495" t="s">
        <v>8</v>
      </c>
      <c r="E495">
        <v>2500</v>
      </c>
      <c r="F495" t="s">
        <v>7</v>
      </c>
    </row>
    <row r="496" spans="1:6">
      <c r="A496" t="s">
        <v>32</v>
      </c>
      <c r="B496" t="s">
        <v>20</v>
      </c>
      <c r="C496">
        <v>2030</v>
      </c>
      <c r="D496" t="s">
        <v>9</v>
      </c>
      <c r="E496">
        <v>2500</v>
      </c>
      <c r="F496" t="s">
        <v>7</v>
      </c>
    </row>
    <row r="497" spans="1:6">
      <c r="A497" t="s">
        <v>32</v>
      </c>
      <c r="B497" t="s">
        <v>20</v>
      </c>
      <c r="C497">
        <v>2030</v>
      </c>
      <c r="D497" t="s">
        <v>10</v>
      </c>
      <c r="E497">
        <v>50</v>
      </c>
      <c r="F497" t="s">
        <v>11</v>
      </c>
    </row>
    <row r="498" spans="1:6">
      <c r="A498" t="s">
        <v>32</v>
      </c>
      <c r="B498" t="s">
        <v>20</v>
      </c>
      <c r="C498">
        <v>2030</v>
      </c>
      <c r="D498" t="s">
        <v>12</v>
      </c>
      <c r="E498">
        <v>0.54</v>
      </c>
      <c r="F498" t="s">
        <v>13</v>
      </c>
    </row>
    <row r="499" spans="1:6">
      <c r="A499" t="s">
        <v>32</v>
      </c>
      <c r="B499" t="s">
        <v>20</v>
      </c>
      <c r="C499">
        <v>2030</v>
      </c>
      <c r="D499" t="s">
        <v>164</v>
      </c>
      <c r="E499">
        <v>0.83299999999999996</v>
      </c>
      <c r="F499" t="s">
        <v>166</v>
      </c>
    </row>
    <row r="500" spans="1:6">
      <c r="A500" t="s">
        <v>32</v>
      </c>
      <c r="B500" t="s">
        <v>20</v>
      </c>
      <c r="C500">
        <v>2050</v>
      </c>
      <c r="D500" t="s">
        <v>6</v>
      </c>
      <c r="E500">
        <v>2500</v>
      </c>
      <c r="F500" t="s">
        <v>7</v>
      </c>
    </row>
    <row r="501" spans="1:6">
      <c r="A501" t="s">
        <v>32</v>
      </c>
      <c r="B501" t="s">
        <v>20</v>
      </c>
      <c r="C501">
        <v>2050</v>
      </c>
      <c r="D501" t="s">
        <v>8</v>
      </c>
      <c r="E501">
        <v>2500</v>
      </c>
      <c r="F501" t="s">
        <v>7</v>
      </c>
    </row>
    <row r="502" spans="1:6">
      <c r="A502" t="s">
        <v>32</v>
      </c>
      <c r="B502" t="s">
        <v>20</v>
      </c>
      <c r="C502">
        <v>2050</v>
      </c>
      <c r="D502" t="s">
        <v>9</v>
      </c>
      <c r="E502">
        <v>2500</v>
      </c>
      <c r="F502" t="s">
        <v>7</v>
      </c>
    </row>
    <row r="503" spans="1:6">
      <c r="A503" t="s">
        <v>32</v>
      </c>
      <c r="B503" t="s">
        <v>20</v>
      </c>
      <c r="C503">
        <v>2050</v>
      </c>
      <c r="D503" t="s">
        <v>10</v>
      </c>
      <c r="E503">
        <v>50</v>
      </c>
      <c r="F503" t="s">
        <v>11</v>
      </c>
    </row>
    <row r="504" spans="1:6">
      <c r="A504" t="s">
        <v>32</v>
      </c>
      <c r="B504" t="s">
        <v>20</v>
      </c>
      <c r="C504">
        <v>2050</v>
      </c>
      <c r="D504" t="s">
        <v>12</v>
      </c>
      <c r="E504">
        <v>0.6</v>
      </c>
      <c r="F504" t="s">
        <v>13</v>
      </c>
    </row>
    <row r="505" spans="1:6">
      <c r="A505" t="s">
        <v>32</v>
      </c>
      <c r="B505" t="s">
        <v>20</v>
      </c>
      <c r="C505">
        <v>2050</v>
      </c>
      <c r="D505" t="s">
        <v>164</v>
      </c>
      <c r="E505">
        <v>0.83299999999999996</v>
      </c>
      <c r="F505" t="s">
        <v>166</v>
      </c>
    </row>
    <row r="506" spans="1:6">
      <c r="A506" t="s">
        <v>32</v>
      </c>
      <c r="B506" t="s">
        <v>21</v>
      </c>
      <c r="C506">
        <v>2022</v>
      </c>
      <c r="D506" t="s">
        <v>6</v>
      </c>
      <c r="E506">
        <v>5000</v>
      </c>
      <c r="F506" t="s">
        <v>7</v>
      </c>
    </row>
    <row r="507" spans="1:6">
      <c r="A507" t="s">
        <v>32</v>
      </c>
      <c r="B507" t="s">
        <v>21</v>
      </c>
      <c r="C507">
        <v>2022</v>
      </c>
      <c r="D507" t="s">
        <v>8</v>
      </c>
      <c r="E507">
        <v>5000</v>
      </c>
      <c r="F507" t="s">
        <v>7</v>
      </c>
    </row>
    <row r="508" spans="1:6">
      <c r="A508" t="s">
        <v>32</v>
      </c>
      <c r="B508" t="s">
        <v>21</v>
      </c>
      <c r="C508">
        <v>2022</v>
      </c>
      <c r="D508" t="s">
        <v>9</v>
      </c>
      <c r="E508">
        <v>5000</v>
      </c>
      <c r="F508" t="s">
        <v>7</v>
      </c>
    </row>
    <row r="509" spans="1:6">
      <c r="A509" t="s">
        <v>32</v>
      </c>
      <c r="B509" t="s">
        <v>21</v>
      </c>
      <c r="C509">
        <v>2022</v>
      </c>
      <c r="D509" t="s">
        <v>10</v>
      </c>
      <c r="E509">
        <v>100</v>
      </c>
      <c r="F509" t="s">
        <v>11</v>
      </c>
    </row>
    <row r="510" spans="1:6">
      <c r="A510" t="s">
        <v>32</v>
      </c>
      <c r="B510" t="s">
        <v>21</v>
      </c>
      <c r="C510">
        <v>2022</v>
      </c>
      <c r="D510" t="s">
        <v>12</v>
      </c>
      <c r="E510">
        <v>0.46</v>
      </c>
      <c r="F510" t="s">
        <v>13</v>
      </c>
    </row>
    <row r="511" spans="1:6">
      <c r="A511" t="s">
        <v>32</v>
      </c>
      <c r="B511" t="s">
        <v>21</v>
      </c>
      <c r="C511">
        <v>2022</v>
      </c>
      <c r="D511" t="s">
        <v>164</v>
      </c>
      <c r="E511">
        <v>0.83299999999999996</v>
      </c>
      <c r="F511" t="s">
        <v>166</v>
      </c>
    </row>
    <row r="512" spans="1:6">
      <c r="A512" t="s">
        <v>32</v>
      </c>
      <c r="B512" t="s">
        <v>21</v>
      </c>
      <c r="C512">
        <v>2030</v>
      </c>
      <c r="D512" t="s">
        <v>6</v>
      </c>
      <c r="E512">
        <v>2500</v>
      </c>
      <c r="F512" t="s">
        <v>7</v>
      </c>
    </row>
    <row r="513" spans="1:6">
      <c r="A513" t="s">
        <v>32</v>
      </c>
      <c r="B513" t="s">
        <v>21</v>
      </c>
      <c r="C513">
        <v>2030</v>
      </c>
      <c r="D513" t="s">
        <v>8</v>
      </c>
      <c r="E513">
        <v>2500</v>
      </c>
      <c r="F513" t="s">
        <v>7</v>
      </c>
    </row>
    <row r="514" spans="1:6">
      <c r="A514" t="s">
        <v>32</v>
      </c>
      <c r="B514" t="s">
        <v>21</v>
      </c>
      <c r="C514">
        <v>2030</v>
      </c>
      <c r="D514" t="s">
        <v>9</v>
      </c>
      <c r="E514">
        <v>2500</v>
      </c>
      <c r="F514" t="s">
        <v>7</v>
      </c>
    </row>
    <row r="515" spans="1:6">
      <c r="A515" t="s">
        <v>32</v>
      </c>
      <c r="B515" t="s">
        <v>21</v>
      </c>
      <c r="C515">
        <v>2030</v>
      </c>
      <c r="D515" t="s">
        <v>10</v>
      </c>
      <c r="E515">
        <v>50</v>
      </c>
      <c r="F515" t="s">
        <v>11</v>
      </c>
    </row>
    <row r="516" spans="1:6">
      <c r="A516" t="s">
        <v>32</v>
      </c>
      <c r="B516" t="s">
        <v>21</v>
      </c>
      <c r="C516">
        <v>2030</v>
      </c>
      <c r="D516" t="s">
        <v>12</v>
      </c>
      <c r="E516">
        <v>0.54</v>
      </c>
      <c r="F516" t="s">
        <v>13</v>
      </c>
    </row>
    <row r="517" spans="1:6">
      <c r="A517" t="s">
        <v>32</v>
      </c>
      <c r="B517" t="s">
        <v>21</v>
      </c>
      <c r="C517">
        <v>2030</v>
      </c>
      <c r="D517" t="s">
        <v>164</v>
      </c>
      <c r="E517">
        <v>0.83299999999999996</v>
      </c>
      <c r="F517" t="s">
        <v>166</v>
      </c>
    </row>
    <row r="518" spans="1:6">
      <c r="A518" t="s">
        <v>32</v>
      </c>
      <c r="B518" t="s">
        <v>21</v>
      </c>
      <c r="C518">
        <v>2050</v>
      </c>
      <c r="D518" t="s">
        <v>6</v>
      </c>
      <c r="E518">
        <v>2500</v>
      </c>
      <c r="F518" t="s">
        <v>7</v>
      </c>
    </row>
    <row r="519" spans="1:6">
      <c r="A519" t="s">
        <v>32</v>
      </c>
      <c r="B519" t="s">
        <v>21</v>
      </c>
      <c r="C519">
        <v>2050</v>
      </c>
      <c r="D519" t="s">
        <v>8</v>
      </c>
      <c r="E519">
        <v>2500</v>
      </c>
      <c r="F519" t="s">
        <v>7</v>
      </c>
    </row>
    <row r="520" spans="1:6">
      <c r="A520" t="s">
        <v>32</v>
      </c>
      <c r="B520" t="s">
        <v>21</v>
      </c>
      <c r="C520">
        <v>2050</v>
      </c>
      <c r="D520" t="s">
        <v>9</v>
      </c>
      <c r="E520">
        <v>2500</v>
      </c>
      <c r="F520" t="s">
        <v>7</v>
      </c>
    </row>
    <row r="521" spans="1:6">
      <c r="A521" t="s">
        <v>32</v>
      </c>
      <c r="B521" t="s">
        <v>21</v>
      </c>
      <c r="C521">
        <v>2050</v>
      </c>
      <c r="D521" t="s">
        <v>10</v>
      </c>
      <c r="E521">
        <v>50</v>
      </c>
      <c r="F521" t="s">
        <v>11</v>
      </c>
    </row>
    <row r="522" spans="1:6">
      <c r="A522" t="s">
        <v>32</v>
      </c>
      <c r="B522" t="s">
        <v>21</v>
      </c>
      <c r="C522">
        <v>2050</v>
      </c>
      <c r="D522" t="s">
        <v>12</v>
      </c>
      <c r="E522">
        <v>0.6</v>
      </c>
      <c r="F522" t="s">
        <v>13</v>
      </c>
    </row>
    <row r="523" spans="1:6">
      <c r="A523" t="s">
        <v>32</v>
      </c>
      <c r="B523" t="s">
        <v>21</v>
      </c>
      <c r="C523">
        <v>2050</v>
      </c>
      <c r="D523" t="s">
        <v>164</v>
      </c>
      <c r="E523">
        <v>0.83299999999999996</v>
      </c>
      <c r="F523" t="s">
        <v>166</v>
      </c>
    </row>
    <row r="524" spans="1:6">
      <c r="A524" t="s">
        <v>32</v>
      </c>
      <c r="B524" t="s">
        <v>22</v>
      </c>
      <c r="C524">
        <v>2022</v>
      </c>
      <c r="D524" t="s">
        <v>6</v>
      </c>
      <c r="E524">
        <v>5000</v>
      </c>
      <c r="F524" t="s">
        <v>7</v>
      </c>
    </row>
    <row r="525" spans="1:6">
      <c r="A525" t="s">
        <v>32</v>
      </c>
      <c r="B525" t="s">
        <v>22</v>
      </c>
      <c r="C525">
        <v>2022</v>
      </c>
      <c r="D525" t="s">
        <v>8</v>
      </c>
      <c r="E525">
        <v>5000</v>
      </c>
      <c r="F525" t="s">
        <v>7</v>
      </c>
    </row>
    <row r="526" spans="1:6">
      <c r="A526" t="s">
        <v>32</v>
      </c>
      <c r="B526" t="s">
        <v>22</v>
      </c>
      <c r="C526">
        <v>2022</v>
      </c>
      <c r="D526" t="s">
        <v>9</v>
      </c>
      <c r="E526">
        <v>5000</v>
      </c>
      <c r="F526" t="s">
        <v>7</v>
      </c>
    </row>
    <row r="527" spans="1:6">
      <c r="A527" t="s">
        <v>32</v>
      </c>
      <c r="B527" t="s">
        <v>22</v>
      </c>
      <c r="C527">
        <v>2022</v>
      </c>
      <c r="D527" t="s">
        <v>10</v>
      </c>
      <c r="E527">
        <v>100</v>
      </c>
      <c r="F527" t="s">
        <v>11</v>
      </c>
    </row>
    <row r="528" spans="1:6">
      <c r="A528" t="s">
        <v>32</v>
      </c>
      <c r="B528" t="s">
        <v>22</v>
      </c>
      <c r="C528">
        <v>2022</v>
      </c>
      <c r="D528" t="s">
        <v>12</v>
      </c>
      <c r="E528">
        <v>0.46</v>
      </c>
      <c r="F528" t="s">
        <v>13</v>
      </c>
    </row>
    <row r="529" spans="1:6">
      <c r="A529" t="s">
        <v>32</v>
      </c>
      <c r="B529" t="s">
        <v>22</v>
      </c>
      <c r="C529">
        <v>2022</v>
      </c>
      <c r="D529" t="s">
        <v>164</v>
      </c>
      <c r="E529">
        <v>0.83299999999999996</v>
      </c>
      <c r="F529" t="s">
        <v>166</v>
      </c>
    </row>
    <row r="530" spans="1:6">
      <c r="A530" t="s">
        <v>32</v>
      </c>
      <c r="B530" t="s">
        <v>22</v>
      </c>
      <c r="C530">
        <v>2030</v>
      </c>
      <c r="D530" t="s">
        <v>6</v>
      </c>
      <c r="E530">
        <v>2500</v>
      </c>
      <c r="F530" t="s">
        <v>7</v>
      </c>
    </row>
    <row r="531" spans="1:6">
      <c r="A531" t="s">
        <v>32</v>
      </c>
      <c r="B531" t="s">
        <v>22</v>
      </c>
      <c r="C531">
        <v>2030</v>
      </c>
      <c r="D531" t="s">
        <v>8</v>
      </c>
      <c r="E531">
        <v>2500</v>
      </c>
      <c r="F531" t="s">
        <v>7</v>
      </c>
    </row>
    <row r="532" spans="1:6">
      <c r="A532" t="s">
        <v>32</v>
      </c>
      <c r="B532" t="s">
        <v>22</v>
      </c>
      <c r="C532">
        <v>2030</v>
      </c>
      <c r="D532" t="s">
        <v>9</v>
      </c>
      <c r="E532">
        <v>2500</v>
      </c>
      <c r="F532" t="s">
        <v>7</v>
      </c>
    </row>
    <row r="533" spans="1:6">
      <c r="A533" t="s">
        <v>32</v>
      </c>
      <c r="B533" t="s">
        <v>22</v>
      </c>
      <c r="C533">
        <v>2030</v>
      </c>
      <c r="D533" t="s">
        <v>10</v>
      </c>
      <c r="E533">
        <v>50</v>
      </c>
      <c r="F533" t="s">
        <v>11</v>
      </c>
    </row>
    <row r="534" spans="1:6">
      <c r="A534" t="s">
        <v>32</v>
      </c>
      <c r="B534" t="s">
        <v>22</v>
      </c>
      <c r="C534">
        <v>2030</v>
      </c>
      <c r="D534" t="s">
        <v>12</v>
      </c>
      <c r="E534">
        <v>0.54</v>
      </c>
      <c r="F534" t="s">
        <v>13</v>
      </c>
    </row>
    <row r="535" spans="1:6">
      <c r="A535" t="s">
        <v>32</v>
      </c>
      <c r="B535" t="s">
        <v>22</v>
      </c>
      <c r="C535">
        <v>2030</v>
      </c>
      <c r="D535" t="s">
        <v>164</v>
      </c>
      <c r="E535">
        <v>0.83299999999999996</v>
      </c>
      <c r="F535" t="s">
        <v>166</v>
      </c>
    </row>
    <row r="536" spans="1:6">
      <c r="A536" t="s">
        <v>32</v>
      </c>
      <c r="B536" t="s">
        <v>22</v>
      </c>
      <c r="C536">
        <v>2050</v>
      </c>
      <c r="D536" t="s">
        <v>6</v>
      </c>
      <c r="E536">
        <v>2500</v>
      </c>
      <c r="F536" t="s">
        <v>7</v>
      </c>
    </row>
    <row r="537" spans="1:6">
      <c r="A537" t="s">
        <v>32</v>
      </c>
      <c r="B537" t="s">
        <v>22</v>
      </c>
      <c r="C537">
        <v>2050</v>
      </c>
      <c r="D537" t="s">
        <v>8</v>
      </c>
      <c r="E537">
        <v>2500</v>
      </c>
      <c r="F537" t="s">
        <v>7</v>
      </c>
    </row>
    <row r="538" spans="1:6">
      <c r="A538" t="s">
        <v>32</v>
      </c>
      <c r="B538" t="s">
        <v>22</v>
      </c>
      <c r="C538">
        <v>2050</v>
      </c>
      <c r="D538" t="s">
        <v>9</v>
      </c>
      <c r="E538">
        <v>2500</v>
      </c>
      <c r="F538" t="s">
        <v>7</v>
      </c>
    </row>
    <row r="539" spans="1:6">
      <c r="A539" t="s">
        <v>32</v>
      </c>
      <c r="B539" t="s">
        <v>22</v>
      </c>
      <c r="C539">
        <v>2050</v>
      </c>
      <c r="D539" t="s">
        <v>10</v>
      </c>
      <c r="E539">
        <v>50</v>
      </c>
      <c r="F539" t="s">
        <v>11</v>
      </c>
    </row>
    <row r="540" spans="1:6">
      <c r="A540" t="s">
        <v>32</v>
      </c>
      <c r="B540" t="s">
        <v>22</v>
      </c>
      <c r="C540">
        <v>2050</v>
      </c>
      <c r="D540" t="s">
        <v>12</v>
      </c>
      <c r="E540">
        <v>0.6</v>
      </c>
      <c r="F540" t="s">
        <v>13</v>
      </c>
    </row>
    <row r="541" spans="1:6">
      <c r="A541" t="s">
        <v>32</v>
      </c>
      <c r="B541" t="s">
        <v>22</v>
      </c>
      <c r="C541">
        <v>2050</v>
      </c>
      <c r="D541" t="s">
        <v>164</v>
      </c>
      <c r="E541">
        <v>0.83299999999999996</v>
      </c>
      <c r="F541" t="s">
        <v>166</v>
      </c>
    </row>
    <row r="542" spans="1:6">
      <c r="A542" t="s">
        <v>32</v>
      </c>
      <c r="B542" t="s">
        <v>23</v>
      </c>
      <c r="C542">
        <v>2022</v>
      </c>
      <c r="D542" t="s">
        <v>6</v>
      </c>
      <c r="E542">
        <v>5000</v>
      </c>
      <c r="F542" t="s">
        <v>7</v>
      </c>
    </row>
    <row r="543" spans="1:6">
      <c r="A543" t="s">
        <v>32</v>
      </c>
      <c r="B543" t="s">
        <v>23</v>
      </c>
      <c r="C543">
        <v>2022</v>
      </c>
      <c r="D543" t="s">
        <v>8</v>
      </c>
      <c r="E543">
        <v>5000</v>
      </c>
      <c r="F543" t="s">
        <v>7</v>
      </c>
    </row>
    <row r="544" spans="1:6">
      <c r="A544" t="s">
        <v>32</v>
      </c>
      <c r="B544" t="s">
        <v>23</v>
      </c>
      <c r="C544">
        <v>2022</v>
      </c>
      <c r="D544" t="s">
        <v>9</v>
      </c>
      <c r="E544">
        <v>5000</v>
      </c>
      <c r="F544" t="s">
        <v>7</v>
      </c>
    </row>
    <row r="545" spans="1:6">
      <c r="A545" t="s">
        <v>32</v>
      </c>
      <c r="B545" t="s">
        <v>23</v>
      </c>
      <c r="C545">
        <v>2022</v>
      </c>
      <c r="D545" t="s">
        <v>10</v>
      </c>
      <c r="E545">
        <v>150</v>
      </c>
      <c r="F545" t="s">
        <v>11</v>
      </c>
    </row>
    <row r="546" spans="1:6">
      <c r="A546" t="s">
        <v>32</v>
      </c>
      <c r="B546" t="s">
        <v>23</v>
      </c>
      <c r="C546">
        <v>2022</v>
      </c>
      <c r="D546" t="s">
        <v>12</v>
      </c>
      <c r="E546">
        <v>0.46</v>
      </c>
      <c r="F546" t="s">
        <v>13</v>
      </c>
    </row>
    <row r="547" spans="1:6">
      <c r="A547" t="s">
        <v>32</v>
      </c>
      <c r="B547" t="s">
        <v>23</v>
      </c>
      <c r="C547">
        <v>2022</v>
      </c>
      <c r="D547" t="s">
        <v>164</v>
      </c>
      <c r="E547">
        <v>0.83299999999999996</v>
      </c>
      <c r="F547" t="s">
        <v>166</v>
      </c>
    </row>
    <row r="548" spans="1:6">
      <c r="A548" t="s">
        <v>32</v>
      </c>
      <c r="B548" t="s">
        <v>23</v>
      </c>
      <c r="C548">
        <v>2030</v>
      </c>
      <c r="D548" t="s">
        <v>6</v>
      </c>
      <c r="E548">
        <v>2500</v>
      </c>
      <c r="F548" t="s">
        <v>7</v>
      </c>
    </row>
    <row r="549" spans="1:6">
      <c r="A549" t="s">
        <v>32</v>
      </c>
      <c r="B549" t="s">
        <v>23</v>
      </c>
      <c r="C549">
        <v>2030</v>
      </c>
      <c r="D549" t="s">
        <v>8</v>
      </c>
      <c r="E549">
        <v>2500</v>
      </c>
      <c r="F549" t="s">
        <v>7</v>
      </c>
    </row>
    <row r="550" spans="1:6">
      <c r="A550" t="s">
        <v>32</v>
      </c>
      <c r="B550" t="s">
        <v>23</v>
      </c>
      <c r="C550">
        <v>2030</v>
      </c>
      <c r="D550" t="s">
        <v>9</v>
      </c>
      <c r="E550">
        <v>2500</v>
      </c>
      <c r="F550" t="s">
        <v>7</v>
      </c>
    </row>
    <row r="551" spans="1:6">
      <c r="A551" t="s">
        <v>32</v>
      </c>
      <c r="B551" t="s">
        <v>23</v>
      </c>
      <c r="C551">
        <v>2030</v>
      </c>
      <c r="D551" t="s">
        <v>10</v>
      </c>
      <c r="E551">
        <v>75</v>
      </c>
      <c r="F551" t="s">
        <v>11</v>
      </c>
    </row>
    <row r="552" spans="1:6">
      <c r="A552" t="s">
        <v>32</v>
      </c>
      <c r="B552" t="s">
        <v>23</v>
      </c>
      <c r="C552">
        <v>2030</v>
      </c>
      <c r="D552" t="s">
        <v>12</v>
      </c>
      <c r="E552">
        <v>0.54</v>
      </c>
      <c r="F552" t="s">
        <v>13</v>
      </c>
    </row>
    <row r="553" spans="1:6">
      <c r="A553" t="s">
        <v>32</v>
      </c>
      <c r="B553" t="s">
        <v>23</v>
      </c>
      <c r="C553">
        <v>2030</v>
      </c>
      <c r="D553" t="s">
        <v>164</v>
      </c>
      <c r="E553">
        <v>0.83299999999999996</v>
      </c>
      <c r="F553" t="s">
        <v>166</v>
      </c>
    </row>
    <row r="554" spans="1:6">
      <c r="A554" t="s">
        <v>32</v>
      </c>
      <c r="B554" t="s">
        <v>23</v>
      </c>
      <c r="C554">
        <v>2050</v>
      </c>
      <c r="D554" t="s">
        <v>6</v>
      </c>
      <c r="E554">
        <v>2500</v>
      </c>
      <c r="F554" t="s">
        <v>7</v>
      </c>
    </row>
    <row r="555" spans="1:6">
      <c r="A555" t="s">
        <v>32</v>
      </c>
      <c r="B555" t="s">
        <v>23</v>
      </c>
      <c r="C555">
        <v>2050</v>
      </c>
      <c r="D555" t="s">
        <v>8</v>
      </c>
      <c r="E555">
        <v>2500</v>
      </c>
      <c r="F555" t="s">
        <v>7</v>
      </c>
    </row>
    <row r="556" spans="1:6">
      <c r="A556" t="s">
        <v>32</v>
      </c>
      <c r="B556" t="s">
        <v>23</v>
      </c>
      <c r="C556">
        <v>2050</v>
      </c>
      <c r="D556" t="s">
        <v>9</v>
      </c>
      <c r="E556">
        <v>2500</v>
      </c>
      <c r="F556" t="s">
        <v>7</v>
      </c>
    </row>
    <row r="557" spans="1:6">
      <c r="A557" t="s">
        <v>32</v>
      </c>
      <c r="B557" t="s">
        <v>23</v>
      </c>
      <c r="C557">
        <v>2050</v>
      </c>
      <c r="D557" t="s">
        <v>10</v>
      </c>
      <c r="E557">
        <v>75</v>
      </c>
      <c r="F557" t="s">
        <v>11</v>
      </c>
    </row>
    <row r="558" spans="1:6">
      <c r="A558" t="s">
        <v>32</v>
      </c>
      <c r="B558" t="s">
        <v>23</v>
      </c>
      <c r="C558">
        <v>2050</v>
      </c>
      <c r="D558" t="s">
        <v>12</v>
      </c>
      <c r="E558">
        <v>0.6</v>
      </c>
      <c r="F558" t="s">
        <v>13</v>
      </c>
    </row>
    <row r="559" spans="1:6">
      <c r="A559" t="s">
        <v>32</v>
      </c>
      <c r="B559" t="s">
        <v>23</v>
      </c>
      <c r="C559">
        <v>2050</v>
      </c>
      <c r="D559" t="s">
        <v>164</v>
      </c>
      <c r="E559">
        <v>0.83299999999999996</v>
      </c>
      <c r="F559" t="s">
        <v>166</v>
      </c>
    </row>
    <row r="560" spans="1:6">
      <c r="A560" t="s">
        <v>32</v>
      </c>
      <c r="B560" t="s">
        <v>24</v>
      </c>
      <c r="C560">
        <v>2022</v>
      </c>
      <c r="D560" t="s">
        <v>6</v>
      </c>
      <c r="E560">
        <v>5000</v>
      </c>
      <c r="F560" t="s">
        <v>7</v>
      </c>
    </row>
    <row r="561" spans="1:6">
      <c r="A561" t="s">
        <v>32</v>
      </c>
      <c r="B561" t="s">
        <v>24</v>
      </c>
      <c r="C561">
        <v>2022</v>
      </c>
      <c r="D561" t="s">
        <v>8</v>
      </c>
      <c r="E561">
        <v>5000</v>
      </c>
      <c r="F561" t="s">
        <v>7</v>
      </c>
    </row>
    <row r="562" spans="1:6">
      <c r="A562" t="s">
        <v>32</v>
      </c>
      <c r="B562" t="s">
        <v>24</v>
      </c>
      <c r="C562">
        <v>2022</v>
      </c>
      <c r="D562" t="s">
        <v>9</v>
      </c>
      <c r="E562">
        <v>5000</v>
      </c>
      <c r="F562" t="s">
        <v>7</v>
      </c>
    </row>
    <row r="563" spans="1:6">
      <c r="A563" t="s">
        <v>32</v>
      </c>
      <c r="B563" t="s">
        <v>24</v>
      </c>
      <c r="C563">
        <v>2022</v>
      </c>
      <c r="D563" t="s">
        <v>10</v>
      </c>
      <c r="E563">
        <v>150</v>
      </c>
      <c r="F563" t="s">
        <v>11</v>
      </c>
    </row>
    <row r="564" spans="1:6">
      <c r="A564" t="s">
        <v>32</v>
      </c>
      <c r="B564" t="s">
        <v>24</v>
      </c>
      <c r="C564">
        <v>2022</v>
      </c>
      <c r="D564" t="s">
        <v>12</v>
      </c>
      <c r="E564">
        <v>0.46</v>
      </c>
      <c r="F564" t="s">
        <v>13</v>
      </c>
    </row>
    <row r="565" spans="1:6">
      <c r="A565" t="s">
        <v>32</v>
      </c>
      <c r="B565" t="s">
        <v>24</v>
      </c>
      <c r="C565">
        <v>2022</v>
      </c>
      <c r="D565" t="s">
        <v>164</v>
      </c>
      <c r="E565">
        <v>0.83299999999999996</v>
      </c>
      <c r="F565" t="s">
        <v>166</v>
      </c>
    </row>
    <row r="566" spans="1:6">
      <c r="A566" t="s">
        <v>32</v>
      </c>
      <c r="B566" t="s">
        <v>24</v>
      </c>
      <c r="C566">
        <v>2030</v>
      </c>
      <c r="D566" t="s">
        <v>6</v>
      </c>
      <c r="E566">
        <v>2500</v>
      </c>
      <c r="F566" t="s">
        <v>7</v>
      </c>
    </row>
    <row r="567" spans="1:6">
      <c r="A567" t="s">
        <v>32</v>
      </c>
      <c r="B567" t="s">
        <v>24</v>
      </c>
      <c r="C567">
        <v>2030</v>
      </c>
      <c r="D567" t="s">
        <v>8</v>
      </c>
      <c r="E567">
        <v>2500</v>
      </c>
      <c r="F567" t="s">
        <v>7</v>
      </c>
    </row>
    <row r="568" spans="1:6">
      <c r="A568" t="s">
        <v>32</v>
      </c>
      <c r="B568" t="s">
        <v>24</v>
      </c>
      <c r="C568">
        <v>2030</v>
      </c>
      <c r="D568" t="s">
        <v>9</v>
      </c>
      <c r="E568">
        <v>2500</v>
      </c>
      <c r="F568" t="s">
        <v>7</v>
      </c>
    </row>
    <row r="569" spans="1:6">
      <c r="A569" t="s">
        <v>32</v>
      </c>
      <c r="B569" t="s">
        <v>24</v>
      </c>
      <c r="C569">
        <v>2030</v>
      </c>
      <c r="D569" t="s">
        <v>10</v>
      </c>
      <c r="E569">
        <v>75</v>
      </c>
      <c r="F569" t="s">
        <v>11</v>
      </c>
    </row>
    <row r="570" spans="1:6">
      <c r="A570" t="s">
        <v>32</v>
      </c>
      <c r="B570" t="s">
        <v>24</v>
      </c>
      <c r="C570">
        <v>2030</v>
      </c>
      <c r="D570" t="s">
        <v>12</v>
      </c>
      <c r="E570">
        <v>0.54</v>
      </c>
      <c r="F570" t="s">
        <v>13</v>
      </c>
    </row>
    <row r="571" spans="1:6">
      <c r="A571" t="s">
        <v>32</v>
      </c>
      <c r="B571" t="s">
        <v>24</v>
      </c>
      <c r="C571">
        <v>2030</v>
      </c>
      <c r="D571" t="s">
        <v>164</v>
      </c>
      <c r="E571">
        <v>0.83299999999999996</v>
      </c>
      <c r="F571" t="s">
        <v>166</v>
      </c>
    </row>
    <row r="572" spans="1:6">
      <c r="A572" t="s">
        <v>32</v>
      </c>
      <c r="B572" t="s">
        <v>24</v>
      </c>
      <c r="C572">
        <v>2050</v>
      </c>
      <c r="D572" t="s">
        <v>6</v>
      </c>
      <c r="E572">
        <v>2500</v>
      </c>
      <c r="F572" t="s">
        <v>7</v>
      </c>
    </row>
    <row r="573" spans="1:6">
      <c r="A573" t="s">
        <v>32</v>
      </c>
      <c r="B573" t="s">
        <v>24</v>
      </c>
      <c r="C573">
        <v>2050</v>
      </c>
      <c r="D573" t="s">
        <v>8</v>
      </c>
      <c r="E573">
        <v>2500</v>
      </c>
      <c r="F573" t="s">
        <v>7</v>
      </c>
    </row>
    <row r="574" spans="1:6">
      <c r="A574" t="s">
        <v>32</v>
      </c>
      <c r="B574" t="s">
        <v>24</v>
      </c>
      <c r="C574">
        <v>2050</v>
      </c>
      <c r="D574" t="s">
        <v>9</v>
      </c>
      <c r="E574">
        <v>2500</v>
      </c>
      <c r="F574" t="s">
        <v>7</v>
      </c>
    </row>
    <row r="575" spans="1:6">
      <c r="A575" t="s">
        <v>32</v>
      </c>
      <c r="B575" t="s">
        <v>24</v>
      </c>
      <c r="C575">
        <v>2050</v>
      </c>
      <c r="D575" t="s">
        <v>10</v>
      </c>
      <c r="E575">
        <v>75</v>
      </c>
      <c r="F575" t="s">
        <v>11</v>
      </c>
    </row>
    <row r="576" spans="1:6">
      <c r="A576" t="s">
        <v>32</v>
      </c>
      <c r="B576" t="s">
        <v>24</v>
      </c>
      <c r="C576">
        <v>2050</v>
      </c>
      <c r="D576" t="s">
        <v>12</v>
      </c>
      <c r="E576">
        <v>0.6</v>
      </c>
      <c r="F576" t="s">
        <v>13</v>
      </c>
    </row>
    <row r="577" spans="1:6">
      <c r="A577" t="s">
        <v>32</v>
      </c>
      <c r="B577" t="s">
        <v>24</v>
      </c>
      <c r="C577">
        <v>2050</v>
      </c>
      <c r="D577" t="s">
        <v>164</v>
      </c>
      <c r="E577">
        <v>0.83299999999999996</v>
      </c>
      <c r="F577" t="s">
        <v>166</v>
      </c>
    </row>
    <row r="578" spans="1:6">
      <c r="A578" t="s">
        <v>32</v>
      </c>
      <c r="B578" t="s">
        <v>25</v>
      </c>
      <c r="C578">
        <v>2022</v>
      </c>
      <c r="D578" t="s">
        <v>6</v>
      </c>
      <c r="E578">
        <v>5000</v>
      </c>
      <c r="F578" t="s">
        <v>7</v>
      </c>
    </row>
    <row r="579" spans="1:6">
      <c r="A579" t="s">
        <v>32</v>
      </c>
      <c r="B579" t="s">
        <v>25</v>
      </c>
      <c r="C579">
        <v>2022</v>
      </c>
      <c r="D579" t="s">
        <v>8</v>
      </c>
      <c r="E579">
        <v>5000</v>
      </c>
      <c r="F579" t="s">
        <v>7</v>
      </c>
    </row>
    <row r="580" spans="1:6">
      <c r="A580" t="s">
        <v>32</v>
      </c>
      <c r="B580" t="s">
        <v>25</v>
      </c>
      <c r="C580">
        <v>2022</v>
      </c>
      <c r="D580" t="s">
        <v>9</v>
      </c>
      <c r="E580">
        <v>5000</v>
      </c>
      <c r="F580" t="s">
        <v>7</v>
      </c>
    </row>
    <row r="581" spans="1:6">
      <c r="A581" t="s">
        <v>32</v>
      </c>
      <c r="B581" t="s">
        <v>25</v>
      </c>
      <c r="C581">
        <v>2022</v>
      </c>
      <c r="D581" t="s">
        <v>10</v>
      </c>
      <c r="E581">
        <v>150</v>
      </c>
      <c r="F581" t="s">
        <v>11</v>
      </c>
    </row>
    <row r="582" spans="1:6">
      <c r="A582" t="s">
        <v>32</v>
      </c>
      <c r="B582" t="s">
        <v>25</v>
      </c>
      <c r="C582">
        <v>2022</v>
      </c>
      <c r="D582" t="s">
        <v>12</v>
      </c>
      <c r="E582">
        <v>0.46</v>
      </c>
      <c r="F582" t="s">
        <v>13</v>
      </c>
    </row>
    <row r="583" spans="1:6">
      <c r="A583" t="s">
        <v>32</v>
      </c>
      <c r="B583" t="s">
        <v>25</v>
      </c>
      <c r="C583">
        <v>2022</v>
      </c>
      <c r="D583" t="s">
        <v>164</v>
      </c>
      <c r="E583">
        <v>0.83299999999999996</v>
      </c>
      <c r="F583" t="s">
        <v>166</v>
      </c>
    </row>
    <row r="584" spans="1:6">
      <c r="A584" t="s">
        <v>32</v>
      </c>
      <c r="B584" t="s">
        <v>25</v>
      </c>
      <c r="C584">
        <v>2030</v>
      </c>
      <c r="D584" t="s">
        <v>6</v>
      </c>
      <c r="E584">
        <v>2500</v>
      </c>
      <c r="F584" t="s">
        <v>7</v>
      </c>
    </row>
    <row r="585" spans="1:6">
      <c r="A585" t="s">
        <v>32</v>
      </c>
      <c r="B585" t="s">
        <v>25</v>
      </c>
      <c r="C585">
        <v>2030</v>
      </c>
      <c r="D585" t="s">
        <v>8</v>
      </c>
      <c r="E585">
        <v>2500</v>
      </c>
      <c r="F585" t="s">
        <v>7</v>
      </c>
    </row>
    <row r="586" spans="1:6">
      <c r="A586" t="s">
        <v>32</v>
      </c>
      <c r="B586" t="s">
        <v>25</v>
      </c>
      <c r="C586">
        <v>2030</v>
      </c>
      <c r="D586" t="s">
        <v>9</v>
      </c>
      <c r="E586">
        <v>2500</v>
      </c>
      <c r="F586" t="s">
        <v>7</v>
      </c>
    </row>
    <row r="587" spans="1:6">
      <c r="A587" t="s">
        <v>32</v>
      </c>
      <c r="B587" t="s">
        <v>25</v>
      </c>
      <c r="C587">
        <v>2030</v>
      </c>
      <c r="D587" t="s">
        <v>10</v>
      </c>
      <c r="E587">
        <v>75</v>
      </c>
      <c r="F587" t="s">
        <v>11</v>
      </c>
    </row>
    <row r="588" spans="1:6">
      <c r="A588" t="s">
        <v>32</v>
      </c>
      <c r="B588" t="s">
        <v>25</v>
      </c>
      <c r="C588">
        <v>2030</v>
      </c>
      <c r="D588" t="s">
        <v>12</v>
      </c>
      <c r="E588">
        <v>0.54</v>
      </c>
      <c r="F588" t="s">
        <v>13</v>
      </c>
    </row>
    <row r="589" spans="1:6">
      <c r="A589" t="s">
        <v>32</v>
      </c>
      <c r="B589" t="s">
        <v>25</v>
      </c>
      <c r="C589">
        <v>2030</v>
      </c>
      <c r="D589" t="s">
        <v>164</v>
      </c>
      <c r="E589">
        <v>0.83299999999999996</v>
      </c>
      <c r="F589" t="s">
        <v>166</v>
      </c>
    </row>
    <row r="590" spans="1:6">
      <c r="A590" t="s">
        <v>32</v>
      </c>
      <c r="B590" t="s">
        <v>25</v>
      </c>
      <c r="C590">
        <v>2050</v>
      </c>
      <c r="D590" t="s">
        <v>6</v>
      </c>
      <c r="E590">
        <v>2500</v>
      </c>
      <c r="F590" t="s">
        <v>7</v>
      </c>
    </row>
    <row r="591" spans="1:6">
      <c r="A591" t="s">
        <v>32</v>
      </c>
      <c r="B591" t="s">
        <v>25</v>
      </c>
      <c r="C591">
        <v>2050</v>
      </c>
      <c r="D591" t="s">
        <v>8</v>
      </c>
      <c r="E591">
        <v>2500</v>
      </c>
      <c r="F591" t="s">
        <v>7</v>
      </c>
    </row>
    <row r="592" spans="1:6">
      <c r="A592" t="s">
        <v>32</v>
      </c>
      <c r="B592" t="s">
        <v>25</v>
      </c>
      <c r="C592">
        <v>2050</v>
      </c>
      <c r="D592" t="s">
        <v>9</v>
      </c>
      <c r="E592">
        <v>2500</v>
      </c>
      <c r="F592" t="s">
        <v>7</v>
      </c>
    </row>
    <row r="593" spans="1:6">
      <c r="A593" t="s">
        <v>32</v>
      </c>
      <c r="B593" t="s">
        <v>25</v>
      </c>
      <c r="C593">
        <v>2050</v>
      </c>
      <c r="D593" t="s">
        <v>10</v>
      </c>
      <c r="E593">
        <v>75</v>
      </c>
      <c r="F593" t="s">
        <v>11</v>
      </c>
    </row>
    <row r="594" spans="1:6">
      <c r="A594" t="s">
        <v>32</v>
      </c>
      <c r="B594" t="s">
        <v>25</v>
      </c>
      <c r="C594">
        <v>2050</v>
      </c>
      <c r="D594" t="s">
        <v>12</v>
      </c>
      <c r="E594">
        <v>0.6</v>
      </c>
      <c r="F594" t="s">
        <v>13</v>
      </c>
    </row>
    <row r="595" spans="1:6">
      <c r="A595" t="s">
        <v>32</v>
      </c>
      <c r="B595" t="s">
        <v>25</v>
      </c>
      <c r="C595">
        <v>2050</v>
      </c>
      <c r="D595" t="s">
        <v>164</v>
      </c>
      <c r="E595">
        <v>0.83299999999999996</v>
      </c>
      <c r="F595" t="s">
        <v>166</v>
      </c>
    </row>
    <row r="596" spans="1:6">
      <c r="A596" t="s">
        <v>32</v>
      </c>
      <c r="B596" t="s">
        <v>26</v>
      </c>
      <c r="C596">
        <v>2022</v>
      </c>
      <c r="D596" t="s">
        <v>6</v>
      </c>
      <c r="E596">
        <v>5000</v>
      </c>
      <c r="F596" t="s">
        <v>7</v>
      </c>
    </row>
    <row r="597" spans="1:6">
      <c r="A597" t="s">
        <v>32</v>
      </c>
      <c r="B597" t="s">
        <v>26</v>
      </c>
      <c r="C597">
        <v>2022</v>
      </c>
      <c r="D597" t="s">
        <v>8</v>
      </c>
      <c r="E597">
        <v>5000</v>
      </c>
      <c r="F597" t="s">
        <v>7</v>
      </c>
    </row>
    <row r="598" spans="1:6">
      <c r="A598" t="s">
        <v>32</v>
      </c>
      <c r="B598" t="s">
        <v>26</v>
      </c>
      <c r="C598">
        <v>2022</v>
      </c>
      <c r="D598" t="s">
        <v>9</v>
      </c>
      <c r="E598">
        <v>5000</v>
      </c>
      <c r="F598" t="s">
        <v>7</v>
      </c>
    </row>
    <row r="599" spans="1:6">
      <c r="A599" t="s">
        <v>32</v>
      </c>
      <c r="B599" t="s">
        <v>26</v>
      </c>
      <c r="C599">
        <v>2022</v>
      </c>
      <c r="D599" t="s">
        <v>10</v>
      </c>
      <c r="E599">
        <v>150</v>
      </c>
      <c r="F599" t="s">
        <v>11</v>
      </c>
    </row>
    <row r="600" spans="1:6">
      <c r="A600" t="s">
        <v>32</v>
      </c>
      <c r="B600" t="s">
        <v>26</v>
      </c>
      <c r="C600">
        <v>2022</v>
      </c>
      <c r="D600" t="s">
        <v>12</v>
      </c>
      <c r="E600">
        <v>0.46</v>
      </c>
      <c r="F600" t="s">
        <v>13</v>
      </c>
    </row>
    <row r="601" spans="1:6">
      <c r="A601" t="s">
        <v>32</v>
      </c>
      <c r="B601" t="s">
        <v>26</v>
      </c>
      <c r="C601">
        <v>2022</v>
      </c>
      <c r="D601" t="s">
        <v>164</v>
      </c>
      <c r="E601">
        <v>0.83299999999999996</v>
      </c>
      <c r="F601" t="s">
        <v>166</v>
      </c>
    </row>
    <row r="602" spans="1:6">
      <c r="A602" t="s">
        <v>32</v>
      </c>
      <c r="B602" t="s">
        <v>26</v>
      </c>
      <c r="C602">
        <v>2030</v>
      </c>
      <c r="D602" t="s">
        <v>6</v>
      </c>
      <c r="E602">
        <v>2500</v>
      </c>
      <c r="F602" t="s">
        <v>7</v>
      </c>
    </row>
    <row r="603" spans="1:6">
      <c r="A603" t="s">
        <v>32</v>
      </c>
      <c r="B603" t="s">
        <v>26</v>
      </c>
      <c r="C603">
        <v>2030</v>
      </c>
      <c r="D603" t="s">
        <v>8</v>
      </c>
      <c r="E603">
        <v>2500</v>
      </c>
      <c r="F603" t="s">
        <v>7</v>
      </c>
    </row>
    <row r="604" spans="1:6">
      <c r="A604" t="s">
        <v>32</v>
      </c>
      <c r="B604" t="s">
        <v>26</v>
      </c>
      <c r="C604">
        <v>2030</v>
      </c>
      <c r="D604" t="s">
        <v>9</v>
      </c>
      <c r="E604">
        <v>2500</v>
      </c>
      <c r="F604" t="s">
        <v>7</v>
      </c>
    </row>
    <row r="605" spans="1:6">
      <c r="A605" t="s">
        <v>32</v>
      </c>
      <c r="B605" t="s">
        <v>26</v>
      </c>
      <c r="C605">
        <v>2030</v>
      </c>
      <c r="D605" t="s">
        <v>10</v>
      </c>
      <c r="E605">
        <v>75</v>
      </c>
      <c r="F605" t="s">
        <v>11</v>
      </c>
    </row>
    <row r="606" spans="1:6">
      <c r="A606" t="s">
        <v>32</v>
      </c>
      <c r="B606" t="s">
        <v>26</v>
      </c>
      <c r="C606">
        <v>2030</v>
      </c>
      <c r="D606" t="s">
        <v>12</v>
      </c>
      <c r="E606">
        <v>0.54</v>
      </c>
      <c r="F606" t="s">
        <v>13</v>
      </c>
    </row>
    <row r="607" spans="1:6">
      <c r="A607" t="s">
        <v>32</v>
      </c>
      <c r="B607" t="s">
        <v>26</v>
      </c>
      <c r="C607">
        <v>2030</v>
      </c>
      <c r="D607" t="s">
        <v>164</v>
      </c>
      <c r="E607">
        <v>0.83299999999999996</v>
      </c>
      <c r="F607" t="s">
        <v>166</v>
      </c>
    </row>
    <row r="608" spans="1:6">
      <c r="A608" t="s">
        <v>32</v>
      </c>
      <c r="B608" t="s">
        <v>26</v>
      </c>
      <c r="C608">
        <v>2050</v>
      </c>
      <c r="D608" t="s">
        <v>6</v>
      </c>
      <c r="E608">
        <v>2500</v>
      </c>
      <c r="F608" t="s">
        <v>7</v>
      </c>
    </row>
    <row r="609" spans="1:6">
      <c r="A609" t="s">
        <v>32</v>
      </c>
      <c r="B609" t="s">
        <v>26</v>
      </c>
      <c r="C609">
        <v>2050</v>
      </c>
      <c r="D609" t="s">
        <v>8</v>
      </c>
      <c r="E609">
        <v>2500</v>
      </c>
      <c r="F609" t="s">
        <v>7</v>
      </c>
    </row>
    <row r="610" spans="1:6">
      <c r="A610" t="s">
        <v>32</v>
      </c>
      <c r="B610" t="s">
        <v>26</v>
      </c>
      <c r="C610">
        <v>2050</v>
      </c>
      <c r="D610" t="s">
        <v>9</v>
      </c>
      <c r="E610">
        <v>2500</v>
      </c>
      <c r="F610" t="s">
        <v>7</v>
      </c>
    </row>
    <row r="611" spans="1:6">
      <c r="A611" t="s">
        <v>32</v>
      </c>
      <c r="B611" t="s">
        <v>26</v>
      </c>
      <c r="C611">
        <v>2050</v>
      </c>
      <c r="D611" t="s">
        <v>10</v>
      </c>
      <c r="E611">
        <v>75</v>
      </c>
      <c r="F611" t="s">
        <v>11</v>
      </c>
    </row>
    <row r="612" spans="1:6">
      <c r="A612" t="s">
        <v>32</v>
      </c>
      <c r="B612" t="s">
        <v>26</v>
      </c>
      <c r="C612">
        <v>2050</v>
      </c>
      <c r="D612" t="s">
        <v>12</v>
      </c>
      <c r="E612">
        <v>0.6</v>
      </c>
      <c r="F612" t="s">
        <v>13</v>
      </c>
    </row>
    <row r="613" spans="1:6">
      <c r="A613" t="s">
        <v>32</v>
      </c>
      <c r="B613" t="s">
        <v>26</v>
      </c>
      <c r="C613">
        <v>2050</v>
      </c>
      <c r="D613" t="s">
        <v>164</v>
      </c>
      <c r="E613">
        <v>0.83299999999999996</v>
      </c>
      <c r="F613" t="s">
        <v>166</v>
      </c>
    </row>
    <row r="614" spans="1:6">
      <c r="A614" t="s">
        <v>32</v>
      </c>
      <c r="B614" t="s">
        <v>27</v>
      </c>
      <c r="C614">
        <v>2022</v>
      </c>
      <c r="D614" t="s">
        <v>6</v>
      </c>
      <c r="E614">
        <v>5000</v>
      </c>
      <c r="F614" t="s">
        <v>7</v>
      </c>
    </row>
    <row r="615" spans="1:6">
      <c r="A615" t="s">
        <v>32</v>
      </c>
      <c r="B615" t="s">
        <v>27</v>
      </c>
      <c r="C615">
        <v>2022</v>
      </c>
      <c r="D615" t="s">
        <v>8</v>
      </c>
      <c r="E615">
        <v>5000</v>
      </c>
      <c r="F615" t="s">
        <v>7</v>
      </c>
    </row>
    <row r="616" spans="1:6">
      <c r="A616" t="s">
        <v>32</v>
      </c>
      <c r="B616" t="s">
        <v>27</v>
      </c>
      <c r="C616">
        <v>2022</v>
      </c>
      <c r="D616" t="s">
        <v>9</v>
      </c>
      <c r="E616">
        <v>5000</v>
      </c>
      <c r="F616" t="s">
        <v>7</v>
      </c>
    </row>
    <row r="617" spans="1:6">
      <c r="A617" t="s">
        <v>32</v>
      </c>
      <c r="B617" t="s">
        <v>27</v>
      </c>
      <c r="C617">
        <v>2022</v>
      </c>
      <c r="D617" t="s">
        <v>10</v>
      </c>
      <c r="E617">
        <v>150</v>
      </c>
      <c r="F617" t="s">
        <v>11</v>
      </c>
    </row>
    <row r="618" spans="1:6">
      <c r="A618" t="s">
        <v>32</v>
      </c>
      <c r="B618" t="s">
        <v>27</v>
      </c>
      <c r="C618">
        <v>2022</v>
      </c>
      <c r="D618" t="s">
        <v>12</v>
      </c>
      <c r="E618">
        <v>0.46</v>
      </c>
      <c r="F618" t="s">
        <v>13</v>
      </c>
    </row>
    <row r="619" spans="1:6">
      <c r="A619" t="s">
        <v>32</v>
      </c>
      <c r="B619" t="s">
        <v>27</v>
      </c>
      <c r="C619">
        <v>2022</v>
      </c>
      <c r="D619" t="s">
        <v>164</v>
      </c>
      <c r="E619">
        <v>0.83299999999999996</v>
      </c>
      <c r="F619" t="s">
        <v>166</v>
      </c>
    </row>
    <row r="620" spans="1:6">
      <c r="A620" t="s">
        <v>32</v>
      </c>
      <c r="B620" t="s">
        <v>27</v>
      </c>
      <c r="C620">
        <v>2030</v>
      </c>
      <c r="D620" t="s">
        <v>6</v>
      </c>
      <c r="E620">
        <v>2500</v>
      </c>
      <c r="F620" t="s">
        <v>7</v>
      </c>
    </row>
    <row r="621" spans="1:6">
      <c r="A621" t="s">
        <v>32</v>
      </c>
      <c r="B621" t="s">
        <v>27</v>
      </c>
      <c r="C621">
        <v>2030</v>
      </c>
      <c r="D621" t="s">
        <v>8</v>
      </c>
      <c r="E621">
        <v>2500</v>
      </c>
      <c r="F621" t="s">
        <v>7</v>
      </c>
    </row>
    <row r="622" spans="1:6">
      <c r="A622" t="s">
        <v>32</v>
      </c>
      <c r="B622" t="s">
        <v>27</v>
      </c>
      <c r="C622">
        <v>2030</v>
      </c>
      <c r="D622" t="s">
        <v>9</v>
      </c>
      <c r="E622">
        <v>2500</v>
      </c>
      <c r="F622" t="s">
        <v>7</v>
      </c>
    </row>
    <row r="623" spans="1:6">
      <c r="A623" t="s">
        <v>32</v>
      </c>
      <c r="B623" t="s">
        <v>27</v>
      </c>
      <c r="C623">
        <v>2030</v>
      </c>
      <c r="D623" t="s">
        <v>10</v>
      </c>
      <c r="E623">
        <v>75</v>
      </c>
      <c r="F623" t="s">
        <v>11</v>
      </c>
    </row>
    <row r="624" spans="1:6">
      <c r="A624" t="s">
        <v>32</v>
      </c>
      <c r="B624" t="s">
        <v>27</v>
      </c>
      <c r="C624">
        <v>2030</v>
      </c>
      <c r="D624" t="s">
        <v>12</v>
      </c>
      <c r="E624">
        <v>0.54</v>
      </c>
      <c r="F624" t="s">
        <v>13</v>
      </c>
    </row>
    <row r="625" spans="1:6">
      <c r="A625" t="s">
        <v>32</v>
      </c>
      <c r="B625" t="s">
        <v>27</v>
      </c>
      <c r="C625">
        <v>2030</v>
      </c>
      <c r="D625" t="s">
        <v>164</v>
      </c>
      <c r="E625">
        <v>0.83299999999999996</v>
      </c>
      <c r="F625" t="s">
        <v>166</v>
      </c>
    </row>
    <row r="626" spans="1:6">
      <c r="A626" t="s">
        <v>32</v>
      </c>
      <c r="B626" t="s">
        <v>27</v>
      </c>
      <c r="C626">
        <v>2050</v>
      </c>
      <c r="D626" t="s">
        <v>6</v>
      </c>
      <c r="E626">
        <v>2500</v>
      </c>
      <c r="F626" t="s">
        <v>7</v>
      </c>
    </row>
    <row r="627" spans="1:6">
      <c r="A627" t="s">
        <v>32</v>
      </c>
      <c r="B627" t="s">
        <v>27</v>
      </c>
      <c r="C627">
        <v>2050</v>
      </c>
      <c r="D627" t="s">
        <v>8</v>
      </c>
      <c r="E627">
        <v>2500</v>
      </c>
      <c r="F627" t="s">
        <v>7</v>
      </c>
    </row>
    <row r="628" spans="1:6">
      <c r="A628" t="s">
        <v>32</v>
      </c>
      <c r="B628" t="s">
        <v>27</v>
      </c>
      <c r="C628">
        <v>2050</v>
      </c>
      <c r="D628" t="s">
        <v>9</v>
      </c>
      <c r="E628">
        <v>2500</v>
      </c>
      <c r="F628" t="s">
        <v>7</v>
      </c>
    </row>
    <row r="629" spans="1:6">
      <c r="A629" t="s">
        <v>32</v>
      </c>
      <c r="B629" t="s">
        <v>27</v>
      </c>
      <c r="C629">
        <v>2050</v>
      </c>
      <c r="D629" t="s">
        <v>10</v>
      </c>
      <c r="E629">
        <v>75</v>
      </c>
      <c r="F629" t="s">
        <v>11</v>
      </c>
    </row>
    <row r="630" spans="1:6">
      <c r="A630" t="s">
        <v>32</v>
      </c>
      <c r="B630" t="s">
        <v>27</v>
      </c>
      <c r="C630">
        <v>2050</v>
      </c>
      <c r="D630" t="s">
        <v>12</v>
      </c>
      <c r="E630">
        <v>0.6</v>
      </c>
      <c r="F630" t="s">
        <v>13</v>
      </c>
    </row>
    <row r="631" spans="1:6">
      <c r="A631" t="s">
        <v>32</v>
      </c>
      <c r="B631" t="s">
        <v>27</v>
      </c>
      <c r="C631">
        <v>2050</v>
      </c>
      <c r="D631" t="s">
        <v>164</v>
      </c>
      <c r="E631">
        <v>0.83299999999999996</v>
      </c>
      <c r="F631" t="s">
        <v>166</v>
      </c>
    </row>
    <row r="632" spans="1:6">
      <c r="A632" t="s">
        <v>32</v>
      </c>
      <c r="B632" t="s">
        <v>28</v>
      </c>
      <c r="C632">
        <v>2022</v>
      </c>
      <c r="D632" t="s">
        <v>6</v>
      </c>
      <c r="E632">
        <v>5000</v>
      </c>
      <c r="F632" t="s">
        <v>7</v>
      </c>
    </row>
    <row r="633" spans="1:6">
      <c r="A633" t="s">
        <v>32</v>
      </c>
      <c r="B633" t="s">
        <v>28</v>
      </c>
      <c r="C633">
        <v>2022</v>
      </c>
      <c r="D633" t="s">
        <v>8</v>
      </c>
      <c r="E633">
        <v>5000</v>
      </c>
      <c r="F633" t="s">
        <v>7</v>
      </c>
    </row>
    <row r="634" spans="1:6">
      <c r="A634" t="s">
        <v>32</v>
      </c>
      <c r="B634" t="s">
        <v>28</v>
      </c>
      <c r="C634">
        <v>2022</v>
      </c>
      <c r="D634" t="s">
        <v>9</v>
      </c>
      <c r="E634">
        <v>5000</v>
      </c>
      <c r="F634" t="s">
        <v>7</v>
      </c>
    </row>
    <row r="635" spans="1:6">
      <c r="A635" t="s">
        <v>32</v>
      </c>
      <c r="B635" t="s">
        <v>28</v>
      </c>
      <c r="C635">
        <v>2022</v>
      </c>
      <c r="D635" t="s">
        <v>10</v>
      </c>
      <c r="E635">
        <v>150</v>
      </c>
      <c r="F635" t="s">
        <v>11</v>
      </c>
    </row>
    <row r="636" spans="1:6">
      <c r="A636" t="s">
        <v>32</v>
      </c>
      <c r="B636" t="s">
        <v>28</v>
      </c>
      <c r="C636">
        <v>2022</v>
      </c>
      <c r="D636" t="s">
        <v>12</v>
      </c>
      <c r="E636">
        <v>0.46</v>
      </c>
      <c r="F636" t="s">
        <v>13</v>
      </c>
    </row>
    <row r="637" spans="1:6">
      <c r="A637" t="s">
        <v>32</v>
      </c>
      <c r="B637" t="s">
        <v>28</v>
      </c>
      <c r="C637">
        <v>2022</v>
      </c>
      <c r="D637" t="s">
        <v>164</v>
      </c>
      <c r="E637">
        <v>0.83299999999999996</v>
      </c>
      <c r="F637" t="s">
        <v>166</v>
      </c>
    </row>
    <row r="638" spans="1:6">
      <c r="A638" t="s">
        <v>32</v>
      </c>
      <c r="B638" t="s">
        <v>28</v>
      </c>
      <c r="C638">
        <v>2030</v>
      </c>
      <c r="D638" t="s">
        <v>6</v>
      </c>
      <c r="E638">
        <v>2500</v>
      </c>
      <c r="F638" t="s">
        <v>7</v>
      </c>
    </row>
    <row r="639" spans="1:6">
      <c r="A639" t="s">
        <v>32</v>
      </c>
      <c r="B639" t="s">
        <v>28</v>
      </c>
      <c r="C639">
        <v>2030</v>
      </c>
      <c r="D639" t="s">
        <v>8</v>
      </c>
      <c r="E639">
        <v>2500</v>
      </c>
      <c r="F639" t="s">
        <v>7</v>
      </c>
    </row>
    <row r="640" spans="1:6">
      <c r="A640" t="s">
        <v>32</v>
      </c>
      <c r="B640" t="s">
        <v>28</v>
      </c>
      <c r="C640">
        <v>2030</v>
      </c>
      <c r="D640" t="s">
        <v>9</v>
      </c>
      <c r="E640">
        <v>2500</v>
      </c>
      <c r="F640" t="s">
        <v>7</v>
      </c>
    </row>
    <row r="641" spans="1:6">
      <c r="A641" t="s">
        <v>32</v>
      </c>
      <c r="B641" t="s">
        <v>28</v>
      </c>
      <c r="C641">
        <v>2030</v>
      </c>
      <c r="D641" t="s">
        <v>10</v>
      </c>
      <c r="E641">
        <v>75</v>
      </c>
      <c r="F641" t="s">
        <v>11</v>
      </c>
    </row>
    <row r="642" spans="1:6">
      <c r="A642" t="s">
        <v>32</v>
      </c>
      <c r="B642" t="s">
        <v>28</v>
      </c>
      <c r="C642">
        <v>2030</v>
      </c>
      <c r="D642" t="s">
        <v>12</v>
      </c>
      <c r="E642">
        <v>0.54</v>
      </c>
      <c r="F642" t="s">
        <v>13</v>
      </c>
    </row>
    <row r="643" spans="1:6">
      <c r="A643" t="s">
        <v>32</v>
      </c>
      <c r="B643" t="s">
        <v>28</v>
      </c>
      <c r="C643">
        <v>2030</v>
      </c>
      <c r="D643" t="s">
        <v>164</v>
      </c>
      <c r="E643">
        <v>0.83299999999999996</v>
      </c>
      <c r="F643" t="s">
        <v>166</v>
      </c>
    </row>
    <row r="644" spans="1:6">
      <c r="A644" t="s">
        <v>32</v>
      </c>
      <c r="B644" t="s">
        <v>28</v>
      </c>
      <c r="C644">
        <v>2050</v>
      </c>
      <c r="D644" t="s">
        <v>6</v>
      </c>
      <c r="E644">
        <v>2500</v>
      </c>
      <c r="F644" t="s">
        <v>7</v>
      </c>
    </row>
    <row r="645" spans="1:6">
      <c r="A645" t="s">
        <v>32</v>
      </c>
      <c r="B645" t="s">
        <v>28</v>
      </c>
      <c r="C645">
        <v>2050</v>
      </c>
      <c r="D645" t="s">
        <v>8</v>
      </c>
      <c r="E645">
        <v>2500</v>
      </c>
      <c r="F645" t="s">
        <v>7</v>
      </c>
    </row>
    <row r="646" spans="1:6">
      <c r="A646" t="s">
        <v>32</v>
      </c>
      <c r="B646" t="s">
        <v>28</v>
      </c>
      <c r="C646">
        <v>2050</v>
      </c>
      <c r="D646" t="s">
        <v>9</v>
      </c>
      <c r="E646">
        <v>2500</v>
      </c>
      <c r="F646" t="s">
        <v>7</v>
      </c>
    </row>
    <row r="647" spans="1:6">
      <c r="A647" t="s">
        <v>32</v>
      </c>
      <c r="B647" t="s">
        <v>28</v>
      </c>
      <c r="C647">
        <v>2050</v>
      </c>
      <c r="D647" t="s">
        <v>10</v>
      </c>
      <c r="E647">
        <v>75</v>
      </c>
      <c r="F647" t="s">
        <v>11</v>
      </c>
    </row>
    <row r="648" spans="1:6">
      <c r="A648" t="s">
        <v>32</v>
      </c>
      <c r="B648" t="s">
        <v>28</v>
      </c>
      <c r="C648">
        <v>2050</v>
      </c>
      <c r="D648" t="s">
        <v>12</v>
      </c>
      <c r="E648">
        <v>0.6</v>
      </c>
      <c r="F648" t="s">
        <v>13</v>
      </c>
    </row>
    <row r="649" spans="1:6">
      <c r="A649" t="s">
        <v>32</v>
      </c>
      <c r="B649" t="s">
        <v>28</v>
      </c>
      <c r="C649">
        <v>2050</v>
      </c>
      <c r="D649" t="s">
        <v>164</v>
      </c>
      <c r="E649">
        <v>0.83299999999999996</v>
      </c>
      <c r="F649" t="s">
        <v>166</v>
      </c>
    </row>
    <row r="650" spans="1:6">
      <c r="A650" t="s">
        <v>33</v>
      </c>
      <c r="B650" t="s">
        <v>20</v>
      </c>
      <c r="C650">
        <v>2022</v>
      </c>
      <c r="D650" t="s">
        <v>6</v>
      </c>
      <c r="E650">
        <v>1700</v>
      </c>
      <c r="F650" t="s">
        <v>7</v>
      </c>
    </row>
    <row r="651" spans="1:6">
      <c r="A651" t="s">
        <v>33</v>
      </c>
      <c r="B651" t="s">
        <v>20</v>
      </c>
      <c r="C651">
        <v>2022</v>
      </c>
      <c r="D651" t="s">
        <v>8</v>
      </c>
      <c r="E651">
        <v>1700</v>
      </c>
      <c r="F651" t="s">
        <v>7</v>
      </c>
    </row>
    <row r="652" spans="1:6">
      <c r="A652" t="s">
        <v>33</v>
      </c>
      <c r="B652" t="s">
        <v>20</v>
      </c>
      <c r="C652">
        <v>2022</v>
      </c>
      <c r="D652" t="s">
        <v>9</v>
      </c>
      <c r="E652">
        <v>1700</v>
      </c>
      <c r="F652" t="s">
        <v>7</v>
      </c>
    </row>
    <row r="653" spans="1:6">
      <c r="A653" t="s">
        <v>33</v>
      </c>
      <c r="B653" t="s">
        <v>20</v>
      </c>
      <c r="C653">
        <v>2022</v>
      </c>
      <c r="D653" t="s">
        <v>10</v>
      </c>
      <c r="E653">
        <v>45</v>
      </c>
      <c r="F653" t="s">
        <v>11</v>
      </c>
    </row>
    <row r="654" spans="1:6">
      <c r="A654" t="s">
        <v>33</v>
      </c>
      <c r="B654" t="s">
        <v>20</v>
      </c>
      <c r="C654">
        <v>2022</v>
      </c>
      <c r="D654" t="s">
        <v>12</v>
      </c>
      <c r="E654">
        <v>0.39</v>
      </c>
      <c r="F654" t="s">
        <v>13</v>
      </c>
    </row>
    <row r="655" spans="1:6">
      <c r="A655" t="s">
        <v>33</v>
      </c>
      <c r="B655" t="s">
        <v>20</v>
      </c>
      <c r="C655">
        <v>2022</v>
      </c>
      <c r="D655" t="s">
        <v>164</v>
      </c>
      <c r="E655">
        <v>2.3610000000000002</v>
      </c>
      <c r="F655" t="s">
        <v>166</v>
      </c>
    </row>
    <row r="656" spans="1:6">
      <c r="A656" t="s">
        <v>33</v>
      </c>
      <c r="B656" t="s">
        <v>20</v>
      </c>
      <c r="C656">
        <v>2030</v>
      </c>
      <c r="D656" t="s">
        <v>6</v>
      </c>
      <c r="E656">
        <v>1700</v>
      </c>
      <c r="F656" t="s">
        <v>7</v>
      </c>
    </row>
    <row r="657" spans="1:6">
      <c r="A657" t="s">
        <v>33</v>
      </c>
      <c r="B657" t="s">
        <v>20</v>
      </c>
      <c r="C657">
        <v>2030</v>
      </c>
      <c r="D657" t="s">
        <v>8</v>
      </c>
      <c r="E657">
        <v>1700</v>
      </c>
      <c r="F657" t="s">
        <v>7</v>
      </c>
    </row>
    <row r="658" spans="1:6">
      <c r="A658" t="s">
        <v>33</v>
      </c>
      <c r="B658" t="s">
        <v>20</v>
      </c>
      <c r="C658">
        <v>2030</v>
      </c>
      <c r="D658" t="s">
        <v>9</v>
      </c>
      <c r="E658">
        <v>1700</v>
      </c>
      <c r="F658" t="s">
        <v>7</v>
      </c>
    </row>
    <row r="659" spans="1:6">
      <c r="A659" t="s">
        <v>33</v>
      </c>
      <c r="B659" t="s">
        <v>20</v>
      </c>
      <c r="C659">
        <v>2030</v>
      </c>
      <c r="D659" t="s">
        <v>10</v>
      </c>
      <c r="E659">
        <v>45</v>
      </c>
      <c r="F659" t="s">
        <v>11</v>
      </c>
    </row>
    <row r="660" spans="1:6">
      <c r="A660" t="s">
        <v>33</v>
      </c>
      <c r="B660" t="s">
        <v>20</v>
      </c>
      <c r="C660">
        <v>2030</v>
      </c>
      <c r="D660" t="s">
        <v>12</v>
      </c>
      <c r="E660">
        <v>0.39</v>
      </c>
      <c r="F660" t="s">
        <v>13</v>
      </c>
    </row>
    <row r="661" spans="1:6">
      <c r="A661" t="s">
        <v>33</v>
      </c>
      <c r="B661" t="s">
        <v>20</v>
      </c>
      <c r="C661">
        <v>2030</v>
      </c>
      <c r="D661" t="s">
        <v>164</v>
      </c>
      <c r="E661">
        <v>2.3610000000000002</v>
      </c>
      <c r="F661" t="s">
        <v>166</v>
      </c>
    </row>
    <row r="662" spans="1:6">
      <c r="A662" t="s">
        <v>33</v>
      </c>
      <c r="B662" t="s">
        <v>20</v>
      </c>
      <c r="C662">
        <v>2050</v>
      </c>
      <c r="D662" t="s">
        <v>6</v>
      </c>
      <c r="E662">
        <v>1700</v>
      </c>
      <c r="F662" t="s">
        <v>7</v>
      </c>
    </row>
    <row r="663" spans="1:6">
      <c r="A663" t="s">
        <v>33</v>
      </c>
      <c r="B663" t="s">
        <v>20</v>
      </c>
      <c r="C663">
        <v>2050</v>
      </c>
      <c r="D663" t="s">
        <v>8</v>
      </c>
      <c r="E663">
        <v>1700</v>
      </c>
      <c r="F663" t="s">
        <v>7</v>
      </c>
    </row>
    <row r="664" spans="1:6">
      <c r="A664" t="s">
        <v>33</v>
      </c>
      <c r="B664" t="s">
        <v>20</v>
      </c>
      <c r="C664">
        <v>2050</v>
      </c>
      <c r="D664" t="s">
        <v>9</v>
      </c>
      <c r="E664">
        <v>1700</v>
      </c>
      <c r="F664" t="s">
        <v>7</v>
      </c>
    </row>
    <row r="665" spans="1:6">
      <c r="A665" t="s">
        <v>33</v>
      </c>
      <c r="B665" t="s">
        <v>20</v>
      </c>
      <c r="C665">
        <v>2050</v>
      </c>
      <c r="D665" t="s">
        <v>10</v>
      </c>
      <c r="E665">
        <v>45</v>
      </c>
      <c r="F665" t="s">
        <v>11</v>
      </c>
    </row>
    <row r="666" spans="1:6">
      <c r="A666" t="s">
        <v>33</v>
      </c>
      <c r="B666" t="s">
        <v>20</v>
      </c>
      <c r="C666">
        <v>2050</v>
      </c>
      <c r="D666" t="s">
        <v>12</v>
      </c>
      <c r="E666">
        <v>0.39</v>
      </c>
      <c r="F666" t="s">
        <v>13</v>
      </c>
    </row>
    <row r="667" spans="1:6">
      <c r="A667" t="s">
        <v>33</v>
      </c>
      <c r="B667" t="s">
        <v>20</v>
      </c>
      <c r="C667">
        <v>2050</v>
      </c>
      <c r="D667" t="s">
        <v>164</v>
      </c>
      <c r="E667">
        <v>2.3610000000000002</v>
      </c>
      <c r="F667" t="s">
        <v>166</v>
      </c>
    </row>
    <row r="668" spans="1:6">
      <c r="A668" t="s">
        <v>33</v>
      </c>
      <c r="B668" t="s">
        <v>21</v>
      </c>
      <c r="C668">
        <v>2022</v>
      </c>
      <c r="D668" t="s">
        <v>6</v>
      </c>
      <c r="E668">
        <v>1800</v>
      </c>
      <c r="F668" t="s">
        <v>7</v>
      </c>
    </row>
    <row r="669" spans="1:6">
      <c r="A669" t="s">
        <v>33</v>
      </c>
      <c r="B669" t="s">
        <v>21</v>
      </c>
      <c r="C669">
        <v>2022</v>
      </c>
      <c r="D669" t="s">
        <v>8</v>
      </c>
      <c r="E669">
        <v>1800</v>
      </c>
      <c r="F669" t="s">
        <v>7</v>
      </c>
    </row>
    <row r="670" spans="1:6">
      <c r="A670" t="s">
        <v>33</v>
      </c>
      <c r="B670" t="s">
        <v>21</v>
      </c>
      <c r="C670">
        <v>2022</v>
      </c>
      <c r="D670" t="s">
        <v>9</v>
      </c>
      <c r="E670">
        <v>1800</v>
      </c>
      <c r="F670" t="s">
        <v>7</v>
      </c>
    </row>
    <row r="671" spans="1:6">
      <c r="A671" t="s">
        <v>33</v>
      </c>
      <c r="B671" t="s">
        <v>21</v>
      </c>
      <c r="C671">
        <v>2022</v>
      </c>
      <c r="D671" t="s">
        <v>10</v>
      </c>
      <c r="E671">
        <v>45</v>
      </c>
      <c r="F671" t="s">
        <v>11</v>
      </c>
    </row>
    <row r="672" spans="1:6">
      <c r="A672" t="s">
        <v>33</v>
      </c>
      <c r="B672" t="s">
        <v>21</v>
      </c>
      <c r="C672">
        <v>2022</v>
      </c>
      <c r="D672" t="s">
        <v>12</v>
      </c>
      <c r="E672">
        <v>0.39</v>
      </c>
      <c r="F672" t="s">
        <v>13</v>
      </c>
    </row>
    <row r="673" spans="1:6">
      <c r="A673" t="s">
        <v>33</v>
      </c>
      <c r="B673" t="s">
        <v>21</v>
      </c>
      <c r="C673">
        <v>2022</v>
      </c>
      <c r="D673" t="s">
        <v>164</v>
      </c>
      <c r="E673">
        <v>2.3610000000000002</v>
      </c>
      <c r="F673" t="s">
        <v>166</v>
      </c>
    </row>
    <row r="674" spans="1:6">
      <c r="A674" t="s">
        <v>33</v>
      </c>
      <c r="B674" t="s">
        <v>21</v>
      </c>
      <c r="C674">
        <v>2030</v>
      </c>
      <c r="D674" t="s">
        <v>6</v>
      </c>
      <c r="E674">
        <v>1800</v>
      </c>
      <c r="F674" t="s">
        <v>7</v>
      </c>
    </row>
    <row r="675" spans="1:6">
      <c r="A675" t="s">
        <v>33</v>
      </c>
      <c r="B675" t="s">
        <v>21</v>
      </c>
      <c r="C675">
        <v>2030</v>
      </c>
      <c r="D675" t="s">
        <v>8</v>
      </c>
      <c r="E675">
        <v>1800</v>
      </c>
      <c r="F675" t="s">
        <v>7</v>
      </c>
    </row>
    <row r="676" spans="1:6">
      <c r="A676" t="s">
        <v>33</v>
      </c>
      <c r="B676" t="s">
        <v>21</v>
      </c>
      <c r="C676">
        <v>2030</v>
      </c>
      <c r="D676" t="s">
        <v>9</v>
      </c>
      <c r="E676">
        <v>1800</v>
      </c>
      <c r="F676" t="s">
        <v>7</v>
      </c>
    </row>
    <row r="677" spans="1:6">
      <c r="A677" t="s">
        <v>33</v>
      </c>
      <c r="B677" t="s">
        <v>21</v>
      </c>
      <c r="C677">
        <v>2030</v>
      </c>
      <c r="D677" t="s">
        <v>10</v>
      </c>
      <c r="E677">
        <v>45</v>
      </c>
      <c r="F677" t="s">
        <v>11</v>
      </c>
    </row>
    <row r="678" spans="1:6">
      <c r="A678" t="s">
        <v>33</v>
      </c>
      <c r="B678" t="s">
        <v>21</v>
      </c>
      <c r="C678">
        <v>2030</v>
      </c>
      <c r="D678" t="s">
        <v>12</v>
      </c>
      <c r="E678">
        <v>0.39</v>
      </c>
      <c r="F678" t="s">
        <v>13</v>
      </c>
    </row>
    <row r="679" spans="1:6">
      <c r="A679" t="s">
        <v>33</v>
      </c>
      <c r="B679" t="s">
        <v>21</v>
      </c>
      <c r="C679">
        <v>2030</v>
      </c>
      <c r="D679" t="s">
        <v>164</v>
      </c>
      <c r="E679">
        <v>2.3610000000000002</v>
      </c>
      <c r="F679" t="s">
        <v>166</v>
      </c>
    </row>
    <row r="680" spans="1:6">
      <c r="A680" t="s">
        <v>33</v>
      </c>
      <c r="B680" t="s">
        <v>21</v>
      </c>
      <c r="C680">
        <v>2050</v>
      </c>
      <c r="D680" t="s">
        <v>6</v>
      </c>
      <c r="E680">
        <v>1800</v>
      </c>
      <c r="F680" t="s">
        <v>7</v>
      </c>
    </row>
    <row r="681" spans="1:6">
      <c r="A681" t="s">
        <v>33</v>
      </c>
      <c r="B681" t="s">
        <v>21</v>
      </c>
      <c r="C681">
        <v>2050</v>
      </c>
      <c r="D681" t="s">
        <v>8</v>
      </c>
      <c r="E681">
        <v>1800</v>
      </c>
      <c r="F681" t="s">
        <v>7</v>
      </c>
    </row>
    <row r="682" spans="1:6">
      <c r="A682" t="s">
        <v>33</v>
      </c>
      <c r="B682" t="s">
        <v>21</v>
      </c>
      <c r="C682">
        <v>2050</v>
      </c>
      <c r="D682" t="s">
        <v>9</v>
      </c>
      <c r="E682">
        <v>1800</v>
      </c>
      <c r="F682" t="s">
        <v>7</v>
      </c>
    </row>
    <row r="683" spans="1:6">
      <c r="A683" t="s">
        <v>33</v>
      </c>
      <c r="B683" t="s">
        <v>21</v>
      </c>
      <c r="C683">
        <v>2050</v>
      </c>
      <c r="D683" t="s">
        <v>10</v>
      </c>
      <c r="E683">
        <v>45</v>
      </c>
      <c r="F683" t="s">
        <v>11</v>
      </c>
    </row>
    <row r="684" spans="1:6">
      <c r="A684" t="s">
        <v>33</v>
      </c>
      <c r="B684" t="s">
        <v>21</v>
      </c>
      <c r="C684">
        <v>2050</v>
      </c>
      <c r="D684" t="s">
        <v>12</v>
      </c>
      <c r="E684">
        <v>0.39</v>
      </c>
      <c r="F684" t="s">
        <v>13</v>
      </c>
    </row>
    <row r="685" spans="1:6">
      <c r="A685" t="s">
        <v>33</v>
      </c>
      <c r="B685" t="s">
        <v>21</v>
      </c>
      <c r="C685">
        <v>2050</v>
      </c>
      <c r="D685" t="s">
        <v>164</v>
      </c>
      <c r="E685">
        <v>2.3610000000000002</v>
      </c>
      <c r="F685" t="s">
        <v>166</v>
      </c>
    </row>
    <row r="686" spans="1:6">
      <c r="A686" t="s">
        <v>33</v>
      </c>
      <c r="B686" t="s">
        <v>22</v>
      </c>
      <c r="C686">
        <v>2022</v>
      </c>
      <c r="D686" t="s">
        <v>6</v>
      </c>
      <c r="E686">
        <v>2100</v>
      </c>
      <c r="F686" t="s">
        <v>7</v>
      </c>
    </row>
    <row r="687" spans="1:6">
      <c r="A687" t="s">
        <v>33</v>
      </c>
      <c r="B687" t="s">
        <v>22</v>
      </c>
      <c r="C687">
        <v>2022</v>
      </c>
      <c r="D687" t="s">
        <v>8</v>
      </c>
      <c r="E687">
        <v>2100</v>
      </c>
      <c r="F687" t="s">
        <v>7</v>
      </c>
    </row>
    <row r="688" spans="1:6">
      <c r="A688" t="s">
        <v>33</v>
      </c>
      <c r="B688" t="s">
        <v>22</v>
      </c>
      <c r="C688">
        <v>2022</v>
      </c>
      <c r="D688" t="s">
        <v>9</v>
      </c>
      <c r="E688">
        <v>2100</v>
      </c>
      <c r="F688" t="s">
        <v>7</v>
      </c>
    </row>
    <row r="689" spans="1:6">
      <c r="A689" t="s">
        <v>33</v>
      </c>
      <c r="B689" t="s">
        <v>22</v>
      </c>
      <c r="C689">
        <v>2022</v>
      </c>
      <c r="D689" t="s">
        <v>10</v>
      </c>
      <c r="E689">
        <v>55</v>
      </c>
      <c r="F689" t="s">
        <v>11</v>
      </c>
    </row>
    <row r="690" spans="1:6">
      <c r="A690" t="s">
        <v>33</v>
      </c>
      <c r="B690" t="s">
        <v>22</v>
      </c>
      <c r="C690">
        <v>2022</v>
      </c>
      <c r="D690" t="s">
        <v>12</v>
      </c>
      <c r="E690">
        <v>0.39</v>
      </c>
      <c r="F690" t="s">
        <v>13</v>
      </c>
    </row>
    <row r="691" spans="1:6">
      <c r="A691" t="s">
        <v>33</v>
      </c>
      <c r="B691" t="s">
        <v>22</v>
      </c>
      <c r="C691">
        <v>2022</v>
      </c>
      <c r="D691" t="s">
        <v>164</v>
      </c>
      <c r="E691">
        <v>2.3610000000000002</v>
      </c>
      <c r="F691" t="s">
        <v>166</v>
      </c>
    </row>
    <row r="692" spans="1:6">
      <c r="A692" t="s">
        <v>33</v>
      </c>
      <c r="B692" t="s">
        <v>22</v>
      </c>
      <c r="C692">
        <v>2030</v>
      </c>
      <c r="D692" t="s">
        <v>6</v>
      </c>
      <c r="E692">
        <v>2100</v>
      </c>
      <c r="F692" t="s">
        <v>7</v>
      </c>
    </row>
    <row r="693" spans="1:6">
      <c r="A693" t="s">
        <v>33</v>
      </c>
      <c r="B693" t="s">
        <v>22</v>
      </c>
      <c r="C693">
        <v>2030</v>
      </c>
      <c r="D693" t="s">
        <v>8</v>
      </c>
      <c r="E693">
        <v>2100</v>
      </c>
      <c r="F693" t="s">
        <v>7</v>
      </c>
    </row>
    <row r="694" spans="1:6">
      <c r="A694" t="s">
        <v>33</v>
      </c>
      <c r="B694" t="s">
        <v>22</v>
      </c>
      <c r="C694">
        <v>2030</v>
      </c>
      <c r="D694" t="s">
        <v>9</v>
      </c>
      <c r="E694">
        <v>2100</v>
      </c>
      <c r="F694" t="s">
        <v>7</v>
      </c>
    </row>
    <row r="695" spans="1:6">
      <c r="A695" t="s">
        <v>33</v>
      </c>
      <c r="B695" t="s">
        <v>22</v>
      </c>
      <c r="C695">
        <v>2030</v>
      </c>
      <c r="D695" t="s">
        <v>10</v>
      </c>
      <c r="E695">
        <v>55</v>
      </c>
      <c r="F695" t="s">
        <v>11</v>
      </c>
    </row>
    <row r="696" spans="1:6">
      <c r="A696" t="s">
        <v>33</v>
      </c>
      <c r="B696" t="s">
        <v>22</v>
      </c>
      <c r="C696">
        <v>2030</v>
      </c>
      <c r="D696" t="s">
        <v>12</v>
      </c>
      <c r="E696">
        <v>0.39</v>
      </c>
      <c r="F696" t="s">
        <v>13</v>
      </c>
    </row>
    <row r="697" spans="1:6">
      <c r="A697" t="s">
        <v>33</v>
      </c>
      <c r="B697" t="s">
        <v>22</v>
      </c>
      <c r="C697">
        <v>2030</v>
      </c>
      <c r="D697" t="s">
        <v>164</v>
      </c>
      <c r="E697">
        <v>2.3610000000000002</v>
      </c>
      <c r="F697" t="s">
        <v>166</v>
      </c>
    </row>
    <row r="698" spans="1:6">
      <c r="A698" t="s">
        <v>33</v>
      </c>
      <c r="B698" t="s">
        <v>22</v>
      </c>
      <c r="C698">
        <v>2050</v>
      </c>
      <c r="D698" t="s">
        <v>6</v>
      </c>
      <c r="E698">
        <v>2100</v>
      </c>
      <c r="F698" t="s">
        <v>7</v>
      </c>
    </row>
    <row r="699" spans="1:6">
      <c r="A699" t="s">
        <v>33</v>
      </c>
      <c r="B699" t="s">
        <v>22</v>
      </c>
      <c r="C699">
        <v>2050</v>
      </c>
      <c r="D699" t="s">
        <v>8</v>
      </c>
      <c r="E699">
        <v>2100</v>
      </c>
      <c r="F699" t="s">
        <v>7</v>
      </c>
    </row>
    <row r="700" spans="1:6">
      <c r="A700" t="s">
        <v>33</v>
      </c>
      <c r="B700" t="s">
        <v>22</v>
      </c>
      <c r="C700">
        <v>2050</v>
      </c>
      <c r="D700" t="s">
        <v>9</v>
      </c>
      <c r="E700">
        <v>2100</v>
      </c>
      <c r="F700" t="s">
        <v>7</v>
      </c>
    </row>
    <row r="701" spans="1:6">
      <c r="A701" t="s">
        <v>33</v>
      </c>
      <c r="B701" t="s">
        <v>22</v>
      </c>
      <c r="C701">
        <v>2050</v>
      </c>
      <c r="D701" t="s">
        <v>10</v>
      </c>
      <c r="E701">
        <v>55</v>
      </c>
      <c r="F701" t="s">
        <v>11</v>
      </c>
    </row>
    <row r="702" spans="1:6">
      <c r="A702" t="s">
        <v>33</v>
      </c>
      <c r="B702" t="s">
        <v>22</v>
      </c>
      <c r="C702">
        <v>2050</v>
      </c>
      <c r="D702" t="s">
        <v>12</v>
      </c>
      <c r="E702">
        <v>0.39</v>
      </c>
      <c r="F702" t="s">
        <v>13</v>
      </c>
    </row>
    <row r="703" spans="1:6">
      <c r="A703" t="s">
        <v>33</v>
      </c>
      <c r="B703" t="s">
        <v>22</v>
      </c>
      <c r="C703">
        <v>2050</v>
      </c>
      <c r="D703" t="s">
        <v>164</v>
      </c>
      <c r="E703">
        <v>2.3610000000000002</v>
      </c>
      <c r="F703" t="s">
        <v>166</v>
      </c>
    </row>
    <row r="704" spans="1:6">
      <c r="A704" t="s">
        <v>33</v>
      </c>
      <c r="B704" t="s">
        <v>23</v>
      </c>
      <c r="C704">
        <v>2022</v>
      </c>
      <c r="D704" t="s">
        <v>6</v>
      </c>
      <c r="E704">
        <v>1700</v>
      </c>
      <c r="F704" t="s">
        <v>7</v>
      </c>
    </row>
    <row r="705" spans="1:6">
      <c r="A705" t="s">
        <v>33</v>
      </c>
      <c r="B705" t="s">
        <v>23</v>
      </c>
      <c r="C705">
        <v>2022</v>
      </c>
      <c r="D705" t="s">
        <v>8</v>
      </c>
      <c r="E705">
        <v>1700</v>
      </c>
      <c r="F705" t="s">
        <v>7</v>
      </c>
    </row>
    <row r="706" spans="1:6">
      <c r="A706" t="s">
        <v>33</v>
      </c>
      <c r="B706" t="s">
        <v>23</v>
      </c>
      <c r="C706">
        <v>2022</v>
      </c>
      <c r="D706" t="s">
        <v>9</v>
      </c>
      <c r="E706">
        <v>1700</v>
      </c>
      <c r="F706" t="s">
        <v>7</v>
      </c>
    </row>
    <row r="707" spans="1:6">
      <c r="A707" t="s">
        <v>33</v>
      </c>
      <c r="B707" t="s">
        <v>23</v>
      </c>
      <c r="C707">
        <v>2022</v>
      </c>
      <c r="D707" t="s">
        <v>10</v>
      </c>
      <c r="E707">
        <v>50</v>
      </c>
      <c r="F707" t="s">
        <v>11</v>
      </c>
    </row>
    <row r="708" spans="1:6">
      <c r="A708" t="s">
        <v>33</v>
      </c>
      <c r="B708" t="s">
        <v>23</v>
      </c>
      <c r="C708">
        <v>2022</v>
      </c>
      <c r="D708" t="s">
        <v>12</v>
      </c>
      <c r="E708">
        <v>0.39</v>
      </c>
      <c r="F708" t="s">
        <v>13</v>
      </c>
    </row>
    <row r="709" spans="1:6">
      <c r="A709" t="s">
        <v>33</v>
      </c>
      <c r="B709" t="s">
        <v>23</v>
      </c>
      <c r="C709">
        <v>2022</v>
      </c>
      <c r="D709" t="s">
        <v>164</v>
      </c>
      <c r="E709">
        <v>2.3610000000000002</v>
      </c>
      <c r="F709" t="s">
        <v>166</v>
      </c>
    </row>
    <row r="710" spans="1:6">
      <c r="A710" t="s">
        <v>33</v>
      </c>
      <c r="B710" t="s">
        <v>23</v>
      </c>
      <c r="C710">
        <v>2030</v>
      </c>
      <c r="D710" t="s">
        <v>6</v>
      </c>
      <c r="E710">
        <v>1700</v>
      </c>
      <c r="F710" t="s">
        <v>7</v>
      </c>
    </row>
    <row r="711" spans="1:6">
      <c r="A711" t="s">
        <v>33</v>
      </c>
      <c r="B711" t="s">
        <v>23</v>
      </c>
      <c r="C711">
        <v>2030</v>
      </c>
      <c r="D711" t="s">
        <v>8</v>
      </c>
      <c r="E711">
        <v>1700</v>
      </c>
      <c r="F711" t="s">
        <v>7</v>
      </c>
    </row>
    <row r="712" spans="1:6">
      <c r="A712" t="s">
        <v>33</v>
      </c>
      <c r="B712" t="s">
        <v>23</v>
      </c>
      <c r="C712">
        <v>2030</v>
      </c>
      <c r="D712" t="s">
        <v>9</v>
      </c>
      <c r="E712">
        <v>1700</v>
      </c>
      <c r="F712" t="s">
        <v>7</v>
      </c>
    </row>
    <row r="713" spans="1:6">
      <c r="A713" t="s">
        <v>33</v>
      </c>
      <c r="B713" t="s">
        <v>23</v>
      </c>
      <c r="C713">
        <v>2030</v>
      </c>
      <c r="D713" t="s">
        <v>10</v>
      </c>
      <c r="E713">
        <v>50</v>
      </c>
      <c r="F713" t="s">
        <v>11</v>
      </c>
    </row>
    <row r="714" spans="1:6">
      <c r="A714" t="s">
        <v>33</v>
      </c>
      <c r="B714" t="s">
        <v>23</v>
      </c>
      <c r="C714">
        <v>2030</v>
      </c>
      <c r="D714" t="s">
        <v>12</v>
      </c>
      <c r="E714">
        <v>0.39</v>
      </c>
      <c r="F714" t="s">
        <v>13</v>
      </c>
    </row>
    <row r="715" spans="1:6">
      <c r="A715" t="s">
        <v>33</v>
      </c>
      <c r="B715" t="s">
        <v>23</v>
      </c>
      <c r="C715">
        <v>2030</v>
      </c>
      <c r="D715" t="s">
        <v>164</v>
      </c>
      <c r="E715">
        <v>2.3610000000000002</v>
      </c>
      <c r="F715" t="s">
        <v>166</v>
      </c>
    </row>
    <row r="716" spans="1:6">
      <c r="A716" t="s">
        <v>33</v>
      </c>
      <c r="B716" t="s">
        <v>23</v>
      </c>
      <c r="C716">
        <v>2050</v>
      </c>
      <c r="D716" t="s">
        <v>6</v>
      </c>
      <c r="E716">
        <v>1700</v>
      </c>
      <c r="F716" t="s">
        <v>7</v>
      </c>
    </row>
    <row r="717" spans="1:6">
      <c r="A717" t="s">
        <v>33</v>
      </c>
      <c r="B717" t="s">
        <v>23</v>
      </c>
      <c r="C717">
        <v>2050</v>
      </c>
      <c r="D717" t="s">
        <v>8</v>
      </c>
      <c r="E717">
        <v>1700</v>
      </c>
      <c r="F717" t="s">
        <v>7</v>
      </c>
    </row>
    <row r="718" spans="1:6">
      <c r="A718" t="s">
        <v>33</v>
      </c>
      <c r="B718" t="s">
        <v>23</v>
      </c>
      <c r="C718">
        <v>2050</v>
      </c>
      <c r="D718" t="s">
        <v>9</v>
      </c>
      <c r="E718">
        <v>1700</v>
      </c>
      <c r="F718" t="s">
        <v>7</v>
      </c>
    </row>
    <row r="719" spans="1:6">
      <c r="A719" t="s">
        <v>33</v>
      </c>
      <c r="B719" t="s">
        <v>23</v>
      </c>
      <c r="C719">
        <v>2050</v>
      </c>
      <c r="D719" t="s">
        <v>10</v>
      </c>
      <c r="E719">
        <v>50</v>
      </c>
      <c r="F719" t="s">
        <v>11</v>
      </c>
    </row>
    <row r="720" spans="1:6">
      <c r="A720" t="s">
        <v>33</v>
      </c>
      <c r="B720" t="s">
        <v>23</v>
      </c>
      <c r="C720">
        <v>2050</v>
      </c>
      <c r="D720" t="s">
        <v>12</v>
      </c>
      <c r="E720">
        <v>0.39</v>
      </c>
      <c r="F720" t="s">
        <v>13</v>
      </c>
    </row>
    <row r="721" spans="1:6">
      <c r="A721" t="s">
        <v>33</v>
      </c>
      <c r="B721" t="s">
        <v>23</v>
      </c>
      <c r="C721">
        <v>2050</v>
      </c>
      <c r="D721" t="s">
        <v>164</v>
      </c>
      <c r="E721">
        <v>2.3610000000000002</v>
      </c>
      <c r="F721" t="s">
        <v>166</v>
      </c>
    </row>
    <row r="722" spans="1:6">
      <c r="A722" t="s">
        <v>33</v>
      </c>
      <c r="B722" t="s">
        <v>24</v>
      </c>
      <c r="C722">
        <v>2022</v>
      </c>
      <c r="D722" t="s">
        <v>6</v>
      </c>
      <c r="E722">
        <v>600</v>
      </c>
      <c r="F722" t="s">
        <v>7</v>
      </c>
    </row>
    <row r="723" spans="1:6">
      <c r="A723" t="s">
        <v>33</v>
      </c>
      <c r="B723" t="s">
        <v>24</v>
      </c>
      <c r="C723">
        <v>2022</v>
      </c>
      <c r="D723" t="s">
        <v>8</v>
      </c>
      <c r="E723">
        <v>600</v>
      </c>
      <c r="F723" t="s">
        <v>7</v>
      </c>
    </row>
    <row r="724" spans="1:6">
      <c r="A724" t="s">
        <v>33</v>
      </c>
      <c r="B724" t="s">
        <v>24</v>
      </c>
      <c r="C724">
        <v>2022</v>
      </c>
      <c r="D724" t="s">
        <v>9</v>
      </c>
      <c r="E724">
        <v>600</v>
      </c>
      <c r="F724" t="s">
        <v>7</v>
      </c>
    </row>
    <row r="725" spans="1:6">
      <c r="A725" t="s">
        <v>33</v>
      </c>
      <c r="B725" t="s">
        <v>24</v>
      </c>
      <c r="C725">
        <v>2022</v>
      </c>
      <c r="D725" t="s">
        <v>10</v>
      </c>
      <c r="E725">
        <v>20</v>
      </c>
      <c r="F725" t="s">
        <v>11</v>
      </c>
    </row>
    <row r="726" spans="1:6">
      <c r="A726" t="s">
        <v>33</v>
      </c>
      <c r="B726" t="s">
        <v>24</v>
      </c>
      <c r="C726">
        <v>2022</v>
      </c>
      <c r="D726" t="s">
        <v>12</v>
      </c>
      <c r="E726">
        <v>0.37</v>
      </c>
      <c r="F726" t="s">
        <v>13</v>
      </c>
    </row>
    <row r="727" spans="1:6">
      <c r="A727" t="s">
        <v>33</v>
      </c>
      <c r="B727" t="s">
        <v>24</v>
      </c>
      <c r="C727">
        <v>2022</v>
      </c>
      <c r="D727" t="s">
        <v>164</v>
      </c>
      <c r="E727">
        <v>2.3610000000000002</v>
      </c>
      <c r="F727" t="s">
        <v>166</v>
      </c>
    </row>
    <row r="728" spans="1:6">
      <c r="A728" t="s">
        <v>33</v>
      </c>
      <c r="B728" t="s">
        <v>24</v>
      </c>
      <c r="C728">
        <v>2030</v>
      </c>
      <c r="D728" t="s">
        <v>6</v>
      </c>
      <c r="E728">
        <v>600</v>
      </c>
      <c r="F728" t="s">
        <v>7</v>
      </c>
    </row>
    <row r="729" spans="1:6">
      <c r="A729" t="s">
        <v>33</v>
      </c>
      <c r="B729" t="s">
        <v>24</v>
      </c>
      <c r="C729">
        <v>2030</v>
      </c>
      <c r="D729" t="s">
        <v>8</v>
      </c>
      <c r="E729">
        <v>600</v>
      </c>
      <c r="F729" t="s">
        <v>7</v>
      </c>
    </row>
    <row r="730" spans="1:6">
      <c r="A730" t="s">
        <v>33</v>
      </c>
      <c r="B730" t="s">
        <v>24</v>
      </c>
      <c r="C730">
        <v>2030</v>
      </c>
      <c r="D730" t="s">
        <v>9</v>
      </c>
      <c r="E730">
        <v>600</v>
      </c>
      <c r="F730" t="s">
        <v>7</v>
      </c>
    </row>
    <row r="731" spans="1:6">
      <c r="A731" t="s">
        <v>33</v>
      </c>
      <c r="B731" t="s">
        <v>24</v>
      </c>
      <c r="C731">
        <v>2030</v>
      </c>
      <c r="D731" t="s">
        <v>10</v>
      </c>
      <c r="E731">
        <v>20</v>
      </c>
      <c r="F731" t="s">
        <v>11</v>
      </c>
    </row>
    <row r="732" spans="1:6">
      <c r="A732" t="s">
        <v>33</v>
      </c>
      <c r="B732" t="s">
        <v>24</v>
      </c>
      <c r="C732">
        <v>2030</v>
      </c>
      <c r="D732" t="s">
        <v>12</v>
      </c>
      <c r="E732">
        <v>0.37</v>
      </c>
      <c r="F732" t="s">
        <v>13</v>
      </c>
    </row>
    <row r="733" spans="1:6">
      <c r="A733" t="s">
        <v>33</v>
      </c>
      <c r="B733" t="s">
        <v>24</v>
      </c>
      <c r="C733">
        <v>2030</v>
      </c>
      <c r="D733" t="s">
        <v>164</v>
      </c>
      <c r="E733">
        <v>2.3610000000000002</v>
      </c>
      <c r="F733" t="s">
        <v>166</v>
      </c>
    </row>
    <row r="734" spans="1:6">
      <c r="A734" t="s">
        <v>33</v>
      </c>
      <c r="B734" t="s">
        <v>24</v>
      </c>
      <c r="C734">
        <v>2050</v>
      </c>
      <c r="D734" t="s">
        <v>6</v>
      </c>
      <c r="E734">
        <v>600</v>
      </c>
      <c r="F734" t="s">
        <v>7</v>
      </c>
    </row>
    <row r="735" spans="1:6">
      <c r="A735" t="s">
        <v>33</v>
      </c>
      <c r="B735" t="s">
        <v>24</v>
      </c>
      <c r="C735">
        <v>2050</v>
      </c>
      <c r="D735" t="s">
        <v>8</v>
      </c>
      <c r="E735">
        <v>600</v>
      </c>
      <c r="F735" t="s">
        <v>7</v>
      </c>
    </row>
    <row r="736" spans="1:6">
      <c r="A736" t="s">
        <v>33</v>
      </c>
      <c r="B736" t="s">
        <v>24</v>
      </c>
      <c r="C736">
        <v>2050</v>
      </c>
      <c r="D736" t="s">
        <v>9</v>
      </c>
      <c r="E736">
        <v>600</v>
      </c>
      <c r="F736" t="s">
        <v>7</v>
      </c>
    </row>
    <row r="737" spans="1:6">
      <c r="A737" t="s">
        <v>33</v>
      </c>
      <c r="B737" t="s">
        <v>24</v>
      </c>
      <c r="C737">
        <v>2050</v>
      </c>
      <c r="D737" t="s">
        <v>10</v>
      </c>
      <c r="E737">
        <v>20</v>
      </c>
      <c r="F737" t="s">
        <v>11</v>
      </c>
    </row>
    <row r="738" spans="1:6">
      <c r="A738" t="s">
        <v>33</v>
      </c>
      <c r="B738" t="s">
        <v>24</v>
      </c>
      <c r="C738">
        <v>2050</v>
      </c>
      <c r="D738" t="s">
        <v>12</v>
      </c>
      <c r="E738">
        <v>0.37</v>
      </c>
      <c r="F738" t="s">
        <v>13</v>
      </c>
    </row>
    <row r="739" spans="1:6">
      <c r="A739" t="s">
        <v>33</v>
      </c>
      <c r="B739" t="s">
        <v>24</v>
      </c>
      <c r="C739">
        <v>2050</v>
      </c>
      <c r="D739" t="s">
        <v>164</v>
      </c>
      <c r="E739">
        <v>2.3610000000000002</v>
      </c>
      <c r="F739" t="s">
        <v>166</v>
      </c>
    </row>
    <row r="740" spans="1:6">
      <c r="A740" t="s">
        <v>33</v>
      </c>
      <c r="B740" t="s">
        <v>25</v>
      </c>
      <c r="C740">
        <v>2022</v>
      </c>
      <c r="D740" t="s">
        <v>6</v>
      </c>
      <c r="E740">
        <v>1000</v>
      </c>
      <c r="F740" t="s">
        <v>7</v>
      </c>
    </row>
    <row r="741" spans="1:6">
      <c r="A741" t="s">
        <v>33</v>
      </c>
      <c r="B741" t="s">
        <v>25</v>
      </c>
      <c r="C741">
        <v>2022</v>
      </c>
      <c r="D741" t="s">
        <v>8</v>
      </c>
      <c r="E741">
        <v>1000</v>
      </c>
      <c r="F741" t="s">
        <v>7</v>
      </c>
    </row>
    <row r="742" spans="1:6">
      <c r="A742" t="s">
        <v>33</v>
      </c>
      <c r="B742" t="s">
        <v>25</v>
      </c>
      <c r="C742">
        <v>2022</v>
      </c>
      <c r="D742" t="s">
        <v>9</v>
      </c>
      <c r="E742">
        <v>1000</v>
      </c>
      <c r="F742" t="s">
        <v>7</v>
      </c>
    </row>
    <row r="743" spans="1:6">
      <c r="A743" t="s">
        <v>33</v>
      </c>
      <c r="B743" t="s">
        <v>25</v>
      </c>
      <c r="C743">
        <v>2022</v>
      </c>
      <c r="D743" t="s">
        <v>10</v>
      </c>
      <c r="E743">
        <v>35</v>
      </c>
      <c r="F743" t="s">
        <v>11</v>
      </c>
    </row>
    <row r="744" spans="1:6">
      <c r="A744" t="s">
        <v>33</v>
      </c>
      <c r="B744" t="s">
        <v>25</v>
      </c>
      <c r="C744">
        <v>2022</v>
      </c>
      <c r="D744" t="s">
        <v>12</v>
      </c>
      <c r="E744">
        <v>0.36</v>
      </c>
      <c r="F744" t="s">
        <v>13</v>
      </c>
    </row>
    <row r="745" spans="1:6">
      <c r="A745" t="s">
        <v>33</v>
      </c>
      <c r="B745" t="s">
        <v>25</v>
      </c>
      <c r="C745">
        <v>2022</v>
      </c>
      <c r="D745" t="s">
        <v>164</v>
      </c>
      <c r="E745">
        <v>2.3610000000000002</v>
      </c>
      <c r="F745" t="s">
        <v>166</v>
      </c>
    </row>
    <row r="746" spans="1:6">
      <c r="A746" t="s">
        <v>33</v>
      </c>
      <c r="B746" t="s">
        <v>25</v>
      </c>
      <c r="C746">
        <v>2030</v>
      </c>
      <c r="D746" t="s">
        <v>6</v>
      </c>
      <c r="E746">
        <v>1000</v>
      </c>
      <c r="F746" t="s">
        <v>7</v>
      </c>
    </row>
    <row r="747" spans="1:6">
      <c r="A747" t="s">
        <v>33</v>
      </c>
      <c r="B747" t="s">
        <v>25</v>
      </c>
      <c r="C747">
        <v>2030</v>
      </c>
      <c r="D747" t="s">
        <v>8</v>
      </c>
      <c r="E747">
        <v>1000</v>
      </c>
      <c r="F747" t="s">
        <v>7</v>
      </c>
    </row>
    <row r="748" spans="1:6">
      <c r="A748" t="s">
        <v>33</v>
      </c>
      <c r="B748" t="s">
        <v>25</v>
      </c>
      <c r="C748">
        <v>2030</v>
      </c>
      <c r="D748" t="s">
        <v>9</v>
      </c>
      <c r="E748">
        <v>1000</v>
      </c>
      <c r="F748" t="s">
        <v>7</v>
      </c>
    </row>
    <row r="749" spans="1:6">
      <c r="A749" t="s">
        <v>33</v>
      </c>
      <c r="B749" t="s">
        <v>25</v>
      </c>
      <c r="C749">
        <v>2030</v>
      </c>
      <c r="D749" t="s">
        <v>10</v>
      </c>
      <c r="E749">
        <v>35</v>
      </c>
      <c r="F749" t="s">
        <v>11</v>
      </c>
    </row>
    <row r="750" spans="1:6">
      <c r="A750" t="s">
        <v>33</v>
      </c>
      <c r="B750" t="s">
        <v>25</v>
      </c>
      <c r="C750">
        <v>2030</v>
      </c>
      <c r="D750" t="s">
        <v>12</v>
      </c>
      <c r="E750">
        <v>0.36</v>
      </c>
      <c r="F750" t="s">
        <v>13</v>
      </c>
    </row>
    <row r="751" spans="1:6">
      <c r="A751" t="s">
        <v>33</v>
      </c>
      <c r="B751" t="s">
        <v>25</v>
      </c>
      <c r="C751">
        <v>2030</v>
      </c>
      <c r="D751" t="s">
        <v>164</v>
      </c>
      <c r="E751">
        <v>2.3610000000000002</v>
      </c>
      <c r="F751" t="s">
        <v>166</v>
      </c>
    </row>
    <row r="752" spans="1:6">
      <c r="A752" t="s">
        <v>33</v>
      </c>
      <c r="B752" t="s">
        <v>25</v>
      </c>
      <c r="C752">
        <v>2050</v>
      </c>
      <c r="D752" t="s">
        <v>6</v>
      </c>
      <c r="E752">
        <v>1000</v>
      </c>
      <c r="F752" t="s">
        <v>7</v>
      </c>
    </row>
    <row r="753" spans="1:6">
      <c r="A753" t="s">
        <v>33</v>
      </c>
      <c r="B753" t="s">
        <v>25</v>
      </c>
      <c r="C753">
        <v>2050</v>
      </c>
      <c r="D753" t="s">
        <v>8</v>
      </c>
      <c r="E753">
        <v>1000</v>
      </c>
      <c r="F753" t="s">
        <v>7</v>
      </c>
    </row>
    <row r="754" spans="1:6">
      <c r="A754" t="s">
        <v>33</v>
      </c>
      <c r="B754" t="s">
        <v>25</v>
      </c>
      <c r="C754">
        <v>2050</v>
      </c>
      <c r="D754" t="s">
        <v>9</v>
      </c>
      <c r="E754">
        <v>1000</v>
      </c>
      <c r="F754" t="s">
        <v>7</v>
      </c>
    </row>
    <row r="755" spans="1:6">
      <c r="A755" t="s">
        <v>33</v>
      </c>
      <c r="B755" t="s">
        <v>25</v>
      </c>
      <c r="C755">
        <v>2050</v>
      </c>
      <c r="D755" t="s">
        <v>10</v>
      </c>
      <c r="E755">
        <v>35</v>
      </c>
      <c r="F755" t="s">
        <v>11</v>
      </c>
    </row>
    <row r="756" spans="1:6">
      <c r="A756" t="s">
        <v>33</v>
      </c>
      <c r="B756" t="s">
        <v>25</v>
      </c>
      <c r="C756">
        <v>2050</v>
      </c>
      <c r="D756" t="s">
        <v>12</v>
      </c>
      <c r="E756">
        <v>0.37</v>
      </c>
      <c r="F756" t="s">
        <v>13</v>
      </c>
    </row>
    <row r="757" spans="1:6">
      <c r="A757" t="s">
        <v>33</v>
      </c>
      <c r="B757" t="s">
        <v>25</v>
      </c>
      <c r="C757">
        <v>2050</v>
      </c>
      <c r="D757" t="s">
        <v>164</v>
      </c>
      <c r="E757">
        <v>2.3610000000000002</v>
      </c>
      <c r="F757" t="s">
        <v>166</v>
      </c>
    </row>
    <row r="758" spans="1:6">
      <c r="A758" t="s">
        <v>33</v>
      </c>
      <c r="B758" t="s">
        <v>26</v>
      </c>
      <c r="C758">
        <v>2022</v>
      </c>
      <c r="D758" t="s">
        <v>6</v>
      </c>
      <c r="E758">
        <v>1300</v>
      </c>
      <c r="F758" t="s">
        <v>7</v>
      </c>
    </row>
    <row r="759" spans="1:6">
      <c r="A759" t="s">
        <v>33</v>
      </c>
      <c r="B759" t="s">
        <v>26</v>
      </c>
      <c r="C759">
        <v>2022</v>
      </c>
      <c r="D759" t="s">
        <v>8</v>
      </c>
      <c r="E759">
        <v>1300</v>
      </c>
      <c r="F759" t="s">
        <v>7</v>
      </c>
    </row>
    <row r="760" spans="1:6">
      <c r="A760" t="s">
        <v>33</v>
      </c>
      <c r="B760" t="s">
        <v>26</v>
      </c>
      <c r="C760">
        <v>2022</v>
      </c>
      <c r="D760" t="s">
        <v>9</v>
      </c>
      <c r="E760">
        <v>1300</v>
      </c>
      <c r="F760" t="s">
        <v>7</v>
      </c>
    </row>
    <row r="761" spans="1:6">
      <c r="A761" t="s">
        <v>33</v>
      </c>
      <c r="B761" t="s">
        <v>26</v>
      </c>
      <c r="C761">
        <v>2022</v>
      </c>
      <c r="D761" t="s">
        <v>10</v>
      </c>
      <c r="E761">
        <v>45</v>
      </c>
      <c r="F761" t="s">
        <v>11</v>
      </c>
    </row>
    <row r="762" spans="1:6">
      <c r="A762" t="s">
        <v>33</v>
      </c>
      <c r="B762" t="s">
        <v>26</v>
      </c>
      <c r="C762">
        <v>2022</v>
      </c>
      <c r="D762" t="s">
        <v>12</v>
      </c>
      <c r="E762">
        <v>0.37</v>
      </c>
      <c r="F762" t="s">
        <v>13</v>
      </c>
    </row>
    <row r="763" spans="1:6">
      <c r="A763" t="s">
        <v>33</v>
      </c>
      <c r="B763" t="s">
        <v>26</v>
      </c>
      <c r="C763">
        <v>2022</v>
      </c>
      <c r="D763" t="s">
        <v>164</v>
      </c>
      <c r="E763">
        <v>2.3610000000000002</v>
      </c>
      <c r="F763" t="s">
        <v>166</v>
      </c>
    </row>
    <row r="764" spans="1:6">
      <c r="A764" t="s">
        <v>33</v>
      </c>
      <c r="B764" t="s">
        <v>26</v>
      </c>
      <c r="C764">
        <v>2030</v>
      </c>
      <c r="D764" t="s">
        <v>6</v>
      </c>
      <c r="E764">
        <v>1300</v>
      </c>
      <c r="F764" t="s">
        <v>7</v>
      </c>
    </row>
    <row r="765" spans="1:6">
      <c r="A765" t="s">
        <v>33</v>
      </c>
      <c r="B765" t="s">
        <v>26</v>
      </c>
      <c r="C765">
        <v>2030</v>
      </c>
      <c r="D765" t="s">
        <v>8</v>
      </c>
      <c r="E765">
        <v>1300</v>
      </c>
      <c r="F765" t="s">
        <v>7</v>
      </c>
    </row>
    <row r="766" spans="1:6">
      <c r="A766" t="s">
        <v>33</v>
      </c>
      <c r="B766" t="s">
        <v>26</v>
      </c>
      <c r="C766">
        <v>2030</v>
      </c>
      <c r="D766" t="s">
        <v>9</v>
      </c>
      <c r="E766">
        <v>1300</v>
      </c>
      <c r="F766" t="s">
        <v>7</v>
      </c>
    </row>
    <row r="767" spans="1:6">
      <c r="A767" t="s">
        <v>33</v>
      </c>
      <c r="B767" t="s">
        <v>26</v>
      </c>
      <c r="C767">
        <v>2030</v>
      </c>
      <c r="D767" t="s">
        <v>10</v>
      </c>
      <c r="E767">
        <v>45</v>
      </c>
      <c r="F767" t="s">
        <v>11</v>
      </c>
    </row>
    <row r="768" spans="1:6">
      <c r="A768" t="s">
        <v>33</v>
      </c>
      <c r="B768" t="s">
        <v>26</v>
      </c>
      <c r="C768">
        <v>2030</v>
      </c>
      <c r="D768" t="s">
        <v>12</v>
      </c>
      <c r="E768">
        <v>0.37</v>
      </c>
      <c r="F768" t="s">
        <v>13</v>
      </c>
    </row>
    <row r="769" spans="1:6">
      <c r="A769" t="s">
        <v>33</v>
      </c>
      <c r="B769" t="s">
        <v>26</v>
      </c>
      <c r="C769">
        <v>2030</v>
      </c>
      <c r="D769" t="s">
        <v>164</v>
      </c>
      <c r="E769">
        <v>2.3610000000000002</v>
      </c>
      <c r="F769" t="s">
        <v>166</v>
      </c>
    </row>
    <row r="770" spans="1:6">
      <c r="A770" t="s">
        <v>33</v>
      </c>
      <c r="B770" t="s">
        <v>26</v>
      </c>
      <c r="C770">
        <v>2050</v>
      </c>
      <c r="D770" t="s">
        <v>6</v>
      </c>
      <c r="E770">
        <v>1300</v>
      </c>
      <c r="F770" t="s">
        <v>7</v>
      </c>
    </row>
    <row r="771" spans="1:6">
      <c r="A771" t="s">
        <v>33</v>
      </c>
      <c r="B771" t="s">
        <v>26</v>
      </c>
      <c r="C771">
        <v>2050</v>
      </c>
      <c r="D771" t="s">
        <v>8</v>
      </c>
      <c r="E771">
        <v>1300</v>
      </c>
      <c r="F771" t="s">
        <v>7</v>
      </c>
    </row>
    <row r="772" spans="1:6">
      <c r="A772" t="s">
        <v>33</v>
      </c>
      <c r="B772" t="s">
        <v>26</v>
      </c>
      <c r="C772">
        <v>2050</v>
      </c>
      <c r="D772" t="s">
        <v>9</v>
      </c>
      <c r="E772">
        <v>1300</v>
      </c>
      <c r="F772" t="s">
        <v>7</v>
      </c>
    </row>
    <row r="773" spans="1:6">
      <c r="A773" t="s">
        <v>33</v>
      </c>
      <c r="B773" t="s">
        <v>26</v>
      </c>
      <c r="C773">
        <v>2050</v>
      </c>
      <c r="D773" t="s">
        <v>10</v>
      </c>
      <c r="E773">
        <v>45</v>
      </c>
      <c r="F773" t="s">
        <v>11</v>
      </c>
    </row>
    <row r="774" spans="1:6">
      <c r="A774" t="s">
        <v>33</v>
      </c>
      <c r="B774" t="s">
        <v>26</v>
      </c>
      <c r="C774">
        <v>2050</v>
      </c>
      <c r="D774" t="s">
        <v>12</v>
      </c>
      <c r="E774">
        <v>0.37</v>
      </c>
      <c r="F774" t="s">
        <v>13</v>
      </c>
    </row>
    <row r="775" spans="1:6">
      <c r="A775" t="s">
        <v>33</v>
      </c>
      <c r="B775" t="s">
        <v>26</v>
      </c>
      <c r="C775">
        <v>2050</v>
      </c>
      <c r="D775" t="s">
        <v>164</v>
      </c>
      <c r="E775">
        <v>2.3610000000000002</v>
      </c>
      <c r="F775" t="s">
        <v>166</v>
      </c>
    </row>
    <row r="776" spans="1:6">
      <c r="A776" t="s">
        <v>33</v>
      </c>
      <c r="B776" t="s">
        <v>27</v>
      </c>
      <c r="C776">
        <v>2022</v>
      </c>
      <c r="D776" t="s">
        <v>6</v>
      </c>
      <c r="E776">
        <v>1300</v>
      </c>
      <c r="F776" t="s">
        <v>7</v>
      </c>
    </row>
    <row r="777" spans="1:6">
      <c r="A777" t="s">
        <v>33</v>
      </c>
      <c r="B777" t="s">
        <v>27</v>
      </c>
      <c r="C777">
        <v>2022</v>
      </c>
      <c r="D777" t="s">
        <v>8</v>
      </c>
      <c r="E777">
        <v>1300</v>
      </c>
      <c r="F777" t="s">
        <v>7</v>
      </c>
    </row>
    <row r="778" spans="1:6">
      <c r="A778" t="s">
        <v>33</v>
      </c>
      <c r="B778" t="s">
        <v>27</v>
      </c>
      <c r="C778">
        <v>2022</v>
      </c>
      <c r="D778" t="s">
        <v>9</v>
      </c>
      <c r="E778">
        <v>1300</v>
      </c>
      <c r="F778" t="s">
        <v>7</v>
      </c>
    </row>
    <row r="779" spans="1:6">
      <c r="A779" t="s">
        <v>33</v>
      </c>
      <c r="B779" t="s">
        <v>27</v>
      </c>
      <c r="C779">
        <v>2022</v>
      </c>
      <c r="D779" t="s">
        <v>10</v>
      </c>
      <c r="E779">
        <v>45</v>
      </c>
      <c r="F779" t="s">
        <v>11</v>
      </c>
    </row>
    <row r="780" spans="1:6">
      <c r="A780" t="s">
        <v>33</v>
      </c>
      <c r="B780" t="s">
        <v>27</v>
      </c>
      <c r="C780">
        <v>2022</v>
      </c>
      <c r="D780" t="s">
        <v>12</v>
      </c>
      <c r="E780">
        <v>0.35</v>
      </c>
      <c r="F780" t="s">
        <v>13</v>
      </c>
    </row>
    <row r="781" spans="1:6">
      <c r="A781" t="s">
        <v>33</v>
      </c>
      <c r="B781" t="s">
        <v>27</v>
      </c>
      <c r="C781">
        <v>2022</v>
      </c>
      <c r="D781" t="s">
        <v>164</v>
      </c>
      <c r="E781">
        <v>2.3610000000000002</v>
      </c>
      <c r="F781" t="s">
        <v>166</v>
      </c>
    </row>
    <row r="782" spans="1:6">
      <c r="A782" t="s">
        <v>33</v>
      </c>
      <c r="B782" t="s">
        <v>27</v>
      </c>
      <c r="C782">
        <v>2030</v>
      </c>
      <c r="D782" t="s">
        <v>6</v>
      </c>
      <c r="E782">
        <v>1300</v>
      </c>
      <c r="F782" t="s">
        <v>7</v>
      </c>
    </row>
    <row r="783" spans="1:6">
      <c r="A783" t="s">
        <v>33</v>
      </c>
      <c r="B783" t="s">
        <v>27</v>
      </c>
      <c r="C783">
        <v>2030</v>
      </c>
      <c r="D783" t="s">
        <v>8</v>
      </c>
      <c r="E783">
        <v>1300</v>
      </c>
      <c r="F783" t="s">
        <v>7</v>
      </c>
    </row>
    <row r="784" spans="1:6">
      <c r="A784" t="s">
        <v>33</v>
      </c>
      <c r="B784" t="s">
        <v>27</v>
      </c>
      <c r="C784">
        <v>2030</v>
      </c>
      <c r="D784" t="s">
        <v>9</v>
      </c>
      <c r="E784">
        <v>1300</v>
      </c>
      <c r="F784" t="s">
        <v>7</v>
      </c>
    </row>
    <row r="785" spans="1:6">
      <c r="A785" t="s">
        <v>33</v>
      </c>
      <c r="B785" t="s">
        <v>27</v>
      </c>
      <c r="C785">
        <v>2030</v>
      </c>
      <c r="D785" t="s">
        <v>10</v>
      </c>
      <c r="E785">
        <v>45</v>
      </c>
      <c r="F785" t="s">
        <v>11</v>
      </c>
    </row>
    <row r="786" spans="1:6">
      <c r="A786" t="s">
        <v>33</v>
      </c>
      <c r="B786" t="s">
        <v>27</v>
      </c>
      <c r="C786">
        <v>2030</v>
      </c>
      <c r="D786" t="s">
        <v>12</v>
      </c>
      <c r="E786">
        <v>0.35</v>
      </c>
      <c r="F786" t="s">
        <v>13</v>
      </c>
    </row>
    <row r="787" spans="1:6">
      <c r="A787" t="s">
        <v>33</v>
      </c>
      <c r="B787" t="s">
        <v>27</v>
      </c>
      <c r="C787">
        <v>2030</v>
      </c>
      <c r="D787" t="s">
        <v>164</v>
      </c>
      <c r="E787">
        <v>2.3610000000000002</v>
      </c>
      <c r="F787" t="s">
        <v>166</v>
      </c>
    </row>
    <row r="788" spans="1:6">
      <c r="A788" t="s">
        <v>33</v>
      </c>
      <c r="B788" t="s">
        <v>27</v>
      </c>
      <c r="C788">
        <v>2050</v>
      </c>
      <c r="D788" t="s">
        <v>6</v>
      </c>
      <c r="E788">
        <v>1300</v>
      </c>
      <c r="F788" t="s">
        <v>7</v>
      </c>
    </row>
    <row r="789" spans="1:6">
      <c r="A789" t="s">
        <v>33</v>
      </c>
      <c r="B789" t="s">
        <v>27</v>
      </c>
      <c r="C789">
        <v>2050</v>
      </c>
      <c r="D789" t="s">
        <v>8</v>
      </c>
      <c r="E789">
        <v>1300</v>
      </c>
      <c r="F789" t="s">
        <v>7</v>
      </c>
    </row>
    <row r="790" spans="1:6">
      <c r="A790" t="s">
        <v>33</v>
      </c>
      <c r="B790" t="s">
        <v>27</v>
      </c>
      <c r="C790">
        <v>2050</v>
      </c>
      <c r="D790" t="s">
        <v>9</v>
      </c>
      <c r="E790">
        <v>1300</v>
      </c>
      <c r="F790" t="s">
        <v>7</v>
      </c>
    </row>
    <row r="791" spans="1:6">
      <c r="A791" t="s">
        <v>33</v>
      </c>
      <c r="B791" t="s">
        <v>27</v>
      </c>
      <c r="C791">
        <v>2050</v>
      </c>
      <c r="D791" t="s">
        <v>10</v>
      </c>
      <c r="E791">
        <v>45</v>
      </c>
      <c r="F791" t="s">
        <v>11</v>
      </c>
    </row>
    <row r="792" spans="1:6">
      <c r="A792" t="s">
        <v>33</v>
      </c>
      <c r="B792" t="s">
        <v>27</v>
      </c>
      <c r="C792">
        <v>2050</v>
      </c>
      <c r="D792" t="s">
        <v>12</v>
      </c>
      <c r="E792">
        <v>0.35</v>
      </c>
      <c r="F792" t="s">
        <v>13</v>
      </c>
    </row>
    <row r="793" spans="1:6">
      <c r="A793" t="s">
        <v>33</v>
      </c>
      <c r="B793" t="s">
        <v>27</v>
      </c>
      <c r="C793">
        <v>2050</v>
      </c>
      <c r="D793" t="s">
        <v>164</v>
      </c>
      <c r="E793">
        <v>2.3610000000000002</v>
      </c>
      <c r="F793" t="s">
        <v>166</v>
      </c>
    </row>
    <row r="794" spans="1:6">
      <c r="A794" t="s">
        <v>33</v>
      </c>
      <c r="B794" t="s">
        <v>28</v>
      </c>
      <c r="C794">
        <v>2022</v>
      </c>
      <c r="D794" t="s">
        <v>6</v>
      </c>
      <c r="E794">
        <v>1300</v>
      </c>
      <c r="F794" t="s">
        <v>7</v>
      </c>
    </row>
    <row r="795" spans="1:6">
      <c r="A795" t="s">
        <v>33</v>
      </c>
      <c r="B795" t="s">
        <v>28</v>
      </c>
      <c r="C795">
        <v>2022</v>
      </c>
      <c r="D795" t="s">
        <v>8</v>
      </c>
      <c r="E795">
        <v>1300</v>
      </c>
      <c r="F795" t="s">
        <v>7</v>
      </c>
    </row>
    <row r="796" spans="1:6">
      <c r="A796" t="s">
        <v>33</v>
      </c>
      <c r="B796" t="s">
        <v>28</v>
      </c>
      <c r="C796">
        <v>2022</v>
      </c>
      <c r="D796" t="s">
        <v>9</v>
      </c>
      <c r="E796">
        <v>1300</v>
      </c>
      <c r="F796" t="s">
        <v>7</v>
      </c>
    </row>
    <row r="797" spans="1:6">
      <c r="A797" t="s">
        <v>33</v>
      </c>
      <c r="B797" t="s">
        <v>28</v>
      </c>
      <c r="C797">
        <v>2022</v>
      </c>
      <c r="D797" t="s">
        <v>10</v>
      </c>
      <c r="E797">
        <v>45</v>
      </c>
      <c r="F797" t="s">
        <v>11</v>
      </c>
    </row>
    <row r="798" spans="1:6">
      <c r="A798" t="s">
        <v>33</v>
      </c>
      <c r="B798" t="s">
        <v>28</v>
      </c>
      <c r="C798">
        <v>2022</v>
      </c>
      <c r="D798" t="s">
        <v>12</v>
      </c>
      <c r="E798">
        <v>0.39</v>
      </c>
      <c r="F798" t="s">
        <v>13</v>
      </c>
    </row>
    <row r="799" spans="1:6">
      <c r="A799" t="s">
        <v>33</v>
      </c>
      <c r="B799" t="s">
        <v>28</v>
      </c>
      <c r="C799">
        <v>2022</v>
      </c>
      <c r="D799" t="s">
        <v>164</v>
      </c>
      <c r="E799">
        <v>2.3610000000000002</v>
      </c>
      <c r="F799" t="s">
        <v>166</v>
      </c>
    </row>
    <row r="800" spans="1:6">
      <c r="A800" t="s">
        <v>33</v>
      </c>
      <c r="B800" t="s">
        <v>28</v>
      </c>
      <c r="C800">
        <v>2030</v>
      </c>
      <c r="D800" t="s">
        <v>6</v>
      </c>
      <c r="E800">
        <v>1300</v>
      </c>
      <c r="F800" t="s">
        <v>7</v>
      </c>
    </row>
    <row r="801" spans="1:6">
      <c r="A801" t="s">
        <v>33</v>
      </c>
      <c r="B801" t="s">
        <v>28</v>
      </c>
      <c r="C801">
        <v>2030</v>
      </c>
      <c r="D801" t="s">
        <v>8</v>
      </c>
      <c r="E801">
        <v>1300</v>
      </c>
      <c r="F801" t="s">
        <v>7</v>
      </c>
    </row>
    <row r="802" spans="1:6">
      <c r="A802" t="s">
        <v>33</v>
      </c>
      <c r="B802" t="s">
        <v>28</v>
      </c>
      <c r="C802">
        <v>2030</v>
      </c>
      <c r="D802" t="s">
        <v>9</v>
      </c>
      <c r="E802">
        <v>1300</v>
      </c>
      <c r="F802" t="s">
        <v>7</v>
      </c>
    </row>
    <row r="803" spans="1:6">
      <c r="A803" t="s">
        <v>33</v>
      </c>
      <c r="B803" t="s">
        <v>28</v>
      </c>
      <c r="C803">
        <v>2030</v>
      </c>
      <c r="D803" t="s">
        <v>10</v>
      </c>
      <c r="E803">
        <v>45</v>
      </c>
      <c r="F803" t="s">
        <v>11</v>
      </c>
    </row>
    <row r="804" spans="1:6">
      <c r="A804" t="s">
        <v>33</v>
      </c>
      <c r="B804" t="s">
        <v>28</v>
      </c>
      <c r="C804">
        <v>2030</v>
      </c>
      <c r="D804" t="s">
        <v>12</v>
      </c>
      <c r="E804">
        <v>0.39</v>
      </c>
      <c r="F804" t="s">
        <v>13</v>
      </c>
    </row>
    <row r="805" spans="1:6">
      <c r="A805" t="s">
        <v>33</v>
      </c>
      <c r="B805" t="s">
        <v>28</v>
      </c>
      <c r="C805">
        <v>2030</v>
      </c>
      <c r="D805" t="s">
        <v>164</v>
      </c>
      <c r="E805">
        <v>2.3610000000000002</v>
      </c>
      <c r="F805" t="s">
        <v>166</v>
      </c>
    </row>
    <row r="806" spans="1:6">
      <c r="A806" t="s">
        <v>33</v>
      </c>
      <c r="B806" t="s">
        <v>28</v>
      </c>
      <c r="C806">
        <v>2050</v>
      </c>
      <c r="D806" t="s">
        <v>6</v>
      </c>
      <c r="E806">
        <v>1300</v>
      </c>
      <c r="F806" t="s">
        <v>7</v>
      </c>
    </row>
    <row r="807" spans="1:6">
      <c r="A807" t="s">
        <v>33</v>
      </c>
      <c r="B807" t="s">
        <v>28</v>
      </c>
      <c r="C807">
        <v>2050</v>
      </c>
      <c r="D807" t="s">
        <v>8</v>
      </c>
      <c r="E807">
        <v>1300</v>
      </c>
      <c r="F807" t="s">
        <v>7</v>
      </c>
    </row>
    <row r="808" spans="1:6">
      <c r="A808" t="s">
        <v>33</v>
      </c>
      <c r="B808" t="s">
        <v>28</v>
      </c>
      <c r="C808">
        <v>2050</v>
      </c>
      <c r="D808" t="s">
        <v>9</v>
      </c>
      <c r="E808">
        <v>1300</v>
      </c>
      <c r="F808" t="s">
        <v>7</v>
      </c>
    </row>
    <row r="809" spans="1:6">
      <c r="A809" t="s">
        <v>33</v>
      </c>
      <c r="B809" t="s">
        <v>28</v>
      </c>
      <c r="C809">
        <v>2050</v>
      </c>
      <c r="D809" t="s">
        <v>10</v>
      </c>
      <c r="E809">
        <v>45</v>
      </c>
      <c r="F809" t="s">
        <v>11</v>
      </c>
    </row>
    <row r="810" spans="1:6">
      <c r="A810" t="s">
        <v>33</v>
      </c>
      <c r="B810" t="s">
        <v>28</v>
      </c>
      <c r="C810">
        <v>2050</v>
      </c>
      <c r="D810" t="s">
        <v>12</v>
      </c>
      <c r="E810">
        <v>0.39</v>
      </c>
      <c r="F810" t="s">
        <v>13</v>
      </c>
    </row>
    <row r="811" spans="1:6">
      <c r="A811" t="s">
        <v>33</v>
      </c>
      <c r="B811" t="s">
        <v>28</v>
      </c>
      <c r="C811">
        <v>2050</v>
      </c>
      <c r="D811" t="s">
        <v>164</v>
      </c>
      <c r="E811">
        <v>2.3610000000000002</v>
      </c>
      <c r="F811" t="s">
        <v>166</v>
      </c>
    </row>
    <row r="812" spans="1:6">
      <c r="A812" t="s">
        <v>34</v>
      </c>
      <c r="B812" t="s">
        <v>20</v>
      </c>
      <c r="C812">
        <v>2022</v>
      </c>
      <c r="D812" t="s">
        <v>6</v>
      </c>
      <c r="E812">
        <v>2000</v>
      </c>
      <c r="F812" t="s">
        <v>7</v>
      </c>
    </row>
    <row r="813" spans="1:6">
      <c r="A813" t="s">
        <v>34</v>
      </c>
      <c r="B813" t="s">
        <v>20</v>
      </c>
      <c r="C813">
        <v>2022</v>
      </c>
      <c r="D813" t="s">
        <v>8</v>
      </c>
      <c r="E813">
        <v>2000</v>
      </c>
      <c r="F813" t="s">
        <v>7</v>
      </c>
    </row>
    <row r="814" spans="1:6">
      <c r="A814" t="s">
        <v>34</v>
      </c>
      <c r="B814" t="s">
        <v>20</v>
      </c>
      <c r="C814">
        <v>2022</v>
      </c>
      <c r="D814" t="s">
        <v>9</v>
      </c>
      <c r="E814">
        <v>2000</v>
      </c>
      <c r="F814" t="s">
        <v>7</v>
      </c>
    </row>
    <row r="815" spans="1:6">
      <c r="A815" t="s">
        <v>34</v>
      </c>
      <c r="B815" t="s">
        <v>20</v>
      </c>
      <c r="C815">
        <v>2022</v>
      </c>
      <c r="D815" t="s">
        <v>10</v>
      </c>
      <c r="E815">
        <v>60</v>
      </c>
      <c r="F815" t="s">
        <v>11</v>
      </c>
    </row>
    <row r="816" spans="1:6">
      <c r="A816" t="s">
        <v>34</v>
      </c>
      <c r="B816" t="s">
        <v>20</v>
      </c>
      <c r="C816">
        <v>2022</v>
      </c>
      <c r="D816" t="s">
        <v>12</v>
      </c>
      <c r="E816">
        <v>0.43</v>
      </c>
      <c r="F816" t="s">
        <v>13</v>
      </c>
    </row>
    <row r="817" spans="1:6">
      <c r="A817" t="s">
        <v>34</v>
      </c>
      <c r="B817" t="s">
        <v>20</v>
      </c>
      <c r="C817">
        <v>2022</v>
      </c>
      <c r="D817" t="s">
        <v>164</v>
      </c>
      <c r="E817">
        <v>2.5830000000000002</v>
      </c>
      <c r="F817" t="s">
        <v>166</v>
      </c>
    </row>
    <row r="818" spans="1:6">
      <c r="A818" t="s">
        <v>34</v>
      </c>
      <c r="B818" t="s">
        <v>20</v>
      </c>
      <c r="C818">
        <v>2030</v>
      </c>
      <c r="D818" t="s">
        <v>6</v>
      </c>
      <c r="E818">
        <v>2000</v>
      </c>
      <c r="F818" t="s">
        <v>7</v>
      </c>
    </row>
    <row r="819" spans="1:6">
      <c r="A819" t="s">
        <v>34</v>
      </c>
      <c r="B819" t="s">
        <v>20</v>
      </c>
      <c r="C819">
        <v>2030</v>
      </c>
      <c r="D819" t="s">
        <v>8</v>
      </c>
      <c r="E819">
        <v>1958</v>
      </c>
      <c r="F819" t="s">
        <v>7</v>
      </c>
    </row>
    <row r="820" spans="1:6">
      <c r="A820" t="s">
        <v>34</v>
      </c>
      <c r="B820" t="s">
        <v>20</v>
      </c>
      <c r="C820">
        <v>2030</v>
      </c>
      <c r="D820" t="s">
        <v>9</v>
      </c>
      <c r="E820">
        <v>2042</v>
      </c>
      <c r="F820" t="s">
        <v>7</v>
      </c>
    </row>
    <row r="821" spans="1:6">
      <c r="A821" t="s">
        <v>34</v>
      </c>
      <c r="B821" t="s">
        <v>20</v>
      </c>
      <c r="C821">
        <v>2030</v>
      </c>
      <c r="D821" t="s">
        <v>10</v>
      </c>
      <c r="E821">
        <v>60</v>
      </c>
      <c r="F821" t="s">
        <v>11</v>
      </c>
    </row>
    <row r="822" spans="1:6">
      <c r="A822" t="s">
        <v>34</v>
      </c>
      <c r="B822" t="s">
        <v>20</v>
      </c>
      <c r="C822">
        <v>2030</v>
      </c>
      <c r="D822" t="s">
        <v>12</v>
      </c>
      <c r="E822">
        <v>0.43</v>
      </c>
      <c r="F822" t="s">
        <v>13</v>
      </c>
    </row>
    <row r="823" spans="1:6">
      <c r="A823" t="s">
        <v>34</v>
      </c>
      <c r="B823" t="s">
        <v>20</v>
      </c>
      <c r="C823">
        <v>2030</v>
      </c>
      <c r="D823" t="s">
        <v>164</v>
      </c>
      <c r="E823">
        <v>2.4969999999999999</v>
      </c>
      <c r="F823" t="s">
        <v>166</v>
      </c>
    </row>
    <row r="824" spans="1:6">
      <c r="A824" t="s">
        <v>34</v>
      </c>
      <c r="B824" t="s">
        <v>20</v>
      </c>
      <c r="C824">
        <v>2050</v>
      </c>
      <c r="D824" t="s">
        <v>6</v>
      </c>
      <c r="E824">
        <v>2000</v>
      </c>
      <c r="F824" t="s">
        <v>7</v>
      </c>
    </row>
    <row r="825" spans="1:6">
      <c r="A825" t="s">
        <v>34</v>
      </c>
      <c r="B825" t="s">
        <v>20</v>
      </c>
      <c r="C825">
        <v>2050</v>
      </c>
      <c r="D825" t="s">
        <v>8</v>
      </c>
      <c r="E825">
        <v>1949.8</v>
      </c>
      <c r="F825" t="s">
        <v>7</v>
      </c>
    </row>
    <row r="826" spans="1:6">
      <c r="A826" t="s">
        <v>34</v>
      </c>
      <c r="B826" t="s">
        <v>20</v>
      </c>
      <c r="C826">
        <v>2050</v>
      </c>
      <c r="D826" t="s">
        <v>9</v>
      </c>
      <c r="E826">
        <v>2050.1999999999998</v>
      </c>
      <c r="F826" t="s">
        <v>7</v>
      </c>
    </row>
    <row r="827" spans="1:6">
      <c r="A827" t="s">
        <v>34</v>
      </c>
      <c r="B827" t="s">
        <v>20</v>
      </c>
      <c r="C827">
        <v>2050</v>
      </c>
      <c r="D827" t="s">
        <v>10</v>
      </c>
      <c r="E827">
        <v>60</v>
      </c>
      <c r="F827" t="s">
        <v>11</v>
      </c>
    </row>
    <row r="828" spans="1:6">
      <c r="A828" t="s">
        <v>34</v>
      </c>
      <c r="B828" t="s">
        <v>20</v>
      </c>
      <c r="C828">
        <v>2050</v>
      </c>
      <c r="D828" t="s">
        <v>12</v>
      </c>
      <c r="E828">
        <v>0.43</v>
      </c>
      <c r="F828" t="s">
        <v>13</v>
      </c>
    </row>
    <row r="829" spans="1:6">
      <c r="A829" t="s">
        <v>34</v>
      </c>
      <c r="B829" t="s">
        <v>20</v>
      </c>
      <c r="C829">
        <v>2050</v>
      </c>
      <c r="D829" t="s">
        <v>164</v>
      </c>
      <c r="E829">
        <v>2.3170000000000002</v>
      </c>
      <c r="F829" t="s">
        <v>166</v>
      </c>
    </row>
    <row r="830" spans="1:6">
      <c r="A830" t="s">
        <v>34</v>
      </c>
      <c r="B830" t="s">
        <v>21</v>
      </c>
      <c r="C830">
        <v>2022</v>
      </c>
      <c r="D830" t="s">
        <v>6</v>
      </c>
      <c r="E830">
        <v>2100</v>
      </c>
      <c r="F830" t="s">
        <v>7</v>
      </c>
    </row>
    <row r="831" spans="1:6">
      <c r="A831" t="s">
        <v>34</v>
      </c>
      <c r="B831" t="s">
        <v>21</v>
      </c>
      <c r="C831">
        <v>2022</v>
      </c>
      <c r="D831" t="s">
        <v>8</v>
      </c>
      <c r="E831">
        <v>2100</v>
      </c>
      <c r="F831" t="s">
        <v>7</v>
      </c>
    </row>
    <row r="832" spans="1:6">
      <c r="A832" t="s">
        <v>34</v>
      </c>
      <c r="B832" t="s">
        <v>21</v>
      </c>
      <c r="C832">
        <v>2022</v>
      </c>
      <c r="D832" t="s">
        <v>9</v>
      </c>
      <c r="E832">
        <v>2100</v>
      </c>
      <c r="F832" t="s">
        <v>7</v>
      </c>
    </row>
    <row r="833" spans="1:6">
      <c r="A833" t="s">
        <v>34</v>
      </c>
      <c r="B833" t="s">
        <v>21</v>
      </c>
      <c r="C833">
        <v>2022</v>
      </c>
      <c r="D833" t="s">
        <v>10</v>
      </c>
      <c r="E833">
        <v>65</v>
      </c>
      <c r="F833" t="s">
        <v>11</v>
      </c>
    </row>
    <row r="834" spans="1:6">
      <c r="A834" t="s">
        <v>34</v>
      </c>
      <c r="B834" t="s">
        <v>21</v>
      </c>
      <c r="C834">
        <v>2022</v>
      </c>
      <c r="D834" t="s">
        <v>12</v>
      </c>
      <c r="E834">
        <v>0.43</v>
      </c>
      <c r="F834" t="s">
        <v>13</v>
      </c>
    </row>
    <row r="835" spans="1:6">
      <c r="A835" t="s">
        <v>34</v>
      </c>
      <c r="B835" t="s">
        <v>21</v>
      </c>
      <c r="C835">
        <v>2022</v>
      </c>
      <c r="D835" t="s">
        <v>164</v>
      </c>
      <c r="E835">
        <v>2.5830000000000002</v>
      </c>
      <c r="F835" t="s">
        <v>166</v>
      </c>
    </row>
    <row r="836" spans="1:6">
      <c r="A836" t="s">
        <v>34</v>
      </c>
      <c r="B836" t="s">
        <v>21</v>
      </c>
      <c r="C836">
        <v>2030</v>
      </c>
      <c r="D836" t="s">
        <v>6</v>
      </c>
      <c r="E836">
        <v>2100</v>
      </c>
      <c r="F836" t="s">
        <v>7</v>
      </c>
    </row>
    <row r="837" spans="1:6">
      <c r="A837" t="s">
        <v>34</v>
      </c>
      <c r="B837" t="s">
        <v>21</v>
      </c>
      <c r="C837">
        <v>2030</v>
      </c>
      <c r="D837" t="s">
        <v>8</v>
      </c>
      <c r="E837">
        <v>2055.9</v>
      </c>
      <c r="F837" t="s">
        <v>7</v>
      </c>
    </row>
    <row r="838" spans="1:6">
      <c r="A838" t="s">
        <v>34</v>
      </c>
      <c r="B838" t="s">
        <v>21</v>
      </c>
      <c r="C838">
        <v>2030</v>
      </c>
      <c r="D838" t="s">
        <v>9</v>
      </c>
      <c r="E838">
        <v>2144.1</v>
      </c>
      <c r="F838" t="s">
        <v>7</v>
      </c>
    </row>
    <row r="839" spans="1:6">
      <c r="A839" t="s">
        <v>34</v>
      </c>
      <c r="B839" t="s">
        <v>21</v>
      </c>
      <c r="C839">
        <v>2030</v>
      </c>
      <c r="D839" t="s">
        <v>10</v>
      </c>
      <c r="E839">
        <v>65</v>
      </c>
      <c r="F839" t="s">
        <v>11</v>
      </c>
    </row>
    <row r="840" spans="1:6">
      <c r="A840" t="s">
        <v>34</v>
      </c>
      <c r="B840" t="s">
        <v>21</v>
      </c>
      <c r="C840">
        <v>2030</v>
      </c>
      <c r="D840" t="s">
        <v>12</v>
      </c>
      <c r="E840">
        <v>0.43</v>
      </c>
      <c r="F840" t="s">
        <v>13</v>
      </c>
    </row>
    <row r="841" spans="1:6">
      <c r="A841" t="s">
        <v>34</v>
      </c>
      <c r="B841" t="s">
        <v>21</v>
      </c>
      <c r="C841">
        <v>2030</v>
      </c>
      <c r="D841" t="s">
        <v>164</v>
      </c>
      <c r="E841">
        <v>2.4969999999999999</v>
      </c>
      <c r="F841" t="s">
        <v>166</v>
      </c>
    </row>
    <row r="842" spans="1:6">
      <c r="A842" t="s">
        <v>34</v>
      </c>
      <c r="B842" t="s">
        <v>21</v>
      </c>
      <c r="C842">
        <v>2050</v>
      </c>
      <c r="D842" t="s">
        <v>6</v>
      </c>
      <c r="E842">
        <v>2100</v>
      </c>
      <c r="F842" t="s">
        <v>7</v>
      </c>
    </row>
    <row r="843" spans="1:6">
      <c r="A843" t="s">
        <v>34</v>
      </c>
      <c r="B843" t="s">
        <v>21</v>
      </c>
      <c r="C843">
        <v>2050</v>
      </c>
      <c r="D843" t="s">
        <v>8</v>
      </c>
      <c r="E843">
        <v>2047.3</v>
      </c>
      <c r="F843" t="s">
        <v>7</v>
      </c>
    </row>
    <row r="844" spans="1:6">
      <c r="A844" t="s">
        <v>34</v>
      </c>
      <c r="B844" t="s">
        <v>21</v>
      </c>
      <c r="C844">
        <v>2050</v>
      </c>
      <c r="D844" t="s">
        <v>9</v>
      </c>
      <c r="E844">
        <v>2152.6999999999998</v>
      </c>
      <c r="F844" t="s">
        <v>7</v>
      </c>
    </row>
    <row r="845" spans="1:6">
      <c r="A845" t="s">
        <v>34</v>
      </c>
      <c r="B845" t="s">
        <v>21</v>
      </c>
      <c r="C845">
        <v>2050</v>
      </c>
      <c r="D845" t="s">
        <v>10</v>
      </c>
      <c r="E845">
        <v>65</v>
      </c>
      <c r="F845" t="s">
        <v>11</v>
      </c>
    </row>
    <row r="846" spans="1:6">
      <c r="A846" t="s">
        <v>34</v>
      </c>
      <c r="B846" t="s">
        <v>21</v>
      </c>
      <c r="C846">
        <v>2050</v>
      </c>
      <c r="D846" t="s">
        <v>12</v>
      </c>
      <c r="E846">
        <v>0.43</v>
      </c>
      <c r="F846" t="s">
        <v>13</v>
      </c>
    </row>
    <row r="847" spans="1:6">
      <c r="A847" t="s">
        <v>34</v>
      </c>
      <c r="B847" t="s">
        <v>21</v>
      </c>
      <c r="C847">
        <v>2050</v>
      </c>
      <c r="D847" t="s">
        <v>164</v>
      </c>
      <c r="E847">
        <v>2.3170000000000002</v>
      </c>
      <c r="F847" t="s">
        <v>166</v>
      </c>
    </row>
    <row r="848" spans="1:6">
      <c r="A848" t="s">
        <v>34</v>
      </c>
      <c r="B848" t="s">
        <v>22</v>
      </c>
      <c r="C848">
        <v>2022</v>
      </c>
      <c r="D848" t="s">
        <v>6</v>
      </c>
      <c r="E848">
        <v>2400</v>
      </c>
      <c r="F848" t="s">
        <v>7</v>
      </c>
    </row>
    <row r="849" spans="1:6">
      <c r="A849" t="s">
        <v>34</v>
      </c>
      <c r="B849" t="s">
        <v>22</v>
      </c>
      <c r="C849">
        <v>2022</v>
      </c>
      <c r="D849" t="s">
        <v>8</v>
      </c>
      <c r="E849">
        <v>2400</v>
      </c>
      <c r="F849" t="s">
        <v>7</v>
      </c>
    </row>
    <row r="850" spans="1:6">
      <c r="A850" t="s">
        <v>34</v>
      </c>
      <c r="B850" t="s">
        <v>22</v>
      </c>
      <c r="C850">
        <v>2022</v>
      </c>
      <c r="D850" t="s">
        <v>9</v>
      </c>
      <c r="E850">
        <v>2400</v>
      </c>
      <c r="F850" t="s">
        <v>7</v>
      </c>
    </row>
    <row r="851" spans="1:6">
      <c r="A851" t="s">
        <v>34</v>
      </c>
      <c r="B851" t="s">
        <v>22</v>
      </c>
      <c r="C851">
        <v>2022</v>
      </c>
      <c r="D851" t="s">
        <v>10</v>
      </c>
      <c r="E851">
        <v>70</v>
      </c>
      <c r="F851" t="s">
        <v>11</v>
      </c>
    </row>
    <row r="852" spans="1:6">
      <c r="A852" t="s">
        <v>34</v>
      </c>
      <c r="B852" t="s">
        <v>22</v>
      </c>
      <c r="C852">
        <v>2022</v>
      </c>
      <c r="D852" t="s">
        <v>12</v>
      </c>
      <c r="E852">
        <v>0.43</v>
      </c>
      <c r="F852" t="s">
        <v>13</v>
      </c>
    </row>
    <row r="853" spans="1:6">
      <c r="A853" t="s">
        <v>34</v>
      </c>
      <c r="B853" t="s">
        <v>22</v>
      </c>
      <c r="C853">
        <v>2022</v>
      </c>
      <c r="D853" t="s">
        <v>164</v>
      </c>
      <c r="E853">
        <v>2.5830000000000002</v>
      </c>
      <c r="F853" t="s">
        <v>166</v>
      </c>
    </row>
    <row r="854" spans="1:6">
      <c r="A854" t="s">
        <v>34</v>
      </c>
      <c r="B854" t="s">
        <v>22</v>
      </c>
      <c r="C854">
        <v>2030</v>
      </c>
      <c r="D854" t="s">
        <v>6</v>
      </c>
      <c r="E854">
        <v>2400</v>
      </c>
      <c r="F854" t="s">
        <v>7</v>
      </c>
    </row>
    <row r="855" spans="1:6">
      <c r="A855" t="s">
        <v>34</v>
      </c>
      <c r="B855" t="s">
        <v>22</v>
      </c>
      <c r="C855">
        <v>2030</v>
      </c>
      <c r="D855" t="s">
        <v>8</v>
      </c>
      <c r="E855">
        <v>2349.6</v>
      </c>
      <c r="F855" t="s">
        <v>7</v>
      </c>
    </row>
    <row r="856" spans="1:6">
      <c r="A856" t="s">
        <v>34</v>
      </c>
      <c r="B856" t="s">
        <v>22</v>
      </c>
      <c r="C856">
        <v>2030</v>
      </c>
      <c r="D856" t="s">
        <v>9</v>
      </c>
      <c r="E856">
        <v>2450.4</v>
      </c>
      <c r="F856" t="s">
        <v>7</v>
      </c>
    </row>
    <row r="857" spans="1:6">
      <c r="A857" t="s">
        <v>34</v>
      </c>
      <c r="B857" t="s">
        <v>22</v>
      </c>
      <c r="C857">
        <v>2030</v>
      </c>
      <c r="D857" t="s">
        <v>10</v>
      </c>
      <c r="E857">
        <v>70</v>
      </c>
      <c r="F857" t="s">
        <v>11</v>
      </c>
    </row>
    <row r="858" spans="1:6">
      <c r="A858" t="s">
        <v>34</v>
      </c>
      <c r="B858" t="s">
        <v>22</v>
      </c>
      <c r="C858">
        <v>2030</v>
      </c>
      <c r="D858" t="s">
        <v>12</v>
      </c>
      <c r="E858">
        <v>0.43</v>
      </c>
      <c r="F858" t="s">
        <v>13</v>
      </c>
    </row>
    <row r="859" spans="1:6">
      <c r="A859" t="s">
        <v>34</v>
      </c>
      <c r="B859" t="s">
        <v>22</v>
      </c>
      <c r="C859">
        <v>2030</v>
      </c>
      <c r="D859" t="s">
        <v>164</v>
      </c>
      <c r="E859">
        <v>2.4969999999999999</v>
      </c>
      <c r="F859" t="s">
        <v>166</v>
      </c>
    </row>
    <row r="860" spans="1:6">
      <c r="A860" t="s">
        <v>34</v>
      </c>
      <c r="B860" t="s">
        <v>22</v>
      </c>
      <c r="C860">
        <v>2050</v>
      </c>
      <c r="D860" t="s">
        <v>6</v>
      </c>
      <c r="E860">
        <v>2400</v>
      </c>
      <c r="F860" t="s">
        <v>7</v>
      </c>
    </row>
    <row r="861" spans="1:6">
      <c r="A861" t="s">
        <v>34</v>
      </c>
      <c r="B861" t="s">
        <v>22</v>
      </c>
      <c r="C861">
        <v>2050</v>
      </c>
      <c r="D861" t="s">
        <v>8</v>
      </c>
      <c r="E861">
        <v>2339.8000000000002</v>
      </c>
      <c r="F861" t="s">
        <v>7</v>
      </c>
    </row>
    <row r="862" spans="1:6">
      <c r="A862" t="s">
        <v>34</v>
      </c>
      <c r="B862" t="s">
        <v>22</v>
      </c>
      <c r="C862">
        <v>2050</v>
      </c>
      <c r="D862" t="s">
        <v>9</v>
      </c>
      <c r="E862">
        <v>2460.1999999999998</v>
      </c>
      <c r="F862" t="s">
        <v>7</v>
      </c>
    </row>
    <row r="863" spans="1:6">
      <c r="A863" t="s">
        <v>34</v>
      </c>
      <c r="B863" t="s">
        <v>22</v>
      </c>
      <c r="C863">
        <v>2050</v>
      </c>
      <c r="D863" t="s">
        <v>10</v>
      </c>
      <c r="E863">
        <v>70</v>
      </c>
      <c r="F863" t="s">
        <v>11</v>
      </c>
    </row>
    <row r="864" spans="1:6">
      <c r="A864" t="s">
        <v>34</v>
      </c>
      <c r="B864" t="s">
        <v>22</v>
      </c>
      <c r="C864">
        <v>2050</v>
      </c>
      <c r="D864" t="s">
        <v>12</v>
      </c>
      <c r="E864">
        <v>0.43</v>
      </c>
      <c r="F864" t="s">
        <v>13</v>
      </c>
    </row>
    <row r="865" spans="1:6">
      <c r="A865" t="s">
        <v>34</v>
      </c>
      <c r="B865" t="s">
        <v>22</v>
      </c>
      <c r="C865">
        <v>2050</v>
      </c>
      <c r="D865" t="s">
        <v>164</v>
      </c>
      <c r="E865">
        <v>2.3170000000000002</v>
      </c>
      <c r="F865" t="s">
        <v>166</v>
      </c>
    </row>
    <row r="866" spans="1:6">
      <c r="A866" t="s">
        <v>34</v>
      </c>
      <c r="B866" t="s">
        <v>23</v>
      </c>
      <c r="C866">
        <v>2022</v>
      </c>
      <c r="D866" t="s">
        <v>6</v>
      </c>
      <c r="E866">
        <v>2000</v>
      </c>
      <c r="F866" t="s">
        <v>7</v>
      </c>
    </row>
    <row r="867" spans="1:6">
      <c r="A867" t="s">
        <v>34</v>
      </c>
      <c r="B867" t="s">
        <v>23</v>
      </c>
      <c r="C867">
        <v>2022</v>
      </c>
      <c r="D867" t="s">
        <v>8</v>
      </c>
      <c r="E867">
        <v>2000</v>
      </c>
      <c r="F867" t="s">
        <v>7</v>
      </c>
    </row>
    <row r="868" spans="1:6">
      <c r="A868" t="s">
        <v>34</v>
      </c>
      <c r="B868" t="s">
        <v>23</v>
      </c>
      <c r="C868">
        <v>2022</v>
      </c>
      <c r="D868" t="s">
        <v>9</v>
      </c>
      <c r="E868">
        <v>2000</v>
      </c>
      <c r="F868" t="s">
        <v>7</v>
      </c>
    </row>
    <row r="869" spans="1:6">
      <c r="A869" t="s">
        <v>34</v>
      </c>
      <c r="B869" t="s">
        <v>23</v>
      </c>
      <c r="C869">
        <v>2022</v>
      </c>
      <c r="D869" t="s">
        <v>10</v>
      </c>
      <c r="E869">
        <v>70</v>
      </c>
      <c r="F869" t="s">
        <v>11</v>
      </c>
    </row>
    <row r="870" spans="1:6">
      <c r="A870" t="s">
        <v>34</v>
      </c>
      <c r="B870" t="s">
        <v>23</v>
      </c>
      <c r="C870">
        <v>2022</v>
      </c>
      <c r="D870" t="s">
        <v>12</v>
      </c>
      <c r="E870">
        <v>0.43</v>
      </c>
      <c r="F870" t="s">
        <v>13</v>
      </c>
    </row>
    <row r="871" spans="1:6">
      <c r="A871" t="s">
        <v>34</v>
      </c>
      <c r="B871" t="s">
        <v>23</v>
      </c>
      <c r="C871">
        <v>2022</v>
      </c>
      <c r="D871" t="s">
        <v>164</v>
      </c>
      <c r="E871">
        <v>2.5830000000000002</v>
      </c>
      <c r="F871" t="s">
        <v>166</v>
      </c>
    </row>
    <row r="872" spans="1:6">
      <c r="A872" t="s">
        <v>34</v>
      </c>
      <c r="B872" t="s">
        <v>23</v>
      </c>
      <c r="C872">
        <v>2030</v>
      </c>
      <c r="D872" t="s">
        <v>6</v>
      </c>
      <c r="E872">
        <v>2000</v>
      </c>
      <c r="F872" t="s">
        <v>7</v>
      </c>
    </row>
    <row r="873" spans="1:6">
      <c r="A873" t="s">
        <v>34</v>
      </c>
      <c r="B873" t="s">
        <v>23</v>
      </c>
      <c r="C873">
        <v>2030</v>
      </c>
      <c r="D873" t="s">
        <v>8</v>
      </c>
      <c r="E873">
        <v>1958</v>
      </c>
      <c r="F873" t="s">
        <v>7</v>
      </c>
    </row>
    <row r="874" spans="1:6">
      <c r="A874" t="s">
        <v>34</v>
      </c>
      <c r="B874" t="s">
        <v>23</v>
      </c>
      <c r="C874">
        <v>2030</v>
      </c>
      <c r="D874" t="s">
        <v>9</v>
      </c>
      <c r="E874">
        <v>2042</v>
      </c>
      <c r="F874" t="s">
        <v>7</v>
      </c>
    </row>
    <row r="875" spans="1:6">
      <c r="A875" t="s">
        <v>34</v>
      </c>
      <c r="B875" t="s">
        <v>23</v>
      </c>
      <c r="C875">
        <v>2030</v>
      </c>
      <c r="D875" t="s">
        <v>10</v>
      </c>
      <c r="E875">
        <v>70</v>
      </c>
      <c r="F875" t="s">
        <v>11</v>
      </c>
    </row>
    <row r="876" spans="1:6">
      <c r="A876" t="s">
        <v>34</v>
      </c>
      <c r="B876" t="s">
        <v>23</v>
      </c>
      <c r="C876">
        <v>2030</v>
      </c>
      <c r="D876" t="s">
        <v>12</v>
      </c>
      <c r="E876">
        <v>0.43</v>
      </c>
      <c r="F876" t="s">
        <v>13</v>
      </c>
    </row>
    <row r="877" spans="1:6">
      <c r="A877" t="s">
        <v>34</v>
      </c>
      <c r="B877" t="s">
        <v>23</v>
      </c>
      <c r="C877">
        <v>2030</v>
      </c>
      <c r="D877" t="s">
        <v>164</v>
      </c>
      <c r="E877">
        <v>2.4969999999999999</v>
      </c>
      <c r="F877" t="s">
        <v>166</v>
      </c>
    </row>
    <row r="878" spans="1:6">
      <c r="A878" t="s">
        <v>34</v>
      </c>
      <c r="B878" t="s">
        <v>23</v>
      </c>
      <c r="C878">
        <v>2050</v>
      </c>
      <c r="D878" t="s">
        <v>6</v>
      </c>
      <c r="E878">
        <v>2000</v>
      </c>
      <c r="F878" t="s">
        <v>7</v>
      </c>
    </row>
    <row r="879" spans="1:6">
      <c r="A879" t="s">
        <v>34</v>
      </c>
      <c r="B879" t="s">
        <v>23</v>
      </c>
      <c r="C879">
        <v>2050</v>
      </c>
      <c r="D879" t="s">
        <v>8</v>
      </c>
      <c r="E879">
        <v>1949.8</v>
      </c>
      <c r="F879" t="s">
        <v>7</v>
      </c>
    </row>
    <row r="880" spans="1:6">
      <c r="A880" t="s">
        <v>34</v>
      </c>
      <c r="B880" t="s">
        <v>23</v>
      </c>
      <c r="C880">
        <v>2050</v>
      </c>
      <c r="D880" t="s">
        <v>9</v>
      </c>
      <c r="E880">
        <v>2050.1999999999998</v>
      </c>
      <c r="F880" t="s">
        <v>7</v>
      </c>
    </row>
    <row r="881" spans="1:6">
      <c r="A881" t="s">
        <v>34</v>
      </c>
      <c r="B881" t="s">
        <v>23</v>
      </c>
      <c r="C881">
        <v>2050</v>
      </c>
      <c r="D881" t="s">
        <v>10</v>
      </c>
      <c r="E881">
        <v>70</v>
      </c>
      <c r="F881" t="s">
        <v>11</v>
      </c>
    </row>
    <row r="882" spans="1:6">
      <c r="A882" t="s">
        <v>34</v>
      </c>
      <c r="B882" t="s">
        <v>23</v>
      </c>
      <c r="C882">
        <v>2050</v>
      </c>
      <c r="D882" t="s">
        <v>12</v>
      </c>
      <c r="E882">
        <v>0.43</v>
      </c>
      <c r="F882" t="s">
        <v>13</v>
      </c>
    </row>
    <row r="883" spans="1:6">
      <c r="A883" t="s">
        <v>34</v>
      </c>
      <c r="B883" t="s">
        <v>23</v>
      </c>
      <c r="C883">
        <v>2050</v>
      </c>
      <c r="D883" t="s">
        <v>164</v>
      </c>
      <c r="E883">
        <v>2.3170000000000002</v>
      </c>
      <c r="F883" t="s">
        <v>166</v>
      </c>
    </row>
    <row r="884" spans="1:6">
      <c r="A884" t="s">
        <v>34</v>
      </c>
      <c r="B884" t="s">
        <v>24</v>
      </c>
      <c r="C884">
        <v>2022</v>
      </c>
      <c r="D884" t="s">
        <v>6</v>
      </c>
      <c r="E884">
        <v>700</v>
      </c>
      <c r="F884" t="s">
        <v>7</v>
      </c>
    </row>
    <row r="885" spans="1:6">
      <c r="A885" t="s">
        <v>34</v>
      </c>
      <c r="B885" t="s">
        <v>24</v>
      </c>
      <c r="C885">
        <v>2022</v>
      </c>
      <c r="D885" t="s">
        <v>8</v>
      </c>
      <c r="E885">
        <v>700</v>
      </c>
      <c r="F885" t="s">
        <v>7</v>
      </c>
    </row>
    <row r="886" spans="1:6">
      <c r="A886" t="s">
        <v>34</v>
      </c>
      <c r="B886" t="s">
        <v>24</v>
      </c>
      <c r="C886">
        <v>2022</v>
      </c>
      <c r="D886" t="s">
        <v>9</v>
      </c>
      <c r="E886">
        <v>700</v>
      </c>
      <c r="F886" t="s">
        <v>7</v>
      </c>
    </row>
    <row r="887" spans="1:6">
      <c r="A887" t="s">
        <v>34</v>
      </c>
      <c r="B887" t="s">
        <v>24</v>
      </c>
      <c r="C887">
        <v>2022</v>
      </c>
      <c r="D887" t="s">
        <v>10</v>
      </c>
      <c r="E887">
        <v>30</v>
      </c>
      <c r="F887" t="s">
        <v>11</v>
      </c>
    </row>
    <row r="888" spans="1:6">
      <c r="A888" t="s">
        <v>34</v>
      </c>
      <c r="B888" t="s">
        <v>24</v>
      </c>
      <c r="C888">
        <v>2022</v>
      </c>
      <c r="D888" t="s">
        <v>12</v>
      </c>
      <c r="E888">
        <v>0.41</v>
      </c>
      <c r="F888" t="s">
        <v>13</v>
      </c>
    </row>
    <row r="889" spans="1:6">
      <c r="A889" t="s">
        <v>34</v>
      </c>
      <c r="B889" t="s">
        <v>24</v>
      </c>
      <c r="C889">
        <v>2022</v>
      </c>
      <c r="D889" t="s">
        <v>164</v>
      </c>
      <c r="E889">
        <v>2.5830000000000002</v>
      </c>
      <c r="F889" t="s">
        <v>166</v>
      </c>
    </row>
    <row r="890" spans="1:6">
      <c r="A890" t="s">
        <v>34</v>
      </c>
      <c r="B890" t="s">
        <v>24</v>
      </c>
      <c r="C890">
        <v>2030</v>
      </c>
      <c r="D890" t="s">
        <v>6</v>
      </c>
      <c r="E890">
        <v>700</v>
      </c>
      <c r="F890" t="s">
        <v>7</v>
      </c>
    </row>
    <row r="891" spans="1:6">
      <c r="A891" t="s">
        <v>34</v>
      </c>
      <c r="B891" t="s">
        <v>24</v>
      </c>
      <c r="C891">
        <v>2030</v>
      </c>
      <c r="D891" t="s">
        <v>8</v>
      </c>
      <c r="E891">
        <v>685.3</v>
      </c>
      <c r="F891" t="s">
        <v>7</v>
      </c>
    </row>
    <row r="892" spans="1:6">
      <c r="A892" t="s">
        <v>34</v>
      </c>
      <c r="B892" t="s">
        <v>24</v>
      </c>
      <c r="C892">
        <v>2030</v>
      </c>
      <c r="D892" t="s">
        <v>9</v>
      </c>
      <c r="E892">
        <v>714.7</v>
      </c>
      <c r="F892" t="s">
        <v>7</v>
      </c>
    </row>
    <row r="893" spans="1:6">
      <c r="A893" t="s">
        <v>34</v>
      </c>
      <c r="B893" t="s">
        <v>24</v>
      </c>
      <c r="C893">
        <v>2030</v>
      </c>
      <c r="D893" t="s">
        <v>10</v>
      </c>
      <c r="E893">
        <v>30</v>
      </c>
      <c r="F893" t="s">
        <v>11</v>
      </c>
    </row>
    <row r="894" spans="1:6">
      <c r="A894" t="s">
        <v>34</v>
      </c>
      <c r="B894" t="s">
        <v>24</v>
      </c>
      <c r="C894">
        <v>2030</v>
      </c>
      <c r="D894" t="s">
        <v>12</v>
      </c>
      <c r="E894">
        <v>0.41</v>
      </c>
      <c r="F894" t="s">
        <v>13</v>
      </c>
    </row>
    <row r="895" spans="1:6">
      <c r="A895" t="s">
        <v>34</v>
      </c>
      <c r="B895" t="s">
        <v>24</v>
      </c>
      <c r="C895">
        <v>2030</v>
      </c>
      <c r="D895" t="s">
        <v>164</v>
      </c>
      <c r="E895">
        <v>2.4969999999999999</v>
      </c>
      <c r="F895" t="s">
        <v>166</v>
      </c>
    </row>
    <row r="896" spans="1:6">
      <c r="A896" t="s">
        <v>34</v>
      </c>
      <c r="B896" t="s">
        <v>24</v>
      </c>
      <c r="C896">
        <v>2050</v>
      </c>
      <c r="D896" t="s">
        <v>6</v>
      </c>
      <c r="E896">
        <v>700</v>
      </c>
      <c r="F896" t="s">
        <v>7</v>
      </c>
    </row>
    <row r="897" spans="1:6">
      <c r="A897" t="s">
        <v>34</v>
      </c>
      <c r="B897" t="s">
        <v>24</v>
      </c>
      <c r="C897">
        <v>2050</v>
      </c>
      <c r="D897" t="s">
        <v>8</v>
      </c>
      <c r="E897">
        <v>682.4</v>
      </c>
      <c r="F897" t="s">
        <v>7</v>
      </c>
    </row>
    <row r="898" spans="1:6">
      <c r="A898" t="s">
        <v>34</v>
      </c>
      <c r="B898" t="s">
        <v>24</v>
      </c>
      <c r="C898">
        <v>2050</v>
      </c>
      <c r="D898" t="s">
        <v>9</v>
      </c>
      <c r="E898">
        <v>717.6</v>
      </c>
      <c r="F898" t="s">
        <v>7</v>
      </c>
    </row>
    <row r="899" spans="1:6">
      <c r="A899" t="s">
        <v>34</v>
      </c>
      <c r="B899" t="s">
        <v>24</v>
      </c>
      <c r="C899">
        <v>2050</v>
      </c>
      <c r="D899" t="s">
        <v>10</v>
      </c>
      <c r="E899">
        <v>30</v>
      </c>
      <c r="F899" t="s">
        <v>11</v>
      </c>
    </row>
    <row r="900" spans="1:6">
      <c r="A900" t="s">
        <v>34</v>
      </c>
      <c r="B900" t="s">
        <v>24</v>
      </c>
      <c r="C900">
        <v>2050</v>
      </c>
      <c r="D900" t="s">
        <v>12</v>
      </c>
      <c r="E900">
        <v>0.41</v>
      </c>
      <c r="F900" t="s">
        <v>13</v>
      </c>
    </row>
    <row r="901" spans="1:6">
      <c r="A901" t="s">
        <v>34</v>
      </c>
      <c r="B901" t="s">
        <v>24</v>
      </c>
      <c r="C901">
        <v>2050</v>
      </c>
      <c r="D901" t="s">
        <v>164</v>
      </c>
      <c r="E901">
        <v>2.3170000000000002</v>
      </c>
      <c r="F901" t="s">
        <v>166</v>
      </c>
    </row>
    <row r="902" spans="1:6">
      <c r="A902" t="s">
        <v>34</v>
      </c>
      <c r="B902" t="s">
        <v>25</v>
      </c>
      <c r="C902">
        <v>2022</v>
      </c>
      <c r="D902" t="s">
        <v>6</v>
      </c>
      <c r="E902">
        <v>1200</v>
      </c>
      <c r="F902" t="s">
        <v>7</v>
      </c>
    </row>
    <row r="903" spans="1:6">
      <c r="A903" t="s">
        <v>34</v>
      </c>
      <c r="B903" t="s">
        <v>25</v>
      </c>
      <c r="C903">
        <v>2022</v>
      </c>
      <c r="D903" t="s">
        <v>8</v>
      </c>
      <c r="E903">
        <v>1200</v>
      </c>
      <c r="F903" t="s">
        <v>7</v>
      </c>
    </row>
    <row r="904" spans="1:6">
      <c r="A904" t="s">
        <v>34</v>
      </c>
      <c r="B904" t="s">
        <v>25</v>
      </c>
      <c r="C904">
        <v>2022</v>
      </c>
      <c r="D904" t="s">
        <v>9</v>
      </c>
      <c r="E904">
        <v>1200</v>
      </c>
      <c r="F904" t="s">
        <v>7</v>
      </c>
    </row>
    <row r="905" spans="1:6">
      <c r="A905" t="s">
        <v>34</v>
      </c>
      <c r="B905" t="s">
        <v>25</v>
      </c>
      <c r="C905">
        <v>2022</v>
      </c>
      <c r="D905" t="s">
        <v>10</v>
      </c>
      <c r="E905">
        <v>50</v>
      </c>
      <c r="F905" t="s">
        <v>11</v>
      </c>
    </row>
    <row r="906" spans="1:6">
      <c r="A906" t="s">
        <v>34</v>
      </c>
      <c r="B906" t="s">
        <v>25</v>
      </c>
      <c r="C906">
        <v>2022</v>
      </c>
      <c r="D906" t="s">
        <v>12</v>
      </c>
      <c r="E906">
        <v>0.4</v>
      </c>
      <c r="F906" t="s">
        <v>13</v>
      </c>
    </row>
    <row r="907" spans="1:6">
      <c r="A907" t="s">
        <v>34</v>
      </c>
      <c r="B907" t="s">
        <v>25</v>
      </c>
      <c r="C907">
        <v>2022</v>
      </c>
      <c r="D907" t="s">
        <v>164</v>
      </c>
      <c r="E907">
        <v>2.5830000000000002</v>
      </c>
      <c r="F907" t="s">
        <v>166</v>
      </c>
    </row>
    <row r="908" spans="1:6">
      <c r="A908" t="s">
        <v>34</v>
      </c>
      <c r="B908" t="s">
        <v>25</v>
      </c>
      <c r="C908">
        <v>2030</v>
      </c>
      <c r="D908" t="s">
        <v>6</v>
      </c>
      <c r="E908">
        <v>1200</v>
      </c>
      <c r="F908" t="s">
        <v>7</v>
      </c>
    </row>
    <row r="909" spans="1:6">
      <c r="A909" t="s">
        <v>34</v>
      </c>
      <c r="B909" t="s">
        <v>25</v>
      </c>
      <c r="C909">
        <v>2030</v>
      </c>
      <c r="D909" t="s">
        <v>8</v>
      </c>
      <c r="E909">
        <v>1174.8</v>
      </c>
      <c r="F909" t="s">
        <v>7</v>
      </c>
    </row>
    <row r="910" spans="1:6">
      <c r="A910" t="s">
        <v>34</v>
      </c>
      <c r="B910" t="s">
        <v>25</v>
      </c>
      <c r="C910">
        <v>2030</v>
      </c>
      <c r="D910" t="s">
        <v>9</v>
      </c>
      <c r="E910">
        <v>1225.2</v>
      </c>
      <c r="F910" t="s">
        <v>7</v>
      </c>
    </row>
    <row r="911" spans="1:6">
      <c r="A911" t="s">
        <v>34</v>
      </c>
      <c r="B911" t="s">
        <v>25</v>
      </c>
      <c r="C911">
        <v>2030</v>
      </c>
      <c r="D911" t="s">
        <v>10</v>
      </c>
      <c r="E911">
        <v>50</v>
      </c>
      <c r="F911" t="s">
        <v>11</v>
      </c>
    </row>
    <row r="912" spans="1:6">
      <c r="A912" t="s">
        <v>34</v>
      </c>
      <c r="B912" t="s">
        <v>25</v>
      </c>
      <c r="C912">
        <v>2030</v>
      </c>
      <c r="D912" t="s">
        <v>12</v>
      </c>
      <c r="E912">
        <v>0.4</v>
      </c>
      <c r="F912" t="s">
        <v>13</v>
      </c>
    </row>
    <row r="913" spans="1:6">
      <c r="A913" t="s">
        <v>34</v>
      </c>
      <c r="B913" t="s">
        <v>25</v>
      </c>
      <c r="C913">
        <v>2030</v>
      </c>
      <c r="D913" t="s">
        <v>164</v>
      </c>
      <c r="E913">
        <v>2.4969999999999999</v>
      </c>
      <c r="F913" t="s">
        <v>166</v>
      </c>
    </row>
    <row r="914" spans="1:6">
      <c r="A914" t="s">
        <v>34</v>
      </c>
      <c r="B914" t="s">
        <v>25</v>
      </c>
      <c r="C914">
        <v>2050</v>
      </c>
      <c r="D914" t="s">
        <v>6</v>
      </c>
      <c r="E914">
        <v>1200</v>
      </c>
      <c r="F914" t="s">
        <v>7</v>
      </c>
    </row>
    <row r="915" spans="1:6">
      <c r="A915" t="s">
        <v>34</v>
      </c>
      <c r="B915" t="s">
        <v>25</v>
      </c>
      <c r="C915">
        <v>2050</v>
      </c>
      <c r="D915" t="s">
        <v>8</v>
      </c>
      <c r="E915">
        <v>1169.9000000000001</v>
      </c>
      <c r="F915" t="s">
        <v>7</v>
      </c>
    </row>
    <row r="916" spans="1:6">
      <c r="A916" t="s">
        <v>34</v>
      </c>
      <c r="B916" t="s">
        <v>25</v>
      </c>
      <c r="C916">
        <v>2050</v>
      </c>
      <c r="D916" t="s">
        <v>9</v>
      </c>
      <c r="E916">
        <v>1230.0999999999999</v>
      </c>
      <c r="F916" t="s">
        <v>7</v>
      </c>
    </row>
    <row r="917" spans="1:6">
      <c r="A917" t="s">
        <v>34</v>
      </c>
      <c r="B917" t="s">
        <v>25</v>
      </c>
      <c r="C917">
        <v>2050</v>
      </c>
      <c r="D917" t="s">
        <v>10</v>
      </c>
      <c r="E917">
        <v>50</v>
      </c>
      <c r="F917" t="s">
        <v>11</v>
      </c>
    </row>
    <row r="918" spans="1:6">
      <c r="A918" t="s">
        <v>34</v>
      </c>
      <c r="B918" t="s">
        <v>25</v>
      </c>
      <c r="C918">
        <v>2050</v>
      </c>
      <c r="D918" t="s">
        <v>12</v>
      </c>
      <c r="E918">
        <v>0.4</v>
      </c>
      <c r="F918" t="s">
        <v>13</v>
      </c>
    </row>
    <row r="919" spans="1:6">
      <c r="A919" t="s">
        <v>34</v>
      </c>
      <c r="B919" t="s">
        <v>25</v>
      </c>
      <c r="C919">
        <v>2050</v>
      </c>
      <c r="D919" t="s">
        <v>164</v>
      </c>
      <c r="E919">
        <v>2.3170000000000002</v>
      </c>
      <c r="F919" t="s">
        <v>166</v>
      </c>
    </row>
    <row r="920" spans="1:6">
      <c r="A920" t="s">
        <v>34</v>
      </c>
      <c r="B920" t="s">
        <v>26</v>
      </c>
      <c r="C920">
        <v>2022</v>
      </c>
      <c r="D920" t="s">
        <v>6</v>
      </c>
      <c r="E920">
        <v>1600</v>
      </c>
      <c r="F920" t="s">
        <v>7</v>
      </c>
    </row>
    <row r="921" spans="1:6">
      <c r="A921" t="s">
        <v>34</v>
      </c>
      <c r="B921" t="s">
        <v>26</v>
      </c>
      <c r="C921">
        <v>2022</v>
      </c>
      <c r="D921" t="s">
        <v>8</v>
      </c>
      <c r="E921">
        <v>1600</v>
      </c>
      <c r="F921" t="s">
        <v>7</v>
      </c>
    </row>
    <row r="922" spans="1:6">
      <c r="A922" t="s">
        <v>34</v>
      </c>
      <c r="B922" t="s">
        <v>26</v>
      </c>
      <c r="C922">
        <v>2022</v>
      </c>
      <c r="D922" t="s">
        <v>9</v>
      </c>
      <c r="E922">
        <v>1600</v>
      </c>
      <c r="F922" t="s">
        <v>7</v>
      </c>
    </row>
    <row r="923" spans="1:6">
      <c r="A923" t="s">
        <v>34</v>
      </c>
      <c r="B923" t="s">
        <v>26</v>
      </c>
      <c r="C923">
        <v>2022</v>
      </c>
      <c r="D923" t="s">
        <v>10</v>
      </c>
      <c r="E923">
        <v>65</v>
      </c>
      <c r="F923" t="s">
        <v>11</v>
      </c>
    </row>
    <row r="924" spans="1:6">
      <c r="A924" t="s">
        <v>34</v>
      </c>
      <c r="B924" t="s">
        <v>26</v>
      </c>
      <c r="C924">
        <v>2022</v>
      </c>
      <c r="D924" t="s">
        <v>12</v>
      </c>
      <c r="E924">
        <v>0.41</v>
      </c>
      <c r="F924" t="s">
        <v>13</v>
      </c>
    </row>
    <row r="925" spans="1:6">
      <c r="A925" t="s">
        <v>34</v>
      </c>
      <c r="B925" t="s">
        <v>26</v>
      </c>
      <c r="C925">
        <v>2022</v>
      </c>
      <c r="D925" t="s">
        <v>164</v>
      </c>
      <c r="E925">
        <v>2.5830000000000002</v>
      </c>
      <c r="F925" t="s">
        <v>166</v>
      </c>
    </row>
    <row r="926" spans="1:6">
      <c r="A926" t="s">
        <v>34</v>
      </c>
      <c r="B926" t="s">
        <v>26</v>
      </c>
      <c r="C926">
        <v>2030</v>
      </c>
      <c r="D926" t="s">
        <v>6</v>
      </c>
      <c r="E926">
        <v>1600</v>
      </c>
      <c r="F926" t="s">
        <v>7</v>
      </c>
    </row>
    <row r="927" spans="1:6">
      <c r="A927" t="s">
        <v>34</v>
      </c>
      <c r="B927" t="s">
        <v>26</v>
      </c>
      <c r="C927">
        <v>2030</v>
      </c>
      <c r="D927" t="s">
        <v>8</v>
      </c>
      <c r="E927">
        <v>1566.4</v>
      </c>
      <c r="F927" t="s">
        <v>7</v>
      </c>
    </row>
    <row r="928" spans="1:6">
      <c r="A928" t="s">
        <v>34</v>
      </c>
      <c r="B928" t="s">
        <v>26</v>
      </c>
      <c r="C928">
        <v>2030</v>
      </c>
      <c r="D928" t="s">
        <v>9</v>
      </c>
      <c r="E928">
        <v>1633.6</v>
      </c>
      <c r="F928" t="s">
        <v>7</v>
      </c>
    </row>
    <row r="929" spans="1:6">
      <c r="A929" t="s">
        <v>34</v>
      </c>
      <c r="B929" t="s">
        <v>26</v>
      </c>
      <c r="C929">
        <v>2030</v>
      </c>
      <c r="D929" t="s">
        <v>10</v>
      </c>
      <c r="E929">
        <v>65</v>
      </c>
      <c r="F929" t="s">
        <v>11</v>
      </c>
    </row>
    <row r="930" spans="1:6">
      <c r="A930" t="s">
        <v>34</v>
      </c>
      <c r="B930" t="s">
        <v>26</v>
      </c>
      <c r="C930">
        <v>2030</v>
      </c>
      <c r="D930" t="s">
        <v>12</v>
      </c>
      <c r="E930">
        <v>0.41</v>
      </c>
      <c r="F930" t="s">
        <v>13</v>
      </c>
    </row>
    <row r="931" spans="1:6">
      <c r="A931" t="s">
        <v>34</v>
      </c>
      <c r="B931" t="s">
        <v>26</v>
      </c>
      <c r="C931">
        <v>2030</v>
      </c>
      <c r="D931" t="s">
        <v>164</v>
      </c>
      <c r="E931">
        <v>2.4969999999999999</v>
      </c>
      <c r="F931" t="s">
        <v>166</v>
      </c>
    </row>
    <row r="932" spans="1:6">
      <c r="A932" t="s">
        <v>34</v>
      </c>
      <c r="B932" t="s">
        <v>26</v>
      </c>
      <c r="C932">
        <v>2050</v>
      </c>
      <c r="D932" t="s">
        <v>6</v>
      </c>
      <c r="E932">
        <v>1600</v>
      </c>
      <c r="F932" t="s">
        <v>7</v>
      </c>
    </row>
    <row r="933" spans="1:6">
      <c r="A933" t="s">
        <v>34</v>
      </c>
      <c r="B933" t="s">
        <v>26</v>
      </c>
      <c r="C933">
        <v>2050</v>
      </c>
      <c r="D933" t="s">
        <v>8</v>
      </c>
      <c r="E933">
        <v>1559.8</v>
      </c>
      <c r="F933" t="s">
        <v>7</v>
      </c>
    </row>
    <row r="934" spans="1:6">
      <c r="A934" t="s">
        <v>34</v>
      </c>
      <c r="B934" t="s">
        <v>26</v>
      </c>
      <c r="C934">
        <v>2050</v>
      </c>
      <c r="D934" t="s">
        <v>9</v>
      </c>
      <c r="E934">
        <v>1640.2</v>
      </c>
      <c r="F934" t="s">
        <v>7</v>
      </c>
    </row>
    <row r="935" spans="1:6">
      <c r="A935" t="s">
        <v>34</v>
      </c>
      <c r="B935" t="s">
        <v>26</v>
      </c>
      <c r="C935">
        <v>2050</v>
      </c>
      <c r="D935" t="s">
        <v>10</v>
      </c>
      <c r="E935">
        <v>65</v>
      </c>
      <c r="F935" t="s">
        <v>11</v>
      </c>
    </row>
    <row r="936" spans="1:6">
      <c r="A936" t="s">
        <v>34</v>
      </c>
      <c r="B936" t="s">
        <v>26</v>
      </c>
      <c r="C936">
        <v>2050</v>
      </c>
      <c r="D936" t="s">
        <v>12</v>
      </c>
      <c r="E936">
        <v>0.41</v>
      </c>
      <c r="F936" t="s">
        <v>13</v>
      </c>
    </row>
    <row r="937" spans="1:6">
      <c r="A937" t="s">
        <v>34</v>
      </c>
      <c r="B937" t="s">
        <v>26</v>
      </c>
      <c r="C937">
        <v>2050</v>
      </c>
      <c r="D937" t="s">
        <v>164</v>
      </c>
      <c r="E937">
        <v>2.3170000000000002</v>
      </c>
      <c r="F937" t="s">
        <v>166</v>
      </c>
    </row>
    <row r="938" spans="1:6">
      <c r="A938" t="s">
        <v>34</v>
      </c>
      <c r="B938" t="s">
        <v>27</v>
      </c>
      <c r="C938">
        <v>2022</v>
      </c>
      <c r="D938" t="s">
        <v>6</v>
      </c>
      <c r="E938">
        <v>1600</v>
      </c>
      <c r="F938" t="s">
        <v>7</v>
      </c>
    </row>
    <row r="939" spans="1:6">
      <c r="A939" t="s">
        <v>34</v>
      </c>
      <c r="B939" t="s">
        <v>27</v>
      </c>
      <c r="C939">
        <v>2022</v>
      </c>
      <c r="D939" t="s">
        <v>8</v>
      </c>
      <c r="E939">
        <v>1600</v>
      </c>
      <c r="F939" t="s">
        <v>7</v>
      </c>
    </row>
    <row r="940" spans="1:6">
      <c r="A940" t="s">
        <v>34</v>
      </c>
      <c r="B940" t="s">
        <v>27</v>
      </c>
      <c r="C940">
        <v>2022</v>
      </c>
      <c r="D940" t="s">
        <v>9</v>
      </c>
      <c r="E940">
        <v>1600</v>
      </c>
      <c r="F940" t="s">
        <v>7</v>
      </c>
    </row>
    <row r="941" spans="1:6">
      <c r="A941" t="s">
        <v>34</v>
      </c>
      <c r="B941" t="s">
        <v>27</v>
      </c>
      <c r="C941">
        <v>2022</v>
      </c>
      <c r="D941" t="s">
        <v>10</v>
      </c>
      <c r="E941">
        <v>55</v>
      </c>
      <c r="F941" t="s">
        <v>11</v>
      </c>
    </row>
    <row r="942" spans="1:6">
      <c r="A942" t="s">
        <v>34</v>
      </c>
      <c r="B942" t="s">
        <v>27</v>
      </c>
      <c r="C942">
        <v>2022</v>
      </c>
      <c r="D942" t="s">
        <v>12</v>
      </c>
      <c r="E942">
        <v>0.39</v>
      </c>
      <c r="F942" t="s">
        <v>13</v>
      </c>
    </row>
    <row r="943" spans="1:6">
      <c r="A943" t="s">
        <v>34</v>
      </c>
      <c r="B943" t="s">
        <v>27</v>
      </c>
      <c r="C943">
        <v>2022</v>
      </c>
      <c r="D943" t="s">
        <v>164</v>
      </c>
      <c r="E943">
        <v>2.5830000000000002</v>
      </c>
      <c r="F943" t="s">
        <v>166</v>
      </c>
    </row>
    <row r="944" spans="1:6">
      <c r="A944" t="s">
        <v>34</v>
      </c>
      <c r="B944" t="s">
        <v>27</v>
      </c>
      <c r="C944">
        <v>2030</v>
      </c>
      <c r="D944" t="s">
        <v>6</v>
      </c>
      <c r="E944">
        <v>1600</v>
      </c>
      <c r="F944" t="s">
        <v>7</v>
      </c>
    </row>
    <row r="945" spans="1:6">
      <c r="A945" t="s">
        <v>34</v>
      </c>
      <c r="B945" t="s">
        <v>27</v>
      </c>
      <c r="C945">
        <v>2030</v>
      </c>
      <c r="D945" t="s">
        <v>8</v>
      </c>
      <c r="E945">
        <v>1566.4</v>
      </c>
      <c r="F945" t="s">
        <v>7</v>
      </c>
    </row>
    <row r="946" spans="1:6">
      <c r="A946" t="s">
        <v>34</v>
      </c>
      <c r="B946" t="s">
        <v>27</v>
      </c>
      <c r="C946">
        <v>2030</v>
      </c>
      <c r="D946" t="s">
        <v>9</v>
      </c>
      <c r="E946">
        <v>1633.6</v>
      </c>
      <c r="F946" t="s">
        <v>7</v>
      </c>
    </row>
    <row r="947" spans="1:6">
      <c r="A947" t="s">
        <v>34</v>
      </c>
      <c r="B947" t="s">
        <v>27</v>
      </c>
      <c r="C947">
        <v>2030</v>
      </c>
      <c r="D947" t="s">
        <v>10</v>
      </c>
      <c r="E947">
        <v>55</v>
      </c>
      <c r="F947" t="s">
        <v>11</v>
      </c>
    </row>
    <row r="948" spans="1:6">
      <c r="A948" t="s">
        <v>34</v>
      </c>
      <c r="B948" t="s">
        <v>27</v>
      </c>
      <c r="C948">
        <v>2030</v>
      </c>
      <c r="D948" t="s">
        <v>12</v>
      </c>
      <c r="E948">
        <v>0.39</v>
      </c>
      <c r="F948" t="s">
        <v>13</v>
      </c>
    </row>
    <row r="949" spans="1:6">
      <c r="A949" t="s">
        <v>34</v>
      </c>
      <c r="B949" t="s">
        <v>27</v>
      </c>
      <c r="C949">
        <v>2030</v>
      </c>
      <c r="D949" t="s">
        <v>164</v>
      </c>
      <c r="E949">
        <v>2.4969999999999999</v>
      </c>
      <c r="F949" t="s">
        <v>166</v>
      </c>
    </row>
    <row r="950" spans="1:6">
      <c r="A950" t="s">
        <v>34</v>
      </c>
      <c r="B950" t="s">
        <v>27</v>
      </c>
      <c r="C950">
        <v>2050</v>
      </c>
      <c r="D950" t="s">
        <v>6</v>
      </c>
      <c r="E950">
        <v>1600</v>
      </c>
      <c r="F950" t="s">
        <v>7</v>
      </c>
    </row>
    <row r="951" spans="1:6">
      <c r="A951" t="s">
        <v>34</v>
      </c>
      <c r="B951" t="s">
        <v>27</v>
      </c>
      <c r="C951">
        <v>2050</v>
      </c>
      <c r="D951" t="s">
        <v>8</v>
      </c>
      <c r="E951">
        <v>1559.8</v>
      </c>
      <c r="F951" t="s">
        <v>7</v>
      </c>
    </row>
    <row r="952" spans="1:6">
      <c r="A952" t="s">
        <v>34</v>
      </c>
      <c r="B952" t="s">
        <v>27</v>
      </c>
      <c r="C952">
        <v>2050</v>
      </c>
      <c r="D952" t="s">
        <v>9</v>
      </c>
      <c r="E952">
        <v>1640.2</v>
      </c>
      <c r="F952" t="s">
        <v>7</v>
      </c>
    </row>
    <row r="953" spans="1:6">
      <c r="A953" t="s">
        <v>34</v>
      </c>
      <c r="B953" t="s">
        <v>27</v>
      </c>
      <c r="C953">
        <v>2050</v>
      </c>
      <c r="D953" t="s">
        <v>10</v>
      </c>
      <c r="E953">
        <v>55</v>
      </c>
      <c r="F953" t="s">
        <v>11</v>
      </c>
    </row>
    <row r="954" spans="1:6">
      <c r="A954" t="s">
        <v>34</v>
      </c>
      <c r="B954" t="s">
        <v>27</v>
      </c>
      <c r="C954">
        <v>2050</v>
      </c>
      <c r="D954" t="s">
        <v>12</v>
      </c>
      <c r="E954">
        <v>0.39</v>
      </c>
      <c r="F954" t="s">
        <v>13</v>
      </c>
    </row>
    <row r="955" spans="1:6">
      <c r="A955" t="s">
        <v>34</v>
      </c>
      <c r="B955" t="s">
        <v>27</v>
      </c>
      <c r="C955">
        <v>2050</v>
      </c>
      <c r="D955" t="s">
        <v>164</v>
      </c>
      <c r="E955">
        <v>2.3170000000000002</v>
      </c>
      <c r="F955" t="s">
        <v>166</v>
      </c>
    </row>
    <row r="956" spans="1:6">
      <c r="A956" t="s">
        <v>34</v>
      </c>
      <c r="B956" t="s">
        <v>28</v>
      </c>
      <c r="C956">
        <v>2022</v>
      </c>
      <c r="D956" t="s">
        <v>6</v>
      </c>
      <c r="E956">
        <v>1600</v>
      </c>
      <c r="F956" t="s">
        <v>7</v>
      </c>
    </row>
    <row r="957" spans="1:6">
      <c r="A957" t="s">
        <v>34</v>
      </c>
      <c r="B957" t="s">
        <v>28</v>
      </c>
      <c r="C957">
        <v>2022</v>
      </c>
      <c r="D957" t="s">
        <v>8</v>
      </c>
      <c r="E957">
        <v>1600</v>
      </c>
      <c r="F957" t="s">
        <v>7</v>
      </c>
    </row>
    <row r="958" spans="1:6">
      <c r="A958" t="s">
        <v>34</v>
      </c>
      <c r="B958" t="s">
        <v>28</v>
      </c>
      <c r="C958">
        <v>2022</v>
      </c>
      <c r="D958" t="s">
        <v>9</v>
      </c>
      <c r="E958">
        <v>1600</v>
      </c>
      <c r="F958" t="s">
        <v>7</v>
      </c>
    </row>
    <row r="959" spans="1:6">
      <c r="A959" t="s">
        <v>34</v>
      </c>
      <c r="B959" t="s">
        <v>28</v>
      </c>
      <c r="C959">
        <v>2022</v>
      </c>
      <c r="D959" t="s">
        <v>10</v>
      </c>
      <c r="E959">
        <v>65</v>
      </c>
      <c r="F959" t="s">
        <v>11</v>
      </c>
    </row>
    <row r="960" spans="1:6">
      <c r="A960" t="s">
        <v>34</v>
      </c>
      <c r="B960" t="s">
        <v>28</v>
      </c>
      <c r="C960">
        <v>2022</v>
      </c>
      <c r="D960" t="s">
        <v>12</v>
      </c>
      <c r="E960">
        <v>0.43</v>
      </c>
      <c r="F960" t="s">
        <v>13</v>
      </c>
    </row>
    <row r="961" spans="1:6">
      <c r="A961" t="s">
        <v>34</v>
      </c>
      <c r="B961" t="s">
        <v>28</v>
      </c>
      <c r="C961">
        <v>2022</v>
      </c>
      <c r="D961" t="s">
        <v>164</v>
      </c>
      <c r="E961">
        <v>2.5830000000000002</v>
      </c>
      <c r="F961" t="s">
        <v>166</v>
      </c>
    </row>
    <row r="962" spans="1:6">
      <c r="A962" t="s">
        <v>34</v>
      </c>
      <c r="B962" t="s">
        <v>28</v>
      </c>
      <c r="C962">
        <v>2030</v>
      </c>
      <c r="D962" t="s">
        <v>6</v>
      </c>
      <c r="E962">
        <v>1600</v>
      </c>
      <c r="F962" t="s">
        <v>7</v>
      </c>
    </row>
    <row r="963" spans="1:6">
      <c r="A963" t="s">
        <v>34</v>
      </c>
      <c r="B963" t="s">
        <v>28</v>
      </c>
      <c r="C963">
        <v>2030</v>
      </c>
      <c r="D963" t="s">
        <v>8</v>
      </c>
      <c r="E963">
        <v>1566.4</v>
      </c>
      <c r="F963" t="s">
        <v>7</v>
      </c>
    </row>
    <row r="964" spans="1:6">
      <c r="A964" t="s">
        <v>34</v>
      </c>
      <c r="B964" t="s">
        <v>28</v>
      </c>
      <c r="C964">
        <v>2030</v>
      </c>
      <c r="D964" t="s">
        <v>9</v>
      </c>
      <c r="E964">
        <v>1633.6</v>
      </c>
      <c r="F964" t="s">
        <v>7</v>
      </c>
    </row>
    <row r="965" spans="1:6">
      <c r="A965" t="s">
        <v>34</v>
      </c>
      <c r="B965" t="s">
        <v>28</v>
      </c>
      <c r="C965">
        <v>2030</v>
      </c>
      <c r="D965" t="s">
        <v>10</v>
      </c>
      <c r="E965">
        <v>65</v>
      </c>
      <c r="F965" t="s">
        <v>11</v>
      </c>
    </row>
    <row r="966" spans="1:6">
      <c r="A966" t="s">
        <v>34</v>
      </c>
      <c r="B966" t="s">
        <v>28</v>
      </c>
      <c r="C966">
        <v>2030</v>
      </c>
      <c r="D966" t="s">
        <v>12</v>
      </c>
      <c r="E966">
        <v>0.43</v>
      </c>
      <c r="F966" t="s">
        <v>13</v>
      </c>
    </row>
    <row r="967" spans="1:6">
      <c r="A967" t="s">
        <v>34</v>
      </c>
      <c r="B967" t="s">
        <v>28</v>
      </c>
      <c r="C967">
        <v>2030</v>
      </c>
      <c r="D967" t="s">
        <v>164</v>
      </c>
      <c r="E967">
        <v>2.4969999999999999</v>
      </c>
      <c r="F967" t="s">
        <v>166</v>
      </c>
    </row>
    <row r="968" spans="1:6">
      <c r="A968" t="s">
        <v>34</v>
      </c>
      <c r="B968" t="s">
        <v>28</v>
      </c>
      <c r="C968">
        <v>2050</v>
      </c>
      <c r="D968" t="s">
        <v>6</v>
      </c>
      <c r="E968">
        <v>1600</v>
      </c>
      <c r="F968" t="s">
        <v>7</v>
      </c>
    </row>
    <row r="969" spans="1:6">
      <c r="A969" t="s">
        <v>34</v>
      </c>
      <c r="B969" t="s">
        <v>28</v>
      </c>
      <c r="C969">
        <v>2050</v>
      </c>
      <c r="D969" t="s">
        <v>8</v>
      </c>
      <c r="E969">
        <v>1559.8</v>
      </c>
      <c r="F969" t="s">
        <v>7</v>
      </c>
    </row>
    <row r="970" spans="1:6">
      <c r="A970" t="s">
        <v>34</v>
      </c>
      <c r="B970" t="s">
        <v>28</v>
      </c>
      <c r="C970">
        <v>2050</v>
      </c>
      <c r="D970" t="s">
        <v>9</v>
      </c>
      <c r="E970">
        <v>1640.2</v>
      </c>
      <c r="F970" t="s">
        <v>7</v>
      </c>
    </row>
    <row r="971" spans="1:6">
      <c r="A971" t="s">
        <v>34</v>
      </c>
      <c r="B971" t="s">
        <v>28</v>
      </c>
      <c r="C971">
        <v>2050</v>
      </c>
      <c r="D971" t="s">
        <v>10</v>
      </c>
      <c r="E971">
        <v>65</v>
      </c>
      <c r="F971" t="s">
        <v>11</v>
      </c>
    </row>
    <row r="972" spans="1:6">
      <c r="A972" t="s">
        <v>34</v>
      </c>
      <c r="B972" t="s">
        <v>28</v>
      </c>
      <c r="C972">
        <v>2050</v>
      </c>
      <c r="D972" t="s">
        <v>12</v>
      </c>
      <c r="E972">
        <v>0.43</v>
      </c>
      <c r="F972" t="s">
        <v>13</v>
      </c>
    </row>
    <row r="973" spans="1:6">
      <c r="A973" t="s">
        <v>34</v>
      </c>
      <c r="B973" t="s">
        <v>28</v>
      </c>
      <c r="C973">
        <v>2050</v>
      </c>
      <c r="D973" t="s">
        <v>164</v>
      </c>
      <c r="E973">
        <v>2.3170000000000002</v>
      </c>
      <c r="F973" t="s">
        <v>166</v>
      </c>
    </row>
    <row r="974" spans="1:6">
      <c r="A974" t="s">
        <v>35</v>
      </c>
      <c r="B974" t="s">
        <v>20</v>
      </c>
      <c r="C974">
        <v>2022</v>
      </c>
      <c r="D974" t="s">
        <v>6</v>
      </c>
      <c r="E974">
        <v>2200</v>
      </c>
      <c r="F974" t="s">
        <v>7</v>
      </c>
    </row>
    <row r="975" spans="1:6">
      <c r="A975" t="s">
        <v>35</v>
      </c>
      <c r="B975" t="s">
        <v>20</v>
      </c>
      <c r="C975">
        <v>2022</v>
      </c>
      <c r="D975" t="s">
        <v>8</v>
      </c>
      <c r="E975">
        <v>2200</v>
      </c>
      <c r="F975" t="s">
        <v>7</v>
      </c>
    </row>
    <row r="976" spans="1:6">
      <c r="A976" t="s">
        <v>35</v>
      </c>
      <c r="B976" t="s">
        <v>20</v>
      </c>
      <c r="C976">
        <v>2022</v>
      </c>
      <c r="D976" t="s">
        <v>9</v>
      </c>
      <c r="E976">
        <v>2200</v>
      </c>
      <c r="F976" t="s">
        <v>7</v>
      </c>
    </row>
    <row r="977" spans="1:6">
      <c r="A977" t="s">
        <v>35</v>
      </c>
      <c r="B977" t="s">
        <v>20</v>
      </c>
      <c r="C977">
        <v>2022</v>
      </c>
      <c r="D977" t="s">
        <v>10</v>
      </c>
      <c r="E977">
        <v>65</v>
      </c>
      <c r="F977" t="s">
        <v>11</v>
      </c>
    </row>
    <row r="978" spans="1:6">
      <c r="A978" t="s">
        <v>35</v>
      </c>
      <c r="B978" t="s">
        <v>20</v>
      </c>
      <c r="C978">
        <v>2022</v>
      </c>
      <c r="D978" t="s">
        <v>12</v>
      </c>
      <c r="E978">
        <v>0.45</v>
      </c>
      <c r="F978" t="s">
        <v>13</v>
      </c>
    </row>
    <row r="979" spans="1:6">
      <c r="A979" t="s">
        <v>35</v>
      </c>
      <c r="B979" t="s">
        <v>20</v>
      </c>
      <c r="C979">
        <v>2022</v>
      </c>
      <c r="D979" t="s">
        <v>164</v>
      </c>
      <c r="E979">
        <v>2.6389999999999998</v>
      </c>
      <c r="F979" t="s">
        <v>166</v>
      </c>
    </row>
    <row r="980" spans="1:6">
      <c r="A980" t="s">
        <v>35</v>
      </c>
      <c r="B980" t="s">
        <v>20</v>
      </c>
      <c r="C980">
        <v>2030</v>
      </c>
      <c r="D980" t="s">
        <v>6</v>
      </c>
      <c r="E980">
        <v>2200</v>
      </c>
      <c r="F980" t="s">
        <v>7</v>
      </c>
    </row>
    <row r="981" spans="1:6">
      <c r="A981" t="s">
        <v>35</v>
      </c>
      <c r="B981" t="s">
        <v>20</v>
      </c>
      <c r="C981">
        <v>2030</v>
      </c>
      <c r="D981" t="s">
        <v>8</v>
      </c>
      <c r="E981">
        <v>2200</v>
      </c>
      <c r="F981" t="s">
        <v>7</v>
      </c>
    </row>
    <row r="982" spans="1:6">
      <c r="A982" t="s">
        <v>35</v>
      </c>
      <c r="B982" t="s">
        <v>20</v>
      </c>
      <c r="C982">
        <v>2030</v>
      </c>
      <c r="D982" t="s">
        <v>9</v>
      </c>
      <c r="E982">
        <v>2200</v>
      </c>
      <c r="F982" t="s">
        <v>7</v>
      </c>
    </row>
    <row r="983" spans="1:6">
      <c r="A983" t="s">
        <v>35</v>
      </c>
      <c r="B983" t="s">
        <v>20</v>
      </c>
      <c r="C983">
        <v>2030</v>
      </c>
      <c r="D983" t="s">
        <v>10</v>
      </c>
      <c r="E983">
        <v>65</v>
      </c>
      <c r="F983" t="s">
        <v>11</v>
      </c>
    </row>
    <row r="984" spans="1:6">
      <c r="A984" t="s">
        <v>35</v>
      </c>
      <c r="B984" t="s">
        <v>20</v>
      </c>
      <c r="C984">
        <v>2030</v>
      </c>
      <c r="D984" t="s">
        <v>12</v>
      </c>
      <c r="E984">
        <v>0.47</v>
      </c>
      <c r="F984" t="s">
        <v>13</v>
      </c>
    </row>
    <row r="985" spans="1:6">
      <c r="A985" t="s">
        <v>35</v>
      </c>
      <c r="B985" t="s">
        <v>20</v>
      </c>
      <c r="C985">
        <v>2030</v>
      </c>
      <c r="D985" t="s">
        <v>164</v>
      </c>
      <c r="E985">
        <v>2.6389999999999998</v>
      </c>
      <c r="F985" t="s">
        <v>166</v>
      </c>
    </row>
    <row r="986" spans="1:6">
      <c r="A986" t="s">
        <v>35</v>
      </c>
      <c r="B986" t="s">
        <v>20</v>
      </c>
      <c r="C986">
        <v>2050</v>
      </c>
      <c r="D986" t="s">
        <v>6</v>
      </c>
      <c r="E986">
        <v>2200</v>
      </c>
      <c r="F986" t="s">
        <v>7</v>
      </c>
    </row>
    <row r="987" spans="1:6">
      <c r="A987" t="s">
        <v>35</v>
      </c>
      <c r="B987" t="s">
        <v>20</v>
      </c>
      <c r="C987">
        <v>2050</v>
      </c>
      <c r="D987" t="s">
        <v>8</v>
      </c>
      <c r="E987">
        <v>2200</v>
      </c>
      <c r="F987" t="s">
        <v>7</v>
      </c>
    </row>
    <row r="988" spans="1:6">
      <c r="A988" t="s">
        <v>35</v>
      </c>
      <c r="B988" t="s">
        <v>20</v>
      </c>
      <c r="C988">
        <v>2050</v>
      </c>
      <c r="D988" t="s">
        <v>9</v>
      </c>
      <c r="E988">
        <v>2200</v>
      </c>
      <c r="F988" t="s">
        <v>7</v>
      </c>
    </row>
    <row r="989" spans="1:6">
      <c r="A989" t="s">
        <v>35</v>
      </c>
      <c r="B989" t="s">
        <v>20</v>
      </c>
      <c r="C989">
        <v>2050</v>
      </c>
      <c r="D989" t="s">
        <v>10</v>
      </c>
      <c r="E989">
        <v>65</v>
      </c>
      <c r="F989" t="s">
        <v>11</v>
      </c>
    </row>
    <row r="990" spans="1:6">
      <c r="A990" t="s">
        <v>35</v>
      </c>
      <c r="B990" t="s">
        <v>20</v>
      </c>
      <c r="C990">
        <v>2050</v>
      </c>
      <c r="D990" t="s">
        <v>12</v>
      </c>
      <c r="E990">
        <v>0.47</v>
      </c>
      <c r="F990" t="s">
        <v>13</v>
      </c>
    </row>
    <row r="991" spans="1:6">
      <c r="A991" t="s">
        <v>35</v>
      </c>
      <c r="B991" t="s">
        <v>20</v>
      </c>
      <c r="C991">
        <v>2050</v>
      </c>
      <c r="D991" t="s">
        <v>164</v>
      </c>
      <c r="E991">
        <v>2.6389999999999998</v>
      </c>
      <c r="F991" t="s">
        <v>166</v>
      </c>
    </row>
    <row r="992" spans="1:6">
      <c r="A992" t="s">
        <v>35</v>
      </c>
      <c r="B992" t="s">
        <v>21</v>
      </c>
      <c r="C992">
        <v>2022</v>
      </c>
      <c r="D992" t="s">
        <v>6</v>
      </c>
      <c r="E992">
        <v>2300</v>
      </c>
      <c r="F992" t="s">
        <v>7</v>
      </c>
    </row>
    <row r="993" spans="1:6">
      <c r="A993" t="s">
        <v>35</v>
      </c>
      <c r="B993" t="s">
        <v>21</v>
      </c>
      <c r="C993">
        <v>2022</v>
      </c>
      <c r="D993" t="s">
        <v>8</v>
      </c>
      <c r="E993">
        <v>2300</v>
      </c>
      <c r="F993" t="s">
        <v>7</v>
      </c>
    </row>
    <row r="994" spans="1:6">
      <c r="A994" t="s">
        <v>35</v>
      </c>
      <c r="B994" t="s">
        <v>21</v>
      </c>
      <c r="C994">
        <v>2022</v>
      </c>
      <c r="D994" t="s">
        <v>9</v>
      </c>
      <c r="E994">
        <v>2300</v>
      </c>
      <c r="F994" t="s">
        <v>7</v>
      </c>
    </row>
    <row r="995" spans="1:6">
      <c r="A995" t="s">
        <v>35</v>
      </c>
      <c r="B995" t="s">
        <v>21</v>
      </c>
      <c r="C995">
        <v>2022</v>
      </c>
      <c r="D995" t="s">
        <v>10</v>
      </c>
      <c r="E995">
        <v>70</v>
      </c>
      <c r="F995" t="s">
        <v>11</v>
      </c>
    </row>
    <row r="996" spans="1:6">
      <c r="A996" t="s">
        <v>35</v>
      </c>
      <c r="B996" t="s">
        <v>21</v>
      </c>
      <c r="C996">
        <v>2022</v>
      </c>
      <c r="D996" t="s">
        <v>12</v>
      </c>
      <c r="E996">
        <v>0.45</v>
      </c>
      <c r="F996" t="s">
        <v>13</v>
      </c>
    </row>
    <row r="997" spans="1:6">
      <c r="A997" t="s">
        <v>35</v>
      </c>
      <c r="B997" t="s">
        <v>21</v>
      </c>
      <c r="C997">
        <v>2022</v>
      </c>
      <c r="D997" t="s">
        <v>164</v>
      </c>
      <c r="E997">
        <v>2.6389999999999998</v>
      </c>
      <c r="F997" t="s">
        <v>166</v>
      </c>
    </row>
    <row r="998" spans="1:6">
      <c r="A998" t="s">
        <v>35</v>
      </c>
      <c r="B998" t="s">
        <v>21</v>
      </c>
      <c r="C998">
        <v>2030</v>
      </c>
      <c r="D998" t="s">
        <v>6</v>
      </c>
      <c r="E998">
        <v>2300</v>
      </c>
      <c r="F998" t="s">
        <v>7</v>
      </c>
    </row>
    <row r="999" spans="1:6">
      <c r="A999" t="s">
        <v>35</v>
      </c>
      <c r="B999" t="s">
        <v>21</v>
      </c>
      <c r="C999">
        <v>2030</v>
      </c>
      <c r="D999" t="s">
        <v>8</v>
      </c>
      <c r="E999">
        <v>2300</v>
      </c>
      <c r="F999" t="s">
        <v>7</v>
      </c>
    </row>
    <row r="1000" spans="1:6">
      <c r="A1000" t="s">
        <v>35</v>
      </c>
      <c r="B1000" t="s">
        <v>21</v>
      </c>
      <c r="C1000">
        <v>2030</v>
      </c>
      <c r="D1000" t="s">
        <v>9</v>
      </c>
      <c r="E1000">
        <v>2300</v>
      </c>
      <c r="F1000" t="s">
        <v>7</v>
      </c>
    </row>
    <row r="1001" spans="1:6">
      <c r="A1001" t="s">
        <v>35</v>
      </c>
      <c r="B1001" t="s">
        <v>21</v>
      </c>
      <c r="C1001">
        <v>2030</v>
      </c>
      <c r="D1001" t="s">
        <v>10</v>
      </c>
      <c r="E1001">
        <v>70</v>
      </c>
      <c r="F1001" t="s">
        <v>11</v>
      </c>
    </row>
    <row r="1002" spans="1:6">
      <c r="A1002" t="s">
        <v>35</v>
      </c>
      <c r="B1002" t="s">
        <v>21</v>
      </c>
      <c r="C1002">
        <v>2030</v>
      </c>
      <c r="D1002" t="s">
        <v>12</v>
      </c>
      <c r="E1002">
        <v>0.47</v>
      </c>
      <c r="F1002" t="s">
        <v>13</v>
      </c>
    </row>
    <row r="1003" spans="1:6">
      <c r="A1003" t="s">
        <v>35</v>
      </c>
      <c r="B1003" t="s">
        <v>21</v>
      </c>
      <c r="C1003">
        <v>2030</v>
      </c>
      <c r="D1003" t="s">
        <v>164</v>
      </c>
      <c r="E1003">
        <v>2.6389999999999998</v>
      </c>
      <c r="F1003" t="s">
        <v>166</v>
      </c>
    </row>
    <row r="1004" spans="1:6">
      <c r="A1004" t="s">
        <v>35</v>
      </c>
      <c r="B1004" t="s">
        <v>21</v>
      </c>
      <c r="C1004">
        <v>2050</v>
      </c>
      <c r="D1004" t="s">
        <v>6</v>
      </c>
      <c r="E1004">
        <v>2300</v>
      </c>
      <c r="F1004" t="s">
        <v>7</v>
      </c>
    </row>
    <row r="1005" spans="1:6">
      <c r="A1005" t="s">
        <v>35</v>
      </c>
      <c r="B1005" t="s">
        <v>21</v>
      </c>
      <c r="C1005">
        <v>2050</v>
      </c>
      <c r="D1005" t="s">
        <v>8</v>
      </c>
      <c r="E1005">
        <v>2300</v>
      </c>
      <c r="F1005" t="s">
        <v>7</v>
      </c>
    </row>
    <row r="1006" spans="1:6">
      <c r="A1006" t="s">
        <v>35</v>
      </c>
      <c r="B1006" t="s">
        <v>21</v>
      </c>
      <c r="C1006">
        <v>2050</v>
      </c>
      <c r="D1006" t="s">
        <v>9</v>
      </c>
      <c r="E1006">
        <v>2300</v>
      </c>
      <c r="F1006" t="s">
        <v>7</v>
      </c>
    </row>
    <row r="1007" spans="1:6">
      <c r="A1007" t="s">
        <v>35</v>
      </c>
      <c r="B1007" t="s">
        <v>21</v>
      </c>
      <c r="C1007">
        <v>2050</v>
      </c>
      <c r="D1007" t="s">
        <v>10</v>
      </c>
      <c r="E1007">
        <v>70</v>
      </c>
      <c r="F1007" t="s">
        <v>11</v>
      </c>
    </row>
    <row r="1008" spans="1:6">
      <c r="A1008" t="s">
        <v>35</v>
      </c>
      <c r="B1008" t="s">
        <v>21</v>
      </c>
      <c r="C1008">
        <v>2050</v>
      </c>
      <c r="D1008" t="s">
        <v>12</v>
      </c>
      <c r="E1008">
        <v>0.47</v>
      </c>
      <c r="F1008" t="s">
        <v>13</v>
      </c>
    </row>
    <row r="1009" spans="1:6">
      <c r="A1009" t="s">
        <v>35</v>
      </c>
      <c r="B1009" t="s">
        <v>21</v>
      </c>
      <c r="C1009">
        <v>2050</v>
      </c>
      <c r="D1009" t="s">
        <v>164</v>
      </c>
      <c r="E1009">
        <v>2.6389999999999998</v>
      </c>
      <c r="F1009" t="s">
        <v>166</v>
      </c>
    </row>
    <row r="1010" spans="1:6">
      <c r="A1010" t="s">
        <v>35</v>
      </c>
      <c r="B1010" t="s">
        <v>22</v>
      </c>
      <c r="C1010">
        <v>2022</v>
      </c>
      <c r="D1010" t="s">
        <v>6</v>
      </c>
      <c r="E1010">
        <v>2600</v>
      </c>
      <c r="F1010" t="s">
        <v>7</v>
      </c>
    </row>
    <row r="1011" spans="1:6">
      <c r="A1011" t="s">
        <v>35</v>
      </c>
      <c r="B1011" t="s">
        <v>22</v>
      </c>
      <c r="C1011">
        <v>2022</v>
      </c>
      <c r="D1011" t="s">
        <v>8</v>
      </c>
      <c r="E1011">
        <v>2600</v>
      </c>
      <c r="F1011" t="s">
        <v>7</v>
      </c>
    </row>
    <row r="1012" spans="1:6">
      <c r="A1012" t="s">
        <v>35</v>
      </c>
      <c r="B1012" t="s">
        <v>22</v>
      </c>
      <c r="C1012">
        <v>2022</v>
      </c>
      <c r="D1012" t="s">
        <v>9</v>
      </c>
      <c r="E1012">
        <v>2600</v>
      </c>
      <c r="F1012" t="s">
        <v>7</v>
      </c>
    </row>
    <row r="1013" spans="1:6">
      <c r="A1013" t="s">
        <v>35</v>
      </c>
      <c r="B1013" t="s">
        <v>22</v>
      </c>
      <c r="C1013">
        <v>2022</v>
      </c>
      <c r="D1013" t="s">
        <v>10</v>
      </c>
      <c r="E1013">
        <v>80</v>
      </c>
      <c r="F1013" t="s">
        <v>11</v>
      </c>
    </row>
    <row r="1014" spans="1:6">
      <c r="A1014" t="s">
        <v>35</v>
      </c>
      <c r="B1014" t="s">
        <v>22</v>
      </c>
      <c r="C1014">
        <v>2022</v>
      </c>
      <c r="D1014" t="s">
        <v>12</v>
      </c>
      <c r="E1014">
        <v>0.45</v>
      </c>
      <c r="F1014" t="s">
        <v>13</v>
      </c>
    </row>
    <row r="1015" spans="1:6">
      <c r="A1015" t="s">
        <v>35</v>
      </c>
      <c r="B1015" t="s">
        <v>22</v>
      </c>
      <c r="C1015">
        <v>2022</v>
      </c>
      <c r="D1015" t="s">
        <v>164</v>
      </c>
      <c r="E1015">
        <v>2.6389999999999998</v>
      </c>
      <c r="F1015" t="s">
        <v>166</v>
      </c>
    </row>
    <row r="1016" spans="1:6">
      <c r="A1016" t="s">
        <v>35</v>
      </c>
      <c r="B1016" t="s">
        <v>22</v>
      </c>
      <c r="C1016">
        <v>2030</v>
      </c>
      <c r="D1016" t="s">
        <v>6</v>
      </c>
      <c r="E1016">
        <v>2600</v>
      </c>
      <c r="F1016" t="s">
        <v>7</v>
      </c>
    </row>
    <row r="1017" spans="1:6">
      <c r="A1017" t="s">
        <v>35</v>
      </c>
      <c r="B1017" t="s">
        <v>22</v>
      </c>
      <c r="C1017">
        <v>2030</v>
      </c>
      <c r="D1017" t="s">
        <v>8</v>
      </c>
      <c r="E1017">
        <v>2600</v>
      </c>
      <c r="F1017" t="s">
        <v>7</v>
      </c>
    </row>
    <row r="1018" spans="1:6">
      <c r="A1018" t="s">
        <v>35</v>
      </c>
      <c r="B1018" t="s">
        <v>22</v>
      </c>
      <c r="C1018">
        <v>2030</v>
      </c>
      <c r="D1018" t="s">
        <v>9</v>
      </c>
      <c r="E1018">
        <v>2600</v>
      </c>
      <c r="F1018" t="s">
        <v>7</v>
      </c>
    </row>
    <row r="1019" spans="1:6">
      <c r="A1019" t="s">
        <v>35</v>
      </c>
      <c r="B1019" t="s">
        <v>22</v>
      </c>
      <c r="C1019">
        <v>2030</v>
      </c>
      <c r="D1019" t="s">
        <v>10</v>
      </c>
      <c r="E1019">
        <v>80</v>
      </c>
      <c r="F1019" t="s">
        <v>11</v>
      </c>
    </row>
    <row r="1020" spans="1:6">
      <c r="A1020" t="s">
        <v>35</v>
      </c>
      <c r="B1020" t="s">
        <v>22</v>
      </c>
      <c r="C1020">
        <v>2030</v>
      </c>
      <c r="D1020" t="s">
        <v>12</v>
      </c>
      <c r="E1020">
        <v>0.47</v>
      </c>
      <c r="F1020" t="s">
        <v>13</v>
      </c>
    </row>
    <row r="1021" spans="1:6">
      <c r="A1021" t="s">
        <v>35</v>
      </c>
      <c r="B1021" t="s">
        <v>22</v>
      </c>
      <c r="C1021">
        <v>2030</v>
      </c>
      <c r="D1021" t="s">
        <v>164</v>
      </c>
      <c r="E1021">
        <v>2.6389999999999998</v>
      </c>
      <c r="F1021" t="s">
        <v>166</v>
      </c>
    </row>
    <row r="1022" spans="1:6">
      <c r="A1022" t="s">
        <v>35</v>
      </c>
      <c r="B1022" t="s">
        <v>22</v>
      </c>
      <c r="C1022">
        <v>2050</v>
      </c>
      <c r="D1022" t="s">
        <v>6</v>
      </c>
      <c r="E1022">
        <v>2600</v>
      </c>
      <c r="F1022" t="s">
        <v>7</v>
      </c>
    </row>
    <row r="1023" spans="1:6">
      <c r="A1023" t="s">
        <v>35</v>
      </c>
      <c r="B1023" t="s">
        <v>22</v>
      </c>
      <c r="C1023">
        <v>2050</v>
      </c>
      <c r="D1023" t="s">
        <v>8</v>
      </c>
      <c r="E1023">
        <v>2600</v>
      </c>
      <c r="F1023" t="s">
        <v>7</v>
      </c>
    </row>
    <row r="1024" spans="1:6">
      <c r="A1024" t="s">
        <v>35</v>
      </c>
      <c r="B1024" t="s">
        <v>22</v>
      </c>
      <c r="C1024">
        <v>2050</v>
      </c>
      <c r="D1024" t="s">
        <v>9</v>
      </c>
      <c r="E1024">
        <v>2600</v>
      </c>
      <c r="F1024" t="s">
        <v>7</v>
      </c>
    </row>
    <row r="1025" spans="1:6">
      <c r="A1025" t="s">
        <v>35</v>
      </c>
      <c r="B1025" t="s">
        <v>22</v>
      </c>
      <c r="C1025">
        <v>2050</v>
      </c>
      <c r="D1025" t="s">
        <v>10</v>
      </c>
      <c r="E1025">
        <v>80</v>
      </c>
      <c r="F1025" t="s">
        <v>11</v>
      </c>
    </row>
    <row r="1026" spans="1:6">
      <c r="A1026" t="s">
        <v>35</v>
      </c>
      <c r="B1026" t="s">
        <v>22</v>
      </c>
      <c r="C1026">
        <v>2050</v>
      </c>
      <c r="D1026" t="s">
        <v>12</v>
      </c>
      <c r="E1026">
        <v>0.47</v>
      </c>
      <c r="F1026" t="s">
        <v>13</v>
      </c>
    </row>
    <row r="1027" spans="1:6">
      <c r="A1027" t="s">
        <v>35</v>
      </c>
      <c r="B1027" t="s">
        <v>22</v>
      </c>
      <c r="C1027">
        <v>2050</v>
      </c>
      <c r="D1027" t="s">
        <v>164</v>
      </c>
      <c r="E1027">
        <v>2.6389999999999998</v>
      </c>
      <c r="F1027" t="s">
        <v>166</v>
      </c>
    </row>
    <row r="1028" spans="1:6">
      <c r="A1028" t="s">
        <v>35</v>
      </c>
      <c r="B1028" t="s">
        <v>23</v>
      </c>
      <c r="C1028">
        <v>2022</v>
      </c>
      <c r="D1028" t="s">
        <v>6</v>
      </c>
      <c r="E1028">
        <v>2200</v>
      </c>
      <c r="F1028" t="s">
        <v>7</v>
      </c>
    </row>
    <row r="1029" spans="1:6">
      <c r="A1029" t="s">
        <v>35</v>
      </c>
      <c r="B1029" t="s">
        <v>23</v>
      </c>
      <c r="C1029">
        <v>2022</v>
      </c>
      <c r="D1029" t="s">
        <v>8</v>
      </c>
      <c r="E1029">
        <v>2200</v>
      </c>
      <c r="F1029" t="s">
        <v>7</v>
      </c>
    </row>
    <row r="1030" spans="1:6">
      <c r="A1030" t="s">
        <v>35</v>
      </c>
      <c r="B1030" t="s">
        <v>23</v>
      </c>
      <c r="C1030">
        <v>2022</v>
      </c>
      <c r="D1030" t="s">
        <v>9</v>
      </c>
      <c r="E1030">
        <v>2200</v>
      </c>
      <c r="F1030" t="s">
        <v>7</v>
      </c>
    </row>
    <row r="1031" spans="1:6">
      <c r="A1031" t="s">
        <v>35</v>
      </c>
      <c r="B1031" t="s">
        <v>23</v>
      </c>
      <c r="C1031">
        <v>2022</v>
      </c>
      <c r="D1031" t="s">
        <v>10</v>
      </c>
      <c r="E1031">
        <v>65</v>
      </c>
      <c r="F1031" t="s">
        <v>11</v>
      </c>
    </row>
    <row r="1032" spans="1:6">
      <c r="A1032" t="s">
        <v>35</v>
      </c>
      <c r="B1032" t="s">
        <v>23</v>
      </c>
      <c r="C1032">
        <v>2022</v>
      </c>
      <c r="D1032" t="s">
        <v>12</v>
      </c>
      <c r="E1032">
        <v>0.45</v>
      </c>
      <c r="F1032" t="s">
        <v>13</v>
      </c>
    </row>
    <row r="1033" spans="1:6">
      <c r="A1033" t="s">
        <v>35</v>
      </c>
      <c r="B1033" t="s">
        <v>23</v>
      </c>
      <c r="C1033">
        <v>2022</v>
      </c>
      <c r="D1033" t="s">
        <v>164</v>
      </c>
      <c r="E1033">
        <v>2.6389999999999998</v>
      </c>
      <c r="F1033" t="s">
        <v>166</v>
      </c>
    </row>
    <row r="1034" spans="1:6">
      <c r="A1034" t="s">
        <v>35</v>
      </c>
      <c r="B1034" t="s">
        <v>23</v>
      </c>
      <c r="C1034">
        <v>2030</v>
      </c>
      <c r="D1034" t="s">
        <v>6</v>
      </c>
      <c r="E1034">
        <v>2200</v>
      </c>
      <c r="F1034" t="s">
        <v>7</v>
      </c>
    </row>
    <row r="1035" spans="1:6">
      <c r="A1035" t="s">
        <v>35</v>
      </c>
      <c r="B1035" t="s">
        <v>23</v>
      </c>
      <c r="C1035">
        <v>2030</v>
      </c>
      <c r="D1035" t="s">
        <v>8</v>
      </c>
      <c r="E1035">
        <v>2200</v>
      </c>
      <c r="F1035" t="s">
        <v>7</v>
      </c>
    </row>
    <row r="1036" spans="1:6">
      <c r="A1036" t="s">
        <v>35</v>
      </c>
      <c r="B1036" t="s">
        <v>23</v>
      </c>
      <c r="C1036">
        <v>2030</v>
      </c>
      <c r="D1036" t="s">
        <v>9</v>
      </c>
      <c r="E1036">
        <v>2200</v>
      </c>
      <c r="F1036" t="s">
        <v>7</v>
      </c>
    </row>
    <row r="1037" spans="1:6">
      <c r="A1037" t="s">
        <v>35</v>
      </c>
      <c r="B1037" t="s">
        <v>23</v>
      </c>
      <c r="C1037">
        <v>2030</v>
      </c>
      <c r="D1037" t="s">
        <v>10</v>
      </c>
      <c r="E1037">
        <v>65</v>
      </c>
      <c r="F1037" t="s">
        <v>11</v>
      </c>
    </row>
    <row r="1038" spans="1:6">
      <c r="A1038" t="s">
        <v>35</v>
      </c>
      <c r="B1038" t="s">
        <v>23</v>
      </c>
      <c r="C1038">
        <v>2030</v>
      </c>
      <c r="D1038" t="s">
        <v>12</v>
      </c>
      <c r="E1038">
        <v>0.47</v>
      </c>
      <c r="F1038" t="s">
        <v>13</v>
      </c>
    </row>
    <row r="1039" spans="1:6">
      <c r="A1039" t="s">
        <v>35</v>
      </c>
      <c r="B1039" t="s">
        <v>23</v>
      </c>
      <c r="C1039">
        <v>2030</v>
      </c>
      <c r="D1039" t="s">
        <v>164</v>
      </c>
      <c r="E1039">
        <v>2.6389999999999998</v>
      </c>
      <c r="F1039" t="s">
        <v>166</v>
      </c>
    </row>
    <row r="1040" spans="1:6">
      <c r="A1040" t="s">
        <v>35</v>
      </c>
      <c r="B1040" t="s">
        <v>23</v>
      </c>
      <c r="C1040">
        <v>2050</v>
      </c>
      <c r="D1040" t="s">
        <v>6</v>
      </c>
      <c r="E1040">
        <v>2200</v>
      </c>
      <c r="F1040" t="s">
        <v>7</v>
      </c>
    </row>
    <row r="1041" spans="1:6">
      <c r="A1041" t="s">
        <v>35</v>
      </c>
      <c r="B1041" t="s">
        <v>23</v>
      </c>
      <c r="C1041">
        <v>2050</v>
      </c>
      <c r="D1041" t="s">
        <v>8</v>
      </c>
      <c r="E1041">
        <v>2200</v>
      </c>
      <c r="F1041" t="s">
        <v>7</v>
      </c>
    </row>
    <row r="1042" spans="1:6">
      <c r="A1042" t="s">
        <v>35</v>
      </c>
      <c r="B1042" t="s">
        <v>23</v>
      </c>
      <c r="C1042">
        <v>2050</v>
      </c>
      <c r="D1042" t="s">
        <v>9</v>
      </c>
      <c r="E1042">
        <v>2200</v>
      </c>
      <c r="F1042" t="s">
        <v>7</v>
      </c>
    </row>
    <row r="1043" spans="1:6">
      <c r="A1043" t="s">
        <v>35</v>
      </c>
      <c r="B1043" t="s">
        <v>23</v>
      </c>
      <c r="C1043">
        <v>2050</v>
      </c>
      <c r="D1043" t="s">
        <v>10</v>
      </c>
      <c r="E1043">
        <v>65</v>
      </c>
      <c r="F1043" t="s">
        <v>11</v>
      </c>
    </row>
    <row r="1044" spans="1:6">
      <c r="A1044" t="s">
        <v>35</v>
      </c>
      <c r="B1044" t="s">
        <v>23</v>
      </c>
      <c r="C1044">
        <v>2050</v>
      </c>
      <c r="D1044" t="s">
        <v>12</v>
      </c>
      <c r="E1044">
        <v>0.47</v>
      </c>
      <c r="F1044" t="s">
        <v>13</v>
      </c>
    </row>
    <row r="1045" spans="1:6">
      <c r="A1045" t="s">
        <v>35</v>
      </c>
      <c r="B1045" t="s">
        <v>23</v>
      </c>
      <c r="C1045">
        <v>2050</v>
      </c>
      <c r="D1045" t="s">
        <v>164</v>
      </c>
      <c r="E1045">
        <v>2.6389999999999998</v>
      </c>
      <c r="F1045" t="s">
        <v>166</v>
      </c>
    </row>
    <row r="1046" spans="1:6">
      <c r="A1046" t="s">
        <v>35</v>
      </c>
      <c r="B1046" t="s">
        <v>24</v>
      </c>
      <c r="C1046">
        <v>2022</v>
      </c>
      <c r="D1046" t="s">
        <v>6</v>
      </c>
      <c r="E1046">
        <v>800</v>
      </c>
      <c r="F1046" t="s">
        <v>7</v>
      </c>
    </row>
    <row r="1047" spans="1:6">
      <c r="A1047" t="s">
        <v>35</v>
      </c>
      <c r="B1047" t="s">
        <v>24</v>
      </c>
      <c r="C1047">
        <v>2022</v>
      </c>
      <c r="D1047" t="s">
        <v>8</v>
      </c>
      <c r="E1047">
        <v>800</v>
      </c>
      <c r="F1047" t="s">
        <v>7</v>
      </c>
    </row>
    <row r="1048" spans="1:6">
      <c r="A1048" t="s">
        <v>35</v>
      </c>
      <c r="B1048" t="s">
        <v>24</v>
      </c>
      <c r="C1048">
        <v>2022</v>
      </c>
      <c r="D1048" t="s">
        <v>9</v>
      </c>
      <c r="E1048">
        <v>800</v>
      </c>
      <c r="F1048" t="s">
        <v>7</v>
      </c>
    </row>
    <row r="1049" spans="1:6">
      <c r="A1049" t="s">
        <v>35</v>
      </c>
      <c r="B1049" t="s">
        <v>24</v>
      </c>
      <c r="C1049">
        <v>2022</v>
      </c>
      <c r="D1049" t="s">
        <v>10</v>
      </c>
      <c r="E1049">
        <v>30</v>
      </c>
      <c r="F1049" t="s">
        <v>11</v>
      </c>
    </row>
    <row r="1050" spans="1:6">
      <c r="A1050" t="s">
        <v>35</v>
      </c>
      <c r="B1050" t="s">
        <v>24</v>
      </c>
      <c r="C1050">
        <v>2022</v>
      </c>
      <c r="D1050" t="s">
        <v>12</v>
      </c>
      <c r="E1050">
        <v>0.44</v>
      </c>
      <c r="F1050" t="s">
        <v>13</v>
      </c>
    </row>
    <row r="1051" spans="1:6">
      <c r="A1051" t="s">
        <v>35</v>
      </c>
      <c r="B1051" t="s">
        <v>24</v>
      </c>
      <c r="C1051">
        <v>2022</v>
      </c>
      <c r="D1051" t="s">
        <v>164</v>
      </c>
      <c r="E1051">
        <v>2.6389999999999998</v>
      </c>
      <c r="F1051" t="s">
        <v>166</v>
      </c>
    </row>
    <row r="1052" spans="1:6">
      <c r="A1052" t="s">
        <v>35</v>
      </c>
      <c r="B1052" t="s">
        <v>24</v>
      </c>
      <c r="C1052">
        <v>2030</v>
      </c>
      <c r="D1052" t="s">
        <v>6</v>
      </c>
      <c r="E1052">
        <v>800</v>
      </c>
      <c r="F1052" t="s">
        <v>7</v>
      </c>
    </row>
    <row r="1053" spans="1:6">
      <c r="A1053" t="s">
        <v>35</v>
      </c>
      <c r="B1053" t="s">
        <v>24</v>
      </c>
      <c r="C1053">
        <v>2030</v>
      </c>
      <c r="D1053" t="s">
        <v>8</v>
      </c>
      <c r="E1053">
        <v>800</v>
      </c>
      <c r="F1053" t="s">
        <v>7</v>
      </c>
    </row>
    <row r="1054" spans="1:6">
      <c r="A1054" t="s">
        <v>35</v>
      </c>
      <c r="B1054" t="s">
        <v>24</v>
      </c>
      <c r="C1054">
        <v>2030</v>
      </c>
      <c r="D1054" t="s">
        <v>9</v>
      </c>
      <c r="E1054">
        <v>800</v>
      </c>
      <c r="F1054" t="s">
        <v>7</v>
      </c>
    </row>
    <row r="1055" spans="1:6">
      <c r="A1055" t="s">
        <v>35</v>
      </c>
      <c r="B1055" t="s">
        <v>24</v>
      </c>
      <c r="C1055">
        <v>2030</v>
      </c>
      <c r="D1055" t="s">
        <v>10</v>
      </c>
      <c r="E1055">
        <v>30</v>
      </c>
      <c r="F1055" t="s">
        <v>11</v>
      </c>
    </row>
    <row r="1056" spans="1:6">
      <c r="A1056" t="s">
        <v>35</v>
      </c>
      <c r="B1056" t="s">
        <v>24</v>
      </c>
      <c r="C1056">
        <v>2030</v>
      </c>
      <c r="D1056" t="s">
        <v>12</v>
      </c>
      <c r="E1056">
        <v>0.46</v>
      </c>
      <c r="F1056" t="s">
        <v>13</v>
      </c>
    </row>
    <row r="1057" spans="1:6">
      <c r="A1057" t="s">
        <v>35</v>
      </c>
      <c r="B1057" t="s">
        <v>24</v>
      </c>
      <c r="C1057">
        <v>2030</v>
      </c>
      <c r="D1057" t="s">
        <v>164</v>
      </c>
      <c r="E1057">
        <v>2.6389999999999998</v>
      </c>
      <c r="F1057" t="s">
        <v>166</v>
      </c>
    </row>
    <row r="1058" spans="1:6">
      <c r="A1058" t="s">
        <v>35</v>
      </c>
      <c r="B1058" t="s">
        <v>24</v>
      </c>
      <c r="C1058">
        <v>2050</v>
      </c>
      <c r="D1058" t="s">
        <v>6</v>
      </c>
      <c r="E1058">
        <v>800</v>
      </c>
      <c r="F1058" t="s">
        <v>7</v>
      </c>
    </row>
    <row r="1059" spans="1:6">
      <c r="A1059" t="s">
        <v>35</v>
      </c>
      <c r="B1059" t="s">
        <v>24</v>
      </c>
      <c r="C1059">
        <v>2050</v>
      </c>
      <c r="D1059" t="s">
        <v>8</v>
      </c>
      <c r="E1059">
        <v>800</v>
      </c>
      <c r="F1059" t="s">
        <v>7</v>
      </c>
    </row>
    <row r="1060" spans="1:6">
      <c r="A1060" t="s">
        <v>35</v>
      </c>
      <c r="B1060" t="s">
        <v>24</v>
      </c>
      <c r="C1060">
        <v>2050</v>
      </c>
      <c r="D1060" t="s">
        <v>9</v>
      </c>
      <c r="E1060">
        <v>800</v>
      </c>
      <c r="F1060" t="s">
        <v>7</v>
      </c>
    </row>
    <row r="1061" spans="1:6">
      <c r="A1061" t="s">
        <v>35</v>
      </c>
      <c r="B1061" t="s">
        <v>24</v>
      </c>
      <c r="C1061">
        <v>2050</v>
      </c>
      <c r="D1061" t="s">
        <v>10</v>
      </c>
      <c r="E1061">
        <v>30</v>
      </c>
      <c r="F1061" t="s">
        <v>11</v>
      </c>
    </row>
    <row r="1062" spans="1:6">
      <c r="A1062" t="s">
        <v>35</v>
      </c>
      <c r="B1062" t="s">
        <v>24</v>
      </c>
      <c r="C1062">
        <v>2050</v>
      </c>
      <c r="D1062" t="s">
        <v>12</v>
      </c>
      <c r="E1062">
        <v>0.47</v>
      </c>
      <c r="F1062" t="s">
        <v>13</v>
      </c>
    </row>
    <row r="1063" spans="1:6">
      <c r="A1063" t="s">
        <v>35</v>
      </c>
      <c r="B1063" t="s">
        <v>24</v>
      </c>
      <c r="C1063">
        <v>2050</v>
      </c>
      <c r="D1063" t="s">
        <v>164</v>
      </c>
      <c r="E1063">
        <v>2.6389999999999998</v>
      </c>
      <c r="F1063" t="s">
        <v>166</v>
      </c>
    </row>
    <row r="1064" spans="1:6">
      <c r="A1064" t="s">
        <v>35</v>
      </c>
      <c r="B1064" t="s">
        <v>25</v>
      </c>
      <c r="C1064">
        <v>2022</v>
      </c>
      <c r="D1064" t="s">
        <v>6</v>
      </c>
      <c r="E1064">
        <v>1400</v>
      </c>
      <c r="F1064" t="s">
        <v>7</v>
      </c>
    </row>
    <row r="1065" spans="1:6">
      <c r="A1065" t="s">
        <v>35</v>
      </c>
      <c r="B1065" t="s">
        <v>25</v>
      </c>
      <c r="C1065">
        <v>2022</v>
      </c>
      <c r="D1065" t="s">
        <v>8</v>
      </c>
      <c r="E1065">
        <v>1400</v>
      </c>
      <c r="F1065" t="s">
        <v>7</v>
      </c>
    </row>
    <row r="1066" spans="1:6">
      <c r="A1066" t="s">
        <v>35</v>
      </c>
      <c r="B1066" t="s">
        <v>25</v>
      </c>
      <c r="C1066">
        <v>2022</v>
      </c>
      <c r="D1066" t="s">
        <v>9</v>
      </c>
      <c r="E1066">
        <v>1400</v>
      </c>
      <c r="F1066" t="s">
        <v>7</v>
      </c>
    </row>
    <row r="1067" spans="1:6">
      <c r="A1067" t="s">
        <v>35</v>
      </c>
      <c r="B1067" t="s">
        <v>25</v>
      </c>
      <c r="C1067">
        <v>2022</v>
      </c>
      <c r="D1067" t="s">
        <v>10</v>
      </c>
      <c r="E1067">
        <v>55</v>
      </c>
      <c r="F1067" t="s">
        <v>11</v>
      </c>
    </row>
    <row r="1068" spans="1:6">
      <c r="A1068" t="s">
        <v>35</v>
      </c>
      <c r="B1068" t="s">
        <v>25</v>
      </c>
      <c r="C1068">
        <v>2022</v>
      </c>
      <c r="D1068" t="s">
        <v>12</v>
      </c>
      <c r="E1068">
        <v>0.4</v>
      </c>
      <c r="F1068" t="s">
        <v>13</v>
      </c>
    </row>
    <row r="1069" spans="1:6">
      <c r="A1069" t="s">
        <v>35</v>
      </c>
      <c r="B1069" t="s">
        <v>25</v>
      </c>
      <c r="C1069">
        <v>2022</v>
      </c>
      <c r="D1069" t="s">
        <v>164</v>
      </c>
      <c r="E1069">
        <v>2.6389999999999998</v>
      </c>
      <c r="F1069" t="s">
        <v>166</v>
      </c>
    </row>
    <row r="1070" spans="1:6">
      <c r="A1070" t="s">
        <v>35</v>
      </c>
      <c r="B1070" t="s">
        <v>25</v>
      </c>
      <c r="C1070">
        <v>2030</v>
      </c>
      <c r="D1070" t="s">
        <v>6</v>
      </c>
      <c r="E1070">
        <v>1400</v>
      </c>
      <c r="F1070" t="s">
        <v>7</v>
      </c>
    </row>
    <row r="1071" spans="1:6">
      <c r="A1071" t="s">
        <v>35</v>
      </c>
      <c r="B1071" t="s">
        <v>25</v>
      </c>
      <c r="C1071">
        <v>2030</v>
      </c>
      <c r="D1071" t="s">
        <v>8</v>
      </c>
      <c r="E1071">
        <v>1400</v>
      </c>
      <c r="F1071" t="s">
        <v>7</v>
      </c>
    </row>
    <row r="1072" spans="1:6">
      <c r="A1072" t="s">
        <v>35</v>
      </c>
      <c r="B1072" t="s">
        <v>25</v>
      </c>
      <c r="C1072">
        <v>2030</v>
      </c>
      <c r="D1072" t="s">
        <v>9</v>
      </c>
      <c r="E1072">
        <v>1400</v>
      </c>
      <c r="F1072" t="s">
        <v>7</v>
      </c>
    </row>
    <row r="1073" spans="1:6">
      <c r="A1073" t="s">
        <v>35</v>
      </c>
      <c r="B1073" t="s">
        <v>25</v>
      </c>
      <c r="C1073">
        <v>2030</v>
      </c>
      <c r="D1073" t="s">
        <v>10</v>
      </c>
      <c r="E1073">
        <v>55</v>
      </c>
      <c r="F1073" t="s">
        <v>11</v>
      </c>
    </row>
    <row r="1074" spans="1:6">
      <c r="A1074" t="s">
        <v>35</v>
      </c>
      <c r="B1074" t="s">
        <v>25</v>
      </c>
      <c r="C1074">
        <v>2030</v>
      </c>
      <c r="D1074" t="s">
        <v>12</v>
      </c>
      <c r="E1074">
        <v>0.42</v>
      </c>
      <c r="F1074" t="s">
        <v>13</v>
      </c>
    </row>
    <row r="1075" spans="1:6">
      <c r="A1075" t="s">
        <v>35</v>
      </c>
      <c r="B1075" t="s">
        <v>25</v>
      </c>
      <c r="C1075">
        <v>2030</v>
      </c>
      <c r="D1075" t="s">
        <v>164</v>
      </c>
      <c r="E1075">
        <v>2.6389999999999998</v>
      </c>
      <c r="F1075" t="s">
        <v>166</v>
      </c>
    </row>
    <row r="1076" spans="1:6">
      <c r="A1076" t="s">
        <v>35</v>
      </c>
      <c r="B1076" t="s">
        <v>25</v>
      </c>
      <c r="C1076">
        <v>2050</v>
      </c>
      <c r="D1076" t="s">
        <v>6</v>
      </c>
      <c r="E1076">
        <v>1400</v>
      </c>
      <c r="F1076" t="s">
        <v>7</v>
      </c>
    </row>
    <row r="1077" spans="1:6">
      <c r="A1077" t="s">
        <v>35</v>
      </c>
      <c r="B1077" t="s">
        <v>25</v>
      </c>
      <c r="C1077">
        <v>2050</v>
      </c>
      <c r="D1077" t="s">
        <v>8</v>
      </c>
      <c r="E1077">
        <v>1400</v>
      </c>
      <c r="F1077" t="s">
        <v>7</v>
      </c>
    </row>
    <row r="1078" spans="1:6">
      <c r="A1078" t="s">
        <v>35</v>
      </c>
      <c r="B1078" t="s">
        <v>25</v>
      </c>
      <c r="C1078">
        <v>2050</v>
      </c>
      <c r="D1078" t="s">
        <v>9</v>
      </c>
      <c r="E1078">
        <v>1400</v>
      </c>
      <c r="F1078" t="s">
        <v>7</v>
      </c>
    </row>
    <row r="1079" spans="1:6">
      <c r="A1079" t="s">
        <v>35</v>
      </c>
      <c r="B1079" t="s">
        <v>25</v>
      </c>
      <c r="C1079">
        <v>2050</v>
      </c>
      <c r="D1079" t="s">
        <v>10</v>
      </c>
      <c r="E1079">
        <v>55</v>
      </c>
      <c r="F1079" t="s">
        <v>11</v>
      </c>
    </row>
    <row r="1080" spans="1:6">
      <c r="A1080" t="s">
        <v>35</v>
      </c>
      <c r="B1080" t="s">
        <v>25</v>
      </c>
      <c r="C1080">
        <v>2050</v>
      </c>
      <c r="D1080" t="s">
        <v>12</v>
      </c>
      <c r="E1080">
        <v>0.43</v>
      </c>
      <c r="F1080" t="s">
        <v>13</v>
      </c>
    </row>
    <row r="1081" spans="1:6">
      <c r="A1081" t="s">
        <v>35</v>
      </c>
      <c r="B1081" t="s">
        <v>25</v>
      </c>
      <c r="C1081">
        <v>2050</v>
      </c>
      <c r="D1081" t="s">
        <v>164</v>
      </c>
      <c r="E1081">
        <v>2.6389999999999998</v>
      </c>
      <c r="F1081" t="s">
        <v>166</v>
      </c>
    </row>
    <row r="1082" spans="1:6">
      <c r="A1082" t="s">
        <v>35</v>
      </c>
      <c r="B1082" t="s">
        <v>26</v>
      </c>
      <c r="C1082">
        <v>2022</v>
      </c>
      <c r="D1082" t="s">
        <v>6</v>
      </c>
      <c r="E1082">
        <v>1600</v>
      </c>
      <c r="F1082" t="s">
        <v>7</v>
      </c>
    </row>
    <row r="1083" spans="1:6">
      <c r="A1083" t="s">
        <v>35</v>
      </c>
      <c r="B1083" t="s">
        <v>26</v>
      </c>
      <c r="C1083">
        <v>2022</v>
      </c>
      <c r="D1083" t="s">
        <v>8</v>
      </c>
      <c r="E1083">
        <v>1600</v>
      </c>
      <c r="F1083" t="s">
        <v>7</v>
      </c>
    </row>
    <row r="1084" spans="1:6">
      <c r="A1084" t="s">
        <v>35</v>
      </c>
      <c r="B1084" t="s">
        <v>26</v>
      </c>
      <c r="C1084">
        <v>2022</v>
      </c>
      <c r="D1084" t="s">
        <v>9</v>
      </c>
      <c r="E1084">
        <v>1600</v>
      </c>
      <c r="F1084" t="s">
        <v>7</v>
      </c>
    </row>
    <row r="1085" spans="1:6">
      <c r="A1085" t="s">
        <v>35</v>
      </c>
      <c r="B1085" t="s">
        <v>26</v>
      </c>
      <c r="C1085">
        <v>2022</v>
      </c>
      <c r="D1085" t="s">
        <v>10</v>
      </c>
      <c r="E1085">
        <v>65</v>
      </c>
      <c r="F1085" t="s">
        <v>11</v>
      </c>
    </row>
    <row r="1086" spans="1:6">
      <c r="A1086" t="s">
        <v>35</v>
      </c>
      <c r="B1086" t="s">
        <v>26</v>
      </c>
      <c r="C1086">
        <v>2022</v>
      </c>
      <c r="D1086" t="s">
        <v>12</v>
      </c>
      <c r="E1086">
        <v>0.43</v>
      </c>
      <c r="F1086" t="s">
        <v>13</v>
      </c>
    </row>
    <row r="1087" spans="1:6">
      <c r="A1087" t="s">
        <v>35</v>
      </c>
      <c r="B1087" t="s">
        <v>26</v>
      </c>
      <c r="C1087">
        <v>2022</v>
      </c>
      <c r="D1087" t="s">
        <v>164</v>
      </c>
      <c r="E1087">
        <v>2.6389999999999998</v>
      </c>
      <c r="F1087" t="s">
        <v>166</v>
      </c>
    </row>
    <row r="1088" spans="1:6">
      <c r="A1088" t="s">
        <v>35</v>
      </c>
      <c r="B1088" t="s">
        <v>26</v>
      </c>
      <c r="C1088">
        <v>2030</v>
      </c>
      <c r="D1088" t="s">
        <v>6</v>
      </c>
      <c r="E1088">
        <v>1600</v>
      </c>
      <c r="F1088" t="s">
        <v>7</v>
      </c>
    </row>
    <row r="1089" spans="1:6">
      <c r="A1089" t="s">
        <v>35</v>
      </c>
      <c r="B1089" t="s">
        <v>26</v>
      </c>
      <c r="C1089">
        <v>2030</v>
      </c>
      <c r="D1089" t="s">
        <v>8</v>
      </c>
      <c r="E1089">
        <v>1600</v>
      </c>
      <c r="F1089" t="s">
        <v>7</v>
      </c>
    </row>
    <row r="1090" spans="1:6">
      <c r="A1090" t="s">
        <v>35</v>
      </c>
      <c r="B1090" t="s">
        <v>26</v>
      </c>
      <c r="C1090">
        <v>2030</v>
      </c>
      <c r="D1090" t="s">
        <v>9</v>
      </c>
      <c r="E1090">
        <v>1600</v>
      </c>
      <c r="F1090" t="s">
        <v>7</v>
      </c>
    </row>
    <row r="1091" spans="1:6">
      <c r="A1091" t="s">
        <v>35</v>
      </c>
      <c r="B1091" t="s">
        <v>26</v>
      </c>
      <c r="C1091">
        <v>2030</v>
      </c>
      <c r="D1091" t="s">
        <v>10</v>
      </c>
      <c r="E1091">
        <v>65</v>
      </c>
      <c r="F1091" t="s">
        <v>11</v>
      </c>
    </row>
    <row r="1092" spans="1:6">
      <c r="A1092" t="s">
        <v>35</v>
      </c>
      <c r="B1092" t="s">
        <v>26</v>
      </c>
      <c r="C1092">
        <v>2030</v>
      </c>
      <c r="D1092" t="s">
        <v>12</v>
      </c>
      <c r="E1092">
        <v>0.45</v>
      </c>
      <c r="F1092" t="s">
        <v>13</v>
      </c>
    </row>
    <row r="1093" spans="1:6">
      <c r="A1093" t="s">
        <v>35</v>
      </c>
      <c r="B1093" t="s">
        <v>26</v>
      </c>
      <c r="C1093">
        <v>2030</v>
      </c>
      <c r="D1093" t="s">
        <v>164</v>
      </c>
      <c r="E1093">
        <v>2.6389999999999998</v>
      </c>
      <c r="F1093" t="s">
        <v>166</v>
      </c>
    </row>
    <row r="1094" spans="1:6">
      <c r="A1094" t="s">
        <v>35</v>
      </c>
      <c r="B1094" t="s">
        <v>26</v>
      </c>
      <c r="C1094">
        <v>2050</v>
      </c>
      <c r="D1094" t="s">
        <v>6</v>
      </c>
      <c r="E1094">
        <v>1600</v>
      </c>
      <c r="F1094" t="s">
        <v>7</v>
      </c>
    </row>
    <row r="1095" spans="1:6">
      <c r="A1095" t="s">
        <v>35</v>
      </c>
      <c r="B1095" t="s">
        <v>26</v>
      </c>
      <c r="C1095">
        <v>2050</v>
      </c>
      <c r="D1095" t="s">
        <v>8</v>
      </c>
      <c r="E1095">
        <v>1600</v>
      </c>
      <c r="F1095" t="s">
        <v>7</v>
      </c>
    </row>
    <row r="1096" spans="1:6">
      <c r="A1096" t="s">
        <v>35</v>
      </c>
      <c r="B1096" t="s">
        <v>26</v>
      </c>
      <c r="C1096">
        <v>2050</v>
      </c>
      <c r="D1096" t="s">
        <v>9</v>
      </c>
      <c r="E1096">
        <v>1600</v>
      </c>
      <c r="F1096" t="s">
        <v>7</v>
      </c>
    </row>
    <row r="1097" spans="1:6">
      <c r="A1097" t="s">
        <v>35</v>
      </c>
      <c r="B1097" t="s">
        <v>26</v>
      </c>
      <c r="C1097">
        <v>2050</v>
      </c>
      <c r="D1097" t="s">
        <v>10</v>
      </c>
      <c r="E1097">
        <v>65</v>
      </c>
      <c r="F1097" t="s">
        <v>11</v>
      </c>
    </row>
    <row r="1098" spans="1:6">
      <c r="A1098" t="s">
        <v>35</v>
      </c>
      <c r="B1098" t="s">
        <v>26</v>
      </c>
      <c r="C1098">
        <v>2050</v>
      </c>
      <c r="D1098" t="s">
        <v>12</v>
      </c>
      <c r="E1098">
        <v>0.45</v>
      </c>
      <c r="F1098" t="s">
        <v>13</v>
      </c>
    </row>
    <row r="1099" spans="1:6">
      <c r="A1099" t="s">
        <v>35</v>
      </c>
      <c r="B1099" t="s">
        <v>26</v>
      </c>
      <c r="C1099">
        <v>2050</v>
      </c>
      <c r="D1099" t="s">
        <v>164</v>
      </c>
      <c r="E1099">
        <v>2.6389999999999998</v>
      </c>
      <c r="F1099" t="s">
        <v>166</v>
      </c>
    </row>
    <row r="1100" spans="1:6">
      <c r="A1100" t="s">
        <v>35</v>
      </c>
      <c r="B1100" t="s">
        <v>27</v>
      </c>
      <c r="C1100">
        <v>2022</v>
      </c>
      <c r="D1100" t="s">
        <v>6</v>
      </c>
      <c r="E1100">
        <v>1900</v>
      </c>
      <c r="F1100" t="s">
        <v>7</v>
      </c>
    </row>
    <row r="1101" spans="1:6">
      <c r="A1101" t="s">
        <v>35</v>
      </c>
      <c r="B1101" t="s">
        <v>27</v>
      </c>
      <c r="C1101">
        <v>2022</v>
      </c>
      <c r="D1101" t="s">
        <v>8</v>
      </c>
      <c r="E1101">
        <v>1900</v>
      </c>
      <c r="F1101" t="s">
        <v>7</v>
      </c>
    </row>
    <row r="1102" spans="1:6">
      <c r="A1102" t="s">
        <v>35</v>
      </c>
      <c r="B1102" t="s">
        <v>27</v>
      </c>
      <c r="C1102">
        <v>2022</v>
      </c>
      <c r="D1102" t="s">
        <v>9</v>
      </c>
      <c r="E1102">
        <v>1900</v>
      </c>
      <c r="F1102" t="s">
        <v>7</v>
      </c>
    </row>
    <row r="1103" spans="1:6">
      <c r="A1103" t="s">
        <v>35</v>
      </c>
      <c r="B1103" t="s">
        <v>27</v>
      </c>
      <c r="C1103">
        <v>2022</v>
      </c>
      <c r="D1103" t="s">
        <v>10</v>
      </c>
      <c r="E1103">
        <v>70</v>
      </c>
      <c r="F1103" t="s">
        <v>11</v>
      </c>
    </row>
    <row r="1104" spans="1:6">
      <c r="A1104" t="s">
        <v>35</v>
      </c>
      <c r="B1104" t="s">
        <v>27</v>
      </c>
      <c r="C1104">
        <v>2022</v>
      </c>
      <c r="D1104" t="s">
        <v>12</v>
      </c>
      <c r="E1104">
        <v>0.42</v>
      </c>
      <c r="F1104" t="s">
        <v>13</v>
      </c>
    </row>
    <row r="1105" spans="1:6">
      <c r="A1105" t="s">
        <v>35</v>
      </c>
      <c r="B1105" t="s">
        <v>27</v>
      </c>
      <c r="C1105">
        <v>2022</v>
      </c>
      <c r="D1105" t="s">
        <v>164</v>
      </c>
      <c r="E1105">
        <v>2.6389999999999998</v>
      </c>
      <c r="F1105" t="s">
        <v>166</v>
      </c>
    </row>
    <row r="1106" spans="1:6">
      <c r="A1106" t="s">
        <v>35</v>
      </c>
      <c r="B1106" t="s">
        <v>27</v>
      </c>
      <c r="C1106">
        <v>2030</v>
      </c>
      <c r="D1106" t="s">
        <v>6</v>
      </c>
      <c r="E1106">
        <v>1900</v>
      </c>
      <c r="F1106" t="s">
        <v>7</v>
      </c>
    </row>
    <row r="1107" spans="1:6">
      <c r="A1107" t="s">
        <v>35</v>
      </c>
      <c r="B1107" t="s">
        <v>27</v>
      </c>
      <c r="C1107">
        <v>2030</v>
      </c>
      <c r="D1107" t="s">
        <v>8</v>
      </c>
      <c r="E1107">
        <v>1900</v>
      </c>
      <c r="F1107" t="s">
        <v>7</v>
      </c>
    </row>
    <row r="1108" spans="1:6">
      <c r="A1108" t="s">
        <v>35</v>
      </c>
      <c r="B1108" t="s">
        <v>27</v>
      </c>
      <c r="C1108">
        <v>2030</v>
      </c>
      <c r="D1108" t="s">
        <v>9</v>
      </c>
      <c r="E1108">
        <v>1900</v>
      </c>
      <c r="F1108" t="s">
        <v>7</v>
      </c>
    </row>
    <row r="1109" spans="1:6">
      <c r="A1109" t="s">
        <v>35</v>
      </c>
      <c r="B1109" t="s">
        <v>27</v>
      </c>
      <c r="C1109">
        <v>2030</v>
      </c>
      <c r="D1109" t="s">
        <v>10</v>
      </c>
      <c r="E1109">
        <v>70</v>
      </c>
      <c r="F1109" t="s">
        <v>11</v>
      </c>
    </row>
    <row r="1110" spans="1:6">
      <c r="A1110" t="s">
        <v>35</v>
      </c>
      <c r="B1110" t="s">
        <v>27</v>
      </c>
      <c r="C1110">
        <v>2030</v>
      </c>
      <c r="D1110" t="s">
        <v>12</v>
      </c>
      <c r="E1110">
        <v>0.43</v>
      </c>
      <c r="F1110" t="s">
        <v>13</v>
      </c>
    </row>
    <row r="1111" spans="1:6">
      <c r="A1111" t="s">
        <v>35</v>
      </c>
      <c r="B1111" t="s">
        <v>27</v>
      </c>
      <c r="C1111">
        <v>2030</v>
      </c>
      <c r="D1111" t="s">
        <v>164</v>
      </c>
      <c r="E1111">
        <v>2.6389999999999998</v>
      </c>
      <c r="F1111" t="s">
        <v>166</v>
      </c>
    </row>
    <row r="1112" spans="1:6">
      <c r="A1112" t="s">
        <v>35</v>
      </c>
      <c r="B1112" t="s">
        <v>27</v>
      </c>
      <c r="C1112">
        <v>2050</v>
      </c>
      <c r="D1112" t="s">
        <v>6</v>
      </c>
      <c r="E1112">
        <v>1900</v>
      </c>
      <c r="F1112" t="s">
        <v>7</v>
      </c>
    </row>
    <row r="1113" spans="1:6">
      <c r="A1113" t="s">
        <v>35</v>
      </c>
      <c r="B1113" t="s">
        <v>27</v>
      </c>
      <c r="C1113">
        <v>2050</v>
      </c>
      <c r="D1113" t="s">
        <v>8</v>
      </c>
      <c r="E1113">
        <v>1900</v>
      </c>
      <c r="F1113" t="s">
        <v>7</v>
      </c>
    </row>
    <row r="1114" spans="1:6">
      <c r="A1114" t="s">
        <v>35</v>
      </c>
      <c r="B1114" t="s">
        <v>27</v>
      </c>
      <c r="C1114">
        <v>2050</v>
      </c>
      <c r="D1114" t="s">
        <v>9</v>
      </c>
      <c r="E1114">
        <v>1900</v>
      </c>
      <c r="F1114" t="s">
        <v>7</v>
      </c>
    </row>
    <row r="1115" spans="1:6">
      <c r="A1115" t="s">
        <v>35</v>
      </c>
      <c r="B1115" t="s">
        <v>27</v>
      </c>
      <c r="C1115">
        <v>2050</v>
      </c>
      <c r="D1115" t="s">
        <v>10</v>
      </c>
      <c r="E1115">
        <v>70</v>
      </c>
      <c r="F1115" t="s">
        <v>11</v>
      </c>
    </row>
    <row r="1116" spans="1:6">
      <c r="A1116" t="s">
        <v>35</v>
      </c>
      <c r="B1116" t="s">
        <v>27</v>
      </c>
      <c r="C1116">
        <v>2050</v>
      </c>
      <c r="D1116" t="s">
        <v>12</v>
      </c>
      <c r="E1116">
        <v>0.44</v>
      </c>
      <c r="F1116" t="s">
        <v>13</v>
      </c>
    </row>
    <row r="1117" spans="1:6">
      <c r="A1117" t="s">
        <v>35</v>
      </c>
      <c r="B1117" t="s">
        <v>27</v>
      </c>
      <c r="C1117">
        <v>2050</v>
      </c>
      <c r="D1117" t="s">
        <v>164</v>
      </c>
      <c r="E1117">
        <v>2.6389999999999998</v>
      </c>
      <c r="F1117" t="s">
        <v>166</v>
      </c>
    </row>
    <row r="1118" spans="1:6">
      <c r="A1118" t="s">
        <v>35</v>
      </c>
      <c r="B1118" t="s">
        <v>28</v>
      </c>
      <c r="C1118">
        <v>2022</v>
      </c>
      <c r="D1118" t="s">
        <v>6</v>
      </c>
      <c r="E1118">
        <v>1800</v>
      </c>
      <c r="F1118" t="s">
        <v>7</v>
      </c>
    </row>
    <row r="1119" spans="1:6">
      <c r="A1119" t="s">
        <v>35</v>
      </c>
      <c r="B1119" t="s">
        <v>28</v>
      </c>
      <c r="C1119">
        <v>2022</v>
      </c>
      <c r="D1119" t="s">
        <v>8</v>
      </c>
      <c r="E1119">
        <v>1800</v>
      </c>
      <c r="F1119" t="s">
        <v>7</v>
      </c>
    </row>
    <row r="1120" spans="1:6">
      <c r="A1120" t="s">
        <v>35</v>
      </c>
      <c r="B1120" t="s">
        <v>28</v>
      </c>
      <c r="C1120">
        <v>2022</v>
      </c>
      <c r="D1120" t="s">
        <v>9</v>
      </c>
      <c r="E1120">
        <v>1800</v>
      </c>
      <c r="F1120" t="s">
        <v>7</v>
      </c>
    </row>
    <row r="1121" spans="1:6">
      <c r="A1121" t="s">
        <v>35</v>
      </c>
      <c r="B1121" t="s">
        <v>28</v>
      </c>
      <c r="C1121">
        <v>2022</v>
      </c>
      <c r="D1121" t="s">
        <v>10</v>
      </c>
      <c r="E1121">
        <v>70</v>
      </c>
      <c r="F1121" t="s">
        <v>11</v>
      </c>
    </row>
    <row r="1122" spans="1:6">
      <c r="A1122" t="s">
        <v>35</v>
      </c>
      <c r="B1122" t="s">
        <v>28</v>
      </c>
      <c r="C1122">
        <v>2022</v>
      </c>
      <c r="D1122" t="s">
        <v>12</v>
      </c>
      <c r="E1122">
        <v>0.45</v>
      </c>
      <c r="F1122" t="s">
        <v>13</v>
      </c>
    </row>
    <row r="1123" spans="1:6">
      <c r="A1123" t="s">
        <v>35</v>
      </c>
      <c r="B1123" t="s">
        <v>28</v>
      </c>
      <c r="C1123">
        <v>2022</v>
      </c>
      <c r="D1123" t="s">
        <v>164</v>
      </c>
      <c r="E1123">
        <v>2.6389999999999998</v>
      </c>
      <c r="F1123" t="s">
        <v>166</v>
      </c>
    </row>
    <row r="1124" spans="1:6">
      <c r="A1124" t="s">
        <v>35</v>
      </c>
      <c r="B1124" t="s">
        <v>28</v>
      </c>
      <c r="C1124">
        <v>2030</v>
      </c>
      <c r="D1124" t="s">
        <v>6</v>
      </c>
      <c r="E1124">
        <v>1800</v>
      </c>
      <c r="F1124" t="s">
        <v>7</v>
      </c>
    </row>
    <row r="1125" spans="1:6">
      <c r="A1125" t="s">
        <v>35</v>
      </c>
      <c r="B1125" t="s">
        <v>28</v>
      </c>
      <c r="C1125">
        <v>2030</v>
      </c>
      <c r="D1125" t="s">
        <v>8</v>
      </c>
      <c r="E1125">
        <v>1800</v>
      </c>
      <c r="F1125" t="s">
        <v>7</v>
      </c>
    </row>
    <row r="1126" spans="1:6">
      <c r="A1126" t="s">
        <v>35</v>
      </c>
      <c r="B1126" t="s">
        <v>28</v>
      </c>
      <c r="C1126">
        <v>2030</v>
      </c>
      <c r="D1126" t="s">
        <v>9</v>
      </c>
      <c r="E1126">
        <v>1800</v>
      </c>
      <c r="F1126" t="s">
        <v>7</v>
      </c>
    </row>
    <row r="1127" spans="1:6">
      <c r="A1127" t="s">
        <v>35</v>
      </c>
      <c r="B1127" t="s">
        <v>28</v>
      </c>
      <c r="C1127">
        <v>2030</v>
      </c>
      <c r="D1127" t="s">
        <v>10</v>
      </c>
      <c r="E1127">
        <v>70</v>
      </c>
      <c r="F1127" t="s">
        <v>11</v>
      </c>
    </row>
    <row r="1128" spans="1:6">
      <c r="A1128" t="s">
        <v>35</v>
      </c>
      <c r="B1128" t="s">
        <v>28</v>
      </c>
      <c r="C1128">
        <v>2030</v>
      </c>
      <c r="D1128" t="s">
        <v>12</v>
      </c>
      <c r="E1128">
        <v>0.47</v>
      </c>
      <c r="F1128" t="s">
        <v>13</v>
      </c>
    </row>
    <row r="1129" spans="1:6">
      <c r="A1129" t="s">
        <v>35</v>
      </c>
      <c r="B1129" t="s">
        <v>28</v>
      </c>
      <c r="C1129">
        <v>2030</v>
      </c>
      <c r="D1129" t="s">
        <v>164</v>
      </c>
      <c r="E1129">
        <v>2.6389999999999998</v>
      </c>
      <c r="F1129" t="s">
        <v>166</v>
      </c>
    </row>
    <row r="1130" spans="1:6">
      <c r="A1130" t="s">
        <v>35</v>
      </c>
      <c r="B1130" t="s">
        <v>28</v>
      </c>
      <c r="C1130">
        <v>2050</v>
      </c>
      <c r="D1130" t="s">
        <v>6</v>
      </c>
      <c r="E1130">
        <v>1800</v>
      </c>
      <c r="F1130" t="s">
        <v>7</v>
      </c>
    </row>
    <row r="1131" spans="1:6">
      <c r="A1131" t="s">
        <v>35</v>
      </c>
      <c r="B1131" t="s">
        <v>28</v>
      </c>
      <c r="C1131">
        <v>2050</v>
      </c>
      <c r="D1131" t="s">
        <v>8</v>
      </c>
      <c r="E1131">
        <v>1800</v>
      </c>
      <c r="F1131" t="s">
        <v>7</v>
      </c>
    </row>
    <row r="1132" spans="1:6">
      <c r="A1132" t="s">
        <v>35</v>
      </c>
      <c r="B1132" t="s">
        <v>28</v>
      </c>
      <c r="C1132">
        <v>2050</v>
      </c>
      <c r="D1132" t="s">
        <v>9</v>
      </c>
      <c r="E1132">
        <v>1800</v>
      </c>
      <c r="F1132" t="s">
        <v>7</v>
      </c>
    </row>
    <row r="1133" spans="1:6">
      <c r="A1133" t="s">
        <v>35</v>
      </c>
      <c r="B1133" t="s">
        <v>28</v>
      </c>
      <c r="C1133">
        <v>2050</v>
      </c>
      <c r="D1133" t="s">
        <v>10</v>
      </c>
      <c r="E1133">
        <v>70</v>
      </c>
      <c r="F1133" t="s">
        <v>11</v>
      </c>
    </row>
    <row r="1134" spans="1:6">
      <c r="A1134" t="s">
        <v>35</v>
      </c>
      <c r="B1134" t="s">
        <v>28</v>
      </c>
      <c r="C1134">
        <v>2050</v>
      </c>
      <c r="D1134" t="s">
        <v>12</v>
      </c>
      <c r="E1134">
        <v>0.47</v>
      </c>
      <c r="F1134" t="s">
        <v>13</v>
      </c>
    </row>
    <row r="1135" spans="1:6">
      <c r="A1135" t="s">
        <v>35</v>
      </c>
      <c r="B1135" t="s">
        <v>28</v>
      </c>
      <c r="C1135">
        <v>2050</v>
      </c>
      <c r="D1135" t="s">
        <v>164</v>
      </c>
      <c r="E1135">
        <v>2.6389999999999998</v>
      </c>
      <c r="F1135" t="s">
        <v>166</v>
      </c>
    </row>
    <row r="1136" spans="1:6">
      <c r="A1136" t="s">
        <v>36</v>
      </c>
      <c r="B1136" t="s">
        <v>20</v>
      </c>
      <c r="C1136">
        <v>2022</v>
      </c>
      <c r="D1136" t="s">
        <v>6</v>
      </c>
      <c r="E1136">
        <v>2500</v>
      </c>
      <c r="F1136" t="s">
        <v>7</v>
      </c>
    </row>
    <row r="1137" spans="1:6">
      <c r="A1137" t="s">
        <v>36</v>
      </c>
      <c r="B1137" t="s">
        <v>20</v>
      </c>
      <c r="C1137">
        <v>2022</v>
      </c>
      <c r="D1137" t="s">
        <v>8</v>
      </c>
      <c r="E1137">
        <v>2500</v>
      </c>
      <c r="F1137" t="s">
        <v>7</v>
      </c>
    </row>
    <row r="1138" spans="1:6">
      <c r="A1138" t="s">
        <v>36</v>
      </c>
      <c r="B1138" t="s">
        <v>20</v>
      </c>
      <c r="C1138">
        <v>2022</v>
      </c>
      <c r="D1138" t="s">
        <v>9</v>
      </c>
      <c r="E1138">
        <v>2500</v>
      </c>
      <c r="F1138" t="s">
        <v>7</v>
      </c>
    </row>
    <row r="1139" spans="1:6">
      <c r="A1139" t="s">
        <v>36</v>
      </c>
      <c r="B1139" t="s">
        <v>20</v>
      </c>
      <c r="C1139">
        <v>2022</v>
      </c>
      <c r="D1139" t="s">
        <v>10</v>
      </c>
      <c r="E1139">
        <v>95</v>
      </c>
      <c r="F1139" t="s">
        <v>11</v>
      </c>
    </row>
    <row r="1140" spans="1:6">
      <c r="A1140" t="s">
        <v>36</v>
      </c>
      <c r="B1140" t="s">
        <v>20</v>
      </c>
      <c r="C1140">
        <v>2022</v>
      </c>
      <c r="D1140" t="s">
        <v>12</v>
      </c>
      <c r="E1140">
        <v>0.44</v>
      </c>
      <c r="F1140" t="s">
        <v>13</v>
      </c>
    </row>
    <row r="1141" spans="1:6">
      <c r="A1141" t="s">
        <v>36</v>
      </c>
      <c r="B1141" t="s">
        <v>20</v>
      </c>
      <c r="C1141">
        <v>2030</v>
      </c>
      <c r="D1141" t="s">
        <v>6</v>
      </c>
      <c r="E1141">
        <v>2350</v>
      </c>
      <c r="F1141" t="s">
        <v>7</v>
      </c>
    </row>
    <row r="1142" spans="1:6">
      <c r="A1142" t="s">
        <v>36</v>
      </c>
      <c r="B1142" t="s">
        <v>20</v>
      </c>
      <c r="C1142">
        <v>2030</v>
      </c>
      <c r="D1142" t="s">
        <v>8</v>
      </c>
      <c r="E1142">
        <v>2350</v>
      </c>
      <c r="F1142" t="s">
        <v>7</v>
      </c>
    </row>
    <row r="1143" spans="1:6">
      <c r="A1143" t="s">
        <v>36</v>
      </c>
      <c r="B1143" t="s">
        <v>20</v>
      </c>
      <c r="C1143">
        <v>2030</v>
      </c>
      <c r="D1143" t="s">
        <v>9</v>
      </c>
      <c r="E1143">
        <v>2350</v>
      </c>
      <c r="F1143" t="s">
        <v>7</v>
      </c>
    </row>
    <row r="1144" spans="1:6">
      <c r="A1144" t="s">
        <v>36</v>
      </c>
      <c r="B1144" t="s">
        <v>20</v>
      </c>
      <c r="C1144">
        <v>2030</v>
      </c>
      <c r="D1144" t="s">
        <v>10</v>
      </c>
      <c r="E1144">
        <v>85</v>
      </c>
      <c r="F1144" t="s">
        <v>11</v>
      </c>
    </row>
    <row r="1145" spans="1:6">
      <c r="A1145" t="s">
        <v>36</v>
      </c>
      <c r="B1145" t="s">
        <v>20</v>
      </c>
      <c r="C1145">
        <v>2030</v>
      </c>
      <c r="D1145" t="s">
        <v>12</v>
      </c>
      <c r="E1145">
        <v>0.47</v>
      </c>
      <c r="F1145" t="s">
        <v>13</v>
      </c>
    </row>
    <row r="1146" spans="1:6">
      <c r="A1146" t="s">
        <v>36</v>
      </c>
      <c r="B1146" t="s">
        <v>20</v>
      </c>
      <c r="C1146">
        <v>2050</v>
      </c>
      <c r="D1146" t="s">
        <v>6</v>
      </c>
      <c r="E1146">
        <v>2300</v>
      </c>
      <c r="F1146" t="s">
        <v>7</v>
      </c>
    </row>
    <row r="1147" spans="1:6">
      <c r="A1147" t="s">
        <v>36</v>
      </c>
      <c r="B1147" t="s">
        <v>20</v>
      </c>
      <c r="C1147">
        <v>2050</v>
      </c>
      <c r="D1147" t="s">
        <v>8</v>
      </c>
      <c r="E1147">
        <v>2300</v>
      </c>
      <c r="F1147" t="s">
        <v>7</v>
      </c>
    </row>
    <row r="1148" spans="1:6">
      <c r="A1148" t="s">
        <v>36</v>
      </c>
      <c r="B1148" t="s">
        <v>20</v>
      </c>
      <c r="C1148">
        <v>2050</v>
      </c>
      <c r="D1148" t="s">
        <v>9</v>
      </c>
      <c r="E1148">
        <v>2300</v>
      </c>
      <c r="F1148" t="s">
        <v>7</v>
      </c>
    </row>
    <row r="1149" spans="1:6">
      <c r="A1149" t="s">
        <v>36</v>
      </c>
      <c r="B1149" t="s">
        <v>20</v>
      </c>
      <c r="C1149">
        <v>2050</v>
      </c>
      <c r="D1149" t="s">
        <v>10</v>
      </c>
      <c r="E1149">
        <v>80</v>
      </c>
      <c r="F1149" t="s">
        <v>11</v>
      </c>
    </row>
    <row r="1150" spans="1:6">
      <c r="A1150" t="s">
        <v>36</v>
      </c>
      <c r="B1150" t="s">
        <v>20</v>
      </c>
      <c r="C1150">
        <v>2050</v>
      </c>
      <c r="D1150" t="s">
        <v>12</v>
      </c>
      <c r="E1150">
        <v>0.49</v>
      </c>
      <c r="F1150" t="s">
        <v>13</v>
      </c>
    </row>
    <row r="1151" spans="1:6">
      <c r="A1151" t="s">
        <v>36</v>
      </c>
      <c r="B1151" t="s">
        <v>21</v>
      </c>
      <c r="C1151">
        <v>2022</v>
      </c>
      <c r="D1151" t="s">
        <v>6</v>
      </c>
      <c r="E1151">
        <v>2600</v>
      </c>
      <c r="F1151" t="s">
        <v>7</v>
      </c>
    </row>
    <row r="1152" spans="1:6">
      <c r="A1152" t="s">
        <v>36</v>
      </c>
      <c r="B1152" t="s">
        <v>21</v>
      </c>
      <c r="C1152">
        <v>2022</v>
      </c>
      <c r="D1152" t="s">
        <v>8</v>
      </c>
      <c r="E1152">
        <v>2600</v>
      </c>
      <c r="F1152" t="s">
        <v>7</v>
      </c>
    </row>
    <row r="1153" spans="1:6">
      <c r="A1153" t="s">
        <v>36</v>
      </c>
      <c r="B1153" t="s">
        <v>21</v>
      </c>
      <c r="C1153">
        <v>2022</v>
      </c>
      <c r="D1153" t="s">
        <v>9</v>
      </c>
      <c r="E1153">
        <v>2600</v>
      </c>
      <c r="F1153" t="s">
        <v>7</v>
      </c>
    </row>
    <row r="1154" spans="1:6">
      <c r="A1154" t="s">
        <v>36</v>
      </c>
      <c r="B1154" t="s">
        <v>21</v>
      </c>
      <c r="C1154">
        <v>2022</v>
      </c>
      <c r="D1154" t="s">
        <v>10</v>
      </c>
      <c r="E1154">
        <v>90</v>
      </c>
      <c r="F1154" t="s">
        <v>11</v>
      </c>
    </row>
    <row r="1155" spans="1:6">
      <c r="A1155" t="s">
        <v>36</v>
      </c>
      <c r="B1155" t="s">
        <v>21</v>
      </c>
      <c r="C1155">
        <v>2022</v>
      </c>
      <c r="D1155" t="s">
        <v>12</v>
      </c>
      <c r="E1155">
        <v>0.44</v>
      </c>
      <c r="F1155" t="s">
        <v>13</v>
      </c>
    </row>
    <row r="1156" spans="1:6">
      <c r="A1156" t="s">
        <v>36</v>
      </c>
      <c r="B1156" t="s">
        <v>21</v>
      </c>
      <c r="C1156">
        <v>2030</v>
      </c>
      <c r="D1156" t="s">
        <v>6</v>
      </c>
      <c r="E1156">
        <v>2450</v>
      </c>
      <c r="F1156" t="s">
        <v>7</v>
      </c>
    </row>
    <row r="1157" spans="1:6">
      <c r="A1157" t="s">
        <v>36</v>
      </c>
      <c r="B1157" t="s">
        <v>21</v>
      </c>
      <c r="C1157">
        <v>2030</v>
      </c>
      <c r="D1157" t="s">
        <v>8</v>
      </c>
      <c r="E1157">
        <v>2450</v>
      </c>
      <c r="F1157" t="s">
        <v>7</v>
      </c>
    </row>
    <row r="1158" spans="1:6">
      <c r="A1158" t="s">
        <v>36</v>
      </c>
      <c r="B1158" t="s">
        <v>21</v>
      </c>
      <c r="C1158">
        <v>2030</v>
      </c>
      <c r="D1158" t="s">
        <v>9</v>
      </c>
      <c r="E1158">
        <v>2450</v>
      </c>
      <c r="F1158" t="s">
        <v>7</v>
      </c>
    </row>
    <row r="1159" spans="1:6">
      <c r="A1159" t="s">
        <v>36</v>
      </c>
      <c r="B1159" t="s">
        <v>21</v>
      </c>
      <c r="C1159">
        <v>2030</v>
      </c>
      <c r="D1159" t="s">
        <v>10</v>
      </c>
      <c r="E1159">
        <v>85</v>
      </c>
      <c r="F1159" t="s">
        <v>11</v>
      </c>
    </row>
    <row r="1160" spans="1:6">
      <c r="A1160" t="s">
        <v>36</v>
      </c>
      <c r="B1160" t="s">
        <v>21</v>
      </c>
      <c r="C1160">
        <v>2030</v>
      </c>
      <c r="D1160" t="s">
        <v>12</v>
      </c>
      <c r="E1160">
        <v>0.47</v>
      </c>
      <c r="F1160" t="s">
        <v>13</v>
      </c>
    </row>
    <row r="1161" spans="1:6">
      <c r="A1161" t="s">
        <v>36</v>
      </c>
      <c r="B1161" t="s">
        <v>21</v>
      </c>
      <c r="C1161">
        <v>2050</v>
      </c>
      <c r="D1161" t="s">
        <v>6</v>
      </c>
      <c r="E1161">
        <v>2400</v>
      </c>
      <c r="F1161" t="s">
        <v>7</v>
      </c>
    </row>
    <row r="1162" spans="1:6">
      <c r="A1162" t="s">
        <v>36</v>
      </c>
      <c r="B1162" t="s">
        <v>21</v>
      </c>
      <c r="C1162">
        <v>2050</v>
      </c>
      <c r="D1162" t="s">
        <v>8</v>
      </c>
      <c r="E1162">
        <v>2400</v>
      </c>
      <c r="F1162" t="s">
        <v>7</v>
      </c>
    </row>
    <row r="1163" spans="1:6">
      <c r="A1163" t="s">
        <v>36</v>
      </c>
      <c r="B1163" t="s">
        <v>21</v>
      </c>
      <c r="C1163">
        <v>2050</v>
      </c>
      <c r="D1163" t="s">
        <v>9</v>
      </c>
      <c r="E1163">
        <v>2400</v>
      </c>
      <c r="F1163" t="s">
        <v>7</v>
      </c>
    </row>
    <row r="1164" spans="1:6">
      <c r="A1164" t="s">
        <v>36</v>
      </c>
      <c r="B1164" t="s">
        <v>21</v>
      </c>
      <c r="C1164">
        <v>2050</v>
      </c>
      <c r="D1164" t="s">
        <v>10</v>
      </c>
      <c r="E1164">
        <v>85</v>
      </c>
      <c r="F1164" t="s">
        <v>11</v>
      </c>
    </row>
    <row r="1165" spans="1:6">
      <c r="A1165" t="s">
        <v>36</v>
      </c>
      <c r="B1165" t="s">
        <v>21</v>
      </c>
      <c r="C1165">
        <v>2050</v>
      </c>
      <c r="D1165" t="s">
        <v>12</v>
      </c>
      <c r="E1165">
        <v>0.49</v>
      </c>
      <c r="F1165" t="s">
        <v>13</v>
      </c>
    </row>
    <row r="1166" spans="1:6">
      <c r="A1166" t="s">
        <v>36</v>
      </c>
      <c r="B1166" t="s">
        <v>22</v>
      </c>
      <c r="C1166">
        <v>2022</v>
      </c>
      <c r="D1166" t="s">
        <v>6</v>
      </c>
      <c r="E1166">
        <v>2900</v>
      </c>
      <c r="F1166" t="s">
        <v>7</v>
      </c>
    </row>
    <row r="1167" spans="1:6">
      <c r="A1167" t="s">
        <v>36</v>
      </c>
      <c r="B1167" t="s">
        <v>22</v>
      </c>
      <c r="C1167">
        <v>2022</v>
      </c>
      <c r="D1167" t="s">
        <v>8</v>
      </c>
      <c r="E1167">
        <v>2900</v>
      </c>
      <c r="F1167" t="s">
        <v>7</v>
      </c>
    </row>
    <row r="1168" spans="1:6">
      <c r="A1168" t="s">
        <v>36</v>
      </c>
      <c r="B1168" t="s">
        <v>22</v>
      </c>
      <c r="C1168">
        <v>2022</v>
      </c>
      <c r="D1168" t="s">
        <v>9</v>
      </c>
      <c r="E1168">
        <v>2900</v>
      </c>
      <c r="F1168" t="s">
        <v>7</v>
      </c>
    </row>
    <row r="1169" spans="1:6">
      <c r="A1169" t="s">
        <v>36</v>
      </c>
      <c r="B1169" t="s">
        <v>22</v>
      </c>
      <c r="C1169">
        <v>2022</v>
      </c>
      <c r="D1169" t="s">
        <v>10</v>
      </c>
      <c r="E1169">
        <v>100</v>
      </c>
      <c r="F1169" t="s">
        <v>11</v>
      </c>
    </row>
    <row r="1170" spans="1:6">
      <c r="A1170" t="s">
        <v>36</v>
      </c>
      <c r="B1170" t="s">
        <v>22</v>
      </c>
      <c r="C1170">
        <v>2022</v>
      </c>
      <c r="D1170" t="s">
        <v>12</v>
      </c>
      <c r="E1170">
        <v>0.44</v>
      </c>
      <c r="F1170" t="s">
        <v>13</v>
      </c>
    </row>
    <row r="1171" spans="1:6">
      <c r="A1171" t="s">
        <v>36</v>
      </c>
      <c r="B1171" t="s">
        <v>22</v>
      </c>
      <c r="C1171">
        <v>2030</v>
      </c>
      <c r="D1171" t="s">
        <v>6</v>
      </c>
      <c r="E1171">
        <v>2750</v>
      </c>
      <c r="F1171" t="s">
        <v>7</v>
      </c>
    </row>
    <row r="1172" spans="1:6">
      <c r="A1172" t="s">
        <v>36</v>
      </c>
      <c r="B1172" t="s">
        <v>22</v>
      </c>
      <c r="C1172">
        <v>2030</v>
      </c>
      <c r="D1172" t="s">
        <v>8</v>
      </c>
      <c r="E1172">
        <v>2750</v>
      </c>
      <c r="F1172" t="s">
        <v>7</v>
      </c>
    </row>
    <row r="1173" spans="1:6">
      <c r="A1173" t="s">
        <v>36</v>
      </c>
      <c r="B1173" t="s">
        <v>22</v>
      </c>
      <c r="C1173">
        <v>2030</v>
      </c>
      <c r="D1173" t="s">
        <v>9</v>
      </c>
      <c r="E1173">
        <v>2750</v>
      </c>
      <c r="F1173" t="s">
        <v>7</v>
      </c>
    </row>
    <row r="1174" spans="1:6">
      <c r="A1174" t="s">
        <v>36</v>
      </c>
      <c r="B1174" t="s">
        <v>22</v>
      </c>
      <c r="C1174">
        <v>2030</v>
      </c>
      <c r="D1174" t="s">
        <v>10</v>
      </c>
      <c r="E1174">
        <v>95</v>
      </c>
      <c r="F1174" t="s">
        <v>11</v>
      </c>
    </row>
    <row r="1175" spans="1:6">
      <c r="A1175" t="s">
        <v>36</v>
      </c>
      <c r="B1175" t="s">
        <v>22</v>
      </c>
      <c r="C1175">
        <v>2030</v>
      </c>
      <c r="D1175" t="s">
        <v>12</v>
      </c>
      <c r="E1175">
        <v>0.47</v>
      </c>
      <c r="F1175" t="s">
        <v>13</v>
      </c>
    </row>
    <row r="1176" spans="1:6">
      <c r="A1176" t="s">
        <v>36</v>
      </c>
      <c r="B1176" t="s">
        <v>22</v>
      </c>
      <c r="C1176">
        <v>2050</v>
      </c>
      <c r="D1176" t="s">
        <v>6</v>
      </c>
      <c r="E1176">
        <v>2700</v>
      </c>
      <c r="F1176" t="s">
        <v>7</v>
      </c>
    </row>
    <row r="1177" spans="1:6">
      <c r="A1177" t="s">
        <v>36</v>
      </c>
      <c r="B1177" t="s">
        <v>22</v>
      </c>
      <c r="C1177">
        <v>2050</v>
      </c>
      <c r="D1177" t="s">
        <v>8</v>
      </c>
      <c r="E1177">
        <v>2700</v>
      </c>
      <c r="F1177" t="s">
        <v>7</v>
      </c>
    </row>
    <row r="1178" spans="1:6">
      <c r="A1178" t="s">
        <v>36</v>
      </c>
      <c r="B1178" t="s">
        <v>22</v>
      </c>
      <c r="C1178">
        <v>2050</v>
      </c>
      <c r="D1178" t="s">
        <v>9</v>
      </c>
      <c r="E1178">
        <v>2700</v>
      </c>
      <c r="F1178" t="s">
        <v>7</v>
      </c>
    </row>
    <row r="1179" spans="1:6">
      <c r="A1179" t="s">
        <v>36</v>
      </c>
      <c r="B1179" t="s">
        <v>22</v>
      </c>
      <c r="C1179">
        <v>2050</v>
      </c>
      <c r="D1179" t="s">
        <v>10</v>
      </c>
      <c r="E1179">
        <v>95</v>
      </c>
      <c r="F1179" t="s">
        <v>11</v>
      </c>
    </row>
    <row r="1180" spans="1:6">
      <c r="A1180" t="s">
        <v>36</v>
      </c>
      <c r="B1180" t="s">
        <v>22</v>
      </c>
      <c r="C1180">
        <v>2050</v>
      </c>
      <c r="D1180" t="s">
        <v>12</v>
      </c>
      <c r="E1180">
        <v>0.49</v>
      </c>
      <c r="F1180" t="s">
        <v>13</v>
      </c>
    </row>
    <row r="1181" spans="1:6">
      <c r="A1181" t="s">
        <v>36</v>
      </c>
      <c r="B1181" t="s">
        <v>23</v>
      </c>
      <c r="C1181">
        <v>2022</v>
      </c>
      <c r="D1181" t="s">
        <v>6</v>
      </c>
      <c r="E1181">
        <v>2500</v>
      </c>
      <c r="F1181" t="s">
        <v>7</v>
      </c>
    </row>
    <row r="1182" spans="1:6">
      <c r="A1182" t="s">
        <v>36</v>
      </c>
      <c r="B1182" t="s">
        <v>23</v>
      </c>
      <c r="C1182">
        <v>2022</v>
      </c>
      <c r="D1182" t="s">
        <v>8</v>
      </c>
      <c r="E1182">
        <v>2500</v>
      </c>
      <c r="F1182" t="s">
        <v>7</v>
      </c>
    </row>
    <row r="1183" spans="1:6">
      <c r="A1183" t="s">
        <v>36</v>
      </c>
      <c r="B1183" t="s">
        <v>23</v>
      </c>
      <c r="C1183">
        <v>2022</v>
      </c>
      <c r="D1183" t="s">
        <v>9</v>
      </c>
      <c r="E1183">
        <v>2500</v>
      </c>
      <c r="F1183" t="s">
        <v>7</v>
      </c>
    </row>
    <row r="1184" spans="1:6">
      <c r="A1184" t="s">
        <v>36</v>
      </c>
      <c r="B1184" t="s">
        <v>23</v>
      </c>
      <c r="C1184">
        <v>2022</v>
      </c>
      <c r="D1184" t="s">
        <v>10</v>
      </c>
      <c r="E1184">
        <v>90</v>
      </c>
      <c r="F1184" t="s">
        <v>11</v>
      </c>
    </row>
    <row r="1185" spans="1:6">
      <c r="A1185" t="s">
        <v>36</v>
      </c>
      <c r="B1185" t="s">
        <v>23</v>
      </c>
      <c r="C1185">
        <v>2022</v>
      </c>
      <c r="D1185" t="s">
        <v>12</v>
      </c>
      <c r="E1185">
        <v>0.44</v>
      </c>
      <c r="F1185" t="s">
        <v>13</v>
      </c>
    </row>
    <row r="1186" spans="1:6">
      <c r="A1186" t="s">
        <v>36</v>
      </c>
      <c r="B1186" t="s">
        <v>23</v>
      </c>
      <c r="C1186">
        <v>2030</v>
      </c>
      <c r="D1186" t="s">
        <v>6</v>
      </c>
      <c r="E1186">
        <v>2350</v>
      </c>
      <c r="F1186" t="s">
        <v>7</v>
      </c>
    </row>
    <row r="1187" spans="1:6">
      <c r="A1187" t="s">
        <v>36</v>
      </c>
      <c r="B1187" t="s">
        <v>23</v>
      </c>
      <c r="C1187">
        <v>2030</v>
      </c>
      <c r="D1187" t="s">
        <v>8</v>
      </c>
      <c r="E1187">
        <v>2350</v>
      </c>
      <c r="F1187" t="s">
        <v>7</v>
      </c>
    </row>
    <row r="1188" spans="1:6">
      <c r="A1188" t="s">
        <v>36</v>
      </c>
      <c r="B1188" t="s">
        <v>23</v>
      </c>
      <c r="C1188">
        <v>2030</v>
      </c>
      <c r="D1188" t="s">
        <v>9</v>
      </c>
      <c r="E1188">
        <v>2350</v>
      </c>
      <c r="F1188" t="s">
        <v>7</v>
      </c>
    </row>
    <row r="1189" spans="1:6">
      <c r="A1189" t="s">
        <v>36</v>
      </c>
      <c r="B1189" t="s">
        <v>23</v>
      </c>
      <c r="C1189">
        <v>2030</v>
      </c>
      <c r="D1189" t="s">
        <v>10</v>
      </c>
      <c r="E1189">
        <v>85</v>
      </c>
      <c r="F1189" t="s">
        <v>11</v>
      </c>
    </row>
    <row r="1190" spans="1:6">
      <c r="A1190" t="s">
        <v>36</v>
      </c>
      <c r="B1190" t="s">
        <v>23</v>
      </c>
      <c r="C1190">
        <v>2030</v>
      </c>
      <c r="D1190" t="s">
        <v>12</v>
      </c>
      <c r="E1190">
        <v>0.47</v>
      </c>
      <c r="F1190" t="s">
        <v>13</v>
      </c>
    </row>
    <row r="1191" spans="1:6">
      <c r="A1191" t="s">
        <v>36</v>
      </c>
      <c r="B1191" t="s">
        <v>23</v>
      </c>
      <c r="C1191">
        <v>2050</v>
      </c>
      <c r="D1191" t="s">
        <v>6</v>
      </c>
      <c r="E1191">
        <v>2300</v>
      </c>
      <c r="F1191" t="s">
        <v>7</v>
      </c>
    </row>
    <row r="1192" spans="1:6">
      <c r="A1192" t="s">
        <v>36</v>
      </c>
      <c r="B1192" t="s">
        <v>23</v>
      </c>
      <c r="C1192">
        <v>2050</v>
      </c>
      <c r="D1192" t="s">
        <v>8</v>
      </c>
      <c r="E1192">
        <v>2300</v>
      </c>
      <c r="F1192" t="s">
        <v>7</v>
      </c>
    </row>
    <row r="1193" spans="1:6">
      <c r="A1193" t="s">
        <v>36</v>
      </c>
      <c r="B1193" t="s">
        <v>23</v>
      </c>
      <c r="C1193">
        <v>2050</v>
      </c>
      <c r="D1193" t="s">
        <v>9</v>
      </c>
      <c r="E1193">
        <v>2300</v>
      </c>
      <c r="F1193" t="s">
        <v>7</v>
      </c>
    </row>
    <row r="1194" spans="1:6">
      <c r="A1194" t="s">
        <v>36</v>
      </c>
      <c r="B1194" t="s">
        <v>23</v>
      </c>
      <c r="C1194">
        <v>2050</v>
      </c>
      <c r="D1194" t="s">
        <v>10</v>
      </c>
      <c r="E1194">
        <v>80</v>
      </c>
      <c r="F1194" t="s">
        <v>11</v>
      </c>
    </row>
    <row r="1195" spans="1:6">
      <c r="A1195" t="s">
        <v>36</v>
      </c>
      <c r="B1195" t="s">
        <v>23</v>
      </c>
      <c r="C1195">
        <v>2050</v>
      </c>
      <c r="D1195" t="s">
        <v>12</v>
      </c>
      <c r="E1195">
        <v>0.49</v>
      </c>
      <c r="F1195" t="s">
        <v>13</v>
      </c>
    </row>
    <row r="1196" spans="1:6">
      <c r="A1196" t="s">
        <v>36</v>
      </c>
      <c r="B1196" t="s">
        <v>24</v>
      </c>
      <c r="C1196">
        <v>2022</v>
      </c>
      <c r="D1196" t="s">
        <v>6</v>
      </c>
      <c r="E1196">
        <v>1100</v>
      </c>
      <c r="F1196" t="s">
        <v>7</v>
      </c>
    </row>
    <row r="1197" spans="1:6">
      <c r="A1197" t="s">
        <v>36</v>
      </c>
      <c r="B1197" t="s">
        <v>24</v>
      </c>
      <c r="C1197">
        <v>2022</v>
      </c>
      <c r="D1197" t="s">
        <v>8</v>
      </c>
      <c r="E1197">
        <v>1100</v>
      </c>
      <c r="F1197" t="s">
        <v>7</v>
      </c>
    </row>
    <row r="1198" spans="1:6">
      <c r="A1198" t="s">
        <v>36</v>
      </c>
      <c r="B1198" t="s">
        <v>24</v>
      </c>
      <c r="C1198">
        <v>2022</v>
      </c>
      <c r="D1198" t="s">
        <v>9</v>
      </c>
      <c r="E1198">
        <v>1100</v>
      </c>
      <c r="F1198" t="s">
        <v>7</v>
      </c>
    </row>
    <row r="1199" spans="1:6">
      <c r="A1199" t="s">
        <v>36</v>
      </c>
      <c r="B1199" t="s">
        <v>24</v>
      </c>
      <c r="C1199">
        <v>2022</v>
      </c>
      <c r="D1199" t="s">
        <v>10</v>
      </c>
      <c r="E1199">
        <v>50</v>
      </c>
      <c r="F1199" t="s">
        <v>11</v>
      </c>
    </row>
    <row r="1200" spans="1:6">
      <c r="A1200" t="s">
        <v>36</v>
      </c>
      <c r="B1200" t="s">
        <v>24</v>
      </c>
      <c r="C1200">
        <v>2022</v>
      </c>
      <c r="D1200" t="s">
        <v>12</v>
      </c>
      <c r="E1200">
        <v>0.43</v>
      </c>
      <c r="F1200" t="s">
        <v>13</v>
      </c>
    </row>
    <row r="1201" spans="1:6">
      <c r="A1201" t="s">
        <v>36</v>
      </c>
      <c r="B1201" t="s">
        <v>24</v>
      </c>
      <c r="C1201">
        <v>2030</v>
      </c>
      <c r="D1201" t="s">
        <v>6</v>
      </c>
      <c r="E1201">
        <v>1000</v>
      </c>
      <c r="F1201" t="s">
        <v>7</v>
      </c>
    </row>
    <row r="1202" spans="1:6">
      <c r="A1202" t="s">
        <v>36</v>
      </c>
      <c r="B1202" t="s">
        <v>24</v>
      </c>
      <c r="C1202">
        <v>2030</v>
      </c>
      <c r="D1202" t="s">
        <v>8</v>
      </c>
      <c r="E1202">
        <v>1000</v>
      </c>
      <c r="F1202" t="s">
        <v>7</v>
      </c>
    </row>
    <row r="1203" spans="1:6">
      <c r="A1203" t="s">
        <v>36</v>
      </c>
      <c r="B1203" t="s">
        <v>24</v>
      </c>
      <c r="C1203">
        <v>2030</v>
      </c>
      <c r="D1203" t="s">
        <v>9</v>
      </c>
      <c r="E1203">
        <v>1000</v>
      </c>
      <c r="F1203" t="s">
        <v>7</v>
      </c>
    </row>
    <row r="1204" spans="1:6">
      <c r="A1204" t="s">
        <v>36</v>
      </c>
      <c r="B1204" t="s">
        <v>24</v>
      </c>
      <c r="C1204">
        <v>2030</v>
      </c>
      <c r="D1204" t="s">
        <v>10</v>
      </c>
      <c r="E1204">
        <v>45</v>
      </c>
      <c r="F1204" t="s">
        <v>11</v>
      </c>
    </row>
    <row r="1205" spans="1:6">
      <c r="A1205" t="s">
        <v>36</v>
      </c>
      <c r="B1205" t="s">
        <v>24</v>
      </c>
      <c r="C1205">
        <v>2030</v>
      </c>
      <c r="D1205" t="s">
        <v>12</v>
      </c>
      <c r="E1205">
        <v>0.46</v>
      </c>
      <c r="F1205" t="s">
        <v>13</v>
      </c>
    </row>
    <row r="1206" spans="1:6">
      <c r="A1206" t="s">
        <v>36</v>
      </c>
      <c r="B1206" t="s">
        <v>24</v>
      </c>
      <c r="C1206">
        <v>2050</v>
      </c>
      <c r="D1206" t="s">
        <v>6</v>
      </c>
      <c r="E1206">
        <v>900</v>
      </c>
      <c r="F1206" t="s">
        <v>7</v>
      </c>
    </row>
    <row r="1207" spans="1:6">
      <c r="A1207" t="s">
        <v>36</v>
      </c>
      <c r="B1207" t="s">
        <v>24</v>
      </c>
      <c r="C1207">
        <v>2050</v>
      </c>
      <c r="D1207" t="s">
        <v>8</v>
      </c>
      <c r="E1207">
        <v>900</v>
      </c>
      <c r="F1207" t="s">
        <v>7</v>
      </c>
    </row>
    <row r="1208" spans="1:6">
      <c r="A1208" t="s">
        <v>36</v>
      </c>
      <c r="B1208" t="s">
        <v>24</v>
      </c>
      <c r="C1208">
        <v>2050</v>
      </c>
      <c r="D1208" t="s">
        <v>9</v>
      </c>
      <c r="E1208">
        <v>900</v>
      </c>
      <c r="F1208" t="s">
        <v>7</v>
      </c>
    </row>
    <row r="1209" spans="1:6">
      <c r="A1209" t="s">
        <v>36</v>
      </c>
      <c r="B1209" t="s">
        <v>24</v>
      </c>
      <c r="C1209">
        <v>2050</v>
      </c>
      <c r="D1209" t="s">
        <v>10</v>
      </c>
      <c r="E1209">
        <v>40</v>
      </c>
      <c r="F1209" t="s">
        <v>11</v>
      </c>
    </row>
    <row r="1210" spans="1:6">
      <c r="A1210" t="s">
        <v>36</v>
      </c>
      <c r="B1210" t="s">
        <v>24</v>
      </c>
      <c r="C1210">
        <v>2050</v>
      </c>
      <c r="D1210" t="s">
        <v>12</v>
      </c>
      <c r="E1210">
        <v>0.49</v>
      </c>
      <c r="F1210" t="s">
        <v>13</v>
      </c>
    </row>
    <row r="1211" spans="1:6">
      <c r="A1211" t="s">
        <v>36</v>
      </c>
      <c r="B1211" t="s">
        <v>25</v>
      </c>
      <c r="C1211">
        <v>2022</v>
      </c>
      <c r="D1211" t="s">
        <v>6</v>
      </c>
      <c r="E1211">
        <v>1600</v>
      </c>
      <c r="F1211" t="s">
        <v>7</v>
      </c>
    </row>
    <row r="1212" spans="1:6">
      <c r="A1212" t="s">
        <v>36</v>
      </c>
      <c r="B1212" t="s">
        <v>25</v>
      </c>
      <c r="C1212">
        <v>2022</v>
      </c>
      <c r="D1212" t="s">
        <v>8</v>
      </c>
      <c r="E1212">
        <v>1600</v>
      </c>
      <c r="F1212" t="s">
        <v>7</v>
      </c>
    </row>
    <row r="1213" spans="1:6">
      <c r="A1213" t="s">
        <v>36</v>
      </c>
      <c r="B1213" t="s">
        <v>25</v>
      </c>
      <c r="C1213">
        <v>2022</v>
      </c>
      <c r="D1213" t="s">
        <v>9</v>
      </c>
      <c r="E1213">
        <v>1600</v>
      </c>
      <c r="F1213" t="s">
        <v>7</v>
      </c>
    </row>
    <row r="1214" spans="1:6">
      <c r="A1214" t="s">
        <v>36</v>
      </c>
      <c r="B1214" t="s">
        <v>25</v>
      </c>
      <c r="C1214">
        <v>2022</v>
      </c>
      <c r="D1214" t="s">
        <v>10</v>
      </c>
      <c r="E1214">
        <v>70</v>
      </c>
      <c r="F1214" t="s">
        <v>11</v>
      </c>
    </row>
    <row r="1215" spans="1:6">
      <c r="A1215" t="s">
        <v>36</v>
      </c>
      <c r="B1215" t="s">
        <v>25</v>
      </c>
      <c r="C1215">
        <v>2022</v>
      </c>
      <c r="D1215" t="s">
        <v>12</v>
      </c>
      <c r="E1215">
        <v>0.41</v>
      </c>
      <c r="F1215" t="s">
        <v>13</v>
      </c>
    </row>
    <row r="1216" spans="1:6">
      <c r="A1216" t="s">
        <v>36</v>
      </c>
      <c r="B1216" t="s">
        <v>25</v>
      </c>
      <c r="C1216">
        <v>2030</v>
      </c>
      <c r="D1216" t="s">
        <v>6</v>
      </c>
      <c r="E1216">
        <v>1500</v>
      </c>
      <c r="F1216" t="s">
        <v>7</v>
      </c>
    </row>
    <row r="1217" spans="1:6">
      <c r="A1217" t="s">
        <v>36</v>
      </c>
      <c r="B1217" t="s">
        <v>25</v>
      </c>
      <c r="C1217">
        <v>2030</v>
      </c>
      <c r="D1217" t="s">
        <v>8</v>
      </c>
      <c r="E1217">
        <v>1500</v>
      </c>
      <c r="F1217" t="s">
        <v>7</v>
      </c>
    </row>
    <row r="1218" spans="1:6">
      <c r="A1218" t="s">
        <v>36</v>
      </c>
      <c r="B1218" t="s">
        <v>25</v>
      </c>
      <c r="C1218">
        <v>2030</v>
      </c>
      <c r="D1218" t="s">
        <v>9</v>
      </c>
      <c r="E1218">
        <v>1500</v>
      </c>
      <c r="F1218" t="s">
        <v>7</v>
      </c>
    </row>
    <row r="1219" spans="1:6">
      <c r="A1219" t="s">
        <v>36</v>
      </c>
      <c r="B1219" t="s">
        <v>25</v>
      </c>
      <c r="C1219">
        <v>2030</v>
      </c>
      <c r="D1219" t="s">
        <v>10</v>
      </c>
      <c r="E1219">
        <v>70</v>
      </c>
      <c r="F1219" t="s">
        <v>11</v>
      </c>
    </row>
    <row r="1220" spans="1:6">
      <c r="A1220" t="s">
        <v>36</v>
      </c>
      <c r="B1220" t="s">
        <v>25</v>
      </c>
      <c r="C1220">
        <v>2030</v>
      </c>
      <c r="D1220" t="s">
        <v>12</v>
      </c>
      <c r="E1220">
        <v>0.44</v>
      </c>
      <c r="F1220" t="s">
        <v>13</v>
      </c>
    </row>
    <row r="1221" spans="1:6">
      <c r="A1221" t="s">
        <v>36</v>
      </c>
      <c r="B1221" t="s">
        <v>25</v>
      </c>
      <c r="C1221">
        <v>2050</v>
      </c>
      <c r="D1221" t="s">
        <v>6</v>
      </c>
      <c r="E1221">
        <v>1500</v>
      </c>
      <c r="F1221" t="s">
        <v>7</v>
      </c>
    </row>
    <row r="1222" spans="1:6">
      <c r="A1222" t="s">
        <v>36</v>
      </c>
      <c r="B1222" t="s">
        <v>25</v>
      </c>
      <c r="C1222">
        <v>2050</v>
      </c>
      <c r="D1222" t="s">
        <v>8</v>
      </c>
      <c r="E1222">
        <v>1500</v>
      </c>
      <c r="F1222" t="s">
        <v>7</v>
      </c>
    </row>
    <row r="1223" spans="1:6">
      <c r="A1223" t="s">
        <v>36</v>
      </c>
      <c r="B1223" t="s">
        <v>25</v>
      </c>
      <c r="C1223">
        <v>2050</v>
      </c>
      <c r="D1223" t="s">
        <v>9</v>
      </c>
      <c r="E1223">
        <v>1500</v>
      </c>
      <c r="F1223" t="s">
        <v>7</v>
      </c>
    </row>
    <row r="1224" spans="1:6">
      <c r="A1224" t="s">
        <v>36</v>
      </c>
      <c r="B1224" t="s">
        <v>25</v>
      </c>
      <c r="C1224">
        <v>2050</v>
      </c>
      <c r="D1224" t="s">
        <v>10</v>
      </c>
      <c r="E1224">
        <v>70</v>
      </c>
      <c r="F1224" t="s">
        <v>11</v>
      </c>
    </row>
    <row r="1225" spans="1:6">
      <c r="A1225" t="s">
        <v>36</v>
      </c>
      <c r="B1225" t="s">
        <v>25</v>
      </c>
      <c r="C1225">
        <v>2050</v>
      </c>
      <c r="D1225" t="s">
        <v>12</v>
      </c>
      <c r="E1225">
        <v>0.47</v>
      </c>
      <c r="F1225" t="s">
        <v>13</v>
      </c>
    </row>
    <row r="1226" spans="1:6">
      <c r="A1226" t="s">
        <v>36</v>
      </c>
      <c r="B1226" t="s">
        <v>26</v>
      </c>
      <c r="C1226">
        <v>2022</v>
      </c>
      <c r="D1226" t="s">
        <v>6</v>
      </c>
      <c r="E1226">
        <v>2000</v>
      </c>
      <c r="F1226" t="s">
        <v>7</v>
      </c>
    </row>
    <row r="1227" spans="1:6">
      <c r="A1227" t="s">
        <v>36</v>
      </c>
      <c r="B1227" t="s">
        <v>26</v>
      </c>
      <c r="C1227">
        <v>2022</v>
      </c>
      <c r="D1227" t="s">
        <v>8</v>
      </c>
      <c r="E1227">
        <v>2000</v>
      </c>
      <c r="F1227" t="s">
        <v>7</v>
      </c>
    </row>
    <row r="1228" spans="1:6">
      <c r="A1228" t="s">
        <v>36</v>
      </c>
      <c r="B1228" t="s">
        <v>26</v>
      </c>
      <c r="C1228">
        <v>2022</v>
      </c>
      <c r="D1228" t="s">
        <v>9</v>
      </c>
      <c r="E1228">
        <v>2000</v>
      </c>
      <c r="F1228" t="s">
        <v>7</v>
      </c>
    </row>
    <row r="1229" spans="1:6">
      <c r="A1229" t="s">
        <v>36</v>
      </c>
      <c r="B1229" t="s">
        <v>26</v>
      </c>
      <c r="C1229">
        <v>2022</v>
      </c>
      <c r="D1229" t="s">
        <v>10</v>
      </c>
      <c r="E1229">
        <v>90</v>
      </c>
      <c r="F1229" t="s">
        <v>11</v>
      </c>
    </row>
    <row r="1230" spans="1:6">
      <c r="A1230" t="s">
        <v>36</v>
      </c>
      <c r="B1230" t="s">
        <v>26</v>
      </c>
      <c r="C1230">
        <v>2022</v>
      </c>
      <c r="D1230" t="s">
        <v>12</v>
      </c>
      <c r="E1230">
        <v>0.42</v>
      </c>
      <c r="F1230" t="s">
        <v>13</v>
      </c>
    </row>
    <row r="1231" spans="1:6">
      <c r="A1231" t="s">
        <v>36</v>
      </c>
      <c r="B1231" t="s">
        <v>26</v>
      </c>
      <c r="C1231">
        <v>2030</v>
      </c>
      <c r="D1231" t="s">
        <v>6</v>
      </c>
      <c r="E1231">
        <v>1900</v>
      </c>
      <c r="F1231" t="s">
        <v>7</v>
      </c>
    </row>
    <row r="1232" spans="1:6">
      <c r="A1232" t="s">
        <v>36</v>
      </c>
      <c r="B1232" t="s">
        <v>26</v>
      </c>
      <c r="C1232">
        <v>2030</v>
      </c>
      <c r="D1232" t="s">
        <v>8</v>
      </c>
      <c r="E1232">
        <v>1900</v>
      </c>
      <c r="F1232" t="s">
        <v>7</v>
      </c>
    </row>
    <row r="1233" spans="1:6">
      <c r="A1233" t="s">
        <v>36</v>
      </c>
      <c r="B1233" t="s">
        <v>26</v>
      </c>
      <c r="C1233">
        <v>2030</v>
      </c>
      <c r="D1233" t="s">
        <v>9</v>
      </c>
      <c r="E1233">
        <v>1900</v>
      </c>
      <c r="F1233" t="s">
        <v>7</v>
      </c>
    </row>
    <row r="1234" spans="1:6">
      <c r="A1234" t="s">
        <v>36</v>
      </c>
      <c r="B1234" t="s">
        <v>26</v>
      </c>
      <c r="C1234">
        <v>2030</v>
      </c>
      <c r="D1234" t="s">
        <v>10</v>
      </c>
      <c r="E1234">
        <v>85</v>
      </c>
      <c r="F1234" t="s">
        <v>11</v>
      </c>
    </row>
    <row r="1235" spans="1:6">
      <c r="A1235" t="s">
        <v>36</v>
      </c>
      <c r="B1235" t="s">
        <v>26</v>
      </c>
      <c r="C1235">
        <v>2030</v>
      </c>
      <c r="D1235" t="s">
        <v>12</v>
      </c>
      <c r="E1235">
        <v>0.45</v>
      </c>
      <c r="F1235" t="s">
        <v>13</v>
      </c>
    </row>
    <row r="1236" spans="1:6">
      <c r="A1236" t="s">
        <v>36</v>
      </c>
      <c r="B1236" t="s">
        <v>26</v>
      </c>
      <c r="C1236">
        <v>2050</v>
      </c>
      <c r="D1236" t="s">
        <v>6</v>
      </c>
      <c r="E1236">
        <v>1900</v>
      </c>
      <c r="F1236" t="s">
        <v>7</v>
      </c>
    </row>
    <row r="1237" spans="1:6">
      <c r="A1237" t="s">
        <v>36</v>
      </c>
      <c r="B1237" t="s">
        <v>26</v>
      </c>
      <c r="C1237">
        <v>2050</v>
      </c>
      <c r="D1237" t="s">
        <v>8</v>
      </c>
      <c r="E1237">
        <v>1900</v>
      </c>
      <c r="F1237" t="s">
        <v>7</v>
      </c>
    </row>
    <row r="1238" spans="1:6">
      <c r="A1238" t="s">
        <v>36</v>
      </c>
      <c r="B1238" t="s">
        <v>26</v>
      </c>
      <c r="C1238">
        <v>2050</v>
      </c>
      <c r="D1238" t="s">
        <v>9</v>
      </c>
      <c r="E1238">
        <v>1900</v>
      </c>
      <c r="F1238" t="s">
        <v>7</v>
      </c>
    </row>
    <row r="1239" spans="1:6">
      <c r="A1239" t="s">
        <v>36</v>
      </c>
      <c r="B1239" t="s">
        <v>26</v>
      </c>
      <c r="C1239">
        <v>2050</v>
      </c>
      <c r="D1239" t="s">
        <v>10</v>
      </c>
      <c r="E1239">
        <v>85</v>
      </c>
      <c r="F1239" t="s">
        <v>11</v>
      </c>
    </row>
    <row r="1240" spans="1:6">
      <c r="A1240" t="s">
        <v>36</v>
      </c>
      <c r="B1240" t="s">
        <v>26</v>
      </c>
      <c r="C1240">
        <v>2050</v>
      </c>
      <c r="D1240" t="s">
        <v>12</v>
      </c>
      <c r="E1240">
        <v>0.47</v>
      </c>
      <c r="F1240" t="s">
        <v>13</v>
      </c>
    </row>
    <row r="1241" spans="1:6">
      <c r="A1241" t="s">
        <v>36</v>
      </c>
      <c r="B1241" t="s">
        <v>27</v>
      </c>
      <c r="C1241">
        <v>2022</v>
      </c>
      <c r="D1241" t="s">
        <v>6</v>
      </c>
      <c r="E1241">
        <v>2200</v>
      </c>
      <c r="F1241" t="s">
        <v>7</v>
      </c>
    </row>
    <row r="1242" spans="1:6">
      <c r="A1242" t="s">
        <v>36</v>
      </c>
      <c r="B1242" t="s">
        <v>27</v>
      </c>
      <c r="C1242">
        <v>2022</v>
      </c>
      <c r="D1242" t="s">
        <v>8</v>
      </c>
      <c r="E1242">
        <v>2200</v>
      </c>
      <c r="F1242" t="s">
        <v>7</v>
      </c>
    </row>
    <row r="1243" spans="1:6">
      <c r="A1243" t="s">
        <v>36</v>
      </c>
      <c r="B1243" t="s">
        <v>27</v>
      </c>
      <c r="C1243">
        <v>2022</v>
      </c>
      <c r="D1243" t="s">
        <v>9</v>
      </c>
      <c r="E1243">
        <v>2200</v>
      </c>
      <c r="F1243" t="s">
        <v>7</v>
      </c>
    </row>
    <row r="1244" spans="1:6">
      <c r="A1244" t="s">
        <v>36</v>
      </c>
      <c r="B1244" t="s">
        <v>27</v>
      </c>
      <c r="C1244">
        <v>2022</v>
      </c>
      <c r="D1244" t="s">
        <v>10</v>
      </c>
      <c r="E1244">
        <v>90</v>
      </c>
      <c r="F1244" t="s">
        <v>11</v>
      </c>
    </row>
    <row r="1245" spans="1:6">
      <c r="A1245" t="s">
        <v>36</v>
      </c>
      <c r="B1245" t="s">
        <v>27</v>
      </c>
      <c r="C1245">
        <v>2022</v>
      </c>
      <c r="D1245" t="s">
        <v>12</v>
      </c>
      <c r="E1245">
        <v>0.4</v>
      </c>
      <c r="F1245" t="s">
        <v>13</v>
      </c>
    </row>
    <row r="1246" spans="1:6">
      <c r="A1246" t="s">
        <v>36</v>
      </c>
      <c r="B1246" t="s">
        <v>27</v>
      </c>
      <c r="C1246">
        <v>2030</v>
      </c>
      <c r="D1246" t="s">
        <v>6</v>
      </c>
      <c r="E1246">
        <v>2100</v>
      </c>
      <c r="F1246" t="s">
        <v>7</v>
      </c>
    </row>
    <row r="1247" spans="1:6">
      <c r="A1247" t="s">
        <v>36</v>
      </c>
      <c r="B1247" t="s">
        <v>27</v>
      </c>
      <c r="C1247">
        <v>2030</v>
      </c>
      <c r="D1247" t="s">
        <v>8</v>
      </c>
      <c r="E1247">
        <v>2100</v>
      </c>
      <c r="F1247" t="s">
        <v>7</v>
      </c>
    </row>
    <row r="1248" spans="1:6">
      <c r="A1248" t="s">
        <v>36</v>
      </c>
      <c r="B1248" t="s">
        <v>27</v>
      </c>
      <c r="C1248">
        <v>2030</v>
      </c>
      <c r="D1248" t="s">
        <v>9</v>
      </c>
      <c r="E1248">
        <v>2100</v>
      </c>
      <c r="F1248" t="s">
        <v>7</v>
      </c>
    </row>
    <row r="1249" spans="1:6">
      <c r="A1249" t="s">
        <v>36</v>
      </c>
      <c r="B1249" t="s">
        <v>27</v>
      </c>
      <c r="C1249">
        <v>2030</v>
      </c>
      <c r="D1249" t="s">
        <v>10</v>
      </c>
      <c r="E1249">
        <v>85</v>
      </c>
      <c r="F1249" t="s">
        <v>11</v>
      </c>
    </row>
    <row r="1250" spans="1:6">
      <c r="A1250" t="s">
        <v>36</v>
      </c>
      <c r="B1250" t="s">
        <v>27</v>
      </c>
      <c r="C1250">
        <v>2030</v>
      </c>
      <c r="D1250" t="s">
        <v>12</v>
      </c>
      <c r="E1250">
        <v>0.43</v>
      </c>
      <c r="F1250" t="s">
        <v>13</v>
      </c>
    </row>
    <row r="1251" spans="1:6">
      <c r="A1251" t="s">
        <v>36</v>
      </c>
      <c r="B1251" t="s">
        <v>27</v>
      </c>
      <c r="C1251">
        <v>2050</v>
      </c>
      <c r="D1251" t="s">
        <v>6</v>
      </c>
      <c r="E1251">
        <v>2100</v>
      </c>
      <c r="F1251" t="s">
        <v>7</v>
      </c>
    </row>
    <row r="1252" spans="1:6">
      <c r="A1252" t="s">
        <v>36</v>
      </c>
      <c r="B1252" t="s">
        <v>27</v>
      </c>
      <c r="C1252">
        <v>2050</v>
      </c>
      <c r="D1252" t="s">
        <v>8</v>
      </c>
      <c r="E1252">
        <v>2100</v>
      </c>
      <c r="F1252" t="s">
        <v>7</v>
      </c>
    </row>
    <row r="1253" spans="1:6">
      <c r="A1253" t="s">
        <v>36</v>
      </c>
      <c r="B1253" t="s">
        <v>27</v>
      </c>
      <c r="C1253">
        <v>2050</v>
      </c>
      <c r="D1253" t="s">
        <v>9</v>
      </c>
      <c r="E1253">
        <v>2100</v>
      </c>
      <c r="F1253" t="s">
        <v>7</v>
      </c>
    </row>
    <row r="1254" spans="1:6">
      <c r="A1254" t="s">
        <v>36</v>
      </c>
      <c r="B1254" t="s">
        <v>27</v>
      </c>
      <c r="C1254">
        <v>2050</v>
      </c>
      <c r="D1254" t="s">
        <v>10</v>
      </c>
      <c r="E1254">
        <v>85</v>
      </c>
      <c r="F1254" t="s">
        <v>11</v>
      </c>
    </row>
    <row r="1255" spans="1:6">
      <c r="A1255" t="s">
        <v>36</v>
      </c>
      <c r="B1255" t="s">
        <v>27</v>
      </c>
      <c r="C1255">
        <v>2050</v>
      </c>
      <c r="D1255" t="s">
        <v>12</v>
      </c>
      <c r="E1255">
        <v>0.45</v>
      </c>
      <c r="F1255" t="s">
        <v>13</v>
      </c>
    </row>
    <row r="1256" spans="1:6">
      <c r="A1256" t="s">
        <v>36</v>
      </c>
      <c r="B1256" t="s">
        <v>28</v>
      </c>
      <c r="C1256">
        <v>2022</v>
      </c>
      <c r="D1256" t="s">
        <v>6</v>
      </c>
      <c r="E1256">
        <v>2000</v>
      </c>
      <c r="F1256" t="s">
        <v>7</v>
      </c>
    </row>
    <row r="1257" spans="1:6">
      <c r="A1257" t="s">
        <v>36</v>
      </c>
      <c r="B1257" t="s">
        <v>28</v>
      </c>
      <c r="C1257">
        <v>2022</v>
      </c>
      <c r="D1257" t="s">
        <v>8</v>
      </c>
      <c r="E1257">
        <v>2000</v>
      </c>
      <c r="F1257" t="s">
        <v>7</v>
      </c>
    </row>
    <row r="1258" spans="1:6">
      <c r="A1258" t="s">
        <v>36</v>
      </c>
      <c r="B1258" t="s">
        <v>28</v>
      </c>
      <c r="C1258">
        <v>2022</v>
      </c>
      <c r="D1258" t="s">
        <v>9</v>
      </c>
      <c r="E1258">
        <v>2000</v>
      </c>
      <c r="F1258" t="s">
        <v>7</v>
      </c>
    </row>
    <row r="1259" spans="1:6">
      <c r="A1259" t="s">
        <v>36</v>
      </c>
      <c r="B1259" t="s">
        <v>28</v>
      </c>
      <c r="C1259">
        <v>2022</v>
      </c>
      <c r="D1259" t="s">
        <v>10</v>
      </c>
      <c r="E1259">
        <v>90</v>
      </c>
      <c r="F1259" t="s">
        <v>11</v>
      </c>
    </row>
    <row r="1260" spans="1:6">
      <c r="A1260" t="s">
        <v>36</v>
      </c>
      <c r="B1260" t="s">
        <v>28</v>
      </c>
      <c r="C1260">
        <v>2022</v>
      </c>
      <c r="D1260" t="s">
        <v>12</v>
      </c>
      <c r="E1260">
        <v>0.44</v>
      </c>
      <c r="F1260" t="s">
        <v>13</v>
      </c>
    </row>
    <row r="1261" spans="1:6">
      <c r="A1261" t="s">
        <v>36</v>
      </c>
      <c r="B1261" t="s">
        <v>28</v>
      </c>
      <c r="C1261">
        <v>2030</v>
      </c>
      <c r="D1261" t="s">
        <v>6</v>
      </c>
      <c r="E1261">
        <v>1900</v>
      </c>
      <c r="F1261" t="s">
        <v>7</v>
      </c>
    </row>
    <row r="1262" spans="1:6">
      <c r="A1262" t="s">
        <v>36</v>
      </c>
      <c r="B1262" t="s">
        <v>28</v>
      </c>
      <c r="C1262">
        <v>2030</v>
      </c>
      <c r="D1262" t="s">
        <v>8</v>
      </c>
      <c r="E1262">
        <v>1900</v>
      </c>
      <c r="F1262" t="s">
        <v>7</v>
      </c>
    </row>
    <row r="1263" spans="1:6">
      <c r="A1263" t="s">
        <v>36</v>
      </c>
      <c r="B1263" t="s">
        <v>28</v>
      </c>
      <c r="C1263">
        <v>2030</v>
      </c>
      <c r="D1263" t="s">
        <v>9</v>
      </c>
      <c r="E1263">
        <v>1900</v>
      </c>
      <c r="F1263" t="s">
        <v>7</v>
      </c>
    </row>
    <row r="1264" spans="1:6">
      <c r="A1264" t="s">
        <v>36</v>
      </c>
      <c r="B1264" t="s">
        <v>28</v>
      </c>
      <c r="C1264">
        <v>2030</v>
      </c>
      <c r="D1264" t="s">
        <v>10</v>
      </c>
      <c r="E1264">
        <v>85</v>
      </c>
      <c r="F1264" t="s">
        <v>11</v>
      </c>
    </row>
    <row r="1265" spans="1:6">
      <c r="A1265" t="s">
        <v>36</v>
      </c>
      <c r="B1265" t="s">
        <v>28</v>
      </c>
      <c r="C1265">
        <v>2030</v>
      </c>
      <c r="D1265" t="s">
        <v>12</v>
      </c>
      <c r="E1265">
        <v>0.47</v>
      </c>
      <c r="F1265" t="s">
        <v>13</v>
      </c>
    </row>
    <row r="1266" spans="1:6">
      <c r="A1266" t="s">
        <v>36</v>
      </c>
      <c r="B1266" t="s">
        <v>28</v>
      </c>
      <c r="C1266">
        <v>2050</v>
      </c>
      <c r="D1266" t="s">
        <v>6</v>
      </c>
      <c r="E1266">
        <v>1900</v>
      </c>
      <c r="F1266" t="s">
        <v>7</v>
      </c>
    </row>
    <row r="1267" spans="1:6">
      <c r="A1267" t="s">
        <v>36</v>
      </c>
      <c r="B1267" t="s">
        <v>28</v>
      </c>
      <c r="C1267">
        <v>2050</v>
      </c>
      <c r="D1267" t="s">
        <v>8</v>
      </c>
      <c r="E1267">
        <v>1900</v>
      </c>
      <c r="F1267" t="s">
        <v>7</v>
      </c>
    </row>
    <row r="1268" spans="1:6">
      <c r="A1268" t="s">
        <v>36</v>
      </c>
      <c r="B1268" t="s">
        <v>28</v>
      </c>
      <c r="C1268">
        <v>2050</v>
      </c>
      <c r="D1268" t="s">
        <v>9</v>
      </c>
      <c r="E1268">
        <v>1900</v>
      </c>
      <c r="F1268" t="s">
        <v>7</v>
      </c>
    </row>
    <row r="1269" spans="1:6">
      <c r="A1269" t="s">
        <v>36</v>
      </c>
      <c r="B1269" t="s">
        <v>28</v>
      </c>
      <c r="C1269">
        <v>2050</v>
      </c>
      <c r="D1269" t="s">
        <v>10</v>
      </c>
      <c r="E1269">
        <v>85</v>
      </c>
      <c r="F1269" t="s">
        <v>11</v>
      </c>
    </row>
    <row r="1270" spans="1:6">
      <c r="A1270" t="s">
        <v>36</v>
      </c>
      <c r="B1270" t="s">
        <v>28</v>
      </c>
      <c r="C1270">
        <v>2050</v>
      </c>
      <c r="D1270" t="s">
        <v>12</v>
      </c>
      <c r="E1270">
        <v>0.49</v>
      </c>
      <c r="F1270" t="s">
        <v>13</v>
      </c>
    </row>
    <row r="1271" spans="1:6">
      <c r="A1271" t="s">
        <v>37</v>
      </c>
      <c r="B1271" t="s">
        <v>20</v>
      </c>
      <c r="C1271">
        <v>2022</v>
      </c>
      <c r="D1271" t="s">
        <v>6</v>
      </c>
      <c r="E1271">
        <v>5500</v>
      </c>
      <c r="F1271" t="s">
        <v>7</v>
      </c>
    </row>
    <row r="1272" spans="1:6">
      <c r="A1272" t="s">
        <v>37</v>
      </c>
      <c r="B1272" t="s">
        <v>20</v>
      </c>
      <c r="C1272">
        <v>2022</v>
      </c>
      <c r="D1272" t="s">
        <v>8</v>
      </c>
      <c r="E1272">
        <v>5500</v>
      </c>
      <c r="F1272" t="s">
        <v>7</v>
      </c>
    </row>
    <row r="1273" spans="1:6">
      <c r="A1273" t="s">
        <v>37</v>
      </c>
      <c r="B1273" t="s">
        <v>20</v>
      </c>
      <c r="C1273">
        <v>2022</v>
      </c>
      <c r="D1273" t="s">
        <v>9</v>
      </c>
      <c r="E1273">
        <v>5500</v>
      </c>
      <c r="F1273" t="s">
        <v>7</v>
      </c>
    </row>
    <row r="1274" spans="1:6">
      <c r="A1274" t="s">
        <v>37</v>
      </c>
      <c r="B1274" t="s">
        <v>20</v>
      </c>
      <c r="C1274">
        <v>2022</v>
      </c>
      <c r="D1274" t="s">
        <v>10</v>
      </c>
      <c r="E1274">
        <v>165</v>
      </c>
      <c r="F1274" t="s">
        <v>11</v>
      </c>
    </row>
    <row r="1275" spans="1:6">
      <c r="A1275" t="s">
        <v>37</v>
      </c>
      <c r="B1275" t="s">
        <v>20</v>
      </c>
      <c r="C1275">
        <v>2022</v>
      </c>
      <c r="D1275" t="s">
        <v>12</v>
      </c>
      <c r="E1275">
        <v>0.36</v>
      </c>
      <c r="F1275" t="s">
        <v>13</v>
      </c>
    </row>
    <row r="1276" spans="1:6">
      <c r="A1276" t="s">
        <v>37</v>
      </c>
      <c r="B1276" t="s">
        <v>20</v>
      </c>
      <c r="C1276">
        <v>2022</v>
      </c>
      <c r="D1276" t="s">
        <v>164</v>
      </c>
      <c r="E1276">
        <v>4.4779999999999998</v>
      </c>
      <c r="F1276" t="s">
        <v>166</v>
      </c>
    </row>
    <row r="1277" spans="1:6">
      <c r="A1277" t="s">
        <v>37</v>
      </c>
      <c r="B1277" t="s">
        <v>20</v>
      </c>
      <c r="C1277">
        <v>2030</v>
      </c>
      <c r="D1277" t="s">
        <v>6</v>
      </c>
      <c r="E1277">
        <v>5500</v>
      </c>
      <c r="F1277" t="s">
        <v>7</v>
      </c>
    </row>
    <row r="1278" spans="1:6">
      <c r="A1278" t="s">
        <v>37</v>
      </c>
      <c r="B1278" t="s">
        <v>20</v>
      </c>
      <c r="C1278">
        <v>2030</v>
      </c>
      <c r="D1278" t="s">
        <v>8</v>
      </c>
      <c r="E1278">
        <v>5621</v>
      </c>
      <c r="F1278" t="s">
        <v>7</v>
      </c>
    </row>
    <row r="1279" spans="1:6">
      <c r="A1279" t="s">
        <v>37</v>
      </c>
      <c r="B1279" t="s">
        <v>20</v>
      </c>
      <c r="C1279">
        <v>2030</v>
      </c>
      <c r="D1279" t="s">
        <v>9</v>
      </c>
      <c r="E1279">
        <v>5379</v>
      </c>
      <c r="F1279" t="s">
        <v>7</v>
      </c>
    </row>
    <row r="1280" spans="1:6">
      <c r="A1280" t="s">
        <v>37</v>
      </c>
      <c r="B1280" t="s">
        <v>20</v>
      </c>
      <c r="C1280">
        <v>2030</v>
      </c>
      <c r="D1280" t="s">
        <v>10</v>
      </c>
      <c r="E1280">
        <v>165</v>
      </c>
      <c r="F1280" t="s">
        <v>11</v>
      </c>
    </row>
    <row r="1281" spans="1:6">
      <c r="A1281" t="s">
        <v>37</v>
      </c>
      <c r="B1281" t="s">
        <v>20</v>
      </c>
      <c r="C1281">
        <v>2030</v>
      </c>
      <c r="D1281" t="s">
        <v>12</v>
      </c>
      <c r="E1281">
        <v>0.37</v>
      </c>
      <c r="F1281" t="s">
        <v>13</v>
      </c>
    </row>
    <row r="1282" spans="1:6">
      <c r="A1282" t="s">
        <v>37</v>
      </c>
      <c r="B1282" t="s">
        <v>20</v>
      </c>
      <c r="C1282">
        <v>2030</v>
      </c>
      <c r="D1282" t="s">
        <v>164</v>
      </c>
      <c r="E1282">
        <v>4.1529999999999996</v>
      </c>
      <c r="F1282" t="s">
        <v>166</v>
      </c>
    </row>
    <row r="1283" spans="1:6">
      <c r="A1283" t="s">
        <v>37</v>
      </c>
      <c r="B1283" t="s">
        <v>20</v>
      </c>
      <c r="C1283">
        <v>2050</v>
      </c>
      <c r="D1283" t="s">
        <v>6</v>
      </c>
      <c r="E1283">
        <v>4500</v>
      </c>
      <c r="F1283" t="s">
        <v>7</v>
      </c>
    </row>
    <row r="1284" spans="1:6">
      <c r="A1284" t="s">
        <v>37</v>
      </c>
      <c r="B1284" t="s">
        <v>20</v>
      </c>
      <c r="C1284">
        <v>2050</v>
      </c>
      <c r="D1284" t="s">
        <v>8</v>
      </c>
      <c r="E1284">
        <v>4706.1000000000004</v>
      </c>
      <c r="F1284" t="s">
        <v>7</v>
      </c>
    </row>
    <row r="1285" spans="1:6">
      <c r="A1285" t="s">
        <v>37</v>
      </c>
      <c r="B1285" t="s">
        <v>20</v>
      </c>
      <c r="C1285">
        <v>2050</v>
      </c>
      <c r="D1285" t="s">
        <v>9</v>
      </c>
      <c r="E1285">
        <v>4293.8999999999996</v>
      </c>
      <c r="F1285" t="s">
        <v>7</v>
      </c>
    </row>
    <row r="1286" spans="1:6">
      <c r="A1286" t="s">
        <v>37</v>
      </c>
      <c r="B1286" t="s">
        <v>20</v>
      </c>
      <c r="C1286">
        <v>2050</v>
      </c>
      <c r="D1286" t="s">
        <v>10</v>
      </c>
      <c r="E1286">
        <v>135</v>
      </c>
      <c r="F1286" t="s">
        <v>11</v>
      </c>
    </row>
    <row r="1287" spans="1:6">
      <c r="A1287" t="s">
        <v>37</v>
      </c>
      <c r="B1287" t="s">
        <v>20</v>
      </c>
      <c r="C1287">
        <v>2050</v>
      </c>
      <c r="D1287" t="s">
        <v>12</v>
      </c>
      <c r="E1287">
        <v>0.37</v>
      </c>
      <c r="F1287" t="s">
        <v>13</v>
      </c>
    </row>
    <row r="1288" spans="1:6">
      <c r="A1288" t="s">
        <v>37</v>
      </c>
      <c r="B1288" t="s">
        <v>20</v>
      </c>
      <c r="C1288">
        <v>2050</v>
      </c>
      <c r="D1288" t="s">
        <v>164</v>
      </c>
      <c r="E1288">
        <v>3.7309999999999999</v>
      </c>
      <c r="F1288" t="s">
        <v>166</v>
      </c>
    </row>
    <row r="1289" spans="1:6">
      <c r="A1289" t="s">
        <v>37</v>
      </c>
      <c r="B1289" t="s">
        <v>21</v>
      </c>
      <c r="C1289">
        <v>2022</v>
      </c>
      <c r="D1289" t="s">
        <v>6</v>
      </c>
      <c r="E1289">
        <v>5600</v>
      </c>
      <c r="F1289" t="s">
        <v>7</v>
      </c>
    </row>
    <row r="1290" spans="1:6">
      <c r="A1290" t="s">
        <v>37</v>
      </c>
      <c r="B1290" t="s">
        <v>21</v>
      </c>
      <c r="C1290">
        <v>2022</v>
      </c>
      <c r="D1290" t="s">
        <v>8</v>
      </c>
      <c r="E1290">
        <v>5600</v>
      </c>
      <c r="F1290" t="s">
        <v>7</v>
      </c>
    </row>
    <row r="1291" spans="1:6">
      <c r="A1291" t="s">
        <v>37</v>
      </c>
      <c r="B1291" t="s">
        <v>21</v>
      </c>
      <c r="C1291">
        <v>2022</v>
      </c>
      <c r="D1291" t="s">
        <v>9</v>
      </c>
      <c r="E1291">
        <v>5600</v>
      </c>
      <c r="F1291" t="s">
        <v>7</v>
      </c>
    </row>
    <row r="1292" spans="1:6">
      <c r="A1292" t="s">
        <v>37</v>
      </c>
      <c r="B1292" t="s">
        <v>21</v>
      </c>
      <c r="C1292">
        <v>2022</v>
      </c>
      <c r="D1292" t="s">
        <v>10</v>
      </c>
      <c r="E1292">
        <v>170</v>
      </c>
      <c r="F1292" t="s">
        <v>11</v>
      </c>
    </row>
    <row r="1293" spans="1:6">
      <c r="A1293" t="s">
        <v>37</v>
      </c>
      <c r="B1293" t="s">
        <v>21</v>
      </c>
      <c r="C1293">
        <v>2022</v>
      </c>
      <c r="D1293" t="s">
        <v>12</v>
      </c>
      <c r="E1293">
        <v>0.36</v>
      </c>
      <c r="F1293" t="s">
        <v>13</v>
      </c>
    </row>
    <row r="1294" spans="1:6">
      <c r="A1294" t="s">
        <v>37</v>
      </c>
      <c r="B1294" t="s">
        <v>21</v>
      </c>
      <c r="C1294">
        <v>2022</v>
      </c>
      <c r="D1294" t="s">
        <v>164</v>
      </c>
      <c r="E1294">
        <v>4.4779999999999998</v>
      </c>
      <c r="F1294" t="s">
        <v>166</v>
      </c>
    </row>
    <row r="1295" spans="1:6">
      <c r="A1295" t="s">
        <v>37</v>
      </c>
      <c r="B1295" t="s">
        <v>21</v>
      </c>
      <c r="C1295">
        <v>2030</v>
      </c>
      <c r="D1295" t="s">
        <v>6</v>
      </c>
      <c r="E1295">
        <v>5600</v>
      </c>
      <c r="F1295" t="s">
        <v>7</v>
      </c>
    </row>
    <row r="1296" spans="1:6">
      <c r="A1296" t="s">
        <v>37</v>
      </c>
      <c r="B1296" t="s">
        <v>21</v>
      </c>
      <c r="C1296">
        <v>2030</v>
      </c>
      <c r="D1296" t="s">
        <v>8</v>
      </c>
      <c r="E1296">
        <v>5723.2</v>
      </c>
      <c r="F1296" t="s">
        <v>7</v>
      </c>
    </row>
    <row r="1297" spans="1:6">
      <c r="A1297" t="s">
        <v>37</v>
      </c>
      <c r="B1297" t="s">
        <v>21</v>
      </c>
      <c r="C1297">
        <v>2030</v>
      </c>
      <c r="D1297" t="s">
        <v>9</v>
      </c>
      <c r="E1297">
        <v>5476.8</v>
      </c>
      <c r="F1297" t="s">
        <v>7</v>
      </c>
    </row>
    <row r="1298" spans="1:6">
      <c r="A1298" t="s">
        <v>37</v>
      </c>
      <c r="B1298" t="s">
        <v>21</v>
      </c>
      <c r="C1298">
        <v>2030</v>
      </c>
      <c r="D1298" t="s">
        <v>10</v>
      </c>
      <c r="E1298">
        <v>170</v>
      </c>
      <c r="F1298" t="s">
        <v>11</v>
      </c>
    </row>
    <row r="1299" spans="1:6">
      <c r="A1299" t="s">
        <v>37</v>
      </c>
      <c r="B1299" t="s">
        <v>21</v>
      </c>
      <c r="C1299">
        <v>2030</v>
      </c>
      <c r="D1299" t="s">
        <v>12</v>
      </c>
      <c r="E1299">
        <v>0.37</v>
      </c>
      <c r="F1299" t="s">
        <v>13</v>
      </c>
    </row>
    <row r="1300" spans="1:6">
      <c r="A1300" t="s">
        <v>37</v>
      </c>
      <c r="B1300" t="s">
        <v>21</v>
      </c>
      <c r="C1300">
        <v>2030</v>
      </c>
      <c r="D1300" t="s">
        <v>164</v>
      </c>
      <c r="E1300">
        <v>4.1529999999999996</v>
      </c>
      <c r="F1300" t="s">
        <v>166</v>
      </c>
    </row>
    <row r="1301" spans="1:6">
      <c r="A1301" t="s">
        <v>37</v>
      </c>
      <c r="B1301" t="s">
        <v>21</v>
      </c>
      <c r="C1301">
        <v>2050</v>
      </c>
      <c r="D1301" t="s">
        <v>6</v>
      </c>
      <c r="E1301">
        <v>4450</v>
      </c>
      <c r="F1301" t="s">
        <v>7</v>
      </c>
    </row>
    <row r="1302" spans="1:6">
      <c r="A1302" t="s">
        <v>37</v>
      </c>
      <c r="B1302" t="s">
        <v>21</v>
      </c>
      <c r="C1302">
        <v>2050</v>
      </c>
      <c r="D1302" t="s">
        <v>8</v>
      </c>
      <c r="E1302">
        <v>4653.8</v>
      </c>
      <c r="F1302" t="s">
        <v>7</v>
      </c>
    </row>
    <row r="1303" spans="1:6">
      <c r="A1303" t="s">
        <v>37</v>
      </c>
      <c r="B1303" t="s">
        <v>21</v>
      </c>
      <c r="C1303">
        <v>2050</v>
      </c>
      <c r="D1303" t="s">
        <v>9</v>
      </c>
      <c r="E1303">
        <v>4246.2</v>
      </c>
      <c r="F1303" t="s">
        <v>7</v>
      </c>
    </row>
    <row r="1304" spans="1:6">
      <c r="A1304" t="s">
        <v>37</v>
      </c>
      <c r="B1304" t="s">
        <v>21</v>
      </c>
      <c r="C1304">
        <v>2050</v>
      </c>
      <c r="D1304" t="s">
        <v>10</v>
      </c>
      <c r="E1304">
        <v>135</v>
      </c>
      <c r="F1304" t="s">
        <v>11</v>
      </c>
    </row>
    <row r="1305" spans="1:6">
      <c r="A1305" t="s">
        <v>37</v>
      </c>
      <c r="B1305" t="s">
        <v>21</v>
      </c>
      <c r="C1305">
        <v>2050</v>
      </c>
      <c r="D1305" t="s">
        <v>12</v>
      </c>
      <c r="E1305">
        <v>0.37</v>
      </c>
      <c r="F1305" t="s">
        <v>13</v>
      </c>
    </row>
    <row r="1306" spans="1:6">
      <c r="A1306" t="s">
        <v>37</v>
      </c>
      <c r="B1306" t="s">
        <v>21</v>
      </c>
      <c r="C1306">
        <v>2050</v>
      </c>
      <c r="D1306" t="s">
        <v>164</v>
      </c>
      <c r="E1306">
        <v>3.7309999999999999</v>
      </c>
      <c r="F1306" t="s">
        <v>166</v>
      </c>
    </row>
    <row r="1307" spans="1:6">
      <c r="A1307" t="s">
        <v>37</v>
      </c>
      <c r="B1307" t="s">
        <v>22</v>
      </c>
      <c r="C1307">
        <v>2022</v>
      </c>
      <c r="D1307" t="s">
        <v>6</v>
      </c>
      <c r="E1307">
        <v>5900</v>
      </c>
      <c r="F1307" t="s">
        <v>7</v>
      </c>
    </row>
    <row r="1308" spans="1:6">
      <c r="A1308" t="s">
        <v>37</v>
      </c>
      <c r="B1308" t="s">
        <v>22</v>
      </c>
      <c r="C1308">
        <v>2022</v>
      </c>
      <c r="D1308" t="s">
        <v>8</v>
      </c>
      <c r="E1308">
        <v>5900</v>
      </c>
      <c r="F1308" t="s">
        <v>7</v>
      </c>
    </row>
    <row r="1309" spans="1:6">
      <c r="A1309" t="s">
        <v>37</v>
      </c>
      <c r="B1309" t="s">
        <v>22</v>
      </c>
      <c r="C1309">
        <v>2022</v>
      </c>
      <c r="D1309" t="s">
        <v>9</v>
      </c>
      <c r="E1309">
        <v>5900</v>
      </c>
      <c r="F1309" t="s">
        <v>7</v>
      </c>
    </row>
    <row r="1310" spans="1:6">
      <c r="A1310" t="s">
        <v>37</v>
      </c>
      <c r="B1310" t="s">
        <v>22</v>
      </c>
      <c r="C1310">
        <v>2022</v>
      </c>
      <c r="D1310" t="s">
        <v>10</v>
      </c>
      <c r="E1310">
        <v>175</v>
      </c>
      <c r="F1310" t="s">
        <v>11</v>
      </c>
    </row>
    <row r="1311" spans="1:6">
      <c r="A1311" t="s">
        <v>37</v>
      </c>
      <c r="B1311" t="s">
        <v>22</v>
      </c>
      <c r="C1311">
        <v>2022</v>
      </c>
      <c r="D1311" t="s">
        <v>12</v>
      </c>
      <c r="E1311">
        <v>0.36</v>
      </c>
      <c r="F1311" t="s">
        <v>13</v>
      </c>
    </row>
    <row r="1312" spans="1:6">
      <c r="A1312" t="s">
        <v>37</v>
      </c>
      <c r="B1312" t="s">
        <v>22</v>
      </c>
      <c r="C1312">
        <v>2022</v>
      </c>
      <c r="D1312" t="s">
        <v>164</v>
      </c>
      <c r="E1312">
        <v>4.4779999999999998</v>
      </c>
      <c r="F1312" t="s">
        <v>166</v>
      </c>
    </row>
    <row r="1313" spans="1:6">
      <c r="A1313" t="s">
        <v>37</v>
      </c>
      <c r="B1313" t="s">
        <v>22</v>
      </c>
      <c r="C1313">
        <v>2030</v>
      </c>
      <c r="D1313" t="s">
        <v>6</v>
      </c>
      <c r="E1313">
        <v>5900</v>
      </c>
      <c r="F1313" t="s">
        <v>7</v>
      </c>
    </row>
    <row r="1314" spans="1:6">
      <c r="A1314" t="s">
        <v>37</v>
      </c>
      <c r="B1314" t="s">
        <v>22</v>
      </c>
      <c r="C1314">
        <v>2030</v>
      </c>
      <c r="D1314" t="s">
        <v>8</v>
      </c>
      <c r="E1314">
        <v>6029.8</v>
      </c>
      <c r="F1314" t="s">
        <v>7</v>
      </c>
    </row>
    <row r="1315" spans="1:6">
      <c r="A1315" t="s">
        <v>37</v>
      </c>
      <c r="B1315" t="s">
        <v>22</v>
      </c>
      <c r="C1315">
        <v>2030</v>
      </c>
      <c r="D1315" t="s">
        <v>9</v>
      </c>
      <c r="E1315">
        <v>5770.2</v>
      </c>
      <c r="F1315" t="s">
        <v>7</v>
      </c>
    </row>
    <row r="1316" spans="1:6">
      <c r="A1316" t="s">
        <v>37</v>
      </c>
      <c r="B1316" t="s">
        <v>22</v>
      </c>
      <c r="C1316">
        <v>2030</v>
      </c>
      <c r="D1316" t="s">
        <v>10</v>
      </c>
      <c r="E1316">
        <v>175</v>
      </c>
      <c r="F1316" t="s">
        <v>11</v>
      </c>
    </row>
    <row r="1317" spans="1:6">
      <c r="A1317" t="s">
        <v>37</v>
      </c>
      <c r="B1317" t="s">
        <v>22</v>
      </c>
      <c r="C1317">
        <v>2030</v>
      </c>
      <c r="D1317" t="s">
        <v>12</v>
      </c>
      <c r="E1317">
        <v>0.37</v>
      </c>
      <c r="F1317" t="s">
        <v>13</v>
      </c>
    </row>
    <row r="1318" spans="1:6">
      <c r="A1318" t="s">
        <v>37</v>
      </c>
      <c r="B1318" t="s">
        <v>22</v>
      </c>
      <c r="C1318">
        <v>2030</v>
      </c>
      <c r="D1318" t="s">
        <v>164</v>
      </c>
      <c r="E1318">
        <v>4.1529999999999996</v>
      </c>
      <c r="F1318" t="s">
        <v>166</v>
      </c>
    </row>
    <row r="1319" spans="1:6">
      <c r="A1319" t="s">
        <v>37</v>
      </c>
      <c r="B1319" t="s">
        <v>22</v>
      </c>
      <c r="C1319">
        <v>2050</v>
      </c>
      <c r="D1319" t="s">
        <v>6</v>
      </c>
      <c r="E1319">
        <v>4900</v>
      </c>
      <c r="F1319" t="s">
        <v>7</v>
      </c>
    </row>
    <row r="1320" spans="1:6">
      <c r="A1320" t="s">
        <v>37</v>
      </c>
      <c r="B1320" t="s">
        <v>22</v>
      </c>
      <c r="C1320">
        <v>2050</v>
      </c>
      <c r="D1320" t="s">
        <v>8</v>
      </c>
      <c r="E1320">
        <v>5124.3999999999996</v>
      </c>
      <c r="F1320" t="s">
        <v>7</v>
      </c>
    </row>
    <row r="1321" spans="1:6">
      <c r="A1321" t="s">
        <v>37</v>
      </c>
      <c r="B1321" t="s">
        <v>22</v>
      </c>
      <c r="C1321">
        <v>2050</v>
      </c>
      <c r="D1321" t="s">
        <v>9</v>
      </c>
      <c r="E1321">
        <v>4675.6000000000004</v>
      </c>
      <c r="F1321" t="s">
        <v>7</v>
      </c>
    </row>
    <row r="1322" spans="1:6">
      <c r="A1322" t="s">
        <v>37</v>
      </c>
      <c r="B1322" t="s">
        <v>22</v>
      </c>
      <c r="C1322">
        <v>2050</v>
      </c>
      <c r="D1322" t="s">
        <v>10</v>
      </c>
      <c r="E1322">
        <v>145</v>
      </c>
      <c r="F1322" t="s">
        <v>11</v>
      </c>
    </row>
    <row r="1323" spans="1:6">
      <c r="A1323" t="s">
        <v>37</v>
      </c>
      <c r="B1323" t="s">
        <v>22</v>
      </c>
      <c r="C1323">
        <v>2050</v>
      </c>
      <c r="D1323" t="s">
        <v>12</v>
      </c>
      <c r="E1323">
        <v>0.37</v>
      </c>
      <c r="F1323" t="s">
        <v>13</v>
      </c>
    </row>
    <row r="1324" spans="1:6">
      <c r="A1324" t="s">
        <v>37</v>
      </c>
      <c r="B1324" t="s">
        <v>22</v>
      </c>
      <c r="C1324">
        <v>2050</v>
      </c>
      <c r="D1324" t="s">
        <v>164</v>
      </c>
      <c r="E1324">
        <v>3.7309999999999999</v>
      </c>
      <c r="F1324" t="s">
        <v>166</v>
      </c>
    </row>
    <row r="1325" spans="1:6">
      <c r="A1325" t="s">
        <v>37</v>
      </c>
      <c r="B1325" t="s">
        <v>23</v>
      </c>
      <c r="C1325">
        <v>2022</v>
      </c>
      <c r="D1325" t="s">
        <v>6</v>
      </c>
      <c r="E1325">
        <v>5100</v>
      </c>
      <c r="F1325" t="s">
        <v>7</v>
      </c>
    </row>
    <row r="1326" spans="1:6">
      <c r="A1326" t="s">
        <v>37</v>
      </c>
      <c r="B1326" t="s">
        <v>23</v>
      </c>
      <c r="C1326">
        <v>2022</v>
      </c>
      <c r="D1326" t="s">
        <v>8</v>
      </c>
      <c r="E1326">
        <v>5100</v>
      </c>
      <c r="F1326" t="s">
        <v>7</v>
      </c>
    </row>
    <row r="1327" spans="1:6">
      <c r="A1327" t="s">
        <v>37</v>
      </c>
      <c r="B1327" t="s">
        <v>23</v>
      </c>
      <c r="C1327">
        <v>2022</v>
      </c>
      <c r="D1327" t="s">
        <v>9</v>
      </c>
      <c r="E1327">
        <v>5100</v>
      </c>
      <c r="F1327" t="s">
        <v>7</v>
      </c>
    </row>
    <row r="1328" spans="1:6">
      <c r="A1328" t="s">
        <v>37</v>
      </c>
      <c r="B1328" t="s">
        <v>23</v>
      </c>
      <c r="C1328">
        <v>2022</v>
      </c>
      <c r="D1328" t="s">
        <v>10</v>
      </c>
      <c r="E1328">
        <v>180</v>
      </c>
      <c r="F1328" t="s">
        <v>11</v>
      </c>
    </row>
    <row r="1329" spans="1:6">
      <c r="A1329" t="s">
        <v>37</v>
      </c>
      <c r="B1329" t="s">
        <v>23</v>
      </c>
      <c r="C1329">
        <v>2022</v>
      </c>
      <c r="D1329" t="s">
        <v>12</v>
      </c>
      <c r="E1329">
        <v>0.36</v>
      </c>
      <c r="F1329" t="s">
        <v>13</v>
      </c>
    </row>
    <row r="1330" spans="1:6">
      <c r="A1330" t="s">
        <v>37</v>
      </c>
      <c r="B1330" t="s">
        <v>23</v>
      </c>
      <c r="C1330">
        <v>2022</v>
      </c>
      <c r="D1330" t="s">
        <v>164</v>
      </c>
      <c r="E1330">
        <v>4.4779999999999998</v>
      </c>
      <c r="F1330" t="s">
        <v>166</v>
      </c>
    </row>
    <row r="1331" spans="1:6">
      <c r="A1331" t="s">
        <v>37</v>
      </c>
      <c r="B1331" t="s">
        <v>23</v>
      </c>
      <c r="C1331">
        <v>2030</v>
      </c>
      <c r="D1331" t="s">
        <v>6</v>
      </c>
      <c r="E1331">
        <v>5100</v>
      </c>
      <c r="F1331" t="s">
        <v>7</v>
      </c>
    </row>
    <row r="1332" spans="1:6">
      <c r="A1332" t="s">
        <v>37</v>
      </c>
      <c r="B1332" t="s">
        <v>23</v>
      </c>
      <c r="C1332">
        <v>2030</v>
      </c>
      <c r="D1332" t="s">
        <v>8</v>
      </c>
      <c r="E1332">
        <v>5212.2</v>
      </c>
      <c r="F1332" t="s">
        <v>7</v>
      </c>
    </row>
    <row r="1333" spans="1:6">
      <c r="A1333" t="s">
        <v>37</v>
      </c>
      <c r="B1333" t="s">
        <v>23</v>
      </c>
      <c r="C1333">
        <v>2030</v>
      </c>
      <c r="D1333" t="s">
        <v>9</v>
      </c>
      <c r="E1333">
        <v>4987.8</v>
      </c>
      <c r="F1333" t="s">
        <v>7</v>
      </c>
    </row>
    <row r="1334" spans="1:6">
      <c r="A1334" t="s">
        <v>37</v>
      </c>
      <c r="B1334" t="s">
        <v>23</v>
      </c>
      <c r="C1334">
        <v>2030</v>
      </c>
      <c r="D1334" t="s">
        <v>10</v>
      </c>
      <c r="E1334">
        <v>180</v>
      </c>
      <c r="F1334" t="s">
        <v>11</v>
      </c>
    </row>
    <row r="1335" spans="1:6">
      <c r="A1335" t="s">
        <v>37</v>
      </c>
      <c r="B1335" t="s">
        <v>23</v>
      </c>
      <c r="C1335">
        <v>2030</v>
      </c>
      <c r="D1335" t="s">
        <v>12</v>
      </c>
      <c r="E1335">
        <v>0.37</v>
      </c>
      <c r="F1335" t="s">
        <v>13</v>
      </c>
    </row>
    <row r="1336" spans="1:6">
      <c r="A1336" t="s">
        <v>37</v>
      </c>
      <c r="B1336" t="s">
        <v>23</v>
      </c>
      <c r="C1336">
        <v>2030</v>
      </c>
      <c r="D1336" t="s">
        <v>164</v>
      </c>
      <c r="E1336">
        <v>4.1529999999999996</v>
      </c>
      <c r="F1336" t="s">
        <v>166</v>
      </c>
    </row>
    <row r="1337" spans="1:6">
      <c r="A1337" t="s">
        <v>37</v>
      </c>
      <c r="B1337" t="s">
        <v>23</v>
      </c>
      <c r="C1337">
        <v>2050</v>
      </c>
      <c r="D1337" t="s">
        <v>6</v>
      </c>
      <c r="E1337">
        <v>4200</v>
      </c>
      <c r="F1337" t="s">
        <v>7</v>
      </c>
    </row>
    <row r="1338" spans="1:6">
      <c r="A1338" t="s">
        <v>37</v>
      </c>
      <c r="B1338" t="s">
        <v>23</v>
      </c>
      <c r="C1338">
        <v>2050</v>
      </c>
      <c r="D1338" t="s">
        <v>8</v>
      </c>
      <c r="E1338">
        <v>4392.3999999999996</v>
      </c>
      <c r="F1338" t="s">
        <v>7</v>
      </c>
    </row>
    <row r="1339" spans="1:6">
      <c r="A1339" t="s">
        <v>37</v>
      </c>
      <c r="B1339" t="s">
        <v>23</v>
      </c>
      <c r="C1339">
        <v>2050</v>
      </c>
      <c r="D1339" t="s">
        <v>9</v>
      </c>
      <c r="E1339">
        <v>4007.6</v>
      </c>
      <c r="F1339" t="s">
        <v>7</v>
      </c>
    </row>
    <row r="1340" spans="1:6">
      <c r="A1340" t="s">
        <v>37</v>
      </c>
      <c r="B1340" t="s">
        <v>23</v>
      </c>
      <c r="C1340">
        <v>2050</v>
      </c>
      <c r="D1340" t="s">
        <v>10</v>
      </c>
      <c r="E1340">
        <v>145</v>
      </c>
      <c r="F1340" t="s">
        <v>11</v>
      </c>
    </row>
    <row r="1341" spans="1:6">
      <c r="A1341" t="s">
        <v>37</v>
      </c>
      <c r="B1341" t="s">
        <v>23</v>
      </c>
      <c r="C1341">
        <v>2050</v>
      </c>
      <c r="D1341" t="s">
        <v>12</v>
      </c>
      <c r="E1341">
        <v>0.37</v>
      </c>
      <c r="F1341" t="s">
        <v>13</v>
      </c>
    </row>
    <row r="1342" spans="1:6">
      <c r="A1342" t="s">
        <v>37</v>
      </c>
      <c r="B1342" t="s">
        <v>23</v>
      </c>
      <c r="C1342">
        <v>2050</v>
      </c>
      <c r="D1342" t="s">
        <v>164</v>
      </c>
      <c r="E1342">
        <v>3.7309999999999999</v>
      </c>
      <c r="F1342" t="s">
        <v>166</v>
      </c>
    </row>
    <row r="1343" spans="1:6">
      <c r="A1343" t="s">
        <v>37</v>
      </c>
      <c r="B1343" t="s">
        <v>24</v>
      </c>
      <c r="C1343">
        <v>2022</v>
      </c>
      <c r="D1343" t="s">
        <v>6</v>
      </c>
      <c r="E1343">
        <v>3400</v>
      </c>
      <c r="F1343" t="s">
        <v>7</v>
      </c>
    </row>
    <row r="1344" spans="1:6">
      <c r="A1344" t="s">
        <v>37</v>
      </c>
      <c r="B1344" t="s">
        <v>24</v>
      </c>
      <c r="C1344">
        <v>2022</v>
      </c>
      <c r="D1344" t="s">
        <v>8</v>
      </c>
      <c r="E1344">
        <v>3400</v>
      </c>
      <c r="F1344" t="s">
        <v>7</v>
      </c>
    </row>
    <row r="1345" spans="1:6">
      <c r="A1345" t="s">
        <v>37</v>
      </c>
      <c r="B1345" t="s">
        <v>24</v>
      </c>
      <c r="C1345">
        <v>2022</v>
      </c>
      <c r="D1345" t="s">
        <v>9</v>
      </c>
      <c r="E1345">
        <v>3400</v>
      </c>
      <c r="F1345" t="s">
        <v>7</v>
      </c>
    </row>
    <row r="1346" spans="1:6">
      <c r="A1346" t="s">
        <v>37</v>
      </c>
      <c r="B1346" t="s">
        <v>24</v>
      </c>
      <c r="C1346">
        <v>2022</v>
      </c>
      <c r="D1346" t="s">
        <v>10</v>
      </c>
      <c r="E1346">
        <v>135</v>
      </c>
      <c r="F1346" t="s">
        <v>11</v>
      </c>
    </row>
    <row r="1347" spans="1:6">
      <c r="A1347" t="s">
        <v>37</v>
      </c>
      <c r="B1347" t="s">
        <v>24</v>
      </c>
      <c r="C1347">
        <v>2022</v>
      </c>
      <c r="D1347" t="s">
        <v>12</v>
      </c>
      <c r="E1347">
        <v>0.35</v>
      </c>
      <c r="F1347" t="s">
        <v>13</v>
      </c>
    </row>
    <row r="1348" spans="1:6">
      <c r="A1348" t="s">
        <v>37</v>
      </c>
      <c r="B1348" t="s">
        <v>24</v>
      </c>
      <c r="C1348">
        <v>2022</v>
      </c>
      <c r="D1348" t="s">
        <v>164</v>
      </c>
      <c r="E1348">
        <v>4.4779999999999998</v>
      </c>
      <c r="F1348" t="s">
        <v>166</v>
      </c>
    </row>
    <row r="1349" spans="1:6">
      <c r="A1349" t="s">
        <v>37</v>
      </c>
      <c r="B1349" t="s">
        <v>24</v>
      </c>
      <c r="C1349">
        <v>2030</v>
      </c>
      <c r="D1349" t="s">
        <v>6</v>
      </c>
      <c r="E1349">
        <v>3400</v>
      </c>
      <c r="F1349" t="s">
        <v>7</v>
      </c>
    </row>
    <row r="1350" spans="1:6">
      <c r="A1350" t="s">
        <v>37</v>
      </c>
      <c r="B1350" t="s">
        <v>24</v>
      </c>
      <c r="C1350">
        <v>2030</v>
      </c>
      <c r="D1350" t="s">
        <v>8</v>
      </c>
      <c r="E1350">
        <v>3474.8</v>
      </c>
      <c r="F1350" t="s">
        <v>7</v>
      </c>
    </row>
    <row r="1351" spans="1:6">
      <c r="A1351" t="s">
        <v>37</v>
      </c>
      <c r="B1351" t="s">
        <v>24</v>
      </c>
      <c r="C1351">
        <v>2030</v>
      </c>
      <c r="D1351" t="s">
        <v>9</v>
      </c>
      <c r="E1351">
        <v>3325.2</v>
      </c>
      <c r="F1351" t="s">
        <v>7</v>
      </c>
    </row>
    <row r="1352" spans="1:6">
      <c r="A1352" t="s">
        <v>37</v>
      </c>
      <c r="B1352" t="s">
        <v>24</v>
      </c>
      <c r="C1352">
        <v>2030</v>
      </c>
      <c r="D1352" t="s">
        <v>10</v>
      </c>
      <c r="E1352">
        <v>135</v>
      </c>
      <c r="F1352" t="s">
        <v>11</v>
      </c>
    </row>
    <row r="1353" spans="1:6">
      <c r="A1353" t="s">
        <v>37</v>
      </c>
      <c r="B1353" t="s">
        <v>24</v>
      </c>
      <c r="C1353">
        <v>2030</v>
      </c>
      <c r="D1353" t="s">
        <v>12</v>
      </c>
      <c r="E1353">
        <v>0.36</v>
      </c>
      <c r="F1353" t="s">
        <v>13</v>
      </c>
    </row>
    <row r="1354" spans="1:6">
      <c r="A1354" t="s">
        <v>37</v>
      </c>
      <c r="B1354" t="s">
        <v>24</v>
      </c>
      <c r="C1354">
        <v>2030</v>
      </c>
      <c r="D1354" t="s">
        <v>164</v>
      </c>
      <c r="E1354">
        <v>4.1529999999999996</v>
      </c>
      <c r="F1354" t="s">
        <v>166</v>
      </c>
    </row>
    <row r="1355" spans="1:6">
      <c r="A1355" t="s">
        <v>37</v>
      </c>
      <c r="B1355" t="s">
        <v>24</v>
      </c>
      <c r="C1355">
        <v>2050</v>
      </c>
      <c r="D1355" t="s">
        <v>6</v>
      </c>
      <c r="E1355">
        <v>2550</v>
      </c>
      <c r="F1355" t="s">
        <v>7</v>
      </c>
    </row>
    <row r="1356" spans="1:6">
      <c r="A1356" t="s">
        <v>37</v>
      </c>
      <c r="B1356" t="s">
        <v>24</v>
      </c>
      <c r="C1356">
        <v>2050</v>
      </c>
      <c r="D1356" t="s">
        <v>8</v>
      </c>
      <c r="E1356">
        <v>2666.8</v>
      </c>
      <c r="F1356" t="s">
        <v>7</v>
      </c>
    </row>
    <row r="1357" spans="1:6">
      <c r="A1357" t="s">
        <v>37</v>
      </c>
      <c r="B1357" t="s">
        <v>24</v>
      </c>
      <c r="C1357">
        <v>2050</v>
      </c>
      <c r="D1357" t="s">
        <v>9</v>
      </c>
      <c r="E1357">
        <v>2433.1999999999998</v>
      </c>
      <c r="F1357" t="s">
        <v>7</v>
      </c>
    </row>
    <row r="1358" spans="1:6">
      <c r="A1358" t="s">
        <v>37</v>
      </c>
      <c r="B1358" t="s">
        <v>24</v>
      </c>
      <c r="C1358">
        <v>2050</v>
      </c>
      <c r="D1358" t="s">
        <v>10</v>
      </c>
      <c r="E1358">
        <v>100</v>
      </c>
      <c r="F1358" t="s">
        <v>11</v>
      </c>
    </row>
    <row r="1359" spans="1:6">
      <c r="A1359" t="s">
        <v>37</v>
      </c>
      <c r="B1359" t="s">
        <v>24</v>
      </c>
      <c r="C1359">
        <v>2050</v>
      </c>
      <c r="D1359" t="s">
        <v>12</v>
      </c>
      <c r="E1359">
        <v>0.36</v>
      </c>
      <c r="F1359" t="s">
        <v>13</v>
      </c>
    </row>
    <row r="1360" spans="1:6">
      <c r="A1360" t="s">
        <v>37</v>
      </c>
      <c r="B1360" t="s">
        <v>24</v>
      </c>
      <c r="C1360">
        <v>2050</v>
      </c>
      <c r="D1360" t="s">
        <v>164</v>
      </c>
      <c r="E1360">
        <v>3.7309999999999999</v>
      </c>
      <c r="F1360" t="s">
        <v>166</v>
      </c>
    </row>
    <row r="1361" spans="1:6">
      <c r="A1361" t="s">
        <v>37</v>
      </c>
      <c r="B1361" t="s">
        <v>25</v>
      </c>
      <c r="C1361">
        <v>2022</v>
      </c>
      <c r="D1361" t="s">
        <v>6</v>
      </c>
      <c r="E1361">
        <v>3900</v>
      </c>
      <c r="F1361" t="s">
        <v>7</v>
      </c>
    </row>
    <row r="1362" spans="1:6">
      <c r="A1362" t="s">
        <v>37</v>
      </c>
      <c r="B1362" t="s">
        <v>25</v>
      </c>
      <c r="C1362">
        <v>2022</v>
      </c>
      <c r="D1362" t="s">
        <v>8</v>
      </c>
      <c r="E1362">
        <v>3900</v>
      </c>
      <c r="F1362" t="s">
        <v>7</v>
      </c>
    </row>
    <row r="1363" spans="1:6">
      <c r="A1363" t="s">
        <v>37</v>
      </c>
      <c r="B1363" t="s">
        <v>25</v>
      </c>
      <c r="C1363">
        <v>2022</v>
      </c>
      <c r="D1363" t="s">
        <v>9</v>
      </c>
      <c r="E1363">
        <v>3900</v>
      </c>
      <c r="F1363" t="s">
        <v>7</v>
      </c>
    </row>
    <row r="1364" spans="1:6">
      <c r="A1364" t="s">
        <v>37</v>
      </c>
      <c r="B1364" t="s">
        <v>25</v>
      </c>
      <c r="C1364">
        <v>2022</v>
      </c>
      <c r="D1364" t="s">
        <v>10</v>
      </c>
      <c r="E1364">
        <v>155</v>
      </c>
      <c r="F1364" t="s">
        <v>11</v>
      </c>
    </row>
    <row r="1365" spans="1:6">
      <c r="A1365" t="s">
        <v>37</v>
      </c>
      <c r="B1365" t="s">
        <v>25</v>
      </c>
      <c r="C1365">
        <v>2022</v>
      </c>
      <c r="D1365" t="s">
        <v>12</v>
      </c>
      <c r="E1365">
        <v>0.31</v>
      </c>
      <c r="F1365" t="s">
        <v>13</v>
      </c>
    </row>
    <row r="1366" spans="1:6">
      <c r="A1366" t="s">
        <v>37</v>
      </c>
      <c r="B1366" t="s">
        <v>25</v>
      </c>
      <c r="C1366">
        <v>2022</v>
      </c>
      <c r="D1366" t="s">
        <v>164</v>
      </c>
      <c r="E1366">
        <v>4.4779999999999998</v>
      </c>
      <c r="F1366" t="s">
        <v>166</v>
      </c>
    </row>
    <row r="1367" spans="1:6">
      <c r="A1367" t="s">
        <v>37</v>
      </c>
      <c r="B1367" t="s">
        <v>25</v>
      </c>
      <c r="C1367">
        <v>2030</v>
      </c>
      <c r="D1367" t="s">
        <v>6</v>
      </c>
      <c r="E1367">
        <v>3900</v>
      </c>
      <c r="F1367" t="s">
        <v>7</v>
      </c>
    </row>
    <row r="1368" spans="1:6">
      <c r="A1368" t="s">
        <v>37</v>
      </c>
      <c r="B1368" t="s">
        <v>25</v>
      </c>
      <c r="C1368">
        <v>2030</v>
      </c>
      <c r="D1368" t="s">
        <v>8</v>
      </c>
      <c r="E1368">
        <v>3985.8</v>
      </c>
      <c r="F1368" t="s">
        <v>7</v>
      </c>
    </row>
    <row r="1369" spans="1:6">
      <c r="A1369" t="s">
        <v>37</v>
      </c>
      <c r="B1369" t="s">
        <v>25</v>
      </c>
      <c r="C1369">
        <v>2030</v>
      </c>
      <c r="D1369" t="s">
        <v>9</v>
      </c>
      <c r="E1369">
        <v>3814.2</v>
      </c>
      <c r="F1369" t="s">
        <v>7</v>
      </c>
    </row>
    <row r="1370" spans="1:6">
      <c r="A1370" t="s">
        <v>37</v>
      </c>
      <c r="B1370" t="s">
        <v>25</v>
      </c>
      <c r="C1370">
        <v>2030</v>
      </c>
      <c r="D1370" t="s">
        <v>10</v>
      </c>
      <c r="E1370">
        <v>155</v>
      </c>
      <c r="F1370" t="s">
        <v>11</v>
      </c>
    </row>
    <row r="1371" spans="1:6">
      <c r="A1371" t="s">
        <v>37</v>
      </c>
      <c r="B1371" t="s">
        <v>25</v>
      </c>
      <c r="C1371">
        <v>2030</v>
      </c>
      <c r="D1371" t="s">
        <v>12</v>
      </c>
      <c r="E1371">
        <v>0.32</v>
      </c>
      <c r="F1371" t="s">
        <v>13</v>
      </c>
    </row>
    <row r="1372" spans="1:6">
      <c r="A1372" t="s">
        <v>37</v>
      </c>
      <c r="B1372" t="s">
        <v>25</v>
      </c>
      <c r="C1372">
        <v>2030</v>
      </c>
      <c r="D1372" t="s">
        <v>164</v>
      </c>
      <c r="E1372">
        <v>4.1529999999999996</v>
      </c>
      <c r="F1372" t="s">
        <v>166</v>
      </c>
    </row>
    <row r="1373" spans="1:6">
      <c r="A1373" t="s">
        <v>37</v>
      </c>
      <c r="B1373" t="s">
        <v>25</v>
      </c>
      <c r="C1373">
        <v>2050</v>
      </c>
      <c r="D1373" t="s">
        <v>6</v>
      </c>
      <c r="E1373">
        <v>3150</v>
      </c>
      <c r="F1373" t="s">
        <v>7</v>
      </c>
    </row>
    <row r="1374" spans="1:6">
      <c r="A1374" t="s">
        <v>37</v>
      </c>
      <c r="B1374" t="s">
        <v>25</v>
      </c>
      <c r="C1374">
        <v>2050</v>
      </c>
      <c r="D1374" t="s">
        <v>8</v>
      </c>
      <c r="E1374">
        <v>3294.3</v>
      </c>
      <c r="F1374" t="s">
        <v>7</v>
      </c>
    </row>
    <row r="1375" spans="1:6">
      <c r="A1375" t="s">
        <v>37</v>
      </c>
      <c r="B1375" t="s">
        <v>25</v>
      </c>
      <c r="C1375">
        <v>2050</v>
      </c>
      <c r="D1375" t="s">
        <v>9</v>
      </c>
      <c r="E1375">
        <v>3005.7</v>
      </c>
      <c r="F1375" t="s">
        <v>7</v>
      </c>
    </row>
    <row r="1376" spans="1:6">
      <c r="A1376" t="s">
        <v>37</v>
      </c>
      <c r="B1376" t="s">
        <v>25</v>
      </c>
      <c r="C1376">
        <v>2050</v>
      </c>
      <c r="D1376" t="s">
        <v>10</v>
      </c>
      <c r="E1376">
        <v>125</v>
      </c>
      <c r="F1376" t="s">
        <v>11</v>
      </c>
    </row>
    <row r="1377" spans="1:6">
      <c r="A1377" t="s">
        <v>37</v>
      </c>
      <c r="B1377" t="s">
        <v>25</v>
      </c>
      <c r="C1377">
        <v>2050</v>
      </c>
      <c r="D1377" t="s">
        <v>12</v>
      </c>
      <c r="E1377">
        <v>0.31</v>
      </c>
      <c r="F1377" t="s">
        <v>13</v>
      </c>
    </row>
    <row r="1378" spans="1:6">
      <c r="A1378" t="s">
        <v>37</v>
      </c>
      <c r="B1378" t="s">
        <v>25</v>
      </c>
      <c r="C1378">
        <v>2050</v>
      </c>
      <c r="D1378" t="s">
        <v>164</v>
      </c>
      <c r="E1378">
        <v>3.7309999999999999</v>
      </c>
      <c r="F1378" t="s">
        <v>166</v>
      </c>
    </row>
    <row r="1379" spans="1:6">
      <c r="A1379" t="s">
        <v>37</v>
      </c>
      <c r="B1379" t="s">
        <v>26</v>
      </c>
      <c r="C1379">
        <v>2022</v>
      </c>
      <c r="D1379" t="s">
        <v>6</v>
      </c>
      <c r="E1379">
        <v>4500</v>
      </c>
      <c r="F1379" t="s">
        <v>7</v>
      </c>
    </row>
    <row r="1380" spans="1:6">
      <c r="A1380" t="s">
        <v>37</v>
      </c>
      <c r="B1380" t="s">
        <v>26</v>
      </c>
      <c r="C1380">
        <v>2022</v>
      </c>
      <c r="D1380" t="s">
        <v>8</v>
      </c>
      <c r="E1380">
        <v>4500</v>
      </c>
      <c r="F1380" t="s">
        <v>7</v>
      </c>
    </row>
    <row r="1381" spans="1:6">
      <c r="A1381" t="s">
        <v>37</v>
      </c>
      <c r="B1381" t="s">
        <v>26</v>
      </c>
      <c r="C1381">
        <v>2022</v>
      </c>
      <c r="D1381" t="s">
        <v>9</v>
      </c>
      <c r="E1381">
        <v>4500</v>
      </c>
      <c r="F1381" t="s">
        <v>7</v>
      </c>
    </row>
    <row r="1382" spans="1:6">
      <c r="A1382" t="s">
        <v>37</v>
      </c>
      <c r="B1382" t="s">
        <v>26</v>
      </c>
      <c r="C1382">
        <v>2022</v>
      </c>
      <c r="D1382" t="s">
        <v>10</v>
      </c>
      <c r="E1382">
        <v>180</v>
      </c>
      <c r="F1382" t="s">
        <v>11</v>
      </c>
    </row>
    <row r="1383" spans="1:6">
      <c r="A1383" t="s">
        <v>37</v>
      </c>
      <c r="B1383" t="s">
        <v>26</v>
      </c>
      <c r="C1383">
        <v>2022</v>
      </c>
      <c r="D1383" t="s">
        <v>164</v>
      </c>
      <c r="E1383">
        <v>4.4779999999999998</v>
      </c>
      <c r="F1383" t="s">
        <v>166</v>
      </c>
    </row>
    <row r="1384" spans="1:6">
      <c r="A1384" t="s">
        <v>37</v>
      </c>
      <c r="B1384" t="s">
        <v>26</v>
      </c>
      <c r="C1384">
        <v>2030</v>
      </c>
      <c r="D1384" t="s">
        <v>6</v>
      </c>
      <c r="E1384">
        <v>4500</v>
      </c>
      <c r="F1384" t="s">
        <v>7</v>
      </c>
    </row>
    <row r="1385" spans="1:6">
      <c r="A1385" t="s">
        <v>37</v>
      </c>
      <c r="B1385" t="s">
        <v>26</v>
      </c>
      <c r="C1385">
        <v>2030</v>
      </c>
      <c r="D1385" t="s">
        <v>8</v>
      </c>
      <c r="E1385">
        <v>4599</v>
      </c>
      <c r="F1385" t="s">
        <v>7</v>
      </c>
    </row>
    <row r="1386" spans="1:6">
      <c r="A1386" t="s">
        <v>37</v>
      </c>
      <c r="B1386" t="s">
        <v>26</v>
      </c>
      <c r="C1386">
        <v>2030</v>
      </c>
      <c r="D1386" t="s">
        <v>9</v>
      </c>
      <c r="E1386">
        <v>4401</v>
      </c>
      <c r="F1386" t="s">
        <v>7</v>
      </c>
    </row>
    <row r="1387" spans="1:6">
      <c r="A1387" t="s">
        <v>37</v>
      </c>
      <c r="B1387" t="s">
        <v>26</v>
      </c>
      <c r="C1387">
        <v>2030</v>
      </c>
      <c r="D1387" t="s">
        <v>10</v>
      </c>
      <c r="E1387">
        <v>180</v>
      </c>
      <c r="F1387" t="s">
        <v>11</v>
      </c>
    </row>
    <row r="1388" spans="1:6">
      <c r="A1388" t="s">
        <v>37</v>
      </c>
      <c r="B1388" t="s">
        <v>26</v>
      </c>
      <c r="C1388">
        <v>2030</v>
      </c>
      <c r="D1388" t="s">
        <v>164</v>
      </c>
      <c r="E1388">
        <v>4.1529999999999996</v>
      </c>
      <c r="F1388" t="s">
        <v>166</v>
      </c>
    </row>
    <row r="1389" spans="1:6">
      <c r="A1389" t="s">
        <v>37</v>
      </c>
      <c r="B1389" t="s">
        <v>26</v>
      </c>
      <c r="C1389">
        <v>2050</v>
      </c>
      <c r="D1389" t="s">
        <v>6</v>
      </c>
      <c r="E1389">
        <v>3650</v>
      </c>
      <c r="F1389" t="s">
        <v>7</v>
      </c>
    </row>
    <row r="1390" spans="1:6">
      <c r="A1390" t="s">
        <v>37</v>
      </c>
      <c r="B1390" t="s">
        <v>26</v>
      </c>
      <c r="C1390">
        <v>2050</v>
      </c>
      <c r="D1390" t="s">
        <v>8</v>
      </c>
      <c r="E1390">
        <v>3817.2</v>
      </c>
      <c r="F1390" t="s">
        <v>7</v>
      </c>
    </row>
    <row r="1391" spans="1:6">
      <c r="A1391" t="s">
        <v>37</v>
      </c>
      <c r="B1391" t="s">
        <v>26</v>
      </c>
      <c r="C1391">
        <v>2050</v>
      </c>
      <c r="D1391" t="s">
        <v>9</v>
      </c>
      <c r="E1391">
        <v>3482.8</v>
      </c>
      <c r="F1391" t="s">
        <v>7</v>
      </c>
    </row>
    <row r="1392" spans="1:6">
      <c r="A1392" t="s">
        <v>37</v>
      </c>
      <c r="B1392" t="s">
        <v>26</v>
      </c>
      <c r="C1392">
        <v>2050</v>
      </c>
      <c r="D1392" t="s">
        <v>10</v>
      </c>
      <c r="E1392">
        <v>145</v>
      </c>
      <c r="F1392" t="s">
        <v>11</v>
      </c>
    </row>
    <row r="1393" spans="1:6">
      <c r="A1393" t="s">
        <v>37</v>
      </c>
      <c r="B1393" t="s">
        <v>26</v>
      </c>
      <c r="C1393">
        <v>2050</v>
      </c>
      <c r="D1393" t="s">
        <v>164</v>
      </c>
      <c r="E1393">
        <v>3.7309999999999999</v>
      </c>
      <c r="F1393" t="s">
        <v>166</v>
      </c>
    </row>
    <row r="1394" spans="1:6">
      <c r="A1394" t="s">
        <v>37</v>
      </c>
      <c r="B1394" t="s">
        <v>27</v>
      </c>
      <c r="C1394">
        <v>2022</v>
      </c>
      <c r="D1394" t="s">
        <v>6</v>
      </c>
      <c r="E1394">
        <v>4500</v>
      </c>
      <c r="F1394" t="s">
        <v>7</v>
      </c>
    </row>
    <row r="1395" spans="1:6">
      <c r="A1395" t="s">
        <v>37</v>
      </c>
      <c r="B1395" t="s">
        <v>27</v>
      </c>
      <c r="C1395">
        <v>2022</v>
      </c>
      <c r="D1395" t="s">
        <v>8</v>
      </c>
      <c r="E1395">
        <v>4500</v>
      </c>
      <c r="F1395" t="s">
        <v>7</v>
      </c>
    </row>
    <row r="1396" spans="1:6">
      <c r="A1396" t="s">
        <v>37</v>
      </c>
      <c r="B1396" t="s">
        <v>27</v>
      </c>
      <c r="C1396">
        <v>2022</v>
      </c>
      <c r="D1396" t="s">
        <v>9</v>
      </c>
      <c r="E1396">
        <v>4500</v>
      </c>
      <c r="F1396" t="s">
        <v>7</v>
      </c>
    </row>
    <row r="1397" spans="1:6">
      <c r="A1397" t="s">
        <v>37</v>
      </c>
      <c r="B1397" t="s">
        <v>27</v>
      </c>
      <c r="C1397">
        <v>2022</v>
      </c>
      <c r="D1397" t="s">
        <v>10</v>
      </c>
      <c r="E1397">
        <v>175</v>
      </c>
      <c r="F1397" t="s">
        <v>11</v>
      </c>
    </row>
    <row r="1398" spans="1:6">
      <c r="A1398" t="s">
        <v>37</v>
      </c>
      <c r="B1398" t="s">
        <v>27</v>
      </c>
      <c r="C1398">
        <v>2022</v>
      </c>
      <c r="D1398" t="s">
        <v>12</v>
      </c>
      <c r="E1398">
        <v>0.32</v>
      </c>
      <c r="F1398" t="s">
        <v>13</v>
      </c>
    </row>
    <row r="1399" spans="1:6">
      <c r="A1399" t="s">
        <v>37</v>
      </c>
      <c r="B1399" t="s">
        <v>27</v>
      </c>
      <c r="C1399">
        <v>2022</v>
      </c>
      <c r="D1399" t="s">
        <v>164</v>
      </c>
      <c r="E1399">
        <v>4.4779999999999998</v>
      </c>
      <c r="F1399" t="s">
        <v>166</v>
      </c>
    </row>
    <row r="1400" spans="1:6">
      <c r="A1400" t="s">
        <v>37</v>
      </c>
      <c r="B1400" t="s">
        <v>27</v>
      </c>
      <c r="C1400">
        <v>2030</v>
      </c>
      <c r="D1400" t="s">
        <v>6</v>
      </c>
      <c r="E1400">
        <v>4500</v>
      </c>
      <c r="F1400" t="s">
        <v>7</v>
      </c>
    </row>
    <row r="1401" spans="1:6">
      <c r="A1401" t="s">
        <v>37</v>
      </c>
      <c r="B1401" t="s">
        <v>27</v>
      </c>
      <c r="C1401">
        <v>2030</v>
      </c>
      <c r="D1401" t="s">
        <v>8</v>
      </c>
      <c r="E1401">
        <v>4599</v>
      </c>
      <c r="F1401" t="s">
        <v>7</v>
      </c>
    </row>
    <row r="1402" spans="1:6">
      <c r="A1402" t="s">
        <v>37</v>
      </c>
      <c r="B1402" t="s">
        <v>27</v>
      </c>
      <c r="C1402">
        <v>2030</v>
      </c>
      <c r="D1402" t="s">
        <v>9</v>
      </c>
      <c r="E1402">
        <v>4401</v>
      </c>
      <c r="F1402" t="s">
        <v>7</v>
      </c>
    </row>
    <row r="1403" spans="1:6">
      <c r="A1403" t="s">
        <v>37</v>
      </c>
      <c r="B1403" t="s">
        <v>27</v>
      </c>
      <c r="C1403">
        <v>2030</v>
      </c>
      <c r="D1403" t="s">
        <v>10</v>
      </c>
      <c r="E1403">
        <v>175</v>
      </c>
      <c r="F1403" t="s">
        <v>11</v>
      </c>
    </row>
    <row r="1404" spans="1:6">
      <c r="A1404" t="s">
        <v>37</v>
      </c>
      <c r="B1404" t="s">
        <v>27</v>
      </c>
      <c r="C1404">
        <v>2030</v>
      </c>
      <c r="D1404" t="s">
        <v>12</v>
      </c>
      <c r="E1404">
        <v>0.33</v>
      </c>
      <c r="F1404" t="s">
        <v>13</v>
      </c>
    </row>
    <row r="1405" spans="1:6">
      <c r="A1405" t="s">
        <v>37</v>
      </c>
      <c r="B1405" t="s">
        <v>27</v>
      </c>
      <c r="C1405">
        <v>2030</v>
      </c>
      <c r="D1405" t="s">
        <v>164</v>
      </c>
      <c r="E1405">
        <v>4.1529999999999996</v>
      </c>
      <c r="F1405" t="s">
        <v>166</v>
      </c>
    </row>
    <row r="1406" spans="1:6">
      <c r="A1406" t="s">
        <v>37</v>
      </c>
      <c r="B1406" t="s">
        <v>27</v>
      </c>
      <c r="C1406">
        <v>2050</v>
      </c>
      <c r="D1406" t="s">
        <v>6</v>
      </c>
      <c r="E1406">
        <v>3650</v>
      </c>
      <c r="F1406" t="s">
        <v>7</v>
      </c>
    </row>
    <row r="1407" spans="1:6">
      <c r="A1407" t="s">
        <v>37</v>
      </c>
      <c r="B1407" t="s">
        <v>27</v>
      </c>
      <c r="C1407">
        <v>2050</v>
      </c>
      <c r="D1407" t="s">
        <v>8</v>
      </c>
      <c r="E1407">
        <v>3817.2</v>
      </c>
      <c r="F1407" t="s">
        <v>7</v>
      </c>
    </row>
    <row r="1408" spans="1:6">
      <c r="A1408" t="s">
        <v>37</v>
      </c>
      <c r="B1408" t="s">
        <v>27</v>
      </c>
      <c r="C1408">
        <v>2050</v>
      </c>
      <c r="D1408" t="s">
        <v>9</v>
      </c>
      <c r="E1408">
        <v>3482.8</v>
      </c>
      <c r="F1408" t="s">
        <v>7</v>
      </c>
    </row>
    <row r="1409" spans="1:6">
      <c r="A1409" t="s">
        <v>37</v>
      </c>
      <c r="B1409" t="s">
        <v>27</v>
      </c>
      <c r="C1409">
        <v>2050</v>
      </c>
      <c r="D1409" t="s">
        <v>10</v>
      </c>
      <c r="E1409">
        <v>140</v>
      </c>
      <c r="F1409" t="s">
        <v>11</v>
      </c>
    </row>
    <row r="1410" spans="1:6">
      <c r="A1410" t="s">
        <v>37</v>
      </c>
      <c r="B1410" t="s">
        <v>27</v>
      </c>
      <c r="C1410">
        <v>2050</v>
      </c>
      <c r="D1410" t="s">
        <v>12</v>
      </c>
      <c r="E1410">
        <v>0.33</v>
      </c>
      <c r="F1410" t="s">
        <v>13</v>
      </c>
    </row>
    <row r="1411" spans="1:6">
      <c r="A1411" t="s">
        <v>37</v>
      </c>
      <c r="B1411" t="s">
        <v>27</v>
      </c>
      <c r="C1411">
        <v>2050</v>
      </c>
      <c r="D1411" t="s">
        <v>164</v>
      </c>
      <c r="E1411">
        <v>3.7309999999999999</v>
      </c>
      <c r="F1411" t="s">
        <v>166</v>
      </c>
    </row>
    <row r="1412" spans="1:6">
      <c r="A1412" t="s">
        <v>37</v>
      </c>
      <c r="B1412" t="s">
        <v>28</v>
      </c>
      <c r="C1412">
        <v>2022</v>
      </c>
      <c r="D1412" t="s">
        <v>6</v>
      </c>
      <c r="E1412">
        <v>4300</v>
      </c>
      <c r="F1412" t="s">
        <v>7</v>
      </c>
    </row>
    <row r="1413" spans="1:6">
      <c r="A1413" t="s">
        <v>37</v>
      </c>
      <c r="B1413" t="s">
        <v>28</v>
      </c>
      <c r="C1413">
        <v>2022</v>
      </c>
      <c r="D1413" t="s">
        <v>8</v>
      </c>
      <c r="E1413">
        <v>4300</v>
      </c>
      <c r="F1413" t="s">
        <v>7</v>
      </c>
    </row>
    <row r="1414" spans="1:6">
      <c r="A1414" t="s">
        <v>37</v>
      </c>
      <c r="B1414" t="s">
        <v>28</v>
      </c>
      <c r="C1414">
        <v>2022</v>
      </c>
      <c r="D1414" t="s">
        <v>9</v>
      </c>
      <c r="E1414">
        <v>4300</v>
      </c>
      <c r="F1414" t="s">
        <v>7</v>
      </c>
    </row>
    <row r="1415" spans="1:6">
      <c r="A1415" t="s">
        <v>37</v>
      </c>
      <c r="B1415" t="s">
        <v>28</v>
      </c>
      <c r="C1415">
        <v>2022</v>
      </c>
      <c r="D1415" t="s">
        <v>10</v>
      </c>
      <c r="E1415">
        <v>170</v>
      </c>
      <c r="F1415" t="s">
        <v>11</v>
      </c>
    </row>
    <row r="1416" spans="1:6">
      <c r="A1416" t="s">
        <v>37</v>
      </c>
      <c r="B1416" t="s">
        <v>28</v>
      </c>
      <c r="C1416">
        <v>2022</v>
      </c>
      <c r="D1416" t="s">
        <v>164</v>
      </c>
      <c r="E1416">
        <v>4.4779999999999998</v>
      </c>
      <c r="F1416" t="s">
        <v>166</v>
      </c>
    </row>
    <row r="1417" spans="1:6">
      <c r="A1417" t="s">
        <v>37</v>
      </c>
      <c r="B1417" t="s">
        <v>28</v>
      </c>
      <c r="C1417">
        <v>2030</v>
      </c>
      <c r="D1417" t="s">
        <v>6</v>
      </c>
      <c r="E1417">
        <v>4300</v>
      </c>
      <c r="F1417" t="s">
        <v>7</v>
      </c>
    </row>
    <row r="1418" spans="1:6">
      <c r="A1418" t="s">
        <v>37</v>
      </c>
      <c r="B1418" t="s">
        <v>28</v>
      </c>
      <c r="C1418">
        <v>2030</v>
      </c>
      <c r="D1418" t="s">
        <v>8</v>
      </c>
      <c r="E1418">
        <v>4394.6000000000004</v>
      </c>
      <c r="F1418" t="s">
        <v>7</v>
      </c>
    </row>
    <row r="1419" spans="1:6">
      <c r="A1419" t="s">
        <v>37</v>
      </c>
      <c r="B1419" t="s">
        <v>28</v>
      </c>
      <c r="C1419">
        <v>2030</v>
      </c>
      <c r="D1419" t="s">
        <v>9</v>
      </c>
      <c r="E1419">
        <v>4205.3999999999996</v>
      </c>
      <c r="F1419" t="s">
        <v>7</v>
      </c>
    </row>
    <row r="1420" spans="1:6">
      <c r="A1420" t="s">
        <v>37</v>
      </c>
      <c r="B1420" t="s">
        <v>28</v>
      </c>
      <c r="C1420">
        <v>2030</v>
      </c>
      <c r="D1420" t="s">
        <v>10</v>
      </c>
      <c r="E1420">
        <v>170</v>
      </c>
      <c r="F1420" t="s">
        <v>11</v>
      </c>
    </row>
    <row r="1421" spans="1:6">
      <c r="A1421" t="s">
        <v>37</v>
      </c>
      <c r="B1421" t="s">
        <v>28</v>
      </c>
      <c r="C1421">
        <v>2030</v>
      </c>
      <c r="D1421" t="s">
        <v>164</v>
      </c>
      <c r="E1421">
        <v>4.1529999999999996</v>
      </c>
      <c r="F1421" t="s">
        <v>166</v>
      </c>
    </row>
    <row r="1422" spans="1:6">
      <c r="A1422" t="s">
        <v>37</v>
      </c>
      <c r="B1422" t="s">
        <v>28</v>
      </c>
      <c r="C1422">
        <v>2050</v>
      </c>
      <c r="D1422" t="s">
        <v>6</v>
      </c>
      <c r="E1422">
        <v>3550</v>
      </c>
      <c r="F1422" t="s">
        <v>7</v>
      </c>
    </row>
    <row r="1423" spans="1:6">
      <c r="A1423" t="s">
        <v>37</v>
      </c>
      <c r="B1423" t="s">
        <v>28</v>
      </c>
      <c r="C1423">
        <v>2050</v>
      </c>
      <c r="D1423" t="s">
        <v>8</v>
      </c>
      <c r="E1423">
        <v>3712.6</v>
      </c>
      <c r="F1423" t="s">
        <v>7</v>
      </c>
    </row>
    <row r="1424" spans="1:6">
      <c r="A1424" t="s">
        <v>37</v>
      </c>
      <c r="B1424" t="s">
        <v>28</v>
      </c>
      <c r="C1424">
        <v>2050</v>
      </c>
      <c r="D1424" t="s">
        <v>9</v>
      </c>
      <c r="E1424">
        <v>3387.4</v>
      </c>
      <c r="F1424" t="s">
        <v>7</v>
      </c>
    </row>
    <row r="1425" spans="1:6">
      <c r="A1425" t="s">
        <v>37</v>
      </c>
      <c r="B1425" t="s">
        <v>28</v>
      </c>
      <c r="C1425">
        <v>2050</v>
      </c>
      <c r="D1425" t="s">
        <v>10</v>
      </c>
      <c r="E1425">
        <v>140</v>
      </c>
      <c r="F1425" t="s">
        <v>11</v>
      </c>
    </row>
    <row r="1426" spans="1:6">
      <c r="A1426" t="s">
        <v>37</v>
      </c>
      <c r="B1426" t="s">
        <v>28</v>
      </c>
      <c r="C1426">
        <v>2050</v>
      </c>
      <c r="D1426" t="s">
        <v>164</v>
      </c>
      <c r="E1426">
        <v>3.7309999999999999</v>
      </c>
      <c r="F1426" t="s">
        <v>166</v>
      </c>
    </row>
    <row r="1427" spans="1:6">
      <c r="A1427" t="s">
        <v>38</v>
      </c>
      <c r="B1427" t="s">
        <v>20</v>
      </c>
      <c r="C1427">
        <v>2022</v>
      </c>
      <c r="D1427" t="s">
        <v>6</v>
      </c>
      <c r="E1427">
        <v>5700</v>
      </c>
      <c r="F1427" t="s">
        <v>7</v>
      </c>
    </row>
    <row r="1428" spans="1:6">
      <c r="A1428" t="s">
        <v>38</v>
      </c>
      <c r="B1428" t="s">
        <v>20</v>
      </c>
      <c r="C1428">
        <v>2022</v>
      </c>
      <c r="D1428" t="s">
        <v>8</v>
      </c>
      <c r="E1428">
        <v>5700</v>
      </c>
      <c r="F1428" t="s">
        <v>7</v>
      </c>
    </row>
    <row r="1429" spans="1:6">
      <c r="A1429" t="s">
        <v>38</v>
      </c>
      <c r="B1429" t="s">
        <v>20</v>
      </c>
      <c r="C1429">
        <v>2022</v>
      </c>
      <c r="D1429" t="s">
        <v>9</v>
      </c>
      <c r="E1429">
        <v>5700</v>
      </c>
      <c r="F1429" t="s">
        <v>7</v>
      </c>
    </row>
    <row r="1430" spans="1:6">
      <c r="A1430" t="s">
        <v>38</v>
      </c>
      <c r="B1430" t="s">
        <v>20</v>
      </c>
      <c r="C1430">
        <v>2022</v>
      </c>
      <c r="D1430" t="s">
        <v>10</v>
      </c>
      <c r="E1430">
        <v>170</v>
      </c>
      <c r="F1430" t="s">
        <v>11</v>
      </c>
    </row>
    <row r="1431" spans="1:6">
      <c r="A1431" t="s">
        <v>38</v>
      </c>
      <c r="B1431" t="s">
        <v>20</v>
      </c>
      <c r="C1431">
        <v>2022</v>
      </c>
      <c r="D1431" t="s">
        <v>12</v>
      </c>
      <c r="E1431">
        <v>0.36</v>
      </c>
      <c r="F1431" t="s">
        <v>13</v>
      </c>
    </row>
    <row r="1432" spans="1:6">
      <c r="A1432" t="s">
        <v>38</v>
      </c>
      <c r="B1432" t="s">
        <v>20</v>
      </c>
      <c r="C1432">
        <v>2022</v>
      </c>
      <c r="D1432" t="s">
        <v>164</v>
      </c>
      <c r="E1432">
        <v>4.306</v>
      </c>
      <c r="F1432" t="s">
        <v>166</v>
      </c>
    </row>
    <row r="1433" spans="1:6">
      <c r="A1433" t="s">
        <v>38</v>
      </c>
      <c r="B1433" t="s">
        <v>20</v>
      </c>
      <c r="C1433">
        <v>2030</v>
      </c>
      <c r="D1433" t="s">
        <v>6</v>
      </c>
      <c r="E1433">
        <v>5700</v>
      </c>
      <c r="F1433" t="s">
        <v>7</v>
      </c>
    </row>
    <row r="1434" spans="1:6">
      <c r="A1434" t="s">
        <v>38</v>
      </c>
      <c r="B1434" t="s">
        <v>20</v>
      </c>
      <c r="C1434">
        <v>2030</v>
      </c>
      <c r="D1434" t="s">
        <v>8</v>
      </c>
      <c r="E1434">
        <v>5700</v>
      </c>
      <c r="F1434" t="s">
        <v>7</v>
      </c>
    </row>
    <row r="1435" spans="1:6">
      <c r="A1435" t="s">
        <v>38</v>
      </c>
      <c r="B1435" t="s">
        <v>20</v>
      </c>
      <c r="C1435">
        <v>2030</v>
      </c>
      <c r="D1435" t="s">
        <v>9</v>
      </c>
      <c r="E1435">
        <v>5700</v>
      </c>
      <c r="F1435" t="s">
        <v>7</v>
      </c>
    </row>
    <row r="1436" spans="1:6">
      <c r="A1436" t="s">
        <v>38</v>
      </c>
      <c r="B1436" t="s">
        <v>20</v>
      </c>
      <c r="C1436">
        <v>2030</v>
      </c>
      <c r="D1436" t="s">
        <v>10</v>
      </c>
      <c r="E1436">
        <v>170</v>
      </c>
      <c r="F1436" t="s">
        <v>11</v>
      </c>
    </row>
    <row r="1437" spans="1:6">
      <c r="A1437" t="s">
        <v>38</v>
      </c>
      <c r="B1437" t="s">
        <v>20</v>
      </c>
      <c r="C1437">
        <v>2030</v>
      </c>
      <c r="D1437" t="s">
        <v>12</v>
      </c>
      <c r="E1437">
        <v>0.37</v>
      </c>
      <c r="F1437" t="s">
        <v>13</v>
      </c>
    </row>
    <row r="1438" spans="1:6">
      <c r="A1438" t="s">
        <v>38</v>
      </c>
      <c r="B1438" t="s">
        <v>20</v>
      </c>
      <c r="C1438">
        <v>2030</v>
      </c>
      <c r="D1438" t="s">
        <v>164</v>
      </c>
      <c r="E1438">
        <v>4.306</v>
      </c>
      <c r="F1438" t="s">
        <v>166</v>
      </c>
    </row>
    <row r="1439" spans="1:6">
      <c r="A1439" t="s">
        <v>38</v>
      </c>
      <c r="B1439" t="s">
        <v>20</v>
      </c>
      <c r="C1439">
        <v>2050</v>
      </c>
      <c r="D1439" t="s">
        <v>6</v>
      </c>
      <c r="E1439">
        <v>5150</v>
      </c>
      <c r="F1439" t="s">
        <v>7</v>
      </c>
    </row>
    <row r="1440" spans="1:6">
      <c r="A1440" t="s">
        <v>38</v>
      </c>
      <c r="B1440" t="s">
        <v>20</v>
      </c>
      <c r="C1440">
        <v>2050</v>
      </c>
      <c r="D1440" t="s">
        <v>8</v>
      </c>
      <c r="E1440">
        <v>5150</v>
      </c>
      <c r="F1440" t="s">
        <v>7</v>
      </c>
    </row>
    <row r="1441" spans="1:6">
      <c r="A1441" t="s">
        <v>38</v>
      </c>
      <c r="B1441" t="s">
        <v>20</v>
      </c>
      <c r="C1441">
        <v>2050</v>
      </c>
      <c r="D1441" t="s">
        <v>9</v>
      </c>
      <c r="E1441">
        <v>5150</v>
      </c>
      <c r="F1441" t="s">
        <v>7</v>
      </c>
    </row>
    <row r="1442" spans="1:6">
      <c r="A1442" t="s">
        <v>38</v>
      </c>
      <c r="B1442" t="s">
        <v>20</v>
      </c>
      <c r="C1442">
        <v>2050</v>
      </c>
      <c r="D1442" t="s">
        <v>10</v>
      </c>
      <c r="E1442">
        <v>155</v>
      </c>
      <c r="F1442" t="s">
        <v>11</v>
      </c>
    </row>
    <row r="1443" spans="1:6">
      <c r="A1443" t="s">
        <v>38</v>
      </c>
      <c r="B1443" t="s">
        <v>20</v>
      </c>
      <c r="C1443">
        <v>2050</v>
      </c>
      <c r="D1443" t="s">
        <v>12</v>
      </c>
      <c r="E1443">
        <v>0.37</v>
      </c>
      <c r="F1443" t="s">
        <v>13</v>
      </c>
    </row>
    <row r="1444" spans="1:6">
      <c r="A1444" t="s">
        <v>38</v>
      </c>
      <c r="B1444" t="s">
        <v>20</v>
      </c>
      <c r="C1444">
        <v>2050</v>
      </c>
      <c r="D1444" t="s">
        <v>164</v>
      </c>
      <c r="E1444">
        <v>4.306</v>
      </c>
      <c r="F1444" t="s">
        <v>166</v>
      </c>
    </row>
    <row r="1445" spans="1:6">
      <c r="A1445" t="s">
        <v>38</v>
      </c>
      <c r="B1445" t="s">
        <v>21</v>
      </c>
      <c r="C1445">
        <v>2022</v>
      </c>
      <c r="D1445" t="s">
        <v>6</v>
      </c>
      <c r="E1445">
        <v>5800</v>
      </c>
      <c r="F1445" t="s">
        <v>7</v>
      </c>
    </row>
    <row r="1446" spans="1:6">
      <c r="A1446" t="s">
        <v>38</v>
      </c>
      <c r="B1446" t="s">
        <v>21</v>
      </c>
      <c r="C1446">
        <v>2022</v>
      </c>
      <c r="D1446" t="s">
        <v>8</v>
      </c>
      <c r="E1446">
        <v>5800</v>
      </c>
      <c r="F1446" t="s">
        <v>7</v>
      </c>
    </row>
    <row r="1447" spans="1:6">
      <c r="A1447" t="s">
        <v>38</v>
      </c>
      <c r="B1447" t="s">
        <v>21</v>
      </c>
      <c r="C1447">
        <v>2022</v>
      </c>
      <c r="D1447" t="s">
        <v>9</v>
      </c>
      <c r="E1447">
        <v>5800</v>
      </c>
      <c r="F1447" t="s">
        <v>7</v>
      </c>
    </row>
    <row r="1448" spans="1:6">
      <c r="A1448" t="s">
        <v>38</v>
      </c>
      <c r="B1448" t="s">
        <v>21</v>
      </c>
      <c r="C1448">
        <v>2022</v>
      </c>
      <c r="D1448" t="s">
        <v>10</v>
      </c>
      <c r="E1448">
        <v>175</v>
      </c>
      <c r="F1448" t="s">
        <v>11</v>
      </c>
    </row>
    <row r="1449" spans="1:6">
      <c r="A1449" t="s">
        <v>38</v>
      </c>
      <c r="B1449" t="s">
        <v>21</v>
      </c>
      <c r="C1449">
        <v>2022</v>
      </c>
      <c r="D1449" t="s">
        <v>12</v>
      </c>
      <c r="E1449">
        <v>0.36</v>
      </c>
      <c r="F1449" t="s">
        <v>13</v>
      </c>
    </row>
    <row r="1450" spans="1:6">
      <c r="A1450" t="s">
        <v>38</v>
      </c>
      <c r="B1450" t="s">
        <v>21</v>
      </c>
      <c r="C1450">
        <v>2022</v>
      </c>
      <c r="D1450" t="s">
        <v>164</v>
      </c>
      <c r="E1450">
        <v>4.306</v>
      </c>
      <c r="F1450" t="s">
        <v>166</v>
      </c>
    </row>
    <row r="1451" spans="1:6">
      <c r="A1451" t="s">
        <v>38</v>
      </c>
      <c r="B1451" t="s">
        <v>21</v>
      </c>
      <c r="C1451">
        <v>2030</v>
      </c>
      <c r="D1451" t="s">
        <v>6</v>
      </c>
      <c r="E1451">
        <v>5800</v>
      </c>
      <c r="F1451" t="s">
        <v>7</v>
      </c>
    </row>
    <row r="1452" spans="1:6">
      <c r="A1452" t="s">
        <v>38</v>
      </c>
      <c r="B1452" t="s">
        <v>21</v>
      </c>
      <c r="C1452">
        <v>2030</v>
      </c>
      <c r="D1452" t="s">
        <v>8</v>
      </c>
      <c r="E1452">
        <v>5800</v>
      </c>
      <c r="F1452" t="s">
        <v>7</v>
      </c>
    </row>
    <row r="1453" spans="1:6">
      <c r="A1453" t="s">
        <v>38</v>
      </c>
      <c r="B1453" t="s">
        <v>21</v>
      </c>
      <c r="C1453">
        <v>2030</v>
      </c>
      <c r="D1453" t="s">
        <v>9</v>
      </c>
      <c r="E1453">
        <v>5800</v>
      </c>
      <c r="F1453" t="s">
        <v>7</v>
      </c>
    </row>
    <row r="1454" spans="1:6">
      <c r="A1454" t="s">
        <v>38</v>
      </c>
      <c r="B1454" t="s">
        <v>21</v>
      </c>
      <c r="C1454">
        <v>2030</v>
      </c>
      <c r="D1454" t="s">
        <v>10</v>
      </c>
      <c r="E1454">
        <v>175</v>
      </c>
      <c r="F1454" t="s">
        <v>11</v>
      </c>
    </row>
    <row r="1455" spans="1:6">
      <c r="A1455" t="s">
        <v>38</v>
      </c>
      <c r="B1455" t="s">
        <v>21</v>
      </c>
      <c r="C1455">
        <v>2030</v>
      </c>
      <c r="D1455" t="s">
        <v>12</v>
      </c>
      <c r="E1455">
        <v>0.37</v>
      </c>
      <c r="F1455" t="s">
        <v>13</v>
      </c>
    </row>
    <row r="1456" spans="1:6">
      <c r="A1456" t="s">
        <v>38</v>
      </c>
      <c r="B1456" t="s">
        <v>21</v>
      </c>
      <c r="C1456">
        <v>2030</v>
      </c>
      <c r="D1456" t="s">
        <v>164</v>
      </c>
      <c r="E1456">
        <v>4.306</v>
      </c>
      <c r="F1456" t="s">
        <v>166</v>
      </c>
    </row>
    <row r="1457" spans="1:6">
      <c r="A1457" t="s">
        <v>38</v>
      </c>
      <c r="B1457" t="s">
        <v>21</v>
      </c>
      <c r="C1457">
        <v>2050</v>
      </c>
      <c r="D1457" t="s">
        <v>6</v>
      </c>
      <c r="E1457">
        <v>5200</v>
      </c>
      <c r="F1457" t="s">
        <v>7</v>
      </c>
    </row>
    <row r="1458" spans="1:6">
      <c r="A1458" t="s">
        <v>38</v>
      </c>
      <c r="B1458" t="s">
        <v>21</v>
      </c>
      <c r="C1458">
        <v>2050</v>
      </c>
      <c r="D1458" t="s">
        <v>8</v>
      </c>
      <c r="E1458">
        <v>5200</v>
      </c>
      <c r="F1458" t="s">
        <v>7</v>
      </c>
    </row>
    <row r="1459" spans="1:6">
      <c r="A1459" t="s">
        <v>38</v>
      </c>
      <c r="B1459" t="s">
        <v>21</v>
      </c>
      <c r="C1459">
        <v>2050</v>
      </c>
      <c r="D1459" t="s">
        <v>9</v>
      </c>
      <c r="E1459">
        <v>5200</v>
      </c>
      <c r="F1459" t="s">
        <v>7</v>
      </c>
    </row>
    <row r="1460" spans="1:6">
      <c r="A1460" t="s">
        <v>38</v>
      </c>
      <c r="B1460" t="s">
        <v>21</v>
      </c>
      <c r="C1460">
        <v>2050</v>
      </c>
      <c r="D1460" t="s">
        <v>10</v>
      </c>
      <c r="E1460">
        <v>155</v>
      </c>
      <c r="F1460" t="s">
        <v>11</v>
      </c>
    </row>
    <row r="1461" spans="1:6">
      <c r="A1461" t="s">
        <v>38</v>
      </c>
      <c r="B1461" t="s">
        <v>21</v>
      </c>
      <c r="C1461">
        <v>2050</v>
      </c>
      <c r="D1461" t="s">
        <v>12</v>
      </c>
      <c r="E1461">
        <v>0.37</v>
      </c>
      <c r="F1461" t="s">
        <v>13</v>
      </c>
    </row>
    <row r="1462" spans="1:6">
      <c r="A1462" t="s">
        <v>38</v>
      </c>
      <c r="B1462" t="s">
        <v>21</v>
      </c>
      <c r="C1462">
        <v>2050</v>
      </c>
      <c r="D1462" t="s">
        <v>164</v>
      </c>
      <c r="E1462">
        <v>4.306</v>
      </c>
      <c r="F1462" t="s">
        <v>166</v>
      </c>
    </row>
    <row r="1463" spans="1:6">
      <c r="A1463" t="s">
        <v>38</v>
      </c>
      <c r="B1463" t="s">
        <v>22</v>
      </c>
      <c r="C1463">
        <v>2022</v>
      </c>
      <c r="D1463" t="s">
        <v>6</v>
      </c>
      <c r="E1463">
        <v>6100</v>
      </c>
      <c r="F1463" t="s">
        <v>7</v>
      </c>
    </row>
    <row r="1464" spans="1:6">
      <c r="A1464" t="s">
        <v>38</v>
      </c>
      <c r="B1464" t="s">
        <v>22</v>
      </c>
      <c r="C1464">
        <v>2022</v>
      </c>
      <c r="D1464" t="s">
        <v>8</v>
      </c>
      <c r="E1464">
        <v>6100</v>
      </c>
      <c r="F1464" t="s">
        <v>7</v>
      </c>
    </row>
    <row r="1465" spans="1:6">
      <c r="A1465" t="s">
        <v>38</v>
      </c>
      <c r="B1465" t="s">
        <v>22</v>
      </c>
      <c r="C1465">
        <v>2022</v>
      </c>
      <c r="D1465" t="s">
        <v>9</v>
      </c>
      <c r="E1465">
        <v>6100</v>
      </c>
      <c r="F1465" t="s">
        <v>7</v>
      </c>
    </row>
    <row r="1466" spans="1:6">
      <c r="A1466" t="s">
        <v>38</v>
      </c>
      <c r="B1466" t="s">
        <v>22</v>
      </c>
      <c r="C1466">
        <v>2022</v>
      </c>
      <c r="D1466" t="s">
        <v>10</v>
      </c>
      <c r="E1466">
        <v>185</v>
      </c>
      <c r="F1466" t="s">
        <v>11</v>
      </c>
    </row>
    <row r="1467" spans="1:6">
      <c r="A1467" t="s">
        <v>38</v>
      </c>
      <c r="B1467" t="s">
        <v>22</v>
      </c>
      <c r="C1467">
        <v>2022</v>
      </c>
      <c r="D1467" t="s">
        <v>12</v>
      </c>
      <c r="E1467">
        <v>0.36</v>
      </c>
      <c r="F1467" t="s">
        <v>13</v>
      </c>
    </row>
    <row r="1468" spans="1:6">
      <c r="A1468" t="s">
        <v>38</v>
      </c>
      <c r="B1468" t="s">
        <v>22</v>
      </c>
      <c r="C1468">
        <v>2022</v>
      </c>
      <c r="D1468" t="s">
        <v>164</v>
      </c>
      <c r="E1468">
        <v>4.306</v>
      </c>
      <c r="F1468" t="s">
        <v>166</v>
      </c>
    </row>
    <row r="1469" spans="1:6">
      <c r="A1469" t="s">
        <v>38</v>
      </c>
      <c r="B1469" t="s">
        <v>22</v>
      </c>
      <c r="C1469">
        <v>2030</v>
      </c>
      <c r="D1469" t="s">
        <v>6</v>
      </c>
      <c r="E1469">
        <v>6100</v>
      </c>
      <c r="F1469" t="s">
        <v>7</v>
      </c>
    </row>
    <row r="1470" spans="1:6">
      <c r="A1470" t="s">
        <v>38</v>
      </c>
      <c r="B1470" t="s">
        <v>22</v>
      </c>
      <c r="C1470">
        <v>2030</v>
      </c>
      <c r="D1470" t="s">
        <v>8</v>
      </c>
      <c r="E1470">
        <v>6100</v>
      </c>
      <c r="F1470" t="s">
        <v>7</v>
      </c>
    </row>
    <row r="1471" spans="1:6">
      <c r="A1471" t="s">
        <v>38</v>
      </c>
      <c r="B1471" t="s">
        <v>22</v>
      </c>
      <c r="C1471">
        <v>2030</v>
      </c>
      <c r="D1471" t="s">
        <v>9</v>
      </c>
      <c r="E1471">
        <v>6100</v>
      </c>
      <c r="F1471" t="s">
        <v>7</v>
      </c>
    </row>
    <row r="1472" spans="1:6">
      <c r="A1472" t="s">
        <v>38</v>
      </c>
      <c r="B1472" t="s">
        <v>22</v>
      </c>
      <c r="C1472">
        <v>2030</v>
      </c>
      <c r="D1472" t="s">
        <v>10</v>
      </c>
      <c r="E1472">
        <v>185</v>
      </c>
      <c r="F1472" t="s">
        <v>11</v>
      </c>
    </row>
    <row r="1473" spans="1:6">
      <c r="A1473" t="s">
        <v>38</v>
      </c>
      <c r="B1473" t="s">
        <v>22</v>
      </c>
      <c r="C1473">
        <v>2030</v>
      </c>
      <c r="D1473" t="s">
        <v>12</v>
      </c>
      <c r="E1473">
        <v>0.37</v>
      </c>
      <c r="F1473" t="s">
        <v>13</v>
      </c>
    </row>
    <row r="1474" spans="1:6">
      <c r="A1474" t="s">
        <v>38</v>
      </c>
      <c r="B1474" t="s">
        <v>22</v>
      </c>
      <c r="C1474">
        <v>2030</v>
      </c>
      <c r="D1474" t="s">
        <v>164</v>
      </c>
      <c r="E1474">
        <v>4.306</v>
      </c>
      <c r="F1474" t="s">
        <v>166</v>
      </c>
    </row>
    <row r="1475" spans="1:6">
      <c r="A1475" t="s">
        <v>38</v>
      </c>
      <c r="B1475" t="s">
        <v>22</v>
      </c>
      <c r="C1475">
        <v>2050</v>
      </c>
      <c r="D1475" t="s">
        <v>6</v>
      </c>
      <c r="E1475">
        <v>5550</v>
      </c>
      <c r="F1475" t="s">
        <v>7</v>
      </c>
    </row>
    <row r="1476" spans="1:6">
      <c r="A1476" t="s">
        <v>38</v>
      </c>
      <c r="B1476" t="s">
        <v>22</v>
      </c>
      <c r="C1476">
        <v>2050</v>
      </c>
      <c r="D1476" t="s">
        <v>8</v>
      </c>
      <c r="E1476">
        <v>5550</v>
      </c>
      <c r="F1476" t="s">
        <v>7</v>
      </c>
    </row>
    <row r="1477" spans="1:6">
      <c r="A1477" t="s">
        <v>38</v>
      </c>
      <c r="B1477" t="s">
        <v>22</v>
      </c>
      <c r="C1477">
        <v>2050</v>
      </c>
      <c r="D1477" t="s">
        <v>9</v>
      </c>
      <c r="E1477">
        <v>5550</v>
      </c>
      <c r="F1477" t="s">
        <v>7</v>
      </c>
    </row>
    <row r="1478" spans="1:6">
      <c r="A1478" t="s">
        <v>38</v>
      </c>
      <c r="B1478" t="s">
        <v>22</v>
      </c>
      <c r="C1478">
        <v>2050</v>
      </c>
      <c r="D1478" t="s">
        <v>10</v>
      </c>
      <c r="E1478">
        <v>165</v>
      </c>
      <c r="F1478" t="s">
        <v>11</v>
      </c>
    </row>
    <row r="1479" spans="1:6">
      <c r="A1479" t="s">
        <v>38</v>
      </c>
      <c r="B1479" t="s">
        <v>22</v>
      </c>
      <c r="C1479">
        <v>2050</v>
      </c>
      <c r="D1479" t="s">
        <v>12</v>
      </c>
      <c r="E1479">
        <v>0.37</v>
      </c>
      <c r="F1479" t="s">
        <v>13</v>
      </c>
    </row>
    <row r="1480" spans="1:6">
      <c r="A1480" t="s">
        <v>38</v>
      </c>
      <c r="B1480" t="s">
        <v>22</v>
      </c>
      <c r="C1480">
        <v>2050</v>
      </c>
      <c r="D1480" t="s">
        <v>164</v>
      </c>
      <c r="E1480">
        <v>4.306</v>
      </c>
      <c r="F1480" t="s">
        <v>166</v>
      </c>
    </row>
    <row r="1481" spans="1:6">
      <c r="A1481" t="s">
        <v>38</v>
      </c>
      <c r="B1481" t="s">
        <v>23</v>
      </c>
      <c r="C1481">
        <v>2022</v>
      </c>
      <c r="D1481" t="s">
        <v>6</v>
      </c>
      <c r="E1481">
        <v>5300</v>
      </c>
      <c r="F1481" t="s">
        <v>7</v>
      </c>
    </row>
    <row r="1482" spans="1:6">
      <c r="A1482" t="s">
        <v>38</v>
      </c>
      <c r="B1482" t="s">
        <v>23</v>
      </c>
      <c r="C1482">
        <v>2022</v>
      </c>
      <c r="D1482" t="s">
        <v>8</v>
      </c>
      <c r="E1482">
        <v>5300</v>
      </c>
      <c r="F1482" t="s">
        <v>7</v>
      </c>
    </row>
    <row r="1483" spans="1:6">
      <c r="A1483" t="s">
        <v>38</v>
      </c>
      <c r="B1483" t="s">
        <v>23</v>
      </c>
      <c r="C1483">
        <v>2022</v>
      </c>
      <c r="D1483" t="s">
        <v>9</v>
      </c>
      <c r="E1483">
        <v>5300</v>
      </c>
      <c r="F1483" t="s">
        <v>7</v>
      </c>
    </row>
    <row r="1484" spans="1:6">
      <c r="A1484" t="s">
        <v>38</v>
      </c>
      <c r="B1484" t="s">
        <v>23</v>
      </c>
      <c r="C1484">
        <v>2022</v>
      </c>
      <c r="D1484" t="s">
        <v>10</v>
      </c>
      <c r="E1484">
        <v>160</v>
      </c>
      <c r="F1484" t="s">
        <v>11</v>
      </c>
    </row>
    <row r="1485" spans="1:6">
      <c r="A1485" t="s">
        <v>38</v>
      </c>
      <c r="B1485" t="s">
        <v>23</v>
      </c>
      <c r="C1485">
        <v>2022</v>
      </c>
      <c r="D1485" t="s">
        <v>12</v>
      </c>
      <c r="E1485">
        <v>0.36</v>
      </c>
      <c r="F1485" t="s">
        <v>13</v>
      </c>
    </row>
    <row r="1486" spans="1:6">
      <c r="A1486" t="s">
        <v>38</v>
      </c>
      <c r="B1486" t="s">
        <v>23</v>
      </c>
      <c r="C1486">
        <v>2022</v>
      </c>
      <c r="D1486" t="s">
        <v>164</v>
      </c>
      <c r="E1486">
        <v>4.306</v>
      </c>
      <c r="F1486" t="s">
        <v>166</v>
      </c>
    </row>
    <row r="1487" spans="1:6">
      <c r="A1487" t="s">
        <v>38</v>
      </c>
      <c r="B1487" t="s">
        <v>23</v>
      </c>
      <c r="C1487">
        <v>2030</v>
      </c>
      <c r="D1487" t="s">
        <v>6</v>
      </c>
      <c r="E1487">
        <v>5300</v>
      </c>
      <c r="F1487" t="s">
        <v>7</v>
      </c>
    </row>
    <row r="1488" spans="1:6">
      <c r="A1488" t="s">
        <v>38</v>
      </c>
      <c r="B1488" t="s">
        <v>23</v>
      </c>
      <c r="C1488">
        <v>2030</v>
      </c>
      <c r="D1488" t="s">
        <v>8</v>
      </c>
      <c r="E1488">
        <v>5300</v>
      </c>
      <c r="F1488" t="s">
        <v>7</v>
      </c>
    </row>
    <row r="1489" spans="1:6">
      <c r="A1489" t="s">
        <v>38</v>
      </c>
      <c r="B1489" t="s">
        <v>23</v>
      </c>
      <c r="C1489">
        <v>2030</v>
      </c>
      <c r="D1489" t="s">
        <v>9</v>
      </c>
      <c r="E1489">
        <v>5300</v>
      </c>
      <c r="F1489" t="s">
        <v>7</v>
      </c>
    </row>
    <row r="1490" spans="1:6">
      <c r="A1490" t="s">
        <v>38</v>
      </c>
      <c r="B1490" t="s">
        <v>23</v>
      </c>
      <c r="C1490">
        <v>2030</v>
      </c>
      <c r="D1490" t="s">
        <v>10</v>
      </c>
      <c r="E1490">
        <v>160</v>
      </c>
      <c r="F1490" t="s">
        <v>11</v>
      </c>
    </row>
    <row r="1491" spans="1:6">
      <c r="A1491" t="s">
        <v>38</v>
      </c>
      <c r="B1491" t="s">
        <v>23</v>
      </c>
      <c r="C1491">
        <v>2030</v>
      </c>
      <c r="D1491" t="s">
        <v>12</v>
      </c>
      <c r="E1491">
        <v>0.37</v>
      </c>
      <c r="F1491" t="s">
        <v>13</v>
      </c>
    </row>
    <row r="1492" spans="1:6">
      <c r="A1492" t="s">
        <v>38</v>
      </c>
      <c r="B1492" t="s">
        <v>23</v>
      </c>
      <c r="C1492">
        <v>2030</v>
      </c>
      <c r="D1492" t="s">
        <v>164</v>
      </c>
      <c r="E1492">
        <v>4.306</v>
      </c>
      <c r="F1492" t="s">
        <v>166</v>
      </c>
    </row>
    <row r="1493" spans="1:6">
      <c r="A1493" t="s">
        <v>38</v>
      </c>
      <c r="B1493" t="s">
        <v>23</v>
      </c>
      <c r="C1493">
        <v>2050</v>
      </c>
      <c r="D1493" t="s">
        <v>6</v>
      </c>
      <c r="E1493">
        <v>4850</v>
      </c>
      <c r="F1493" t="s">
        <v>7</v>
      </c>
    </row>
    <row r="1494" spans="1:6">
      <c r="A1494" t="s">
        <v>38</v>
      </c>
      <c r="B1494" t="s">
        <v>23</v>
      </c>
      <c r="C1494">
        <v>2050</v>
      </c>
      <c r="D1494" t="s">
        <v>8</v>
      </c>
      <c r="E1494">
        <v>4850</v>
      </c>
      <c r="F1494" t="s">
        <v>7</v>
      </c>
    </row>
    <row r="1495" spans="1:6">
      <c r="A1495" t="s">
        <v>38</v>
      </c>
      <c r="B1495" t="s">
        <v>23</v>
      </c>
      <c r="C1495">
        <v>2050</v>
      </c>
      <c r="D1495" t="s">
        <v>9</v>
      </c>
      <c r="E1495">
        <v>4850</v>
      </c>
      <c r="F1495" t="s">
        <v>7</v>
      </c>
    </row>
    <row r="1496" spans="1:6">
      <c r="A1496" t="s">
        <v>38</v>
      </c>
      <c r="B1496" t="s">
        <v>23</v>
      </c>
      <c r="C1496">
        <v>2050</v>
      </c>
      <c r="D1496" t="s">
        <v>10</v>
      </c>
      <c r="E1496">
        <v>145</v>
      </c>
      <c r="F1496" t="s">
        <v>11</v>
      </c>
    </row>
    <row r="1497" spans="1:6">
      <c r="A1497" t="s">
        <v>38</v>
      </c>
      <c r="B1497" t="s">
        <v>23</v>
      </c>
      <c r="C1497">
        <v>2050</v>
      </c>
      <c r="D1497" t="s">
        <v>12</v>
      </c>
      <c r="E1497">
        <v>0.37</v>
      </c>
      <c r="F1497" t="s">
        <v>13</v>
      </c>
    </row>
    <row r="1498" spans="1:6">
      <c r="A1498" t="s">
        <v>38</v>
      </c>
      <c r="B1498" t="s">
        <v>23</v>
      </c>
      <c r="C1498">
        <v>2050</v>
      </c>
      <c r="D1498" t="s">
        <v>164</v>
      </c>
      <c r="E1498">
        <v>4.306</v>
      </c>
      <c r="F1498" t="s">
        <v>166</v>
      </c>
    </row>
    <row r="1499" spans="1:6">
      <c r="A1499" t="s">
        <v>38</v>
      </c>
      <c r="B1499" t="s">
        <v>24</v>
      </c>
      <c r="C1499">
        <v>2022</v>
      </c>
      <c r="D1499" t="s">
        <v>6</v>
      </c>
      <c r="E1499">
        <v>3500</v>
      </c>
      <c r="F1499" t="s">
        <v>7</v>
      </c>
    </row>
    <row r="1500" spans="1:6">
      <c r="A1500" t="s">
        <v>38</v>
      </c>
      <c r="B1500" t="s">
        <v>24</v>
      </c>
      <c r="C1500">
        <v>2022</v>
      </c>
      <c r="D1500" t="s">
        <v>8</v>
      </c>
      <c r="E1500">
        <v>3500</v>
      </c>
      <c r="F1500" t="s">
        <v>7</v>
      </c>
    </row>
    <row r="1501" spans="1:6">
      <c r="A1501" t="s">
        <v>38</v>
      </c>
      <c r="B1501" t="s">
        <v>24</v>
      </c>
      <c r="C1501">
        <v>2022</v>
      </c>
      <c r="D1501" t="s">
        <v>9</v>
      </c>
      <c r="E1501">
        <v>3500</v>
      </c>
      <c r="F1501" t="s">
        <v>7</v>
      </c>
    </row>
    <row r="1502" spans="1:6">
      <c r="A1502" t="s">
        <v>38</v>
      </c>
      <c r="B1502" t="s">
        <v>24</v>
      </c>
      <c r="C1502">
        <v>2022</v>
      </c>
      <c r="D1502" t="s">
        <v>10</v>
      </c>
      <c r="E1502">
        <v>140</v>
      </c>
      <c r="F1502" t="s">
        <v>11</v>
      </c>
    </row>
    <row r="1503" spans="1:6">
      <c r="A1503" t="s">
        <v>38</v>
      </c>
      <c r="B1503" t="s">
        <v>24</v>
      </c>
      <c r="C1503">
        <v>2022</v>
      </c>
      <c r="D1503" t="s">
        <v>12</v>
      </c>
      <c r="E1503">
        <v>0.35</v>
      </c>
      <c r="F1503" t="s">
        <v>13</v>
      </c>
    </row>
    <row r="1504" spans="1:6">
      <c r="A1504" t="s">
        <v>38</v>
      </c>
      <c r="B1504" t="s">
        <v>24</v>
      </c>
      <c r="C1504">
        <v>2022</v>
      </c>
      <c r="D1504" t="s">
        <v>164</v>
      </c>
      <c r="E1504">
        <v>4.306</v>
      </c>
      <c r="F1504" t="s">
        <v>166</v>
      </c>
    </row>
    <row r="1505" spans="1:6">
      <c r="A1505" t="s">
        <v>38</v>
      </c>
      <c r="B1505" t="s">
        <v>24</v>
      </c>
      <c r="C1505">
        <v>2030</v>
      </c>
      <c r="D1505" t="s">
        <v>6</v>
      </c>
      <c r="E1505">
        <v>3500</v>
      </c>
      <c r="F1505" t="s">
        <v>7</v>
      </c>
    </row>
    <row r="1506" spans="1:6">
      <c r="A1506" t="s">
        <v>38</v>
      </c>
      <c r="B1506" t="s">
        <v>24</v>
      </c>
      <c r="C1506">
        <v>2030</v>
      </c>
      <c r="D1506" t="s">
        <v>8</v>
      </c>
      <c r="E1506">
        <v>3500</v>
      </c>
      <c r="F1506" t="s">
        <v>7</v>
      </c>
    </row>
    <row r="1507" spans="1:6">
      <c r="A1507" t="s">
        <v>38</v>
      </c>
      <c r="B1507" t="s">
        <v>24</v>
      </c>
      <c r="C1507">
        <v>2030</v>
      </c>
      <c r="D1507" t="s">
        <v>9</v>
      </c>
      <c r="E1507">
        <v>3500</v>
      </c>
      <c r="F1507" t="s">
        <v>7</v>
      </c>
    </row>
    <row r="1508" spans="1:6">
      <c r="A1508" t="s">
        <v>38</v>
      </c>
      <c r="B1508" t="s">
        <v>24</v>
      </c>
      <c r="C1508">
        <v>2030</v>
      </c>
      <c r="D1508" t="s">
        <v>10</v>
      </c>
      <c r="E1508">
        <v>140</v>
      </c>
      <c r="F1508" t="s">
        <v>11</v>
      </c>
    </row>
    <row r="1509" spans="1:6">
      <c r="A1509" t="s">
        <v>38</v>
      </c>
      <c r="B1509" t="s">
        <v>24</v>
      </c>
      <c r="C1509">
        <v>2030</v>
      </c>
      <c r="D1509" t="s">
        <v>12</v>
      </c>
      <c r="E1509">
        <v>0.36</v>
      </c>
      <c r="F1509" t="s">
        <v>13</v>
      </c>
    </row>
    <row r="1510" spans="1:6">
      <c r="A1510" t="s">
        <v>38</v>
      </c>
      <c r="B1510" t="s">
        <v>24</v>
      </c>
      <c r="C1510">
        <v>2030</v>
      </c>
      <c r="D1510" t="s">
        <v>164</v>
      </c>
      <c r="E1510">
        <v>4.306</v>
      </c>
      <c r="F1510" t="s">
        <v>166</v>
      </c>
    </row>
    <row r="1511" spans="1:6">
      <c r="A1511" t="s">
        <v>38</v>
      </c>
      <c r="B1511" t="s">
        <v>24</v>
      </c>
      <c r="C1511">
        <v>2050</v>
      </c>
      <c r="D1511" t="s">
        <v>6</v>
      </c>
      <c r="E1511">
        <v>3050</v>
      </c>
      <c r="F1511" t="s">
        <v>7</v>
      </c>
    </row>
    <row r="1512" spans="1:6">
      <c r="A1512" t="s">
        <v>38</v>
      </c>
      <c r="B1512" t="s">
        <v>24</v>
      </c>
      <c r="C1512">
        <v>2050</v>
      </c>
      <c r="D1512" t="s">
        <v>8</v>
      </c>
      <c r="E1512">
        <v>3050</v>
      </c>
      <c r="F1512" t="s">
        <v>7</v>
      </c>
    </row>
    <row r="1513" spans="1:6">
      <c r="A1513" t="s">
        <v>38</v>
      </c>
      <c r="B1513" t="s">
        <v>24</v>
      </c>
      <c r="C1513">
        <v>2050</v>
      </c>
      <c r="D1513" t="s">
        <v>9</v>
      </c>
      <c r="E1513">
        <v>3050</v>
      </c>
      <c r="F1513" t="s">
        <v>7</v>
      </c>
    </row>
    <row r="1514" spans="1:6">
      <c r="A1514" t="s">
        <v>38</v>
      </c>
      <c r="B1514" t="s">
        <v>24</v>
      </c>
      <c r="C1514">
        <v>2050</v>
      </c>
      <c r="D1514" t="s">
        <v>10</v>
      </c>
      <c r="E1514">
        <v>120</v>
      </c>
      <c r="F1514" t="s">
        <v>11</v>
      </c>
    </row>
    <row r="1515" spans="1:6">
      <c r="A1515" t="s">
        <v>38</v>
      </c>
      <c r="B1515" t="s">
        <v>24</v>
      </c>
      <c r="C1515">
        <v>2050</v>
      </c>
      <c r="D1515" t="s">
        <v>12</v>
      </c>
      <c r="E1515">
        <v>0.36</v>
      </c>
      <c r="F1515" t="s">
        <v>13</v>
      </c>
    </row>
    <row r="1516" spans="1:6">
      <c r="A1516" t="s">
        <v>38</v>
      </c>
      <c r="B1516" t="s">
        <v>24</v>
      </c>
      <c r="C1516">
        <v>2050</v>
      </c>
      <c r="D1516" t="s">
        <v>164</v>
      </c>
      <c r="E1516">
        <v>4.306</v>
      </c>
      <c r="F1516" t="s">
        <v>166</v>
      </c>
    </row>
    <row r="1517" spans="1:6">
      <c r="A1517" t="s">
        <v>38</v>
      </c>
      <c r="B1517" t="s">
        <v>25</v>
      </c>
      <c r="C1517">
        <v>2022</v>
      </c>
      <c r="D1517" t="s">
        <v>6</v>
      </c>
      <c r="E1517">
        <v>4100</v>
      </c>
      <c r="F1517" t="s">
        <v>7</v>
      </c>
    </row>
    <row r="1518" spans="1:6">
      <c r="A1518" t="s">
        <v>38</v>
      </c>
      <c r="B1518" t="s">
        <v>25</v>
      </c>
      <c r="C1518">
        <v>2022</v>
      </c>
      <c r="D1518" t="s">
        <v>8</v>
      </c>
      <c r="E1518">
        <v>4100</v>
      </c>
      <c r="F1518" t="s">
        <v>7</v>
      </c>
    </row>
    <row r="1519" spans="1:6">
      <c r="A1519" t="s">
        <v>38</v>
      </c>
      <c r="B1519" t="s">
        <v>25</v>
      </c>
      <c r="C1519">
        <v>2022</v>
      </c>
      <c r="D1519" t="s">
        <v>9</v>
      </c>
      <c r="E1519">
        <v>4100</v>
      </c>
      <c r="F1519" t="s">
        <v>7</v>
      </c>
    </row>
    <row r="1520" spans="1:6">
      <c r="A1520" t="s">
        <v>38</v>
      </c>
      <c r="B1520" t="s">
        <v>25</v>
      </c>
      <c r="C1520">
        <v>2022</v>
      </c>
      <c r="D1520" t="s">
        <v>10</v>
      </c>
      <c r="E1520">
        <v>165</v>
      </c>
      <c r="F1520" t="s">
        <v>11</v>
      </c>
    </row>
    <row r="1521" spans="1:6">
      <c r="A1521" t="s">
        <v>38</v>
      </c>
      <c r="B1521" t="s">
        <v>25</v>
      </c>
      <c r="C1521">
        <v>2022</v>
      </c>
      <c r="D1521" t="s">
        <v>12</v>
      </c>
      <c r="E1521">
        <v>0.31</v>
      </c>
      <c r="F1521" t="s">
        <v>13</v>
      </c>
    </row>
    <row r="1522" spans="1:6">
      <c r="A1522" t="s">
        <v>38</v>
      </c>
      <c r="B1522" t="s">
        <v>25</v>
      </c>
      <c r="C1522">
        <v>2022</v>
      </c>
      <c r="D1522" t="s">
        <v>164</v>
      </c>
      <c r="E1522">
        <v>4.306</v>
      </c>
      <c r="F1522" t="s">
        <v>166</v>
      </c>
    </row>
    <row r="1523" spans="1:6">
      <c r="A1523" t="s">
        <v>38</v>
      </c>
      <c r="B1523" t="s">
        <v>25</v>
      </c>
      <c r="C1523">
        <v>2030</v>
      </c>
      <c r="D1523" t="s">
        <v>6</v>
      </c>
      <c r="E1523">
        <v>4100</v>
      </c>
      <c r="F1523" t="s">
        <v>7</v>
      </c>
    </row>
    <row r="1524" spans="1:6">
      <c r="A1524" t="s">
        <v>38</v>
      </c>
      <c r="B1524" t="s">
        <v>25</v>
      </c>
      <c r="C1524">
        <v>2030</v>
      </c>
      <c r="D1524" t="s">
        <v>8</v>
      </c>
      <c r="E1524">
        <v>4100</v>
      </c>
      <c r="F1524" t="s">
        <v>7</v>
      </c>
    </row>
    <row r="1525" spans="1:6">
      <c r="A1525" t="s">
        <v>38</v>
      </c>
      <c r="B1525" t="s">
        <v>25</v>
      </c>
      <c r="C1525">
        <v>2030</v>
      </c>
      <c r="D1525" t="s">
        <v>9</v>
      </c>
      <c r="E1525">
        <v>4100</v>
      </c>
      <c r="F1525" t="s">
        <v>7</v>
      </c>
    </row>
    <row r="1526" spans="1:6">
      <c r="A1526" t="s">
        <v>38</v>
      </c>
      <c r="B1526" t="s">
        <v>25</v>
      </c>
      <c r="C1526">
        <v>2030</v>
      </c>
      <c r="D1526" t="s">
        <v>10</v>
      </c>
      <c r="E1526">
        <v>165</v>
      </c>
      <c r="F1526" t="s">
        <v>11</v>
      </c>
    </row>
    <row r="1527" spans="1:6">
      <c r="A1527" t="s">
        <v>38</v>
      </c>
      <c r="B1527" t="s">
        <v>25</v>
      </c>
      <c r="C1527">
        <v>2030</v>
      </c>
      <c r="D1527" t="s">
        <v>12</v>
      </c>
      <c r="E1527">
        <v>0.32</v>
      </c>
      <c r="F1527" t="s">
        <v>13</v>
      </c>
    </row>
    <row r="1528" spans="1:6">
      <c r="A1528" t="s">
        <v>38</v>
      </c>
      <c r="B1528" t="s">
        <v>25</v>
      </c>
      <c r="C1528">
        <v>2030</v>
      </c>
      <c r="D1528" t="s">
        <v>164</v>
      </c>
      <c r="E1528">
        <v>4.306</v>
      </c>
      <c r="F1528" t="s">
        <v>166</v>
      </c>
    </row>
    <row r="1529" spans="1:6">
      <c r="A1529" t="s">
        <v>38</v>
      </c>
      <c r="B1529" t="s">
        <v>25</v>
      </c>
      <c r="C1529">
        <v>2050</v>
      </c>
      <c r="D1529" t="s">
        <v>6</v>
      </c>
      <c r="E1529">
        <v>3700</v>
      </c>
      <c r="F1529" t="s">
        <v>7</v>
      </c>
    </row>
    <row r="1530" spans="1:6">
      <c r="A1530" t="s">
        <v>38</v>
      </c>
      <c r="B1530" t="s">
        <v>25</v>
      </c>
      <c r="C1530">
        <v>2050</v>
      </c>
      <c r="D1530" t="s">
        <v>8</v>
      </c>
      <c r="E1530">
        <v>3700</v>
      </c>
      <c r="F1530" t="s">
        <v>7</v>
      </c>
    </row>
    <row r="1531" spans="1:6">
      <c r="A1531" t="s">
        <v>38</v>
      </c>
      <c r="B1531" t="s">
        <v>25</v>
      </c>
      <c r="C1531">
        <v>2050</v>
      </c>
      <c r="D1531" t="s">
        <v>9</v>
      </c>
      <c r="E1531">
        <v>3700</v>
      </c>
      <c r="F1531" t="s">
        <v>7</v>
      </c>
    </row>
    <row r="1532" spans="1:6">
      <c r="A1532" t="s">
        <v>38</v>
      </c>
      <c r="B1532" t="s">
        <v>25</v>
      </c>
      <c r="C1532">
        <v>2050</v>
      </c>
      <c r="D1532" t="s">
        <v>10</v>
      </c>
      <c r="E1532">
        <v>150</v>
      </c>
      <c r="F1532" t="s">
        <v>11</v>
      </c>
    </row>
    <row r="1533" spans="1:6">
      <c r="A1533" t="s">
        <v>38</v>
      </c>
      <c r="B1533" t="s">
        <v>25</v>
      </c>
      <c r="C1533">
        <v>2050</v>
      </c>
      <c r="D1533" t="s">
        <v>12</v>
      </c>
      <c r="E1533">
        <v>0.32</v>
      </c>
      <c r="F1533" t="s">
        <v>13</v>
      </c>
    </row>
    <row r="1534" spans="1:6">
      <c r="A1534" t="s">
        <v>38</v>
      </c>
      <c r="B1534" t="s">
        <v>25</v>
      </c>
      <c r="C1534">
        <v>2050</v>
      </c>
      <c r="D1534" t="s">
        <v>164</v>
      </c>
      <c r="E1534">
        <v>4.306</v>
      </c>
      <c r="F1534" t="s">
        <v>166</v>
      </c>
    </row>
    <row r="1535" spans="1:6">
      <c r="A1535" t="s">
        <v>38</v>
      </c>
      <c r="B1535" t="s">
        <v>26</v>
      </c>
      <c r="C1535">
        <v>2022</v>
      </c>
      <c r="D1535" t="s">
        <v>6</v>
      </c>
      <c r="E1535">
        <v>4300</v>
      </c>
      <c r="F1535" t="s">
        <v>7</v>
      </c>
    </row>
    <row r="1536" spans="1:6">
      <c r="A1536" t="s">
        <v>38</v>
      </c>
      <c r="B1536" t="s">
        <v>26</v>
      </c>
      <c r="C1536">
        <v>2022</v>
      </c>
      <c r="D1536" t="s">
        <v>8</v>
      </c>
      <c r="E1536">
        <v>4300</v>
      </c>
      <c r="F1536" t="s">
        <v>7</v>
      </c>
    </row>
    <row r="1537" spans="1:6">
      <c r="A1537" t="s">
        <v>38</v>
      </c>
      <c r="B1537" t="s">
        <v>26</v>
      </c>
      <c r="C1537">
        <v>2022</v>
      </c>
      <c r="D1537" t="s">
        <v>9</v>
      </c>
      <c r="E1537">
        <v>4300</v>
      </c>
      <c r="F1537" t="s">
        <v>7</v>
      </c>
    </row>
    <row r="1538" spans="1:6">
      <c r="A1538" t="s">
        <v>38</v>
      </c>
      <c r="B1538" t="s">
        <v>26</v>
      </c>
      <c r="C1538">
        <v>2022</v>
      </c>
      <c r="D1538" t="s">
        <v>10</v>
      </c>
      <c r="E1538">
        <v>170</v>
      </c>
      <c r="F1538" t="s">
        <v>11</v>
      </c>
    </row>
    <row r="1539" spans="1:6">
      <c r="A1539" t="s">
        <v>38</v>
      </c>
      <c r="B1539" t="s">
        <v>26</v>
      </c>
      <c r="C1539">
        <v>2022</v>
      </c>
      <c r="D1539" t="s">
        <v>164</v>
      </c>
      <c r="E1539">
        <v>4.306</v>
      </c>
      <c r="F1539" t="s">
        <v>166</v>
      </c>
    </row>
    <row r="1540" spans="1:6">
      <c r="A1540" t="s">
        <v>38</v>
      </c>
      <c r="B1540" t="s">
        <v>26</v>
      </c>
      <c r="C1540">
        <v>2030</v>
      </c>
      <c r="D1540" t="s">
        <v>6</v>
      </c>
      <c r="E1540">
        <v>4300</v>
      </c>
      <c r="F1540" t="s">
        <v>7</v>
      </c>
    </row>
    <row r="1541" spans="1:6">
      <c r="A1541" t="s">
        <v>38</v>
      </c>
      <c r="B1541" t="s">
        <v>26</v>
      </c>
      <c r="C1541">
        <v>2030</v>
      </c>
      <c r="D1541" t="s">
        <v>8</v>
      </c>
      <c r="E1541">
        <v>4300</v>
      </c>
      <c r="F1541" t="s">
        <v>7</v>
      </c>
    </row>
    <row r="1542" spans="1:6">
      <c r="A1542" t="s">
        <v>38</v>
      </c>
      <c r="B1542" t="s">
        <v>26</v>
      </c>
      <c r="C1542">
        <v>2030</v>
      </c>
      <c r="D1542" t="s">
        <v>9</v>
      </c>
      <c r="E1542">
        <v>4300</v>
      </c>
      <c r="F1542" t="s">
        <v>7</v>
      </c>
    </row>
    <row r="1543" spans="1:6">
      <c r="A1543" t="s">
        <v>38</v>
      </c>
      <c r="B1543" t="s">
        <v>26</v>
      </c>
      <c r="C1543">
        <v>2030</v>
      </c>
      <c r="D1543" t="s">
        <v>10</v>
      </c>
      <c r="E1543">
        <v>170</v>
      </c>
      <c r="F1543" t="s">
        <v>11</v>
      </c>
    </row>
    <row r="1544" spans="1:6">
      <c r="A1544" t="s">
        <v>38</v>
      </c>
      <c r="B1544" t="s">
        <v>26</v>
      </c>
      <c r="C1544">
        <v>2030</v>
      </c>
      <c r="D1544" t="s">
        <v>164</v>
      </c>
      <c r="E1544">
        <v>4.306</v>
      </c>
      <c r="F1544" t="s">
        <v>166</v>
      </c>
    </row>
    <row r="1545" spans="1:6">
      <c r="A1545" t="s">
        <v>38</v>
      </c>
      <c r="B1545" t="s">
        <v>26</v>
      </c>
      <c r="C1545">
        <v>2050</v>
      </c>
      <c r="D1545" t="s">
        <v>6</v>
      </c>
      <c r="E1545">
        <v>3900</v>
      </c>
      <c r="F1545" t="s">
        <v>7</v>
      </c>
    </row>
    <row r="1546" spans="1:6">
      <c r="A1546" t="s">
        <v>38</v>
      </c>
      <c r="B1546" t="s">
        <v>26</v>
      </c>
      <c r="C1546">
        <v>2050</v>
      </c>
      <c r="D1546" t="s">
        <v>8</v>
      </c>
      <c r="E1546">
        <v>3900</v>
      </c>
      <c r="F1546" t="s">
        <v>7</v>
      </c>
    </row>
    <row r="1547" spans="1:6">
      <c r="A1547" t="s">
        <v>38</v>
      </c>
      <c r="B1547" t="s">
        <v>26</v>
      </c>
      <c r="C1547">
        <v>2050</v>
      </c>
      <c r="D1547" t="s">
        <v>9</v>
      </c>
      <c r="E1547">
        <v>3900</v>
      </c>
      <c r="F1547" t="s">
        <v>7</v>
      </c>
    </row>
    <row r="1548" spans="1:6">
      <c r="A1548" t="s">
        <v>38</v>
      </c>
      <c r="B1548" t="s">
        <v>26</v>
      </c>
      <c r="C1548">
        <v>2050</v>
      </c>
      <c r="D1548" t="s">
        <v>10</v>
      </c>
      <c r="E1548">
        <v>155</v>
      </c>
      <c r="F1548" t="s">
        <v>11</v>
      </c>
    </row>
    <row r="1549" spans="1:6">
      <c r="A1549" t="s">
        <v>38</v>
      </c>
      <c r="B1549" t="s">
        <v>26</v>
      </c>
      <c r="C1549">
        <v>2050</v>
      </c>
      <c r="D1549" t="s">
        <v>164</v>
      </c>
      <c r="E1549">
        <v>4.306</v>
      </c>
      <c r="F1549" t="s">
        <v>166</v>
      </c>
    </row>
    <row r="1550" spans="1:6">
      <c r="A1550" t="s">
        <v>38</v>
      </c>
      <c r="B1550" t="s">
        <v>27</v>
      </c>
      <c r="C1550">
        <v>2022</v>
      </c>
      <c r="D1550" t="s">
        <v>6</v>
      </c>
      <c r="E1550">
        <v>4800</v>
      </c>
      <c r="F1550" t="s">
        <v>7</v>
      </c>
    </row>
    <row r="1551" spans="1:6">
      <c r="A1551" t="s">
        <v>38</v>
      </c>
      <c r="B1551" t="s">
        <v>27</v>
      </c>
      <c r="C1551">
        <v>2022</v>
      </c>
      <c r="D1551" t="s">
        <v>8</v>
      </c>
      <c r="E1551">
        <v>4800</v>
      </c>
      <c r="F1551" t="s">
        <v>7</v>
      </c>
    </row>
    <row r="1552" spans="1:6">
      <c r="A1552" t="s">
        <v>38</v>
      </c>
      <c r="B1552" t="s">
        <v>27</v>
      </c>
      <c r="C1552">
        <v>2022</v>
      </c>
      <c r="D1552" t="s">
        <v>9</v>
      </c>
      <c r="E1552">
        <v>4800</v>
      </c>
      <c r="F1552" t="s">
        <v>7</v>
      </c>
    </row>
    <row r="1553" spans="1:6">
      <c r="A1553" t="s">
        <v>38</v>
      </c>
      <c r="B1553" t="s">
        <v>27</v>
      </c>
      <c r="C1553">
        <v>2022</v>
      </c>
      <c r="D1553" t="s">
        <v>10</v>
      </c>
      <c r="E1553">
        <v>185</v>
      </c>
      <c r="F1553" t="s">
        <v>11</v>
      </c>
    </row>
    <row r="1554" spans="1:6">
      <c r="A1554" t="s">
        <v>38</v>
      </c>
      <c r="B1554" t="s">
        <v>27</v>
      </c>
      <c r="C1554">
        <v>2022</v>
      </c>
      <c r="D1554" t="s">
        <v>12</v>
      </c>
      <c r="E1554">
        <v>0.33</v>
      </c>
      <c r="F1554" t="s">
        <v>13</v>
      </c>
    </row>
    <row r="1555" spans="1:6">
      <c r="A1555" t="s">
        <v>38</v>
      </c>
      <c r="B1555" t="s">
        <v>27</v>
      </c>
      <c r="C1555">
        <v>2022</v>
      </c>
      <c r="D1555" t="s">
        <v>164</v>
      </c>
      <c r="E1555">
        <v>4.306</v>
      </c>
      <c r="F1555" t="s">
        <v>166</v>
      </c>
    </row>
    <row r="1556" spans="1:6">
      <c r="A1556" t="s">
        <v>38</v>
      </c>
      <c r="B1556" t="s">
        <v>27</v>
      </c>
      <c r="C1556">
        <v>2030</v>
      </c>
      <c r="D1556" t="s">
        <v>6</v>
      </c>
      <c r="E1556">
        <v>4800</v>
      </c>
      <c r="F1556" t="s">
        <v>7</v>
      </c>
    </row>
    <row r="1557" spans="1:6">
      <c r="A1557" t="s">
        <v>38</v>
      </c>
      <c r="B1557" t="s">
        <v>27</v>
      </c>
      <c r="C1557">
        <v>2030</v>
      </c>
      <c r="D1557" t="s">
        <v>8</v>
      </c>
      <c r="E1557">
        <v>4800</v>
      </c>
      <c r="F1557" t="s">
        <v>7</v>
      </c>
    </row>
    <row r="1558" spans="1:6">
      <c r="A1558" t="s">
        <v>38</v>
      </c>
      <c r="B1558" t="s">
        <v>27</v>
      </c>
      <c r="C1558">
        <v>2030</v>
      </c>
      <c r="D1558" t="s">
        <v>9</v>
      </c>
      <c r="E1558">
        <v>4800</v>
      </c>
      <c r="F1558" t="s">
        <v>7</v>
      </c>
    </row>
    <row r="1559" spans="1:6">
      <c r="A1559" t="s">
        <v>38</v>
      </c>
      <c r="B1559" t="s">
        <v>27</v>
      </c>
      <c r="C1559">
        <v>2030</v>
      </c>
      <c r="D1559" t="s">
        <v>10</v>
      </c>
      <c r="E1559">
        <v>185</v>
      </c>
      <c r="F1559" t="s">
        <v>11</v>
      </c>
    </row>
    <row r="1560" spans="1:6">
      <c r="A1560" t="s">
        <v>38</v>
      </c>
      <c r="B1560" t="s">
        <v>27</v>
      </c>
      <c r="C1560">
        <v>2030</v>
      </c>
      <c r="D1560" t="s">
        <v>12</v>
      </c>
      <c r="E1560">
        <v>0.33</v>
      </c>
      <c r="F1560" t="s">
        <v>13</v>
      </c>
    </row>
    <row r="1561" spans="1:6">
      <c r="A1561" t="s">
        <v>38</v>
      </c>
      <c r="B1561" t="s">
        <v>27</v>
      </c>
      <c r="C1561">
        <v>2030</v>
      </c>
      <c r="D1561" t="s">
        <v>164</v>
      </c>
      <c r="E1561">
        <v>4.306</v>
      </c>
      <c r="F1561" t="s">
        <v>166</v>
      </c>
    </row>
    <row r="1562" spans="1:6">
      <c r="A1562" t="s">
        <v>38</v>
      </c>
      <c r="B1562" t="s">
        <v>27</v>
      </c>
      <c r="C1562">
        <v>2050</v>
      </c>
      <c r="D1562" t="s">
        <v>6</v>
      </c>
      <c r="E1562">
        <v>4350</v>
      </c>
      <c r="F1562" t="s">
        <v>7</v>
      </c>
    </row>
    <row r="1563" spans="1:6">
      <c r="A1563" t="s">
        <v>38</v>
      </c>
      <c r="B1563" t="s">
        <v>27</v>
      </c>
      <c r="C1563">
        <v>2050</v>
      </c>
      <c r="D1563" t="s">
        <v>8</v>
      </c>
      <c r="E1563">
        <v>4350</v>
      </c>
      <c r="F1563" t="s">
        <v>7</v>
      </c>
    </row>
    <row r="1564" spans="1:6">
      <c r="A1564" t="s">
        <v>38</v>
      </c>
      <c r="B1564" t="s">
        <v>27</v>
      </c>
      <c r="C1564">
        <v>2050</v>
      </c>
      <c r="D1564" t="s">
        <v>9</v>
      </c>
      <c r="E1564">
        <v>4350</v>
      </c>
      <c r="F1564" t="s">
        <v>7</v>
      </c>
    </row>
    <row r="1565" spans="1:6">
      <c r="A1565" t="s">
        <v>38</v>
      </c>
      <c r="B1565" t="s">
        <v>27</v>
      </c>
      <c r="C1565">
        <v>2050</v>
      </c>
      <c r="D1565" t="s">
        <v>10</v>
      </c>
      <c r="E1565">
        <v>165</v>
      </c>
      <c r="F1565" t="s">
        <v>11</v>
      </c>
    </row>
    <row r="1566" spans="1:6">
      <c r="A1566" t="s">
        <v>38</v>
      </c>
      <c r="B1566" t="s">
        <v>27</v>
      </c>
      <c r="C1566">
        <v>2050</v>
      </c>
      <c r="D1566" t="s">
        <v>12</v>
      </c>
      <c r="E1566">
        <v>0.33</v>
      </c>
      <c r="F1566" t="s">
        <v>13</v>
      </c>
    </row>
    <row r="1567" spans="1:6">
      <c r="A1567" t="s">
        <v>38</v>
      </c>
      <c r="B1567" t="s">
        <v>27</v>
      </c>
      <c r="C1567">
        <v>2050</v>
      </c>
      <c r="D1567" t="s">
        <v>164</v>
      </c>
      <c r="E1567">
        <v>4.306</v>
      </c>
      <c r="F1567" t="s">
        <v>166</v>
      </c>
    </row>
    <row r="1568" spans="1:6">
      <c r="A1568" t="s">
        <v>38</v>
      </c>
      <c r="B1568" t="s">
        <v>28</v>
      </c>
      <c r="C1568">
        <v>2022</v>
      </c>
      <c r="D1568" t="s">
        <v>6</v>
      </c>
      <c r="E1568">
        <v>4700</v>
      </c>
      <c r="F1568" t="s">
        <v>7</v>
      </c>
    </row>
    <row r="1569" spans="1:6">
      <c r="A1569" t="s">
        <v>38</v>
      </c>
      <c r="B1569" t="s">
        <v>28</v>
      </c>
      <c r="C1569">
        <v>2022</v>
      </c>
      <c r="D1569" t="s">
        <v>8</v>
      </c>
      <c r="E1569">
        <v>4700</v>
      </c>
      <c r="F1569" t="s">
        <v>7</v>
      </c>
    </row>
    <row r="1570" spans="1:6">
      <c r="A1570" t="s">
        <v>38</v>
      </c>
      <c r="B1570" t="s">
        <v>28</v>
      </c>
      <c r="C1570">
        <v>2022</v>
      </c>
      <c r="D1570" t="s">
        <v>9</v>
      </c>
      <c r="E1570">
        <v>4700</v>
      </c>
      <c r="F1570" t="s">
        <v>7</v>
      </c>
    </row>
    <row r="1571" spans="1:6">
      <c r="A1571" t="s">
        <v>38</v>
      </c>
      <c r="B1571" t="s">
        <v>28</v>
      </c>
      <c r="C1571">
        <v>2022</v>
      </c>
      <c r="D1571" t="s">
        <v>10</v>
      </c>
      <c r="E1571">
        <v>190</v>
      </c>
      <c r="F1571" t="s">
        <v>11</v>
      </c>
    </row>
    <row r="1572" spans="1:6">
      <c r="A1572" t="s">
        <v>38</v>
      </c>
      <c r="B1572" t="s">
        <v>28</v>
      </c>
      <c r="C1572">
        <v>2022</v>
      </c>
      <c r="D1572" t="s">
        <v>164</v>
      </c>
      <c r="E1572">
        <v>4.306</v>
      </c>
      <c r="F1572" t="s">
        <v>166</v>
      </c>
    </row>
    <row r="1573" spans="1:6">
      <c r="A1573" t="s">
        <v>38</v>
      </c>
      <c r="B1573" t="s">
        <v>28</v>
      </c>
      <c r="C1573">
        <v>2030</v>
      </c>
      <c r="D1573" t="s">
        <v>6</v>
      </c>
      <c r="E1573">
        <v>4700</v>
      </c>
      <c r="F1573" t="s">
        <v>7</v>
      </c>
    </row>
    <row r="1574" spans="1:6">
      <c r="A1574" t="s">
        <v>38</v>
      </c>
      <c r="B1574" t="s">
        <v>28</v>
      </c>
      <c r="C1574">
        <v>2030</v>
      </c>
      <c r="D1574" t="s">
        <v>8</v>
      </c>
      <c r="E1574">
        <v>4700</v>
      </c>
      <c r="F1574" t="s">
        <v>7</v>
      </c>
    </row>
    <row r="1575" spans="1:6">
      <c r="A1575" t="s">
        <v>38</v>
      </c>
      <c r="B1575" t="s">
        <v>28</v>
      </c>
      <c r="C1575">
        <v>2030</v>
      </c>
      <c r="D1575" t="s">
        <v>9</v>
      </c>
      <c r="E1575">
        <v>4700</v>
      </c>
      <c r="F1575" t="s">
        <v>7</v>
      </c>
    </row>
    <row r="1576" spans="1:6">
      <c r="A1576" t="s">
        <v>38</v>
      </c>
      <c r="B1576" t="s">
        <v>28</v>
      </c>
      <c r="C1576">
        <v>2030</v>
      </c>
      <c r="D1576" t="s">
        <v>10</v>
      </c>
      <c r="E1576">
        <v>190</v>
      </c>
      <c r="F1576" t="s">
        <v>11</v>
      </c>
    </row>
    <row r="1577" spans="1:6">
      <c r="A1577" t="s">
        <v>38</v>
      </c>
      <c r="B1577" t="s">
        <v>28</v>
      </c>
      <c r="C1577">
        <v>2030</v>
      </c>
      <c r="D1577" t="s">
        <v>164</v>
      </c>
      <c r="E1577">
        <v>4.306</v>
      </c>
      <c r="F1577" t="s">
        <v>166</v>
      </c>
    </row>
    <row r="1578" spans="1:6">
      <c r="A1578" t="s">
        <v>38</v>
      </c>
      <c r="B1578" t="s">
        <v>28</v>
      </c>
      <c r="C1578">
        <v>2050</v>
      </c>
      <c r="D1578" t="s">
        <v>6</v>
      </c>
      <c r="E1578">
        <v>4250</v>
      </c>
      <c r="F1578" t="s">
        <v>7</v>
      </c>
    </row>
    <row r="1579" spans="1:6">
      <c r="A1579" t="s">
        <v>38</v>
      </c>
      <c r="B1579" t="s">
        <v>28</v>
      </c>
      <c r="C1579">
        <v>2050</v>
      </c>
      <c r="D1579" t="s">
        <v>8</v>
      </c>
      <c r="E1579">
        <v>4250</v>
      </c>
      <c r="F1579" t="s">
        <v>7</v>
      </c>
    </row>
    <row r="1580" spans="1:6">
      <c r="A1580" t="s">
        <v>38</v>
      </c>
      <c r="B1580" t="s">
        <v>28</v>
      </c>
      <c r="C1580">
        <v>2050</v>
      </c>
      <c r="D1580" t="s">
        <v>9</v>
      </c>
      <c r="E1580">
        <v>4250</v>
      </c>
      <c r="F1580" t="s">
        <v>7</v>
      </c>
    </row>
    <row r="1581" spans="1:6">
      <c r="A1581" t="s">
        <v>38</v>
      </c>
      <c r="B1581" t="s">
        <v>28</v>
      </c>
      <c r="C1581">
        <v>2050</v>
      </c>
      <c r="D1581" t="s">
        <v>10</v>
      </c>
      <c r="E1581">
        <v>170</v>
      </c>
      <c r="F1581" t="s">
        <v>11</v>
      </c>
    </row>
    <row r="1582" spans="1:6">
      <c r="A1582" t="s">
        <v>38</v>
      </c>
      <c r="B1582" t="s">
        <v>28</v>
      </c>
      <c r="C1582">
        <v>2050</v>
      </c>
      <c r="D1582" t="s">
        <v>164</v>
      </c>
      <c r="E1582">
        <v>4.306</v>
      </c>
      <c r="F1582" t="s">
        <v>166</v>
      </c>
    </row>
    <row r="1583" spans="1:6">
      <c r="A1583" t="s">
        <v>39</v>
      </c>
      <c r="B1583" t="s">
        <v>20</v>
      </c>
      <c r="C1583">
        <v>2022</v>
      </c>
      <c r="D1583" t="s">
        <v>6</v>
      </c>
      <c r="E1583">
        <v>5850</v>
      </c>
      <c r="F1583" t="s">
        <v>7</v>
      </c>
    </row>
    <row r="1584" spans="1:6">
      <c r="A1584" t="s">
        <v>39</v>
      </c>
      <c r="B1584" t="s">
        <v>20</v>
      </c>
      <c r="C1584">
        <v>2022</v>
      </c>
      <c r="D1584" t="s">
        <v>8</v>
      </c>
      <c r="E1584">
        <v>5850</v>
      </c>
      <c r="F1584" t="s">
        <v>7</v>
      </c>
    </row>
    <row r="1585" spans="1:6">
      <c r="A1585" t="s">
        <v>39</v>
      </c>
      <c r="B1585" t="s">
        <v>20</v>
      </c>
      <c r="C1585">
        <v>2022</v>
      </c>
      <c r="D1585" t="s">
        <v>9</v>
      </c>
      <c r="E1585">
        <v>5850</v>
      </c>
      <c r="F1585" t="s">
        <v>7</v>
      </c>
    </row>
    <row r="1586" spans="1:6">
      <c r="A1586" t="s">
        <v>39</v>
      </c>
      <c r="B1586" t="s">
        <v>20</v>
      </c>
      <c r="C1586">
        <v>2022</v>
      </c>
      <c r="D1586" t="s">
        <v>10</v>
      </c>
      <c r="E1586">
        <v>205</v>
      </c>
      <c r="F1586" t="s">
        <v>11</v>
      </c>
    </row>
    <row r="1587" spans="1:6">
      <c r="A1587" t="s">
        <v>39</v>
      </c>
      <c r="B1587" t="s">
        <v>20</v>
      </c>
      <c r="C1587">
        <v>2022</v>
      </c>
      <c r="D1587" t="s">
        <v>12</v>
      </c>
      <c r="E1587">
        <v>0.35</v>
      </c>
      <c r="F1587" t="s">
        <v>13</v>
      </c>
    </row>
    <row r="1588" spans="1:6">
      <c r="A1588" t="s">
        <v>39</v>
      </c>
      <c r="B1588" t="s">
        <v>20</v>
      </c>
      <c r="C1588">
        <v>2022</v>
      </c>
      <c r="D1588" t="s">
        <v>164</v>
      </c>
      <c r="E1588">
        <v>4.5830000000000002</v>
      </c>
      <c r="F1588" t="s">
        <v>166</v>
      </c>
    </row>
    <row r="1589" spans="1:6">
      <c r="A1589" t="s">
        <v>39</v>
      </c>
      <c r="B1589" t="s">
        <v>20</v>
      </c>
      <c r="C1589">
        <v>2030</v>
      </c>
      <c r="D1589" t="s">
        <v>6</v>
      </c>
      <c r="E1589">
        <v>5700</v>
      </c>
      <c r="F1589" t="s">
        <v>7</v>
      </c>
    </row>
    <row r="1590" spans="1:6">
      <c r="A1590" t="s">
        <v>39</v>
      </c>
      <c r="B1590" t="s">
        <v>20</v>
      </c>
      <c r="C1590">
        <v>2030</v>
      </c>
      <c r="D1590" t="s">
        <v>8</v>
      </c>
      <c r="E1590">
        <v>5700</v>
      </c>
      <c r="F1590" t="s">
        <v>7</v>
      </c>
    </row>
    <row r="1591" spans="1:6">
      <c r="A1591" t="s">
        <v>39</v>
      </c>
      <c r="B1591" t="s">
        <v>20</v>
      </c>
      <c r="C1591">
        <v>2030</v>
      </c>
      <c r="D1591" t="s">
        <v>9</v>
      </c>
      <c r="E1591">
        <v>5700</v>
      </c>
      <c r="F1591" t="s">
        <v>7</v>
      </c>
    </row>
    <row r="1592" spans="1:6">
      <c r="A1592" t="s">
        <v>39</v>
      </c>
      <c r="B1592" t="s">
        <v>20</v>
      </c>
      <c r="C1592">
        <v>2030</v>
      </c>
      <c r="D1592" t="s">
        <v>10</v>
      </c>
      <c r="E1592">
        <v>200</v>
      </c>
      <c r="F1592" t="s">
        <v>11</v>
      </c>
    </row>
    <row r="1593" spans="1:6">
      <c r="A1593" t="s">
        <v>39</v>
      </c>
      <c r="B1593" t="s">
        <v>20</v>
      </c>
      <c r="C1593">
        <v>2030</v>
      </c>
      <c r="D1593" t="s">
        <v>12</v>
      </c>
      <c r="E1593">
        <v>0.36</v>
      </c>
      <c r="F1593" t="s">
        <v>13</v>
      </c>
    </row>
    <row r="1594" spans="1:6">
      <c r="A1594" t="s">
        <v>39</v>
      </c>
      <c r="B1594" t="s">
        <v>20</v>
      </c>
      <c r="C1594">
        <v>2030</v>
      </c>
      <c r="D1594" t="s">
        <v>164</v>
      </c>
      <c r="E1594">
        <v>4.5830000000000002</v>
      </c>
      <c r="F1594" t="s">
        <v>166</v>
      </c>
    </row>
    <row r="1595" spans="1:6">
      <c r="A1595" t="s">
        <v>39</v>
      </c>
      <c r="B1595" t="s">
        <v>20</v>
      </c>
      <c r="C1595">
        <v>2050</v>
      </c>
      <c r="D1595" t="s">
        <v>6</v>
      </c>
      <c r="E1595">
        <v>5150</v>
      </c>
      <c r="F1595" t="s">
        <v>7</v>
      </c>
    </row>
    <row r="1596" spans="1:6">
      <c r="A1596" t="s">
        <v>39</v>
      </c>
      <c r="B1596" t="s">
        <v>20</v>
      </c>
      <c r="C1596">
        <v>2050</v>
      </c>
      <c r="D1596" t="s">
        <v>8</v>
      </c>
      <c r="E1596">
        <v>5150</v>
      </c>
      <c r="F1596" t="s">
        <v>7</v>
      </c>
    </row>
    <row r="1597" spans="1:6">
      <c r="A1597" t="s">
        <v>39</v>
      </c>
      <c r="B1597" t="s">
        <v>20</v>
      </c>
      <c r="C1597">
        <v>2050</v>
      </c>
      <c r="D1597" t="s">
        <v>9</v>
      </c>
      <c r="E1597">
        <v>5150</v>
      </c>
      <c r="F1597" t="s">
        <v>7</v>
      </c>
    </row>
    <row r="1598" spans="1:6">
      <c r="A1598" t="s">
        <v>39</v>
      </c>
      <c r="B1598" t="s">
        <v>20</v>
      </c>
      <c r="C1598">
        <v>2050</v>
      </c>
      <c r="D1598" t="s">
        <v>10</v>
      </c>
      <c r="E1598">
        <v>180</v>
      </c>
      <c r="F1598" t="s">
        <v>11</v>
      </c>
    </row>
    <row r="1599" spans="1:6">
      <c r="A1599" t="s">
        <v>39</v>
      </c>
      <c r="B1599" t="s">
        <v>20</v>
      </c>
      <c r="C1599">
        <v>2050</v>
      </c>
      <c r="D1599" t="s">
        <v>12</v>
      </c>
      <c r="E1599">
        <v>0.39</v>
      </c>
      <c r="F1599" t="s">
        <v>13</v>
      </c>
    </row>
    <row r="1600" spans="1:6">
      <c r="A1600" t="s">
        <v>39</v>
      </c>
      <c r="B1600" t="s">
        <v>20</v>
      </c>
      <c r="C1600">
        <v>2050</v>
      </c>
      <c r="D1600" t="s">
        <v>164</v>
      </c>
      <c r="E1600">
        <v>4.5830000000000002</v>
      </c>
      <c r="F1600" t="s">
        <v>166</v>
      </c>
    </row>
    <row r="1601" spans="1:6">
      <c r="A1601" t="s">
        <v>39</v>
      </c>
      <c r="B1601" t="s">
        <v>21</v>
      </c>
      <c r="C1601">
        <v>2022</v>
      </c>
      <c r="D1601" t="s">
        <v>6</v>
      </c>
      <c r="E1601">
        <v>5950</v>
      </c>
      <c r="F1601" t="s">
        <v>7</v>
      </c>
    </row>
    <row r="1602" spans="1:6">
      <c r="A1602" t="s">
        <v>39</v>
      </c>
      <c r="B1602" t="s">
        <v>21</v>
      </c>
      <c r="C1602">
        <v>2022</v>
      </c>
      <c r="D1602" t="s">
        <v>8</v>
      </c>
      <c r="E1602">
        <v>5950</v>
      </c>
      <c r="F1602" t="s">
        <v>7</v>
      </c>
    </row>
    <row r="1603" spans="1:6">
      <c r="A1603" t="s">
        <v>39</v>
      </c>
      <c r="B1603" t="s">
        <v>21</v>
      </c>
      <c r="C1603">
        <v>2022</v>
      </c>
      <c r="D1603" t="s">
        <v>9</v>
      </c>
      <c r="E1603">
        <v>5950</v>
      </c>
      <c r="F1603" t="s">
        <v>7</v>
      </c>
    </row>
    <row r="1604" spans="1:6">
      <c r="A1604" t="s">
        <v>39</v>
      </c>
      <c r="B1604" t="s">
        <v>21</v>
      </c>
      <c r="C1604">
        <v>2022</v>
      </c>
      <c r="D1604" t="s">
        <v>10</v>
      </c>
      <c r="E1604">
        <v>210</v>
      </c>
      <c r="F1604" t="s">
        <v>11</v>
      </c>
    </row>
    <row r="1605" spans="1:6">
      <c r="A1605" t="s">
        <v>39</v>
      </c>
      <c r="B1605" t="s">
        <v>21</v>
      </c>
      <c r="C1605">
        <v>2022</v>
      </c>
      <c r="D1605" t="s">
        <v>12</v>
      </c>
      <c r="E1605">
        <v>0.35</v>
      </c>
      <c r="F1605" t="s">
        <v>13</v>
      </c>
    </row>
    <row r="1606" spans="1:6">
      <c r="A1606" t="s">
        <v>39</v>
      </c>
      <c r="B1606" t="s">
        <v>21</v>
      </c>
      <c r="C1606">
        <v>2022</v>
      </c>
      <c r="D1606" t="s">
        <v>164</v>
      </c>
      <c r="E1606">
        <v>4.5830000000000002</v>
      </c>
      <c r="F1606" t="s">
        <v>166</v>
      </c>
    </row>
    <row r="1607" spans="1:6">
      <c r="A1607" t="s">
        <v>39</v>
      </c>
      <c r="B1607" t="s">
        <v>21</v>
      </c>
      <c r="C1607">
        <v>2030</v>
      </c>
      <c r="D1607" t="s">
        <v>6</v>
      </c>
      <c r="E1607">
        <v>5850</v>
      </c>
      <c r="F1607" t="s">
        <v>7</v>
      </c>
    </row>
    <row r="1608" spans="1:6">
      <c r="A1608" t="s">
        <v>39</v>
      </c>
      <c r="B1608" t="s">
        <v>21</v>
      </c>
      <c r="C1608">
        <v>2030</v>
      </c>
      <c r="D1608" t="s">
        <v>8</v>
      </c>
      <c r="E1608">
        <v>5850</v>
      </c>
      <c r="F1608" t="s">
        <v>7</v>
      </c>
    </row>
    <row r="1609" spans="1:6">
      <c r="A1609" t="s">
        <v>39</v>
      </c>
      <c r="B1609" t="s">
        <v>21</v>
      </c>
      <c r="C1609">
        <v>2030</v>
      </c>
      <c r="D1609" t="s">
        <v>9</v>
      </c>
      <c r="E1609">
        <v>5850</v>
      </c>
      <c r="F1609" t="s">
        <v>7</v>
      </c>
    </row>
    <row r="1610" spans="1:6">
      <c r="A1610" t="s">
        <v>39</v>
      </c>
      <c r="B1610" t="s">
        <v>21</v>
      </c>
      <c r="C1610">
        <v>2030</v>
      </c>
      <c r="D1610" t="s">
        <v>10</v>
      </c>
      <c r="E1610">
        <v>205</v>
      </c>
      <c r="F1610" t="s">
        <v>11</v>
      </c>
    </row>
    <row r="1611" spans="1:6">
      <c r="A1611" t="s">
        <v>39</v>
      </c>
      <c r="B1611" t="s">
        <v>21</v>
      </c>
      <c r="C1611">
        <v>2030</v>
      </c>
      <c r="D1611" t="s">
        <v>12</v>
      </c>
      <c r="E1611">
        <v>0.36</v>
      </c>
      <c r="F1611" t="s">
        <v>13</v>
      </c>
    </row>
    <row r="1612" spans="1:6">
      <c r="A1612" t="s">
        <v>39</v>
      </c>
      <c r="B1612" t="s">
        <v>21</v>
      </c>
      <c r="C1612">
        <v>2030</v>
      </c>
      <c r="D1612" t="s">
        <v>164</v>
      </c>
      <c r="E1612">
        <v>4.5830000000000002</v>
      </c>
      <c r="F1612" t="s">
        <v>166</v>
      </c>
    </row>
    <row r="1613" spans="1:6">
      <c r="A1613" t="s">
        <v>39</v>
      </c>
      <c r="B1613" t="s">
        <v>21</v>
      </c>
      <c r="C1613">
        <v>2050</v>
      </c>
      <c r="D1613" t="s">
        <v>6</v>
      </c>
      <c r="E1613">
        <v>5150</v>
      </c>
      <c r="F1613" t="s">
        <v>7</v>
      </c>
    </row>
    <row r="1614" spans="1:6">
      <c r="A1614" t="s">
        <v>39</v>
      </c>
      <c r="B1614" t="s">
        <v>21</v>
      </c>
      <c r="C1614">
        <v>2050</v>
      </c>
      <c r="D1614" t="s">
        <v>8</v>
      </c>
      <c r="E1614">
        <v>5150</v>
      </c>
      <c r="F1614" t="s">
        <v>7</v>
      </c>
    </row>
    <row r="1615" spans="1:6">
      <c r="A1615" t="s">
        <v>39</v>
      </c>
      <c r="B1615" t="s">
        <v>21</v>
      </c>
      <c r="C1615">
        <v>2050</v>
      </c>
      <c r="D1615" t="s">
        <v>9</v>
      </c>
      <c r="E1615">
        <v>5150</v>
      </c>
      <c r="F1615" t="s">
        <v>7</v>
      </c>
    </row>
    <row r="1616" spans="1:6">
      <c r="A1616" t="s">
        <v>39</v>
      </c>
      <c r="B1616" t="s">
        <v>21</v>
      </c>
      <c r="C1616">
        <v>2050</v>
      </c>
      <c r="D1616" t="s">
        <v>10</v>
      </c>
      <c r="E1616">
        <v>180</v>
      </c>
      <c r="F1616" t="s">
        <v>11</v>
      </c>
    </row>
    <row r="1617" spans="1:6">
      <c r="A1617" t="s">
        <v>39</v>
      </c>
      <c r="B1617" t="s">
        <v>21</v>
      </c>
      <c r="C1617">
        <v>2050</v>
      </c>
      <c r="D1617" t="s">
        <v>12</v>
      </c>
      <c r="E1617">
        <v>0.39</v>
      </c>
      <c r="F1617" t="s">
        <v>13</v>
      </c>
    </row>
    <row r="1618" spans="1:6">
      <c r="A1618" t="s">
        <v>39</v>
      </c>
      <c r="B1618" t="s">
        <v>21</v>
      </c>
      <c r="C1618">
        <v>2050</v>
      </c>
      <c r="D1618" t="s">
        <v>164</v>
      </c>
      <c r="E1618">
        <v>4.5830000000000002</v>
      </c>
      <c r="F1618" t="s">
        <v>166</v>
      </c>
    </row>
    <row r="1619" spans="1:6">
      <c r="A1619" t="s">
        <v>39</v>
      </c>
      <c r="B1619" t="s">
        <v>22</v>
      </c>
      <c r="C1619">
        <v>2022</v>
      </c>
      <c r="D1619" t="s">
        <v>6</v>
      </c>
      <c r="E1619">
        <v>6250</v>
      </c>
      <c r="F1619" t="s">
        <v>7</v>
      </c>
    </row>
    <row r="1620" spans="1:6">
      <c r="A1620" t="s">
        <v>39</v>
      </c>
      <c r="B1620" t="s">
        <v>22</v>
      </c>
      <c r="C1620">
        <v>2022</v>
      </c>
      <c r="D1620" t="s">
        <v>8</v>
      </c>
      <c r="E1620">
        <v>6250</v>
      </c>
      <c r="F1620" t="s">
        <v>7</v>
      </c>
    </row>
    <row r="1621" spans="1:6">
      <c r="A1621" t="s">
        <v>39</v>
      </c>
      <c r="B1621" t="s">
        <v>22</v>
      </c>
      <c r="C1621">
        <v>2022</v>
      </c>
      <c r="D1621" t="s">
        <v>9</v>
      </c>
      <c r="E1621">
        <v>6250</v>
      </c>
      <c r="F1621" t="s">
        <v>7</v>
      </c>
    </row>
    <row r="1622" spans="1:6">
      <c r="A1622" t="s">
        <v>39</v>
      </c>
      <c r="B1622" t="s">
        <v>22</v>
      </c>
      <c r="C1622">
        <v>2022</v>
      </c>
      <c r="D1622" t="s">
        <v>10</v>
      </c>
      <c r="E1622">
        <v>220</v>
      </c>
      <c r="F1622" t="s">
        <v>11</v>
      </c>
    </row>
    <row r="1623" spans="1:6">
      <c r="A1623" t="s">
        <v>39</v>
      </c>
      <c r="B1623" t="s">
        <v>22</v>
      </c>
      <c r="C1623">
        <v>2022</v>
      </c>
      <c r="D1623" t="s">
        <v>12</v>
      </c>
      <c r="E1623">
        <v>0.35</v>
      </c>
      <c r="F1623" t="s">
        <v>13</v>
      </c>
    </row>
    <row r="1624" spans="1:6">
      <c r="A1624" t="s">
        <v>39</v>
      </c>
      <c r="B1624" t="s">
        <v>22</v>
      </c>
      <c r="C1624">
        <v>2022</v>
      </c>
      <c r="D1624" t="s">
        <v>164</v>
      </c>
      <c r="E1624">
        <v>4.5830000000000002</v>
      </c>
      <c r="F1624" t="s">
        <v>166</v>
      </c>
    </row>
    <row r="1625" spans="1:6">
      <c r="A1625" t="s">
        <v>39</v>
      </c>
      <c r="B1625" t="s">
        <v>22</v>
      </c>
      <c r="C1625">
        <v>2030</v>
      </c>
      <c r="D1625" t="s">
        <v>6</v>
      </c>
      <c r="E1625">
        <v>6100</v>
      </c>
      <c r="F1625" t="s">
        <v>7</v>
      </c>
    </row>
    <row r="1626" spans="1:6">
      <c r="A1626" t="s">
        <v>39</v>
      </c>
      <c r="B1626" t="s">
        <v>22</v>
      </c>
      <c r="C1626">
        <v>2030</v>
      </c>
      <c r="D1626" t="s">
        <v>8</v>
      </c>
      <c r="E1626">
        <v>6100</v>
      </c>
      <c r="F1626" t="s">
        <v>7</v>
      </c>
    </row>
    <row r="1627" spans="1:6">
      <c r="A1627" t="s">
        <v>39</v>
      </c>
      <c r="B1627" t="s">
        <v>22</v>
      </c>
      <c r="C1627">
        <v>2030</v>
      </c>
      <c r="D1627" t="s">
        <v>9</v>
      </c>
      <c r="E1627">
        <v>6100</v>
      </c>
      <c r="F1627" t="s">
        <v>7</v>
      </c>
    </row>
    <row r="1628" spans="1:6">
      <c r="A1628" t="s">
        <v>39</v>
      </c>
      <c r="B1628" t="s">
        <v>22</v>
      </c>
      <c r="C1628">
        <v>2030</v>
      </c>
      <c r="D1628" t="s">
        <v>10</v>
      </c>
      <c r="E1628">
        <v>215</v>
      </c>
      <c r="F1628" t="s">
        <v>11</v>
      </c>
    </row>
    <row r="1629" spans="1:6">
      <c r="A1629" t="s">
        <v>39</v>
      </c>
      <c r="B1629" t="s">
        <v>22</v>
      </c>
      <c r="C1629">
        <v>2030</v>
      </c>
      <c r="D1629" t="s">
        <v>12</v>
      </c>
      <c r="E1629">
        <v>0.36</v>
      </c>
      <c r="F1629" t="s">
        <v>13</v>
      </c>
    </row>
    <row r="1630" spans="1:6">
      <c r="A1630" t="s">
        <v>39</v>
      </c>
      <c r="B1630" t="s">
        <v>22</v>
      </c>
      <c r="C1630">
        <v>2030</v>
      </c>
      <c r="D1630" t="s">
        <v>164</v>
      </c>
      <c r="E1630">
        <v>4.5830000000000002</v>
      </c>
      <c r="F1630" t="s">
        <v>166</v>
      </c>
    </row>
    <row r="1631" spans="1:6">
      <c r="A1631" t="s">
        <v>39</v>
      </c>
      <c r="B1631" t="s">
        <v>22</v>
      </c>
      <c r="C1631">
        <v>2050</v>
      </c>
      <c r="D1631" t="s">
        <v>6</v>
      </c>
      <c r="E1631">
        <v>5550</v>
      </c>
      <c r="F1631" t="s">
        <v>7</v>
      </c>
    </row>
    <row r="1632" spans="1:6">
      <c r="A1632" t="s">
        <v>39</v>
      </c>
      <c r="B1632" t="s">
        <v>22</v>
      </c>
      <c r="C1632">
        <v>2050</v>
      </c>
      <c r="D1632" t="s">
        <v>8</v>
      </c>
      <c r="E1632">
        <v>5550</v>
      </c>
      <c r="F1632" t="s">
        <v>7</v>
      </c>
    </row>
    <row r="1633" spans="1:6">
      <c r="A1633" t="s">
        <v>39</v>
      </c>
      <c r="B1633" t="s">
        <v>22</v>
      </c>
      <c r="C1633">
        <v>2050</v>
      </c>
      <c r="D1633" t="s">
        <v>9</v>
      </c>
      <c r="E1633">
        <v>5550</v>
      </c>
      <c r="F1633" t="s">
        <v>7</v>
      </c>
    </row>
    <row r="1634" spans="1:6">
      <c r="A1634" t="s">
        <v>39</v>
      </c>
      <c r="B1634" t="s">
        <v>22</v>
      </c>
      <c r="C1634">
        <v>2050</v>
      </c>
      <c r="D1634" t="s">
        <v>10</v>
      </c>
      <c r="E1634">
        <v>195</v>
      </c>
      <c r="F1634" t="s">
        <v>11</v>
      </c>
    </row>
    <row r="1635" spans="1:6">
      <c r="A1635" t="s">
        <v>39</v>
      </c>
      <c r="B1635" t="s">
        <v>22</v>
      </c>
      <c r="C1635">
        <v>2050</v>
      </c>
      <c r="D1635" t="s">
        <v>12</v>
      </c>
      <c r="E1635">
        <v>0.39</v>
      </c>
      <c r="F1635" t="s">
        <v>13</v>
      </c>
    </row>
    <row r="1636" spans="1:6">
      <c r="A1636" t="s">
        <v>39</v>
      </c>
      <c r="B1636" t="s">
        <v>22</v>
      </c>
      <c r="C1636">
        <v>2050</v>
      </c>
      <c r="D1636" t="s">
        <v>164</v>
      </c>
      <c r="E1636">
        <v>4.5830000000000002</v>
      </c>
      <c r="F1636" t="s">
        <v>166</v>
      </c>
    </row>
    <row r="1637" spans="1:6">
      <c r="A1637" t="s">
        <v>39</v>
      </c>
      <c r="B1637" t="s">
        <v>23</v>
      </c>
      <c r="C1637">
        <v>2022</v>
      </c>
      <c r="D1637" t="s">
        <v>6</v>
      </c>
      <c r="E1637">
        <v>5450</v>
      </c>
      <c r="F1637" t="s">
        <v>7</v>
      </c>
    </row>
    <row r="1638" spans="1:6">
      <c r="A1638" t="s">
        <v>39</v>
      </c>
      <c r="B1638" t="s">
        <v>23</v>
      </c>
      <c r="C1638">
        <v>2022</v>
      </c>
      <c r="D1638" t="s">
        <v>8</v>
      </c>
      <c r="E1638">
        <v>5450</v>
      </c>
      <c r="F1638" t="s">
        <v>7</v>
      </c>
    </row>
    <row r="1639" spans="1:6">
      <c r="A1639" t="s">
        <v>39</v>
      </c>
      <c r="B1639" t="s">
        <v>23</v>
      </c>
      <c r="C1639">
        <v>2022</v>
      </c>
      <c r="D1639" t="s">
        <v>9</v>
      </c>
      <c r="E1639">
        <v>5450</v>
      </c>
      <c r="F1639" t="s">
        <v>7</v>
      </c>
    </row>
    <row r="1640" spans="1:6">
      <c r="A1640" t="s">
        <v>39</v>
      </c>
      <c r="B1640" t="s">
        <v>23</v>
      </c>
      <c r="C1640">
        <v>2022</v>
      </c>
      <c r="D1640" t="s">
        <v>10</v>
      </c>
      <c r="E1640">
        <v>190</v>
      </c>
      <c r="F1640" t="s">
        <v>11</v>
      </c>
    </row>
    <row r="1641" spans="1:6">
      <c r="A1641" t="s">
        <v>39</v>
      </c>
      <c r="B1641" t="s">
        <v>23</v>
      </c>
      <c r="C1641">
        <v>2022</v>
      </c>
      <c r="D1641" t="s">
        <v>12</v>
      </c>
      <c r="E1641">
        <v>0.35</v>
      </c>
      <c r="F1641" t="s">
        <v>13</v>
      </c>
    </row>
    <row r="1642" spans="1:6">
      <c r="A1642" t="s">
        <v>39</v>
      </c>
      <c r="B1642" t="s">
        <v>23</v>
      </c>
      <c r="C1642">
        <v>2022</v>
      </c>
      <c r="D1642" t="s">
        <v>164</v>
      </c>
      <c r="E1642">
        <v>4.5830000000000002</v>
      </c>
      <c r="F1642" t="s">
        <v>166</v>
      </c>
    </row>
    <row r="1643" spans="1:6">
      <c r="A1643" t="s">
        <v>39</v>
      </c>
      <c r="B1643" t="s">
        <v>23</v>
      </c>
      <c r="C1643">
        <v>2030</v>
      </c>
      <c r="D1643" t="s">
        <v>6</v>
      </c>
      <c r="E1643">
        <v>5300</v>
      </c>
      <c r="F1643" t="s">
        <v>7</v>
      </c>
    </row>
    <row r="1644" spans="1:6">
      <c r="A1644" t="s">
        <v>39</v>
      </c>
      <c r="B1644" t="s">
        <v>23</v>
      </c>
      <c r="C1644">
        <v>2030</v>
      </c>
      <c r="D1644" t="s">
        <v>8</v>
      </c>
      <c r="E1644">
        <v>5300</v>
      </c>
      <c r="F1644" t="s">
        <v>7</v>
      </c>
    </row>
    <row r="1645" spans="1:6">
      <c r="A1645" t="s">
        <v>39</v>
      </c>
      <c r="B1645" t="s">
        <v>23</v>
      </c>
      <c r="C1645">
        <v>2030</v>
      </c>
      <c r="D1645" t="s">
        <v>9</v>
      </c>
      <c r="E1645">
        <v>5300</v>
      </c>
      <c r="F1645" t="s">
        <v>7</v>
      </c>
    </row>
    <row r="1646" spans="1:6">
      <c r="A1646" t="s">
        <v>39</v>
      </c>
      <c r="B1646" t="s">
        <v>23</v>
      </c>
      <c r="C1646">
        <v>2030</v>
      </c>
      <c r="D1646" t="s">
        <v>10</v>
      </c>
      <c r="E1646">
        <v>185</v>
      </c>
      <c r="F1646" t="s">
        <v>11</v>
      </c>
    </row>
    <row r="1647" spans="1:6">
      <c r="A1647" t="s">
        <v>39</v>
      </c>
      <c r="B1647" t="s">
        <v>23</v>
      </c>
      <c r="C1647">
        <v>2030</v>
      </c>
      <c r="D1647" t="s">
        <v>12</v>
      </c>
      <c r="E1647">
        <v>0.36</v>
      </c>
      <c r="F1647" t="s">
        <v>13</v>
      </c>
    </row>
    <row r="1648" spans="1:6">
      <c r="A1648" t="s">
        <v>39</v>
      </c>
      <c r="B1648" t="s">
        <v>23</v>
      </c>
      <c r="C1648">
        <v>2030</v>
      </c>
      <c r="D1648" t="s">
        <v>164</v>
      </c>
      <c r="E1648">
        <v>4.5830000000000002</v>
      </c>
      <c r="F1648" t="s">
        <v>166</v>
      </c>
    </row>
    <row r="1649" spans="1:6">
      <c r="A1649" t="s">
        <v>39</v>
      </c>
      <c r="B1649" t="s">
        <v>23</v>
      </c>
      <c r="C1649">
        <v>2050</v>
      </c>
      <c r="D1649" t="s">
        <v>6</v>
      </c>
      <c r="E1649">
        <v>4800</v>
      </c>
      <c r="F1649" t="s">
        <v>7</v>
      </c>
    </row>
    <row r="1650" spans="1:6">
      <c r="A1650" t="s">
        <v>39</v>
      </c>
      <c r="B1650" t="s">
        <v>23</v>
      </c>
      <c r="C1650">
        <v>2050</v>
      </c>
      <c r="D1650" t="s">
        <v>8</v>
      </c>
      <c r="E1650">
        <v>4800</v>
      </c>
      <c r="F1650" t="s">
        <v>7</v>
      </c>
    </row>
    <row r="1651" spans="1:6">
      <c r="A1651" t="s">
        <v>39</v>
      </c>
      <c r="B1651" t="s">
        <v>23</v>
      </c>
      <c r="C1651">
        <v>2050</v>
      </c>
      <c r="D1651" t="s">
        <v>9</v>
      </c>
      <c r="E1651">
        <v>4800</v>
      </c>
      <c r="F1651" t="s">
        <v>7</v>
      </c>
    </row>
    <row r="1652" spans="1:6">
      <c r="A1652" t="s">
        <v>39</v>
      </c>
      <c r="B1652" t="s">
        <v>23</v>
      </c>
      <c r="C1652">
        <v>2050</v>
      </c>
      <c r="D1652" t="s">
        <v>10</v>
      </c>
      <c r="E1652">
        <v>170</v>
      </c>
      <c r="F1652" t="s">
        <v>11</v>
      </c>
    </row>
    <row r="1653" spans="1:6">
      <c r="A1653" t="s">
        <v>39</v>
      </c>
      <c r="B1653" t="s">
        <v>23</v>
      </c>
      <c r="C1653">
        <v>2050</v>
      </c>
      <c r="D1653" t="s">
        <v>12</v>
      </c>
      <c r="E1653">
        <v>0.39</v>
      </c>
      <c r="F1653" t="s">
        <v>13</v>
      </c>
    </row>
    <row r="1654" spans="1:6">
      <c r="A1654" t="s">
        <v>39</v>
      </c>
      <c r="B1654" t="s">
        <v>23</v>
      </c>
      <c r="C1654">
        <v>2050</v>
      </c>
      <c r="D1654" t="s">
        <v>164</v>
      </c>
      <c r="E1654">
        <v>4.5830000000000002</v>
      </c>
      <c r="F1654" t="s">
        <v>166</v>
      </c>
    </row>
    <row r="1655" spans="1:6">
      <c r="A1655" t="s">
        <v>39</v>
      </c>
      <c r="B1655" t="s">
        <v>24</v>
      </c>
      <c r="C1655">
        <v>2022</v>
      </c>
      <c r="D1655" t="s">
        <v>6</v>
      </c>
      <c r="E1655">
        <v>3650</v>
      </c>
      <c r="F1655" t="s">
        <v>7</v>
      </c>
    </row>
    <row r="1656" spans="1:6">
      <c r="A1656" t="s">
        <v>39</v>
      </c>
      <c r="B1656" t="s">
        <v>24</v>
      </c>
      <c r="C1656">
        <v>2022</v>
      </c>
      <c r="D1656" t="s">
        <v>8</v>
      </c>
      <c r="E1656">
        <v>3650</v>
      </c>
      <c r="F1656" t="s">
        <v>7</v>
      </c>
    </row>
    <row r="1657" spans="1:6">
      <c r="A1657" t="s">
        <v>39</v>
      </c>
      <c r="B1657" t="s">
        <v>24</v>
      </c>
      <c r="C1657">
        <v>2022</v>
      </c>
      <c r="D1657" t="s">
        <v>9</v>
      </c>
      <c r="E1657">
        <v>3650</v>
      </c>
      <c r="F1657" t="s">
        <v>7</v>
      </c>
    </row>
    <row r="1658" spans="1:6">
      <c r="A1658" t="s">
        <v>39</v>
      </c>
      <c r="B1658" t="s">
        <v>24</v>
      </c>
      <c r="C1658">
        <v>2022</v>
      </c>
      <c r="D1658" t="s">
        <v>10</v>
      </c>
      <c r="E1658">
        <v>165</v>
      </c>
      <c r="F1658" t="s">
        <v>11</v>
      </c>
    </row>
    <row r="1659" spans="1:6">
      <c r="A1659" t="s">
        <v>39</v>
      </c>
      <c r="B1659" t="s">
        <v>24</v>
      </c>
      <c r="C1659">
        <v>2022</v>
      </c>
      <c r="D1659" t="s">
        <v>12</v>
      </c>
      <c r="E1659">
        <v>0.34</v>
      </c>
      <c r="F1659" t="s">
        <v>13</v>
      </c>
    </row>
    <row r="1660" spans="1:6">
      <c r="A1660" t="s">
        <v>39</v>
      </c>
      <c r="B1660" t="s">
        <v>24</v>
      </c>
      <c r="C1660">
        <v>2022</v>
      </c>
      <c r="D1660" t="s">
        <v>164</v>
      </c>
      <c r="E1660">
        <v>4.5830000000000002</v>
      </c>
      <c r="F1660" t="s">
        <v>166</v>
      </c>
    </row>
    <row r="1661" spans="1:6">
      <c r="A1661" t="s">
        <v>39</v>
      </c>
      <c r="B1661" t="s">
        <v>24</v>
      </c>
      <c r="C1661">
        <v>2030</v>
      </c>
      <c r="D1661" t="s">
        <v>6</v>
      </c>
      <c r="E1661">
        <v>3550</v>
      </c>
      <c r="F1661" t="s">
        <v>7</v>
      </c>
    </row>
    <row r="1662" spans="1:6">
      <c r="A1662" t="s">
        <v>39</v>
      </c>
      <c r="B1662" t="s">
        <v>24</v>
      </c>
      <c r="C1662">
        <v>2030</v>
      </c>
      <c r="D1662" t="s">
        <v>8</v>
      </c>
      <c r="E1662">
        <v>3550</v>
      </c>
      <c r="F1662" t="s">
        <v>7</v>
      </c>
    </row>
    <row r="1663" spans="1:6">
      <c r="A1663" t="s">
        <v>39</v>
      </c>
      <c r="B1663" t="s">
        <v>24</v>
      </c>
      <c r="C1663">
        <v>2030</v>
      </c>
      <c r="D1663" t="s">
        <v>9</v>
      </c>
      <c r="E1663">
        <v>3550</v>
      </c>
      <c r="F1663" t="s">
        <v>7</v>
      </c>
    </row>
    <row r="1664" spans="1:6">
      <c r="A1664" t="s">
        <v>39</v>
      </c>
      <c r="B1664" t="s">
        <v>24</v>
      </c>
      <c r="C1664">
        <v>2030</v>
      </c>
      <c r="D1664" t="s">
        <v>10</v>
      </c>
      <c r="E1664">
        <v>160</v>
      </c>
      <c r="F1664" t="s">
        <v>11</v>
      </c>
    </row>
    <row r="1665" spans="1:6">
      <c r="A1665" t="s">
        <v>39</v>
      </c>
      <c r="B1665" t="s">
        <v>24</v>
      </c>
      <c r="C1665">
        <v>2030</v>
      </c>
      <c r="D1665" t="s">
        <v>12</v>
      </c>
      <c r="E1665">
        <v>0.35</v>
      </c>
      <c r="F1665" t="s">
        <v>13</v>
      </c>
    </row>
    <row r="1666" spans="1:6">
      <c r="A1666" t="s">
        <v>39</v>
      </c>
      <c r="B1666" t="s">
        <v>24</v>
      </c>
      <c r="C1666">
        <v>2030</v>
      </c>
      <c r="D1666" t="s">
        <v>164</v>
      </c>
      <c r="E1666">
        <v>4.5830000000000002</v>
      </c>
      <c r="F1666" t="s">
        <v>166</v>
      </c>
    </row>
    <row r="1667" spans="1:6">
      <c r="A1667" t="s">
        <v>39</v>
      </c>
      <c r="B1667" t="s">
        <v>24</v>
      </c>
      <c r="C1667">
        <v>2050</v>
      </c>
      <c r="D1667" t="s">
        <v>6</v>
      </c>
      <c r="E1667">
        <v>3000</v>
      </c>
      <c r="F1667" t="s">
        <v>7</v>
      </c>
    </row>
    <row r="1668" spans="1:6">
      <c r="A1668" t="s">
        <v>39</v>
      </c>
      <c r="B1668" t="s">
        <v>24</v>
      </c>
      <c r="C1668">
        <v>2050</v>
      </c>
      <c r="D1668" t="s">
        <v>8</v>
      </c>
      <c r="E1668">
        <v>3000</v>
      </c>
      <c r="F1668" t="s">
        <v>7</v>
      </c>
    </row>
    <row r="1669" spans="1:6">
      <c r="A1669" t="s">
        <v>39</v>
      </c>
      <c r="B1669" t="s">
        <v>24</v>
      </c>
      <c r="C1669">
        <v>2050</v>
      </c>
      <c r="D1669" t="s">
        <v>9</v>
      </c>
      <c r="E1669">
        <v>3000</v>
      </c>
      <c r="F1669" t="s">
        <v>7</v>
      </c>
    </row>
    <row r="1670" spans="1:6">
      <c r="A1670" t="s">
        <v>39</v>
      </c>
      <c r="B1670" t="s">
        <v>24</v>
      </c>
      <c r="C1670">
        <v>2050</v>
      </c>
      <c r="D1670" t="s">
        <v>10</v>
      </c>
      <c r="E1670">
        <v>135</v>
      </c>
      <c r="F1670" t="s">
        <v>11</v>
      </c>
    </row>
    <row r="1671" spans="1:6">
      <c r="A1671" t="s">
        <v>39</v>
      </c>
      <c r="B1671" t="s">
        <v>24</v>
      </c>
      <c r="C1671">
        <v>2050</v>
      </c>
      <c r="D1671" t="s">
        <v>12</v>
      </c>
      <c r="E1671">
        <v>0.38</v>
      </c>
      <c r="F1671" t="s">
        <v>13</v>
      </c>
    </row>
    <row r="1672" spans="1:6">
      <c r="A1672" t="s">
        <v>39</v>
      </c>
      <c r="B1672" t="s">
        <v>24</v>
      </c>
      <c r="C1672">
        <v>2050</v>
      </c>
      <c r="D1672" t="s">
        <v>164</v>
      </c>
      <c r="E1672">
        <v>4.5830000000000002</v>
      </c>
      <c r="F1672" t="s">
        <v>166</v>
      </c>
    </row>
    <row r="1673" spans="1:6">
      <c r="A1673" t="s">
        <v>39</v>
      </c>
      <c r="B1673" t="s">
        <v>25</v>
      </c>
      <c r="C1673">
        <v>2022</v>
      </c>
      <c r="D1673" t="s">
        <v>6</v>
      </c>
      <c r="E1673">
        <v>4150</v>
      </c>
      <c r="F1673" t="s">
        <v>7</v>
      </c>
    </row>
    <row r="1674" spans="1:6">
      <c r="A1674" t="s">
        <v>39</v>
      </c>
      <c r="B1674" t="s">
        <v>25</v>
      </c>
      <c r="C1674">
        <v>2022</v>
      </c>
      <c r="D1674" t="s">
        <v>8</v>
      </c>
      <c r="E1674">
        <v>4150</v>
      </c>
      <c r="F1674" t="s">
        <v>7</v>
      </c>
    </row>
    <row r="1675" spans="1:6">
      <c r="A1675" t="s">
        <v>39</v>
      </c>
      <c r="B1675" t="s">
        <v>25</v>
      </c>
      <c r="C1675">
        <v>2022</v>
      </c>
      <c r="D1675" t="s">
        <v>9</v>
      </c>
      <c r="E1675">
        <v>4150</v>
      </c>
      <c r="F1675" t="s">
        <v>7</v>
      </c>
    </row>
    <row r="1676" spans="1:6">
      <c r="A1676" t="s">
        <v>39</v>
      </c>
      <c r="B1676" t="s">
        <v>25</v>
      </c>
      <c r="C1676">
        <v>2022</v>
      </c>
      <c r="D1676" t="s">
        <v>10</v>
      </c>
      <c r="E1676">
        <v>200</v>
      </c>
      <c r="F1676" t="s">
        <v>11</v>
      </c>
    </row>
    <row r="1677" spans="1:6">
      <c r="A1677" t="s">
        <v>39</v>
      </c>
      <c r="B1677" t="s">
        <v>25</v>
      </c>
      <c r="C1677">
        <v>2022</v>
      </c>
      <c r="D1677" t="s">
        <v>12</v>
      </c>
      <c r="E1677">
        <v>0.32</v>
      </c>
      <c r="F1677" t="s">
        <v>13</v>
      </c>
    </row>
    <row r="1678" spans="1:6">
      <c r="A1678" t="s">
        <v>39</v>
      </c>
      <c r="B1678" t="s">
        <v>25</v>
      </c>
      <c r="C1678">
        <v>2022</v>
      </c>
      <c r="D1678" t="s">
        <v>164</v>
      </c>
      <c r="E1678">
        <v>4.5830000000000002</v>
      </c>
      <c r="F1678" t="s">
        <v>166</v>
      </c>
    </row>
    <row r="1679" spans="1:6">
      <c r="A1679" t="s">
        <v>39</v>
      </c>
      <c r="B1679" t="s">
        <v>25</v>
      </c>
      <c r="C1679">
        <v>2030</v>
      </c>
      <c r="D1679" t="s">
        <v>6</v>
      </c>
      <c r="E1679">
        <v>3950</v>
      </c>
      <c r="F1679" t="s">
        <v>7</v>
      </c>
    </row>
    <row r="1680" spans="1:6">
      <c r="A1680" t="s">
        <v>39</v>
      </c>
      <c r="B1680" t="s">
        <v>25</v>
      </c>
      <c r="C1680">
        <v>2030</v>
      </c>
      <c r="D1680" t="s">
        <v>8</v>
      </c>
      <c r="E1680">
        <v>3950</v>
      </c>
      <c r="F1680" t="s">
        <v>7</v>
      </c>
    </row>
    <row r="1681" spans="1:6">
      <c r="A1681" t="s">
        <v>39</v>
      </c>
      <c r="B1681" t="s">
        <v>25</v>
      </c>
      <c r="C1681">
        <v>2030</v>
      </c>
      <c r="D1681" t="s">
        <v>9</v>
      </c>
      <c r="E1681">
        <v>3950</v>
      </c>
      <c r="F1681" t="s">
        <v>7</v>
      </c>
    </row>
    <row r="1682" spans="1:6">
      <c r="A1682" t="s">
        <v>39</v>
      </c>
      <c r="B1682" t="s">
        <v>25</v>
      </c>
      <c r="C1682">
        <v>2030</v>
      </c>
      <c r="D1682" t="s">
        <v>10</v>
      </c>
      <c r="E1682">
        <v>190</v>
      </c>
      <c r="F1682" t="s">
        <v>11</v>
      </c>
    </row>
    <row r="1683" spans="1:6">
      <c r="A1683" t="s">
        <v>39</v>
      </c>
      <c r="B1683" t="s">
        <v>25</v>
      </c>
      <c r="C1683">
        <v>2030</v>
      </c>
      <c r="D1683" t="s">
        <v>12</v>
      </c>
      <c r="E1683">
        <v>0.33</v>
      </c>
      <c r="F1683" t="s">
        <v>13</v>
      </c>
    </row>
    <row r="1684" spans="1:6">
      <c r="A1684" t="s">
        <v>39</v>
      </c>
      <c r="B1684" t="s">
        <v>25</v>
      </c>
      <c r="C1684">
        <v>2030</v>
      </c>
      <c r="D1684" t="s">
        <v>164</v>
      </c>
      <c r="E1684">
        <v>4.5830000000000002</v>
      </c>
      <c r="F1684" t="s">
        <v>166</v>
      </c>
    </row>
    <row r="1685" spans="1:6">
      <c r="A1685" t="s">
        <v>39</v>
      </c>
      <c r="B1685" t="s">
        <v>25</v>
      </c>
      <c r="C1685">
        <v>2050</v>
      </c>
      <c r="D1685" t="s">
        <v>6</v>
      </c>
      <c r="E1685">
        <v>3550</v>
      </c>
      <c r="F1685" t="s">
        <v>7</v>
      </c>
    </row>
    <row r="1686" spans="1:6">
      <c r="A1686" t="s">
        <v>39</v>
      </c>
      <c r="B1686" t="s">
        <v>25</v>
      </c>
      <c r="C1686">
        <v>2050</v>
      </c>
      <c r="D1686" t="s">
        <v>8</v>
      </c>
      <c r="E1686">
        <v>3550</v>
      </c>
      <c r="F1686" t="s">
        <v>7</v>
      </c>
    </row>
    <row r="1687" spans="1:6">
      <c r="A1687" t="s">
        <v>39</v>
      </c>
      <c r="B1687" t="s">
        <v>25</v>
      </c>
      <c r="C1687">
        <v>2050</v>
      </c>
      <c r="D1687" t="s">
        <v>9</v>
      </c>
      <c r="E1687">
        <v>3550</v>
      </c>
      <c r="F1687" t="s">
        <v>7</v>
      </c>
    </row>
    <row r="1688" spans="1:6">
      <c r="A1688" t="s">
        <v>39</v>
      </c>
      <c r="B1688" t="s">
        <v>25</v>
      </c>
      <c r="C1688">
        <v>2050</v>
      </c>
      <c r="D1688" t="s">
        <v>10</v>
      </c>
      <c r="E1688">
        <v>170</v>
      </c>
      <c r="F1688" t="s">
        <v>11</v>
      </c>
    </row>
    <row r="1689" spans="1:6">
      <c r="A1689" t="s">
        <v>39</v>
      </c>
      <c r="B1689" t="s">
        <v>25</v>
      </c>
      <c r="C1689">
        <v>2050</v>
      </c>
      <c r="D1689" t="s">
        <v>12</v>
      </c>
      <c r="E1689">
        <v>0.36</v>
      </c>
      <c r="F1689" t="s">
        <v>13</v>
      </c>
    </row>
    <row r="1690" spans="1:6">
      <c r="A1690" t="s">
        <v>39</v>
      </c>
      <c r="B1690" t="s">
        <v>25</v>
      </c>
      <c r="C1690">
        <v>2050</v>
      </c>
      <c r="D1690" t="s">
        <v>164</v>
      </c>
      <c r="E1690">
        <v>4.5830000000000002</v>
      </c>
      <c r="F1690" t="s">
        <v>166</v>
      </c>
    </row>
    <row r="1691" spans="1:6">
      <c r="A1691" t="s">
        <v>39</v>
      </c>
      <c r="B1691" t="s">
        <v>26</v>
      </c>
      <c r="C1691">
        <v>2022</v>
      </c>
      <c r="D1691" t="s">
        <v>6</v>
      </c>
      <c r="E1691">
        <v>5100</v>
      </c>
      <c r="F1691" t="s">
        <v>7</v>
      </c>
    </row>
    <row r="1692" spans="1:6">
      <c r="A1692" t="s">
        <v>39</v>
      </c>
      <c r="B1692" t="s">
        <v>26</v>
      </c>
      <c r="C1692">
        <v>2022</v>
      </c>
      <c r="D1692" t="s">
        <v>8</v>
      </c>
      <c r="E1692">
        <v>5100</v>
      </c>
      <c r="F1692" t="s">
        <v>7</v>
      </c>
    </row>
    <row r="1693" spans="1:6">
      <c r="A1693" t="s">
        <v>39</v>
      </c>
      <c r="B1693" t="s">
        <v>26</v>
      </c>
      <c r="C1693">
        <v>2022</v>
      </c>
      <c r="D1693" t="s">
        <v>9</v>
      </c>
      <c r="E1693">
        <v>5100</v>
      </c>
      <c r="F1693" t="s">
        <v>7</v>
      </c>
    </row>
    <row r="1694" spans="1:6">
      <c r="A1694" t="s">
        <v>39</v>
      </c>
      <c r="B1694" t="s">
        <v>26</v>
      </c>
      <c r="C1694">
        <v>2022</v>
      </c>
      <c r="D1694" t="s">
        <v>10</v>
      </c>
      <c r="E1694">
        <v>230</v>
      </c>
      <c r="F1694" t="s">
        <v>11</v>
      </c>
    </row>
    <row r="1695" spans="1:6">
      <c r="A1695" t="s">
        <v>39</v>
      </c>
      <c r="B1695" t="s">
        <v>26</v>
      </c>
      <c r="C1695">
        <v>2022</v>
      </c>
      <c r="D1695" t="s">
        <v>164</v>
      </c>
      <c r="E1695">
        <v>4.5830000000000002</v>
      </c>
      <c r="F1695" t="s">
        <v>166</v>
      </c>
    </row>
    <row r="1696" spans="1:6">
      <c r="A1696" t="s">
        <v>39</v>
      </c>
      <c r="B1696" t="s">
        <v>26</v>
      </c>
      <c r="C1696">
        <v>2030</v>
      </c>
      <c r="D1696" t="s">
        <v>6</v>
      </c>
      <c r="E1696">
        <v>4900</v>
      </c>
      <c r="F1696" t="s">
        <v>7</v>
      </c>
    </row>
    <row r="1697" spans="1:6">
      <c r="A1697" t="s">
        <v>39</v>
      </c>
      <c r="B1697" t="s">
        <v>26</v>
      </c>
      <c r="C1697">
        <v>2030</v>
      </c>
      <c r="D1697" t="s">
        <v>8</v>
      </c>
      <c r="E1697">
        <v>4900</v>
      </c>
      <c r="F1697" t="s">
        <v>7</v>
      </c>
    </row>
    <row r="1698" spans="1:6">
      <c r="A1698" t="s">
        <v>39</v>
      </c>
      <c r="B1698" t="s">
        <v>26</v>
      </c>
      <c r="C1698">
        <v>2030</v>
      </c>
      <c r="D1698" t="s">
        <v>9</v>
      </c>
      <c r="E1698">
        <v>4900</v>
      </c>
      <c r="F1698" t="s">
        <v>7</v>
      </c>
    </row>
    <row r="1699" spans="1:6">
      <c r="A1699" t="s">
        <v>39</v>
      </c>
      <c r="B1699" t="s">
        <v>26</v>
      </c>
      <c r="C1699">
        <v>2030</v>
      </c>
      <c r="D1699" t="s">
        <v>10</v>
      </c>
      <c r="E1699">
        <v>220</v>
      </c>
      <c r="F1699" t="s">
        <v>11</v>
      </c>
    </row>
    <row r="1700" spans="1:6">
      <c r="A1700" t="s">
        <v>39</v>
      </c>
      <c r="B1700" t="s">
        <v>26</v>
      </c>
      <c r="C1700">
        <v>2030</v>
      </c>
      <c r="D1700" t="s">
        <v>164</v>
      </c>
      <c r="E1700">
        <v>4.5830000000000002</v>
      </c>
      <c r="F1700" t="s">
        <v>166</v>
      </c>
    </row>
    <row r="1701" spans="1:6">
      <c r="A1701" t="s">
        <v>39</v>
      </c>
      <c r="B1701" t="s">
        <v>26</v>
      </c>
      <c r="C1701">
        <v>2050</v>
      </c>
      <c r="D1701" t="s">
        <v>6</v>
      </c>
      <c r="E1701">
        <v>4450</v>
      </c>
      <c r="F1701" t="s">
        <v>7</v>
      </c>
    </row>
    <row r="1702" spans="1:6">
      <c r="A1702" t="s">
        <v>39</v>
      </c>
      <c r="B1702" t="s">
        <v>26</v>
      </c>
      <c r="C1702">
        <v>2050</v>
      </c>
      <c r="D1702" t="s">
        <v>8</v>
      </c>
      <c r="E1702">
        <v>4450</v>
      </c>
      <c r="F1702" t="s">
        <v>7</v>
      </c>
    </row>
    <row r="1703" spans="1:6">
      <c r="A1703" t="s">
        <v>39</v>
      </c>
      <c r="B1703" t="s">
        <v>26</v>
      </c>
      <c r="C1703">
        <v>2050</v>
      </c>
      <c r="D1703" t="s">
        <v>9</v>
      </c>
      <c r="E1703">
        <v>4450</v>
      </c>
      <c r="F1703" t="s">
        <v>7</v>
      </c>
    </row>
    <row r="1704" spans="1:6">
      <c r="A1704" t="s">
        <v>39</v>
      </c>
      <c r="B1704" t="s">
        <v>26</v>
      </c>
      <c r="C1704">
        <v>2050</v>
      </c>
      <c r="D1704" t="s">
        <v>10</v>
      </c>
      <c r="E1704">
        <v>200</v>
      </c>
      <c r="F1704" t="s">
        <v>11</v>
      </c>
    </row>
    <row r="1705" spans="1:6">
      <c r="A1705" t="s">
        <v>39</v>
      </c>
      <c r="B1705" t="s">
        <v>26</v>
      </c>
      <c r="C1705">
        <v>2050</v>
      </c>
      <c r="D1705" t="s">
        <v>164</v>
      </c>
      <c r="E1705">
        <v>4.5830000000000002</v>
      </c>
      <c r="F1705" t="s">
        <v>166</v>
      </c>
    </row>
    <row r="1706" spans="1:6">
      <c r="A1706" t="s">
        <v>39</v>
      </c>
      <c r="B1706" t="s">
        <v>27</v>
      </c>
      <c r="C1706">
        <v>2022</v>
      </c>
      <c r="D1706" t="s">
        <v>6</v>
      </c>
      <c r="E1706">
        <v>4850</v>
      </c>
      <c r="F1706" t="s">
        <v>7</v>
      </c>
    </row>
    <row r="1707" spans="1:6">
      <c r="A1707" t="s">
        <v>39</v>
      </c>
      <c r="B1707" t="s">
        <v>27</v>
      </c>
      <c r="C1707">
        <v>2022</v>
      </c>
      <c r="D1707" t="s">
        <v>8</v>
      </c>
      <c r="E1707">
        <v>4850</v>
      </c>
      <c r="F1707" t="s">
        <v>7</v>
      </c>
    </row>
    <row r="1708" spans="1:6">
      <c r="A1708" t="s">
        <v>39</v>
      </c>
      <c r="B1708" t="s">
        <v>27</v>
      </c>
      <c r="C1708">
        <v>2022</v>
      </c>
      <c r="D1708" t="s">
        <v>9</v>
      </c>
      <c r="E1708">
        <v>4850</v>
      </c>
      <c r="F1708" t="s">
        <v>7</v>
      </c>
    </row>
    <row r="1709" spans="1:6">
      <c r="A1709" t="s">
        <v>39</v>
      </c>
      <c r="B1709" t="s">
        <v>27</v>
      </c>
      <c r="C1709">
        <v>2022</v>
      </c>
      <c r="D1709" t="s">
        <v>10</v>
      </c>
      <c r="E1709">
        <v>220</v>
      </c>
      <c r="F1709" t="s">
        <v>11</v>
      </c>
    </row>
    <row r="1710" spans="1:6">
      <c r="A1710" t="s">
        <v>39</v>
      </c>
      <c r="B1710" t="s">
        <v>27</v>
      </c>
      <c r="C1710">
        <v>2022</v>
      </c>
      <c r="D1710" t="s">
        <v>12</v>
      </c>
      <c r="E1710">
        <v>0.32</v>
      </c>
      <c r="F1710" t="s">
        <v>13</v>
      </c>
    </row>
    <row r="1711" spans="1:6">
      <c r="A1711" t="s">
        <v>39</v>
      </c>
      <c r="B1711" t="s">
        <v>27</v>
      </c>
      <c r="C1711">
        <v>2022</v>
      </c>
      <c r="D1711" t="s">
        <v>164</v>
      </c>
      <c r="E1711">
        <v>4.5830000000000002</v>
      </c>
      <c r="F1711" t="s">
        <v>166</v>
      </c>
    </row>
    <row r="1712" spans="1:6">
      <c r="A1712" t="s">
        <v>39</v>
      </c>
      <c r="B1712" t="s">
        <v>27</v>
      </c>
      <c r="C1712">
        <v>2030</v>
      </c>
      <c r="D1712" t="s">
        <v>6</v>
      </c>
      <c r="E1712">
        <v>4650</v>
      </c>
      <c r="F1712" t="s">
        <v>7</v>
      </c>
    </row>
    <row r="1713" spans="1:6">
      <c r="A1713" t="s">
        <v>39</v>
      </c>
      <c r="B1713" t="s">
        <v>27</v>
      </c>
      <c r="C1713">
        <v>2030</v>
      </c>
      <c r="D1713" t="s">
        <v>8</v>
      </c>
      <c r="E1713">
        <v>4650</v>
      </c>
      <c r="F1713" t="s">
        <v>7</v>
      </c>
    </row>
    <row r="1714" spans="1:6">
      <c r="A1714" t="s">
        <v>39</v>
      </c>
      <c r="B1714" t="s">
        <v>27</v>
      </c>
      <c r="C1714">
        <v>2030</v>
      </c>
      <c r="D1714" t="s">
        <v>9</v>
      </c>
      <c r="E1714">
        <v>4650</v>
      </c>
      <c r="F1714" t="s">
        <v>7</v>
      </c>
    </row>
    <row r="1715" spans="1:6">
      <c r="A1715" t="s">
        <v>39</v>
      </c>
      <c r="B1715" t="s">
        <v>27</v>
      </c>
      <c r="C1715">
        <v>2030</v>
      </c>
      <c r="D1715" t="s">
        <v>10</v>
      </c>
      <c r="E1715">
        <v>210</v>
      </c>
      <c r="F1715" t="s">
        <v>11</v>
      </c>
    </row>
    <row r="1716" spans="1:6">
      <c r="A1716" t="s">
        <v>39</v>
      </c>
      <c r="B1716" t="s">
        <v>27</v>
      </c>
      <c r="C1716">
        <v>2030</v>
      </c>
      <c r="D1716" t="s">
        <v>12</v>
      </c>
      <c r="E1716">
        <v>0.32</v>
      </c>
      <c r="F1716" t="s">
        <v>13</v>
      </c>
    </row>
    <row r="1717" spans="1:6">
      <c r="A1717" t="s">
        <v>39</v>
      </c>
      <c r="B1717" t="s">
        <v>27</v>
      </c>
      <c r="C1717">
        <v>2030</v>
      </c>
      <c r="D1717" t="s">
        <v>164</v>
      </c>
      <c r="E1717">
        <v>4.5830000000000002</v>
      </c>
      <c r="F1717" t="s">
        <v>166</v>
      </c>
    </row>
    <row r="1718" spans="1:6">
      <c r="A1718" t="s">
        <v>39</v>
      </c>
      <c r="B1718" t="s">
        <v>27</v>
      </c>
      <c r="C1718">
        <v>2050</v>
      </c>
      <c r="D1718" t="s">
        <v>6</v>
      </c>
      <c r="E1718">
        <v>4250</v>
      </c>
      <c r="F1718" t="s">
        <v>7</v>
      </c>
    </row>
    <row r="1719" spans="1:6">
      <c r="A1719" t="s">
        <v>39</v>
      </c>
      <c r="B1719" t="s">
        <v>27</v>
      </c>
      <c r="C1719">
        <v>2050</v>
      </c>
      <c r="D1719" t="s">
        <v>8</v>
      </c>
      <c r="E1719">
        <v>4250</v>
      </c>
      <c r="F1719" t="s">
        <v>7</v>
      </c>
    </row>
    <row r="1720" spans="1:6">
      <c r="A1720" t="s">
        <v>39</v>
      </c>
      <c r="B1720" t="s">
        <v>27</v>
      </c>
      <c r="C1720">
        <v>2050</v>
      </c>
      <c r="D1720" t="s">
        <v>9</v>
      </c>
      <c r="E1720">
        <v>4250</v>
      </c>
      <c r="F1720" t="s">
        <v>7</v>
      </c>
    </row>
    <row r="1721" spans="1:6">
      <c r="A1721" t="s">
        <v>39</v>
      </c>
      <c r="B1721" t="s">
        <v>27</v>
      </c>
      <c r="C1721">
        <v>2050</v>
      </c>
      <c r="D1721" t="s">
        <v>10</v>
      </c>
      <c r="E1721">
        <v>190</v>
      </c>
      <c r="F1721" t="s">
        <v>11</v>
      </c>
    </row>
    <row r="1722" spans="1:6">
      <c r="A1722" t="s">
        <v>39</v>
      </c>
      <c r="B1722" t="s">
        <v>27</v>
      </c>
      <c r="C1722">
        <v>2050</v>
      </c>
      <c r="D1722" t="s">
        <v>12</v>
      </c>
      <c r="E1722">
        <v>0.35</v>
      </c>
      <c r="F1722" t="s">
        <v>13</v>
      </c>
    </row>
    <row r="1723" spans="1:6">
      <c r="A1723" t="s">
        <v>39</v>
      </c>
      <c r="B1723" t="s">
        <v>27</v>
      </c>
      <c r="C1723">
        <v>2050</v>
      </c>
      <c r="D1723" t="s">
        <v>164</v>
      </c>
      <c r="E1723">
        <v>4.5830000000000002</v>
      </c>
      <c r="F1723" t="s">
        <v>166</v>
      </c>
    </row>
    <row r="1724" spans="1:6">
      <c r="A1724" t="s">
        <v>39</v>
      </c>
      <c r="B1724" t="s">
        <v>28</v>
      </c>
      <c r="C1724">
        <v>2022</v>
      </c>
      <c r="D1724" t="s">
        <v>6</v>
      </c>
      <c r="E1724">
        <v>4550</v>
      </c>
      <c r="F1724" t="s">
        <v>7</v>
      </c>
    </row>
    <row r="1725" spans="1:6">
      <c r="A1725" t="s">
        <v>39</v>
      </c>
      <c r="B1725" t="s">
        <v>28</v>
      </c>
      <c r="C1725">
        <v>2022</v>
      </c>
      <c r="D1725" t="s">
        <v>8</v>
      </c>
      <c r="E1725">
        <v>4550</v>
      </c>
      <c r="F1725" t="s">
        <v>7</v>
      </c>
    </row>
    <row r="1726" spans="1:6">
      <c r="A1726" t="s">
        <v>39</v>
      </c>
      <c r="B1726" t="s">
        <v>28</v>
      </c>
      <c r="C1726">
        <v>2022</v>
      </c>
      <c r="D1726" t="s">
        <v>9</v>
      </c>
      <c r="E1726">
        <v>4550</v>
      </c>
      <c r="F1726" t="s">
        <v>7</v>
      </c>
    </row>
    <row r="1727" spans="1:6">
      <c r="A1727" t="s">
        <v>39</v>
      </c>
      <c r="B1727" t="s">
        <v>28</v>
      </c>
      <c r="C1727">
        <v>2022</v>
      </c>
      <c r="D1727" t="s">
        <v>10</v>
      </c>
      <c r="E1727">
        <v>205</v>
      </c>
      <c r="F1727" t="s">
        <v>11</v>
      </c>
    </row>
    <row r="1728" spans="1:6">
      <c r="A1728" t="s">
        <v>39</v>
      </c>
      <c r="B1728" t="s">
        <v>28</v>
      </c>
      <c r="C1728">
        <v>2022</v>
      </c>
      <c r="D1728" t="s">
        <v>164</v>
      </c>
      <c r="E1728">
        <v>4.5830000000000002</v>
      </c>
      <c r="F1728" t="s">
        <v>166</v>
      </c>
    </row>
    <row r="1729" spans="1:6">
      <c r="A1729" t="s">
        <v>39</v>
      </c>
      <c r="B1729" t="s">
        <v>28</v>
      </c>
      <c r="C1729">
        <v>2030</v>
      </c>
      <c r="D1729" t="s">
        <v>6</v>
      </c>
      <c r="E1729">
        <v>4350</v>
      </c>
      <c r="F1729" t="s">
        <v>7</v>
      </c>
    </row>
    <row r="1730" spans="1:6">
      <c r="A1730" t="s">
        <v>39</v>
      </c>
      <c r="B1730" t="s">
        <v>28</v>
      </c>
      <c r="C1730">
        <v>2030</v>
      </c>
      <c r="D1730" t="s">
        <v>8</v>
      </c>
      <c r="E1730">
        <v>4350</v>
      </c>
      <c r="F1730" t="s">
        <v>7</v>
      </c>
    </row>
    <row r="1731" spans="1:6">
      <c r="A1731" t="s">
        <v>39</v>
      </c>
      <c r="B1731" t="s">
        <v>28</v>
      </c>
      <c r="C1731">
        <v>2030</v>
      </c>
      <c r="D1731" t="s">
        <v>9</v>
      </c>
      <c r="E1731">
        <v>4350</v>
      </c>
      <c r="F1731" t="s">
        <v>7</v>
      </c>
    </row>
    <row r="1732" spans="1:6">
      <c r="A1732" t="s">
        <v>39</v>
      </c>
      <c r="B1732" t="s">
        <v>28</v>
      </c>
      <c r="C1732">
        <v>2030</v>
      </c>
      <c r="D1732" t="s">
        <v>10</v>
      </c>
      <c r="E1732">
        <v>195</v>
      </c>
      <c r="F1732" t="s">
        <v>11</v>
      </c>
    </row>
    <row r="1733" spans="1:6">
      <c r="A1733" t="s">
        <v>39</v>
      </c>
      <c r="B1733" t="s">
        <v>28</v>
      </c>
      <c r="C1733">
        <v>2030</v>
      </c>
      <c r="D1733" t="s">
        <v>164</v>
      </c>
      <c r="E1733">
        <v>4.5830000000000002</v>
      </c>
      <c r="F1733" t="s">
        <v>166</v>
      </c>
    </row>
    <row r="1734" spans="1:6">
      <c r="A1734" t="s">
        <v>39</v>
      </c>
      <c r="B1734" t="s">
        <v>28</v>
      </c>
      <c r="C1734">
        <v>2050</v>
      </c>
      <c r="D1734" t="s">
        <v>6</v>
      </c>
      <c r="E1734">
        <v>4000</v>
      </c>
      <c r="F1734" t="s">
        <v>7</v>
      </c>
    </row>
    <row r="1735" spans="1:6">
      <c r="A1735" t="s">
        <v>39</v>
      </c>
      <c r="B1735" t="s">
        <v>28</v>
      </c>
      <c r="C1735">
        <v>2050</v>
      </c>
      <c r="D1735" t="s">
        <v>8</v>
      </c>
      <c r="E1735">
        <v>4000</v>
      </c>
      <c r="F1735" t="s">
        <v>7</v>
      </c>
    </row>
    <row r="1736" spans="1:6">
      <c r="A1736" t="s">
        <v>39</v>
      </c>
      <c r="B1736" t="s">
        <v>28</v>
      </c>
      <c r="C1736">
        <v>2050</v>
      </c>
      <c r="D1736" t="s">
        <v>9</v>
      </c>
      <c r="E1736">
        <v>4000</v>
      </c>
      <c r="F1736" t="s">
        <v>7</v>
      </c>
    </row>
    <row r="1737" spans="1:6">
      <c r="A1737" t="s">
        <v>39</v>
      </c>
      <c r="B1737" t="s">
        <v>28</v>
      </c>
      <c r="C1737">
        <v>2050</v>
      </c>
      <c r="D1737" t="s">
        <v>10</v>
      </c>
      <c r="E1737">
        <v>180</v>
      </c>
      <c r="F1737" t="s">
        <v>11</v>
      </c>
    </row>
    <row r="1738" spans="1:6">
      <c r="A1738" t="s">
        <v>39</v>
      </c>
      <c r="B1738" t="s">
        <v>28</v>
      </c>
      <c r="C1738">
        <v>2050</v>
      </c>
      <c r="D1738" t="s">
        <v>164</v>
      </c>
      <c r="E1738">
        <v>4.5830000000000002</v>
      </c>
      <c r="F1738" t="s">
        <v>166</v>
      </c>
    </row>
    <row r="1739" spans="1:6">
      <c r="A1739" t="s">
        <v>40</v>
      </c>
      <c r="B1739" t="s">
        <v>20</v>
      </c>
      <c r="C1739">
        <v>2022</v>
      </c>
      <c r="D1739" t="s">
        <v>6</v>
      </c>
      <c r="E1739">
        <v>3100</v>
      </c>
      <c r="F1739" t="s">
        <v>7</v>
      </c>
    </row>
    <row r="1740" spans="1:6">
      <c r="A1740" t="s">
        <v>40</v>
      </c>
      <c r="B1740" t="s">
        <v>20</v>
      </c>
      <c r="C1740">
        <v>2022</v>
      </c>
      <c r="D1740" t="s">
        <v>8</v>
      </c>
      <c r="E1740">
        <v>3100</v>
      </c>
      <c r="F1740" t="s">
        <v>7</v>
      </c>
    </row>
    <row r="1741" spans="1:6">
      <c r="A1741" t="s">
        <v>40</v>
      </c>
      <c r="B1741" t="s">
        <v>20</v>
      </c>
      <c r="C1741">
        <v>2022</v>
      </c>
      <c r="D1741" t="s">
        <v>9</v>
      </c>
      <c r="E1741">
        <v>3100</v>
      </c>
      <c r="F1741" t="s">
        <v>7</v>
      </c>
    </row>
    <row r="1742" spans="1:6">
      <c r="A1742" t="s">
        <v>40</v>
      </c>
      <c r="B1742" t="s">
        <v>20</v>
      </c>
      <c r="C1742">
        <v>2022</v>
      </c>
      <c r="D1742" t="s">
        <v>10</v>
      </c>
      <c r="E1742">
        <v>80</v>
      </c>
      <c r="F1742" t="s">
        <v>11</v>
      </c>
    </row>
    <row r="1743" spans="1:6">
      <c r="A1743" t="s">
        <v>40</v>
      </c>
      <c r="B1743" t="s">
        <v>20</v>
      </c>
      <c r="C1743">
        <v>2022</v>
      </c>
      <c r="D1743" t="s">
        <v>12</v>
      </c>
      <c r="E1743">
        <v>0.51</v>
      </c>
      <c r="F1743" t="s">
        <v>13</v>
      </c>
    </row>
    <row r="1744" spans="1:6">
      <c r="A1744" t="s">
        <v>40</v>
      </c>
      <c r="B1744" t="s">
        <v>20</v>
      </c>
      <c r="C1744">
        <v>2022</v>
      </c>
      <c r="D1744" t="s">
        <v>164</v>
      </c>
      <c r="E1744">
        <v>1.35</v>
      </c>
      <c r="F1744" t="s">
        <v>166</v>
      </c>
    </row>
    <row r="1745" spans="1:6">
      <c r="A1745" t="s">
        <v>40</v>
      </c>
      <c r="B1745" t="s">
        <v>20</v>
      </c>
      <c r="C1745">
        <v>2030</v>
      </c>
      <c r="D1745" t="s">
        <v>6</v>
      </c>
      <c r="E1745">
        <v>3100</v>
      </c>
      <c r="F1745" t="s">
        <v>7</v>
      </c>
    </row>
    <row r="1746" spans="1:6">
      <c r="A1746" t="s">
        <v>40</v>
      </c>
      <c r="B1746" t="s">
        <v>20</v>
      </c>
      <c r="C1746">
        <v>2030</v>
      </c>
      <c r="D1746" t="s">
        <v>8</v>
      </c>
      <c r="E1746">
        <v>3366.3</v>
      </c>
      <c r="F1746" t="s">
        <v>7</v>
      </c>
    </row>
    <row r="1747" spans="1:6">
      <c r="A1747" t="s">
        <v>40</v>
      </c>
      <c r="B1747" t="s">
        <v>20</v>
      </c>
      <c r="C1747">
        <v>2030</v>
      </c>
      <c r="D1747" t="s">
        <v>9</v>
      </c>
      <c r="E1747">
        <v>2833.7</v>
      </c>
      <c r="F1747" t="s">
        <v>7</v>
      </c>
    </row>
    <row r="1748" spans="1:6">
      <c r="A1748" t="s">
        <v>40</v>
      </c>
      <c r="B1748" t="s">
        <v>20</v>
      </c>
      <c r="C1748">
        <v>2030</v>
      </c>
      <c r="D1748" t="s">
        <v>10</v>
      </c>
      <c r="E1748">
        <v>75</v>
      </c>
      <c r="F1748" t="s">
        <v>11</v>
      </c>
    </row>
    <row r="1749" spans="1:6">
      <c r="A1749" t="s">
        <v>40</v>
      </c>
      <c r="B1749" t="s">
        <v>20</v>
      </c>
      <c r="C1749">
        <v>2030</v>
      </c>
      <c r="D1749" t="s">
        <v>12</v>
      </c>
      <c r="E1749">
        <v>0.52</v>
      </c>
      <c r="F1749" t="s">
        <v>13</v>
      </c>
    </row>
    <row r="1750" spans="1:6">
      <c r="A1750" t="s">
        <v>40</v>
      </c>
      <c r="B1750" t="s">
        <v>20</v>
      </c>
      <c r="C1750">
        <v>2030</v>
      </c>
      <c r="D1750" t="s">
        <v>164</v>
      </c>
      <c r="E1750">
        <v>1.2</v>
      </c>
      <c r="F1750" t="s">
        <v>166</v>
      </c>
    </row>
    <row r="1751" spans="1:6">
      <c r="A1751" t="s">
        <v>40</v>
      </c>
      <c r="B1751" t="s">
        <v>20</v>
      </c>
      <c r="C1751">
        <v>2050</v>
      </c>
      <c r="D1751" t="s">
        <v>6</v>
      </c>
      <c r="E1751">
        <v>2500</v>
      </c>
      <c r="F1751" t="s">
        <v>7</v>
      </c>
    </row>
    <row r="1752" spans="1:6">
      <c r="A1752" t="s">
        <v>40</v>
      </c>
      <c r="B1752" t="s">
        <v>20</v>
      </c>
      <c r="C1752">
        <v>2050</v>
      </c>
      <c r="D1752" t="s">
        <v>8</v>
      </c>
      <c r="E1752">
        <v>2910.7</v>
      </c>
      <c r="F1752" t="s">
        <v>7</v>
      </c>
    </row>
    <row r="1753" spans="1:6">
      <c r="A1753" t="s">
        <v>40</v>
      </c>
      <c r="B1753" t="s">
        <v>20</v>
      </c>
      <c r="C1753">
        <v>2050</v>
      </c>
      <c r="D1753" t="s">
        <v>9</v>
      </c>
      <c r="E1753">
        <v>2089</v>
      </c>
      <c r="F1753" t="s">
        <v>7</v>
      </c>
    </row>
    <row r="1754" spans="1:6">
      <c r="A1754" t="s">
        <v>40</v>
      </c>
      <c r="B1754" t="s">
        <v>20</v>
      </c>
      <c r="C1754">
        <v>2050</v>
      </c>
      <c r="D1754" t="s">
        <v>10</v>
      </c>
      <c r="E1754">
        <v>60</v>
      </c>
      <c r="F1754" t="s">
        <v>11</v>
      </c>
    </row>
    <row r="1755" spans="1:6">
      <c r="A1755" t="s">
        <v>40</v>
      </c>
      <c r="B1755" t="s">
        <v>20</v>
      </c>
      <c r="C1755">
        <v>2050</v>
      </c>
      <c r="D1755" t="s">
        <v>12</v>
      </c>
      <c r="E1755">
        <v>0.52</v>
      </c>
      <c r="F1755" t="s">
        <v>13</v>
      </c>
    </row>
    <row r="1756" spans="1:6">
      <c r="A1756" t="s">
        <v>40</v>
      </c>
      <c r="B1756" t="s">
        <v>20</v>
      </c>
      <c r="C1756">
        <v>2050</v>
      </c>
      <c r="D1756" t="s">
        <v>164</v>
      </c>
      <c r="E1756">
        <v>0.98899999999999999</v>
      </c>
      <c r="F1756" t="s">
        <v>166</v>
      </c>
    </row>
    <row r="1757" spans="1:6">
      <c r="A1757" t="s">
        <v>40</v>
      </c>
      <c r="B1757" t="s">
        <v>21</v>
      </c>
      <c r="C1757">
        <v>2022</v>
      </c>
      <c r="D1757" t="s">
        <v>6</v>
      </c>
      <c r="E1757">
        <v>3100</v>
      </c>
      <c r="F1757" t="s">
        <v>7</v>
      </c>
    </row>
    <row r="1758" spans="1:6">
      <c r="A1758" t="s">
        <v>40</v>
      </c>
      <c r="B1758" t="s">
        <v>21</v>
      </c>
      <c r="C1758">
        <v>2022</v>
      </c>
      <c r="D1758" t="s">
        <v>8</v>
      </c>
      <c r="E1758">
        <v>3100</v>
      </c>
      <c r="F1758" t="s">
        <v>7</v>
      </c>
    </row>
    <row r="1759" spans="1:6">
      <c r="A1759" t="s">
        <v>40</v>
      </c>
      <c r="B1759" t="s">
        <v>21</v>
      </c>
      <c r="C1759">
        <v>2022</v>
      </c>
      <c r="D1759" t="s">
        <v>9</v>
      </c>
      <c r="E1759">
        <v>3100</v>
      </c>
      <c r="F1759" t="s">
        <v>7</v>
      </c>
    </row>
    <row r="1760" spans="1:6">
      <c r="A1760" t="s">
        <v>40</v>
      </c>
      <c r="B1760" t="s">
        <v>21</v>
      </c>
      <c r="C1760">
        <v>2022</v>
      </c>
      <c r="D1760" t="s">
        <v>10</v>
      </c>
      <c r="E1760">
        <v>80</v>
      </c>
      <c r="F1760" t="s">
        <v>11</v>
      </c>
    </row>
    <row r="1761" spans="1:6">
      <c r="A1761" t="s">
        <v>40</v>
      </c>
      <c r="B1761" t="s">
        <v>21</v>
      </c>
      <c r="C1761">
        <v>2022</v>
      </c>
      <c r="D1761" t="s">
        <v>12</v>
      </c>
      <c r="E1761">
        <v>0.51</v>
      </c>
      <c r="F1761" t="s">
        <v>13</v>
      </c>
    </row>
    <row r="1762" spans="1:6">
      <c r="A1762" t="s">
        <v>40</v>
      </c>
      <c r="B1762" t="s">
        <v>21</v>
      </c>
      <c r="C1762">
        <v>2022</v>
      </c>
      <c r="D1762" t="s">
        <v>164</v>
      </c>
      <c r="E1762">
        <v>1.35</v>
      </c>
      <c r="F1762" t="s">
        <v>166</v>
      </c>
    </row>
    <row r="1763" spans="1:6">
      <c r="A1763" t="s">
        <v>40</v>
      </c>
      <c r="B1763" t="s">
        <v>21</v>
      </c>
      <c r="C1763">
        <v>2030</v>
      </c>
      <c r="D1763" t="s">
        <v>6</v>
      </c>
      <c r="E1763">
        <v>3100</v>
      </c>
      <c r="F1763" t="s">
        <v>7</v>
      </c>
    </row>
    <row r="1764" spans="1:6">
      <c r="A1764" t="s">
        <v>40</v>
      </c>
      <c r="B1764" t="s">
        <v>21</v>
      </c>
      <c r="C1764">
        <v>2030</v>
      </c>
      <c r="D1764" t="s">
        <v>8</v>
      </c>
      <c r="E1764">
        <v>3366.3</v>
      </c>
      <c r="F1764" t="s">
        <v>7</v>
      </c>
    </row>
    <row r="1765" spans="1:6">
      <c r="A1765" t="s">
        <v>40</v>
      </c>
      <c r="B1765" t="s">
        <v>21</v>
      </c>
      <c r="C1765">
        <v>2030</v>
      </c>
      <c r="D1765" t="s">
        <v>9</v>
      </c>
      <c r="E1765">
        <v>2833.7</v>
      </c>
      <c r="F1765" t="s">
        <v>7</v>
      </c>
    </row>
    <row r="1766" spans="1:6">
      <c r="A1766" t="s">
        <v>40</v>
      </c>
      <c r="B1766" t="s">
        <v>21</v>
      </c>
      <c r="C1766">
        <v>2030</v>
      </c>
      <c r="D1766" t="s">
        <v>10</v>
      </c>
      <c r="E1766">
        <v>75</v>
      </c>
      <c r="F1766" t="s">
        <v>11</v>
      </c>
    </row>
    <row r="1767" spans="1:6">
      <c r="A1767" t="s">
        <v>40</v>
      </c>
      <c r="B1767" t="s">
        <v>21</v>
      </c>
      <c r="C1767">
        <v>2030</v>
      </c>
      <c r="D1767" t="s">
        <v>12</v>
      </c>
      <c r="E1767">
        <v>0.52</v>
      </c>
      <c r="F1767" t="s">
        <v>13</v>
      </c>
    </row>
    <row r="1768" spans="1:6">
      <c r="A1768" t="s">
        <v>40</v>
      </c>
      <c r="B1768" t="s">
        <v>21</v>
      </c>
      <c r="C1768">
        <v>2030</v>
      </c>
      <c r="D1768" t="s">
        <v>164</v>
      </c>
      <c r="E1768">
        <v>1.2</v>
      </c>
      <c r="F1768" t="s">
        <v>166</v>
      </c>
    </row>
    <row r="1769" spans="1:6">
      <c r="A1769" t="s">
        <v>40</v>
      </c>
      <c r="B1769" t="s">
        <v>21</v>
      </c>
      <c r="C1769">
        <v>2050</v>
      </c>
      <c r="D1769" t="s">
        <v>6</v>
      </c>
      <c r="E1769">
        <v>2400</v>
      </c>
      <c r="F1769" t="s">
        <v>7</v>
      </c>
    </row>
    <row r="1770" spans="1:6">
      <c r="A1770" t="s">
        <v>40</v>
      </c>
      <c r="B1770" t="s">
        <v>21</v>
      </c>
      <c r="C1770">
        <v>2050</v>
      </c>
      <c r="D1770" t="s">
        <v>8</v>
      </c>
      <c r="E1770">
        <v>2794.3</v>
      </c>
      <c r="F1770" t="s">
        <v>7</v>
      </c>
    </row>
    <row r="1771" spans="1:6">
      <c r="A1771" t="s">
        <v>40</v>
      </c>
      <c r="B1771" t="s">
        <v>21</v>
      </c>
      <c r="C1771">
        <v>2050</v>
      </c>
      <c r="D1771" t="s">
        <v>9</v>
      </c>
      <c r="E1771">
        <v>2005.4</v>
      </c>
      <c r="F1771" t="s">
        <v>7</v>
      </c>
    </row>
    <row r="1772" spans="1:6">
      <c r="A1772" t="s">
        <v>40</v>
      </c>
      <c r="B1772" t="s">
        <v>21</v>
      </c>
      <c r="C1772">
        <v>2050</v>
      </c>
      <c r="D1772" t="s">
        <v>10</v>
      </c>
      <c r="E1772">
        <v>60</v>
      </c>
      <c r="F1772" t="s">
        <v>11</v>
      </c>
    </row>
    <row r="1773" spans="1:6">
      <c r="A1773" t="s">
        <v>40</v>
      </c>
      <c r="B1773" t="s">
        <v>21</v>
      </c>
      <c r="C1773">
        <v>2050</v>
      </c>
      <c r="D1773" t="s">
        <v>12</v>
      </c>
      <c r="E1773">
        <v>0.52</v>
      </c>
      <c r="F1773" t="s">
        <v>13</v>
      </c>
    </row>
    <row r="1774" spans="1:6">
      <c r="A1774" t="s">
        <v>40</v>
      </c>
      <c r="B1774" t="s">
        <v>21</v>
      </c>
      <c r="C1774">
        <v>2050</v>
      </c>
      <c r="D1774" t="s">
        <v>164</v>
      </c>
      <c r="E1774">
        <v>0.98899999999999999</v>
      </c>
      <c r="F1774" t="s">
        <v>166</v>
      </c>
    </row>
    <row r="1775" spans="1:6">
      <c r="A1775" t="s">
        <v>40</v>
      </c>
      <c r="B1775" t="s">
        <v>22</v>
      </c>
      <c r="C1775">
        <v>2022</v>
      </c>
      <c r="D1775" t="s">
        <v>6</v>
      </c>
      <c r="E1775">
        <v>3200</v>
      </c>
      <c r="F1775" t="s">
        <v>7</v>
      </c>
    </row>
    <row r="1776" spans="1:6">
      <c r="A1776" t="s">
        <v>40</v>
      </c>
      <c r="B1776" t="s">
        <v>22</v>
      </c>
      <c r="C1776">
        <v>2022</v>
      </c>
      <c r="D1776" t="s">
        <v>8</v>
      </c>
      <c r="E1776">
        <v>3200</v>
      </c>
      <c r="F1776" t="s">
        <v>7</v>
      </c>
    </row>
    <row r="1777" spans="1:6">
      <c r="A1777" t="s">
        <v>40</v>
      </c>
      <c r="B1777" t="s">
        <v>22</v>
      </c>
      <c r="C1777">
        <v>2022</v>
      </c>
      <c r="D1777" t="s">
        <v>9</v>
      </c>
      <c r="E1777">
        <v>3200</v>
      </c>
      <c r="F1777" t="s">
        <v>7</v>
      </c>
    </row>
    <row r="1778" spans="1:6">
      <c r="A1778" t="s">
        <v>40</v>
      </c>
      <c r="B1778" t="s">
        <v>22</v>
      </c>
      <c r="C1778">
        <v>2022</v>
      </c>
      <c r="D1778" t="s">
        <v>10</v>
      </c>
      <c r="E1778">
        <v>80</v>
      </c>
      <c r="F1778" t="s">
        <v>11</v>
      </c>
    </row>
    <row r="1779" spans="1:6">
      <c r="A1779" t="s">
        <v>40</v>
      </c>
      <c r="B1779" t="s">
        <v>22</v>
      </c>
      <c r="C1779">
        <v>2022</v>
      </c>
      <c r="D1779" t="s">
        <v>12</v>
      </c>
      <c r="E1779">
        <v>0.51</v>
      </c>
      <c r="F1779" t="s">
        <v>13</v>
      </c>
    </row>
    <row r="1780" spans="1:6">
      <c r="A1780" t="s">
        <v>40</v>
      </c>
      <c r="B1780" t="s">
        <v>22</v>
      </c>
      <c r="C1780">
        <v>2022</v>
      </c>
      <c r="D1780" t="s">
        <v>164</v>
      </c>
      <c r="E1780">
        <v>1.35</v>
      </c>
      <c r="F1780" t="s">
        <v>166</v>
      </c>
    </row>
    <row r="1781" spans="1:6">
      <c r="A1781" t="s">
        <v>40</v>
      </c>
      <c r="B1781" t="s">
        <v>22</v>
      </c>
      <c r="C1781">
        <v>2030</v>
      </c>
      <c r="D1781" t="s">
        <v>6</v>
      </c>
      <c r="E1781">
        <v>3200</v>
      </c>
      <c r="F1781" t="s">
        <v>7</v>
      </c>
    </row>
    <row r="1782" spans="1:6">
      <c r="A1782" t="s">
        <v>40</v>
      </c>
      <c r="B1782" t="s">
        <v>22</v>
      </c>
      <c r="C1782">
        <v>2030</v>
      </c>
      <c r="D1782" t="s">
        <v>8</v>
      </c>
      <c r="E1782">
        <v>3474.9</v>
      </c>
      <c r="F1782" t="s">
        <v>7</v>
      </c>
    </row>
    <row r="1783" spans="1:6">
      <c r="A1783" t="s">
        <v>40</v>
      </c>
      <c r="B1783" t="s">
        <v>22</v>
      </c>
      <c r="C1783">
        <v>2030</v>
      </c>
      <c r="D1783" t="s">
        <v>9</v>
      </c>
      <c r="E1783">
        <v>2925.1</v>
      </c>
      <c r="F1783" t="s">
        <v>7</v>
      </c>
    </row>
    <row r="1784" spans="1:6">
      <c r="A1784" t="s">
        <v>40</v>
      </c>
      <c r="B1784" t="s">
        <v>22</v>
      </c>
      <c r="C1784">
        <v>2030</v>
      </c>
      <c r="D1784" t="s">
        <v>10</v>
      </c>
      <c r="E1784">
        <v>80</v>
      </c>
      <c r="F1784" t="s">
        <v>11</v>
      </c>
    </row>
    <row r="1785" spans="1:6">
      <c r="A1785" t="s">
        <v>40</v>
      </c>
      <c r="B1785" t="s">
        <v>22</v>
      </c>
      <c r="C1785">
        <v>2030</v>
      </c>
      <c r="D1785" t="s">
        <v>12</v>
      </c>
      <c r="E1785">
        <v>0.52</v>
      </c>
      <c r="F1785" t="s">
        <v>13</v>
      </c>
    </row>
    <row r="1786" spans="1:6">
      <c r="A1786" t="s">
        <v>40</v>
      </c>
      <c r="B1786" t="s">
        <v>22</v>
      </c>
      <c r="C1786">
        <v>2030</v>
      </c>
      <c r="D1786" t="s">
        <v>164</v>
      </c>
      <c r="E1786">
        <v>1.2</v>
      </c>
      <c r="F1786" t="s">
        <v>166</v>
      </c>
    </row>
    <row r="1787" spans="1:6">
      <c r="A1787" t="s">
        <v>40</v>
      </c>
      <c r="B1787" t="s">
        <v>22</v>
      </c>
      <c r="C1787">
        <v>2050</v>
      </c>
      <c r="D1787" t="s">
        <v>6</v>
      </c>
      <c r="E1787">
        <v>2600</v>
      </c>
      <c r="F1787" t="s">
        <v>7</v>
      </c>
    </row>
    <row r="1788" spans="1:6">
      <c r="A1788" t="s">
        <v>40</v>
      </c>
      <c r="B1788" t="s">
        <v>22</v>
      </c>
      <c r="C1788">
        <v>2050</v>
      </c>
      <c r="D1788" t="s">
        <v>8</v>
      </c>
      <c r="E1788">
        <v>3027.2</v>
      </c>
      <c r="F1788" t="s">
        <v>7</v>
      </c>
    </row>
    <row r="1789" spans="1:6">
      <c r="A1789" t="s">
        <v>40</v>
      </c>
      <c r="B1789" t="s">
        <v>22</v>
      </c>
      <c r="C1789">
        <v>2050</v>
      </c>
      <c r="D1789" t="s">
        <v>9</v>
      </c>
      <c r="E1789">
        <v>2172.6</v>
      </c>
      <c r="F1789" t="s">
        <v>7</v>
      </c>
    </row>
    <row r="1790" spans="1:6">
      <c r="A1790" t="s">
        <v>40</v>
      </c>
      <c r="B1790" t="s">
        <v>22</v>
      </c>
      <c r="C1790">
        <v>2050</v>
      </c>
      <c r="D1790" t="s">
        <v>10</v>
      </c>
      <c r="E1790">
        <v>65</v>
      </c>
      <c r="F1790" t="s">
        <v>11</v>
      </c>
    </row>
    <row r="1791" spans="1:6">
      <c r="A1791" t="s">
        <v>40</v>
      </c>
      <c r="B1791" t="s">
        <v>22</v>
      </c>
      <c r="C1791">
        <v>2050</v>
      </c>
      <c r="D1791" t="s">
        <v>12</v>
      </c>
      <c r="E1791">
        <v>0.52</v>
      </c>
      <c r="F1791" t="s">
        <v>13</v>
      </c>
    </row>
    <row r="1792" spans="1:6">
      <c r="A1792" t="s">
        <v>40</v>
      </c>
      <c r="B1792" t="s">
        <v>22</v>
      </c>
      <c r="C1792">
        <v>2050</v>
      </c>
      <c r="D1792" t="s">
        <v>164</v>
      </c>
      <c r="E1792">
        <v>0.98899999999999999</v>
      </c>
      <c r="F1792" t="s">
        <v>166</v>
      </c>
    </row>
    <row r="1793" spans="1:6">
      <c r="A1793" t="s">
        <v>40</v>
      </c>
      <c r="B1793" t="s">
        <v>23</v>
      </c>
      <c r="C1793">
        <v>2022</v>
      </c>
      <c r="D1793" t="s">
        <v>6</v>
      </c>
      <c r="E1793">
        <v>2650</v>
      </c>
      <c r="F1793" t="s">
        <v>7</v>
      </c>
    </row>
    <row r="1794" spans="1:6">
      <c r="A1794" t="s">
        <v>40</v>
      </c>
      <c r="B1794" t="s">
        <v>23</v>
      </c>
      <c r="C1794">
        <v>2022</v>
      </c>
      <c r="D1794" t="s">
        <v>8</v>
      </c>
      <c r="E1794">
        <v>2650</v>
      </c>
      <c r="F1794" t="s">
        <v>7</v>
      </c>
    </row>
    <row r="1795" spans="1:6">
      <c r="A1795" t="s">
        <v>40</v>
      </c>
      <c r="B1795" t="s">
        <v>23</v>
      </c>
      <c r="C1795">
        <v>2022</v>
      </c>
      <c r="D1795" t="s">
        <v>9</v>
      </c>
      <c r="E1795">
        <v>2650</v>
      </c>
      <c r="F1795" t="s">
        <v>7</v>
      </c>
    </row>
    <row r="1796" spans="1:6">
      <c r="A1796" t="s">
        <v>40</v>
      </c>
      <c r="B1796" t="s">
        <v>23</v>
      </c>
      <c r="C1796">
        <v>2022</v>
      </c>
      <c r="D1796" t="s">
        <v>10</v>
      </c>
      <c r="E1796">
        <v>95</v>
      </c>
      <c r="F1796" t="s">
        <v>11</v>
      </c>
    </row>
    <row r="1797" spans="1:6">
      <c r="A1797" t="s">
        <v>40</v>
      </c>
      <c r="B1797" t="s">
        <v>23</v>
      </c>
      <c r="C1797">
        <v>2022</v>
      </c>
      <c r="D1797" t="s">
        <v>12</v>
      </c>
      <c r="E1797">
        <v>0.49</v>
      </c>
      <c r="F1797" t="s">
        <v>13</v>
      </c>
    </row>
    <row r="1798" spans="1:6">
      <c r="A1798" t="s">
        <v>40</v>
      </c>
      <c r="B1798" t="s">
        <v>23</v>
      </c>
      <c r="C1798">
        <v>2022</v>
      </c>
      <c r="D1798" t="s">
        <v>164</v>
      </c>
      <c r="E1798">
        <v>1.35</v>
      </c>
      <c r="F1798" t="s">
        <v>166</v>
      </c>
    </row>
    <row r="1799" spans="1:6">
      <c r="A1799" t="s">
        <v>40</v>
      </c>
      <c r="B1799" t="s">
        <v>23</v>
      </c>
      <c r="C1799">
        <v>2030</v>
      </c>
      <c r="D1799" t="s">
        <v>6</v>
      </c>
      <c r="E1799">
        <v>2650</v>
      </c>
      <c r="F1799" t="s">
        <v>7</v>
      </c>
    </row>
    <row r="1800" spans="1:6">
      <c r="A1800" t="s">
        <v>40</v>
      </c>
      <c r="B1800" t="s">
        <v>23</v>
      </c>
      <c r="C1800">
        <v>2030</v>
      </c>
      <c r="D1800" t="s">
        <v>8</v>
      </c>
      <c r="E1800">
        <v>2877.6</v>
      </c>
      <c r="F1800" t="s">
        <v>7</v>
      </c>
    </row>
    <row r="1801" spans="1:6">
      <c r="A1801" t="s">
        <v>40</v>
      </c>
      <c r="B1801" t="s">
        <v>23</v>
      </c>
      <c r="C1801">
        <v>2030</v>
      </c>
      <c r="D1801" t="s">
        <v>9</v>
      </c>
      <c r="E1801">
        <v>2422.4</v>
      </c>
      <c r="F1801" t="s">
        <v>7</v>
      </c>
    </row>
    <row r="1802" spans="1:6">
      <c r="A1802" t="s">
        <v>40</v>
      </c>
      <c r="B1802" t="s">
        <v>23</v>
      </c>
      <c r="C1802">
        <v>2030</v>
      </c>
      <c r="D1802" t="s">
        <v>10</v>
      </c>
      <c r="E1802">
        <v>95</v>
      </c>
      <c r="F1802" t="s">
        <v>11</v>
      </c>
    </row>
    <row r="1803" spans="1:6">
      <c r="A1803" t="s">
        <v>40</v>
      </c>
      <c r="B1803" t="s">
        <v>23</v>
      </c>
      <c r="C1803">
        <v>2030</v>
      </c>
      <c r="D1803" t="s">
        <v>12</v>
      </c>
      <c r="E1803">
        <v>0.5</v>
      </c>
      <c r="F1803" t="s">
        <v>13</v>
      </c>
    </row>
    <row r="1804" spans="1:6">
      <c r="A1804" t="s">
        <v>40</v>
      </c>
      <c r="B1804" t="s">
        <v>23</v>
      </c>
      <c r="C1804">
        <v>2030</v>
      </c>
      <c r="D1804" t="s">
        <v>164</v>
      </c>
      <c r="E1804">
        <v>1.2</v>
      </c>
      <c r="F1804" t="s">
        <v>166</v>
      </c>
    </row>
    <row r="1805" spans="1:6">
      <c r="A1805" t="s">
        <v>40</v>
      </c>
      <c r="B1805" t="s">
        <v>23</v>
      </c>
      <c r="C1805">
        <v>2050</v>
      </c>
      <c r="D1805" t="s">
        <v>6</v>
      </c>
      <c r="E1805">
        <v>2100</v>
      </c>
      <c r="F1805" t="s">
        <v>7</v>
      </c>
    </row>
    <row r="1806" spans="1:6">
      <c r="A1806" t="s">
        <v>40</v>
      </c>
      <c r="B1806" t="s">
        <v>23</v>
      </c>
      <c r="C1806">
        <v>2050</v>
      </c>
      <c r="D1806" t="s">
        <v>8</v>
      </c>
      <c r="E1806">
        <v>2445</v>
      </c>
      <c r="F1806" t="s">
        <v>7</v>
      </c>
    </row>
    <row r="1807" spans="1:6">
      <c r="A1807" t="s">
        <v>40</v>
      </c>
      <c r="B1807" t="s">
        <v>23</v>
      </c>
      <c r="C1807">
        <v>2050</v>
      </c>
      <c r="D1807" t="s">
        <v>9</v>
      </c>
      <c r="E1807">
        <v>1754.8</v>
      </c>
      <c r="F1807" t="s">
        <v>7</v>
      </c>
    </row>
    <row r="1808" spans="1:6">
      <c r="A1808" t="s">
        <v>40</v>
      </c>
      <c r="B1808" t="s">
        <v>23</v>
      </c>
      <c r="C1808">
        <v>2050</v>
      </c>
      <c r="D1808" t="s">
        <v>10</v>
      </c>
      <c r="E1808">
        <v>75</v>
      </c>
      <c r="F1808" t="s">
        <v>11</v>
      </c>
    </row>
    <row r="1809" spans="1:6">
      <c r="A1809" t="s">
        <v>40</v>
      </c>
      <c r="B1809" t="s">
        <v>23</v>
      </c>
      <c r="C1809">
        <v>2050</v>
      </c>
      <c r="D1809" t="s">
        <v>12</v>
      </c>
      <c r="E1809">
        <v>0.5</v>
      </c>
      <c r="F1809" t="s">
        <v>13</v>
      </c>
    </row>
    <row r="1810" spans="1:6">
      <c r="A1810" t="s">
        <v>40</v>
      </c>
      <c r="B1810" t="s">
        <v>23</v>
      </c>
      <c r="C1810">
        <v>2050</v>
      </c>
      <c r="D1810" t="s">
        <v>164</v>
      </c>
      <c r="E1810">
        <v>0.98899999999999999</v>
      </c>
      <c r="F1810" t="s">
        <v>166</v>
      </c>
    </row>
    <row r="1811" spans="1:6">
      <c r="A1811" t="s">
        <v>40</v>
      </c>
      <c r="B1811" t="s">
        <v>24</v>
      </c>
      <c r="C1811">
        <v>2022</v>
      </c>
      <c r="D1811" t="s">
        <v>6</v>
      </c>
      <c r="E1811">
        <v>2200</v>
      </c>
      <c r="F1811" t="s">
        <v>7</v>
      </c>
    </row>
    <row r="1812" spans="1:6">
      <c r="A1812" t="s">
        <v>40</v>
      </c>
      <c r="B1812" t="s">
        <v>24</v>
      </c>
      <c r="C1812">
        <v>2022</v>
      </c>
      <c r="D1812" t="s">
        <v>8</v>
      </c>
      <c r="E1812">
        <v>2200</v>
      </c>
      <c r="F1812" t="s">
        <v>7</v>
      </c>
    </row>
    <row r="1813" spans="1:6">
      <c r="A1813" t="s">
        <v>40</v>
      </c>
      <c r="B1813" t="s">
        <v>24</v>
      </c>
      <c r="C1813">
        <v>2022</v>
      </c>
      <c r="D1813" t="s">
        <v>9</v>
      </c>
      <c r="E1813">
        <v>2200</v>
      </c>
      <c r="F1813" t="s">
        <v>7</v>
      </c>
    </row>
    <row r="1814" spans="1:6">
      <c r="A1814" t="s">
        <v>40</v>
      </c>
      <c r="B1814" t="s">
        <v>24</v>
      </c>
      <c r="C1814">
        <v>2022</v>
      </c>
      <c r="D1814" t="s">
        <v>10</v>
      </c>
      <c r="E1814">
        <v>70</v>
      </c>
      <c r="F1814" t="s">
        <v>11</v>
      </c>
    </row>
    <row r="1815" spans="1:6">
      <c r="A1815" t="s">
        <v>40</v>
      </c>
      <c r="B1815" t="s">
        <v>24</v>
      </c>
      <c r="C1815">
        <v>2022</v>
      </c>
      <c r="D1815" t="s">
        <v>12</v>
      </c>
      <c r="E1815">
        <v>0.49</v>
      </c>
      <c r="F1815" t="s">
        <v>13</v>
      </c>
    </row>
    <row r="1816" spans="1:6">
      <c r="A1816" t="s">
        <v>40</v>
      </c>
      <c r="B1816" t="s">
        <v>24</v>
      </c>
      <c r="C1816">
        <v>2022</v>
      </c>
      <c r="D1816" t="s">
        <v>164</v>
      </c>
      <c r="E1816">
        <v>1.35</v>
      </c>
      <c r="F1816" t="s">
        <v>166</v>
      </c>
    </row>
    <row r="1817" spans="1:6">
      <c r="A1817" t="s">
        <v>40</v>
      </c>
      <c r="B1817" t="s">
        <v>24</v>
      </c>
      <c r="C1817">
        <v>2030</v>
      </c>
      <c r="D1817" t="s">
        <v>6</v>
      </c>
      <c r="E1817">
        <v>2200</v>
      </c>
      <c r="F1817" t="s">
        <v>7</v>
      </c>
    </row>
    <row r="1818" spans="1:6">
      <c r="A1818" t="s">
        <v>40</v>
      </c>
      <c r="B1818" t="s">
        <v>24</v>
      </c>
      <c r="C1818">
        <v>2030</v>
      </c>
      <c r="D1818" t="s">
        <v>8</v>
      </c>
      <c r="E1818">
        <v>2389</v>
      </c>
      <c r="F1818" t="s">
        <v>7</v>
      </c>
    </row>
    <row r="1819" spans="1:6">
      <c r="A1819" t="s">
        <v>40</v>
      </c>
      <c r="B1819" t="s">
        <v>24</v>
      </c>
      <c r="C1819">
        <v>2030</v>
      </c>
      <c r="D1819" t="s">
        <v>9</v>
      </c>
      <c r="E1819">
        <v>2011</v>
      </c>
      <c r="F1819" t="s">
        <v>7</v>
      </c>
    </row>
    <row r="1820" spans="1:6">
      <c r="A1820" t="s">
        <v>40</v>
      </c>
      <c r="B1820" t="s">
        <v>24</v>
      </c>
      <c r="C1820">
        <v>2030</v>
      </c>
      <c r="D1820" t="s">
        <v>10</v>
      </c>
      <c r="E1820">
        <v>70</v>
      </c>
      <c r="F1820" t="s">
        <v>11</v>
      </c>
    </row>
    <row r="1821" spans="1:6">
      <c r="A1821" t="s">
        <v>40</v>
      </c>
      <c r="B1821" t="s">
        <v>24</v>
      </c>
      <c r="C1821">
        <v>2030</v>
      </c>
      <c r="D1821" t="s">
        <v>12</v>
      </c>
      <c r="E1821">
        <v>0.5</v>
      </c>
      <c r="F1821" t="s">
        <v>13</v>
      </c>
    </row>
    <row r="1822" spans="1:6">
      <c r="A1822" t="s">
        <v>40</v>
      </c>
      <c r="B1822" t="s">
        <v>24</v>
      </c>
      <c r="C1822">
        <v>2030</v>
      </c>
      <c r="D1822" t="s">
        <v>164</v>
      </c>
      <c r="E1822">
        <v>1.2</v>
      </c>
      <c r="F1822" t="s">
        <v>166</v>
      </c>
    </row>
    <row r="1823" spans="1:6">
      <c r="A1823" t="s">
        <v>40</v>
      </c>
      <c r="B1823" t="s">
        <v>24</v>
      </c>
      <c r="C1823">
        <v>2050</v>
      </c>
      <c r="D1823" t="s">
        <v>6</v>
      </c>
      <c r="E1823">
        <v>1650</v>
      </c>
      <c r="F1823" t="s">
        <v>7</v>
      </c>
    </row>
    <row r="1824" spans="1:6">
      <c r="A1824" t="s">
        <v>40</v>
      </c>
      <c r="B1824" t="s">
        <v>24</v>
      </c>
      <c r="C1824">
        <v>2050</v>
      </c>
      <c r="D1824" t="s">
        <v>8</v>
      </c>
      <c r="E1824">
        <v>1921.1</v>
      </c>
      <c r="F1824" t="s">
        <v>7</v>
      </c>
    </row>
    <row r="1825" spans="1:6">
      <c r="A1825" t="s">
        <v>40</v>
      </c>
      <c r="B1825" t="s">
        <v>24</v>
      </c>
      <c r="C1825">
        <v>2050</v>
      </c>
      <c r="D1825" t="s">
        <v>9</v>
      </c>
      <c r="E1825">
        <v>1378.7</v>
      </c>
      <c r="F1825" t="s">
        <v>7</v>
      </c>
    </row>
    <row r="1826" spans="1:6">
      <c r="A1826" t="s">
        <v>40</v>
      </c>
      <c r="B1826" t="s">
        <v>24</v>
      </c>
      <c r="C1826">
        <v>2050</v>
      </c>
      <c r="D1826" t="s">
        <v>10</v>
      </c>
      <c r="E1826">
        <v>55</v>
      </c>
      <c r="F1826" t="s">
        <v>11</v>
      </c>
    </row>
    <row r="1827" spans="1:6">
      <c r="A1827" t="s">
        <v>40</v>
      </c>
      <c r="B1827" t="s">
        <v>24</v>
      </c>
      <c r="C1827">
        <v>2050</v>
      </c>
      <c r="D1827" t="s">
        <v>12</v>
      </c>
      <c r="E1827">
        <v>0.5</v>
      </c>
      <c r="F1827" t="s">
        <v>13</v>
      </c>
    </row>
    <row r="1828" spans="1:6">
      <c r="A1828" t="s">
        <v>40</v>
      </c>
      <c r="B1828" t="s">
        <v>24</v>
      </c>
      <c r="C1828">
        <v>2050</v>
      </c>
      <c r="D1828" t="s">
        <v>164</v>
      </c>
      <c r="E1828">
        <v>0.98899999999999999</v>
      </c>
      <c r="F1828" t="s">
        <v>166</v>
      </c>
    </row>
    <row r="1829" spans="1:6">
      <c r="A1829" t="s">
        <v>40</v>
      </c>
      <c r="B1829" t="s">
        <v>25</v>
      </c>
      <c r="C1829">
        <v>2022</v>
      </c>
      <c r="D1829" t="s">
        <v>6</v>
      </c>
      <c r="E1829">
        <v>2300</v>
      </c>
      <c r="F1829" t="s">
        <v>7</v>
      </c>
    </row>
    <row r="1830" spans="1:6">
      <c r="A1830" t="s">
        <v>40</v>
      </c>
      <c r="B1830" t="s">
        <v>25</v>
      </c>
      <c r="C1830">
        <v>2022</v>
      </c>
      <c r="D1830" t="s">
        <v>8</v>
      </c>
      <c r="E1830">
        <v>2300</v>
      </c>
      <c r="F1830" t="s">
        <v>7</v>
      </c>
    </row>
    <row r="1831" spans="1:6">
      <c r="A1831" t="s">
        <v>40</v>
      </c>
      <c r="B1831" t="s">
        <v>25</v>
      </c>
      <c r="C1831">
        <v>2022</v>
      </c>
      <c r="D1831" t="s">
        <v>9</v>
      </c>
      <c r="E1831">
        <v>2300</v>
      </c>
      <c r="F1831" t="s">
        <v>7</v>
      </c>
    </row>
    <row r="1832" spans="1:6">
      <c r="A1832" t="s">
        <v>40</v>
      </c>
      <c r="B1832" t="s">
        <v>25</v>
      </c>
      <c r="C1832">
        <v>2022</v>
      </c>
      <c r="D1832" t="s">
        <v>10</v>
      </c>
      <c r="E1832">
        <v>80</v>
      </c>
      <c r="F1832" t="s">
        <v>11</v>
      </c>
    </row>
    <row r="1833" spans="1:6">
      <c r="A1833" t="s">
        <v>40</v>
      </c>
      <c r="B1833" t="s">
        <v>25</v>
      </c>
      <c r="C1833">
        <v>2022</v>
      </c>
      <c r="D1833" t="s">
        <v>12</v>
      </c>
      <c r="E1833">
        <v>0.48</v>
      </c>
      <c r="F1833" t="s">
        <v>13</v>
      </c>
    </row>
    <row r="1834" spans="1:6">
      <c r="A1834" t="s">
        <v>40</v>
      </c>
      <c r="B1834" t="s">
        <v>25</v>
      </c>
      <c r="C1834">
        <v>2022</v>
      </c>
      <c r="D1834" t="s">
        <v>164</v>
      </c>
      <c r="E1834">
        <v>1.35</v>
      </c>
      <c r="F1834" t="s">
        <v>166</v>
      </c>
    </row>
    <row r="1835" spans="1:6">
      <c r="A1835" t="s">
        <v>40</v>
      </c>
      <c r="B1835" t="s">
        <v>25</v>
      </c>
      <c r="C1835">
        <v>2030</v>
      </c>
      <c r="D1835" t="s">
        <v>6</v>
      </c>
      <c r="E1835">
        <v>2300</v>
      </c>
      <c r="F1835" t="s">
        <v>7</v>
      </c>
    </row>
    <row r="1836" spans="1:6">
      <c r="A1836" t="s">
        <v>40</v>
      </c>
      <c r="B1836" t="s">
        <v>25</v>
      </c>
      <c r="C1836">
        <v>2030</v>
      </c>
      <c r="D1836" t="s">
        <v>8</v>
      </c>
      <c r="E1836">
        <v>2497.6</v>
      </c>
      <c r="F1836" t="s">
        <v>7</v>
      </c>
    </row>
    <row r="1837" spans="1:6">
      <c r="A1837" t="s">
        <v>40</v>
      </c>
      <c r="B1837" t="s">
        <v>25</v>
      </c>
      <c r="C1837">
        <v>2030</v>
      </c>
      <c r="D1837" t="s">
        <v>9</v>
      </c>
      <c r="E1837">
        <v>2102.4</v>
      </c>
      <c r="F1837" t="s">
        <v>7</v>
      </c>
    </row>
    <row r="1838" spans="1:6">
      <c r="A1838" t="s">
        <v>40</v>
      </c>
      <c r="B1838" t="s">
        <v>25</v>
      </c>
      <c r="C1838">
        <v>2030</v>
      </c>
      <c r="D1838" t="s">
        <v>10</v>
      </c>
      <c r="E1838">
        <v>80</v>
      </c>
      <c r="F1838" t="s">
        <v>11</v>
      </c>
    </row>
    <row r="1839" spans="1:6">
      <c r="A1839" t="s">
        <v>40</v>
      </c>
      <c r="B1839" t="s">
        <v>25</v>
      </c>
      <c r="C1839">
        <v>2030</v>
      </c>
      <c r="D1839" t="s">
        <v>12</v>
      </c>
      <c r="E1839">
        <v>0.49</v>
      </c>
      <c r="F1839" t="s">
        <v>13</v>
      </c>
    </row>
    <row r="1840" spans="1:6">
      <c r="A1840" t="s">
        <v>40</v>
      </c>
      <c r="B1840" t="s">
        <v>25</v>
      </c>
      <c r="C1840">
        <v>2030</v>
      </c>
      <c r="D1840" t="s">
        <v>164</v>
      </c>
      <c r="E1840">
        <v>1.2</v>
      </c>
      <c r="F1840" t="s">
        <v>166</v>
      </c>
    </row>
    <row r="1841" spans="1:6">
      <c r="A1841" t="s">
        <v>40</v>
      </c>
      <c r="B1841" t="s">
        <v>25</v>
      </c>
      <c r="C1841">
        <v>2050</v>
      </c>
      <c r="D1841" t="s">
        <v>6</v>
      </c>
      <c r="E1841">
        <v>1850</v>
      </c>
      <c r="F1841" t="s">
        <v>7</v>
      </c>
    </row>
    <row r="1842" spans="1:6">
      <c r="A1842" t="s">
        <v>40</v>
      </c>
      <c r="B1842" t="s">
        <v>25</v>
      </c>
      <c r="C1842">
        <v>2050</v>
      </c>
      <c r="D1842" t="s">
        <v>8</v>
      </c>
      <c r="E1842">
        <v>2154</v>
      </c>
      <c r="F1842" t="s">
        <v>7</v>
      </c>
    </row>
    <row r="1843" spans="1:6">
      <c r="A1843" t="s">
        <v>40</v>
      </c>
      <c r="B1843" t="s">
        <v>25</v>
      </c>
      <c r="C1843">
        <v>2050</v>
      </c>
      <c r="D1843" t="s">
        <v>9</v>
      </c>
      <c r="E1843">
        <v>1545.9</v>
      </c>
      <c r="F1843" t="s">
        <v>7</v>
      </c>
    </row>
    <row r="1844" spans="1:6">
      <c r="A1844" t="s">
        <v>40</v>
      </c>
      <c r="B1844" t="s">
        <v>25</v>
      </c>
      <c r="C1844">
        <v>2050</v>
      </c>
      <c r="D1844" t="s">
        <v>10</v>
      </c>
      <c r="E1844">
        <v>65</v>
      </c>
      <c r="F1844" t="s">
        <v>11</v>
      </c>
    </row>
    <row r="1845" spans="1:6">
      <c r="A1845" t="s">
        <v>40</v>
      </c>
      <c r="B1845" t="s">
        <v>25</v>
      </c>
      <c r="C1845">
        <v>2050</v>
      </c>
      <c r="D1845" t="s">
        <v>12</v>
      </c>
      <c r="E1845">
        <v>0.49</v>
      </c>
      <c r="F1845" t="s">
        <v>13</v>
      </c>
    </row>
    <row r="1846" spans="1:6">
      <c r="A1846" t="s">
        <v>40</v>
      </c>
      <c r="B1846" t="s">
        <v>25</v>
      </c>
      <c r="C1846">
        <v>2050</v>
      </c>
      <c r="D1846" t="s">
        <v>164</v>
      </c>
      <c r="E1846">
        <v>0.98899999999999999</v>
      </c>
      <c r="F1846" t="s">
        <v>166</v>
      </c>
    </row>
    <row r="1847" spans="1:6">
      <c r="A1847" t="s">
        <v>40</v>
      </c>
      <c r="B1847" t="s">
        <v>26</v>
      </c>
      <c r="C1847">
        <v>2022</v>
      </c>
      <c r="D1847" t="s">
        <v>6</v>
      </c>
      <c r="E1847">
        <v>2800</v>
      </c>
      <c r="F1847" t="s">
        <v>7</v>
      </c>
    </row>
    <row r="1848" spans="1:6">
      <c r="A1848" t="s">
        <v>40</v>
      </c>
      <c r="B1848" t="s">
        <v>26</v>
      </c>
      <c r="C1848">
        <v>2022</v>
      </c>
      <c r="D1848" t="s">
        <v>8</v>
      </c>
      <c r="E1848">
        <v>2800</v>
      </c>
      <c r="F1848" t="s">
        <v>7</v>
      </c>
    </row>
    <row r="1849" spans="1:6">
      <c r="A1849" t="s">
        <v>40</v>
      </c>
      <c r="B1849" t="s">
        <v>26</v>
      </c>
      <c r="C1849">
        <v>2022</v>
      </c>
      <c r="D1849" t="s">
        <v>9</v>
      </c>
      <c r="E1849">
        <v>2800</v>
      </c>
      <c r="F1849" t="s">
        <v>7</v>
      </c>
    </row>
    <row r="1850" spans="1:6">
      <c r="A1850" t="s">
        <v>40</v>
      </c>
      <c r="B1850" t="s">
        <v>26</v>
      </c>
      <c r="C1850">
        <v>2022</v>
      </c>
      <c r="D1850" t="s">
        <v>10</v>
      </c>
      <c r="E1850">
        <v>100</v>
      </c>
      <c r="F1850" t="s">
        <v>11</v>
      </c>
    </row>
    <row r="1851" spans="1:6">
      <c r="A1851" t="s">
        <v>40</v>
      </c>
      <c r="B1851" t="s">
        <v>26</v>
      </c>
      <c r="C1851">
        <v>2022</v>
      </c>
      <c r="D1851" t="s">
        <v>12</v>
      </c>
      <c r="E1851">
        <v>0.49</v>
      </c>
      <c r="F1851" t="s">
        <v>13</v>
      </c>
    </row>
    <row r="1852" spans="1:6">
      <c r="A1852" t="s">
        <v>40</v>
      </c>
      <c r="B1852" t="s">
        <v>26</v>
      </c>
      <c r="C1852">
        <v>2022</v>
      </c>
      <c r="D1852" t="s">
        <v>164</v>
      </c>
      <c r="E1852">
        <v>1.35</v>
      </c>
      <c r="F1852" t="s">
        <v>166</v>
      </c>
    </row>
    <row r="1853" spans="1:6">
      <c r="A1853" t="s">
        <v>40</v>
      </c>
      <c r="B1853" t="s">
        <v>26</v>
      </c>
      <c r="C1853">
        <v>2030</v>
      </c>
      <c r="D1853" t="s">
        <v>6</v>
      </c>
      <c r="E1853">
        <v>2800</v>
      </c>
      <c r="F1853" t="s">
        <v>7</v>
      </c>
    </row>
    <row r="1854" spans="1:6">
      <c r="A1854" t="s">
        <v>40</v>
      </c>
      <c r="B1854" t="s">
        <v>26</v>
      </c>
      <c r="C1854">
        <v>2030</v>
      </c>
      <c r="D1854" t="s">
        <v>8</v>
      </c>
      <c r="E1854">
        <v>3040.5</v>
      </c>
      <c r="F1854" t="s">
        <v>7</v>
      </c>
    </row>
    <row r="1855" spans="1:6">
      <c r="A1855" t="s">
        <v>40</v>
      </c>
      <c r="B1855" t="s">
        <v>26</v>
      </c>
      <c r="C1855">
        <v>2030</v>
      </c>
      <c r="D1855" t="s">
        <v>9</v>
      </c>
      <c r="E1855">
        <v>2559.5</v>
      </c>
      <c r="F1855" t="s">
        <v>7</v>
      </c>
    </row>
    <row r="1856" spans="1:6">
      <c r="A1856" t="s">
        <v>40</v>
      </c>
      <c r="B1856" t="s">
        <v>26</v>
      </c>
      <c r="C1856">
        <v>2030</v>
      </c>
      <c r="D1856" t="s">
        <v>10</v>
      </c>
      <c r="E1856">
        <v>100</v>
      </c>
      <c r="F1856" t="s">
        <v>11</v>
      </c>
    </row>
    <row r="1857" spans="1:6">
      <c r="A1857" t="s">
        <v>40</v>
      </c>
      <c r="B1857" t="s">
        <v>26</v>
      </c>
      <c r="C1857">
        <v>2030</v>
      </c>
      <c r="D1857" t="s">
        <v>12</v>
      </c>
      <c r="E1857">
        <v>0.5</v>
      </c>
      <c r="F1857" t="s">
        <v>13</v>
      </c>
    </row>
    <row r="1858" spans="1:6">
      <c r="A1858" t="s">
        <v>40</v>
      </c>
      <c r="B1858" t="s">
        <v>26</v>
      </c>
      <c r="C1858">
        <v>2030</v>
      </c>
      <c r="D1858" t="s">
        <v>164</v>
      </c>
      <c r="E1858">
        <v>1.2</v>
      </c>
      <c r="F1858" t="s">
        <v>166</v>
      </c>
    </row>
    <row r="1859" spans="1:6">
      <c r="A1859" t="s">
        <v>40</v>
      </c>
      <c r="B1859" t="s">
        <v>26</v>
      </c>
      <c r="C1859">
        <v>2050</v>
      </c>
      <c r="D1859" t="s">
        <v>6</v>
      </c>
      <c r="E1859">
        <v>2250</v>
      </c>
      <c r="F1859" t="s">
        <v>7</v>
      </c>
    </row>
    <row r="1860" spans="1:6">
      <c r="A1860" t="s">
        <v>40</v>
      </c>
      <c r="B1860" t="s">
        <v>26</v>
      </c>
      <c r="C1860">
        <v>2050</v>
      </c>
      <c r="D1860" t="s">
        <v>8</v>
      </c>
      <c r="E1860">
        <v>2619.6999999999998</v>
      </c>
      <c r="F1860" t="s">
        <v>7</v>
      </c>
    </row>
    <row r="1861" spans="1:6">
      <c r="A1861" t="s">
        <v>40</v>
      </c>
      <c r="B1861" t="s">
        <v>26</v>
      </c>
      <c r="C1861">
        <v>2050</v>
      </c>
      <c r="D1861" t="s">
        <v>9</v>
      </c>
      <c r="E1861">
        <v>1880.1</v>
      </c>
      <c r="F1861" t="s">
        <v>7</v>
      </c>
    </row>
    <row r="1862" spans="1:6">
      <c r="A1862" t="s">
        <v>40</v>
      </c>
      <c r="B1862" t="s">
        <v>26</v>
      </c>
      <c r="C1862">
        <v>2050</v>
      </c>
      <c r="D1862" t="s">
        <v>10</v>
      </c>
      <c r="E1862">
        <v>80</v>
      </c>
      <c r="F1862" t="s">
        <v>11</v>
      </c>
    </row>
    <row r="1863" spans="1:6">
      <c r="A1863" t="s">
        <v>40</v>
      </c>
      <c r="B1863" t="s">
        <v>26</v>
      </c>
      <c r="C1863">
        <v>2050</v>
      </c>
      <c r="D1863" t="s">
        <v>12</v>
      </c>
      <c r="E1863">
        <v>0.5</v>
      </c>
      <c r="F1863" t="s">
        <v>13</v>
      </c>
    </row>
    <row r="1864" spans="1:6">
      <c r="A1864" t="s">
        <v>40</v>
      </c>
      <c r="B1864" t="s">
        <v>26</v>
      </c>
      <c r="C1864">
        <v>2050</v>
      </c>
      <c r="D1864" t="s">
        <v>164</v>
      </c>
      <c r="E1864">
        <v>0.98899999999999999</v>
      </c>
      <c r="F1864" t="s">
        <v>166</v>
      </c>
    </row>
    <row r="1865" spans="1:6">
      <c r="A1865" t="s">
        <v>40</v>
      </c>
      <c r="B1865" t="s">
        <v>27</v>
      </c>
      <c r="C1865">
        <v>2022</v>
      </c>
      <c r="D1865" t="s">
        <v>6</v>
      </c>
      <c r="E1865">
        <v>2450</v>
      </c>
      <c r="F1865" t="s">
        <v>7</v>
      </c>
    </row>
    <row r="1866" spans="1:6">
      <c r="A1866" t="s">
        <v>40</v>
      </c>
      <c r="B1866" t="s">
        <v>27</v>
      </c>
      <c r="C1866">
        <v>2022</v>
      </c>
      <c r="D1866" t="s">
        <v>8</v>
      </c>
      <c r="E1866">
        <v>2450</v>
      </c>
      <c r="F1866" t="s">
        <v>7</v>
      </c>
    </row>
    <row r="1867" spans="1:6">
      <c r="A1867" t="s">
        <v>40</v>
      </c>
      <c r="B1867" t="s">
        <v>27</v>
      </c>
      <c r="C1867">
        <v>2022</v>
      </c>
      <c r="D1867" t="s">
        <v>9</v>
      </c>
      <c r="E1867">
        <v>2450</v>
      </c>
      <c r="F1867" t="s">
        <v>7</v>
      </c>
    </row>
    <row r="1868" spans="1:6">
      <c r="A1868" t="s">
        <v>40</v>
      </c>
      <c r="B1868" t="s">
        <v>27</v>
      </c>
      <c r="C1868">
        <v>2022</v>
      </c>
      <c r="D1868" t="s">
        <v>10</v>
      </c>
      <c r="E1868">
        <v>85</v>
      </c>
      <c r="F1868" t="s">
        <v>11</v>
      </c>
    </row>
    <row r="1869" spans="1:6">
      <c r="A1869" t="s">
        <v>40</v>
      </c>
      <c r="B1869" t="s">
        <v>27</v>
      </c>
      <c r="C1869">
        <v>2022</v>
      </c>
      <c r="D1869" t="s">
        <v>12</v>
      </c>
      <c r="E1869">
        <v>0.5</v>
      </c>
      <c r="F1869" t="s">
        <v>13</v>
      </c>
    </row>
    <row r="1870" spans="1:6">
      <c r="A1870" t="s">
        <v>40</v>
      </c>
      <c r="B1870" t="s">
        <v>27</v>
      </c>
      <c r="C1870">
        <v>2022</v>
      </c>
      <c r="D1870" t="s">
        <v>164</v>
      </c>
      <c r="E1870">
        <v>1.35</v>
      </c>
      <c r="F1870" t="s">
        <v>166</v>
      </c>
    </row>
    <row r="1871" spans="1:6">
      <c r="A1871" t="s">
        <v>40</v>
      </c>
      <c r="B1871" t="s">
        <v>27</v>
      </c>
      <c r="C1871">
        <v>2030</v>
      </c>
      <c r="D1871" t="s">
        <v>6</v>
      </c>
      <c r="E1871">
        <v>2450</v>
      </c>
      <c r="F1871" t="s">
        <v>7</v>
      </c>
    </row>
    <row r="1872" spans="1:6">
      <c r="A1872" t="s">
        <v>40</v>
      </c>
      <c r="B1872" t="s">
        <v>27</v>
      </c>
      <c r="C1872">
        <v>2030</v>
      </c>
      <c r="D1872" t="s">
        <v>8</v>
      </c>
      <c r="E1872">
        <v>2660.5</v>
      </c>
      <c r="F1872" t="s">
        <v>7</v>
      </c>
    </row>
    <row r="1873" spans="1:6">
      <c r="A1873" t="s">
        <v>40</v>
      </c>
      <c r="B1873" t="s">
        <v>27</v>
      </c>
      <c r="C1873">
        <v>2030</v>
      </c>
      <c r="D1873" t="s">
        <v>9</v>
      </c>
      <c r="E1873">
        <v>2239.5</v>
      </c>
      <c r="F1873" t="s">
        <v>7</v>
      </c>
    </row>
    <row r="1874" spans="1:6">
      <c r="A1874" t="s">
        <v>40</v>
      </c>
      <c r="B1874" t="s">
        <v>27</v>
      </c>
      <c r="C1874">
        <v>2030</v>
      </c>
      <c r="D1874" t="s">
        <v>10</v>
      </c>
      <c r="E1874">
        <v>85</v>
      </c>
      <c r="F1874" t="s">
        <v>11</v>
      </c>
    </row>
    <row r="1875" spans="1:6">
      <c r="A1875" t="s">
        <v>40</v>
      </c>
      <c r="B1875" t="s">
        <v>27</v>
      </c>
      <c r="C1875">
        <v>2030</v>
      </c>
      <c r="D1875" t="s">
        <v>12</v>
      </c>
      <c r="E1875">
        <v>0.51</v>
      </c>
      <c r="F1875" t="s">
        <v>13</v>
      </c>
    </row>
    <row r="1876" spans="1:6">
      <c r="A1876" t="s">
        <v>40</v>
      </c>
      <c r="B1876" t="s">
        <v>27</v>
      </c>
      <c r="C1876">
        <v>2030</v>
      </c>
      <c r="D1876" t="s">
        <v>164</v>
      </c>
      <c r="E1876">
        <v>1.2</v>
      </c>
      <c r="F1876" t="s">
        <v>166</v>
      </c>
    </row>
    <row r="1877" spans="1:6">
      <c r="A1877" t="s">
        <v>40</v>
      </c>
      <c r="B1877" t="s">
        <v>27</v>
      </c>
      <c r="C1877">
        <v>2050</v>
      </c>
      <c r="D1877" t="s">
        <v>6</v>
      </c>
      <c r="E1877">
        <v>1950</v>
      </c>
      <c r="F1877" t="s">
        <v>7</v>
      </c>
    </row>
    <row r="1878" spans="1:6">
      <c r="A1878" t="s">
        <v>40</v>
      </c>
      <c r="B1878" t="s">
        <v>27</v>
      </c>
      <c r="C1878">
        <v>2050</v>
      </c>
      <c r="D1878" t="s">
        <v>8</v>
      </c>
      <c r="E1878">
        <v>2270.4</v>
      </c>
      <c r="F1878" t="s">
        <v>7</v>
      </c>
    </row>
    <row r="1879" spans="1:6">
      <c r="A1879" t="s">
        <v>40</v>
      </c>
      <c r="B1879" t="s">
        <v>27</v>
      </c>
      <c r="C1879">
        <v>2050</v>
      </c>
      <c r="D1879" t="s">
        <v>9</v>
      </c>
      <c r="E1879">
        <v>1629.4</v>
      </c>
      <c r="F1879" t="s">
        <v>7</v>
      </c>
    </row>
    <row r="1880" spans="1:6">
      <c r="A1880" t="s">
        <v>40</v>
      </c>
      <c r="B1880" t="s">
        <v>27</v>
      </c>
      <c r="C1880">
        <v>2050</v>
      </c>
      <c r="D1880" t="s">
        <v>10</v>
      </c>
      <c r="E1880">
        <v>70</v>
      </c>
      <c r="F1880" t="s">
        <v>11</v>
      </c>
    </row>
    <row r="1881" spans="1:6">
      <c r="A1881" t="s">
        <v>40</v>
      </c>
      <c r="B1881" t="s">
        <v>27</v>
      </c>
      <c r="C1881">
        <v>2050</v>
      </c>
      <c r="D1881" t="s">
        <v>12</v>
      </c>
      <c r="E1881">
        <v>0.51</v>
      </c>
      <c r="F1881" t="s">
        <v>13</v>
      </c>
    </row>
    <row r="1882" spans="1:6">
      <c r="A1882" t="s">
        <v>40</v>
      </c>
      <c r="B1882" t="s">
        <v>27</v>
      </c>
      <c r="C1882">
        <v>2050</v>
      </c>
      <c r="D1882" t="s">
        <v>164</v>
      </c>
      <c r="E1882">
        <v>0.98899999999999999</v>
      </c>
      <c r="F1882" t="s">
        <v>166</v>
      </c>
    </row>
    <row r="1883" spans="1:6">
      <c r="A1883" t="s">
        <v>40</v>
      </c>
      <c r="B1883" t="s">
        <v>28</v>
      </c>
      <c r="C1883">
        <v>2022</v>
      </c>
      <c r="D1883" t="s">
        <v>6</v>
      </c>
      <c r="E1883">
        <v>1650</v>
      </c>
      <c r="F1883" t="s">
        <v>7</v>
      </c>
    </row>
    <row r="1884" spans="1:6">
      <c r="A1884" t="s">
        <v>40</v>
      </c>
      <c r="B1884" t="s">
        <v>28</v>
      </c>
      <c r="C1884">
        <v>2022</v>
      </c>
      <c r="D1884" t="s">
        <v>8</v>
      </c>
      <c r="E1884">
        <v>1650</v>
      </c>
      <c r="F1884" t="s">
        <v>7</v>
      </c>
    </row>
    <row r="1885" spans="1:6">
      <c r="A1885" t="s">
        <v>40</v>
      </c>
      <c r="B1885" t="s">
        <v>28</v>
      </c>
      <c r="C1885">
        <v>2022</v>
      </c>
      <c r="D1885" t="s">
        <v>9</v>
      </c>
      <c r="E1885">
        <v>1650</v>
      </c>
      <c r="F1885" t="s">
        <v>7</v>
      </c>
    </row>
    <row r="1886" spans="1:6">
      <c r="A1886" t="s">
        <v>40</v>
      </c>
      <c r="B1886" t="s">
        <v>28</v>
      </c>
      <c r="C1886">
        <v>2022</v>
      </c>
      <c r="D1886" t="s">
        <v>10</v>
      </c>
      <c r="E1886">
        <v>55</v>
      </c>
      <c r="F1886" t="s">
        <v>11</v>
      </c>
    </row>
    <row r="1887" spans="1:6">
      <c r="A1887" t="s">
        <v>40</v>
      </c>
      <c r="B1887" t="s">
        <v>28</v>
      </c>
      <c r="C1887">
        <v>2022</v>
      </c>
      <c r="D1887" t="s">
        <v>164</v>
      </c>
      <c r="E1887">
        <v>1.35</v>
      </c>
      <c r="F1887" t="s">
        <v>166</v>
      </c>
    </row>
    <row r="1888" spans="1:6">
      <c r="A1888" t="s">
        <v>40</v>
      </c>
      <c r="B1888" t="s">
        <v>28</v>
      </c>
      <c r="C1888">
        <v>2030</v>
      </c>
      <c r="D1888" t="s">
        <v>6</v>
      </c>
      <c r="E1888">
        <v>1650</v>
      </c>
      <c r="F1888" t="s">
        <v>7</v>
      </c>
    </row>
    <row r="1889" spans="1:6">
      <c r="A1889" t="s">
        <v>40</v>
      </c>
      <c r="B1889" t="s">
        <v>28</v>
      </c>
      <c r="C1889">
        <v>2030</v>
      </c>
      <c r="D1889" t="s">
        <v>8</v>
      </c>
      <c r="E1889">
        <v>1791.7</v>
      </c>
      <c r="F1889" t="s">
        <v>7</v>
      </c>
    </row>
    <row r="1890" spans="1:6">
      <c r="A1890" t="s">
        <v>40</v>
      </c>
      <c r="B1890" t="s">
        <v>28</v>
      </c>
      <c r="C1890">
        <v>2030</v>
      </c>
      <c r="D1890" t="s">
        <v>9</v>
      </c>
      <c r="E1890">
        <v>1508.3</v>
      </c>
      <c r="F1890" t="s">
        <v>7</v>
      </c>
    </row>
    <row r="1891" spans="1:6">
      <c r="A1891" t="s">
        <v>40</v>
      </c>
      <c r="B1891" t="s">
        <v>28</v>
      </c>
      <c r="C1891">
        <v>2030</v>
      </c>
      <c r="D1891" t="s">
        <v>10</v>
      </c>
      <c r="E1891">
        <v>55</v>
      </c>
      <c r="F1891" t="s">
        <v>11</v>
      </c>
    </row>
    <row r="1892" spans="1:6">
      <c r="A1892" t="s">
        <v>40</v>
      </c>
      <c r="B1892" t="s">
        <v>28</v>
      </c>
      <c r="C1892">
        <v>2030</v>
      </c>
      <c r="D1892" t="s">
        <v>164</v>
      </c>
      <c r="E1892">
        <v>1.2</v>
      </c>
      <c r="F1892" t="s">
        <v>166</v>
      </c>
    </row>
    <row r="1893" spans="1:6">
      <c r="A1893" t="s">
        <v>40</v>
      </c>
      <c r="B1893" t="s">
        <v>28</v>
      </c>
      <c r="C1893">
        <v>2050</v>
      </c>
      <c r="D1893" t="s">
        <v>6</v>
      </c>
      <c r="E1893">
        <v>1350</v>
      </c>
      <c r="F1893" t="s">
        <v>7</v>
      </c>
    </row>
    <row r="1894" spans="1:6">
      <c r="A1894" t="s">
        <v>40</v>
      </c>
      <c r="B1894" t="s">
        <v>28</v>
      </c>
      <c r="C1894">
        <v>2050</v>
      </c>
      <c r="D1894" t="s">
        <v>8</v>
      </c>
      <c r="E1894">
        <v>1571.8</v>
      </c>
      <c r="F1894" t="s">
        <v>7</v>
      </c>
    </row>
    <row r="1895" spans="1:6">
      <c r="A1895" t="s">
        <v>40</v>
      </c>
      <c r="B1895" t="s">
        <v>28</v>
      </c>
      <c r="C1895">
        <v>2050</v>
      </c>
      <c r="D1895" t="s">
        <v>9</v>
      </c>
      <c r="E1895">
        <v>1128.0999999999999</v>
      </c>
      <c r="F1895" t="s">
        <v>7</v>
      </c>
    </row>
    <row r="1896" spans="1:6">
      <c r="A1896" t="s">
        <v>40</v>
      </c>
      <c r="B1896" t="s">
        <v>28</v>
      </c>
      <c r="C1896">
        <v>2050</v>
      </c>
      <c r="D1896" t="s">
        <v>10</v>
      </c>
      <c r="E1896">
        <v>50</v>
      </c>
      <c r="F1896" t="s">
        <v>11</v>
      </c>
    </row>
    <row r="1897" spans="1:6">
      <c r="A1897" t="s">
        <v>40</v>
      </c>
      <c r="B1897" t="s">
        <v>28</v>
      </c>
      <c r="C1897">
        <v>2050</v>
      </c>
      <c r="D1897" t="s">
        <v>164</v>
      </c>
      <c r="E1897">
        <v>0.98899999999999999</v>
      </c>
      <c r="F1897" t="s">
        <v>166</v>
      </c>
    </row>
    <row r="1898" spans="1:6">
      <c r="A1898" t="s">
        <v>41</v>
      </c>
      <c r="B1898" t="s">
        <v>20</v>
      </c>
      <c r="C1898">
        <v>2022</v>
      </c>
      <c r="D1898" t="s">
        <v>6</v>
      </c>
      <c r="E1898">
        <v>6600</v>
      </c>
      <c r="F1898" t="s">
        <v>7</v>
      </c>
    </row>
    <row r="1899" spans="1:6">
      <c r="A1899" t="s">
        <v>41</v>
      </c>
      <c r="B1899" t="s">
        <v>20</v>
      </c>
      <c r="C1899">
        <v>2022</v>
      </c>
      <c r="D1899" t="s">
        <v>8</v>
      </c>
      <c r="E1899">
        <v>10256.4</v>
      </c>
      <c r="F1899" t="s">
        <v>7</v>
      </c>
    </row>
    <row r="1900" spans="1:6">
      <c r="A1900" t="s">
        <v>41</v>
      </c>
      <c r="B1900" t="s">
        <v>20</v>
      </c>
      <c r="C1900">
        <v>2022</v>
      </c>
      <c r="D1900" t="s">
        <v>9</v>
      </c>
      <c r="E1900">
        <v>5608</v>
      </c>
      <c r="F1900" t="s">
        <v>7</v>
      </c>
    </row>
    <row r="1901" spans="1:6">
      <c r="A1901" t="s">
        <v>41</v>
      </c>
      <c r="B1901" t="s">
        <v>20</v>
      </c>
      <c r="C1901">
        <v>2022</v>
      </c>
      <c r="D1901" t="s">
        <v>10</v>
      </c>
      <c r="E1901">
        <v>160</v>
      </c>
      <c r="F1901" t="s">
        <v>11</v>
      </c>
    </row>
    <row r="1902" spans="1:6">
      <c r="A1902" t="s">
        <v>41</v>
      </c>
      <c r="B1902" t="s">
        <v>20</v>
      </c>
      <c r="C1902">
        <v>2030</v>
      </c>
      <c r="D1902" t="s">
        <v>6</v>
      </c>
      <c r="E1902">
        <v>5100</v>
      </c>
      <c r="F1902" t="s">
        <v>7</v>
      </c>
    </row>
    <row r="1903" spans="1:6">
      <c r="A1903" t="s">
        <v>41</v>
      </c>
      <c r="B1903" t="s">
        <v>20</v>
      </c>
      <c r="C1903">
        <v>2030</v>
      </c>
      <c r="D1903" t="s">
        <v>8</v>
      </c>
      <c r="E1903">
        <v>7925.4</v>
      </c>
      <c r="F1903" t="s">
        <v>7</v>
      </c>
    </row>
    <row r="1904" spans="1:6">
      <c r="A1904" t="s">
        <v>41</v>
      </c>
      <c r="B1904" t="s">
        <v>20</v>
      </c>
      <c r="C1904">
        <v>2030</v>
      </c>
      <c r="D1904" t="s">
        <v>9</v>
      </c>
      <c r="E1904">
        <v>4333.5</v>
      </c>
      <c r="F1904" t="s">
        <v>7</v>
      </c>
    </row>
    <row r="1905" spans="1:6">
      <c r="A1905" t="s">
        <v>41</v>
      </c>
      <c r="B1905" t="s">
        <v>20</v>
      </c>
      <c r="C1905">
        <v>2030</v>
      </c>
      <c r="D1905" t="s">
        <v>10</v>
      </c>
      <c r="E1905">
        <v>160</v>
      </c>
      <c r="F1905" t="s">
        <v>11</v>
      </c>
    </row>
    <row r="1906" spans="1:6">
      <c r="A1906" t="s">
        <v>41</v>
      </c>
      <c r="B1906" t="s">
        <v>20</v>
      </c>
      <c r="C1906">
        <v>2030</v>
      </c>
      <c r="D1906" t="s">
        <v>164</v>
      </c>
      <c r="E1906">
        <v>0.77800000000000002</v>
      </c>
      <c r="F1906" t="s">
        <v>166</v>
      </c>
    </row>
    <row r="1907" spans="1:6">
      <c r="A1907" t="s">
        <v>41</v>
      </c>
      <c r="B1907" t="s">
        <v>20</v>
      </c>
      <c r="C1907">
        <v>2050</v>
      </c>
      <c r="D1907" t="s">
        <v>6</v>
      </c>
      <c r="E1907">
        <v>4500</v>
      </c>
      <c r="F1907" t="s">
        <v>7</v>
      </c>
    </row>
    <row r="1908" spans="1:6">
      <c r="A1908" t="s">
        <v>41</v>
      </c>
      <c r="B1908" t="s">
        <v>20</v>
      </c>
      <c r="C1908">
        <v>2050</v>
      </c>
      <c r="D1908" t="s">
        <v>8</v>
      </c>
      <c r="E1908">
        <v>8257</v>
      </c>
      <c r="F1908" t="s">
        <v>7</v>
      </c>
    </row>
    <row r="1909" spans="1:6">
      <c r="A1909" t="s">
        <v>41</v>
      </c>
      <c r="B1909" t="s">
        <v>20</v>
      </c>
      <c r="C1909">
        <v>2050</v>
      </c>
      <c r="D1909" t="s">
        <v>9</v>
      </c>
      <c r="E1909">
        <v>2552</v>
      </c>
      <c r="F1909" t="s">
        <v>7</v>
      </c>
    </row>
    <row r="1910" spans="1:6">
      <c r="A1910" t="s">
        <v>41</v>
      </c>
      <c r="B1910" t="s">
        <v>20</v>
      </c>
      <c r="C1910">
        <v>2050</v>
      </c>
      <c r="D1910" t="s">
        <v>10</v>
      </c>
      <c r="E1910">
        <v>160</v>
      </c>
      <c r="F1910" t="s">
        <v>11</v>
      </c>
    </row>
    <row r="1911" spans="1:6">
      <c r="A1911" t="s">
        <v>41</v>
      </c>
      <c r="B1911" t="s">
        <v>20</v>
      </c>
      <c r="C1911">
        <v>2050</v>
      </c>
      <c r="D1911" t="s">
        <v>164</v>
      </c>
      <c r="E1911">
        <v>0.77800000000000002</v>
      </c>
      <c r="F1911" t="s">
        <v>166</v>
      </c>
    </row>
    <row r="1912" spans="1:6">
      <c r="A1912" t="s">
        <v>41</v>
      </c>
      <c r="B1912" t="s">
        <v>21</v>
      </c>
      <c r="C1912">
        <v>2022</v>
      </c>
      <c r="D1912" t="s">
        <v>6</v>
      </c>
      <c r="E1912">
        <v>5000</v>
      </c>
      <c r="F1912" t="s">
        <v>7</v>
      </c>
    </row>
    <row r="1913" spans="1:6">
      <c r="A1913" t="s">
        <v>41</v>
      </c>
      <c r="B1913" t="s">
        <v>21</v>
      </c>
      <c r="C1913">
        <v>2022</v>
      </c>
      <c r="D1913" t="s">
        <v>8</v>
      </c>
      <c r="E1913">
        <v>7770</v>
      </c>
      <c r="F1913" t="s">
        <v>7</v>
      </c>
    </row>
    <row r="1914" spans="1:6">
      <c r="A1914" t="s">
        <v>41</v>
      </c>
      <c r="B1914" t="s">
        <v>21</v>
      </c>
      <c r="C1914">
        <v>2022</v>
      </c>
      <c r="D1914" t="s">
        <v>9</v>
      </c>
      <c r="E1914">
        <v>4248.5</v>
      </c>
      <c r="F1914" t="s">
        <v>7</v>
      </c>
    </row>
    <row r="1915" spans="1:6">
      <c r="A1915" t="s">
        <v>41</v>
      </c>
      <c r="B1915" t="s">
        <v>21</v>
      </c>
      <c r="C1915">
        <v>2022</v>
      </c>
      <c r="D1915" t="s">
        <v>10</v>
      </c>
      <c r="E1915">
        <v>175</v>
      </c>
      <c r="F1915" t="s">
        <v>11</v>
      </c>
    </row>
    <row r="1916" spans="1:6">
      <c r="A1916" t="s">
        <v>41</v>
      </c>
      <c r="B1916" t="s">
        <v>21</v>
      </c>
      <c r="C1916">
        <v>2030</v>
      </c>
      <c r="D1916" t="s">
        <v>6</v>
      </c>
      <c r="E1916">
        <v>4800</v>
      </c>
      <c r="F1916" t="s">
        <v>7</v>
      </c>
    </row>
    <row r="1917" spans="1:6">
      <c r="A1917" t="s">
        <v>41</v>
      </c>
      <c r="B1917" t="s">
        <v>21</v>
      </c>
      <c r="C1917">
        <v>2030</v>
      </c>
      <c r="D1917" t="s">
        <v>8</v>
      </c>
      <c r="E1917">
        <v>7459.2</v>
      </c>
      <c r="F1917" t="s">
        <v>7</v>
      </c>
    </row>
    <row r="1918" spans="1:6">
      <c r="A1918" t="s">
        <v>41</v>
      </c>
      <c r="B1918" t="s">
        <v>21</v>
      </c>
      <c r="C1918">
        <v>2030</v>
      </c>
      <c r="D1918" t="s">
        <v>9</v>
      </c>
      <c r="E1918">
        <v>4078.6</v>
      </c>
      <c r="F1918" t="s">
        <v>7</v>
      </c>
    </row>
    <row r="1919" spans="1:6">
      <c r="A1919" t="s">
        <v>41</v>
      </c>
      <c r="B1919" t="s">
        <v>21</v>
      </c>
      <c r="C1919">
        <v>2030</v>
      </c>
      <c r="D1919" t="s">
        <v>10</v>
      </c>
      <c r="E1919">
        <v>175</v>
      </c>
      <c r="F1919" t="s">
        <v>11</v>
      </c>
    </row>
    <row r="1920" spans="1:6">
      <c r="A1920" t="s">
        <v>41</v>
      </c>
      <c r="B1920" t="s">
        <v>21</v>
      </c>
      <c r="C1920">
        <v>2030</v>
      </c>
      <c r="D1920" t="s">
        <v>164</v>
      </c>
      <c r="E1920">
        <v>0.77800000000000002</v>
      </c>
      <c r="F1920" t="s">
        <v>166</v>
      </c>
    </row>
    <row r="1921" spans="1:6">
      <c r="A1921" t="s">
        <v>41</v>
      </c>
      <c r="B1921" t="s">
        <v>21</v>
      </c>
      <c r="C1921">
        <v>2050</v>
      </c>
      <c r="D1921" t="s">
        <v>6</v>
      </c>
      <c r="E1921">
        <v>4500</v>
      </c>
      <c r="F1921" t="s">
        <v>7</v>
      </c>
    </row>
    <row r="1922" spans="1:6">
      <c r="A1922" t="s">
        <v>41</v>
      </c>
      <c r="B1922" t="s">
        <v>21</v>
      </c>
      <c r="C1922">
        <v>2050</v>
      </c>
      <c r="D1922" t="s">
        <v>8</v>
      </c>
      <c r="E1922">
        <v>8257</v>
      </c>
      <c r="F1922" t="s">
        <v>7</v>
      </c>
    </row>
    <row r="1923" spans="1:6">
      <c r="A1923" t="s">
        <v>41</v>
      </c>
      <c r="B1923" t="s">
        <v>21</v>
      </c>
      <c r="C1923">
        <v>2050</v>
      </c>
      <c r="D1923" t="s">
        <v>9</v>
      </c>
      <c r="E1923">
        <v>2552</v>
      </c>
      <c r="F1923" t="s">
        <v>7</v>
      </c>
    </row>
    <row r="1924" spans="1:6">
      <c r="A1924" t="s">
        <v>41</v>
      </c>
      <c r="B1924" t="s">
        <v>21</v>
      </c>
      <c r="C1924">
        <v>2050</v>
      </c>
      <c r="D1924" t="s">
        <v>10</v>
      </c>
      <c r="E1924">
        <v>175</v>
      </c>
      <c r="F1924" t="s">
        <v>11</v>
      </c>
    </row>
    <row r="1925" spans="1:6">
      <c r="A1925" t="s">
        <v>41</v>
      </c>
      <c r="B1925" t="s">
        <v>21</v>
      </c>
      <c r="C1925">
        <v>2050</v>
      </c>
      <c r="D1925" t="s">
        <v>164</v>
      </c>
      <c r="E1925">
        <v>0.77800000000000002</v>
      </c>
      <c r="F1925" t="s">
        <v>166</v>
      </c>
    </row>
    <row r="1926" spans="1:6">
      <c r="A1926" t="s">
        <v>41</v>
      </c>
      <c r="B1926" t="s">
        <v>22</v>
      </c>
      <c r="C1926">
        <v>2022</v>
      </c>
      <c r="D1926" t="s">
        <v>6</v>
      </c>
      <c r="E1926">
        <v>4200</v>
      </c>
      <c r="F1926" t="s">
        <v>7</v>
      </c>
    </row>
    <row r="1927" spans="1:6">
      <c r="A1927" t="s">
        <v>41</v>
      </c>
      <c r="B1927" t="s">
        <v>22</v>
      </c>
      <c r="C1927">
        <v>2022</v>
      </c>
      <c r="D1927" t="s">
        <v>8</v>
      </c>
      <c r="E1927">
        <v>6526.8</v>
      </c>
      <c r="F1927" t="s">
        <v>7</v>
      </c>
    </row>
    <row r="1928" spans="1:6">
      <c r="A1928" t="s">
        <v>41</v>
      </c>
      <c r="B1928" t="s">
        <v>22</v>
      </c>
      <c r="C1928">
        <v>2022</v>
      </c>
      <c r="D1928" t="s">
        <v>9</v>
      </c>
      <c r="E1928">
        <v>3568.7</v>
      </c>
      <c r="F1928" t="s">
        <v>7</v>
      </c>
    </row>
    <row r="1929" spans="1:6">
      <c r="A1929" t="s">
        <v>41</v>
      </c>
      <c r="B1929" t="s">
        <v>22</v>
      </c>
      <c r="C1929">
        <v>2022</v>
      </c>
      <c r="D1929" t="s">
        <v>10</v>
      </c>
      <c r="E1929">
        <v>225</v>
      </c>
      <c r="F1929" t="s">
        <v>11</v>
      </c>
    </row>
    <row r="1930" spans="1:6">
      <c r="A1930" t="s">
        <v>41</v>
      </c>
      <c r="B1930" t="s">
        <v>22</v>
      </c>
      <c r="C1930">
        <v>2030</v>
      </c>
      <c r="D1930" t="s">
        <v>6</v>
      </c>
      <c r="E1930">
        <v>4000</v>
      </c>
      <c r="F1930" t="s">
        <v>7</v>
      </c>
    </row>
    <row r="1931" spans="1:6">
      <c r="A1931" t="s">
        <v>41</v>
      </c>
      <c r="B1931" t="s">
        <v>22</v>
      </c>
      <c r="C1931">
        <v>2030</v>
      </c>
      <c r="D1931" t="s">
        <v>8</v>
      </c>
      <c r="E1931">
        <v>6216</v>
      </c>
      <c r="F1931" t="s">
        <v>7</v>
      </c>
    </row>
    <row r="1932" spans="1:6">
      <c r="A1932" t="s">
        <v>41</v>
      </c>
      <c r="B1932" t="s">
        <v>22</v>
      </c>
      <c r="C1932">
        <v>2030</v>
      </c>
      <c r="D1932" t="s">
        <v>9</v>
      </c>
      <c r="E1932">
        <v>3398.8</v>
      </c>
      <c r="F1932" t="s">
        <v>7</v>
      </c>
    </row>
    <row r="1933" spans="1:6">
      <c r="A1933" t="s">
        <v>41</v>
      </c>
      <c r="B1933" t="s">
        <v>22</v>
      </c>
      <c r="C1933">
        <v>2030</v>
      </c>
      <c r="D1933" t="s">
        <v>10</v>
      </c>
      <c r="E1933">
        <v>225</v>
      </c>
      <c r="F1933" t="s">
        <v>11</v>
      </c>
    </row>
    <row r="1934" spans="1:6">
      <c r="A1934" t="s">
        <v>41</v>
      </c>
      <c r="B1934" t="s">
        <v>22</v>
      </c>
      <c r="C1934">
        <v>2030</v>
      </c>
      <c r="D1934" t="s">
        <v>164</v>
      </c>
      <c r="E1934">
        <v>0.77800000000000002</v>
      </c>
      <c r="F1934" t="s">
        <v>166</v>
      </c>
    </row>
    <row r="1935" spans="1:6">
      <c r="A1935" t="s">
        <v>41</v>
      </c>
      <c r="B1935" t="s">
        <v>22</v>
      </c>
      <c r="C1935">
        <v>2050</v>
      </c>
      <c r="D1935" t="s">
        <v>6</v>
      </c>
      <c r="E1935">
        <v>4000</v>
      </c>
      <c r="F1935" t="s">
        <v>7</v>
      </c>
    </row>
    <row r="1936" spans="1:6">
      <c r="A1936" t="s">
        <v>41</v>
      </c>
      <c r="B1936" t="s">
        <v>22</v>
      </c>
      <c r="C1936">
        <v>2050</v>
      </c>
      <c r="D1936" t="s">
        <v>8</v>
      </c>
      <c r="E1936">
        <v>7339.6</v>
      </c>
      <c r="F1936" t="s">
        <v>7</v>
      </c>
    </row>
    <row r="1937" spans="1:6">
      <c r="A1937" t="s">
        <v>41</v>
      </c>
      <c r="B1937" t="s">
        <v>22</v>
      </c>
      <c r="C1937">
        <v>2050</v>
      </c>
      <c r="D1937" t="s">
        <v>9</v>
      </c>
      <c r="E1937">
        <v>2268.4</v>
      </c>
      <c r="F1937" t="s">
        <v>7</v>
      </c>
    </row>
    <row r="1938" spans="1:6">
      <c r="A1938" t="s">
        <v>41</v>
      </c>
      <c r="B1938" t="s">
        <v>22</v>
      </c>
      <c r="C1938">
        <v>2050</v>
      </c>
      <c r="D1938" t="s">
        <v>10</v>
      </c>
      <c r="E1938">
        <v>225</v>
      </c>
      <c r="F1938" t="s">
        <v>11</v>
      </c>
    </row>
    <row r="1939" spans="1:6">
      <c r="A1939" t="s">
        <v>41</v>
      </c>
      <c r="B1939" t="s">
        <v>22</v>
      </c>
      <c r="C1939">
        <v>2050</v>
      </c>
      <c r="D1939" t="s">
        <v>164</v>
      </c>
      <c r="E1939">
        <v>0.77800000000000002</v>
      </c>
      <c r="F1939" t="s">
        <v>166</v>
      </c>
    </row>
    <row r="1940" spans="1:6">
      <c r="A1940" t="s">
        <v>41</v>
      </c>
      <c r="B1940" t="s">
        <v>23</v>
      </c>
      <c r="C1940">
        <v>2022</v>
      </c>
      <c r="D1940" t="s">
        <v>6</v>
      </c>
      <c r="E1940">
        <v>3800</v>
      </c>
      <c r="F1940" t="s">
        <v>7</v>
      </c>
    </row>
    <row r="1941" spans="1:6">
      <c r="A1941" t="s">
        <v>41</v>
      </c>
      <c r="B1941" t="s">
        <v>23</v>
      </c>
      <c r="C1941">
        <v>2022</v>
      </c>
      <c r="D1941" t="s">
        <v>8</v>
      </c>
      <c r="E1941">
        <v>5905.2</v>
      </c>
      <c r="F1941" t="s">
        <v>7</v>
      </c>
    </row>
    <row r="1942" spans="1:6">
      <c r="A1942" t="s">
        <v>41</v>
      </c>
      <c r="B1942" t="s">
        <v>23</v>
      </c>
      <c r="C1942">
        <v>2022</v>
      </c>
      <c r="D1942" t="s">
        <v>9</v>
      </c>
      <c r="E1942">
        <v>3228.9</v>
      </c>
      <c r="F1942" t="s">
        <v>7</v>
      </c>
    </row>
    <row r="1943" spans="1:6">
      <c r="A1943" t="s">
        <v>41</v>
      </c>
      <c r="B1943" t="s">
        <v>23</v>
      </c>
      <c r="C1943">
        <v>2022</v>
      </c>
      <c r="D1943" t="s">
        <v>10</v>
      </c>
      <c r="E1943">
        <v>160</v>
      </c>
      <c r="F1943" t="s">
        <v>11</v>
      </c>
    </row>
    <row r="1944" spans="1:6">
      <c r="A1944" t="s">
        <v>41</v>
      </c>
      <c r="B1944" t="s">
        <v>23</v>
      </c>
      <c r="C1944">
        <v>2030</v>
      </c>
      <c r="D1944" t="s">
        <v>6</v>
      </c>
      <c r="E1944">
        <v>3800</v>
      </c>
      <c r="F1944" t="s">
        <v>7</v>
      </c>
    </row>
    <row r="1945" spans="1:6">
      <c r="A1945" t="s">
        <v>41</v>
      </c>
      <c r="B1945" t="s">
        <v>23</v>
      </c>
      <c r="C1945">
        <v>2030</v>
      </c>
      <c r="D1945" t="s">
        <v>8</v>
      </c>
      <c r="E1945">
        <v>5905.2</v>
      </c>
      <c r="F1945" t="s">
        <v>7</v>
      </c>
    </row>
    <row r="1946" spans="1:6">
      <c r="A1946" t="s">
        <v>41</v>
      </c>
      <c r="B1946" t="s">
        <v>23</v>
      </c>
      <c r="C1946">
        <v>2030</v>
      </c>
      <c r="D1946" t="s">
        <v>9</v>
      </c>
      <c r="E1946">
        <v>3228.9</v>
      </c>
      <c r="F1946" t="s">
        <v>7</v>
      </c>
    </row>
    <row r="1947" spans="1:6">
      <c r="A1947" t="s">
        <v>41</v>
      </c>
      <c r="B1947" t="s">
        <v>23</v>
      </c>
      <c r="C1947">
        <v>2030</v>
      </c>
      <c r="D1947" t="s">
        <v>10</v>
      </c>
      <c r="E1947">
        <v>160</v>
      </c>
      <c r="F1947" t="s">
        <v>11</v>
      </c>
    </row>
    <row r="1948" spans="1:6">
      <c r="A1948" t="s">
        <v>41</v>
      </c>
      <c r="B1948" t="s">
        <v>23</v>
      </c>
      <c r="C1948">
        <v>2030</v>
      </c>
      <c r="D1948" t="s">
        <v>164</v>
      </c>
      <c r="E1948">
        <v>0.77800000000000002</v>
      </c>
      <c r="F1948" t="s">
        <v>166</v>
      </c>
    </row>
    <row r="1949" spans="1:6">
      <c r="A1949" t="s">
        <v>41</v>
      </c>
      <c r="B1949" t="s">
        <v>23</v>
      </c>
      <c r="C1949">
        <v>2050</v>
      </c>
      <c r="D1949" t="s">
        <v>6</v>
      </c>
      <c r="E1949">
        <v>3800</v>
      </c>
      <c r="F1949" t="s">
        <v>7</v>
      </c>
    </row>
    <row r="1950" spans="1:6">
      <c r="A1950" t="s">
        <v>41</v>
      </c>
      <c r="B1950" t="s">
        <v>23</v>
      </c>
      <c r="C1950">
        <v>2050</v>
      </c>
      <c r="D1950" t="s">
        <v>8</v>
      </c>
      <c r="E1950">
        <v>6972.6</v>
      </c>
      <c r="F1950" t="s">
        <v>7</v>
      </c>
    </row>
    <row r="1951" spans="1:6">
      <c r="A1951" t="s">
        <v>41</v>
      </c>
      <c r="B1951" t="s">
        <v>23</v>
      </c>
      <c r="C1951">
        <v>2050</v>
      </c>
      <c r="D1951" t="s">
        <v>9</v>
      </c>
      <c r="E1951">
        <v>2155</v>
      </c>
      <c r="F1951" t="s">
        <v>7</v>
      </c>
    </row>
    <row r="1952" spans="1:6">
      <c r="A1952" t="s">
        <v>41</v>
      </c>
      <c r="B1952" t="s">
        <v>23</v>
      </c>
      <c r="C1952">
        <v>2050</v>
      </c>
      <c r="D1952" t="s">
        <v>10</v>
      </c>
      <c r="E1952">
        <v>160</v>
      </c>
      <c r="F1952" t="s">
        <v>11</v>
      </c>
    </row>
    <row r="1953" spans="1:6">
      <c r="A1953" t="s">
        <v>41</v>
      </c>
      <c r="B1953" t="s">
        <v>23</v>
      </c>
      <c r="C1953">
        <v>2050</v>
      </c>
      <c r="D1953" t="s">
        <v>164</v>
      </c>
      <c r="E1953">
        <v>0.77800000000000002</v>
      </c>
      <c r="F1953" t="s">
        <v>166</v>
      </c>
    </row>
    <row r="1954" spans="1:6">
      <c r="A1954" t="s">
        <v>41</v>
      </c>
      <c r="B1954" t="s">
        <v>24</v>
      </c>
      <c r="C1954">
        <v>2022</v>
      </c>
      <c r="D1954" t="s">
        <v>6</v>
      </c>
      <c r="E1954">
        <v>2800</v>
      </c>
      <c r="F1954" t="s">
        <v>7</v>
      </c>
    </row>
    <row r="1955" spans="1:6">
      <c r="A1955" t="s">
        <v>41</v>
      </c>
      <c r="B1955" t="s">
        <v>24</v>
      </c>
      <c r="C1955">
        <v>2022</v>
      </c>
      <c r="D1955" t="s">
        <v>8</v>
      </c>
      <c r="E1955">
        <v>4351.2</v>
      </c>
      <c r="F1955" t="s">
        <v>7</v>
      </c>
    </row>
    <row r="1956" spans="1:6">
      <c r="A1956" t="s">
        <v>41</v>
      </c>
      <c r="B1956" t="s">
        <v>24</v>
      </c>
      <c r="C1956">
        <v>2022</v>
      </c>
      <c r="D1956" t="s">
        <v>9</v>
      </c>
      <c r="E1956">
        <v>2379.1999999999998</v>
      </c>
      <c r="F1956" t="s">
        <v>7</v>
      </c>
    </row>
    <row r="1957" spans="1:6">
      <c r="A1957" t="s">
        <v>41</v>
      </c>
      <c r="B1957" t="s">
        <v>24</v>
      </c>
      <c r="C1957">
        <v>2022</v>
      </c>
      <c r="D1957" t="s">
        <v>10</v>
      </c>
      <c r="E1957">
        <v>120</v>
      </c>
      <c r="F1957" t="s">
        <v>11</v>
      </c>
    </row>
    <row r="1958" spans="1:6">
      <c r="A1958" t="s">
        <v>41</v>
      </c>
      <c r="B1958" t="s">
        <v>24</v>
      </c>
      <c r="C1958">
        <v>2030</v>
      </c>
      <c r="D1958" t="s">
        <v>6</v>
      </c>
      <c r="E1958">
        <v>2800</v>
      </c>
      <c r="F1958" t="s">
        <v>7</v>
      </c>
    </row>
    <row r="1959" spans="1:6">
      <c r="A1959" t="s">
        <v>41</v>
      </c>
      <c r="B1959" t="s">
        <v>24</v>
      </c>
      <c r="C1959">
        <v>2030</v>
      </c>
      <c r="D1959" t="s">
        <v>8</v>
      </c>
      <c r="E1959">
        <v>4351.2</v>
      </c>
      <c r="F1959" t="s">
        <v>7</v>
      </c>
    </row>
    <row r="1960" spans="1:6">
      <c r="A1960" t="s">
        <v>41</v>
      </c>
      <c r="B1960" t="s">
        <v>24</v>
      </c>
      <c r="C1960">
        <v>2030</v>
      </c>
      <c r="D1960" t="s">
        <v>9</v>
      </c>
      <c r="E1960">
        <v>2379.1999999999998</v>
      </c>
      <c r="F1960" t="s">
        <v>7</v>
      </c>
    </row>
    <row r="1961" spans="1:6">
      <c r="A1961" t="s">
        <v>41</v>
      </c>
      <c r="B1961" t="s">
        <v>24</v>
      </c>
      <c r="C1961">
        <v>2030</v>
      </c>
      <c r="D1961" t="s">
        <v>10</v>
      </c>
      <c r="E1961">
        <v>120</v>
      </c>
      <c r="F1961" t="s">
        <v>11</v>
      </c>
    </row>
    <row r="1962" spans="1:6">
      <c r="A1962" t="s">
        <v>41</v>
      </c>
      <c r="B1962" t="s">
        <v>24</v>
      </c>
      <c r="C1962">
        <v>2030</v>
      </c>
      <c r="D1962" t="s">
        <v>164</v>
      </c>
      <c r="E1962">
        <v>0.77800000000000002</v>
      </c>
      <c r="F1962" t="s">
        <v>166</v>
      </c>
    </row>
    <row r="1963" spans="1:6">
      <c r="A1963" t="s">
        <v>41</v>
      </c>
      <c r="B1963" t="s">
        <v>24</v>
      </c>
      <c r="C1963">
        <v>2050</v>
      </c>
      <c r="D1963" t="s">
        <v>6</v>
      </c>
      <c r="E1963">
        <v>2500</v>
      </c>
      <c r="F1963" t="s">
        <v>7</v>
      </c>
    </row>
    <row r="1964" spans="1:6">
      <c r="A1964" t="s">
        <v>41</v>
      </c>
      <c r="B1964" t="s">
        <v>24</v>
      </c>
      <c r="C1964">
        <v>2050</v>
      </c>
      <c r="D1964" t="s">
        <v>8</v>
      </c>
      <c r="E1964">
        <v>4587.2</v>
      </c>
      <c r="F1964" t="s">
        <v>7</v>
      </c>
    </row>
    <row r="1965" spans="1:6">
      <c r="A1965" t="s">
        <v>41</v>
      </c>
      <c r="B1965" t="s">
        <v>24</v>
      </c>
      <c r="C1965">
        <v>2050</v>
      </c>
      <c r="D1965" t="s">
        <v>9</v>
      </c>
      <c r="E1965">
        <v>1417.8</v>
      </c>
      <c r="F1965" t="s">
        <v>7</v>
      </c>
    </row>
    <row r="1966" spans="1:6">
      <c r="A1966" t="s">
        <v>41</v>
      </c>
      <c r="B1966" t="s">
        <v>24</v>
      </c>
      <c r="C1966">
        <v>2050</v>
      </c>
      <c r="D1966" t="s">
        <v>10</v>
      </c>
      <c r="E1966">
        <v>120</v>
      </c>
      <c r="F1966" t="s">
        <v>11</v>
      </c>
    </row>
    <row r="1967" spans="1:6">
      <c r="A1967" t="s">
        <v>41</v>
      </c>
      <c r="B1967" t="s">
        <v>24</v>
      </c>
      <c r="C1967">
        <v>2050</v>
      </c>
      <c r="D1967" t="s">
        <v>164</v>
      </c>
      <c r="E1967">
        <v>0.77800000000000002</v>
      </c>
      <c r="F1967" t="s">
        <v>166</v>
      </c>
    </row>
    <row r="1968" spans="1:6">
      <c r="A1968" t="s">
        <v>41</v>
      </c>
      <c r="B1968" t="s">
        <v>25</v>
      </c>
      <c r="C1968">
        <v>2022</v>
      </c>
      <c r="D1968" t="s">
        <v>6</v>
      </c>
      <c r="E1968">
        <v>2800</v>
      </c>
      <c r="F1968" t="s">
        <v>7</v>
      </c>
    </row>
    <row r="1969" spans="1:6">
      <c r="A1969" t="s">
        <v>41</v>
      </c>
      <c r="B1969" t="s">
        <v>25</v>
      </c>
      <c r="C1969">
        <v>2022</v>
      </c>
      <c r="D1969" t="s">
        <v>8</v>
      </c>
      <c r="E1969">
        <v>4351.2</v>
      </c>
      <c r="F1969" t="s">
        <v>7</v>
      </c>
    </row>
    <row r="1970" spans="1:6">
      <c r="A1970" t="s">
        <v>41</v>
      </c>
      <c r="B1970" t="s">
        <v>25</v>
      </c>
      <c r="C1970">
        <v>2022</v>
      </c>
      <c r="D1970" t="s">
        <v>9</v>
      </c>
      <c r="E1970">
        <v>2379.1999999999998</v>
      </c>
      <c r="F1970" t="s">
        <v>7</v>
      </c>
    </row>
    <row r="1971" spans="1:6">
      <c r="A1971" t="s">
        <v>41</v>
      </c>
      <c r="B1971" t="s">
        <v>25</v>
      </c>
      <c r="C1971">
        <v>2022</v>
      </c>
      <c r="D1971" t="s">
        <v>10</v>
      </c>
      <c r="E1971">
        <v>140</v>
      </c>
      <c r="F1971" t="s">
        <v>11</v>
      </c>
    </row>
    <row r="1972" spans="1:6">
      <c r="A1972" t="s">
        <v>41</v>
      </c>
      <c r="B1972" t="s">
        <v>25</v>
      </c>
      <c r="C1972">
        <v>2030</v>
      </c>
      <c r="D1972" t="s">
        <v>6</v>
      </c>
      <c r="E1972">
        <v>2800</v>
      </c>
      <c r="F1972" t="s">
        <v>7</v>
      </c>
    </row>
    <row r="1973" spans="1:6">
      <c r="A1973" t="s">
        <v>41</v>
      </c>
      <c r="B1973" t="s">
        <v>25</v>
      </c>
      <c r="C1973">
        <v>2030</v>
      </c>
      <c r="D1973" t="s">
        <v>8</v>
      </c>
      <c r="E1973">
        <v>4351.2</v>
      </c>
      <c r="F1973" t="s">
        <v>7</v>
      </c>
    </row>
    <row r="1974" spans="1:6">
      <c r="A1974" t="s">
        <v>41</v>
      </c>
      <c r="B1974" t="s">
        <v>25</v>
      </c>
      <c r="C1974">
        <v>2030</v>
      </c>
      <c r="D1974" t="s">
        <v>9</v>
      </c>
      <c r="E1974">
        <v>2379.1999999999998</v>
      </c>
      <c r="F1974" t="s">
        <v>7</v>
      </c>
    </row>
    <row r="1975" spans="1:6">
      <c r="A1975" t="s">
        <v>41</v>
      </c>
      <c r="B1975" t="s">
        <v>25</v>
      </c>
      <c r="C1975">
        <v>2030</v>
      </c>
      <c r="D1975" t="s">
        <v>10</v>
      </c>
      <c r="E1975">
        <v>140</v>
      </c>
      <c r="F1975" t="s">
        <v>11</v>
      </c>
    </row>
    <row r="1976" spans="1:6">
      <c r="A1976" t="s">
        <v>41</v>
      </c>
      <c r="B1976" t="s">
        <v>25</v>
      </c>
      <c r="C1976">
        <v>2030</v>
      </c>
      <c r="D1976" t="s">
        <v>164</v>
      </c>
      <c r="E1976">
        <v>0.77800000000000002</v>
      </c>
      <c r="F1976" t="s">
        <v>166</v>
      </c>
    </row>
    <row r="1977" spans="1:6">
      <c r="A1977" t="s">
        <v>41</v>
      </c>
      <c r="B1977" t="s">
        <v>25</v>
      </c>
      <c r="C1977">
        <v>2050</v>
      </c>
      <c r="D1977" t="s">
        <v>6</v>
      </c>
      <c r="E1977">
        <v>2800</v>
      </c>
      <c r="F1977" t="s">
        <v>7</v>
      </c>
    </row>
    <row r="1978" spans="1:6">
      <c r="A1978" t="s">
        <v>41</v>
      </c>
      <c r="B1978" t="s">
        <v>25</v>
      </c>
      <c r="C1978">
        <v>2050</v>
      </c>
      <c r="D1978" t="s">
        <v>8</v>
      </c>
      <c r="E1978">
        <v>5137.7</v>
      </c>
      <c r="F1978" t="s">
        <v>7</v>
      </c>
    </row>
    <row r="1979" spans="1:6">
      <c r="A1979" t="s">
        <v>41</v>
      </c>
      <c r="B1979" t="s">
        <v>25</v>
      </c>
      <c r="C1979">
        <v>2050</v>
      </c>
      <c r="D1979" t="s">
        <v>9</v>
      </c>
      <c r="E1979">
        <v>1587.9</v>
      </c>
      <c r="F1979" t="s">
        <v>7</v>
      </c>
    </row>
    <row r="1980" spans="1:6">
      <c r="A1980" t="s">
        <v>41</v>
      </c>
      <c r="B1980" t="s">
        <v>25</v>
      </c>
      <c r="C1980">
        <v>2050</v>
      </c>
      <c r="D1980" t="s">
        <v>10</v>
      </c>
      <c r="E1980">
        <v>140</v>
      </c>
      <c r="F1980" t="s">
        <v>11</v>
      </c>
    </row>
    <row r="1981" spans="1:6">
      <c r="A1981" t="s">
        <v>41</v>
      </c>
      <c r="B1981" t="s">
        <v>25</v>
      </c>
      <c r="C1981">
        <v>2050</v>
      </c>
      <c r="D1981" t="s">
        <v>164</v>
      </c>
      <c r="E1981">
        <v>0.77800000000000002</v>
      </c>
      <c r="F1981" t="s">
        <v>166</v>
      </c>
    </row>
    <row r="1982" spans="1:6">
      <c r="A1982" t="s">
        <v>41</v>
      </c>
      <c r="B1982" t="s">
        <v>26</v>
      </c>
      <c r="C1982">
        <v>2022</v>
      </c>
      <c r="D1982" t="s">
        <v>6</v>
      </c>
      <c r="E1982">
        <v>3500</v>
      </c>
      <c r="F1982" t="s">
        <v>7</v>
      </c>
    </row>
    <row r="1983" spans="1:6">
      <c r="A1983" t="s">
        <v>41</v>
      </c>
      <c r="B1983" t="s">
        <v>26</v>
      </c>
      <c r="C1983">
        <v>2022</v>
      </c>
      <c r="D1983" t="s">
        <v>8</v>
      </c>
      <c r="E1983">
        <v>5439</v>
      </c>
      <c r="F1983" t="s">
        <v>7</v>
      </c>
    </row>
    <row r="1984" spans="1:6">
      <c r="A1984" t="s">
        <v>41</v>
      </c>
      <c r="B1984" t="s">
        <v>26</v>
      </c>
      <c r="C1984">
        <v>2022</v>
      </c>
      <c r="D1984" t="s">
        <v>9</v>
      </c>
      <c r="E1984">
        <v>2974</v>
      </c>
      <c r="F1984" t="s">
        <v>7</v>
      </c>
    </row>
    <row r="1985" spans="1:6">
      <c r="A1985" t="s">
        <v>41</v>
      </c>
      <c r="B1985" t="s">
        <v>26</v>
      </c>
      <c r="C1985">
        <v>2022</v>
      </c>
      <c r="D1985" t="s">
        <v>10</v>
      </c>
      <c r="E1985">
        <v>160</v>
      </c>
      <c r="F1985" t="s">
        <v>11</v>
      </c>
    </row>
    <row r="1986" spans="1:6">
      <c r="A1986" t="s">
        <v>41</v>
      </c>
      <c r="B1986" t="s">
        <v>26</v>
      </c>
      <c r="C1986">
        <v>2030</v>
      </c>
      <c r="D1986" t="s">
        <v>6</v>
      </c>
      <c r="E1986">
        <v>3500</v>
      </c>
      <c r="F1986" t="s">
        <v>7</v>
      </c>
    </row>
    <row r="1987" spans="1:6">
      <c r="A1987" t="s">
        <v>41</v>
      </c>
      <c r="B1987" t="s">
        <v>26</v>
      </c>
      <c r="C1987">
        <v>2030</v>
      </c>
      <c r="D1987" t="s">
        <v>8</v>
      </c>
      <c r="E1987">
        <v>5439</v>
      </c>
      <c r="F1987" t="s">
        <v>7</v>
      </c>
    </row>
    <row r="1988" spans="1:6">
      <c r="A1988" t="s">
        <v>41</v>
      </c>
      <c r="B1988" t="s">
        <v>26</v>
      </c>
      <c r="C1988">
        <v>2030</v>
      </c>
      <c r="D1988" t="s">
        <v>9</v>
      </c>
      <c r="E1988">
        <v>2974</v>
      </c>
      <c r="F1988" t="s">
        <v>7</v>
      </c>
    </row>
    <row r="1989" spans="1:6">
      <c r="A1989" t="s">
        <v>41</v>
      </c>
      <c r="B1989" t="s">
        <v>26</v>
      </c>
      <c r="C1989">
        <v>2030</v>
      </c>
      <c r="D1989" t="s">
        <v>10</v>
      </c>
      <c r="E1989">
        <v>160</v>
      </c>
      <c r="F1989" t="s">
        <v>11</v>
      </c>
    </row>
    <row r="1990" spans="1:6">
      <c r="A1990" t="s">
        <v>41</v>
      </c>
      <c r="B1990" t="s">
        <v>26</v>
      </c>
      <c r="C1990">
        <v>2030</v>
      </c>
      <c r="D1990" t="s">
        <v>164</v>
      </c>
      <c r="E1990">
        <v>0.77800000000000002</v>
      </c>
      <c r="F1990" t="s">
        <v>166</v>
      </c>
    </row>
    <row r="1991" spans="1:6">
      <c r="A1991" t="s">
        <v>41</v>
      </c>
      <c r="B1991" t="s">
        <v>26</v>
      </c>
      <c r="C1991">
        <v>2050</v>
      </c>
      <c r="D1991" t="s">
        <v>6</v>
      </c>
      <c r="E1991">
        <v>3500</v>
      </c>
      <c r="F1991" t="s">
        <v>7</v>
      </c>
    </row>
    <row r="1992" spans="1:6">
      <c r="A1992" t="s">
        <v>41</v>
      </c>
      <c r="B1992" t="s">
        <v>26</v>
      </c>
      <c r="C1992">
        <v>2050</v>
      </c>
      <c r="D1992" t="s">
        <v>8</v>
      </c>
      <c r="E1992">
        <v>6422.2</v>
      </c>
      <c r="F1992" t="s">
        <v>7</v>
      </c>
    </row>
    <row r="1993" spans="1:6">
      <c r="A1993" t="s">
        <v>41</v>
      </c>
      <c r="B1993" t="s">
        <v>26</v>
      </c>
      <c r="C1993">
        <v>2050</v>
      </c>
      <c r="D1993" t="s">
        <v>9</v>
      </c>
      <c r="E1993">
        <v>1984.8</v>
      </c>
      <c r="F1993" t="s">
        <v>7</v>
      </c>
    </row>
    <row r="1994" spans="1:6">
      <c r="A1994" t="s">
        <v>41</v>
      </c>
      <c r="B1994" t="s">
        <v>26</v>
      </c>
      <c r="C1994">
        <v>2050</v>
      </c>
      <c r="D1994" t="s">
        <v>10</v>
      </c>
      <c r="E1994">
        <v>160</v>
      </c>
      <c r="F1994" t="s">
        <v>11</v>
      </c>
    </row>
    <row r="1995" spans="1:6">
      <c r="A1995" t="s">
        <v>41</v>
      </c>
      <c r="B1995" t="s">
        <v>26</v>
      </c>
      <c r="C1995">
        <v>2050</v>
      </c>
      <c r="D1995" t="s">
        <v>164</v>
      </c>
      <c r="E1995">
        <v>0.77800000000000002</v>
      </c>
      <c r="F1995" t="s">
        <v>166</v>
      </c>
    </row>
    <row r="1996" spans="1:6">
      <c r="A1996" t="s">
        <v>41</v>
      </c>
      <c r="B1996" t="s">
        <v>27</v>
      </c>
      <c r="C1996">
        <v>2022</v>
      </c>
      <c r="D1996" t="s">
        <v>6</v>
      </c>
      <c r="E1996">
        <v>4000</v>
      </c>
      <c r="F1996" t="s">
        <v>7</v>
      </c>
    </row>
    <row r="1997" spans="1:6">
      <c r="A1997" t="s">
        <v>41</v>
      </c>
      <c r="B1997" t="s">
        <v>27</v>
      </c>
      <c r="C1997">
        <v>2022</v>
      </c>
      <c r="D1997" t="s">
        <v>8</v>
      </c>
      <c r="E1997">
        <v>6216</v>
      </c>
      <c r="F1997" t="s">
        <v>7</v>
      </c>
    </row>
    <row r="1998" spans="1:6">
      <c r="A1998" t="s">
        <v>41</v>
      </c>
      <c r="B1998" t="s">
        <v>27</v>
      </c>
      <c r="C1998">
        <v>2022</v>
      </c>
      <c r="D1998" t="s">
        <v>9</v>
      </c>
      <c r="E1998">
        <v>3398.8</v>
      </c>
      <c r="F1998" t="s">
        <v>7</v>
      </c>
    </row>
    <row r="1999" spans="1:6">
      <c r="A1999" t="s">
        <v>41</v>
      </c>
      <c r="B1999" t="s">
        <v>27</v>
      </c>
      <c r="C1999">
        <v>2022</v>
      </c>
      <c r="D1999" t="s">
        <v>10</v>
      </c>
      <c r="E1999">
        <v>170</v>
      </c>
      <c r="F1999" t="s">
        <v>11</v>
      </c>
    </row>
    <row r="2000" spans="1:6">
      <c r="A2000" t="s">
        <v>41</v>
      </c>
      <c r="B2000" t="s">
        <v>27</v>
      </c>
      <c r="C2000">
        <v>2030</v>
      </c>
      <c r="D2000" t="s">
        <v>6</v>
      </c>
      <c r="E2000">
        <v>4000</v>
      </c>
      <c r="F2000" t="s">
        <v>7</v>
      </c>
    </row>
    <row r="2001" spans="1:6">
      <c r="A2001" t="s">
        <v>41</v>
      </c>
      <c r="B2001" t="s">
        <v>27</v>
      </c>
      <c r="C2001">
        <v>2030</v>
      </c>
      <c r="D2001" t="s">
        <v>8</v>
      </c>
      <c r="E2001">
        <v>6216</v>
      </c>
      <c r="F2001" t="s">
        <v>7</v>
      </c>
    </row>
    <row r="2002" spans="1:6">
      <c r="A2002" t="s">
        <v>41</v>
      </c>
      <c r="B2002" t="s">
        <v>27</v>
      </c>
      <c r="C2002">
        <v>2030</v>
      </c>
      <c r="D2002" t="s">
        <v>9</v>
      </c>
      <c r="E2002">
        <v>3398.8</v>
      </c>
      <c r="F2002" t="s">
        <v>7</v>
      </c>
    </row>
    <row r="2003" spans="1:6">
      <c r="A2003" t="s">
        <v>41</v>
      </c>
      <c r="B2003" t="s">
        <v>27</v>
      </c>
      <c r="C2003">
        <v>2030</v>
      </c>
      <c r="D2003" t="s">
        <v>10</v>
      </c>
      <c r="E2003">
        <v>170</v>
      </c>
      <c r="F2003" t="s">
        <v>11</v>
      </c>
    </row>
    <row r="2004" spans="1:6">
      <c r="A2004" t="s">
        <v>41</v>
      </c>
      <c r="B2004" t="s">
        <v>27</v>
      </c>
      <c r="C2004">
        <v>2030</v>
      </c>
      <c r="D2004" t="s">
        <v>164</v>
      </c>
      <c r="E2004">
        <v>0.77800000000000002</v>
      </c>
      <c r="F2004" t="s">
        <v>166</v>
      </c>
    </row>
    <row r="2005" spans="1:6">
      <c r="A2005" t="s">
        <v>41</v>
      </c>
      <c r="B2005" t="s">
        <v>27</v>
      </c>
      <c r="C2005">
        <v>2050</v>
      </c>
      <c r="D2005" t="s">
        <v>6</v>
      </c>
      <c r="E2005">
        <v>4000</v>
      </c>
      <c r="F2005" t="s">
        <v>7</v>
      </c>
    </row>
    <row r="2006" spans="1:6">
      <c r="A2006" t="s">
        <v>41</v>
      </c>
      <c r="B2006" t="s">
        <v>27</v>
      </c>
      <c r="C2006">
        <v>2050</v>
      </c>
      <c r="D2006" t="s">
        <v>8</v>
      </c>
      <c r="E2006">
        <v>7339.6</v>
      </c>
      <c r="F2006" t="s">
        <v>7</v>
      </c>
    </row>
    <row r="2007" spans="1:6">
      <c r="A2007" t="s">
        <v>41</v>
      </c>
      <c r="B2007" t="s">
        <v>27</v>
      </c>
      <c r="C2007">
        <v>2050</v>
      </c>
      <c r="D2007" t="s">
        <v>9</v>
      </c>
      <c r="E2007">
        <v>2268.4</v>
      </c>
      <c r="F2007" t="s">
        <v>7</v>
      </c>
    </row>
    <row r="2008" spans="1:6">
      <c r="A2008" t="s">
        <v>41</v>
      </c>
      <c r="B2008" t="s">
        <v>27</v>
      </c>
      <c r="C2008">
        <v>2050</v>
      </c>
      <c r="D2008" t="s">
        <v>10</v>
      </c>
      <c r="E2008">
        <v>170</v>
      </c>
      <c r="F2008" t="s">
        <v>11</v>
      </c>
    </row>
    <row r="2009" spans="1:6">
      <c r="A2009" t="s">
        <v>41</v>
      </c>
      <c r="B2009" t="s">
        <v>27</v>
      </c>
      <c r="C2009">
        <v>2050</v>
      </c>
      <c r="D2009" t="s">
        <v>164</v>
      </c>
      <c r="E2009">
        <v>0.77800000000000002</v>
      </c>
      <c r="F2009" t="s">
        <v>166</v>
      </c>
    </row>
    <row r="2010" spans="1:6">
      <c r="A2010" t="s">
        <v>41</v>
      </c>
      <c r="B2010" t="s">
        <v>28</v>
      </c>
      <c r="C2010">
        <v>2022</v>
      </c>
      <c r="D2010" t="s">
        <v>6</v>
      </c>
      <c r="E2010">
        <v>4000</v>
      </c>
      <c r="F2010" t="s">
        <v>7</v>
      </c>
    </row>
    <row r="2011" spans="1:6">
      <c r="A2011" t="s">
        <v>41</v>
      </c>
      <c r="B2011" t="s">
        <v>28</v>
      </c>
      <c r="C2011">
        <v>2022</v>
      </c>
      <c r="D2011" t="s">
        <v>8</v>
      </c>
      <c r="E2011">
        <v>6216</v>
      </c>
      <c r="F2011" t="s">
        <v>7</v>
      </c>
    </row>
    <row r="2012" spans="1:6">
      <c r="A2012" t="s">
        <v>41</v>
      </c>
      <c r="B2012" t="s">
        <v>28</v>
      </c>
      <c r="C2012">
        <v>2022</v>
      </c>
      <c r="D2012" t="s">
        <v>9</v>
      </c>
      <c r="E2012">
        <v>3398.8</v>
      </c>
      <c r="F2012" t="s">
        <v>7</v>
      </c>
    </row>
    <row r="2013" spans="1:6">
      <c r="A2013" t="s">
        <v>41</v>
      </c>
      <c r="B2013" t="s">
        <v>28</v>
      </c>
      <c r="C2013">
        <v>2022</v>
      </c>
      <c r="D2013" t="s">
        <v>10</v>
      </c>
      <c r="E2013">
        <v>170</v>
      </c>
      <c r="F2013" t="s">
        <v>11</v>
      </c>
    </row>
    <row r="2014" spans="1:6">
      <c r="A2014" t="s">
        <v>41</v>
      </c>
      <c r="B2014" t="s">
        <v>28</v>
      </c>
      <c r="C2014">
        <v>2030</v>
      </c>
      <c r="D2014" t="s">
        <v>6</v>
      </c>
      <c r="E2014">
        <v>4000</v>
      </c>
      <c r="F2014" t="s">
        <v>7</v>
      </c>
    </row>
    <row r="2015" spans="1:6">
      <c r="A2015" t="s">
        <v>41</v>
      </c>
      <c r="B2015" t="s">
        <v>28</v>
      </c>
      <c r="C2015">
        <v>2030</v>
      </c>
      <c r="D2015" t="s">
        <v>8</v>
      </c>
      <c r="E2015">
        <v>6216</v>
      </c>
      <c r="F2015" t="s">
        <v>7</v>
      </c>
    </row>
    <row r="2016" spans="1:6">
      <c r="A2016" t="s">
        <v>41</v>
      </c>
      <c r="B2016" t="s">
        <v>28</v>
      </c>
      <c r="C2016">
        <v>2030</v>
      </c>
      <c r="D2016" t="s">
        <v>9</v>
      </c>
      <c r="E2016">
        <v>3398.8</v>
      </c>
      <c r="F2016" t="s">
        <v>7</v>
      </c>
    </row>
    <row r="2017" spans="1:6">
      <c r="A2017" t="s">
        <v>41</v>
      </c>
      <c r="B2017" t="s">
        <v>28</v>
      </c>
      <c r="C2017">
        <v>2030</v>
      </c>
      <c r="D2017" t="s">
        <v>10</v>
      </c>
      <c r="E2017">
        <v>170</v>
      </c>
      <c r="F2017" t="s">
        <v>11</v>
      </c>
    </row>
    <row r="2018" spans="1:6">
      <c r="A2018" t="s">
        <v>41</v>
      </c>
      <c r="B2018" t="s">
        <v>28</v>
      </c>
      <c r="C2018">
        <v>2030</v>
      </c>
      <c r="D2018" t="s">
        <v>164</v>
      </c>
      <c r="E2018">
        <v>0.77800000000000002</v>
      </c>
      <c r="F2018" t="s">
        <v>166</v>
      </c>
    </row>
    <row r="2019" spans="1:6">
      <c r="A2019" t="s">
        <v>41</v>
      </c>
      <c r="B2019" t="s">
        <v>28</v>
      </c>
      <c r="C2019">
        <v>2050</v>
      </c>
      <c r="D2019" t="s">
        <v>6</v>
      </c>
      <c r="E2019">
        <v>4000</v>
      </c>
      <c r="F2019" t="s">
        <v>7</v>
      </c>
    </row>
    <row r="2020" spans="1:6">
      <c r="A2020" t="s">
        <v>41</v>
      </c>
      <c r="B2020" t="s">
        <v>28</v>
      </c>
      <c r="C2020">
        <v>2050</v>
      </c>
      <c r="D2020" t="s">
        <v>8</v>
      </c>
      <c r="E2020">
        <v>7339.6</v>
      </c>
      <c r="F2020" t="s">
        <v>7</v>
      </c>
    </row>
    <row r="2021" spans="1:6">
      <c r="A2021" t="s">
        <v>41</v>
      </c>
      <c r="B2021" t="s">
        <v>28</v>
      </c>
      <c r="C2021">
        <v>2050</v>
      </c>
      <c r="D2021" t="s">
        <v>9</v>
      </c>
      <c r="E2021">
        <v>2268.4</v>
      </c>
      <c r="F2021" t="s">
        <v>7</v>
      </c>
    </row>
    <row r="2022" spans="1:6">
      <c r="A2022" t="s">
        <v>41</v>
      </c>
      <c r="B2022" t="s">
        <v>28</v>
      </c>
      <c r="C2022">
        <v>2050</v>
      </c>
      <c r="D2022" t="s">
        <v>10</v>
      </c>
      <c r="E2022">
        <v>170</v>
      </c>
      <c r="F2022" t="s">
        <v>11</v>
      </c>
    </row>
    <row r="2023" spans="1:6">
      <c r="A2023" t="s">
        <v>41</v>
      </c>
      <c r="B2023" t="s">
        <v>28</v>
      </c>
      <c r="C2023">
        <v>2050</v>
      </c>
      <c r="D2023" t="s">
        <v>164</v>
      </c>
      <c r="E2023">
        <v>0.77800000000000002</v>
      </c>
      <c r="F2023" t="s">
        <v>166</v>
      </c>
    </row>
    <row r="2024" spans="1:6">
      <c r="A2024" t="s">
        <v>42</v>
      </c>
      <c r="B2024" t="s">
        <v>20</v>
      </c>
      <c r="C2024">
        <v>2022</v>
      </c>
      <c r="D2024" t="s">
        <v>6</v>
      </c>
      <c r="E2024">
        <v>990</v>
      </c>
      <c r="F2024" t="s">
        <v>7</v>
      </c>
    </row>
    <row r="2025" spans="1:6">
      <c r="A2025" t="s">
        <v>42</v>
      </c>
      <c r="B2025" t="s">
        <v>20</v>
      </c>
      <c r="C2025">
        <v>2022</v>
      </c>
      <c r="D2025" t="s">
        <v>8</v>
      </c>
      <c r="E2025">
        <v>990</v>
      </c>
      <c r="F2025" t="s">
        <v>7</v>
      </c>
    </row>
    <row r="2026" spans="1:6">
      <c r="A2026" t="s">
        <v>42</v>
      </c>
      <c r="B2026" t="s">
        <v>20</v>
      </c>
      <c r="C2026">
        <v>2022</v>
      </c>
      <c r="D2026" t="s">
        <v>9</v>
      </c>
      <c r="E2026">
        <v>990</v>
      </c>
      <c r="F2026" t="s">
        <v>7</v>
      </c>
    </row>
    <row r="2027" spans="1:6">
      <c r="A2027" t="s">
        <v>42</v>
      </c>
      <c r="B2027" t="s">
        <v>20</v>
      </c>
      <c r="C2027">
        <v>2022</v>
      </c>
      <c r="D2027" t="s">
        <v>10</v>
      </c>
      <c r="E2027">
        <v>14</v>
      </c>
      <c r="F2027" t="s">
        <v>11</v>
      </c>
    </row>
    <row r="2028" spans="1:6">
      <c r="A2028" t="s">
        <v>42</v>
      </c>
      <c r="B2028" t="s">
        <v>20</v>
      </c>
      <c r="C2028">
        <v>2022</v>
      </c>
      <c r="D2028" t="s">
        <v>12</v>
      </c>
      <c r="E2028">
        <v>1</v>
      </c>
      <c r="F2028" t="s">
        <v>13</v>
      </c>
    </row>
    <row r="2029" spans="1:6">
      <c r="A2029" t="s">
        <v>42</v>
      </c>
      <c r="B2029" t="s">
        <v>20</v>
      </c>
      <c r="C2029">
        <v>2022</v>
      </c>
      <c r="D2029" t="s">
        <v>14</v>
      </c>
      <c r="E2029">
        <v>0.14000000000000001</v>
      </c>
      <c r="F2029" t="s">
        <v>15</v>
      </c>
    </row>
    <row r="2030" spans="1:6">
      <c r="A2030" t="s">
        <v>42</v>
      </c>
      <c r="B2030" t="s">
        <v>20</v>
      </c>
      <c r="C2030">
        <v>2022</v>
      </c>
      <c r="D2030" t="s">
        <v>164</v>
      </c>
      <c r="E2030">
        <v>0</v>
      </c>
      <c r="F2030" t="s">
        <v>166</v>
      </c>
    </row>
    <row r="2031" spans="1:6">
      <c r="A2031" t="s">
        <v>42</v>
      </c>
      <c r="B2031" t="s">
        <v>20</v>
      </c>
      <c r="C2031">
        <v>2030</v>
      </c>
      <c r="D2031" t="s">
        <v>6</v>
      </c>
      <c r="E2031">
        <v>620</v>
      </c>
      <c r="F2031" t="s">
        <v>7</v>
      </c>
    </row>
    <row r="2032" spans="1:6">
      <c r="A2032" t="s">
        <v>42</v>
      </c>
      <c r="B2032" t="s">
        <v>20</v>
      </c>
      <c r="C2032">
        <v>2030</v>
      </c>
      <c r="D2032" t="s">
        <v>8</v>
      </c>
      <c r="E2032">
        <v>709.1</v>
      </c>
      <c r="F2032" t="s">
        <v>7</v>
      </c>
    </row>
    <row r="2033" spans="1:6">
      <c r="A2033" t="s">
        <v>42</v>
      </c>
      <c r="B2033" t="s">
        <v>20</v>
      </c>
      <c r="C2033">
        <v>2030</v>
      </c>
      <c r="D2033" t="s">
        <v>9</v>
      </c>
      <c r="E2033">
        <v>555.6</v>
      </c>
      <c r="F2033" t="s">
        <v>7</v>
      </c>
    </row>
    <row r="2034" spans="1:6">
      <c r="A2034" t="s">
        <v>42</v>
      </c>
      <c r="B2034" t="s">
        <v>20</v>
      </c>
      <c r="C2034">
        <v>2030</v>
      </c>
      <c r="D2034" t="s">
        <v>10</v>
      </c>
      <c r="E2034">
        <v>14</v>
      </c>
      <c r="F2034" t="s">
        <v>11</v>
      </c>
    </row>
    <row r="2035" spans="1:6">
      <c r="A2035" t="s">
        <v>42</v>
      </c>
      <c r="B2035" t="s">
        <v>20</v>
      </c>
      <c r="C2035">
        <v>2030</v>
      </c>
      <c r="D2035" t="s">
        <v>12</v>
      </c>
      <c r="E2035">
        <v>1</v>
      </c>
      <c r="F2035" t="s">
        <v>13</v>
      </c>
    </row>
    <row r="2036" spans="1:6">
      <c r="A2036" t="s">
        <v>42</v>
      </c>
      <c r="B2036" t="s">
        <v>20</v>
      </c>
      <c r="C2036">
        <v>2030</v>
      </c>
      <c r="D2036" t="s">
        <v>14</v>
      </c>
      <c r="E2036">
        <v>0.14000000000000001</v>
      </c>
      <c r="F2036" t="s">
        <v>15</v>
      </c>
    </row>
    <row r="2037" spans="1:6">
      <c r="A2037" t="s">
        <v>42</v>
      </c>
      <c r="B2037" t="s">
        <v>20</v>
      </c>
      <c r="C2037">
        <v>2030</v>
      </c>
      <c r="D2037" t="s">
        <v>164</v>
      </c>
      <c r="E2037">
        <v>0</v>
      </c>
      <c r="F2037" t="s">
        <v>166</v>
      </c>
    </row>
    <row r="2038" spans="1:6">
      <c r="A2038" t="s">
        <v>42</v>
      </c>
      <c r="B2038" t="s">
        <v>20</v>
      </c>
      <c r="C2038">
        <v>2050</v>
      </c>
      <c r="D2038" t="s">
        <v>6</v>
      </c>
      <c r="E2038">
        <v>450</v>
      </c>
      <c r="F2038" t="s">
        <v>7</v>
      </c>
    </row>
    <row r="2039" spans="1:6">
      <c r="A2039" t="s">
        <v>42</v>
      </c>
      <c r="B2039" t="s">
        <v>20</v>
      </c>
      <c r="C2039">
        <v>2050</v>
      </c>
      <c r="D2039" t="s">
        <v>8</v>
      </c>
      <c r="E2039">
        <v>590</v>
      </c>
      <c r="F2039" t="s">
        <v>7</v>
      </c>
    </row>
    <row r="2040" spans="1:6">
      <c r="A2040" t="s">
        <v>42</v>
      </c>
      <c r="B2040" t="s">
        <v>20</v>
      </c>
      <c r="C2040">
        <v>2050</v>
      </c>
      <c r="D2040" t="s">
        <v>9</v>
      </c>
      <c r="E2040">
        <v>370.7</v>
      </c>
      <c r="F2040" t="s">
        <v>7</v>
      </c>
    </row>
    <row r="2041" spans="1:6">
      <c r="A2041" t="s">
        <v>42</v>
      </c>
      <c r="B2041" t="s">
        <v>20</v>
      </c>
      <c r="C2041">
        <v>2050</v>
      </c>
      <c r="D2041" t="s">
        <v>10</v>
      </c>
      <c r="E2041">
        <v>12</v>
      </c>
      <c r="F2041" t="s">
        <v>11</v>
      </c>
    </row>
    <row r="2042" spans="1:6">
      <c r="A2042" t="s">
        <v>42</v>
      </c>
      <c r="B2042" t="s">
        <v>20</v>
      </c>
      <c r="C2042">
        <v>2050</v>
      </c>
      <c r="D2042" t="s">
        <v>12</v>
      </c>
      <c r="E2042">
        <v>1</v>
      </c>
      <c r="F2042" t="s">
        <v>13</v>
      </c>
    </row>
    <row r="2043" spans="1:6">
      <c r="A2043" t="s">
        <v>42</v>
      </c>
      <c r="B2043" t="s">
        <v>20</v>
      </c>
      <c r="C2043">
        <v>2050</v>
      </c>
      <c r="D2043" t="s">
        <v>14</v>
      </c>
      <c r="E2043">
        <v>0.14000000000000001</v>
      </c>
      <c r="F2043" t="s">
        <v>15</v>
      </c>
    </row>
    <row r="2044" spans="1:6">
      <c r="A2044" t="s">
        <v>42</v>
      </c>
      <c r="B2044" t="s">
        <v>20</v>
      </c>
      <c r="C2044">
        <v>2050</v>
      </c>
      <c r="D2044" t="s">
        <v>164</v>
      </c>
      <c r="E2044">
        <v>0</v>
      </c>
      <c r="F2044" t="s">
        <v>166</v>
      </c>
    </row>
    <row r="2045" spans="1:6">
      <c r="A2045" t="s">
        <v>42</v>
      </c>
      <c r="B2045" t="s">
        <v>21</v>
      </c>
      <c r="C2045">
        <v>2022</v>
      </c>
      <c r="D2045" t="s">
        <v>6</v>
      </c>
      <c r="E2045">
        <v>1120</v>
      </c>
      <c r="F2045" t="s">
        <v>7</v>
      </c>
    </row>
    <row r="2046" spans="1:6">
      <c r="A2046" t="s">
        <v>42</v>
      </c>
      <c r="B2046" t="s">
        <v>21</v>
      </c>
      <c r="C2046">
        <v>2022</v>
      </c>
      <c r="D2046" t="s">
        <v>8</v>
      </c>
      <c r="E2046">
        <v>1120</v>
      </c>
      <c r="F2046" t="s">
        <v>7</v>
      </c>
    </row>
    <row r="2047" spans="1:6">
      <c r="A2047" t="s">
        <v>42</v>
      </c>
      <c r="B2047" t="s">
        <v>21</v>
      </c>
      <c r="C2047">
        <v>2022</v>
      </c>
      <c r="D2047" t="s">
        <v>9</v>
      </c>
      <c r="E2047">
        <v>1120</v>
      </c>
      <c r="F2047" t="s">
        <v>7</v>
      </c>
    </row>
    <row r="2048" spans="1:6">
      <c r="A2048" t="s">
        <v>42</v>
      </c>
      <c r="B2048" t="s">
        <v>21</v>
      </c>
      <c r="C2048">
        <v>2022</v>
      </c>
      <c r="D2048" t="s">
        <v>10</v>
      </c>
      <c r="E2048">
        <v>16</v>
      </c>
      <c r="F2048" t="s">
        <v>11</v>
      </c>
    </row>
    <row r="2049" spans="1:6">
      <c r="A2049" t="s">
        <v>42</v>
      </c>
      <c r="B2049" t="s">
        <v>21</v>
      </c>
      <c r="C2049">
        <v>2022</v>
      </c>
      <c r="D2049" t="s">
        <v>12</v>
      </c>
      <c r="E2049">
        <v>1</v>
      </c>
      <c r="F2049" t="s">
        <v>13</v>
      </c>
    </row>
    <row r="2050" spans="1:6">
      <c r="A2050" t="s">
        <v>42</v>
      </c>
      <c r="B2050" t="s">
        <v>21</v>
      </c>
      <c r="C2050">
        <v>2022</v>
      </c>
      <c r="D2050" t="s">
        <v>14</v>
      </c>
      <c r="E2050">
        <v>0.21</v>
      </c>
      <c r="F2050" t="s">
        <v>15</v>
      </c>
    </row>
    <row r="2051" spans="1:6">
      <c r="A2051" t="s">
        <v>42</v>
      </c>
      <c r="B2051" t="s">
        <v>21</v>
      </c>
      <c r="C2051">
        <v>2022</v>
      </c>
      <c r="D2051" t="s">
        <v>164</v>
      </c>
      <c r="E2051">
        <v>0</v>
      </c>
      <c r="F2051" t="s">
        <v>166</v>
      </c>
    </row>
    <row r="2052" spans="1:6">
      <c r="A2052" t="s">
        <v>42</v>
      </c>
      <c r="B2052" t="s">
        <v>21</v>
      </c>
      <c r="C2052">
        <v>2030</v>
      </c>
      <c r="D2052" t="s">
        <v>6</v>
      </c>
      <c r="E2052">
        <v>690</v>
      </c>
      <c r="F2052" t="s">
        <v>7</v>
      </c>
    </row>
    <row r="2053" spans="1:6">
      <c r="A2053" t="s">
        <v>42</v>
      </c>
      <c r="B2053" t="s">
        <v>21</v>
      </c>
      <c r="C2053">
        <v>2030</v>
      </c>
      <c r="D2053" t="s">
        <v>8</v>
      </c>
      <c r="E2053">
        <v>789.2</v>
      </c>
      <c r="F2053" t="s">
        <v>7</v>
      </c>
    </row>
    <row r="2054" spans="1:6">
      <c r="A2054" t="s">
        <v>42</v>
      </c>
      <c r="B2054" t="s">
        <v>21</v>
      </c>
      <c r="C2054">
        <v>2030</v>
      </c>
      <c r="D2054" t="s">
        <v>9</v>
      </c>
      <c r="E2054">
        <v>618.4</v>
      </c>
      <c r="F2054" t="s">
        <v>7</v>
      </c>
    </row>
    <row r="2055" spans="1:6">
      <c r="A2055" t="s">
        <v>42</v>
      </c>
      <c r="B2055" t="s">
        <v>21</v>
      </c>
      <c r="C2055">
        <v>2030</v>
      </c>
      <c r="D2055" t="s">
        <v>10</v>
      </c>
      <c r="E2055">
        <v>16</v>
      </c>
      <c r="F2055" t="s">
        <v>11</v>
      </c>
    </row>
    <row r="2056" spans="1:6">
      <c r="A2056" t="s">
        <v>42</v>
      </c>
      <c r="B2056" t="s">
        <v>21</v>
      </c>
      <c r="C2056">
        <v>2030</v>
      </c>
      <c r="D2056" t="s">
        <v>12</v>
      </c>
      <c r="E2056">
        <v>1</v>
      </c>
      <c r="F2056" t="s">
        <v>13</v>
      </c>
    </row>
    <row r="2057" spans="1:6">
      <c r="A2057" t="s">
        <v>42</v>
      </c>
      <c r="B2057" t="s">
        <v>21</v>
      </c>
      <c r="C2057">
        <v>2030</v>
      </c>
      <c r="D2057" t="s">
        <v>14</v>
      </c>
      <c r="E2057">
        <v>0.22</v>
      </c>
      <c r="F2057" t="s">
        <v>15</v>
      </c>
    </row>
    <row r="2058" spans="1:6">
      <c r="A2058" t="s">
        <v>42</v>
      </c>
      <c r="B2058" t="s">
        <v>21</v>
      </c>
      <c r="C2058">
        <v>2030</v>
      </c>
      <c r="D2058" t="s">
        <v>164</v>
      </c>
      <c r="E2058">
        <v>0</v>
      </c>
      <c r="F2058" t="s">
        <v>166</v>
      </c>
    </row>
    <row r="2059" spans="1:6">
      <c r="A2059" t="s">
        <v>42</v>
      </c>
      <c r="B2059" t="s">
        <v>21</v>
      </c>
      <c r="C2059">
        <v>2050</v>
      </c>
      <c r="D2059" t="s">
        <v>6</v>
      </c>
      <c r="E2059">
        <v>480</v>
      </c>
      <c r="F2059" t="s">
        <v>7</v>
      </c>
    </row>
    <row r="2060" spans="1:6">
      <c r="A2060" t="s">
        <v>42</v>
      </c>
      <c r="B2060" t="s">
        <v>21</v>
      </c>
      <c r="C2060">
        <v>2050</v>
      </c>
      <c r="D2060" t="s">
        <v>8</v>
      </c>
      <c r="E2060">
        <v>629.29999999999995</v>
      </c>
      <c r="F2060" t="s">
        <v>7</v>
      </c>
    </row>
    <row r="2061" spans="1:6">
      <c r="A2061" t="s">
        <v>42</v>
      </c>
      <c r="B2061" t="s">
        <v>21</v>
      </c>
      <c r="C2061">
        <v>2050</v>
      </c>
      <c r="D2061" t="s">
        <v>9</v>
      </c>
      <c r="E2061">
        <v>395.4</v>
      </c>
      <c r="F2061" t="s">
        <v>7</v>
      </c>
    </row>
    <row r="2062" spans="1:6">
      <c r="A2062" t="s">
        <v>42</v>
      </c>
      <c r="B2062" t="s">
        <v>21</v>
      </c>
      <c r="C2062">
        <v>2050</v>
      </c>
      <c r="D2062" t="s">
        <v>10</v>
      </c>
      <c r="E2062">
        <v>16</v>
      </c>
      <c r="F2062" t="s">
        <v>11</v>
      </c>
    </row>
    <row r="2063" spans="1:6">
      <c r="A2063" t="s">
        <v>42</v>
      </c>
      <c r="B2063" t="s">
        <v>21</v>
      </c>
      <c r="C2063">
        <v>2050</v>
      </c>
      <c r="D2063" t="s">
        <v>12</v>
      </c>
      <c r="E2063">
        <v>1</v>
      </c>
      <c r="F2063" t="s">
        <v>13</v>
      </c>
    </row>
    <row r="2064" spans="1:6">
      <c r="A2064" t="s">
        <v>42</v>
      </c>
      <c r="B2064" t="s">
        <v>21</v>
      </c>
      <c r="C2064">
        <v>2050</v>
      </c>
      <c r="D2064" t="s">
        <v>14</v>
      </c>
      <c r="E2064">
        <v>0.23</v>
      </c>
      <c r="F2064" t="s">
        <v>15</v>
      </c>
    </row>
    <row r="2065" spans="1:6">
      <c r="A2065" t="s">
        <v>42</v>
      </c>
      <c r="B2065" t="s">
        <v>21</v>
      </c>
      <c r="C2065">
        <v>2050</v>
      </c>
      <c r="D2065" t="s">
        <v>164</v>
      </c>
      <c r="E2065">
        <v>0</v>
      </c>
      <c r="F2065" t="s">
        <v>166</v>
      </c>
    </row>
    <row r="2066" spans="1:6">
      <c r="A2066" t="s">
        <v>42</v>
      </c>
      <c r="B2066" t="s">
        <v>22</v>
      </c>
      <c r="C2066">
        <v>2022</v>
      </c>
      <c r="D2066" t="s">
        <v>6</v>
      </c>
      <c r="E2066">
        <v>1910</v>
      </c>
      <c r="F2066" t="s">
        <v>7</v>
      </c>
    </row>
    <row r="2067" spans="1:6">
      <c r="A2067" t="s">
        <v>42</v>
      </c>
      <c r="B2067" t="s">
        <v>22</v>
      </c>
      <c r="C2067">
        <v>2022</v>
      </c>
      <c r="D2067" t="s">
        <v>8</v>
      </c>
      <c r="E2067">
        <v>1910</v>
      </c>
      <c r="F2067" t="s">
        <v>7</v>
      </c>
    </row>
    <row r="2068" spans="1:6">
      <c r="A2068" t="s">
        <v>42</v>
      </c>
      <c r="B2068" t="s">
        <v>22</v>
      </c>
      <c r="C2068">
        <v>2022</v>
      </c>
      <c r="D2068" t="s">
        <v>9</v>
      </c>
      <c r="E2068">
        <v>1910</v>
      </c>
      <c r="F2068" t="s">
        <v>7</v>
      </c>
    </row>
    <row r="2069" spans="1:6">
      <c r="A2069" t="s">
        <v>42</v>
      </c>
      <c r="B2069" t="s">
        <v>22</v>
      </c>
      <c r="C2069">
        <v>2022</v>
      </c>
      <c r="D2069" t="s">
        <v>10</v>
      </c>
      <c r="E2069">
        <v>28</v>
      </c>
      <c r="F2069" t="s">
        <v>11</v>
      </c>
    </row>
    <row r="2070" spans="1:6">
      <c r="A2070" t="s">
        <v>42</v>
      </c>
      <c r="B2070" t="s">
        <v>22</v>
      </c>
      <c r="C2070">
        <v>2022</v>
      </c>
      <c r="D2070" t="s">
        <v>12</v>
      </c>
      <c r="E2070">
        <v>1</v>
      </c>
      <c r="F2070" t="s">
        <v>13</v>
      </c>
    </row>
    <row r="2071" spans="1:6">
      <c r="A2071" t="s">
        <v>42</v>
      </c>
      <c r="B2071" t="s">
        <v>22</v>
      </c>
      <c r="C2071">
        <v>2022</v>
      </c>
      <c r="D2071" t="s">
        <v>14</v>
      </c>
      <c r="E2071">
        <v>0.14000000000000001</v>
      </c>
      <c r="F2071" t="s">
        <v>15</v>
      </c>
    </row>
    <row r="2072" spans="1:6">
      <c r="A2072" t="s">
        <v>42</v>
      </c>
      <c r="B2072" t="s">
        <v>22</v>
      </c>
      <c r="C2072">
        <v>2022</v>
      </c>
      <c r="D2072" t="s">
        <v>164</v>
      </c>
      <c r="E2072">
        <v>0</v>
      </c>
      <c r="F2072" t="s">
        <v>166</v>
      </c>
    </row>
    <row r="2073" spans="1:6">
      <c r="A2073" t="s">
        <v>42</v>
      </c>
      <c r="B2073" t="s">
        <v>22</v>
      </c>
      <c r="C2073">
        <v>2030</v>
      </c>
      <c r="D2073" t="s">
        <v>6</v>
      </c>
      <c r="E2073">
        <v>1250</v>
      </c>
      <c r="F2073" t="s">
        <v>7</v>
      </c>
    </row>
    <row r="2074" spans="1:6">
      <c r="A2074" t="s">
        <v>42</v>
      </c>
      <c r="B2074" t="s">
        <v>22</v>
      </c>
      <c r="C2074">
        <v>2030</v>
      </c>
      <c r="D2074" t="s">
        <v>8</v>
      </c>
      <c r="E2074">
        <v>1429.6</v>
      </c>
      <c r="F2074" t="s">
        <v>7</v>
      </c>
    </row>
    <row r="2075" spans="1:6">
      <c r="A2075" t="s">
        <v>42</v>
      </c>
      <c r="B2075" t="s">
        <v>22</v>
      </c>
      <c r="C2075">
        <v>2030</v>
      </c>
      <c r="D2075" t="s">
        <v>9</v>
      </c>
      <c r="E2075">
        <v>1120.2</v>
      </c>
      <c r="F2075" t="s">
        <v>7</v>
      </c>
    </row>
    <row r="2076" spans="1:6">
      <c r="A2076" t="s">
        <v>42</v>
      </c>
      <c r="B2076" t="s">
        <v>22</v>
      </c>
      <c r="C2076">
        <v>2030</v>
      </c>
      <c r="D2076" t="s">
        <v>10</v>
      </c>
      <c r="E2076">
        <v>26</v>
      </c>
      <c r="F2076" t="s">
        <v>11</v>
      </c>
    </row>
    <row r="2077" spans="1:6">
      <c r="A2077" t="s">
        <v>42</v>
      </c>
      <c r="B2077" t="s">
        <v>22</v>
      </c>
      <c r="C2077">
        <v>2030</v>
      </c>
      <c r="D2077" t="s">
        <v>12</v>
      </c>
      <c r="E2077">
        <v>1</v>
      </c>
      <c r="F2077" t="s">
        <v>13</v>
      </c>
    </row>
    <row r="2078" spans="1:6">
      <c r="A2078" t="s">
        <v>42</v>
      </c>
      <c r="B2078" t="s">
        <v>22</v>
      </c>
      <c r="C2078">
        <v>2030</v>
      </c>
      <c r="D2078" t="s">
        <v>14</v>
      </c>
      <c r="E2078">
        <v>0.14000000000000001</v>
      </c>
      <c r="F2078" t="s">
        <v>15</v>
      </c>
    </row>
    <row r="2079" spans="1:6">
      <c r="A2079" t="s">
        <v>42</v>
      </c>
      <c r="B2079" t="s">
        <v>22</v>
      </c>
      <c r="C2079">
        <v>2030</v>
      </c>
      <c r="D2079" t="s">
        <v>164</v>
      </c>
      <c r="E2079">
        <v>0</v>
      </c>
      <c r="F2079" t="s">
        <v>166</v>
      </c>
    </row>
    <row r="2080" spans="1:6">
      <c r="A2080" t="s">
        <v>42</v>
      </c>
      <c r="B2080" t="s">
        <v>22</v>
      </c>
      <c r="C2080">
        <v>2050</v>
      </c>
      <c r="D2080" t="s">
        <v>6</v>
      </c>
      <c r="E2080">
        <v>940</v>
      </c>
      <c r="F2080" t="s">
        <v>7</v>
      </c>
    </row>
    <row r="2081" spans="1:6">
      <c r="A2081" t="s">
        <v>42</v>
      </c>
      <c r="B2081" t="s">
        <v>22</v>
      </c>
      <c r="C2081">
        <v>2050</v>
      </c>
      <c r="D2081" t="s">
        <v>8</v>
      </c>
      <c r="E2081">
        <v>1232.4000000000001</v>
      </c>
      <c r="F2081" t="s">
        <v>7</v>
      </c>
    </row>
    <row r="2082" spans="1:6">
      <c r="A2082" t="s">
        <v>42</v>
      </c>
      <c r="B2082" t="s">
        <v>22</v>
      </c>
      <c r="C2082">
        <v>2050</v>
      </c>
      <c r="D2082" t="s">
        <v>9</v>
      </c>
      <c r="E2082">
        <v>774.4</v>
      </c>
      <c r="F2082" t="s">
        <v>7</v>
      </c>
    </row>
    <row r="2083" spans="1:6">
      <c r="A2083" t="s">
        <v>42</v>
      </c>
      <c r="B2083" t="s">
        <v>22</v>
      </c>
      <c r="C2083">
        <v>2050</v>
      </c>
      <c r="D2083" t="s">
        <v>10</v>
      </c>
      <c r="E2083">
        <v>24</v>
      </c>
      <c r="F2083" t="s">
        <v>11</v>
      </c>
    </row>
    <row r="2084" spans="1:6">
      <c r="A2084" t="s">
        <v>42</v>
      </c>
      <c r="B2084" t="s">
        <v>22</v>
      </c>
      <c r="C2084">
        <v>2050</v>
      </c>
      <c r="D2084" t="s">
        <v>12</v>
      </c>
      <c r="E2084">
        <v>1</v>
      </c>
      <c r="F2084" t="s">
        <v>13</v>
      </c>
    </row>
    <row r="2085" spans="1:6">
      <c r="A2085" t="s">
        <v>42</v>
      </c>
      <c r="B2085" t="s">
        <v>22</v>
      </c>
      <c r="C2085">
        <v>2050</v>
      </c>
      <c r="D2085" t="s">
        <v>14</v>
      </c>
      <c r="E2085">
        <v>0.14000000000000001</v>
      </c>
      <c r="F2085" t="s">
        <v>15</v>
      </c>
    </row>
    <row r="2086" spans="1:6">
      <c r="A2086" t="s">
        <v>42</v>
      </c>
      <c r="B2086" t="s">
        <v>22</v>
      </c>
      <c r="C2086">
        <v>2050</v>
      </c>
      <c r="D2086" t="s">
        <v>164</v>
      </c>
      <c r="E2086">
        <v>0</v>
      </c>
      <c r="F2086" t="s">
        <v>166</v>
      </c>
    </row>
    <row r="2087" spans="1:6">
      <c r="A2087" t="s">
        <v>42</v>
      </c>
      <c r="B2087" t="s">
        <v>23</v>
      </c>
      <c r="C2087">
        <v>2022</v>
      </c>
      <c r="D2087" t="s">
        <v>6</v>
      </c>
      <c r="E2087">
        <v>1710</v>
      </c>
      <c r="F2087" t="s">
        <v>7</v>
      </c>
    </row>
    <row r="2088" spans="1:6">
      <c r="A2088" t="s">
        <v>42</v>
      </c>
      <c r="B2088" t="s">
        <v>23</v>
      </c>
      <c r="C2088">
        <v>2022</v>
      </c>
      <c r="D2088" t="s">
        <v>8</v>
      </c>
      <c r="E2088">
        <v>1710</v>
      </c>
      <c r="F2088" t="s">
        <v>7</v>
      </c>
    </row>
    <row r="2089" spans="1:6">
      <c r="A2089" t="s">
        <v>42</v>
      </c>
      <c r="B2089" t="s">
        <v>23</v>
      </c>
      <c r="C2089">
        <v>2022</v>
      </c>
      <c r="D2089" t="s">
        <v>9</v>
      </c>
      <c r="E2089">
        <v>1710</v>
      </c>
      <c r="F2089" t="s">
        <v>7</v>
      </c>
    </row>
    <row r="2090" spans="1:6">
      <c r="A2090" t="s">
        <v>42</v>
      </c>
      <c r="B2090" t="s">
        <v>23</v>
      </c>
      <c r="C2090">
        <v>2022</v>
      </c>
      <c r="D2090" t="s">
        <v>10</v>
      </c>
      <c r="E2090">
        <v>26</v>
      </c>
      <c r="F2090" t="s">
        <v>11</v>
      </c>
    </row>
    <row r="2091" spans="1:6">
      <c r="A2091" t="s">
        <v>42</v>
      </c>
      <c r="B2091" t="s">
        <v>23</v>
      </c>
      <c r="C2091">
        <v>2022</v>
      </c>
      <c r="D2091" t="s">
        <v>12</v>
      </c>
      <c r="E2091">
        <v>1</v>
      </c>
      <c r="F2091" t="s">
        <v>13</v>
      </c>
    </row>
    <row r="2092" spans="1:6">
      <c r="A2092" t="s">
        <v>42</v>
      </c>
      <c r="B2092" t="s">
        <v>23</v>
      </c>
      <c r="C2092">
        <v>2022</v>
      </c>
      <c r="D2092" t="s">
        <v>14</v>
      </c>
      <c r="E2092">
        <v>0.13</v>
      </c>
      <c r="F2092" t="s">
        <v>15</v>
      </c>
    </row>
    <row r="2093" spans="1:6">
      <c r="A2093" t="s">
        <v>42</v>
      </c>
      <c r="B2093" t="s">
        <v>23</v>
      </c>
      <c r="C2093">
        <v>2022</v>
      </c>
      <c r="D2093" t="s">
        <v>164</v>
      </c>
      <c r="E2093">
        <v>0</v>
      </c>
      <c r="F2093" t="s">
        <v>166</v>
      </c>
    </row>
    <row r="2094" spans="1:6">
      <c r="A2094" t="s">
        <v>42</v>
      </c>
      <c r="B2094" t="s">
        <v>23</v>
      </c>
      <c r="C2094">
        <v>2030</v>
      </c>
      <c r="D2094" t="s">
        <v>6</v>
      </c>
      <c r="E2094">
        <v>1090</v>
      </c>
      <c r="F2094" t="s">
        <v>7</v>
      </c>
    </row>
    <row r="2095" spans="1:6">
      <c r="A2095" t="s">
        <v>42</v>
      </c>
      <c r="B2095" t="s">
        <v>23</v>
      </c>
      <c r="C2095">
        <v>2030</v>
      </c>
      <c r="D2095" t="s">
        <v>8</v>
      </c>
      <c r="E2095">
        <v>1246.5999999999999</v>
      </c>
      <c r="F2095" t="s">
        <v>7</v>
      </c>
    </row>
    <row r="2096" spans="1:6">
      <c r="A2096" t="s">
        <v>42</v>
      </c>
      <c r="B2096" t="s">
        <v>23</v>
      </c>
      <c r="C2096">
        <v>2030</v>
      </c>
      <c r="D2096" t="s">
        <v>9</v>
      </c>
      <c r="E2096">
        <v>976.9</v>
      </c>
      <c r="F2096" t="s">
        <v>7</v>
      </c>
    </row>
    <row r="2097" spans="1:6">
      <c r="A2097" t="s">
        <v>42</v>
      </c>
      <c r="B2097" t="s">
        <v>23</v>
      </c>
      <c r="C2097">
        <v>2030</v>
      </c>
      <c r="D2097" t="s">
        <v>10</v>
      </c>
      <c r="E2097">
        <v>24</v>
      </c>
      <c r="F2097" t="s">
        <v>11</v>
      </c>
    </row>
    <row r="2098" spans="1:6">
      <c r="A2098" t="s">
        <v>42</v>
      </c>
      <c r="B2098" t="s">
        <v>23</v>
      </c>
      <c r="C2098">
        <v>2030</v>
      </c>
      <c r="D2098" t="s">
        <v>12</v>
      </c>
      <c r="E2098">
        <v>1</v>
      </c>
      <c r="F2098" t="s">
        <v>13</v>
      </c>
    </row>
    <row r="2099" spans="1:6">
      <c r="A2099" t="s">
        <v>42</v>
      </c>
      <c r="B2099" t="s">
        <v>23</v>
      </c>
      <c r="C2099">
        <v>2030</v>
      </c>
      <c r="D2099" t="s">
        <v>14</v>
      </c>
      <c r="E2099">
        <v>0.13</v>
      </c>
      <c r="F2099" t="s">
        <v>15</v>
      </c>
    </row>
    <row r="2100" spans="1:6">
      <c r="A2100" t="s">
        <v>42</v>
      </c>
      <c r="B2100" t="s">
        <v>23</v>
      </c>
      <c r="C2100">
        <v>2030</v>
      </c>
      <c r="D2100" t="s">
        <v>164</v>
      </c>
      <c r="E2100">
        <v>0</v>
      </c>
      <c r="F2100" t="s">
        <v>166</v>
      </c>
    </row>
    <row r="2101" spans="1:6">
      <c r="A2101" t="s">
        <v>42</v>
      </c>
      <c r="B2101" t="s">
        <v>23</v>
      </c>
      <c r="C2101">
        <v>2050</v>
      </c>
      <c r="D2101" t="s">
        <v>6</v>
      </c>
      <c r="E2101">
        <v>770</v>
      </c>
      <c r="F2101" t="s">
        <v>7</v>
      </c>
    </row>
    <row r="2102" spans="1:6">
      <c r="A2102" t="s">
        <v>42</v>
      </c>
      <c r="B2102" t="s">
        <v>23</v>
      </c>
      <c r="C2102">
        <v>2050</v>
      </c>
      <c r="D2102" t="s">
        <v>8</v>
      </c>
      <c r="E2102">
        <v>1009.5</v>
      </c>
      <c r="F2102" t="s">
        <v>7</v>
      </c>
    </row>
    <row r="2103" spans="1:6">
      <c r="A2103" t="s">
        <v>42</v>
      </c>
      <c r="B2103" t="s">
        <v>23</v>
      </c>
      <c r="C2103">
        <v>2050</v>
      </c>
      <c r="D2103" t="s">
        <v>9</v>
      </c>
      <c r="E2103">
        <v>634.29999999999995</v>
      </c>
      <c r="F2103" t="s">
        <v>7</v>
      </c>
    </row>
    <row r="2104" spans="1:6">
      <c r="A2104" t="s">
        <v>42</v>
      </c>
      <c r="B2104" t="s">
        <v>23</v>
      </c>
      <c r="C2104">
        <v>2050</v>
      </c>
      <c r="D2104" t="s">
        <v>10</v>
      </c>
      <c r="E2104">
        <v>22</v>
      </c>
      <c r="F2104" t="s">
        <v>11</v>
      </c>
    </row>
    <row r="2105" spans="1:6">
      <c r="A2105" t="s">
        <v>42</v>
      </c>
      <c r="B2105" t="s">
        <v>23</v>
      </c>
      <c r="C2105">
        <v>2050</v>
      </c>
      <c r="D2105" t="s">
        <v>12</v>
      </c>
      <c r="E2105">
        <v>1</v>
      </c>
      <c r="F2105" t="s">
        <v>13</v>
      </c>
    </row>
    <row r="2106" spans="1:6">
      <c r="A2106" t="s">
        <v>42</v>
      </c>
      <c r="B2106" t="s">
        <v>23</v>
      </c>
      <c r="C2106">
        <v>2050</v>
      </c>
      <c r="D2106" t="s">
        <v>14</v>
      </c>
      <c r="E2106">
        <v>0.14000000000000001</v>
      </c>
      <c r="F2106" t="s">
        <v>15</v>
      </c>
    </row>
    <row r="2107" spans="1:6">
      <c r="A2107" t="s">
        <v>42</v>
      </c>
      <c r="B2107" t="s">
        <v>23</v>
      </c>
      <c r="C2107">
        <v>2050</v>
      </c>
      <c r="D2107" t="s">
        <v>164</v>
      </c>
      <c r="E2107">
        <v>0</v>
      </c>
      <c r="F2107" t="s">
        <v>166</v>
      </c>
    </row>
    <row r="2108" spans="1:6">
      <c r="A2108" t="s">
        <v>42</v>
      </c>
      <c r="B2108" t="s">
        <v>24</v>
      </c>
      <c r="C2108">
        <v>2022</v>
      </c>
      <c r="D2108" t="s">
        <v>6</v>
      </c>
      <c r="E2108">
        <v>720</v>
      </c>
      <c r="F2108" t="s">
        <v>7</v>
      </c>
    </row>
    <row r="2109" spans="1:6">
      <c r="A2109" t="s">
        <v>42</v>
      </c>
      <c r="B2109" t="s">
        <v>24</v>
      </c>
      <c r="C2109">
        <v>2022</v>
      </c>
      <c r="D2109" t="s">
        <v>8</v>
      </c>
      <c r="E2109">
        <v>720</v>
      </c>
      <c r="F2109" t="s">
        <v>7</v>
      </c>
    </row>
    <row r="2110" spans="1:6">
      <c r="A2110" t="s">
        <v>42</v>
      </c>
      <c r="B2110" t="s">
        <v>24</v>
      </c>
      <c r="C2110">
        <v>2022</v>
      </c>
      <c r="D2110" t="s">
        <v>9</v>
      </c>
      <c r="E2110">
        <v>720</v>
      </c>
      <c r="F2110" t="s">
        <v>7</v>
      </c>
    </row>
    <row r="2111" spans="1:6">
      <c r="A2111" t="s">
        <v>42</v>
      </c>
      <c r="B2111" t="s">
        <v>24</v>
      </c>
      <c r="C2111">
        <v>2022</v>
      </c>
      <c r="D2111" t="s">
        <v>10</v>
      </c>
      <c r="E2111">
        <v>12</v>
      </c>
      <c r="F2111" t="s">
        <v>11</v>
      </c>
    </row>
    <row r="2112" spans="1:6">
      <c r="A2112" t="s">
        <v>42</v>
      </c>
      <c r="B2112" t="s">
        <v>24</v>
      </c>
      <c r="C2112">
        <v>2022</v>
      </c>
      <c r="D2112" t="s">
        <v>12</v>
      </c>
      <c r="E2112">
        <v>1</v>
      </c>
      <c r="F2112" t="s">
        <v>13</v>
      </c>
    </row>
    <row r="2113" spans="1:6">
      <c r="A2113" t="s">
        <v>42</v>
      </c>
      <c r="B2113" t="s">
        <v>24</v>
      </c>
      <c r="C2113">
        <v>2022</v>
      </c>
      <c r="D2113" t="s">
        <v>14</v>
      </c>
      <c r="E2113">
        <v>0.13</v>
      </c>
      <c r="F2113" t="s">
        <v>15</v>
      </c>
    </row>
    <row r="2114" spans="1:6">
      <c r="A2114" t="s">
        <v>42</v>
      </c>
      <c r="B2114" t="s">
        <v>24</v>
      </c>
      <c r="C2114">
        <v>2022</v>
      </c>
      <c r="D2114" t="s">
        <v>164</v>
      </c>
      <c r="E2114">
        <v>0</v>
      </c>
      <c r="F2114" t="s">
        <v>166</v>
      </c>
    </row>
    <row r="2115" spans="1:6">
      <c r="A2115" t="s">
        <v>42</v>
      </c>
      <c r="B2115" t="s">
        <v>24</v>
      </c>
      <c r="C2115">
        <v>2030</v>
      </c>
      <c r="D2115" t="s">
        <v>6</v>
      </c>
      <c r="E2115">
        <v>430</v>
      </c>
      <c r="F2115" t="s">
        <v>7</v>
      </c>
    </row>
    <row r="2116" spans="1:6">
      <c r="A2116" t="s">
        <v>42</v>
      </c>
      <c r="B2116" t="s">
        <v>24</v>
      </c>
      <c r="C2116">
        <v>2030</v>
      </c>
      <c r="D2116" t="s">
        <v>8</v>
      </c>
      <c r="E2116">
        <v>491.8</v>
      </c>
      <c r="F2116" t="s">
        <v>7</v>
      </c>
    </row>
    <row r="2117" spans="1:6">
      <c r="A2117" t="s">
        <v>42</v>
      </c>
      <c r="B2117" t="s">
        <v>24</v>
      </c>
      <c r="C2117">
        <v>2030</v>
      </c>
      <c r="D2117" t="s">
        <v>9</v>
      </c>
      <c r="E2117">
        <v>385.4</v>
      </c>
      <c r="F2117" t="s">
        <v>7</v>
      </c>
    </row>
    <row r="2118" spans="1:6">
      <c r="A2118" t="s">
        <v>42</v>
      </c>
      <c r="B2118" t="s">
        <v>24</v>
      </c>
      <c r="C2118">
        <v>2030</v>
      </c>
      <c r="D2118" t="s">
        <v>10</v>
      </c>
      <c r="E2118">
        <v>10</v>
      </c>
      <c r="F2118" t="s">
        <v>11</v>
      </c>
    </row>
    <row r="2119" spans="1:6">
      <c r="A2119" t="s">
        <v>42</v>
      </c>
      <c r="B2119" t="s">
        <v>24</v>
      </c>
      <c r="C2119">
        <v>2030</v>
      </c>
      <c r="D2119" t="s">
        <v>12</v>
      </c>
      <c r="E2119">
        <v>1</v>
      </c>
      <c r="F2119" t="s">
        <v>13</v>
      </c>
    </row>
    <row r="2120" spans="1:6">
      <c r="A2120" t="s">
        <v>42</v>
      </c>
      <c r="B2120" t="s">
        <v>24</v>
      </c>
      <c r="C2120">
        <v>2030</v>
      </c>
      <c r="D2120" t="s">
        <v>14</v>
      </c>
      <c r="E2120">
        <v>0.13</v>
      </c>
      <c r="F2120" t="s">
        <v>15</v>
      </c>
    </row>
    <row r="2121" spans="1:6">
      <c r="A2121" t="s">
        <v>42</v>
      </c>
      <c r="B2121" t="s">
        <v>24</v>
      </c>
      <c r="C2121">
        <v>2030</v>
      </c>
      <c r="D2121" t="s">
        <v>164</v>
      </c>
      <c r="E2121">
        <v>0</v>
      </c>
      <c r="F2121" t="s">
        <v>166</v>
      </c>
    </row>
    <row r="2122" spans="1:6">
      <c r="A2122" t="s">
        <v>42</v>
      </c>
      <c r="B2122" t="s">
        <v>24</v>
      </c>
      <c r="C2122">
        <v>2050</v>
      </c>
      <c r="D2122" t="s">
        <v>6</v>
      </c>
      <c r="E2122">
        <v>300</v>
      </c>
      <c r="F2122" t="s">
        <v>7</v>
      </c>
    </row>
    <row r="2123" spans="1:6">
      <c r="A2123" t="s">
        <v>42</v>
      </c>
      <c r="B2123" t="s">
        <v>24</v>
      </c>
      <c r="C2123">
        <v>2050</v>
      </c>
      <c r="D2123" t="s">
        <v>8</v>
      </c>
      <c r="E2123">
        <v>393.3</v>
      </c>
      <c r="F2123" t="s">
        <v>7</v>
      </c>
    </row>
    <row r="2124" spans="1:6">
      <c r="A2124" t="s">
        <v>42</v>
      </c>
      <c r="B2124" t="s">
        <v>24</v>
      </c>
      <c r="C2124">
        <v>2050</v>
      </c>
      <c r="D2124" t="s">
        <v>9</v>
      </c>
      <c r="E2124">
        <v>247.1</v>
      </c>
      <c r="F2124" t="s">
        <v>7</v>
      </c>
    </row>
    <row r="2125" spans="1:6">
      <c r="A2125" t="s">
        <v>42</v>
      </c>
      <c r="B2125" t="s">
        <v>24</v>
      </c>
      <c r="C2125">
        <v>2050</v>
      </c>
      <c r="D2125" t="s">
        <v>10</v>
      </c>
      <c r="E2125">
        <v>10</v>
      </c>
      <c r="F2125" t="s">
        <v>11</v>
      </c>
    </row>
    <row r="2126" spans="1:6">
      <c r="A2126" t="s">
        <v>42</v>
      </c>
      <c r="B2126" t="s">
        <v>24</v>
      </c>
      <c r="C2126">
        <v>2050</v>
      </c>
      <c r="D2126" t="s">
        <v>12</v>
      </c>
      <c r="E2126">
        <v>1</v>
      </c>
      <c r="F2126" t="s">
        <v>13</v>
      </c>
    </row>
    <row r="2127" spans="1:6">
      <c r="A2127" t="s">
        <v>42</v>
      </c>
      <c r="B2127" t="s">
        <v>24</v>
      </c>
      <c r="C2127">
        <v>2050</v>
      </c>
      <c r="D2127" t="s">
        <v>14</v>
      </c>
      <c r="E2127">
        <v>0.14000000000000001</v>
      </c>
      <c r="F2127" t="s">
        <v>15</v>
      </c>
    </row>
    <row r="2128" spans="1:6">
      <c r="A2128" t="s">
        <v>42</v>
      </c>
      <c r="B2128" t="s">
        <v>24</v>
      </c>
      <c r="C2128">
        <v>2050</v>
      </c>
      <c r="D2128" t="s">
        <v>164</v>
      </c>
      <c r="E2128">
        <v>0</v>
      </c>
      <c r="F2128" t="s">
        <v>166</v>
      </c>
    </row>
    <row r="2129" spans="1:6">
      <c r="A2129" t="s">
        <v>42</v>
      </c>
      <c r="B2129" t="s">
        <v>25</v>
      </c>
      <c r="C2129">
        <v>2022</v>
      </c>
      <c r="D2129" t="s">
        <v>6</v>
      </c>
      <c r="E2129">
        <v>640</v>
      </c>
      <c r="F2129" t="s">
        <v>7</v>
      </c>
    </row>
    <row r="2130" spans="1:6">
      <c r="A2130" t="s">
        <v>42</v>
      </c>
      <c r="B2130" t="s">
        <v>25</v>
      </c>
      <c r="C2130">
        <v>2022</v>
      </c>
      <c r="D2130" t="s">
        <v>8</v>
      </c>
      <c r="E2130">
        <v>640</v>
      </c>
      <c r="F2130" t="s">
        <v>7</v>
      </c>
    </row>
    <row r="2131" spans="1:6">
      <c r="A2131" t="s">
        <v>42</v>
      </c>
      <c r="B2131" t="s">
        <v>25</v>
      </c>
      <c r="C2131">
        <v>2022</v>
      </c>
      <c r="D2131" t="s">
        <v>9</v>
      </c>
      <c r="E2131">
        <v>640</v>
      </c>
      <c r="F2131" t="s">
        <v>7</v>
      </c>
    </row>
    <row r="2132" spans="1:6">
      <c r="A2132" t="s">
        <v>42</v>
      </c>
      <c r="B2132" t="s">
        <v>25</v>
      </c>
      <c r="C2132">
        <v>2022</v>
      </c>
      <c r="D2132" t="s">
        <v>10</v>
      </c>
      <c r="E2132">
        <v>10</v>
      </c>
      <c r="F2132" t="s">
        <v>11</v>
      </c>
    </row>
    <row r="2133" spans="1:6">
      <c r="A2133" t="s">
        <v>42</v>
      </c>
      <c r="B2133" t="s">
        <v>25</v>
      </c>
      <c r="C2133">
        <v>2022</v>
      </c>
      <c r="D2133" t="s">
        <v>12</v>
      </c>
      <c r="E2133">
        <v>1</v>
      </c>
      <c r="F2133" t="s">
        <v>13</v>
      </c>
    </row>
    <row r="2134" spans="1:6">
      <c r="A2134" t="s">
        <v>42</v>
      </c>
      <c r="B2134" t="s">
        <v>25</v>
      </c>
      <c r="C2134">
        <v>2022</v>
      </c>
      <c r="D2134" t="s">
        <v>14</v>
      </c>
      <c r="E2134">
        <v>0.2</v>
      </c>
      <c r="F2134" t="s">
        <v>15</v>
      </c>
    </row>
    <row r="2135" spans="1:6">
      <c r="A2135" t="s">
        <v>42</v>
      </c>
      <c r="B2135" t="s">
        <v>25</v>
      </c>
      <c r="C2135">
        <v>2022</v>
      </c>
      <c r="D2135" t="s">
        <v>164</v>
      </c>
      <c r="E2135">
        <v>0</v>
      </c>
      <c r="F2135" t="s">
        <v>166</v>
      </c>
    </row>
    <row r="2136" spans="1:6">
      <c r="A2136" t="s">
        <v>42</v>
      </c>
      <c r="B2136" t="s">
        <v>25</v>
      </c>
      <c r="C2136">
        <v>2030</v>
      </c>
      <c r="D2136" t="s">
        <v>6</v>
      </c>
      <c r="E2136">
        <v>390</v>
      </c>
      <c r="F2136" t="s">
        <v>7</v>
      </c>
    </row>
    <row r="2137" spans="1:6">
      <c r="A2137" t="s">
        <v>42</v>
      </c>
      <c r="B2137" t="s">
        <v>25</v>
      </c>
      <c r="C2137">
        <v>2030</v>
      </c>
      <c r="D2137" t="s">
        <v>8</v>
      </c>
      <c r="E2137">
        <v>446</v>
      </c>
      <c r="F2137" t="s">
        <v>7</v>
      </c>
    </row>
    <row r="2138" spans="1:6">
      <c r="A2138" t="s">
        <v>42</v>
      </c>
      <c r="B2138" t="s">
        <v>25</v>
      </c>
      <c r="C2138">
        <v>2030</v>
      </c>
      <c r="D2138" t="s">
        <v>9</v>
      </c>
      <c r="E2138">
        <v>349.5</v>
      </c>
      <c r="F2138" t="s">
        <v>7</v>
      </c>
    </row>
    <row r="2139" spans="1:6">
      <c r="A2139" t="s">
        <v>42</v>
      </c>
      <c r="B2139" t="s">
        <v>25</v>
      </c>
      <c r="C2139">
        <v>2030</v>
      </c>
      <c r="D2139" t="s">
        <v>10</v>
      </c>
      <c r="E2139">
        <v>8</v>
      </c>
      <c r="F2139" t="s">
        <v>11</v>
      </c>
    </row>
    <row r="2140" spans="1:6">
      <c r="A2140" t="s">
        <v>42</v>
      </c>
      <c r="B2140" t="s">
        <v>25</v>
      </c>
      <c r="C2140">
        <v>2030</v>
      </c>
      <c r="D2140" t="s">
        <v>12</v>
      </c>
      <c r="E2140">
        <v>1</v>
      </c>
      <c r="F2140" t="s">
        <v>13</v>
      </c>
    </row>
    <row r="2141" spans="1:6">
      <c r="A2141" t="s">
        <v>42</v>
      </c>
      <c r="B2141" t="s">
        <v>25</v>
      </c>
      <c r="C2141">
        <v>2030</v>
      </c>
      <c r="D2141" t="s">
        <v>14</v>
      </c>
      <c r="E2141">
        <v>0.21</v>
      </c>
      <c r="F2141" t="s">
        <v>15</v>
      </c>
    </row>
    <row r="2142" spans="1:6">
      <c r="A2142" t="s">
        <v>42</v>
      </c>
      <c r="B2142" t="s">
        <v>25</v>
      </c>
      <c r="C2142">
        <v>2030</v>
      </c>
      <c r="D2142" t="s">
        <v>164</v>
      </c>
      <c r="E2142">
        <v>0</v>
      </c>
      <c r="F2142" t="s">
        <v>166</v>
      </c>
    </row>
    <row r="2143" spans="1:6">
      <c r="A2143" t="s">
        <v>42</v>
      </c>
      <c r="B2143" t="s">
        <v>25</v>
      </c>
      <c r="C2143">
        <v>2050</v>
      </c>
      <c r="D2143" t="s">
        <v>6</v>
      </c>
      <c r="E2143">
        <v>270</v>
      </c>
      <c r="F2143" t="s">
        <v>7</v>
      </c>
    </row>
    <row r="2144" spans="1:6">
      <c r="A2144" t="s">
        <v>42</v>
      </c>
      <c r="B2144" t="s">
        <v>25</v>
      </c>
      <c r="C2144">
        <v>2050</v>
      </c>
      <c r="D2144" t="s">
        <v>8</v>
      </c>
      <c r="E2144">
        <v>354</v>
      </c>
      <c r="F2144" t="s">
        <v>7</v>
      </c>
    </row>
    <row r="2145" spans="1:6">
      <c r="A2145" t="s">
        <v>42</v>
      </c>
      <c r="B2145" t="s">
        <v>25</v>
      </c>
      <c r="C2145">
        <v>2050</v>
      </c>
      <c r="D2145" t="s">
        <v>9</v>
      </c>
      <c r="E2145">
        <v>222.4</v>
      </c>
      <c r="F2145" t="s">
        <v>7</v>
      </c>
    </row>
    <row r="2146" spans="1:6">
      <c r="A2146" t="s">
        <v>42</v>
      </c>
      <c r="B2146" t="s">
        <v>25</v>
      </c>
      <c r="C2146">
        <v>2050</v>
      </c>
      <c r="D2146" t="s">
        <v>10</v>
      </c>
      <c r="E2146">
        <v>8</v>
      </c>
      <c r="F2146" t="s">
        <v>11</v>
      </c>
    </row>
    <row r="2147" spans="1:6">
      <c r="A2147" t="s">
        <v>42</v>
      </c>
      <c r="B2147" t="s">
        <v>25</v>
      </c>
      <c r="C2147">
        <v>2050</v>
      </c>
      <c r="D2147" t="s">
        <v>12</v>
      </c>
      <c r="E2147">
        <v>1</v>
      </c>
      <c r="F2147" t="s">
        <v>13</v>
      </c>
    </row>
    <row r="2148" spans="1:6">
      <c r="A2148" t="s">
        <v>42</v>
      </c>
      <c r="B2148" t="s">
        <v>25</v>
      </c>
      <c r="C2148">
        <v>2050</v>
      </c>
      <c r="D2148" t="s">
        <v>14</v>
      </c>
      <c r="E2148">
        <v>0.22</v>
      </c>
      <c r="F2148" t="s">
        <v>15</v>
      </c>
    </row>
    <row r="2149" spans="1:6">
      <c r="A2149" t="s">
        <v>42</v>
      </c>
      <c r="B2149" t="s">
        <v>25</v>
      </c>
      <c r="C2149">
        <v>2050</v>
      </c>
      <c r="D2149" t="s">
        <v>164</v>
      </c>
      <c r="E2149">
        <v>0</v>
      </c>
      <c r="F2149" t="s">
        <v>166</v>
      </c>
    </row>
    <row r="2150" spans="1:6">
      <c r="A2150" t="s">
        <v>42</v>
      </c>
      <c r="B2150" t="s">
        <v>26</v>
      </c>
      <c r="C2150">
        <v>2022</v>
      </c>
      <c r="D2150" t="s">
        <v>6</v>
      </c>
      <c r="E2150">
        <v>620</v>
      </c>
      <c r="F2150" t="s">
        <v>7</v>
      </c>
    </row>
    <row r="2151" spans="1:6">
      <c r="A2151" t="s">
        <v>42</v>
      </c>
      <c r="B2151" t="s">
        <v>26</v>
      </c>
      <c r="C2151">
        <v>2022</v>
      </c>
      <c r="D2151" t="s">
        <v>8</v>
      </c>
      <c r="E2151">
        <v>620</v>
      </c>
      <c r="F2151" t="s">
        <v>7</v>
      </c>
    </row>
    <row r="2152" spans="1:6">
      <c r="A2152" t="s">
        <v>42</v>
      </c>
      <c r="B2152" t="s">
        <v>26</v>
      </c>
      <c r="C2152">
        <v>2022</v>
      </c>
      <c r="D2152" t="s">
        <v>9</v>
      </c>
      <c r="E2152">
        <v>620</v>
      </c>
      <c r="F2152" t="s">
        <v>7</v>
      </c>
    </row>
    <row r="2153" spans="1:6">
      <c r="A2153" t="s">
        <v>42</v>
      </c>
      <c r="B2153" t="s">
        <v>26</v>
      </c>
      <c r="C2153">
        <v>2022</v>
      </c>
      <c r="D2153" t="s">
        <v>10</v>
      </c>
      <c r="E2153">
        <v>10</v>
      </c>
      <c r="F2153" t="s">
        <v>11</v>
      </c>
    </row>
    <row r="2154" spans="1:6">
      <c r="A2154" t="s">
        <v>42</v>
      </c>
      <c r="B2154" t="s">
        <v>26</v>
      </c>
      <c r="C2154">
        <v>2022</v>
      </c>
      <c r="D2154" t="s">
        <v>12</v>
      </c>
      <c r="E2154">
        <v>1</v>
      </c>
      <c r="F2154" t="s">
        <v>13</v>
      </c>
    </row>
    <row r="2155" spans="1:6">
      <c r="A2155" t="s">
        <v>42</v>
      </c>
      <c r="B2155" t="s">
        <v>26</v>
      </c>
      <c r="C2155">
        <v>2022</v>
      </c>
      <c r="D2155" t="s">
        <v>14</v>
      </c>
      <c r="E2155">
        <v>0.25</v>
      </c>
      <c r="F2155" t="s">
        <v>15</v>
      </c>
    </row>
    <row r="2156" spans="1:6">
      <c r="A2156" t="s">
        <v>42</v>
      </c>
      <c r="B2156" t="s">
        <v>26</v>
      </c>
      <c r="C2156">
        <v>2022</v>
      </c>
      <c r="D2156" t="s">
        <v>164</v>
      </c>
      <c r="E2156">
        <v>0</v>
      </c>
      <c r="F2156" t="s">
        <v>166</v>
      </c>
    </row>
    <row r="2157" spans="1:6">
      <c r="A2157" t="s">
        <v>42</v>
      </c>
      <c r="B2157" t="s">
        <v>26</v>
      </c>
      <c r="C2157">
        <v>2030</v>
      </c>
      <c r="D2157" t="s">
        <v>6</v>
      </c>
      <c r="E2157">
        <v>360</v>
      </c>
      <c r="F2157" t="s">
        <v>7</v>
      </c>
    </row>
    <row r="2158" spans="1:6">
      <c r="A2158" t="s">
        <v>42</v>
      </c>
      <c r="B2158" t="s">
        <v>26</v>
      </c>
      <c r="C2158">
        <v>2030</v>
      </c>
      <c r="D2158" t="s">
        <v>8</v>
      </c>
      <c r="E2158">
        <v>411.7</v>
      </c>
      <c r="F2158" t="s">
        <v>7</v>
      </c>
    </row>
    <row r="2159" spans="1:6">
      <c r="A2159" t="s">
        <v>42</v>
      </c>
      <c r="B2159" t="s">
        <v>26</v>
      </c>
      <c r="C2159">
        <v>2030</v>
      </c>
      <c r="D2159" t="s">
        <v>9</v>
      </c>
      <c r="E2159">
        <v>322.60000000000002</v>
      </c>
      <c r="F2159" t="s">
        <v>7</v>
      </c>
    </row>
    <row r="2160" spans="1:6">
      <c r="A2160" t="s">
        <v>42</v>
      </c>
      <c r="B2160" t="s">
        <v>26</v>
      </c>
      <c r="C2160">
        <v>2030</v>
      </c>
      <c r="D2160" t="s">
        <v>10</v>
      </c>
      <c r="E2160">
        <v>8</v>
      </c>
      <c r="F2160" t="s">
        <v>11</v>
      </c>
    </row>
    <row r="2161" spans="1:6">
      <c r="A2161" t="s">
        <v>42</v>
      </c>
      <c r="B2161" t="s">
        <v>26</v>
      </c>
      <c r="C2161">
        <v>2030</v>
      </c>
      <c r="D2161" t="s">
        <v>12</v>
      </c>
      <c r="E2161">
        <v>1</v>
      </c>
      <c r="F2161" t="s">
        <v>13</v>
      </c>
    </row>
    <row r="2162" spans="1:6">
      <c r="A2162" t="s">
        <v>42</v>
      </c>
      <c r="B2162" t="s">
        <v>26</v>
      </c>
      <c r="C2162">
        <v>2030</v>
      </c>
      <c r="D2162" t="s">
        <v>14</v>
      </c>
      <c r="E2162">
        <v>0.25</v>
      </c>
      <c r="F2162" t="s">
        <v>15</v>
      </c>
    </row>
    <row r="2163" spans="1:6">
      <c r="A2163" t="s">
        <v>42</v>
      </c>
      <c r="B2163" t="s">
        <v>26</v>
      </c>
      <c r="C2163">
        <v>2030</v>
      </c>
      <c r="D2163" t="s">
        <v>164</v>
      </c>
      <c r="E2163">
        <v>0</v>
      </c>
      <c r="F2163" t="s">
        <v>166</v>
      </c>
    </row>
    <row r="2164" spans="1:6">
      <c r="A2164" t="s">
        <v>42</v>
      </c>
      <c r="B2164" t="s">
        <v>26</v>
      </c>
      <c r="C2164">
        <v>2050</v>
      </c>
      <c r="D2164" t="s">
        <v>6</v>
      </c>
      <c r="E2164">
        <v>250</v>
      </c>
      <c r="F2164" t="s">
        <v>7</v>
      </c>
    </row>
    <row r="2165" spans="1:6">
      <c r="A2165" t="s">
        <v>42</v>
      </c>
      <c r="B2165" t="s">
        <v>26</v>
      </c>
      <c r="C2165">
        <v>2050</v>
      </c>
      <c r="D2165" t="s">
        <v>8</v>
      </c>
      <c r="E2165">
        <v>327.8</v>
      </c>
      <c r="F2165" t="s">
        <v>7</v>
      </c>
    </row>
    <row r="2166" spans="1:6">
      <c r="A2166" t="s">
        <v>42</v>
      </c>
      <c r="B2166" t="s">
        <v>26</v>
      </c>
      <c r="C2166">
        <v>2050</v>
      </c>
      <c r="D2166" t="s">
        <v>9</v>
      </c>
      <c r="E2166">
        <v>206</v>
      </c>
      <c r="F2166" t="s">
        <v>7</v>
      </c>
    </row>
    <row r="2167" spans="1:6">
      <c r="A2167" t="s">
        <v>42</v>
      </c>
      <c r="B2167" t="s">
        <v>26</v>
      </c>
      <c r="C2167">
        <v>2050</v>
      </c>
      <c r="D2167" t="s">
        <v>10</v>
      </c>
      <c r="E2167">
        <v>8</v>
      </c>
      <c r="F2167" t="s">
        <v>11</v>
      </c>
    </row>
    <row r="2168" spans="1:6">
      <c r="A2168" t="s">
        <v>42</v>
      </c>
      <c r="B2168" t="s">
        <v>26</v>
      </c>
      <c r="C2168">
        <v>2050</v>
      </c>
      <c r="D2168" t="s">
        <v>12</v>
      </c>
      <c r="E2168">
        <v>1</v>
      </c>
      <c r="F2168" t="s">
        <v>13</v>
      </c>
    </row>
    <row r="2169" spans="1:6">
      <c r="A2169" t="s">
        <v>42</v>
      </c>
      <c r="B2169" t="s">
        <v>26</v>
      </c>
      <c r="C2169">
        <v>2050</v>
      </c>
      <c r="D2169" t="s">
        <v>14</v>
      </c>
      <c r="E2169">
        <v>0.26</v>
      </c>
      <c r="F2169" t="s">
        <v>15</v>
      </c>
    </row>
    <row r="2170" spans="1:6">
      <c r="A2170" t="s">
        <v>42</v>
      </c>
      <c r="B2170" t="s">
        <v>26</v>
      </c>
      <c r="C2170">
        <v>2050</v>
      </c>
      <c r="D2170" t="s">
        <v>164</v>
      </c>
      <c r="E2170">
        <v>0</v>
      </c>
      <c r="F2170" t="s">
        <v>166</v>
      </c>
    </row>
    <row r="2171" spans="1:6">
      <c r="A2171" t="s">
        <v>42</v>
      </c>
      <c r="B2171" t="s">
        <v>27</v>
      </c>
      <c r="C2171">
        <v>2022</v>
      </c>
      <c r="D2171" t="s">
        <v>6</v>
      </c>
      <c r="E2171">
        <v>1420</v>
      </c>
      <c r="F2171" t="s">
        <v>7</v>
      </c>
    </row>
    <row r="2172" spans="1:6">
      <c r="A2172" t="s">
        <v>42</v>
      </c>
      <c r="B2172" t="s">
        <v>27</v>
      </c>
      <c r="C2172">
        <v>2022</v>
      </c>
      <c r="D2172" t="s">
        <v>8</v>
      </c>
      <c r="E2172">
        <v>1420</v>
      </c>
      <c r="F2172" t="s">
        <v>7</v>
      </c>
    </row>
    <row r="2173" spans="1:6">
      <c r="A2173" t="s">
        <v>42</v>
      </c>
      <c r="B2173" t="s">
        <v>27</v>
      </c>
      <c r="C2173">
        <v>2022</v>
      </c>
      <c r="D2173" t="s">
        <v>9</v>
      </c>
      <c r="E2173">
        <v>1420</v>
      </c>
      <c r="F2173" t="s">
        <v>7</v>
      </c>
    </row>
    <row r="2174" spans="1:6">
      <c r="A2174" t="s">
        <v>42</v>
      </c>
      <c r="B2174" t="s">
        <v>27</v>
      </c>
      <c r="C2174">
        <v>2022</v>
      </c>
      <c r="D2174" t="s">
        <v>10</v>
      </c>
      <c r="E2174">
        <v>22</v>
      </c>
      <c r="F2174" t="s">
        <v>11</v>
      </c>
    </row>
    <row r="2175" spans="1:6">
      <c r="A2175" t="s">
        <v>42</v>
      </c>
      <c r="B2175" t="s">
        <v>27</v>
      </c>
      <c r="C2175">
        <v>2022</v>
      </c>
      <c r="D2175" t="s">
        <v>12</v>
      </c>
      <c r="E2175">
        <v>1</v>
      </c>
      <c r="F2175" t="s">
        <v>13</v>
      </c>
    </row>
    <row r="2176" spans="1:6">
      <c r="A2176" t="s">
        <v>42</v>
      </c>
      <c r="B2176" t="s">
        <v>27</v>
      </c>
      <c r="C2176">
        <v>2022</v>
      </c>
      <c r="D2176" t="s">
        <v>14</v>
      </c>
      <c r="E2176">
        <v>0.22</v>
      </c>
      <c r="F2176" t="s">
        <v>15</v>
      </c>
    </row>
    <row r="2177" spans="1:6">
      <c r="A2177" t="s">
        <v>42</v>
      </c>
      <c r="B2177" t="s">
        <v>27</v>
      </c>
      <c r="C2177">
        <v>2022</v>
      </c>
      <c r="D2177" t="s">
        <v>164</v>
      </c>
      <c r="E2177">
        <v>0</v>
      </c>
      <c r="F2177" t="s">
        <v>166</v>
      </c>
    </row>
    <row r="2178" spans="1:6">
      <c r="A2178" t="s">
        <v>42</v>
      </c>
      <c r="B2178" t="s">
        <v>27</v>
      </c>
      <c r="C2178">
        <v>2030</v>
      </c>
      <c r="D2178" t="s">
        <v>6</v>
      </c>
      <c r="E2178">
        <v>850</v>
      </c>
      <c r="F2178" t="s">
        <v>7</v>
      </c>
    </row>
    <row r="2179" spans="1:6">
      <c r="A2179" t="s">
        <v>42</v>
      </c>
      <c r="B2179" t="s">
        <v>27</v>
      </c>
      <c r="C2179">
        <v>2030</v>
      </c>
      <c r="D2179" t="s">
        <v>8</v>
      </c>
      <c r="E2179">
        <v>972.1</v>
      </c>
      <c r="F2179" t="s">
        <v>7</v>
      </c>
    </row>
    <row r="2180" spans="1:6">
      <c r="A2180" t="s">
        <v>42</v>
      </c>
      <c r="B2180" t="s">
        <v>27</v>
      </c>
      <c r="C2180">
        <v>2030</v>
      </c>
      <c r="D2180" t="s">
        <v>9</v>
      </c>
      <c r="E2180">
        <v>761.8</v>
      </c>
      <c r="F2180" t="s">
        <v>7</v>
      </c>
    </row>
    <row r="2181" spans="1:6">
      <c r="A2181" t="s">
        <v>42</v>
      </c>
      <c r="B2181" t="s">
        <v>27</v>
      </c>
      <c r="C2181">
        <v>2030</v>
      </c>
      <c r="D2181" t="s">
        <v>10</v>
      </c>
      <c r="E2181">
        <v>20</v>
      </c>
      <c r="F2181" t="s">
        <v>11</v>
      </c>
    </row>
    <row r="2182" spans="1:6">
      <c r="A2182" t="s">
        <v>42</v>
      </c>
      <c r="B2182" t="s">
        <v>27</v>
      </c>
      <c r="C2182">
        <v>2030</v>
      </c>
      <c r="D2182" t="s">
        <v>12</v>
      </c>
      <c r="E2182">
        <v>1</v>
      </c>
      <c r="F2182" t="s">
        <v>13</v>
      </c>
    </row>
    <row r="2183" spans="1:6">
      <c r="A2183" t="s">
        <v>42</v>
      </c>
      <c r="B2183" t="s">
        <v>27</v>
      </c>
      <c r="C2183">
        <v>2030</v>
      </c>
      <c r="D2183" t="s">
        <v>14</v>
      </c>
      <c r="E2183">
        <v>0.23</v>
      </c>
      <c r="F2183" t="s">
        <v>15</v>
      </c>
    </row>
    <row r="2184" spans="1:6">
      <c r="A2184" t="s">
        <v>42</v>
      </c>
      <c r="B2184" t="s">
        <v>27</v>
      </c>
      <c r="C2184">
        <v>2030</v>
      </c>
      <c r="D2184" t="s">
        <v>164</v>
      </c>
      <c r="E2184">
        <v>0</v>
      </c>
      <c r="F2184" t="s">
        <v>166</v>
      </c>
    </row>
    <row r="2185" spans="1:6">
      <c r="A2185" t="s">
        <v>42</v>
      </c>
      <c r="B2185" t="s">
        <v>27</v>
      </c>
      <c r="C2185">
        <v>2050</v>
      </c>
      <c r="D2185" t="s">
        <v>6</v>
      </c>
      <c r="E2185">
        <v>580</v>
      </c>
      <c r="F2185" t="s">
        <v>7</v>
      </c>
    </row>
    <row r="2186" spans="1:6">
      <c r="A2186" t="s">
        <v>42</v>
      </c>
      <c r="B2186" t="s">
        <v>27</v>
      </c>
      <c r="C2186">
        <v>2050</v>
      </c>
      <c r="D2186" t="s">
        <v>8</v>
      </c>
      <c r="E2186">
        <v>760.4</v>
      </c>
      <c r="F2186" t="s">
        <v>7</v>
      </c>
    </row>
    <row r="2187" spans="1:6">
      <c r="A2187" t="s">
        <v>42</v>
      </c>
      <c r="B2187" t="s">
        <v>27</v>
      </c>
      <c r="C2187">
        <v>2050</v>
      </c>
      <c r="D2187" t="s">
        <v>9</v>
      </c>
      <c r="E2187">
        <v>477.8</v>
      </c>
      <c r="F2187" t="s">
        <v>7</v>
      </c>
    </row>
    <row r="2188" spans="1:6">
      <c r="A2188" t="s">
        <v>42</v>
      </c>
      <c r="B2188" t="s">
        <v>27</v>
      </c>
      <c r="C2188">
        <v>2050</v>
      </c>
      <c r="D2188" t="s">
        <v>10</v>
      </c>
      <c r="E2188">
        <v>18</v>
      </c>
      <c r="F2188" t="s">
        <v>11</v>
      </c>
    </row>
    <row r="2189" spans="1:6">
      <c r="A2189" t="s">
        <v>42</v>
      </c>
      <c r="B2189" t="s">
        <v>27</v>
      </c>
      <c r="C2189">
        <v>2050</v>
      </c>
      <c r="D2189" t="s">
        <v>12</v>
      </c>
      <c r="E2189">
        <v>1</v>
      </c>
      <c r="F2189" t="s">
        <v>13</v>
      </c>
    </row>
    <row r="2190" spans="1:6">
      <c r="A2190" t="s">
        <v>42</v>
      </c>
      <c r="B2190" t="s">
        <v>27</v>
      </c>
      <c r="C2190">
        <v>2050</v>
      </c>
      <c r="D2190" t="s">
        <v>14</v>
      </c>
      <c r="E2190">
        <v>0.23</v>
      </c>
      <c r="F2190" t="s">
        <v>15</v>
      </c>
    </row>
    <row r="2191" spans="1:6">
      <c r="A2191" t="s">
        <v>42</v>
      </c>
      <c r="B2191" t="s">
        <v>27</v>
      </c>
      <c r="C2191">
        <v>2050</v>
      </c>
      <c r="D2191" t="s">
        <v>164</v>
      </c>
      <c r="E2191">
        <v>0</v>
      </c>
      <c r="F2191" t="s">
        <v>166</v>
      </c>
    </row>
    <row r="2192" spans="1:6">
      <c r="A2192" t="s">
        <v>42</v>
      </c>
      <c r="B2192" t="s">
        <v>28</v>
      </c>
      <c r="C2192">
        <v>2022</v>
      </c>
      <c r="D2192" t="s">
        <v>6</v>
      </c>
      <c r="E2192">
        <v>750</v>
      </c>
      <c r="F2192" t="s">
        <v>7</v>
      </c>
    </row>
    <row r="2193" spans="1:6">
      <c r="A2193" t="s">
        <v>42</v>
      </c>
      <c r="B2193" t="s">
        <v>28</v>
      </c>
      <c r="C2193">
        <v>2022</v>
      </c>
      <c r="D2193" t="s">
        <v>8</v>
      </c>
      <c r="E2193">
        <v>750</v>
      </c>
      <c r="F2193" t="s">
        <v>7</v>
      </c>
    </row>
    <row r="2194" spans="1:6">
      <c r="A2194" t="s">
        <v>42</v>
      </c>
      <c r="B2194" t="s">
        <v>28</v>
      </c>
      <c r="C2194">
        <v>2022</v>
      </c>
      <c r="D2194" t="s">
        <v>9</v>
      </c>
      <c r="E2194">
        <v>750</v>
      </c>
      <c r="F2194" t="s">
        <v>7</v>
      </c>
    </row>
    <row r="2195" spans="1:6">
      <c r="A2195" t="s">
        <v>42</v>
      </c>
      <c r="B2195" t="s">
        <v>28</v>
      </c>
      <c r="C2195">
        <v>2022</v>
      </c>
      <c r="D2195" t="s">
        <v>10</v>
      </c>
      <c r="E2195">
        <v>12</v>
      </c>
      <c r="F2195" t="s">
        <v>11</v>
      </c>
    </row>
    <row r="2196" spans="1:6">
      <c r="A2196" t="s">
        <v>42</v>
      </c>
      <c r="B2196" t="s">
        <v>28</v>
      </c>
      <c r="C2196">
        <v>2022</v>
      </c>
      <c r="D2196" t="s">
        <v>12</v>
      </c>
      <c r="E2196">
        <v>1</v>
      </c>
      <c r="F2196" t="s">
        <v>13</v>
      </c>
    </row>
    <row r="2197" spans="1:6">
      <c r="A2197" t="s">
        <v>42</v>
      </c>
      <c r="B2197" t="s">
        <v>28</v>
      </c>
      <c r="C2197">
        <v>2022</v>
      </c>
      <c r="D2197" t="s">
        <v>14</v>
      </c>
      <c r="E2197">
        <v>0.2</v>
      </c>
      <c r="F2197" t="s">
        <v>15</v>
      </c>
    </row>
    <row r="2198" spans="1:6">
      <c r="A2198" t="s">
        <v>42</v>
      </c>
      <c r="B2198" t="s">
        <v>28</v>
      </c>
      <c r="C2198">
        <v>2022</v>
      </c>
      <c r="D2198" t="s">
        <v>164</v>
      </c>
      <c r="E2198">
        <v>0</v>
      </c>
      <c r="F2198" t="s">
        <v>166</v>
      </c>
    </row>
    <row r="2199" spans="1:6">
      <c r="A2199" t="s">
        <v>42</v>
      </c>
      <c r="B2199" t="s">
        <v>28</v>
      </c>
      <c r="C2199">
        <v>2030</v>
      </c>
      <c r="D2199" t="s">
        <v>6</v>
      </c>
      <c r="E2199">
        <v>460</v>
      </c>
      <c r="F2199" t="s">
        <v>7</v>
      </c>
    </row>
    <row r="2200" spans="1:6">
      <c r="A2200" t="s">
        <v>42</v>
      </c>
      <c r="B2200" t="s">
        <v>28</v>
      </c>
      <c r="C2200">
        <v>2030</v>
      </c>
      <c r="D2200" t="s">
        <v>8</v>
      </c>
      <c r="E2200">
        <v>526.1</v>
      </c>
      <c r="F2200" t="s">
        <v>7</v>
      </c>
    </row>
    <row r="2201" spans="1:6">
      <c r="A2201" t="s">
        <v>42</v>
      </c>
      <c r="B2201" t="s">
        <v>28</v>
      </c>
      <c r="C2201">
        <v>2030</v>
      </c>
      <c r="D2201" t="s">
        <v>9</v>
      </c>
      <c r="E2201">
        <v>412.3</v>
      </c>
      <c r="F2201" t="s">
        <v>7</v>
      </c>
    </row>
    <row r="2202" spans="1:6">
      <c r="A2202" t="s">
        <v>42</v>
      </c>
      <c r="B2202" t="s">
        <v>28</v>
      </c>
      <c r="C2202">
        <v>2030</v>
      </c>
      <c r="D2202" t="s">
        <v>10</v>
      </c>
      <c r="E2202">
        <v>10</v>
      </c>
      <c r="F2202" t="s">
        <v>11</v>
      </c>
    </row>
    <row r="2203" spans="1:6">
      <c r="A2203" t="s">
        <v>42</v>
      </c>
      <c r="B2203" t="s">
        <v>28</v>
      </c>
      <c r="C2203">
        <v>2030</v>
      </c>
      <c r="D2203" t="s">
        <v>12</v>
      </c>
      <c r="E2203">
        <v>1</v>
      </c>
      <c r="F2203" t="s">
        <v>13</v>
      </c>
    </row>
    <row r="2204" spans="1:6">
      <c r="A2204" t="s">
        <v>42</v>
      </c>
      <c r="B2204" t="s">
        <v>28</v>
      </c>
      <c r="C2204">
        <v>2030</v>
      </c>
      <c r="D2204" t="s">
        <v>14</v>
      </c>
      <c r="E2204">
        <v>0.21</v>
      </c>
      <c r="F2204" t="s">
        <v>15</v>
      </c>
    </row>
    <row r="2205" spans="1:6">
      <c r="A2205" t="s">
        <v>42</v>
      </c>
      <c r="B2205" t="s">
        <v>28</v>
      </c>
      <c r="C2205">
        <v>2030</v>
      </c>
      <c r="D2205" t="s">
        <v>164</v>
      </c>
      <c r="E2205">
        <v>0</v>
      </c>
      <c r="F2205" t="s">
        <v>166</v>
      </c>
    </row>
    <row r="2206" spans="1:6">
      <c r="A2206" t="s">
        <v>42</v>
      </c>
      <c r="B2206" t="s">
        <v>28</v>
      </c>
      <c r="C2206">
        <v>2050</v>
      </c>
      <c r="D2206" t="s">
        <v>6</v>
      </c>
      <c r="E2206">
        <v>330</v>
      </c>
      <c r="F2206" t="s">
        <v>7</v>
      </c>
    </row>
    <row r="2207" spans="1:6">
      <c r="A2207" t="s">
        <v>42</v>
      </c>
      <c r="B2207" t="s">
        <v>28</v>
      </c>
      <c r="C2207">
        <v>2050</v>
      </c>
      <c r="D2207" t="s">
        <v>8</v>
      </c>
      <c r="E2207">
        <v>432.7</v>
      </c>
      <c r="F2207" t="s">
        <v>7</v>
      </c>
    </row>
    <row r="2208" spans="1:6">
      <c r="A2208" t="s">
        <v>42</v>
      </c>
      <c r="B2208" t="s">
        <v>28</v>
      </c>
      <c r="C2208">
        <v>2050</v>
      </c>
      <c r="D2208" t="s">
        <v>9</v>
      </c>
      <c r="E2208">
        <v>271.89999999999998</v>
      </c>
      <c r="F2208" t="s">
        <v>7</v>
      </c>
    </row>
    <row r="2209" spans="1:6">
      <c r="A2209" t="s">
        <v>42</v>
      </c>
      <c r="B2209" t="s">
        <v>28</v>
      </c>
      <c r="C2209">
        <v>2050</v>
      </c>
      <c r="D2209" t="s">
        <v>10</v>
      </c>
      <c r="E2209">
        <v>10</v>
      </c>
      <c r="F2209" t="s">
        <v>11</v>
      </c>
    </row>
    <row r="2210" spans="1:6">
      <c r="A2210" t="s">
        <v>42</v>
      </c>
      <c r="B2210" t="s">
        <v>28</v>
      </c>
      <c r="C2210">
        <v>2050</v>
      </c>
      <c r="D2210" t="s">
        <v>12</v>
      </c>
      <c r="E2210">
        <v>1</v>
      </c>
      <c r="F2210" t="s">
        <v>13</v>
      </c>
    </row>
    <row r="2211" spans="1:6">
      <c r="A2211" t="s">
        <v>42</v>
      </c>
      <c r="B2211" t="s">
        <v>28</v>
      </c>
      <c r="C2211">
        <v>2050</v>
      </c>
      <c r="D2211" t="s">
        <v>14</v>
      </c>
      <c r="E2211">
        <v>0.21</v>
      </c>
      <c r="F2211" t="s">
        <v>15</v>
      </c>
    </row>
    <row r="2212" spans="1:6">
      <c r="A2212" t="s">
        <v>42</v>
      </c>
      <c r="B2212" t="s">
        <v>28</v>
      </c>
      <c r="C2212">
        <v>2050</v>
      </c>
      <c r="D2212" t="s">
        <v>164</v>
      </c>
      <c r="E2212">
        <v>0</v>
      </c>
      <c r="F2212" t="s">
        <v>166</v>
      </c>
    </row>
    <row r="2213" spans="1:6">
      <c r="A2213" t="s">
        <v>43</v>
      </c>
      <c r="B2213" t="s">
        <v>20</v>
      </c>
      <c r="C2213">
        <v>2022</v>
      </c>
      <c r="D2213" t="s">
        <v>6</v>
      </c>
      <c r="E2213">
        <v>1750</v>
      </c>
      <c r="F2213" t="s">
        <v>7</v>
      </c>
    </row>
    <row r="2214" spans="1:6">
      <c r="A2214" t="s">
        <v>43</v>
      </c>
      <c r="B2214" t="s">
        <v>20</v>
      </c>
      <c r="C2214">
        <v>2022</v>
      </c>
      <c r="D2214" t="s">
        <v>8</v>
      </c>
      <c r="E2214">
        <v>1750</v>
      </c>
      <c r="F2214" t="s">
        <v>7</v>
      </c>
    </row>
    <row r="2215" spans="1:6">
      <c r="A2215" t="s">
        <v>43</v>
      </c>
      <c r="B2215" t="s">
        <v>20</v>
      </c>
      <c r="C2215">
        <v>2022</v>
      </c>
      <c r="D2215" t="s">
        <v>9</v>
      </c>
      <c r="E2215">
        <v>1750</v>
      </c>
      <c r="F2215" t="s">
        <v>7</v>
      </c>
    </row>
    <row r="2216" spans="1:6">
      <c r="A2216" t="s">
        <v>43</v>
      </c>
      <c r="B2216" t="s">
        <v>20</v>
      </c>
      <c r="C2216">
        <v>2022</v>
      </c>
      <c r="D2216" t="s">
        <v>10</v>
      </c>
      <c r="E2216">
        <v>46</v>
      </c>
      <c r="F2216" t="s">
        <v>11</v>
      </c>
    </row>
    <row r="2217" spans="1:6">
      <c r="A2217" t="s">
        <v>43</v>
      </c>
      <c r="B2217" t="s">
        <v>20</v>
      </c>
      <c r="C2217">
        <v>2022</v>
      </c>
      <c r="D2217" t="s">
        <v>12</v>
      </c>
      <c r="E2217">
        <v>1</v>
      </c>
      <c r="F2217" t="s">
        <v>13</v>
      </c>
    </row>
    <row r="2218" spans="1:6">
      <c r="A2218" t="s">
        <v>43</v>
      </c>
      <c r="B2218" t="s">
        <v>20</v>
      </c>
      <c r="C2218">
        <v>2022</v>
      </c>
      <c r="D2218" t="s">
        <v>14</v>
      </c>
      <c r="E2218">
        <v>0.28999999999999998</v>
      </c>
      <c r="F2218" t="s">
        <v>15</v>
      </c>
    </row>
    <row r="2219" spans="1:6">
      <c r="A2219" t="s">
        <v>43</v>
      </c>
      <c r="B2219" t="s">
        <v>20</v>
      </c>
      <c r="C2219">
        <v>2022</v>
      </c>
      <c r="D2219" t="s">
        <v>164</v>
      </c>
      <c r="E2219">
        <v>0</v>
      </c>
      <c r="F2219" t="s">
        <v>166</v>
      </c>
    </row>
    <row r="2220" spans="1:6">
      <c r="A2220" t="s">
        <v>43</v>
      </c>
      <c r="B2220" t="s">
        <v>20</v>
      </c>
      <c r="C2220">
        <v>2030</v>
      </c>
      <c r="D2220" t="s">
        <v>6</v>
      </c>
      <c r="E2220">
        <v>1670</v>
      </c>
      <c r="F2220" t="s">
        <v>7</v>
      </c>
    </row>
    <row r="2221" spans="1:6">
      <c r="A2221" t="s">
        <v>43</v>
      </c>
      <c r="B2221" t="s">
        <v>20</v>
      </c>
      <c r="C2221">
        <v>2030</v>
      </c>
      <c r="D2221" t="s">
        <v>8</v>
      </c>
      <c r="E2221">
        <v>1870.9</v>
      </c>
      <c r="F2221" t="s">
        <v>7</v>
      </c>
    </row>
    <row r="2222" spans="1:6">
      <c r="A2222" t="s">
        <v>43</v>
      </c>
      <c r="B2222" t="s">
        <v>20</v>
      </c>
      <c r="C2222">
        <v>2030</v>
      </c>
      <c r="D2222" t="s">
        <v>9</v>
      </c>
      <c r="E2222">
        <v>1591.3</v>
      </c>
      <c r="F2222" t="s">
        <v>7</v>
      </c>
    </row>
    <row r="2223" spans="1:6">
      <c r="A2223" t="s">
        <v>43</v>
      </c>
      <c r="B2223" t="s">
        <v>20</v>
      </c>
      <c r="C2223">
        <v>2030</v>
      </c>
      <c r="D2223" t="s">
        <v>10</v>
      </c>
      <c r="E2223">
        <v>42</v>
      </c>
      <c r="F2223" t="s">
        <v>11</v>
      </c>
    </row>
    <row r="2224" spans="1:6">
      <c r="A2224" t="s">
        <v>43</v>
      </c>
      <c r="B2224" t="s">
        <v>20</v>
      </c>
      <c r="C2224">
        <v>2030</v>
      </c>
      <c r="D2224" t="s">
        <v>12</v>
      </c>
      <c r="E2224">
        <v>1</v>
      </c>
      <c r="F2224" t="s">
        <v>13</v>
      </c>
    </row>
    <row r="2225" spans="1:6">
      <c r="A2225" t="s">
        <v>43</v>
      </c>
      <c r="B2225" t="s">
        <v>20</v>
      </c>
      <c r="C2225">
        <v>2030</v>
      </c>
      <c r="D2225" t="s">
        <v>14</v>
      </c>
      <c r="E2225">
        <v>0.3</v>
      </c>
      <c r="F2225" t="s">
        <v>15</v>
      </c>
    </row>
    <row r="2226" spans="1:6">
      <c r="A2226" t="s">
        <v>43</v>
      </c>
      <c r="B2226" t="s">
        <v>20</v>
      </c>
      <c r="C2226">
        <v>2030</v>
      </c>
      <c r="D2226" t="s">
        <v>164</v>
      </c>
      <c r="E2226">
        <v>0</v>
      </c>
      <c r="F2226" t="s">
        <v>166</v>
      </c>
    </row>
    <row r="2227" spans="1:6">
      <c r="A2227" t="s">
        <v>43</v>
      </c>
      <c r="B2227" t="s">
        <v>20</v>
      </c>
      <c r="C2227">
        <v>2050</v>
      </c>
      <c r="D2227" t="s">
        <v>6</v>
      </c>
      <c r="E2227">
        <v>1610</v>
      </c>
      <c r="F2227" t="s">
        <v>7</v>
      </c>
    </row>
    <row r="2228" spans="1:6">
      <c r="A2228" t="s">
        <v>43</v>
      </c>
      <c r="B2228" t="s">
        <v>20</v>
      </c>
      <c r="C2228">
        <v>2050</v>
      </c>
      <c r="D2228" t="s">
        <v>8</v>
      </c>
      <c r="E2228">
        <v>1958.7</v>
      </c>
      <c r="F2228" t="s">
        <v>7</v>
      </c>
    </row>
    <row r="2229" spans="1:6">
      <c r="A2229" t="s">
        <v>43</v>
      </c>
      <c r="B2229" t="s">
        <v>20</v>
      </c>
      <c r="C2229">
        <v>2050</v>
      </c>
      <c r="D2229" t="s">
        <v>9</v>
      </c>
      <c r="E2229">
        <v>1458.8</v>
      </c>
      <c r="F2229" t="s">
        <v>7</v>
      </c>
    </row>
    <row r="2230" spans="1:6">
      <c r="A2230" t="s">
        <v>43</v>
      </c>
      <c r="B2230" t="s">
        <v>20</v>
      </c>
      <c r="C2230">
        <v>2050</v>
      </c>
      <c r="D2230" t="s">
        <v>10</v>
      </c>
      <c r="E2230">
        <v>42</v>
      </c>
      <c r="F2230" t="s">
        <v>11</v>
      </c>
    </row>
    <row r="2231" spans="1:6">
      <c r="A2231" t="s">
        <v>43</v>
      </c>
      <c r="B2231" t="s">
        <v>20</v>
      </c>
      <c r="C2231">
        <v>2050</v>
      </c>
      <c r="D2231" t="s">
        <v>12</v>
      </c>
      <c r="E2231">
        <v>1</v>
      </c>
      <c r="F2231" t="s">
        <v>13</v>
      </c>
    </row>
    <row r="2232" spans="1:6">
      <c r="A2232" t="s">
        <v>43</v>
      </c>
      <c r="B2232" t="s">
        <v>20</v>
      </c>
      <c r="C2232">
        <v>2050</v>
      </c>
      <c r="D2232" t="s">
        <v>14</v>
      </c>
      <c r="E2232">
        <v>0.3</v>
      </c>
      <c r="F2232" t="s">
        <v>15</v>
      </c>
    </row>
    <row r="2233" spans="1:6">
      <c r="A2233" t="s">
        <v>43</v>
      </c>
      <c r="B2233" t="s">
        <v>20</v>
      </c>
      <c r="C2233">
        <v>2050</v>
      </c>
      <c r="D2233" t="s">
        <v>164</v>
      </c>
      <c r="E2233">
        <v>0</v>
      </c>
      <c r="F2233" t="s">
        <v>166</v>
      </c>
    </row>
    <row r="2234" spans="1:6">
      <c r="A2234" t="s">
        <v>43</v>
      </c>
      <c r="B2234" t="s">
        <v>21</v>
      </c>
      <c r="C2234">
        <v>2022</v>
      </c>
      <c r="D2234" t="s">
        <v>6</v>
      </c>
      <c r="E2234">
        <v>1220</v>
      </c>
      <c r="F2234" t="s">
        <v>7</v>
      </c>
    </row>
    <row r="2235" spans="1:6">
      <c r="A2235" t="s">
        <v>43</v>
      </c>
      <c r="B2235" t="s">
        <v>21</v>
      </c>
      <c r="C2235">
        <v>2022</v>
      </c>
      <c r="D2235" t="s">
        <v>8</v>
      </c>
      <c r="E2235">
        <v>1220</v>
      </c>
      <c r="F2235" t="s">
        <v>7</v>
      </c>
    </row>
    <row r="2236" spans="1:6">
      <c r="A2236" t="s">
        <v>43</v>
      </c>
      <c r="B2236" t="s">
        <v>21</v>
      </c>
      <c r="C2236">
        <v>2022</v>
      </c>
      <c r="D2236" t="s">
        <v>9</v>
      </c>
      <c r="E2236">
        <v>1220</v>
      </c>
      <c r="F2236" t="s">
        <v>7</v>
      </c>
    </row>
    <row r="2237" spans="1:6">
      <c r="A2237" t="s">
        <v>43</v>
      </c>
      <c r="B2237" t="s">
        <v>21</v>
      </c>
      <c r="C2237">
        <v>2022</v>
      </c>
      <c r="D2237" t="s">
        <v>10</v>
      </c>
      <c r="E2237">
        <v>30</v>
      </c>
      <c r="F2237" t="s">
        <v>11</v>
      </c>
    </row>
    <row r="2238" spans="1:6">
      <c r="A2238" t="s">
        <v>43</v>
      </c>
      <c r="B2238" t="s">
        <v>21</v>
      </c>
      <c r="C2238">
        <v>2022</v>
      </c>
      <c r="D2238" t="s">
        <v>12</v>
      </c>
      <c r="E2238">
        <v>1</v>
      </c>
      <c r="F2238" t="s">
        <v>13</v>
      </c>
    </row>
    <row r="2239" spans="1:6">
      <c r="A2239" t="s">
        <v>43</v>
      </c>
      <c r="B2239" t="s">
        <v>21</v>
      </c>
      <c r="C2239">
        <v>2022</v>
      </c>
      <c r="D2239" t="s">
        <v>14</v>
      </c>
      <c r="E2239">
        <v>0.42</v>
      </c>
      <c r="F2239" t="s">
        <v>15</v>
      </c>
    </row>
    <row r="2240" spans="1:6">
      <c r="A2240" t="s">
        <v>43</v>
      </c>
      <c r="B2240" t="s">
        <v>21</v>
      </c>
      <c r="C2240">
        <v>2022</v>
      </c>
      <c r="D2240" t="s">
        <v>164</v>
      </c>
      <c r="E2240">
        <v>0</v>
      </c>
      <c r="F2240" t="s">
        <v>166</v>
      </c>
    </row>
    <row r="2241" spans="1:6">
      <c r="A2241" t="s">
        <v>43</v>
      </c>
      <c r="B2241" t="s">
        <v>21</v>
      </c>
      <c r="C2241">
        <v>2030</v>
      </c>
      <c r="D2241" t="s">
        <v>6</v>
      </c>
      <c r="E2241">
        <v>1160</v>
      </c>
      <c r="F2241" t="s">
        <v>7</v>
      </c>
    </row>
    <row r="2242" spans="1:6">
      <c r="A2242" t="s">
        <v>43</v>
      </c>
      <c r="B2242" t="s">
        <v>21</v>
      </c>
      <c r="C2242">
        <v>2030</v>
      </c>
      <c r="D2242" t="s">
        <v>8</v>
      </c>
      <c r="E2242">
        <v>1299.5</v>
      </c>
      <c r="F2242" t="s">
        <v>7</v>
      </c>
    </row>
    <row r="2243" spans="1:6">
      <c r="A2243" t="s">
        <v>43</v>
      </c>
      <c r="B2243" t="s">
        <v>21</v>
      </c>
      <c r="C2243">
        <v>2030</v>
      </c>
      <c r="D2243" t="s">
        <v>9</v>
      </c>
      <c r="E2243">
        <v>1105.4000000000001</v>
      </c>
      <c r="F2243" t="s">
        <v>7</v>
      </c>
    </row>
    <row r="2244" spans="1:6">
      <c r="A2244" t="s">
        <v>43</v>
      </c>
      <c r="B2244" t="s">
        <v>21</v>
      </c>
      <c r="C2244">
        <v>2030</v>
      </c>
      <c r="D2244" t="s">
        <v>10</v>
      </c>
      <c r="E2244">
        <v>30</v>
      </c>
      <c r="F2244" t="s">
        <v>11</v>
      </c>
    </row>
    <row r="2245" spans="1:6">
      <c r="A2245" t="s">
        <v>43</v>
      </c>
      <c r="B2245" t="s">
        <v>21</v>
      </c>
      <c r="C2245">
        <v>2030</v>
      </c>
      <c r="D2245" t="s">
        <v>12</v>
      </c>
      <c r="E2245">
        <v>1</v>
      </c>
      <c r="F2245" t="s">
        <v>13</v>
      </c>
    </row>
    <row r="2246" spans="1:6">
      <c r="A2246" t="s">
        <v>43</v>
      </c>
      <c r="B2246" t="s">
        <v>21</v>
      </c>
      <c r="C2246">
        <v>2030</v>
      </c>
      <c r="D2246" t="s">
        <v>14</v>
      </c>
      <c r="E2246">
        <v>0.43</v>
      </c>
      <c r="F2246" t="s">
        <v>15</v>
      </c>
    </row>
    <row r="2247" spans="1:6">
      <c r="A2247" t="s">
        <v>43</v>
      </c>
      <c r="B2247" t="s">
        <v>21</v>
      </c>
      <c r="C2247">
        <v>2030</v>
      </c>
      <c r="D2247" t="s">
        <v>164</v>
      </c>
      <c r="E2247">
        <v>0</v>
      </c>
      <c r="F2247" t="s">
        <v>166</v>
      </c>
    </row>
    <row r="2248" spans="1:6">
      <c r="A2248" t="s">
        <v>43</v>
      </c>
      <c r="B2248" t="s">
        <v>21</v>
      </c>
      <c r="C2248">
        <v>2050</v>
      </c>
      <c r="D2248" t="s">
        <v>6</v>
      </c>
      <c r="E2248">
        <v>1110</v>
      </c>
      <c r="F2248" t="s">
        <v>7</v>
      </c>
    </row>
    <row r="2249" spans="1:6">
      <c r="A2249" t="s">
        <v>43</v>
      </c>
      <c r="B2249" t="s">
        <v>21</v>
      </c>
      <c r="C2249">
        <v>2050</v>
      </c>
      <c r="D2249" t="s">
        <v>8</v>
      </c>
      <c r="E2249">
        <v>1350.4</v>
      </c>
      <c r="F2249" t="s">
        <v>7</v>
      </c>
    </row>
    <row r="2250" spans="1:6">
      <c r="A2250" t="s">
        <v>43</v>
      </c>
      <c r="B2250" t="s">
        <v>21</v>
      </c>
      <c r="C2250">
        <v>2050</v>
      </c>
      <c r="D2250" t="s">
        <v>9</v>
      </c>
      <c r="E2250">
        <v>1005.8</v>
      </c>
      <c r="F2250" t="s">
        <v>7</v>
      </c>
    </row>
    <row r="2251" spans="1:6">
      <c r="A2251" t="s">
        <v>43</v>
      </c>
      <c r="B2251" t="s">
        <v>21</v>
      </c>
      <c r="C2251">
        <v>2050</v>
      </c>
      <c r="D2251" t="s">
        <v>10</v>
      </c>
      <c r="E2251">
        <v>30</v>
      </c>
      <c r="F2251" t="s">
        <v>11</v>
      </c>
    </row>
    <row r="2252" spans="1:6">
      <c r="A2252" t="s">
        <v>43</v>
      </c>
      <c r="B2252" t="s">
        <v>21</v>
      </c>
      <c r="C2252">
        <v>2050</v>
      </c>
      <c r="D2252" t="s">
        <v>12</v>
      </c>
      <c r="E2252">
        <v>1</v>
      </c>
      <c r="F2252" t="s">
        <v>13</v>
      </c>
    </row>
    <row r="2253" spans="1:6">
      <c r="A2253" t="s">
        <v>43</v>
      </c>
      <c r="B2253" t="s">
        <v>21</v>
      </c>
      <c r="C2253">
        <v>2050</v>
      </c>
      <c r="D2253" t="s">
        <v>14</v>
      </c>
      <c r="E2253">
        <v>0.44</v>
      </c>
      <c r="F2253" t="s">
        <v>15</v>
      </c>
    </row>
    <row r="2254" spans="1:6">
      <c r="A2254" t="s">
        <v>43</v>
      </c>
      <c r="B2254" t="s">
        <v>21</v>
      </c>
      <c r="C2254">
        <v>2050</v>
      </c>
      <c r="D2254" t="s">
        <v>164</v>
      </c>
      <c r="E2254">
        <v>0</v>
      </c>
      <c r="F2254" t="s">
        <v>166</v>
      </c>
    </row>
    <row r="2255" spans="1:6">
      <c r="A2255" t="s">
        <v>43</v>
      </c>
      <c r="B2255" t="s">
        <v>22</v>
      </c>
      <c r="C2255">
        <v>2022</v>
      </c>
      <c r="D2255" t="s">
        <v>6</v>
      </c>
      <c r="E2255">
        <v>3520</v>
      </c>
      <c r="F2255" t="s">
        <v>7</v>
      </c>
    </row>
    <row r="2256" spans="1:6">
      <c r="A2256" t="s">
        <v>43</v>
      </c>
      <c r="B2256" t="s">
        <v>22</v>
      </c>
      <c r="C2256">
        <v>2022</v>
      </c>
      <c r="D2256" t="s">
        <v>8</v>
      </c>
      <c r="E2256">
        <v>3520</v>
      </c>
      <c r="F2256" t="s">
        <v>7</v>
      </c>
    </row>
    <row r="2257" spans="1:6">
      <c r="A2257" t="s">
        <v>43</v>
      </c>
      <c r="B2257" t="s">
        <v>22</v>
      </c>
      <c r="C2257">
        <v>2022</v>
      </c>
      <c r="D2257" t="s">
        <v>9</v>
      </c>
      <c r="E2257">
        <v>3520</v>
      </c>
      <c r="F2257" t="s">
        <v>7</v>
      </c>
    </row>
    <row r="2258" spans="1:6">
      <c r="A2258" t="s">
        <v>43</v>
      </c>
      <c r="B2258" t="s">
        <v>22</v>
      </c>
      <c r="C2258">
        <v>2022</v>
      </c>
      <c r="D2258" t="s">
        <v>10</v>
      </c>
      <c r="E2258">
        <v>88</v>
      </c>
      <c r="F2258" t="s">
        <v>11</v>
      </c>
    </row>
    <row r="2259" spans="1:6">
      <c r="A2259" t="s">
        <v>43</v>
      </c>
      <c r="B2259" t="s">
        <v>22</v>
      </c>
      <c r="C2259">
        <v>2022</v>
      </c>
      <c r="D2259" t="s">
        <v>12</v>
      </c>
      <c r="E2259">
        <v>1</v>
      </c>
      <c r="F2259" t="s">
        <v>13</v>
      </c>
    </row>
    <row r="2260" spans="1:6">
      <c r="A2260" t="s">
        <v>43</v>
      </c>
      <c r="B2260" t="s">
        <v>22</v>
      </c>
      <c r="C2260">
        <v>2022</v>
      </c>
      <c r="D2260" t="s">
        <v>14</v>
      </c>
      <c r="E2260">
        <v>0.26</v>
      </c>
      <c r="F2260" t="s">
        <v>15</v>
      </c>
    </row>
    <row r="2261" spans="1:6">
      <c r="A2261" t="s">
        <v>43</v>
      </c>
      <c r="B2261" t="s">
        <v>22</v>
      </c>
      <c r="C2261">
        <v>2022</v>
      </c>
      <c r="D2261" t="s">
        <v>164</v>
      </c>
      <c r="E2261">
        <v>0</v>
      </c>
      <c r="F2261" t="s">
        <v>166</v>
      </c>
    </row>
    <row r="2262" spans="1:6">
      <c r="A2262" t="s">
        <v>43</v>
      </c>
      <c r="B2262" t="s">
        <v>22</v>
      </c>
      <c r="C2262">
        <v>2030</v>
      </c>
      <c r="D2262" t="s">
        <v>6</v>
      </c>
      <c r="E2262">
        <v>3320</v>
      </c>
      <c r="F2262" t="s">
        <v>7</v>
      </c>
    </row>
    <row r="2263" spans="1:6">
      <c r="A2263" t="s">
        <v>43</v>
      </c>
      <c r="B2263" t="s">
        <v>22</v>
      </c>
      <c r="C2263">
        <v>2030</v>
      </c>
      <c r="D2263" t="s">
        <v>8</v>
      </c>
      <c r="E2263">
        <v>3719.4</v>
      </c>
      <c r="F2263" t="s">
        <v>7</v>
      </c>
    </row>
    <row r="2264" spans="1:6">
      <c r="A2264" t="s">
        <v>43</v>
      </c>
      <c r="B2264" t="s">
        <v>22</v>
      </c>
      <c r="C2264">
        <v>2030</v>
      </c>
      <c r="D2264" t="s">
        <v>9</v>
      </c>
      <c r="E2264">
        <v>3163.6</v>
      </c>
      <c r="F2264" t="s">
        <v>7</v>
      </c>
    </row>
    <row r="2265" spans="1:6">
      <c r="A2265" t="s">
        <v>43</v>
      </c>
      <c r="B2265" t="s">
        <v>22</v>
      </c>
      <c r="C2265">
        <v>2030</v>
      </c>
      <c r="D2265" t="s">
        <v>10</v>
      </c>
      <c r="E2265">
        <v>84</v>
      </c>
      <c r="F2265" t="s">
        <v>11</v>
      </c>
    </row>
    <row r="2266" spans="1:6">
      <c r="A2266" t="s">
        <v>43</v>
      </c>
      <c r="B2266" t="s">
        <v>22</v>
      </c>
      <c r="C2266">
        <v>2030</v>
      </c>
      <c r="D2266" t="s">
        <v>12</v>
      </c>
      <c r="E2266">
        <v>1</v>
      </c>
      <c r="F2266" t="s">
        <v>13</v>
      </c>
    </row>
    <row r="2267" spans="1:6">
      <c r="A2267" t="s">
        <v>43</v>
      </c>
      <c r="B2267" t="s">
        <v>22</v>
      </c>
      <c r="C2267">
        <v>2030</v>
      </c>
      <c r="D2267" t="s">
        <v>14</v>
      </c>
      <c r="E2267">
        <v>0.28000000000000003</v>
      </c>
      <c r="F2267" t="s">
        <v>15</v>
      </c>
    </row>
    <row r="2268" spans="1:6">
      <c r="A2268" t="s">
        <v>43</v>
      </c>
      <c r="B2268" t="s">
        <v>22</v>
      </c>
      <c r="C2268">
        <v>2030</v>
      </c>
      <c r="D2268" t="s">
        <v>164</v>
      </c>
      <c r="E2268">
        <v>0</v>
      </c>
      <c r="F2268" t="s">
        <v>166</v>
      </c>
    </row>
    <row r="2269" spans="1:6">
      <c r="A2269" t="s">
        <v>43</v>
      </c>
      <c r="B2269" t="s">
        <v>22</v>
      </c>
      <c r="C2269">
        <v>2050</v>
      </c>
      <c r="D2269" t="s">
        <v>6</v>
      </c>
      <c r="E2269">
        <v>3170</v>
      </c>
      <c r="F2269" t="s">
        <v>7</v>
      </c>
    </row>
    <row r="2270" spans="1:6">
      <c r="A2270" t="s">
        <v>43</v>
      </c>
      <c r="B2270" t="s">
        <v>22</v>
      </c>
      <c r="C2270">
        <v>2050</v>
      </c>
      <c r="D2270" t="s">
        <v>8</v>
      </c>
      <c r="E2270">
        <v>3856.6</v>
      </c>
      <c r="F2270" t="s">
        <v>7</v>
      </c>
    </row>
    <row r="2271" spans="1:6">
      <c r="A2271" t="s">
        <v>43</v>
      </c>
      <c r="B2271" t="s">
        <v>22</v>
      </c>
      <c r="C2271">
        <v>2050</v>
      </c>
      <c r="D2271" t="s">
        <v>9</v>
      </c>
      <c r="E2271">
        <v>2872.3</v>
      </c>
      <c r="F2271" t="s">
        <v>7</v>
      </c>
    </row>
    <row r="2272" spans="1:6">
      <c r="A2272" t="s">
        <v>43</v>
      </c>
      <c r="B2272" t="s">
        <v>22</v>
      </c>
      <c r="C2272">
        <v>2050</v>
      </c>
      <c r="D2272" t="s">
        <v>10</v>
      </c>
      <c r="E2272">
        <v>82</v>
      </c>
      <c r="F2272" t="s">
        <v>11</v>
      </c>
    </row>
    <row r="2273" spans="1:6">
      <c r="A2273" t="s">
        <v>43</v>
      </c>
      <c r="B2273" t="s">
        <v>22</v>
      </c>
      <c r="C2273">
        <v>2050</v>
      </c>
      <c r="D2273" t="s">
        <v>12</v>
      </c>
      <c r="E2273">
        <v>1</v>
      </c>
      <c r="F2273" t="s">
        <v>13</v>
      </c>
    </row>
    <row r="2274" spans="1:6">
      <c r="A2274" t="s">
        <v>43</v>
      </c>
      <c r="B2274" t="s">
        <v>22</v>
      </c>
      <c r="C2274">
        <v>2050</v>
      </c>
      <c r="D2274" t="s">
        <v>14</v>
      </c>
      <c r="E2274">
        <v>0.28999999999999998</v>
      </c>
      <c r="F2274" t="s">
        <v>15</v>
      </c>
    </row>
    <row r="2275" spans="1:6">
      <c r="A2275" t="s">
        <v>43</v>
      </c>
      <c r="B2275" t="s">
        <v>22</v>
      </c>
      <c r="C2275">
        <v>2050</v>
      </c>
      <c r="D2275" t="s">
        <v>164</v>
      </c>
      <c r="E2275">
        <v>0</v>
      </c>
      <c r="F2275" t="s">
        <v>166</v>
      </c>
    </row>
    <row r="2276" spans="1:6">
      <c r="A2276" t="s">
        <v>43</v>
      </c>
      <c r="B2276" t="s">
        <v>23</v>
      </c>
      <c r="C2276">
        <v>2022</v>
      </c>
      <c r="D2276" t="s">
        <v>6</v>
      </c>
      <c r="E2276">
        <v>1640</v>
      </c>
      <c r="F2276" t="s">
        <v>7</v>
      </c>
    </row>
    <row r="2277" spans="1:6">
      <c r="A2277" t="s">
        <v>43</v>
      </c>
      <c r="B2277" t="s">
        <v>23</v>
      </c>
      <c r="C2277">
        <v>2022</v>
      </c>
      <c r="D2277" t="s">
        <v>8</v>
      </c>
      <c r="E2277">
        <v>1640</v>
      </c>
      <c r="F2277" t="s">
        <v>7</v>
      </c>
    </row>
    <row r="2278" spans="1:6">
      <c r="A2278" t="s">
        <v>43</v>
      </c>
      <c r="B2278" t="s">
        <v>23</v>
      </c>
      <c r="C2278">
        <v>2022</v>
      </c>
      <c r="D2278" t="s">
        <v>9</v>
      </c>
      <c r="E2278">
        <v>1640</v>
      </c>
      <c r="F2278" t="s">
        <v>7</v>
      </c>
    </row>
    <row r="2279" spans="1:6">
      <c r="A2279" t="s">
        <v>43</v>
      </c>
      <c r="B2279" t="s">
        <v>23</v>
      </c>
      <c r="C2279">
        <v>2022</v>
      </c>
      <c r="D2279" t="s">
        <v>10</v>
      </c>
      <c r="E2279">
        <v>40</v>
      </c>
      <c r="F2279" t="s">
        <v>11</v>
      </c>
    </row>
    <row r="2280" spans="1:6">
      <c r="A2280" t="s">
        <v>43</v>
      </c>
      <c r="B2280" t="s">
        <v>23</v>
      </c>
      <c r="C2280">
        <v>2022</v>
      </c>
      <c r="D2280" t="s">
        <v>12</v>
      </c>
      <c r="E2280">
        <v>1</v>
      </c>
      <c r="F2280" t="s">
        <v>13</v>
      </c>
    </row>
    <row r="2281" spans="1:6">
      <c r="A2281" t="s">
        <v>43</v>
      </c>
      <c r="B2281" t="s">
        <v>23</v>
      </c>
      <c r="C2281">
        <v>2022</v>
      </c>
      <c r="D2281" t="s">
        <v>14</v>
      </c>
      <c r="E2281">
        <v>0.26</v>
      </c>
      <c r="F2281" t="s">
        <v>15</v>
      </c>
    </row>
    <row r="2282" spans="1:6">
      <c r="A2282" t="s">
        <v>43</v>
      </c>
      <c r="B2282" t="s">
        <v>23</v>
      </c>
      <c r="C2282">
        <v>2022</v>
      </c>
      <c r="D2282" t="s">
        <v>164</v>
      </c>
      <c r="E2282">
        <v>0</v>
      </c>
      <c r="F2282" t="s">
        <v>166</v>
      </c>
    </row>
    <row r="2283" spans="1:6">
      <c r="A2283" t="s">
        <v>43</v>
      </c>
      <c r="B2283" t="s">
        <v>23</v>
      </c>
      <c r="C2283">
        <v>2030</v>
      </c>
      <c r="D2283" t="s">
        <v>6</v>
      </c>
      <c r="E2283">
        <v>1550</v>
      </c>
      <c r="F2283" t="s">
        <v>7</v>
      </c>
    </row>
    <row r="2284" spans="1:6">
      <c r="A2284" t="s">
        <v>43</v>
      </c>
      <c r="B2284" t="s">
        <v>23</v>
      </c>
      <c r="C2284">
        <v>2030</v>
      </c>
      <c r="D2284" t="s">
        <v>8</v>
      </c>
      <c r="E2284">
        <v>1736.5</v>
      </c>
      <c r="F2284" t="s">
        <v>7</v>
      </c>
    </row>
    <row r="2285" spans="1:6">
      <c r="A2285" t="s">
        <v>43</v>
      </c>
      <c r="B2285" t="s">
        <v>23</v>
      </c>
      <c r="C2285">
        <v>2030</v>
      </c>
      <c r="D2285" t="s">
        <v>9</v>
      </c>
      <c r="E2285">
        <v>1477</v>
      </c>
      <c r="F2285" t="s">
        <v>7</v>
      </c>
    </row>
    <row r="2286" spans="1:6">
      <c r="A2286" t="s">
        <v>43</v>
      </c>
      <c r="B2286" t="s">
        <v>23</v>
      </c>
      <c r="C2286">
        <v>2030</v>
      </c>
      <c r="D2286" t="s">
        <v>10</v>
      </c>
      <c r="E2286">
        <v>40</v>
      </c>
      <c r="F2286" t="s">
        <v>11</v>
      </c>
    </row>
    <row r="2287" spans="1:6">
      <c r="A2287" t="s">
        <v>43</v>
      </c>
      <c r="B2287" t="s">
        <v>23</v>
      </c>
      <c r="C2287">
        <v>2030</v>
      </c>
      <c r="D2287" t="s">
        <v>12</v>
      </c>
      <c r="E2287">
        <v>1</v>
      </c>
      <c r="F2287" t="s">
        <v>13</v>
      </c>
    </row>
    <row r="2288" spans="1:6">
      <c r="A2288" t="s">
        <v>43</v>
      </c>
      <c r="B2288" t="s">
        <v>23</v>
      </c>
      <c r="C2288">
        <v>2030</v>
      </c>
      <c r="D2288" t="s">
        <v>14</v>
      </c>
      <c r="E2288">
        <v>0.28999999999999998</v>
      </c>
      <c r="F2288" t="s">
        <v>15</v>
      </c>
    </row>
    <row r="2289" spans="1:6">
      <c r="A2289" t="s">
        <v>43</v>
      </c>
      <c r="B2289" t="s">
        <v>23</v>
      </c>
      <c r="C2289">
        <v>2030</v>
      </c>
      <c r="D2289" t="s">
        <v>164</v>
      </c>
      <c r="E2289">
        <v>0</v>
      </c>
      <c r="F2289" t="s">
        <v>166</v>
      </c>
    </row>
    <row r="2290" spans="1:6">
      <c r="A2290" t="s">
        <v>43</v>
      </c>
      <c r="B2290" t="s">
        <v>23</v>
      </c>
      <c r="C2290">
        <v>2050</v>
      </c>
      <c r="D2290" t="s">
        <v>6</v>
      </c>
      <c r="E2290">
        <v>1470</v>
      </c>
      <c r="F2290" t="s">
        <v>7</v>
      </c>
    </row>
    <row r="2291" spans="1:6">
      <c r="A2291" t="s">
        <v>43</v>
      </c>
      <c r="B2291" t="s">
        <v>23</v>
      </c>
      <c r="C2291">
        <v>2050</v>
      </c>
      <c r="D2291" t="s">
        <v>8</v>
      </c>
      <c r="E2291">
        <v>1788.4</v>
      </c>
      <c r="F2291" t="s">
        <v>7</v>
      </c>
    </row>
    <row r="2292" spans="1:6">
      <c r="A2292" t="s">
        <v>43</v>
      </c>
      <c r="B2292" t="s">
        <v>23</v>
      </c>
      <c r="C2292">
        <v>2050</v>
      </c>
      <c r="D2292" t="s">
        <v>9</v>
      </c>
      <c r="E2292">
        <v>1332</v>
      </c>
      <c r="F2292" t="s">
        <v>7</v>
      </c>
    </row>
    <row r="2293" spans="1:6">
      <c r="A2293" t="s">
        <v>43</v>
      </c>
      <c r="B2293" t="s">
        <v>23</v>
      </c>
      <c r="C2293">
        <v>2050</v>
      </c>
      <c r="D2293" t="s">
        <v>10</v>
      </c>
      <c r="E2293">
        <v>38</v>
      </c>
      <c r="F2293" t="s">
        <v>11</v>
      </c>
    </row>
    <row r="2294" spans="1:6">
      <c r="A2294" t="s">
        <v>43</v>
      </c>
      <c r="B2294" t="s">
        <v>23</v>
      </c>
      <c r="C2294">
        <v>2050</v>
      </c>
      <c r="D2294" t="s">
        <v>12</v>
      </c>
      <c r="E2294">
        <v>1</v>
      </c>
      <c r="F2294" t="s">
        <v>13</v>
      </c>
    </row>
    <row r="2295" spans="1:6">
      <c r="A2295" t="s">
        <v>43</v>
      </c>
      <c r="B2295" t="s">
        <v>23</v>
      </c>
      <c r="C2295">
        <v>2050</v>
      </c>
      <c r="D2295" t="s">
        <v>14</v>
      </c>
      <c r="E2295">
        <v>0.31</v>
      </c>
      <c r="F2295" t="s">
        <v>15</v>
      </c>
    </row>
    <row r="2296" spans="1:6">
      <c r="A2296" t="s">
        <v>43</v>
      </c>
      <c r="B2296" t="s">
        <v>23</v>
      </c>
      <c r="C2296">
        <v>2050</v>
      </c>
      <c r="D2296" t="s">
        <v>164</v>
      </c>
      <c r="E2296">
        <v>0</v>
      </c>
      <c r="F2296" t="s">
        <v>166</v>
      </c>
    </row>
    <row r="2297" spans="1:6">
      <c r="A2297" t="s">
        <v>43</v>
      </c>
      <c r="B2297" t="s">
        <v>24</v>
      </c>
      <c r="C2297">
        <v>2022</v>
      </c>
      <c r="D2297" t="s">
        <v>6</v>
      </c>
      <c r="E2297">
        <v>1100</v>
      </c>
      <c r="F2297" t="s">
        <v>7</v>
      </c>
    </row>
    <row r="2298" spans="1:6">
      <c r="A2298" t="s">
        <v>43</v>
      </c>
      <c r="B2298" t="s">
        <v>24</v>
      </c>
      <c r="C2298">
        <v>2022</v>
      </c>
      <c r="D2298" t="s">
        <v>8</v>
      </c>
      <c r="E2298">
        <v>1100</v>
      </c>
      <c r="F2298" t="s">
        <v>7</v>
      </c>
    </row>
    <row r="2299" spans="1:6">
      <c r="A2299" t="s">
        <v>43</v>
      </c>
      <c r="B2299" t="s">
        <v>24</v>
      </c>
      <c r="C2299">
        <v>2022</v>
      </c>
      <c r="D2299" t="s">
        <v>9</v>
      </c>
      <c r="E2299">
        <v>1100</v>
      </c>
      <c r="F2299" t="s">
        <v>7</v>
      </c>
    </row>
    <row r="2300" spans="1:6">
      <c r="A2300" t="s">
        <v>43</v>
      </c>
      <c r="B2300" t="s">
        <v>24</v>
      </c>
      <c r="C2300">
        <v>2022</v>
      </c>
      <c r="D2300" t="s">
        <v>10</v>
      </c>
      <c r="E2300">
        <v>28</v>
      </c>
      <c r="F2300" t="s">
        <v>11</v>
      </c>
    </row>
    <row r="2301" spans="1:6">
      <c r="A2301" t="s">
        <v>43</v>
      </c>
      <c r="B2301" t="s">
        <v>24</v>
      </c>
      <c r="C2301">
        <v>2022</v>
      </c>
      <c r="D2301" t="s">
        <v>12</v>
      </c>
      <c r="E2301">
        <v>1</v>
      </c>
      <c r="F2301" t="s">
        <v>13</v>
      </c>
    </row>
    <row r="2302" spans="1:6">
      <c r="A2302" t="s">
        <v>43</v>
      </c>
      <c r="B2302" t="s">
        <v>24</v>
      </c>
      <c r="C2302">
        <v>2022</v>
      </c>
      <c r="D2302" t="s">
        <v>14</v>
      </c>
      <c r="E2302">
        <v>0.26</v>
      </c>
      <c r="F2302" t="s">
        <v>15</v>
      </c>
    </row>
    <row r="2303" spans="1:6">
      <c r="A2303" t="s">
        <v>43</v>
      </c>
      <c r="B2303" t="s">
        <v>24</v>
      </c>
      <c r="C2303">
        <v>2022</v>
      </c>
      <c r="D2303" t="s">
        <v>164</v>
      </c>
      <c r="E2303">
        <v>0</v>
      </c>
      <c r="F2303" t="s">
        <v>166</v>
      </c>
    </row>
    <row r="2304" spans="1:6">
      <c r="A2304" t="s">
        <v>43</v>
      </c>
      <c r="B2304" t="s">
        <v>24</v>
      </c>
      <c r="C2304">
        <v>2030</v>
      </c>
      <c r="D2304" t="s">
        <v>6</v>
      </c>
      <c r="E2304">
        <v>1040</v>
      </c>
      <c r="F2304" t="s">
        <v>7</v>
      </c>
    </row>
    <row r="2305" spans="1:6">
      <c r="A2305" t="s">
        <v>43</v>
      </c>
      <c r="B2305" t="s">
        <v>24</v>
      </c>
      <c r="C2305">
        <v>2030</v>
      </c>
      <c r="D2305" t="s">
        <v>8</v>
      </c>
      <c r="E2305">
        <v>1165.0999999999999</v>
      </c>
      <c r="F2305" t="s">
        <v>7</v>
      </c>
    </row>
    <row r="2306" spans="1:6">
      <c r="A2306" t="s">
        <v>43</v>
      </c>
      <c r="B2306" t="s">
        <v>24</v>
      </c>
      <c r="C2306">
        <v>2030</v>
      </c>
      <c r="D2306" t="s">
        <v>9</v>
      </c>
      <c r="E2306">
        <v>991</v>
      </c>
      <c r="F2306" t="s">
        <v>7</v>
      </c>
    </row>
    <row r="2307" spans="1:6">
      <c r="A2307" t="s">
        <v>43</v>
      </c>
      <c r="B2307" t="s">
        <v>24</v>
      </c>
      <c r="C2307">
        <v>2030</v>
      </c>
      <c r="D2307" t="s">
        <v>10</v>
      </c>
      <c r="E2307">
        <v>26</v>
      </c>
      <c r="F2307" t="s">
        <v>11</v>
      </c>
    </row>
    <row r="2308" spans="1:6">
      <c r="A2308" t="s">
        <v>43</v>
      </c>
      <c r="B2308" t="s">
        <v>24</v>
      </c>
      <c r="C2308">
        <v>2030</v>
      </c>
      <c r="D2308" t="s">
        <v>12</v>
      </c>
      <c r="E2308">
        <v>1</v>
      </c>
      <c r="F2308" t="s">
        <v>13</v>
      </c>
    </row>
    <row r="2309" spans="1:6">
      <c r="A2309" t="s">
        <v>43</v>
      </c>
      <c r="B2309" t="s">
        <v>24</v>
      </c>
      <c r="C2309">
        <v>2030</v>
      </c>
      <c r="D2309" t="s">
        <v>14</v>
      </c>
      <c r="E2309">
        <v>0.27</v>
      </c>
      <c r="F2309" t="s">
        <v>15</v>
      </c>
    </row>
    <row r="2310" spans="1:6">
      <c r="A2310" t="s">
        <v>43</v>
      </c>
      <c r="B2310" t="s">
        <v>24</v>
      </c>
      <c r="C2310">
        <v>2030</v>
      </c>
      <c r="D2310" t="s">
        <v>164</v>
      </c>
      <c r="E2310">
        <v>0</v>
      </c>
      <c r="F2310" t="s">
        <v>166</v>
      </c>
    </row>
    <row r="2311" spans="1:6">
      <c r="A2311" t="s">
        <v>43</v>
      </c>
      <c r="B2311" t="s">
        <v>24</v>
      </c>
      <c r="C2311">
        <v>2050</v>
      </c>
      <c r="D2311" t="s">
        <v>6</v>
      </c>
      <c r="E2311">
        <v>1000</v>
      </c>
      <c r="F2311" t="s">
        <v>7</v>
      </c>
    </row>
    <row r="2312" spans="1:6">
      <c r="A2312" t="s">
        <v>43</v>
      </c>
      <c r="B2312" t="s">
        <v>24</v>
      </c>
      <c r="C2312">
        <v>2050</v>
      </c>
      <c r="D2312" t="s">
        <v>8</v>
      </c>
      <c r="E2312">
        <v>1216.5999999999999</v>
      </c>
      <c r="F2312" t="s">
        <v>7</v>
      </c>
    </row>
    <row r="2313" spans="1:6">
      <c r="A2313" t="s">
        <v>43</v>
      </c>
      <c r="B2313" t="s">
        <v>24</v>
      </c>
      <c r="C2313">
        <v>2050</v>
      </c>
      <c r="D2313" t="s">
        <v>9</v>
      </c>
      <c r="E2313">
        <v>906.1</v>
      </c>
      <c r="F2313" t="s">
        <v>7</v>
      </c>
    </row>
    <row r="2314" spans="1:6">
      <c r="A2314" t="s">
        <v>43</v>
      </c>
      <c r="B2314" t="s">
        <v>24</v>
      </c>
      <c r="C2314">
        <v>2050</v>
      </c>
      <c r="D2314" t="s">
        <v>10</v>
      </c>
      <c r="E2314">
        <v>26</v>
      </c>
      <c r="F2314" t="s">
        <v>11</v>
      </c>
    </row>
    <row r="2315" spans="1:6">
      <c r="A2315" t="s">
        <v>43</v>
      </c>
      <c r="B2315" t="s">
        <v>24</v>
      </c>
      <c r="C2315">
        <v>2050</v>
      </c>
      <c r="D2315" t="s">
        <v>12</v>
      </c>
      <c r="E2315">
        <v>1</v>
      </c>
      <c r="F2315" t="s">
        <v>13</v>
      </c>
    </row>
    <row r="2316" spans="1:6">
      <c r="A2316" t="s">
        <v>43</v>
      </c>
      <c r="B2316" t="s">
        <v>24</v>
      </c>
      <c r="C2316">
        <v>2050</v>
      </c>
      <c r="D2316" t="s">
        <v>14</v>
      </c>
      <c r="E2316">
        <v>0.28000000000000003</v>
      </c>
      <c r="F2316" t="s">
        <v>15</v>
      </c>
    </row>
    <row r="2317" spans="1:6">
      <c r="A2317" t="s">
        <v>43</v>
      </c>
      <c r="B2317" t="s">
        <v>24</v>
      </c>
      <c r="C2317">
        <v>2050</v>
      </c>
      <c r="D2317" t="s">
        <v>164</v>
      </c>
      <c r="E2317">
        <v>0</v>
      </c>
      <c r="F2317" t="s">
        <v>166</v>
      </c>
    </row>
    <row r="2318" spans="1:6">
      <c r="A2318" t="s">
        <v>43</v>
      </c>
      <c r="B2318" t="s">
        <v>25</v>
      </c>
      <c r="C2318">
        <v>2022</v>
      </c>
      <c r="D2318" t="s">
        <v>6</v>
      </c>
      <c r="E2318">
        <v>1120</v>
      </c>
      <c r="F2318" t="s">
        <v>7</v>
      </c>
    </row>
    <row r="2319" spans="1:6">
      <c r="A2319" t="s">
        <v>43</v>
      </c>
      <c r="B2319" t="s">
        <v>25</v>
      </c>
      <c r="C2319">
        <v>2022</v>
      </c>
      <c r="D2319" t="s">
        <v>8</v>
      </c>
      <c r="E2319">
        <v>1120</v>
      </c>
      <c r="F2319" t="s">
        <v>7</v>
      </c>
    </row>
    <row r="2320" spans="1:6">
      <c r="A2320" t="s">
        <v>43</v>
      </c>
      <c r="B2320" t="s">
        <v>25</v>
      </c>
      <c r="C2320">
        <v>2022</v>
      </c>
      <c r="D2320" t="s">
        <v>9</v>
      </c>
      <c r="E2320">
        <v>1120</v>
      </c>
      <c r="F2320" t="s">
        <v>7</v>
      </c>
    </row>
    <row r="2321" spans="1:6">
      <c r="A2321" t="s">
        <v>43</v>
      </c>
      <c r="B2321" t="s">
        <v>25</v>
      </c>
      <c r="C2321">
        <v>2022</v>
      </c>
      <c r="D2321" t="s">
        <v>10</v>
      </c>
      <c r="E2321">
        <v>28</v>
      </c>
      <c r="F2321" t="s">
        <v>11</v>
      </c>
    </row>
    <row r="2322" spans="1:6">
      <c r="A2322" t="s">
        <v>43</v>
      </c>
      <c r="B2322" t="s">
        <v>25</v>
      </c>
      <c r="C2322">
        <v>2022</v>
      </c>
      <c r="D2322" t="s">
        <v>12</v>
      </c>
      <c r="E2322">
        <v>1</v>
      </c>
      <c r="F2322" t="s">
        <v>13</v>
      </c>
    </row>
    <row r="2323" spans="1:6">
      <c r="A2323" t="s">
        <v>43</v>
      </c>
      <c r="B2323" t="s">
        <v>25</v>
      </c>
      <c r="C2323">
        <v>2022</v>
      </c>
      <c r="D2323" t="s">
        <v>14</v>
      </c>
      <c r="E2323">
        <v>0.26</v>
      </c>
      <c r="F2323" t="s">
        <v>15</v>
      </c>
    </row>
    <row r="2324" spans="1:6">
      <c r="A2324" t="s">
        <v>43</v>
      </c>
      <c r="B2324" t="s">
        <v>25</v>
      </c>
      <c r="C2324">
        <v>2022</v>
      </c>
      <c r="D2324" t="s">
        <v>164</v>
      </c>
      <c r="E2324">
        <v>0</v>
      </c>
      <c r="F2324" t="s">
        <v>166</v>
      </c>
    </row>
    <row r="2325" spans="1:6">
      <c r="A2325" t="s">
        <v>43</v>
      </c>
      <c r="B2325" t="s">
        <v>25</v>
      </c>
      <c r="C2325">
        <v>2030</v>
      </c>
      <c r="D2325" t="s">
        <v>6</v>
      </c>
      <c r="E2325">
        <v>1060</v>
      </c>
      <c r="F2325" t="s">
        <v>7</v>
      </c>
    </row>
    <row r="2326" spans="1:6">
      <c r="A2326" t="s">
        <v>43</v>
      </c>
      <c r="B2326" t="s">
        <v>25</v>
      </c>
      <c r="C2326">
        <v>2030</v>
      </c>
      <c r="D2326" t="s">
        <v>8</v>
      </c>
      <c r="E2326">
        <v>1187.5</v>
      </c>
      <c r="F2326" t="s">
        <v>7</v>
      </c>
    </row>
    <row r="2327" spans="1:6">
      <c r="A2327" t="s">
        <v>43</v>
      </c>
      <c r="B2327" t="s">
        <v>25</v>
      </c>
      <c r="C2327">
        <v>2030</v>
      </c>
      <c r="D2327" t="s">
        <v>9</v>
      </c>
      <c r="E2327">
        <v>1010.1</v>
      </c>
      <c r="F2327" t="s">
        <v>7</v>
      </c>
    </row>
    <row r="2328" spans="1:6">
      <c r="A2328" t="s">
        <v>43</v>
      </c>
      <c r="B2328" t="s">
        <v>25</v>
      </c>
      <c r="C2328">
        <v>2030</v>
      </c>
      <c r="D2328" t="s">
        <v>10</v>
      </c>
      <c r="E2328">
        <v>26</v>
      </c>
      <c r="F2328" t="s">
        <v>11</v>
      </c>
    </row>
    <row r="2329" spans="1:6">
      <c r="A2329" t="s">
        <v>43</v>
      </c>
      <c r="B2329" t="s">
        <v>25</v>
      </c>
      <c r="C2329">
        <v>2030</v>
      </c>
      <c r="D2329" t="s">
        <v>12</v>
      </c>
      <c r="E2329">
        <v>1</v>
      </c>
      <c r="F2329" t="s">
        <v>13</v>
      </c>
    </row>
    <row r="2330" spans="1:6">
      <c r="A2330" t="s">
        <v>43</v>
      </c>
      <c r="B2330" t="s">
        <v>25</v>
      </c>
      <c r="C2330">
        <v>2030</v>
      </c>
      <c r="D2330" t="s">
        <v>14</v>
      </c>
      <c r="E2330">
        <v>0.28000000000000003</v>
      </c>
      <c r="F2330" t="s">
        <v>15</v>
      </c>
    </row>
    <row r="2331" spans="1:6">
      <c r="A2331" t="s">
        <v>43</v>
      </c>
      <c r="B2331" t="s">
        <v>25</v>
      </c>
      <c r="C2331">
        <v>2030</v>
      </c>
      <c r="D2331" t="s">
        <v>164</v>
      </c>
      <c r="E2331">
        <v>0</v>
      </c>
      <c r="F2331" t="s">
        <v>166</v>
      </c>
    </row>
    <row r="2332" spans="1:6">
      <c r="A2332" t="s">
        <v>43</v>
      </c>
      <c r="B2332" t="s">
        <v>25</v>
      </c>
      <c r="C2332">
        <v>2050</v>
      </c>
      <c r="D2332" t="s">
        <v>6</v>
      </c>
      <c r="E2332">
        <v>1010</v>
      </c>
      <c r="F2332" t="s">
        <v>7</v>
      </c>
    </row>
    <row r="2333" spans="1:6">
      <c r="A2333" t="s">
        <v>43</v>
      </c>
      <c r="B2333" t="s">
        <v>25</v>
      </c>
      <c r="C2333">
        <v>2050</v>
      </c>
      <c r="D2333" t="s">
        <v>8</v>
      </c>
      <c r="E2333">
        <v>1228.8</v>
      </c>
      <c r="F2333" t="s">
        <v>7</v>
      </c>
    </row>
    <row r="2334" spans="1:6">
      <c r="A2334" t="s">
        <v>43</v>
      </c>
      <c r="B2334" t="s">
        <v>25</v>
      </c>
      <c r="C2334">
        <v>2050</v>
      </c>
      <c r="D2334" t="s">
        <v>9</v>
      </c>
      <c r="E2334">
        <v>915.2</v>
      </c>
      <c r="F2334" t="s">
        <v>7</v>
      </c>
    </row>
    <row r="2335" spans="1:6">
      <c r="A2335" t="s">
        <v>43</v>
      </c>
      <c r="B2335" t="s">
        <v>25</v>
      </c>
      <c r="C2335">
        <v>2050</v>
      </c>
      <c r="D2335" t="s">
        <v>10</v>
      </c>
      <c r="E2335">
        <v>26</v>
      </c>
      <c r="F2335" t="s">
        <v>11</v>
      </c>
    </row>
    <row r="2336" spans="1:6">
      <c r="A2336" t="s">
        <v>43</v>
      </c>
      <c r="B2336" t="s">
        <v>25</v>
      </c>
      <c r="C2336">
        <v>2050</v>
      </c>
      <c r="D2336" t="s">
        <v>12</v>
      </c>
      <c r="E2336">
        <v>1</v>
      </c>
      <c r="F2336" t="s">
        <v>13</v>
      </c>
    </row>
    <row r="2337" spans="1:6">
      <c r="A2337" t="s">
        <v>43</v>
      </c>
      <c r="B2337" t="s">
        <v>25</v>
      </c>
      <c r="C2337">
        <v>2050</v>
      </c>
      <c r="D2337" t="s">
        <v>14</v>
      </c>
      <c r="E2337">
        <v>0.3</v>
      </c>
      <c r="F2337" t="s">
        <v>15</v>
      </c>
    </row>
    <row r="2338" spans="1:6">
      <c r="A2338" t="s">
        <v>43</v>
      </c>
      <c r="B2338" t="s">
        <v>25</v>
      </c>
      <c r="C2338">
        <v>2050</v>
      </c>
      <c r="D2338" t="s">
        <v>164</v>
      </c>
      <c r="E2338">
        <v>0</v>
      </c>
      <c r="F2338" t="s">
        <v>166</v>
      </c>
    </row>
    <row r="2339" spans="1:6">
      <c r="A2339" t="s">
        <v>43</v>
      </c>
      <c r="B2339" t="s">
        <v>26</v>
      </c>
      <c r="C2339">
        <v>2022</v>
      </c>
      <c r="D2339" t="s">
        <v>6</v>
      </c>
      <c r="E2339">
        <v>1950</v>
      </c>
      <c r="F2339" t="s">
        <v>7</v>
      </c>
    </row>
    <row r="2340" spans="1:6">
      <c r="A2340" t="s">
        <v>43</v>
      </c>
      <c r="B2340" t="s">
        <v>26</v>
      </c>
      <c r="C2340">
        <v>2022</v>
      </c>
      <c r="D2340" t="s">
        <v>8</v>
      </c>
      <c r="E2340">
        <v>1950</v>
      </c>
      <c r="F2340" t="s">
        <v>7</v>
      </c>
    </row>
    <row r="2341" spans="1:6">
      <c r="A2341" t="s">
        <v>43</v>
      </c>
      <c r="B2341" t="s">
        <v>26</v>
      </c>
      <c r="C2341">
        <v>2022</v>
      </c>
      <c r="D2341" t="s">
        <v>9</v>
      </c>
      <c r="E2341">
        <v>1950</v>
      </c>
      <c r="F2341" t="s">
        <v>7</v>
      </c>
    </row>
    <row r="2342" spans="1:6">
      <c r="A2342" t="s">
        <v>43</v>
      </c>
      <c r="B2342" t="s">
        <v>26</v>
      </c>
      <c r="C2342">
        <v>2022</v>
      </c>
      <c r="D2342" t="s">
        <v>10</v>
      </c>
      <c r="E2342">
        <v>48</v>
      </c>
      <c r="F2342" t="s">
        <v>11</v>
      </c>
    </row>
    <row r="2343" spans="1:6">
      <c r="A2343" t="s">
        <v>43</v>
      </c>
      <c r="B2343" t="s">
        <v>26</v>
      </c>
      <c r="C2343">
        <v>2022</v>
      </c>
      <c r="D2343" t="s">
        <v>12</v>
      </c>
      <c r="E2343">
        <v>1</v>
      </c>
      <c r="F2343" t="s">
        <v>13</v>
      </c>
    </row>
    <row r="2344" spans="1:6">
      <c r="A2344" t="s">
        <v>43</v>
      </c>
      <c r="B2344" t="s">
        <v>26</v>
      </c>
      <c r="C2344">
        <v>2022</v>
      </c>
      <c r="D2344" t="s">
        <v>14</v>
      </c>
      <c r="E2344">
        <v>0.35</v>
      </c>
      <c r="F2344" t="s">
        <v>15</v>
      </c>
    </row>
    <row r="2345" spans="1:6">
      <c r="A2345" t="s">
        <v>43</v>
      </c>
      <c r="B2345" t="s">
        <v>26</v>
      </c>
      <c r="C2345">
        <v>2022</v>
      </c>
      <c r="D2345" t="s">
        <v>164</v>
      </c>
      <c r="E2345">
        <v>0</v>
      </c>
      <c r="F2345" t="s">
        <v>166</v>
      </c>
    </row>
    <row r="2346" spans="1:6">
      <c r="A2346" t="s">
        <v>43</v>
      </c>
      <c r="B2346" t="s">
        <v>26</v>
      </c>
      <c r="C2346">
        <v>2030</v>
      </c>
      <c r="D2346" t="s">
        <v>6</v>
      </c>
      <c r="E2346">
        <v>1830</v>
      </c>
      <c r="F2346" t="s">
        <v>7</v>
      </c>
    </row>
    <row r="2347" spans="1:6">
      <c r="A2347" t="s">
        <v>43</v>
      </c>
      <c r="B2347" t="s">
        <v>26</v>
      </c>
      <c r="C2347">
        <v>2030</v>
      </c>
      <c r="D2347" t="s">
        <v>8</v>
      </c>
      <c r="E2347">
        <v>2050.1</v>
      </c>
      <c r="F2347" t="s">
        <v>7</v>
      </c>
    </row>
    <row r="2348" spans="1:6">
      <c r="A2348" t="s">
        <v>43</v>
      </c>
      <c r="B2348" t="s">
        <v>26</v>
      </c>
      <c r="C2348">
        <v>2030</v>
      </c>
      <c r="D2348" t="s">
        <v>9</v>
      </c>
      <c r="E2348">
        <v>1743.8</v>
      </c>
      <c r="F2348" t="s">
        <v>7</v>
      </c>
    </row>
    <row r="2349" spans="1:6">
      <c r="A2349" t="s">
        <v>43</v>
      </c>
      <c r="B2349" t="s">
        <v>26</v>
      </c>
      <c r="C2349">
        <v>2030</v>
      </c>
      <c r="D2349" t="s">
        <v>10</v>
      </c>
      <c r="E2349">
        <v>46</v>
      </c>
      <c r="F2349" t="s">
        <v>11</v>
      </c>
    </row>
    <row r="2350" spans="1:6">
      <c r="A2350" t="s">
        <v>43</v>
      </c>
      <c r="B2350" t="s">
        <v>26</v>
      </c>
      <c r="C2350">
        <v>2030</v>
      </c>
      <c r="D2350" t="s">
        <v>12</v>
      </c>
      <c r="E2350">
        <v>1</v>
      </c>
      <c r="F2350" t="s">
        <v>13</v>
      </c>
    </row>
    <row r="2351" spans="1:6">
      <c r="A2351" t="s">
        <v>43</v>
      </c>
      <c r="B2351" t="s">
        <v>26</v>
      </c>
      <c r="C2351">
        <v>2030</v>
      </c>
      <c r="D2351" t="s">
        <v>14</v>
      </c>
      <c r="E2351">
        <v>0.35</v>
      </c>
      <c r="F2351" t="s">
        <v>15</v>
      </c>
    </row>
    <row r="2352" spans="1:6">
      <c r="A2352" t="s">
        <v>43</v>
      </c>
      <c r="B2352" t="s">
        <v>26</v>
      </c>
      <c r="C2352">
        <v>2030</v>
      </c>
      <c r="D2352" t="s">
        <v>164</v>
      </c>
      <c r="E2352">
        <v>0</v>
      </c>
      <c r="F2352" t="s">
        <v>166</v>
      </c>
    </row>
    <row r="2353" spans="1:6">
      <c r="A2353" t="s">
        <v>43</v>
      </c>
      <c r="B2353" t="s">
        <v>26</v>
      </c>
      <c r="C2353">
        <v>2050</v>
      </c>
      <c r="D2353" t="s">
        <v>6</v>
      </c>
      <c r="E2353">
        <v>1710</v>
      </c>
      <c r="F2353" t="s">
        <v>7</v>
      </c>
    </row>
    <row r="2354" spans="1:6">
      <c r="A2354" t="s">
        <v>43</v>
      </c>
      <c r="B2354" t="s">
        <v>26</v>
      </c>
      <c r="C2354">
        <v>2050</v>
      </c>
      <c r="D2354" t="s">
        <v>8</v>
      </c>
      <c r="E2354">
        <v>2080.4</v>
      </c>
      <c r="F2354" t="s">
        <v>7</v>
      </c>
    </row>
    <row r="2355" spans="1:6">
      <c r="A2355" t="s">
        <v>43</v>
      </c>
      <c r="B2355" t="s">
        <v>26</v>
      </c>
      <c r="C2355">
        <v>2050</v>
      </c>
      <c r="D2355" t="s">
        <v>9</v>
      </c>
      <c r="E2355">
        <v>1549.4</v>
      </c>
      <c r="F2355" t="s">
        <v>7</v>
      </c>
    </row>
    <row r="2356" spans="1:6">
      <c r="A2356" t="s">
        <v>43</v>
      </c>
      <c r="B2356" t="s">
        <v>26</v>
      </c>
      <c r="C2356">
        <v>2050</v>
      </c>
      <c r="D2356" t="s">
        <v>10</v>
      </c>
      <c r="E2356">
        <v>44</v>
      </c>
      <c r="F2356" t="s">
        <v>11</v>
      </c>
    </row>
    <row r="2357" spans="1:6">
      <c r="A2357" t="s">
        <v>43</v>
      </c>
      <c r="B2357" t="s">
        <v>26</v>
      </c>
      <c r="C2357">
        <v>2050</v>
      </c>
      <c r="D2357" t="s">
        <v>12</v>
      </c>
      <c r="E2357">
        <v>1</v>
      </c>
      <c r="F2357" t="s">
        <v>13</v>
      </c>
    </row>
    <row r="2358" spans="1:6">
      <c r="A2358" t="s">
        <v>43</v>
      </c>
      <c r="B2358" t="s">
        <v>26</v>
      </c>
      <c r="C2358">
        <v>2050</v>
      </c>
      <c r="D2358" t="s">
        <v>14</v>
      </c>
      <c r="E2358">
        <v>0.36</v>
      </c>
      <c r="F2358" t="s">
        <v>15</v>
      </c>
    </row>
    <row r="2359" spans="1:6">
      <c r="A2359" t="s">
        <v>43</v>
      </c>
      <c r="B2359" t="s">
        <v>26</v>
      </c>
      <c r="C2359">
        <v>2050</v>
      </c>
      <c r="D2359" t="s">
        <v>164</v>
      </c>
      <c r="E2359">
        <v>0</v>
      </c>
      <c r="F2359" t="s">
        <v>166</v>
      </c>
    </row>
    <row r="2360" spans="1:6">
      <c r="A2360" t="s">
        <v>43</v>
      </c>
      <c r="B2360" t="s">
        <v>27</v>
      </c>
      <c r="C2360">
        <v>2022</v>
      </c>
      <c r="D2360" t="s">
        <v>6</v>
      </c>
      <c r="E2360">
        <v>1950</v>
      </c>
      <c r="F2360" t="s">
        <v>7</v>
      </c>
    </row>
    <row r="2361" spans="1:6">
      <c r="A2361" t="s">
        <v>43</v>
      </c>
      <c r="B2361" t="s">
        <v>27</v>
      </c>
      <c r="C2361">
        <v>2022</v>
      </c>
      <c r="D2361" t="s">
        <v>8</v>
      </c>
      <c r="E2361">
        <v>1950</v>
      </c>
      <c r="F2361" t="s">
        <v>7</v>
      </c>
    </row>
    <row r="2362" spans="1:6">
      <c r="A2362" t="s">
        <v>43</v>
      </c>
      <c r="B2362" t="s">
        <v>27</v>
      </c>
      <c r="C2362">
        <v>2022</v>
      </c>
      <c r="D2362" t="s">
        <v>9</v>
      </c>
      <c r="E2362">
        <v>1950</v>
      </c>
      <c r="F2362" t="s">
        <v>7</v>
      </c>
    </row>
    <row r="2363" spans="1:6">
      <c r="A2363" t="s">
        <v>43</v>
      </c>
      <c r="B2363" t="s">
        <v>27</v>
      </c>
      <c r="C2363">
        <v>2022</v>
      </c>
      <c r="D2363" t="s">
        <v>10</v>
      </c>
      <c r="E2363">
        <v>48</v>
      </c>
      <c r="F2363" t="s">
        <v>11</v>
      </c>
    </row>
    <row r="2364" spans="1:6">
      <c r="A2364" t="s">
        <v>43</v>
      </c>
      <c r="B2364" t="s">
        <v>27</v>
      </c>
      <c r="C2364">
        <v>2022</v>
      </c>
      <c r="D2364" t="s">
        <v>12</v>
      </c>
      <c r="E2364">
        <v>1</v>
      </c>
      <c r="F2364" t="s">
        <v>13</v>
      </c>
    </row>
    <row r="2365" spans="1:6">
      <c r="A2365" t="s">
        <v>43</v>
      </c>
      <c r="B2365" t="s">
        <v>27</v>
      </c>
      <c r="C2365">
        <v>2022</v>
      </c>
      <c r="D2365" t="s">
        <v>14</v>
      </c>
      <c r="E2365">
        <v>0.32</v>
      </c>
      <c r="F2365" t="s">
        <v>15</v>
      </c>
    </row>
    <row r="2366" spans="1:6">
      <c r="A2366" t="s">
        <v>43</v>
      </c>
      <c r="B2366" t="s">
        <v>27</v>
      </c>
      <c r="C2366">
        <v>2022</v>
      </c>
      <c r="D2366" t="s">
        <v>164</v>
      </c>
      <c r="E2366">
        <v>0</v>
      </c>
      <c r="F2366" t="s">
        <v>166</v>
      </c>
    </row>
    <row r="2367" spans="1:6">
      <c r="A2367" t="s">
        <v>43</v>
      </c>
      <c r="B2367" t="s">
        <v>27</v>
      </c>
      <c r="C2367">
        <v>2030</v>
      </c>
      <c r="D2367" t="s">
        <v>6</v>
      </c>
      <c r="E2367">
        <v>1830</v>
      </c>
      <c r="F2367" t="s">
        <v>7</v>
      </c>
    </row>
    <row r="2368" spans="1:6">
      <c r="A2368" t="s">
        <v>43</v>
      </c>
      <c r="B2368" t="s">
        <v>27</v>
      </c>
      <c r="C2368">
        <v>2030</v>
      </c>
      <c r="D2368" t="s">
        <v>8</v>
      </c>
      <c r="E2368">
        <v>2050.1</v>
      </c>
      <c r="F2368" t="s">
        <v>7</v>
      </c>
    </row>
    <row r="2369" spans="1:6">
      <c r="A2369" t="s">
        <v>43</v>
      </c>
      <c r="B2369" t="s">
        <v>27</v>
      </c>
      <c r="C2369">
        <v>2030</v>
      </c>
      <c r="D2369" t="s">
        <v>9</v>
      </c>
      <c r="E2369">
        <v>1743.8</v>
      </c>
      <c r="F2369" t="s">
        <v>7</v>
      </c>
    </row>
    <row r="2370" spans="1:6">
      <c r="A2370" t="s">
        <v>43</v>
      </c>
      <c r="B2370" t="s">
        <v>27</v>
      </c>
      <c r="C2370">
        <v>2030</v>
      </c>
      <c r="D2370" t="s">
        <v>10</v>
      </c>
      <c r="E2370">
        <v>46</v>
      </c>
      <c r="F2370" t="s">
        <v>11</v>
      </c>
    </row>
    <row r="2371" spans="1:6">
      <c r="A2371" t="s">
        <v>43</v>
      </c>
      <c r="B2371" t="s">
        <v>27</v>
      </c>
      <c r="C2371">
        <v>2030</v>
      </c>
      <c r="D2371" t="s">
        <v>12</v>
      </c>
      <c r="E2371">
        <v>1</v>
      </c>
      <c r="F2371" t="s">
        <v>13</v>
      </c>
    </row>
    <row r="2372" spans="1:6">
      <c r="A2372" t="s">
        <v>43</v>
      </c>
      <c r="B2372" t="s">
        <v>27</v>
      </c>
      <c r="C2372">
        <v>2030</v>
      </c>
      <c r="D2372" t="s">
        <v>14</v>
      </c>
      <c r="E2372">
        <v>0.34</v>
      </c>
      <c r="F2372" t="s">
        <v>15</v>
      </c>
    </row>
    <row r="2373" spans="1:6">
      <c r="A2373" t="s">
        <v>43</v>
      </c>
      <c r="B2373" t="s">
        <v>27</v>
      </c>
      <c r="C2373">
        <v>2030</v>
      </c>
      <c r="D2373" t="s">
        <v>164</v>
      </c>
      <c r="E2373">
        <v>0</v>
      </c>
      <c r="F2373" t="s">
        <v>166</v>
      </c>
    </row>
    <row r="2374" spans="1:6">
      <c r="A2374" t="s">
        <v>43</v>
      </c>
      <c r="B2374" t="s">
        <v>27</v>
      </c>
      <c r="C2374">
        <v>2050</v>
      </c>
      <c r="D2374" t="s">
        <v>6</v>
      </c>
      <c r="E2374">
        <v>1740</v>
      </c>
      <c r="F2374" t="s">
        <v>7</v>
      </c>
    </row>
    <row r="2375" spans="1:6">
      <c r="A2375" t="s">
        <v>43</v>
      </c>
      <c r="B2375" t="s">
        <v>27</v>
      </c>
      <c r="C2375">
        <v>2050</v>
      </c>
      <c r="D2375" t="s">
        <v>8</v>
      </c>
      <c r="E2375">
        <v>2116.9</v>
      </c>
      <c r="F2375" t="s">
        <v>7</v>
      </c>
    </row>
    <row r="2376" spans="1:6">
      <c r="A2376" t="s">
        <v>43</v>
      </c>
      <c r="B2376" t="s">
        <v>27</v>
      </c>
      <c r="C2376">
        <v>2050</v>
      </c>
      <c r="D2376" t="s">
        <v>9</v>
      </c>
      <c r="E2376">
        <v>1576.6</v>
      </c>
      <c r="F2376" t="s">
        <v>7</v>
      </c>
    </row>
    <row r="2377" spans="1:6">
      <c r="A2377" t="s">
        <v>43</v>
      </c>
      <c r="B2377" t="s">
        <v>27</v>
      </c>
      <c r="C2377">
        <v>2050</v>
      </c>
      <c r="D2377" t="s">
        <v>10</v>
      </c>
      <c r="E2377">
        <v>44</v>
      </c>
      <c r="F2377" t="s">
        <v>11</v>
      </c>
    </row>
    <row r="2378" spans="1:6">
      <c r="A2378" t="s">
        <v>43</v>
      </c>
      <c r="B2378" t="s">
        <v>27</v>
      </c>
      <c r="C2378">
        <v>2050</v>
      </c>
      <c r="D2378" t="s">
        <v>12</v>
      </c>
      <c r="E2378">
        <v>1</v>
      </c>
      <c r="F2378" t="s">
        <v>13</v>
      </c>
    </row>
    <row r="2379" spans="1:6">
      <c r="A2379" t="s">
        <v>43</v>
      </c>
      <c r="B2379" t="s">
        <v>27</v>
      </c>
      <c r="C2379">
        <v>2050</v>
      </c>
      <c r="D2379" t="s">
        <v>14</v>
      </c>
      <c r="E2379">
        <v>0.35</v>
      </c>
      <c r="F2379" t="s">
        <v>15</v>
      </c>
    </row>
    <row r="2380" spans="1:6">
      <c r="A2380" t="s">
        <v>43</v>
      </c>
      <c r="B2380" t="s">
        <v>27</v>
      </c>
      <c r="C2380">
        <v>2050</v>
      </c>
      <c r="D2380" t="s">
        <v>164</v>
      </c>
      <c r="E2380">
        <v>0</v>
      </c>
      <c r="F2380" t="s">
        <v>166</v>
      </c>
    </row>
    <row r="2381" spans="1:6">
      <c r="A2381" t="s">
        <v>43</v>
      </c>
      <c r="B2381" t="s">
        <v>28</v>
      </c>
      <c r="C2381">
        <v>2022</v>
      </c>
      <c r="D2381" t="s">
        <v>6</v>
      </c>
      <c r="E2381">
        <v>1050</v>
      </c>
      <c r="F2381" t="s">
        <v>7</v>
      </c>
    </row>
    <row r="2382" spans="1:6">
      <c r="A2382" t="s">
        <v>43</v>
      </c>
      <c r="B2382" t="s">
        <v>28</v>
      </c>
      <c r="C2382">
        <v>2022</v>
      </c>
      <c r="D2382" t="s">
        <v>8</v>
      </c>
      <c r="E2382">
        <v>1050</v>
      </c>
      <c r="F2382" t="s">
        <v>7</v>
      </c>
    </row>
    <row r="2383" spans="1:6">
      <c r="A2383" t="s">
        <v>43</v>
      </c>
      <c r="B2383" t="s">
        <v>28</v>
      </c>
      <c r="C2383">
        <v>2022</v>
      </c>
      <c r="D2383" t="s">
        <v>9</v>
      </c>
      <c r="E2383">
        <v>1050</v>
      </c>
      <c r="F2383" t="s">
        <v>7</v>
      </c>
    </row>
    <row r="2384" spans="1:6">
      <c r="A2384" t="s">
        <v>43</v>
      </c>
      <c r="B2384" t="s">
        <v>28</v>
      </c>
      <c r="C2384">
        <v>2022</v>
      </c>
      <c r="D2384" t="s">
        <v>10</v>
      </c>
      <c r="E2384">
        <v>26</v>
      </c>
      <c r="F2384" t="s">
        <v>11</v>
      </c>
    </row>
    <row r="2385" spans="1:6">
      <c r="A2385" t="s">
        <v>43</v>
      </c>
      <c r="B2385" t="s">
        <v>28</v>
      </c>
      <c r="C2385">
        <v>2022</v>
      </c>
      <c r="D2385" t="s">
        <v>12</v>
      </c>
      <c r="E2385">
        <v>1</v>
      </c>
      <c r="F2385" t="s">
        <v>13</v>
      </c>
    </row>
    <row r="2386" spans="1:6">
      <c r="A2386" t="s">
        <v>43</v>
      </c>
      <c r="B2386" t="s">
        <v>28</v>
      </c>
      <c r="C2386">
        <v>2022</v>
      </c>
      <c r="D2386" t="s">
        <v>14</v>
      </c>
      <c r="E2386">
        <v>0.44</v>
      </c>
      <c r="F2386" t="s">
        <v>15</v>
      </c>
    </row>
    <row r="2387" spans="1:6">
      <c r="A2387" t="s">
        <v>43</v>
      </c>
      <c r="B2387" t="s">
        <v>28</v>
      </c>
      <c r="C2387">
        <v>2022</v>
      </c>
      <c r="D2387" t="s">
        <v>164</v>
      </c>
      <c r="E2387">
        <v>0</v>
      </c>
      <c r="F2387" t="s">
        <v>166</v>
      </c>
    </row>
    <row r="2388" spans="1:6">
      <c r="A2388" t="s">
        <v>43</v>
      </c>
      <c r="B2388" t="s">
        <v>28</v>
      </c>
      <c r="C2388">
        <v>2030</v>
      </c>
      <c r="D2388" t="s">
        <v>6</v>
      </c>
      <c r="E2388">
        <v>1000</v>
      </c>
      <c r="F2388" t="s">
        <v>7</v>
      </c>
    </row>
    <row r="2389" spans="1:6">
      <c r="A2389" t="s">
        <v>43</v>
      </c>
      <c r="B2389" t="s">
        <v>28</v>
      </c>
      <c r="C2389">
        <v>2030</v>
      </c>
      <c r="D2389" t="s">
        <v>8</v>
      </c>
      <c r="E2389">
        <v>1120.3</v>
      </c>
      <c r="F2389" t="s">
        <v>7</v>
      </c>
    </row>
    <row r="2390" spans="1:6">
      <c r="A2390" t="s">
        <v>43</v>
      </c>
      <c r="B2390" t="s">
        <v>28</v>
      </c>
      <c r="C2390">
        <v>2030</v>
      </c>
      <c r="D2390" t="s">
        <v>9</v>
      </c>
      <c r="E2390">
        <v>952.9</v>
      </c>
      <c r="F2390" t="s">
        <v>7</v>
      </c>
    </row>
    <row r="2391" spans="1:6">
      <c r="A2391" t="s">
        <v>43</v>
      </c>
      <c r="B2391" t="s">
        <v>28</v>
      </c>
      <c r="C2391">
        <v>2030</v>
      </c>
      <c r="D2391" t="s">
        <v>10</v>
      </c>
      <c r="E2391">
        <v>26</v>
      </c>
      <c r="F2391" t="s">
        <v>11</v>
      </c>
    </row>
    <row r="2392" spans="1:6">
      <c r="A2392" t="s">
        <v>43</v>
      </c>
      <c r="B2392" t="s">
        <v>28</v>
      </c>
      <c r="C2392">
        <v>2030</v>
      </c>
      <c r="D2392" t="s">
        <v>12</v>
      </c>
      <c r="E2392">
        <v>1</v>
      </c>
      <c r="F2392" t="s">
        <v>13</v>
      </c>
    </row>
    <row r="2393" spans="1:6">
      <c r="A2393" t="s">
        <v>43</v>
      </c>
      <c r="B2393" t="s">
        <v>28</v>
      </c>
      <c r="C2393">
        <v>2030</v>
      </c>
      <c r="D2393" t="s">
        <v>14</v>
      </c>
      <c r="E2393">
        <v>0.44</v>
      </c>
      <c r="F2393" t="s">
        <v>15</v>
      </c>
    </row>
    <row r="2394" spans="1:6">
      <c r="A2394" t="s">
        <v>43</v>
      </c>
      <c r="B2394" t="s">
        <v>28</v>
      </c>
      <c r="C2394">
        <v>2030</v>
      </c>
      <c r="D2394" t="s">
        <v>164</v>
      </c>
      <c r="E2394">
        <v>0</v>
      </c>
      <c r="F2394" t="s">
        <v>166</v>
      </c>
    </row>
    <row r="2395" spans="1:6">
      <c r="A2395" t="s">
        <v>43</v>
      </c>
      <c r="B2395" t="s">
        <v>28</v>
      </c>
      <c r="C2395">
        <v>2050</v>
      </c>
      <c r="D2395" t="s">
        <v>6</v>
      </c>
      <c r="E2395">
        <v>950</v>
      </c>
      <c r="F2395" t="s">
        <v>7</v>
      </c>
    </row>
    <row r="2396" spans="1:6">
      <c r="A2396" t="s">
        <v>43</v>
      </c>
      <c r="B2396" t="s">
        <v>28</v>
      </c>
      <c r="C2396">
        <v>2050</v>
      </c>
      <c r="D2396" t="s">
        <v>8</v>
      </c>
      <c r="E2396">
        <v>1155.8</v>
      </c>
      <c r="F2396" t="s">
        <v>7</v>
      </c>
    </row>
    <row r="2397" spans="1:6">
      <c r="A2397" t="s">
        <v>43</v>
      </c>
      <c r="B2397" t="s">
        <v>28</v>
      </c>
      <c r="C2397">
        <v>2050</v>
      </c>
      <c r="D2397" t="s">
        <v>9</v>
      </c>
      <c r="E2397">
        <v>860.8</v>
      </c>
      <c r="F2397" t="s">
        <v>7</v>
      </c>
    </row>
    <row r="2398" spans="1:6">
      <c r="A2398" t="s">
        <v>43</v>
      </c>
      <c r="B2398" t="s">
        <v>28</v>
      </c>
      <c r="C2398">
        <v>2050</v>
      </c>
      <c r="D2398" t="s">
        <v>10</v>
      </c>
      <c r="E2398">
        <v>24</v>
      </c>
      <c r="F2398" t="s">
        <v>11</v>
      </c>
    </row>
    <row r="2399" spans="1:6">
      <c r="A2399" t="s">
        <v>43</v>
      </c>
      <c r="B2399" t="s">
        <v>28</v>
      </c>
      <c r="C2399">
        <v>2050</v>
      </c>
      <c r="D2399" t="s">
        <v>12</v>
      </c>
      <c r="E2399">
        <v>1</v>
      </c>
      <c r="F2399" t="s">
        <v>13</v>
      </c>
    </row>
    <row r="2400" spans="1:6">
      <c r="A2400" t="s">
        <v>43</v>
      </c>
      <c r="B2400" t="s">
        <v>28</v>
      </c>
      <c r="C2400">
        <v>2050</v>
      </c>
      <c r="D2400" t="s">
        <v>14</v>
      </c>
      <c r="E2400">
        <v>0.44</v>
      </c>
      <c r="F2400" t="s">
        <v>15</v>
      </c>
    </row>
    <row r="2401" spans="1:6">
      <c r="A2401" t="s">
        <v>43</v>
      </c>
      <c r="B2401" t="s">
        <v>28</v>
      </c>
      <c r="C2401">
        <v>2050</v>
      </c>
      <c r="D2401" t="s">
        <v>164</v>
      </c>
      <c r="E2401">
        <v>0</v>
      </c>
      <c r="F2401" t="s">
        <v>166</v>
      </c>
    </row>
    <row r="2402" spans="1:6">
      <c r="A2402" t="s">
        <v>44</v>
      </c>
      <c r="B2402" t="s">
        <v>20</v>
      </c>
      <c r="C2402">
        <v>2022</v>
      </c>
      <c r="D2402" t="s">
        <v>6</v>
      </c>
      <c r="E2402">
        <v>3420</v>
      </c>
      <c r="F2402" t="s">
        <v>7</v>
      </c>
    </row>
    <row r="2403" spans="1:6">
      <c r="A2403" t="s">
        <v>44</v>
      </c>
      <c r="B2403" t="s">
        <v>20</v>
      </c>
      <c r="C2403">
        <v>2022</v>
      </c>
      <c r="D2403" t="s">
        <v>8</v>
      </c>
      <c r="E2403">
        <v>4152.8999999999996</v>
      </c>
      <c r="F2403" t="s">
        <v>7</v>
      </c>
    </row>
    <row r="2404" spans="1:6">
      <c r="A2404" t="s">
        <v>44</v>
      </c>
      <c r="B2404" t="s">
        <v>20</v>
      </c>
      <c r="C2404">
        <v>2022</v>
      </c>
      <c r="D2404" t="s">
        <v>9</v>
      </c>
      <c r="E2404">
        <v>3004.8</v>
      </c>
      <c r="F2404" t="s">
        <v>7</v>
      </c>
    </row>
    <row r="2405" spans="1:6">
      <c r="A2405" t="s">
        <v>44</v>
      </c>
      <c r="B2405" t="s">
        <v>20</v>
      </c>
      <c r="C2405">
        <v>2022</v>
      </c>
      <c r="D2405" t="s">
        <v>10</v>
      </c>
      <c r="E2405">
        <v>70</v>
      </c>
      <c r="F2405" t="s">
        <v>11</v>
      </c>
    </row>
    <row r="2406" spans="1:6">
      <c r="A2406" t="s">
        <v>44</v>
      </c>
      <c r="B2406" t="s">
        <v>20</v>
      </c>
      <c r="C2406">
        <v>2022</v>
      </c>
      <c r="D2406" t="s">
        <v>12</v>
      </c>
      <c r="E2406">
        <v>1</v>
      </c>
      <c r="F2406" t="s">
        <v>13</v>
      </c>
    </row>
    <row r="2407" spans="1:6">
      <c r="A2407" t="s">
        <v>44</v>
      </c>
      <c r="B2407" t="s">
        <v>20</v>
      </c>
      <c r="C2407">
        <v>2022</v>
      </c>
      <c r="D2407" t="s">
        <v>14</v>
      </c>
      <c r="E2407">
        <v>0.5</v>
      </c>
      <c r="F2407" t="s">
        <v>15</v>
      </c>
    </row>
    <row r="2408" spans="1:6">
      <c r="A2408" t="s">
        <v>44</v>
      </c>
      <c r="B2408" t="s">
        <v>20</v>
      </c>
      <c r="C2408">
        <v>2022</v>
      </c>
      <c r="D2408" t="s">
        <v>164</v>
      </c>
      <c r="E2408">
        <v>0</v>
      </c>
      <c r="F2408" t="s">
        <v>166</v>
      </c>
    </row>
    <row r="2409" spans="1:6">
      <c r="A2409" t="s">
        <v>44</v>
      </c>
      <c r="B2409" t="s">
        <v>20</v>
      </c>
      <c r="C2409">
        <v>2030</v>
      </c>
      <c r="D2409" t="s">
        <v>6</v>
      </c>
      <c r="E2409">
        <v>2280</v>
      </c>
      <c r="F2409" t="s">
        <v>7</v>
      </c>
    </row>
    <row r="2410" spans="1:6">
      <c r="A2410" t="s">
        <v>44</v>
      </c>
      <c r="B2410" t="s">
        <v>20</v>
      </c>
      <c r="C2410">
        <v>2030</v>
      </c>
      <c r="D2410" t="s">
        <v>8</v>
      </c>
      <c r="E2410">
        <v>3557</v>
      </c>
      <c r="F2410" t="s">
        <v>7</v>
      </c>
    </row>
    <row r="2411" spans="1:6">
      <c r="A2411" t="s">
        <v>44</v>
      </c>
      <c r="B2411" t="s">
        <v>20</v>
      </c>
      <c r="C2411">
        <v>2030</v>
      </c>
      <c r="D2411" t="s">
        <v>9</v>
      </c>
      <c r="E2411">
        <v>1663.9</v>
      </c>
      <c r="F2411" t="s">
        <v>7</v>
      </c>
    </row>
    <row r="2412" spans="1:6">
      <c r="A2412" t="s">
        <v>44</v>
      </c>
      <c r="B2412" t="s">
        <v>20</v>
      </c>
      <c r="C2412">
        <v>2030</v>
      </c>
      <c r="D2412" t="s">
        <v>10</v>
      </c>
      <c r="E2412">
        <v>50</v>
      </c>
      <c r="F2412" t="s">
        <v>11</v>
      </c>
    </row>
    <row r="2413" spans="1:6">
      <c r="A2413" t="s">
        <v>44</v>
      </c>
      <c r="B2413" t="s">
        <v>20</v>
      </c>
      <c r="C2413">
        <v>2030</v>
      </c>
      <c r="D2413" t="s">
        <v>12</v>
      </c>
      <c r="E2413">
        <v>1</v>
      </c>
      <c r="F2413" t="s">
        <v>13</v>
      </c>
    </row>
    <row r="2414" spans="1:6">
      <c r="A2414" t="s">
        <v>44</v>
      </c>
      <c r="B2414" t="s">
        <v>20</v>
      </c>
      <c r="C2414">
        <v>2030</v>
      </c>
      <c r="D2414" t="s">
        <v>14</v>
      </c>
      <c r="E2414">
        <v>0.56000000000000005</v>
      </c>
      <c r="F2414" t="s">
        <v>15</v>
      </c>
    </row>
    <row r="2415" spans="1:6">
      <c r="A2415" t="s">
        <v>44</v>
      </c>
      <c r="B2415" t="s">
        <v>20</v>
      </c>
      <c r="C2415">
        <v>2030</v>
      </c>
      <c r="D2415" t="s">
        <v>164</v>
      </c>
      <c r="E2415">
        <v>0</v>
      </c>
      <c r="F2415" t="s">
        <v>166</v>
      </c>
    </row>
    <row r="2416" spans="1:6">
      <c r="A2416" t="s">
        <v>44</v>
      </c>
      <c r="B2416" t="s">
        <v>20</v>
      </c>
      <c r="C2416">
        <v>2050</v>
      </c>
      <c r="D2416" t="s">
        <v>6</v>
      </c>
      <c r="E2416">
        <v>1740</v>
      </c>
      <c r="F2416" t="s">
        <v>7</v>
      </c>
    </row>
    <row r="2417" spans="1:6">
      <c r="A2417" t="s">
        <v>44</v>
      </c>
      <c r="B2417" t="s">
        <v>20</v>
      </c>
      <c r="C2417">
        <v>2050</v>
      </c>
      <c r="D2417" t="s">
        <v>8</v>
      </c>
      <c r="E2417">
        <v>2113.4</v>
      </c>
      <c r="F2417" t="s">
        <v>7</v>
      </c>
    </row>
    <row r="2418" spans="1:6">
      <c r="A2418" t="s">
        <v>44</v>
      </c>
      <c r="B2418" t="s">
        <v>20</v>
      </c>
      <c r="C2418">
        <v>2050</v>
      </c>
      <c r="D2418" t="s">
        <v>9</v>
      </c>
      <c r="E2418">
        <v>1442.6</v>
      </c>
      <c r="F2418" t="s">
        <v>7</v>
      </c>
    </row>
    <row r="2419" spans="1:6">
      <c r="A2419" t="s">
        <v>44</v>
      </c>
      <c r="B2419" t="s">
        <v>20</v>
      </c>
      <c r="C2419">
        <v>2050</v>
      </c>
      <c r="D2419" t="s">
        <v>10</v>
      </c>
      <c r="E2419">
        <v>45</v>
      </c>
      <c r="F2419" t="s">
        <v>11</v>
      </c>
    </row>
    <row r="2420" spans="1:6">
      <c r="A2420" t="s">
        <v>44</v>
      </c>
      <c r="B2420" t="s">
        <v>20</v>
      </c>
      <c r="C2420">
        <v>2050</v>
      </c>
      <c r="D2420" t="s">
        <v>12</v>
      </c>
      <c r="E2420">
        <v>1</v>
      </c>
      <c r="F2420" t="s">
        <v>13</v>
      </c>
    </row>
    <row r="2421" spans="1:6">
      <c r="A2421" t="s">
        <v>44</v>
      </c>
      <c r="B2421" t="s">
        <v>20</v>
      </c>
      <c r="C2421">
        <v>2050</v>
      </c>
      <c r="D2421" t="s">
        <v>14</v>
      </c>
      <c r="E2421">
        <v>0.59</v>
      </c>
      <c r="F2421" t="s">
        <v>15</v>
      </c>
    </row>
    <row r="2422" spans="1:6">
      <c r="A2422" t="s">
        <v>44</v>
      </c>
      <c r="B2422" t="s">
        <v>20</v>
      </c>
      <c r="C2422">
        <v>2050</v>
      </c>
      <c r="D2422" t="s">
        <v>164</v>
      </c>
      <c r="E2422">
        <v>0</v>
      </c>
      <c r="F2422" t="s">
        <v>166</v>
      </c>
    </row>
    <row r="2423" spans="1:6">
      <c r="A2423" t="s">
        <v>44</v>
      </c>
      <c r="B2423" t="s">
        <v>21</v>
      </c>
      <c r="C2423">
        <v>2022</v>
      </c>
      <c r="D2423" t="s">
        <v>6</v>
      </c>
      <c r="E2423">
        <v>4060</v>
      </c>
      <c r="F2423" t="s">
        <v>7</v>
      </c>
    </row>
    <row r="2424" spans="1:6">
      <c r="A2424" t="s">
        <v>44</v>
      </c>
      <c r="B2424" t="s">
        <v>21</v>
      </c>
      <c r="C2424">
        <v>2022</v>
      </c>
      <c r="D2424" t="s">
        <v>8</v>
      </c>
      <c r="E2424">
        <v>4930.1000000000004</v>
      </c>
      <c r="F2424" t="s">
        <v>7</v>
      </c>
    </row>
    <row r="2425" spans="1:6">
      <c r="A2425" t="s">
        <v>44</v>
      </c>
      <c r="B2425" t="s">
        <v>21</v>
      </c>
      <c r="C2425">
        <v>2022</v>
      </c>
      <c r="D2425" t="s">
        <v>9</v>
      </c>
      <c r="E2425">
        <v>3567.1</v>
      </c>
      <c r="F2425" t="s">
        <v>7</v>
      </c>
    </row>
    <row r="2426" spans="1:6">
      <c r="A2426" t="s">
        <v>44</v>
      </c>
      <c r="B2426" t="s">
        <v>21</v>
      </c>
      <c r="C2426">
        <v>2022</v>
      </c>
      <c r="D2426" t="s">
        <v>10</v>
      </c>
      <c r="E2426">
        <v>120</v>
      </c>
      <c r="F2426" t="s">
        <v>11</v>
      </c>
    </row>
    <row r="2427" spans="1:6">
      <c r="A2427" t="s">
        <v>44</v>
      </c>
      <c r="B2427" t="s">
        <v>21</v>
      </c>
      <c r="C2427">
        <v>2022</v>
      </c>
      <c r="D2427" t="s">
        <v>12</v>
      </c>
      <c r="E2427">
        <v>1</v>
      </c>
      <c r="F2427" t="s">
        <v>13</v>
      </c>
    </row>
    <row r="2428" spans="1:6">
      <c r="A2428" t="s">
        <v>44</v>
      </c>
      <c r="B2428" t="s">
        <v>21</v>
      </c>
      <c r="C2428">
        <v>2022</v>
      </c>
      <c r="D2428" t="s">
        <v>14</v>
      </c>
      <c r="E2428">
        <v>0.42</v>
      </c>
      <c r="F2428" t="s">
        <v>15</v>
      </c>
    </row>
    <row r="2429" spans="1:6">
      <c r="A2429" t="s">
        <v>44</v>
      </c>
      <c r="B2429" t="s">
        <v>21</v>
      </c>
      <c r="C2429">
        <v>2022</v>
      </c>
      <c r="D2429" t="s">
        <v>164</v>
      </c>
      <c r="E2429">
        <v>0</v>
      </c>
      <c r="F2429" t="s">
        <v>166</v>
      </c>
    </row>
    <row r="2430" spans="1:6">
      <c r="A2430" t="s">
        <v>44</v>
      </c>
      <c r="B2430" t="s">
        <v>21</v>
      </c>
      <c r="C2430">
        <v>2030</v>
      </c>
      <c r="D2430" t="s">
        <v>6</v>
      </c>
      <c r="E2430">
        <v>2520</v>
      </c>
      <c r="F2430" t="s">
        <v>7</v>
      </c>
    </row>
    <row r="2431" spans="1:6">
      <c r="A2431" t="s">
        <v>44</v>
      </c>
      <c r="B2431" t="s">
        <v>21</v>
      </c>
      <c r="C2431">
        <v>2030</v>
      </c>
      <c r="D2431" t="s">
        <v>8</v>
      </c>
      <c r="E2431">
        <v>3931.5</v>
      </c>
      <c r="F2431" t="s">
        <v>7</v>
      </c>
    </row>
    <row r="2432" spans="1:6">
      <c r="A2432" t="s">
        <v>44</v>
      </c>
      <c r="B2432" t="s">
        <v>21</v>
      </c>
      <c r="C2432">
        <v>2030</v>
      </c>
      <c r="D2432" t="s">
        <v>9</v>
      </c>
      <c r="E2432">
        <v>1839.1</v>
      </c>
      <c r="F2432" t="s">
        <v>7</v>
      </c>
    </row>
    <row r="2433" spans="1:6">
      <c r="A2433" t="s">
        <v>44</v>
      </c>
      <c r="B2433" t="s">
        <v>21</v>
      </c>
      <c r="C2433">
        <v>2030</v>
      </c>
      <c r="D2433" t="s">
        <v>10</v>
      </c>
      <c r="E2433">
        <v>90</v>
      </c>
      <c r="F2433" t="s">
        <v>11</v>
      </c>
    </row>
    <row r="2434" spans="1:6">
      <c r="A2434" t="s">
        <v>44</v>
      </c>
      <c r="B2434" t="s">
        <v>21</v>
      </c>
      <c r="C2434">
        <v>2030</v>
      </c>
      <c r="D2434" t="s">
        <v>12</v>
      </c>
      <c r="E2434">
        <v>1</v>
      </c>
      <c r="F2434" t="s">
        <v>13</v>
      </c>
    </row>
    <row r="2435" spans="1:6">
      <c r="A2435" t="s">
        <v>44</v>
      </c>
      <c r="B2435" t="s">
        <v>21</v>
      </c>
      <c r="C2435">
        <v>2030</v>
      </c>
      <c r="D2435" t="s">
        <v>14</v>
      </c>
      <c r="E2435">
        <v>0.46</v>
      </c>
      <c r="F2435" t="s">
        <v>15</v>
      </c>
    </row>
    <row r="2436" spans="1:6">
      <c r="A2436" t="s">
        <v>44</v>
      </c>
      <c r="B2436" t="s">
        <v>21</v>
      </c>
      <c r="C2436">
        <v>2030</v>
      </c>
      <c r="D2436" t="s">
        <v>164</v>
      </c>
      <c r="E2436">
        <v>0</v>
      </c>
      <c r="F2436" t="s">
        <v>166</v>
      </c>
    </row>
    <row r="2437" spans="1:6">
      <c r="A2437" t="s">
        <v>44</v>
      </c>
      <c r="B2437" t="s">
        <v>21</v>
      </c>
      <c r="C2437">
        <v>2050</v>
      </c>
      <c r="D2437" t="s">
        <v>6</v>
      </c>
      <c r="E2437">
        <v>1900</v>
      </c>
      <c r="F2437" t="s">
        <v>7</v>
      </c>
    </row>
    <row r="2438" spans="1:6">
      <c r="A2438" t="s">
        <v>44</v>
      </c>
      <c r="B2438" t="s">
        <v>21</v>
      </c>
      <c r="C2438">
        <v>2050</v>
      </c>
      <c r="D2438" t="s">
        <v>8</v>
      </c>
      <c r="E2438">
        <v>2307.6999999999998</v>
      </c>
      <c r="F2438" t="s">
        <v>7</v>
      </c>
    </row>
    <row r="2439" spans="1:6">
      <c r="A2439" t="s">
        <v>44</v>
      </c>
      <c r="B2439" t="s">
        <v>21</v>
      </c>
      <c r="C2439">
        <v>2050</v>
      </c>
      <c r="D2439" t="s">
        <v>9</v>
      </c>
      <c r="E2439">
        <v>1575.3</v>
      </c>
      <c r="F2439" t="s">
        <v>7</v>
      </c>
    </row>
    <row r="2440" spans="1:6">
      <c r="A2440" t="s">
        <v>44</v>
      </c>
      <c r="B2440" t="s">
        <v>21</v>
      </c>
      <c r="C2440">
        <v>2050</v>
      </c>
      <c r="D2440" t="s">
        <v>10</v>
      </c>
      <c r="E2440">
        <v>70</v>
      </c>
      <c r="F2440" t="s">
        <v>11</v>
      </c>
    </row>
    <row r="2441" spans="1:6">
      <c r="A2441" t="s">
        <v>44</v>
      </c>
      <c r="B2441" t="s">
        <v>21</v>
      </c>
      <c r="C2441">
        <v>2050</v>
      </c>
      <c r="D2441" t="s">
        <v>12</v>
      </c>
      <c r="E2441">
        <v>1</v>
      </c>
      <c r="F2441" t="s">
        <v>13</v>
      </c>
    </row>
    <row r="2442" spans="1:6">
      <c r="A2442" t="s">
        <v>44</v>
      </c>
      <c r="B2442" t="s">
        <v>21</v>
      </c>
      <c r="C2442">
        <v>2050</v>
      </c>
      <c r="D2442" t="s">
        <v>14</v>
      </c>
      <c r="E2442">
        <v>0.49</v>
      </c>
      <c r="F2442" t="s">
        <v>15</v>
      </c>
    </row>
    <row r="2443" spans="1:6">
      <c r="A2443" t="s">
        <v>44</v>
      </c>
      <c r="B2443" t="s">
        <v>21</v>
      </c>
      <c r="C2443">
        <v>2050</v>
      </c>
      <c r="D2443" t="s">
        <v>164</v>
      </c>
      <c r="E2443">
        <v>0</v>
      </c>
      <c r="F2443" t="s">
        <v>166</v>
      </c>
    </row>
    <row r="2444" spans="1:6">
      <c r="A2444" t="s">
        <v>44</v>
      </c>
      <c r="B2444" t="s">
        <v>22</v>
      </c>
      <c r="C2444">
        <v>2022</v>
      </c>
      <c r="D2444" t="s">
        <v>6</v>
      </c>
      <c r="E2444">
        <v>6640</v>
      </c>
      <c r="F2444" t="s">
        <v>7</v>
      </c>
    </row>
    <row r="2445" spans="1:6">
      <c r="A2445" t="s">
        <v>44</v>
      </c>
      <c r="B2445" t="s">
        <v>22</v>
      </c>
      <c r="C2445">
        <v>2022</v>
      </c>
      <c r="D2445" t="s">
        <v>8</v>
      </c>
      <c r="E2445">
        <v>8063</v>
      </c>
      <c r="F2445" t="s">
        <v>7</v>
      </c>
    </row>
    <row r="2446" spans="1:6">
      <c r="A2446" t="s">
        <v>44</v>
      </c>
      <c r="B2446" t="s">
        <v>22</v>
      </c>
      <c r="C2446">
        <v>2022</v>
      </c>
      <c r="D2446" t="s">
        <v>9</v>
      </c>
      <c r="E2446">
        <v>5833.9</v>
      </c>
      <c r="F2446" t="s">
        <v>7</v>
      </c>
    </row>
    <row r="2447" spans="1:6">
      <c r="A2447" t="s">
        <v>44</v>
      </c>
      <c r="B2447" t="s">
        <v>22</v>
      </c>
      <c r="C2447">
        <v>2022</v>
      </c>
      <c r="D2447" t="s">
        <v>10</v>
      </c>
      <c r="E2447">
        <v>165</v>
      </c>
      <c r="F2447" t="s">
        <v>11</v>
      </c>
    </row>
    <row r="2448" spans="1:6">
      <c r="A2448" t="s">
        <v>44</v>
      </c>
      <c r="B2448" t="s">
        <v>22</v>
      </c>
      <c r="C2448">
        <v>2022</v>
      </c>
      <c r="D2448" t="s">
        <v>12</v>
      </c>
      <c r="E2448">
        <v>1</v>
      </c>
      <c r="F2448" t="s">
        <v>13</v>
      </c>
    </row>
    <row r="2449" spans="1:6">
      <c r="A2449" t="s">
        <v>44</v>
      </c>
      <c r="B2449" t="s">
        <v>22</v>
      </c>
      <c r="C2449">
        <v>2022</v>
      </c>
      <c r="D2449" t="s">
        <v>14</v>
      </c>
      <c r="E2449">
        <v>0.41</v>
      </c>
      <c r="F2449" t="s">
        <v>15</v>
      </c>
    </row>
    <row r="2450" spans="1:6">
      <c r="A2450" t="s">
        <v>44</v>
      </c>
      <c r="B2450" t="s">
        <v>22</v>
      </c>
      <c r="C2450">
        <v>2022</v>
      </c>
      <c r="D2450" t="s">
        <v>164</v>
      </c>
      <c r="E2450">
        <v>0</v>
      </c>
      <c r="F2450" t="s">
        <v>166</v>
      </c>
    </row>
    <row r="2451" spans="1:6">
      <c r="A2451" t="s">
        <v>44</v>
      </c>
      <c r="B2451" t="s">
        <v>22</v>
      </c>
      <c r="C2451">
        <v>2030</v>
      </c>
      <c r="D2451" t="s">
        <v>6</v>
      </c>
      <c r="E2451">
        <v>4180</v>
      </c>
      <c r="F2451" t="s">
        <v>7</v>
      </c>
    </row>
    <row r="2452" spans="1:6">
      <c r="A2452" t="s">
        <v>44</v>
      </c>
      <c r="B2452" t="s">
        <v>22</v>
      </c>
      <c r="C2452">
        <v>2030</v>
      </c>
      <c r="D2452" t="s">
        <v>8</v>
      </c>
      <c r="E2452">
        <v>6521.2</v>
      </c>
      <c r="F2452" t="s">
        <v>7</v>
      </c>
    </row>
    <row r="2453" spans="1:6">
      <c r="A2453" t="s">
        <v>44</v>
      </c>
      <c r="B2453" t="s">
        <v>22</v>
      </c>
      <c r="C2453">
        <v>2030</v>
      </c>
      <c r="D2453" t="s">
        <v>9</v>
      </c>
      <c r="E2453">
        <v>3050.6</v>
      </c>
      <c r="F2453" t="s">
        <v>7</v>
      </c>
    </row>
    <row r="2454" spans="1:6">
      <c r="A2454" t="s">
        <v>44</v>
      </c>
      <c r="B2454" t="s">
        <v>22</v>
      </c>
      <c r="C2454">
        <v>2030</v>
      </c>
      <c r="D2454" t="s">
        <v>10</v>
      </c>
      <c r="E2454">
        <v>115</v>
      </c>
      <c r="F2454" t="s">
        <v>11</v>
      </c>
    </row>
    <row r="2455" spans="1:6">
      <c r="A2455" t="s">
        <v>44</v>
      </c>
      <c r="B2455" t="s">
        <v>22</v>
      </c>
      <c r="C2455">
        <v>2030</v>
      </c>
      <c r="D2455" t="s">
        <v>12</v>
      </c>
      <c r="E2455">
        <v>1</v>
      </c>
      <c r="F2455" t="s">
        <v>13</v>
      </c>
    </row>
    <row r="2456" spans="1:6">
      <c r="A2456" t="s">
        <v>44</v>
      </c>
      <c r="B2456" t="s">
        <v>22</v>
      </c>
      <c r="C2456">
        <v>2030</v>
      </c>
      <c r="D2456" t="s">
        <v>14</v>
      </c>
      <c r="E2456">
        <v>0.44</v>
      </c>
      <c r="F2456" t="s">
        <v>15</v>
      </c>
    </row>
    <row r="2457" spans="1:6">
      <c r="A2457" t="s">
        <v>44</v>
      </c>
      <c r="B2457" t="s">
        <v>22</v>
      </c>
      <c r="C2457">
        <v>2030</v>
      </c>
      <c r="D2457" t="s">
        <v>164</v>
      </c>
      <c r="E2457">
        <v>0</v>
      </c>
      <c r="F2457" t="s">
        <v>166</v>
      </c>
    </row>
    <row r="2458" spans="1:6">
      <c r="A2458" t="s">
        <v>44</v>
      </c>
      <c r="B2458" t="s">
        <v>22</v>
      </c>
      <c r="C2458">
        <v>2050</v>
      </c>
      <c r="D2458" t="s">
        <v>6</v>
      </c>
      <c r="E2458">
        <v>3160</v>
      </c>
      <c r="F2458" t="s">
        <v>7</v>
      </c>
    </row>
    <row r="2459" spans="1:6">
      <c r="A2459" t="s">
        <v>44</v>
      </c>
      <c r="B2459" t="s">
        <v>22</v>
      </c>
      <c r="C2459">
        <v>2050</v>
      </c>
      <c r="D2459" t="s">
        <v>8</v>
      </c>
      <c r="E2459">
        <v>3838.1</v>
      </c>
      <c r="F2459" t="s">
        <v>7</v>
      </c>
    </row>
    <row r="2460" spans="1:6">
      <c r="A2460" t="s">
        <v>44</v>
      </c>
      <c r="B2460" t="s">
        <v>22</v>
      </c>
      <c r="C2460">
        <v>2050</v>
      </c>
      <c r="D2460" t="s">
        <v>9</v>
      </c>
      <c r="E2460">
        <v>2620</v>
      </c>
      <c r="F2460" t="s">
        <v>7</v>
      </c>
    </row>
    <row r="2461" spans="1:6">
      <c r="A2461" t="s">
        <v>44</v>
      </c>
      <c r="B2461" t="s">
        <v>22</v>
      </c>
      <c r="C2461">
        <v>2050</v>
      </c>
      <c r="D2461" t="s">
        <v>10</v>
      </c>
      <c r="E2461">
        <v>95</v>
      </c>
      <c r="F2461" t="s">
        <v>11</v>
      </c>
    </row>
    <row r="2462" spans="1:6">
      <c r="A2462" t="s">
        <v>44</v>
      </c>
      <c r="B2462" t="s">
        <v>22</v>
      </c>
      <c r="C2462">
        <v>2050</v>
      </c>
      <c r="D2462" t="s">
        <v>12</v>
      </c>
      <c r="E2462">
        <v>1</v>
      </c>
      <c r="F2462" t="s">
        <v>13</v>
      </c>
    </row>
    <row r="2463" spans="1:6">
      <c r="A2463" t="s">
        <v>44</v>
      </c>
      <c r="B2463" t="s">
        <v>22</v>
      </c>
      <c r="C2463">
        <v>2050</v>
      </c>
      <c r="D2463" t="s">
        <v>14</v>
      </c>
      <c r="E2463">
        <v>0.46</v>
      </c>
      <c r="F2463" t="s">
        <v>15</v>
      </c>
    </row>
    <row r="2464" spans="1:6">
      <c r="A2464" t="s">
        <v>44</v>
      </c>
      <c r="B2464" t="s">
        <v>22</v>
      </c>
      <c r="C2464">
        <v>2050</v>
      </c>
      <c r="D2464" t="s">
        <v>164</v>
      </c>
      <c r="E2464">
        <v>0</v>
      </c>
      <c r="F2464" t="s">
        <v>166</v>
      </c>
    </row>
    <row r="2465" spans="1:6">
      <c r="A2465" t="s">
        <v>44</v>
      </c>
      <c r="B2465" t="s">
        <v>23</v>
      </c>
      <c r="C2465">
        <v>2022</v>
      </c>
      <c r="D2465" t="s">
        <v>6</v>
      </c>
      <c r="E2465">
        <v>4600</v>
      </c>
      <c r="F2465" t="s">
        <v>7</v>
      </c>
    </row>
    <row r="2466" spans="1:6">
      <c r="A2466" t="s">
        <v>44</v>
      </c>
      <c r="B2466" t="s">
        <v>23</v>
      </c>
      <c r="C2466">
        <v>2022</v>
      </c>
      <c r="D2466" t="s">
        <v>8</v>
      </c>
      <c r="E2466">
        <v>5585.8</v>
      </c>
      <c r="F2466" t="s">
        <v>7</v>
      </c>
    </row>
    <row r="2467" spans="1:6">
      <c r="A2467" t="s">
        <v>44</v>
      </c>
      <c r="B2467" t="s">
        <v>23</v>
      </c>
      <c r="C2467">
        <v>2022</v>
      </c>
      <c r="D2467" t="s">
        <v>9</v>
      </c>
      <c r="E2467">
        <v>4041.6</v>
      </c>
      <c r="F2467" t="s">
        <v>7</v>
      </c>
    </row>
    <row r="2468" spans="1:6">
      <c r="A2468" t="s">
        <v>44</v>
      </c>
      <c r="B2468" t="s">
        <v>23</v>
      </c>
      <c r="C2468">
        <v>2022</v>
      </c>
      <c r="D2468" t="s">
        <v>10</v>
      </c>
      <c r="E2468">
        <v>115</v>
      </c>
      <c r="F2468" t="s">
        <v>11</v>
      </c>
    </row>
    <row r="2469" spans="1:6">
      <c r="A2469" t="s">
        <v>44</v>
      </c>
      <c r="B2469" t="s">
        <v>23</v>
      </c>
      <c r="C2469">
        <v>2022</v>
      </c>
      <c r="D2469" t="s">
        <v>12</v>
      </c>
      <c r="E2469">
        <v>1</v>
      </c>
      <c r="F2469" t="s">
        <v>13</v>
      </c>
    </row>
    <row r="2470" spans="1:6">
      <c r="A2470" t="s">
        <v>44</v>
      </c>
      <c r="B2470" t="s">
        <v>23</v>
      </c>
      <c r="C2470">
        <v>2022</v>
      </c>
      <c r="D2470" t="s">
        <v>14</v>
      </c>
      <c r="E2470">
        <v>0.39</v>
      </c>
      <c r="F2470" t="s">
        <v>15</v>
      </c>
    </row>
    <row r="2471" spans="1:6">
      <c r="A2471" t="s">
        <v>44</v>
      </c>
      <c r="B2471" t="s">
        <v>23</v>
      </c>
      <c r="C2471">
        <v>2022</v>
      </c>
      <c r="D2471" t="s">
        <v>164</v>
      </c>
      <c r="E2471">
        <v>0</v>
      </c>
      <c r="F2471" t="s">
        <v>166</v>
      </c>
    </row>
    <row r="2472" spans="1:6">
      <c r="A2472" t="s">
        <v>44</v>
      </c>
      <c r="B2472" t="s">
        <v>23</v>
      </c>
      <c r="C2472">
        <v>2030</v>
      </c>
      <c r="D2472" t="s">
        <v>6</v>
      </c>
      <c r="E2472">
        <v>3120</v>
      </c>
      <c r="F2472" t="s">
        <v>7</v>
      </c>
    </row>
    <row r="2473" spans="1:6">
      <c r="A2473" t="s">
        <v>44</v>
      </c>
      <c r="B2473" t="s">
        <v>23</v>
      </c>
      <c r="C2473">
        <v>2030</v>
      </c>
      <c r="D2473" t="s">
        <v>8</v>
      </c>
      <c r="E2473">
        <v>4867.5</v>
      </c>
      <c r="F2473" t="s">
        <v>7</v>
      </c>
    </row>
    <row r="2474" spans="1:6">
      <c r="A2474" t="s">
        <v>44</v>
      </c>
      <c r="B2474" t="s">
        <v>23</v>
      </c>
      <c r="C2474">
        <v>2030</v>
      </c>
      <c r="D2474" t="s">
        <v>9</v>
      </c>
      <c r="E2474">
        <v>2277</v>
      </c>
      <c r="F2474" t="s">
        <v>7</v>
      </c>
    </row>
    <row r="2475" spans="1:6">
      <c r="A2475" t="s">
        <v>44</v>
      </c>
      <c r="B2475" t="s">
        <v>23</v>
      </c>
      <c r="C2475">
        <v>2030</v>
      </c>
      <c r="D2475" t="s">
        <v>10</v>
      </c>
      <c r="E2475">
        <v>85</v>
      </c>
      <c r="F2475" t="s">
        <v>11</v>
      </c>
    </row>
    <row r="2476" spans="1:6">
      <c r="A2476" t="s">
        <v>44</v>
      </c>
      <c r="B2476" t="s">
        <v>23</v>
      </c>
      <c r="C2476">
        <v>2030</v>
      </c>
      <c r="D2476" t="s">
        <v>12</v>
      </c>
      <c r="E2476">
        <v>1</v>
      </c>
      <c r="F2476" t="s">
        <v>13</v>
      </c>
    </row>
    <row r="2477" spans="1:6">
      <c r="A2477" t="s">
        <v>44</v>
      </c>
      <c r="B2477" t="s">
        <v>23</v>
      </c>
      <c r="C2477">
        <v>2030</v>
      </c>
      <c r="D2477" t="s">
        <v>14</v>
      </c>
      <c r="E2477">
        <v>0.42</v>
      </c>
      <c r="F2477" t="s">
        <v>15</v>
      </c>
    </row>
    <row r="2478" spans="1:6">
      <c r="A2478" t="s">
        <v>44</v>
      </c>
      <c r="B2478" t="s">
        <v>23</v>
      </c>
      <c r="C2478">
        <v>2030</v>
      </c>
      <c r="D2478" t="s">
        <v>164</v>
      </c>
      <c r="E2478">
        <v>0</v>
      </c>
      <c r="F2478" t="s">
        <v>166</v>
      </c>
    </row>
    <row r="2479" spans="1:6">
      <c r="A2479" t="s">
        <v>44</v>
      </c>
      <c r="B2479" t="s">
        <v>23</v>
      </c>
      <c r="C2479">
        <v>2050</v>
      </c>
      <c r="D2479" t="s">
        <v>6</v>
      </c>
      <c r="E2479">
        <v>2280</v>
      </c>
      <c r="F2479" t="s">
        <v>7</v>
      </c>
    </row>
    <row r="2480" spans="1:6">
      <c r="A2480" t="s">
        <v>44</v>
      </c>
      <c r="B2480" t="s">
        <v>23</v>
      </c>
      <c r="C2480">
        <v>2050</v>
      </c>
      <c r="D2480" t="s">
        <v>8</v>
      </c>
      <c r="E2480">
        <v>2769.3</v>
      </c>
      <c r="F2480" t="s">
        <v>7</v>
      </c>
    </row>
    <row r="2481" spans="1:6">
      <c r="A2481" t="s">
        <v>44</v>
      </c>
      <c r="B2481" t="s">
        <v>23</v>
      </c>
      <c r="C2481">
        <v>2050</v>
      </c>
      <c r="D2481" t="s">
        <v>9</v>
      </c>
      <c r="E2481">
        <v>1890.3</v>
      </c>
      <c r="F2481" t="s">
        <v>7</v>
      </c>
    </row>
    <row r="2482" spans="1:6">
      <c r="A2482" t="s">
        <v>44</v>
      </c>
      <c r="B2482" t="s">
        <v>23</v>
      </c>
      <c r="C2482">
        <v>2050</v>
      </c>
      <c r="D2482" t="s">
        <v>10</v>
      </c>
      <c r="E2482">
        <v>70</v>
      </c>
      <c r="F2482" t="s">
        <v>11</v>
      </c>
    </row>
    <row r="2483" spans="1:6">
      <c r="A2483" t="s">
        <v>44</v>
      </c>
      <c r="B2483" t="s">
        <v>23</v>
      </c>
      <c r="C2483">
        <v>2050</v>
      </c>
      <c r="D2483" t="s">
        <v>12</v>
      </c>
      <c r="E2483">
        <v>1</v>
      </c>
      <c r="F2483" t="s">
        <v>13</v>
      </c>
    </row>
    <row r="2484" spans="1:6">
      <c r="A2484" t="s">
        <v>44</v>
      </c>
      <c r="B2484" t="s">
        <v>23</v>
      </c>
      <c r="C2484">
        <v>2050</v>
      </c>
      <c r="D2484" t="s">
        <v>14</v>
      </c>
      <c r="E2484">
        <v>0.44</v>
      </c>
      <c r="F2484" t="s">
        <v>15</v>
      </c>
    </row>
    <row r="2485" spans="1:6">
      <c r="A2485" t="s">
        <v>44</v>
      </c>
      <c r="B2485" t="s">
        <v>23</v>
      </c>
      <c r="C2485">
        <v>2050</v>
      </c>
      <c r="D2485" t="s">
        <v>164</v>
      </c>
      <c r="E2485">
        <v>0</v>
      </c>
      <c r="F2485" t="s">
        <v>166</v>
      </c>
    </row>
    <row r="2486" spans="1:6">
      <c r="A2486" t="s">
        <v>44</v>
      </c>
      <c r="B2486" t="s">
        <v>24</v>
      </c>
      <c r="C2486">
        <v>2022</v>
      </c>
      <c r="D2486" t="s">
        <v>6</v>
      </c>
      <c r="E2486">
        <v>2820</v>
      </c>
      <c r="F2486" t="s">
        <v>7</v>
      </c>
    </row>
    <row r="2487" spans="1:6">
      <c r="A2487" t="s">
        <v>44</v>
      </c>
      <c r="B2487" t="s">
        <v>24</v>
      </c>
      <c r="C2487">
        <v>2022</v>
      </c>
      <c r="D2487" t="s">
        <v>8</v>
      </c>
      <c r="E2487">
        <v>3424.3</v>
      </c>
      <c r="F2487" t="s">
        <v>7</v>
      </c>
    </row>
    <row r="2488" spans="1:6">
      <c r="A2488" t="s">
        <v>44</v>
      </c>
      <c r="B2488" t="s">
        <v>24</v>
      </c>
      <c r="C2488">
        <v>2022</v>
      </c>
      <c r="D2488" t="s">
        <v>9</v>
      </c>
      <c r="E2488">
        <v>2477.6999999999998</v>
      </c>
      <c r="F2488" t="s">
        <v>7</v>
      </c>
    </row>
    <row r="2489" spans="1:6">
      <c r="A2489" t="s">
        <v>44</v>
      </c>
      <c r="B2489" t="s">
        <v>24</v>
      </c>
      <c r="C2489">
        <v>2022</v>
      </c>
      <c r="D2489" t="s">
        <v>10</v>
      </c>
      <c r="E2489">
        <v>70</v>
      </c>
      <c r="F2489" t="s">
        <v>11</v>
      </c>
    </row>
    <row r="2490" spans="1:6">
      <c r="A2490" t="s">
        <v>44</v>
      </c>
      <c r="B2490" t="s">
        <v>24</v>
      </c>
      <c r="C2490">
        <v>2022</v>
      </c>
      <c r="D2490" t="s">
        <v>12</v>
      </c>
      <c r="E2490">
        <v>1</v>
      </c>
      <c r="F2490" t="s">
        <v>13</v>
      </c>
    </row>
    <row r="2491" spans="1:6">
      <c r="A2491" t="s">
        <v>44</v>
      </c>
      <c r="B2491" t="s">
        <v>24</v>
      </c>
      <c r="C2491">
        <v>2022</v>
      </c>
      <c r="D2491" t="s">
        <v>14</v>
      </c>
      <c r="E2491">
        <v>0.33</v>
      </c>
      <c r="F2491" t="s">
        <v>15</v>
      </c>
    </row>
    <row r="2492" spans="1:6">
      <c r="A2492" t="s">
        <v>44</v>
      </c>
      <c r="B2492" t="s">
        <v>24</v>
      </c>
      <c r="C2492">
        <v>2022</v>
      </c>
      <c r="D2492" t="s">
        <v>164</v>
      </c>
      <c r="E2492">
        <v>0</v>
      </c>
      <c r="F2492" t="s">
        <v>166</v>
      </c>
    </row>
    <row r="2493" spans="1:6">
      <c r="A2493" t="s">
        <v>44</v>
      </c>
      <c r="B2493" t="s">
        <v>24</v>
      </c>
      <c r="C2493">
        <v>2030</v>
      </c>
      <c r="D2493" t="s">
        <v>6</v>
      </c>
      <c r="E2493">
        <v>1880</v>
      </c>
      <c r="F2493" t="s">
        <v>7</v>
      </c>
    </row>
    <row r="2494" spans="1:6">
      <c r="A2494" t="s">
        <v>44</v>
      </c>
      <c r="B2494" t="s">
        <v>24</v>
      </c>
      <c r="C2494">
        <v>2030</v>
      </c>
      <c r="D2494" t="s">
        <v>8</v>
      </c>
      <c r="E2494">
        <v>2933</v>
      </c>
      <c r="F2494" t="s">
        <v>7</v>
      </c>
    </row>
    <row r="2495" spans="1:6">
      <c r="A2495" t="s">
        <v>44</v>
      </c>
      <c r="B2495" t="s">
        <v>24</v>
      </c>
      <c r="C2495">
        <v>2030</v>
      </c>
      <c r="D2495" t="s">
        <v>9</v>
      </c>
      <c r="E2495">
        <v>1372</v>
      </c>
      <c r="F2495" t="s">
        <v>7</v>
      </c>
    </row>
    <row r="2496" spans="1:6">
      <c r="A2496" t="s">
        <v>44</v>
      </c>
      <c r="B2496" t="s">
        <v>24</v>
      </c>
      <c r="C2496">
        <v>2030</v>
      </c>
      <c r="D2496" t="s">
        <v>10</v>
      </c>
      <c r="E2496">
        <v>50</v>
      </c>
      <c r="F2496" t="s">
        <v>11</v>
      </c>
    </row>
    <row r="2497" spans="1:6">
      <c r="A2497" t="s">
        <v>44</v>
      </c>
      <c r="B2497" t="s">
        <v>24</v>
      </c>
      <c r="C2497">
        <v>2030</v>
      </c>
      <c r="D2497" t="s">
        <v>12</v>
      </c>
      <c r="E2497">
        <v>1</v>
      </c>
      <c r="F2497" t="s">
        <v>13</v>
      </c>
    </row>
    <row r="2498" spans="1:6">
      <c r="A2498" t="s">
        <v>44</v>
      </c>
      <c r="B2498" t="s">
        <v>24</v>
      </c>
      <c r="C2498">
        <v>2030</v>
      </c>
      <c r="D2498" t="s">
        <v>14</v>
      </c>
      <c r="E2498">
        <v>0.39</v>
      </c>
      <c r="F2498" t="s">
        <v>15</v>
      </c>
    </row>
    <row r="2499" spans="1:6">
      <c r="A2499" t="s">
        <v>44</v>
      </c>
      <c r="B2499" t="s">
        <v>24</v>
      </c>
      <c r="C2499">
        <v>2030</v>
      </c>
      <c r="D2499" t="s">
        <v>164</v>
      </c>
      <c r="E2499">
        <v>0</v>
      </c>
      <c r="F2499" t="s">
        <v>166</v>
      </c>
    </row>
    <row r="2500" spans="1:6">
      <c r="A2500" t="s">
        <v>44</v>
      </c>
      <c r="B2500" t="s">
        <v>24</v>
      </c>
      <c r="C2500">
        <v>2050</v>
      </c>
      <c r="D2500" t="s">
        <v>6</v>
      </c>
      <c r="E2500">
        <v>1420</v>
      </c>
      <c r="F2500" t="s">
        <v>7</v>
      </c>
    </row>
    <row r="2501" spans="1:6">
      <c r="A2501" t="s">
        <v>44</v>
      </c>
      <c r="B2501" t="s">
        <v>24</v>
      </c>
      <c r="C2501">
        <v>2050</v>
      </c>
      <c r="D2501" t="s">
        <v>8</v>
      </c>
      <c r="E2501">
        <v>1724.7</v>
      </c>
      <c r="F2501" t="s">
        <v>7</v>
      </c>
    </row>
    <row r="2502" spans="1:6">
      <c r="A2502" t="s">
        <v>44</v>
      </c>
      <c r="B2502" t="s">
        <v>24</v>
      </c>
      <c r="C2502">
        <v>2050</v>
      </c>
      <c r="D2502" t="s">
        <v>9</v>
      </c>
      <c r="E2502">
        <v>1177.3</v>
      </c>
      <c r="F2502" t="s">
        <v>7</v>
      </c>
    </row>
    <row r="2503" spans="1:6">
      <c r="A2503" t="s">
        <v>44</v>
      </c>
      <c r="B2503" t="s">
        <v>24</v>
      </c>
      <c r="C2503">
        <v>2050</v>
      </c>
      <c r="D2503" t="s">
        <v>10</v>
      </c>
      <c r="E2503">
        <v>45</v>
      </c>
      <c r="F2503" t="s">
        <v>11</v>
      </c>
    </row>
    <row r="2504" spans="1:6">
      <c r="A2504" t="s">
        <v>44</v>
      </c>
      <c r="B2504" t="s">
        <v>24</v>
      </c>
      <c r="C2504">
        <v>2050</v>
      </c>
      <c r="D2504" t="s">
        <v>12</v>
      </c>
      <c r="E2504">
        <v>1</v>
      </c>
      <c r="F2504" t="s">
        <v>13</v>
      </c>
    </row>
    <row r="2505" spans="1:6">
      <c r="A2505" t="s">
        <v>44</v>
      </c>
      <c r="B2505" t="s">
        <v>24</v>
      </c>
      <c r="C2505">
        <v>2050</v>
      </c>
      <c r="D2505" t="s">
        <v>14</v>
      </c>
      <c r="E2505">
        <v>0.43</v>
      </c>
      <c r="F2505" t="s">
        <v>15</v>
      </c>
    </row>
    <row r="2506" spans="1:6">
      <c r="A2506" t="s">
        <v>44</v>
      </c>
      <c r="B2506" t="s">
        <v>24</v>
      </c>
      <c r="C2506">
        <v>2050</v>
      </c>
      <c r="D2506" t="s">
        <v>164</v>
      </c>
      <c r="E2506">
        <v>0</v>
      </c>
      <c r="F2506" t="s">
        <v>166</v>
      </c>
    </row>
    <row r="2507" spans="1:6">
      <c r="A2507" t="s">
        <v>44</v>
      </c>
      <c r="B2507" t="s">
        <v>25</v>
      </c>
      <c r="C2507">
        <v>2022</v>
      </c>
      <c r="D2507" t="s">
        <v>6</v>
      </c>
      <c r="E2507">
        <v>3060</v>
      </c>
      <c r="F2507" t="s">
        <v>7</v>
      </c>
    </row>
    <row r="2508" spans="1:6">
      <c r="A2508" t="s">
        <v>44</v>
      </c>
      <c r="B2508" t="s">
        <v>25</v>
      </c>
      <c r="C2508">
        <v>2022</v>
      </c>
      <c r="D2508" t="s">
        <v>8</v>
      </c>
      <c r="E2508">
        <v>3715.8</v>
      </c>
      <c r="F2508" t="s">
        <v>7</v>
      </c>
    </row>
    <row r="2509" spans="1:6">
      <c r="A2509" t="s">
        <v>44</v>
      </c>
      <c r="B2509" t="s">
        <v>25</v>
      </c>
      <c r="C2509">
        <v>2022</v>
      </c>
      <c r="D2509" t="s">
        <v>9</v>
      </c>
      <c r="E2509">
        <v>2688.5</v>
      </c>
      <c r="F2509" t="s">
        <v>7</v>
      </c>
    </row>
    <row r="2510" spans="1:6">
      <c r="A2510" t="s">
        <v>44</v>
      </c>
      <c r="B2510" t="s">
        <v>25</v>
      </c>
      <c r="C2510">
        <v>2022</v>
      </c>
      <c r="D2510" t="s">
        <v>10</v>
      </c>
      <c r="E2510">
        <v>75</v>
      </c>
      <c r="F2510" t="s">
        <v>11</v>
      </c>
    </row>
    <row r="2511" spans="1:6">
      <c r="A2511" t="s">
        <v>44</v>
      </c>
      <c r="B2511" t="s">
        <v>25</v>
      </c>
      <c r="C2511">
        <v>2022</v>
      </c>
      <c r="D2511" t="s">
        <v>12</v>
      </c>
      <c r="E2511">
        <v>1</v>
      </c>
      <c r="F2511" t="s">
        <v>13</v>
      </c>
    </row>
    <row r="2512" spans="1:6">
      <c r="A2512" t="s">
        <v>44</v>
      </c>
      <c r="B2512" t="s">
        <v>25</v>
      </c>
      <c r="C2512">
        <v>2022</v>
      </c>
      <c r="D2512" t="s">
        <v>14</v>
      </c>
      <c r="E2512">
        <v>0.33</v>
      </c>
      <c r="F2512" t="s">
        <v>15</v>
      </c>
    </row>
    <row r="2513" spans="1:6">
      <c r="A2513" t="s">
        <v>44</v>
      </c>
      <c r="B2513" t="s">
        <v>25</v>
      </c>
      <c r="C2513">
        <v>2022</v>
      </c>
      <c r="D2513" t="s">
        <v>164</v>
      </c>
      <c r="E2513">
        <v>0</v>
      </c>
      <c r="F2513" t="s">
        <v>166</v>
      </c>
    </row>
    <row r="2514" spans="1:6">
      <c r="A2514" t="s">
        <v>44</v>
      </c>
      <c r="B2514" t="s">
        <v>25</v>
      </c>
      <c r="C2514">
        <v>2030</v>
      </c>
      <c r="D2514" t="s">
        <v>6</v>
      </c>
      <c r="E2514">
        <v>2060</v>
      </c>
      <c r="F2514" t="s">
        <v>7</v>
      </c>
    </row>
    <row r="2515" spans="1:6">
      <c r="A2515" t="s">
        <v>44</v>
      </c>
      <c r="B2515" t="s">
        <v>25</v>
      </c>
      <c r="C2515">
        <v>2030</v>
      </c>
      <c r="D2515" t="s">
        <v>8</v>
      </c>
      <c r="E2515">
        <v>3213.8</v>
      </c>
      <c r="F2515" t="s">
        <v>7</v>
      </c>
    </row>
    <row r="2516" spans="1:6">
      <c r="A2516" t="s">
        <v>44</v>
      </c>
      <c r="B2516" t="s">
        <v>25</v>
      </c>
      <c r="C2516">
        <v>2030</v>
      </c>
      <c r="D2516" t="s">
        <v>9</v>
      </c>
      <c r="E2516">
        <v>1503.4</v>
      </c>
      <c r="F2516" t="s">
        <v>7</v>
      </c>
    </row>
    <row r="2517" spans="1:6">
      <c r="A2517" t="s">
        <v>44</v>
      </c>
      <c r="B2517" t="s">
        <v>25</v>
      </c>
      <c r="C2517">
        <v>2030</v>
      </c>
      <c r="D2517" t="s">
        <v>10</v>
      </c>
      <c r="E2517">
        <v>55</v>
      </c>
      <c r="F2517" t="s">
        <v>11</v>
      </c>
    </row>
    <row r="2518" spans="1:6">
      <c r="A2518" t="s">
        <v>44</v>
      </c>
      <c r="B2518" t="s">
        <v>25</v>
      </c>
      <c r="C2518">
        <v>2030</v>
      </c>
      <c r="D2518" t="s">
        <v>12</v>
      </c>
      <c r="E2518">
        <v>1</v>
      </c>
      <c r="F2518" t="s">
        <v>13</v>
      </c>
    </row>
    <row r="2519" spans="1:6">
      <c r="A2519" t="s">
        <v>44</v>
      </c>
      <c r="B2519" t="s">
        <v>25</v>
      </c>
      <c r="C2519">
        <v>2030</v>
      </c>
      <c r="D2519" t="s">
        <v>14</v>
      </c>
      <c r="E2519">
        <v>0.37</v>
      </c>
      <c r="F2519" t="s">
        <v>15</v>
      </c>
    </row>
    <row r="2520" spans="1:6">
      <c r="A2520" t="s">
        <v>44</v>
      </c>
      <c r="B2520" t="s">
        <v>25</v>
      </c>
      <c r="C2520">
        <v>2030</v>
      </c>
      <c r="D2520" t="s">
        <v>164</v>
      </c>
      <c r="E2520">
        <v>0</v>
      </c>
      <c r="F2520" t="s">
        <v>166</v>
      </c>
    </row>
    <row r="2521" spans="1:6">
      <c r="A2521" t="s">
        <v>44</v>
      </c>
      <c r="B2521" t="s">
        <v>25</v>
      </c>
      <c r="C2521">
        <v>2050</v>
      </c>
      <c r="D2521" t="s">
        <v>6</v>
      </c>
      <c r="E2521">
        <v>1500</v>
      </c>
      <c r="F2521" t="s">
        <v>7</v>
      </c>
    </row>
    <row r="2522" spans="1:6">
      <c r="A2522" t="s">
        <v>44</v>
      </c>
      <c r="B2522" t="s">
        <v>25</v>
      </c>
      <c r="C2522">
        <v>2050</v>
      </c>
      <c r="D2522" t="s">
        <v>8</v>
      </c>
      <c r="E2522">
        <v>1821.9</v>
      </c>
      <c r="F2522" t="s">
        <v>7</v>
      </c>
    </row>
    <row r="2523" spans="1:6">
      <c r="A2523" t="s">
        <v>44</v>
      </c>
      <c r="B2523" t="s">
        <v>25</v>
      </c>
      <c r="C2523">
        <v>2050</v>
      </c>
      <c r="D2523" t="s">
        <v>9</v>
      </c>
      <c r="E2523">
        <v>1243.5999999999999</v>
      </c>
      <c r="F2523" t="s">
        <v>7</v>
      </c>
    </row>
    <row r="2524" spans="1:6">
      <c r="A2524" t="s">
        <v>44</v>
      </c>
      <c r="B2524" t="s">
        <v>25</v>
      </c>
      <c r="C2524">
        <v>2050</v>
      </c>
      <c r="D2524" t="s">
        <v>10</v>
      </c>
      <c r="E2524">
        <v>45</v>
      </c>
      <c r="F2524" t="s">
        <v>11</v>
      </c>
    </row>
    <row r="2525" spans="1:6">
      <c r="A2525" t="s">
        <v>44</v>
      </c>
      <c r="B2525" t="s">
        <v>25</v>
      </c>
      <c r="C2525">
        <v>2050</v>
      </c>
      <c r="D2525" t="s">
        <v>12</v>
      </c>
      <c r="E2525">
        <v>1</v>
      </c>
      <c r="F2525" t="s">
        <v>13</v>
      </c>
    </row>
    <row r="2526" spans="1:6">
      <c r="A2526" t="s">
        <v>44</v>
      </c>
      <c r="B2526" t="s">
        <v>25</v>
      </c>
      <c r="C2526">
        <v>2050</v>
      </c>
      <c r="D2526" t="s">
        <v>14</v>
      </c>
      <c r="E2526">
        <v>0.39</v>
      </c>
      <c r="F2526" t="s">
        <v>15</v>
      </c>
    </row>
    <row r="2527" spans="1:6">
      <c r="A2527" t="s">
        <v>44</v>
      </c>
      <c r="B2527" t="s">
        <v>25</v>
      </c>
      <c r="C2527">
        <v>2050</v>
      </c>
      <c r="D2527" t="s">
        <v>164</v>
      </c>
      <c r="E2527">
        <v>0</v>
      </c>
      <c r="F2527" t="s">
        <v>166</v>
      </c>
    </row>
    <row r="2528" spans="1:6">
      <c r="A2528" t="s">
        <v>44</v>
      </c>
      <c r="B2528" t="s">
        <v>26</v>
      </c>
      <c r="C2528">
        <v>2022</v>
      </c>
      <c r="D2528" t="s">
        <v>6</v>
      </c>
      <c r="E2528">
        <v>4400</v>
      </c>
      <c r="F2528" t="s">
        <v>7</v>
      </c>
    </row>
    <row r="2529" spans="1:6">
      <c r="A2529" t="s">
        <v>44</v>
      </c>
      <c r="B2529" t="s">
        <v>26</v>
      </c>
      <c r="C2529">
        <v>2022</v>
      </c>
      <c r="D2529" t="s">
        <v>8</v>
      </c>
      <c r="E2529">
        <v>5342.9</v>
      </c>
      <c r="F2529" t="s">
        <v>7</v>
      </c>
    </row>
    <row r="2530" spans="1:6">
      <c r="A2530" t="s">
        <v>44</v>
      </c>
      <c r="B2530" t="s">
        <v>26</v>
      </c>
      <c r="C2530">
        <v>2022</v>
      </c>
      <c r="D2530" t="s">
        <v>9</v>
      </c>
      <c r="E2530">
        <v>3865.8</v>
      </c>
      <c r="F2530" t="s">
        <v>7</v>
      </c>
    </row>
    <row r="2531" spans="1:6">
      <c r="A2531" t="s">
        <v>44</v>
      </c>
      <c r="B2531" t="s">
        <v>26</v>
      </c>
      <c r="C2531">
        <v>2022</v>
      </c>
      <c r="D2531" t="s">
        <v>10</v>
      </c>
      <c r="E2531">
        <v>110</v>
      </c>
      <c r="F2531" t="s">
        <v>11</v>
      </c>
    </row>
    <row r="2532" spans="1:6">
      <c r="A2532" t="s">
        <v>44</v>
      </c>
      <c r="B2532" t="s">
        <v>26</v>
      </c>
      <c r="C2532">
        <v>2022</v>
      </c>
      <c r="D2532" t="s">
        <v>12</v>
      </c>
      <c r="E2532">
        <v>1</v>
      </c>
      <c r="F2532" t="s">
        <v>13</v>
      </c>
    </row>
    <row r="2533" spans="1:6">
      <c r="A2533" t="s">
        <v>44</v>
      </c>
      <c r="B2533" t="s">
        <v>26</v>
      </c>
      <c r="C2533">
        <v>2022</v>
      </c>
      <c r="D2533" t="s">
        <v>14</v>
      </c>
      <c r="E2533">
        <v>0.34</v>
      </c>
      <c r="F2533" t="s">
        <v>15</v>
      </c>
    </row>
    <row r="2534" spans="1:6">
      <c r="A2534" t="s">
        <v>44</v>
      </c>
      <c r="B2534" t="s">
        <v>26</v>
      </c>
      <c r="C2534">
        <v>2022</v>
      </c>
      <c r="D2534" t="s">
        <v>164</v>
      </c>
      <c r="E2534">
        <v>0</v>
      </c>
      <c r="F2534" t="s">
        <v>166</v>
      </c>
    </row>
    <row r="2535" spans="1:6">
      <c r="A2535" t="s">
        <v>44</v>
      </c>
      <c r="B2535" t="s">
        <v>26</v>
      </c>
      <c r="C2535">
        <v>2030</v>
      </c>
      <c r="D2535" t="s">
        <v>6</v>
      </c>
      <c r="E2535">
        <v>3000</v>
      </c>
      <c r="F2535" t="s">
        <v>7</v>
      </c>
    </row>
    <row r="2536" spans="1:6">
      <c r="A2536" t="s">
        <v>44</v>
      </c>
      <c r="B2536" t="s">
        <v>26</v>
      </c>
      <c r="C2536">
        <v>2030</v>
      </c>
      <c r="D2536" t="s">
        <v>8</v>
      </c>
      <c r="E2536">
        <v>4680.3</v>
      </c>
      <c r="F2536" t="s">
        <v>7</v>
      </c>
    </row>
    <row r="2537" spans="1:6">
      <c r="A2537" t="s">
        <v>44</v>
      </c>
      <c r="B2537" t="s">
        <v>26</v>
      </c>
      <c r="C2537">
        <v>2030</v>
      </c>
      <c r="D2537" t="s">
        <v>9</v>
      </c>
      <c r="E2537">
        <v>2189.4</v>
      </c>
      <c r="F2537" t="s">
        <v>7</v>
      </c>
    </row>
    <row r="2538" spans="1:6">
      <c r="A2538" t="s">
        <v>44</v>
      </c>
      <c r="B2538" t="s">
        <v>26</v>
      </c>
      <c r="C2538">
        <v>2030</v>
      </c>
      <c r="D2538" t="s">
        <v>10</v>
      </c>
      <c r="E2538">
        <v>80</v>
      </c>
      <c r="F2538" t="s">
        <v>11</v>
      </c>
    </row>
    <row r="2539" spans="1:6">
      <c r="A2539" t="s">
        <v>44</v>
      </c>
      <c r="B2539" t="s">
        <v>26</v>
      </c>
      <c r="C2539">
        <v>2030</v>
      </c>
      <c r="D2539" t="s">
        <v>12</v>
      </c>
      <c r="E2539">
        <v>1</v>
      </c>
      <c r="F2539" t="s">
        <v>13</v>
      </c>
    </row>
    <row r="2540" spans="1:6">
      <c r="A2540" t="s">
        <v>44</v>
      </c>
      <c r="B2540" t="s">
        <v>26</v>
      </c>
      <c r="C2540">
        <v>2030</v>
      </c>
      <c r="D2540" t="s">
        <v>14</v>
      </c>
      <c r="E2540">
        <v>0.37</v>
      </c>
      <c r="F2540" t="s">
        <v>15</v>
      </c>
    </row>
    <row r="2541" spans="1:6">
      <c r="A2541" t="s">
        <v>44</v>
      </c>
      <c r="B2541" t="s">
        <v>26</v>
      </c>
      <c r="C2541">
        <v>2030</v>
      </c>
      <c r="D2541" t="s">
        <v>164</v>
      </c>
      <c r="E2541">
        <v>0</v>
      </c>
      <c r="F2541" t="s">
        <v>166</v>
      </c>
    </row>
    <row r="2542" spans="1:6">
      <c r="A2542" t="s">
        <v>44</v>
      </c>
      <c r="B2542" t="s">
        <v>26</v>
      </c>
      <c r="C2542">
        <v>2050</v>
      </c>
      <c r="D2542" t="s">
        <v>6</v>
      </c>
      <c r="E2542">
        <v>2180</v>
      </c>
      <c r="F2542" t="s">
        <v>7</v>
      </c>
    </row>
    <row r="2543" spans="1:6">
      <c r="A2543" t="s">
        <v>44</v>
      </c>
      <c r="B2543" t="s">
        <v>26</v>
      </c>
      <c r="C2543">
        <v>2050</v>
      </c>
      <c r="D2543" t="s">
        <v>8</v>
      </c>
      <c r="E2543">
        <v>2647.8</v>
      </c>
      <c r="F2543" t="s">
        <v>7</v>
      </c>
    </row>
    <row r="2544" spans="1:6">
      <c r="A2544" t="s">
        <v>44</v>
      </c>
      <c r="B2544" t="s">
        <v>26</v>
      </c>
      <c r="C2544">
        <v>2050</v>
      </c>
      <c r="D2544" t="s">
        <v>9</v>
      </c>
      <c r="E2544">
        <v>1807.4</v>
      </c>
      <c r="F2544" t="s">
        <v>7</v>
      </c>
    </row>
    <row r="2545" spans="1:6">
      <c r="A2545" t="s">
        <v>44</v>
      </c>
      <c r="B2545" t="s">
        <v>26</v>
      </c>
      <c r="C2545">
        <v>2050</v>
      </c>
      <c r="D2545" t="s">
        <v>10</v>
      </c>
      <c r="E2545">
        <v>65</v>
      </c>
      <c r="F2545" t="s">
        <v>11</v>
      </c>
    </row>
    <row r="2546" spans="1:6">
      <c r="A2546" t="s">
        <v>44</v>
      </c>
      <c r="B2546" t="s">
        <v>26</v>
      </c>
      <c r="C2546">
        <v>2050</v>
      </c>
      <c r="D2546" t="s">
        <v>12</v>
      </c>
      <c r="E2546">
        <v>1</v>
      </c>
      <c r="F2546" t="s">
        <v>13</v>
      </c>
    </row>
    <row r="2547" spans="1:6">
      <c r="A2547" t="s">
        <v>44</v>
      </c>
      <c r="B2547" t="s">
        <v>26</v>
      </c>
      <c r="C2547">
        <v>2050</v>
      </c>
      <c r="D2547" t="s">
        <v>14</v>
      </c>
      <c r="E2547">
        <v>0.39</v>
      </c>
      <c r="F2547" t="s">
        <v>15</v>
      </c>
    </row>
    <row r="2548" spans="1:6">
      <c r="A2548" t="s">
        <v>44</v>
      </c>
      <c r="B2548" t="s">
        <v>26</v>
      </c>
      <c r="C2548">
        <v>2050</v>
      </c>
      <c r="D2548" t="s">
        <v>164</v>
      </c>
      <c r="E2548">
        <v>0</v>
      </c>
      <c r="F2548" t="s">
        <v>166</v>
      </c>
    </row>
    <row r="2549" spans="1:6">
      <c r="A2549" t="s">
        <v>44</v>
      </c>
      <c r="B2549" t="s">
        <v>27</v>
      </c>
      <c r="C2549">
        <v>2022</v>
      </c>
      <c r="D2549" t="s">
        <v>6</v>
      </c>
      <c r="E2549">
        <v>4260</v>
      </c>
      <c r="F2549" t="s">
        <v>7</v>
      </c>
    </row>
    <row r="2550" spans="1:6">
      <c r="A2550" t="s">
        <v>44</v>
      </c>
      <c r="B2550" t="s">
        <v>27</v>
      </c>
      <c r="C2550">
        <v>2022</v>
      </c>
      <c r="D2550" t="s">
        <v>8</v>
      </c>
      <c r="E2550">
        <v>5172.8999999999996</v>
      </c>
      <c r="F2550" t="s">
        <v>7</v>
      </c>
    </row>
    <row r="2551" spans="1:6">
      <c r="A2551" t="s">
        <v>44</v>
      </c>
      <c r="B2551" t="s">
        <v>27</v>
      </c>
      <c r="C2551">
        <v>2022</v>
      </c>
      <c r="D2551" t="s">
        <v>9</v>
      </c>
      <c r="E2551">
        <v>3742.8</v>
      </c>
      <c r="F2551" t="s">
        <v>7</v>
      </c>
    </row>
    <row r="2552" spans="1:6">
      <c r="A2552" t="s">
        <v>44</v>
      </c>
      <c r="B2552" t="s">
        <v>27</v>
      </c>
      <c r="C2552">
        <v>2022</v>
      </c>
      <c r="D2552" t="s">
        <v>10</v>
      </c>
      <c r="E2552">
        <v>105</v>
      </c>
      <c r="F2552" t="s">
        <v>11</v>
      </c>
    </row>
    <row r="2553" spans="1:6">
      <c r="A2553" t="s">
        <v>44</v>
      </c>
      <c r="B2553" t="s">
        <v>27</v>
      </c>
      <c r="C2553">
        <v>2022</v>
      </c>
      <c r="D2553" t="s">
        <v>12</v>
      </c>
      <c r="E2553">
        <v>1</v>
      </c>
      <c r="F2553" t="s">
        <v>13</v>
      </c>
    </row>
    <row r="2554" spans="1:6">
      <c r="A2554" t="s">
        <v>44</v>
      </c>
      <c r="B2554" t="s">
        <v>27</v>
      </c>
      <c r="C2554">
        <v>2022</v>
      </c>
      <c r="D2554" t="s">
        <v>14</v>
      </c>
      <c r="E2554">
        <v>0.37</v>
      </c>
      <c r="F2554" t="s">
        <v>15</v>
      </c>
    </row>
    <row r="2555" spans="1:6">
      <c r="A2555" t="s">
        <v>44</v>
      </c>
      <c r="B2555" t="s">
        <v>27</v>
      </c>
      <c r="C2555">
        <v>2022</v>
      </c>
      <c r="D2555" t="s">
        <v>164</v>
      </c>
      <c r="E2555">
        <v>0</v>
      </c>
      <c r="F2555" t="s">
        <v>166</v>
      </c>
    </row>
    <row r="2556" spans="1:6">
      <c r="A2556" t="s">
        <v>44</v>
      </c>
      <c r="B2556" t="s">
        <v>27</v>
      </c>
      <c r="C2556">
        <v>2030</v>
      </c>
      <c r="D2556" t="s">
        <v>6</v>
      </c>
      <c r="E2556">
        <v>2880</v>
      </c>
      <c r="F2556" t="s">
        <v>7</v>
      </c>
    </row>
    <row r="2557" spans="1:6">
      <c r="A2557" t="s">
        <v>44</v>
      </c>
      <c r="B2557" t="s">
        <v>27</v>
      </c>
      <c r="C2557">
        <v>2030</v>
      </c>
      <c r="D2557" t="s">
        <v>8</v>
      </c>
      <c r="E2557">
        <v>4493.1000000000004</v>
      </c>
      <c r="F2557" t="s">
        <v>7</v>
      </c>
    </row>
    <row r="2558" spans="1:6">
      <c r="A2558" t="s">
        <v>44</v>
      </c>
      <c r="B2558" t="s">
        <v>27</v>
      </c>
      <c r="C2558">
        <v>2030</v>
      </c>
      <c r="D2558" t="s">
        <v>9</v>
      </c>
      <c r="E2558">
        <v>2101.8000000000002</v>
      </c>
      <c r="F2558" t="s">
        <v>7</v>
      </c>
    </row>
    <row r="2559" spans="1:6">
      <c r="A2559" t="s">
        <v>44</v>
      </c>
      <c r="B2559" t="s">
        <v>27</v>
      </c>
      <c r="C2559">
        <v>2030</v>
      </c>
      <c r="D2559" t="s">
        <v>10</v>
      </c>
      <c r="E2559">
        <v>80</v>
      </c>
      <c r="F2559" t="s">
        <v>11</v>
      </c>
    </row>
    <row r="2560" spans="1:6">
      <c r="A2560" t="s">
        <v>44</v>
      </c>
      <c r="B2560" t="s">
        <v>27</v>
      </c>
      <c r="C2560">
        <v>2030</v>
      </c>
      <c r="D2560" t="s">
        <v>12</v>
      </c>
      <c r="E2560">
        <v>1</v>
      </c>
      <c r="F2560" t="s">
        <v>13</v>
      </c>
    </row>
    <row r="2561" spans="1:6">
      <c r="A2561" t="s">
        <v>44</v>
      </c>
      <c r="B2561" t="s">
        <v>27</v>
      </c>
      <c r="C2561">
        <v>2030</v>
      </c>
      <c r="D2561" t="s">
        <v>14</v>
      </c>
      <c r="E2561">
        <v>0.4</v>
      </c>
      <c r="F2561" t="s">
        <v>15</v>
      </c>
    </row>
    <row r="2562" spans="1:6">
      <c r="A2562" t="s">
        <v>44</v>
      </c>
      <c r="B2562" t="s">
        <v>27</v>
      </c>
      <c r="C2562">
        <v>2030</v>
      </c>
      <c r="D2562" t="s">
        <v>164</v>
      </c>
      <c r="E2562">
        <v>0</v>
      </c>
      <c r="F2562" t="s">
        <v>166</v>
      </c>
    </row>
    <row r="2563" spans="1:6">
      <c r="A2563" t="s">
        <v>44</v>
      </c>
      <c r="B2563" t="s">
        <v>27</v>
      </c>
      <c r="C2563">
        <v>2050</v>
      </c>
      <c r="D2563" t="s">
        <v>6</v>
      </c>
      <c r="E2563">
        <v>2080</v>
      </c>
      <c r="F2563" t="s">
        <v>7</v>
      </c>
    </row>
    <row r="2564" spans="1:6">
      <c r="A2564" t="s">
        <v>44</v>
      </c>
      <c r="B2564" t="s">
        <v>27</v>
      </c>
      <c r="C2564">
        <v>2050</v>
      </c>
      <c r="D2564" t="s">
        <v>8</v>
      </c>
      <c r="E2564">
        <v>2526.4</v>
      </c>
      <c r="F2564" t="s">
        <v>7</v>
      </c>
    </row>
    <row r="2565" spans="1:6">
      <c r="A2565" t="s">
        <v>44</v>
      </c>
      <c r="B2565" t="s">
        <v>27</v>
      </c>
      <c r="C2565">
        <v>2050</v>
      </c>
      <c r="D2565" t="s">
        <v>9</v>
      </c>
      <c r="E2565">
        <v>1724.5</v>
      </c>
      <c r="F2565" t="s">
        <v>7</v>
      </c>
    </row>
    <row r="2566" spans="1:6">
      <c r="A2566" t="s">
        <v>44</v>
      </c>
      <c r="B2566" t="s">
        <v>27</v>
      </c>
      <c r="C2566">
        <v>2050</v>
      </c>
      <c r="D2566" t="s">
        <v>10</v>
      </c>
      <c r="E2566">
        <v>65</v>
      </c>
      <c r="F2566" t="s">
        <v>11</v>
      </c>
    </row>
    <row r="2567" spans="1:6">
      <c r="A2567" t="s">
        <v>44</v>
      </c>
      <c r="B2567" t="s">
        <v>27</v>
      </c>
      <c r="C2567">
        <v>2050</v>
      </c>
      <c r="D2567" t="s">
        <v>12</v>
      </c>
      <c r="E2567">
        <v>1</v>
      </c>
      <c r="F2567" t="s">
        <v>13</v>
      </c>
    </row>
    <row r="2568" spans="1:6">
      <c r="A2568" t="s">
        <v>44</v>
      </c>
      <c r="B2568" t="s">
        <v>27</v>
      </c>
      <c r="C2568">
        <v>2050</v>
      </c>
      <c r="D2568" t="s">
        <v>14</v>
      </c>
      <c r="E2568">
        <v>0.43</v>
      </c>
      <c r="F2568" t="s">
        <v>15</v>
      </c>
    </row>
    <row r="2569" spans="1:6">
      <c r="A2569" t="s">
        <v>44</v>
      </c>
      <c r="B2569" t="s">
        <v>27</v>
      </c>
      <c r="C2569">
        <v>2050</v>
      </c>
      <c r="D2569" t="s">
        <v>164</v>
      </c>
      <c r="E2569">
        <v>0</v>
      </c>
      <c r="F2569" t="s">
        <v>166</v>
      </c>
    </row>
    <row r="2570" spans="1:6">
      <c r="A2570" t="s">
        <v>44</v>
      </c>
      <c r="B2570" t="s">
        <v>28</v>
      </c>
      <c r="C2570">
        <v>2022</v>
      </c>
      <c r="D2570" t="s">
        <v>6</v>
      </c>
      <c r="E2570">
        <v>4440</v>
      </c>
      <c r="F2570" t="s">
        <v>7</v>
      </c>
    </row>
    <row r="2571" spans="1:6">
      <c r="A2571" t="s">
        <v>44</v>
      </c>
      <c r="B2571" t="s">
        <v>28</v>
      </c>
      <c r="C2571">
        <v>2022</v>
      </c>
      <c r="D2571" t="s">
        <v>8</v>
      </c>
      <c r="E2571">
        <v>5391.5</v>
      </c>
      <c r="F2571" t="s">
        <v>7</v>
      </c>
    </row>
    <row r="2572" spans="1:6">
      <c r="A2572" t="s">
        <v>44</v>
      </c>
      <c r="B2572" t="s">
        <v>28</v>
      </c>
      <c r="C2572">
        <v>2022</v>
      </c>
      <c r="D2572" t="s">
        <v>9</v>
      </c>
      <c r="E2572">
        <v>3901</v>
      </c>
      <c r="F2572" t="s">
        <v>7</v>
      </c>
    </row>
    <row r="2573" spans="1:6">
      <c r="A2573" t="s">
        <v>44</v>
      </c>
      <c r="B2573" t="s">
        <v>28</v>
      </c>
      <c r="C2573">
        <v>2022</v>
      </c>
      <c r="D2573" t="s">
        <v>10</v>
      </c>
      <c r="E2573">
        <v>110</v>
      </c>
      <c r="F2573" t="s">
        <v>11</v>
      </c>
    </row>
    <row r="2574" spans="1:6">
      <c r="A2574" t="s">
        <v>44</v>
      </c>
      <c r="B2574" t="s">
        <v>28</v>
      </c>
      <c r="C2574">
        <v>2022</v>
      </c>
      <c r="D2574" t="s">
        <v>12</v>
      </c>
      <c r="E2574">
        <v>1</v>
      </c>
      <c r="F2574" t="s">
        <v>13</v>
      </c>
    </row>
    <row r="2575" spans="1:6">
      <c r="A2575" t="s">
        <v>44</v>
      </c>
      <c r="B2575" t="s">
        <v>28</v>
      </c>
      <c r="C2575">
        <v>2022</v>
      </c>
      <c r="D2575" t="s">
        <v>14</v>
      </c>
      <c r="E2575">
        <v>0.48</v>
      </c>
      <c r="F2575" t="s">
        <v>15</v>
      </c>
    </row>
    <row r="2576" spans="1:6">
      <c r="A2576" t="s">
        <v>44</v>
      </c>
      <c r="B2576" t="s">
        <v>28</v>
      </c>
      <c r="C2576">
        <v>2022</v>
      </c>
      <c r="D2576" t="s">
        <v>164</v>
      </c>
      <c r="E2576">
        <v>0</v>
      </c>
      <c r="F2576" t="s">
        <v>166</v>
      </c>
    </row>
    <row r="2577" spans="1:6">
      <c r="A2577" t="s">
        <v>44</v>
      </c>
      <c r="B2577" t="s">
        <v>28</v>
      </c>
      <c r="C2577">
        <v>2030</v>
      </c>
      <c r="D2577" t="s">
        <v>6</v>
      </c>
      <c r="E2577">
        <v>3000</v>
      </c>
      <c r="F2577" t="s">
        <v>7</v>
      </c>
    </row>
    <row r="2578" spans="1:6">
      <c r="A2578" t="s">
        <v>44</v>
      </c>
      <c r="B2578" t="s">
        <v>28</v>
      </c>
      <c r="C2578">
        <v>2030</v>
      </c>
      <c r="D2578" t="s">
        <v>8</v>
      </c>
      <c r="E2578">
        <v>4680.3</v>
      </c>
      <c r="F2578" t="s">
        <v>7</v>
      </c>
    </row>
    <row r="2579" spans="1:6">
      <c r="A2579" t="s">
        <v>44</v>
      </c>
      <c r="B2579" t="s">
        <v>28</v>
      </c>
      <c r="C2579">
        <v>2030</v>
      </c>
      <c r="D2579" t="s">
        <v>9</v>
      </c>
      <c r="E2579">
        <v>2189.4</v>
      </c>
      <c r="F2579" t="s">
        <v>7</v>
      </c>
    </row>
    <row r="2580" spans="1:6">
      <c r="A2580" t="s">
        <v>44</v>
      </c>
      <c r="B2580" t="s">
        <v>28</v>
      </c>
      <c r="C2580">
        <v>2030</v>
      </c>
      <c r="D2580" t="s">
        <v>10</v>
      </c>
      <c r="E2580">
        <v>80</v>
      </c>
      <c r="F2580" t="s">
        <v>11</v>
      </c>
    </row>
    <row r="2581" spans="1:6">
      <c r="A2581" t="s">
        <v>44</v>
      </c>
      <c r="B2581" t="s">
        <v>28</v>
      </c>
      <c r="C2581">
        <v>2030</v>
      </c>
      <c r="D2581" t="s">
        <v>12</v>
      </c>
      <c r="E2581">
        <v>1</v>
      </c>
      <c r="F2581" t="s">
        <v>13</v>
      </c>
    </row>
    <row r="2582" spans="1:6">
      <c r="A2582" t="s">
        <v>44</v>
      </c>
      <c r="B2582" t="s">
        <v>28</v>
      </c>
      <c r="C2582">
        <v>2030</v>
      </c>
      <c r="D2582" t="s">
        <v>14</v>
      </c>
      <c r="E2582">
        <v>0.52</v>
      </c>
      <c r="F2582" t="s">
        <v>15</v>
      </c>
    </row>
    <row r="2583" spans="1:6">
      <c r="A2583" t="s">
        <v>44</v>
      </c>
      <c r="B2583" t="s">
        <v>28</v>
      </c>
      <c r="C2583">
        <v>2030</v>
      </c>
      <c r="D2583" t="s">
        <v>164</v>
      </c>
      <c r="E2583">
        <v>0</v>
      </c>
      <c r="F2583" t="s">
        <v>166</v>
      </c>
    </row>
    <row r="2584" spans="1:6">
      <c r="A2584" t="s">
        <v>44</v>
      </c>
      <c r="B2584" t="s">
        <v>28</v>
      </c>
      <c r="C2584">
        <v>2050</v>
      </c>
      <c r="D2584" t="s">
        <v>6</v>
      </c>
      <c r="E2584">
        <v>2160</v>
      </c>
      <c r="F2584" t="s">
        <v>7</v>
      </c>
    </row>
    <row r="2585" spans="1:6">
      <c r="A2585" t="s">
        <v>44</v>
      </c>
      <c r="B2585" t="s">
        <v>28</v>
      </c>
      <c r="C2585">
        <v>2050</v>
      </c>
      <c r="D2585" t="s">
        <v>8</v>
      </c>
      <c r="E2585">
        <v>2623.5</v>
      </c>
      <c r="F2585" t="s">
        <v>7</v>
      </c>
    </row>
    <row r="2586" spans="1:6">
      <c r="A2586" t="s">
        <v>44</v>
      </c>
      <c r="B2586" t="s">
        <v>28</v>
      </c>
      <c r="C2586">
        <v>2050</v>
      </c>
      <c r="D2586" t="s">
        <v>9</v>
      </c>
      <c r="E2586">
        <v>1790.9</v>
      </c>
      <c r="F2586" t="s">
        <v>7</v>
      </c>
    </row>
    <row r="2587" spans="1:6">
      <c r="A2587" t="s">
        <v>44</v>
      </c>
      <c r="B2587" t="s">
        <v>28</v>
      </c>
      <c r="C2587">
        <v>2050</v>
      </c>
      <c r="D2587" t="s">
        <v>10</v>
      </c>
      <c r="E2587">
        <v>65</v>
      </c>
      <c r="F2587" t="s">
        <v>11</v>
      </c>
    </row>
    <row r="2588" spans="1:6">
      <c r="A2588" t="s">
        <v>44</v>
      </c>
      <c r="B2588" t="s">
        <v>28</v>
      </c>
      <c r="C2588">
        <v>2050</v>
      </c>
      <c r="D2588" t="s">
        <v>12</v>
      </c>
      <c r="E2588">
        <v>1</v>
      </c>
      <c r="F2588" t="s">
        <v>13</v>
      </c>
    </row>
    <row r="2589" spans="1:6">
      <c r="A2589" t="s">
        <v>44</v>
      </c>
      <c r="B2589" t="s">
        <v>28</v>
      </c>
      <c r="C2589">
        <v>2050</v>
      </c>
      <c r="D2589" t="s">
        <v>14</v>
      </c>
      <c r="E2589">
        <v>0.55000000000000004</v>
      </c>
      <c r="F2589" t="s">
        <v>15</v>
      </c>
    </row>
    <row r="2590" spans="1:6">
      <c r="A2590" t="s">
        <v>44</v>
      </c>
      <c r="B2590" t="s">
        <v>28</v>
      </c>
      <c r="C2590">
        <v>2050</v>
      </c>
      <c r="D2590" t="s">
        <v>164</v>
      </c>
      <c r="E2590">
        <v>0</v>
      </c>
      <c r="F2590" t="s">
        <v>166</v>
      </c>
    </row>
    <row r="2591" spans="1:6">
      <c r="A2591" t="s">
        <v>45</v>
      </c>
      <c r="B2591" t="s">
        <v>20</v>
      </c>
      <c r="C2591">
        <v>2022</v>
      </c>
      <c r="D2591" t="s">
        <v>6</v>
      </c>
      <c r="E2591">
        <v>2650</v>
      </c>
      <c r="F2591" t="s">
        <v>7</v>
      </c>
    </row>
    <row r="2592" spans="1:6">
      <c r="A2592" t="s">
        <v>45</v>
      </c>
      <c r="B2592" t="s">
        <v>20</v>
      </c>
      <c r="C2592">
        <v>2022</v>
      </c>
      <c r="D2592" t="s">
        <v>8</v>
      </c>
      <c r="E2592">
        <v>2650</v>
      </c>
      <c r="F2592" t="s">
        <v>7</v>
      </c>
    </row>
    <row r="2593" spans="1:6">
      <c r="A2593" t="s">
        <v>45</v>
      </c>
      <c r="B2593" t="s">
        <v>20</v>
      </c>
      <c r="C2593">
        <v>2022</v>
      </c>
      <c r="D2593" t="s">
        <v>9</v>
      </c>
      <c r="E2593">
        <v>2650</v>
      </c>
      <c r="F2593" t="s">
        <v>7</v>
      </c>
    </row>
    <row r="2594" spans="1:6">
      <c r="A2594" t="s">
        <v>45</v>
      </c>
      <c r="B2594" t="s">
        <v>20</v>
      </c>
      <c r="C2594">
        <v>2022</v>
      </c>
      <c r="D2594" t="s">
        <v>10</v>
      </c>
      <c r="E2594">
        <v>60</v>
      </c>
      <c r="F2594" t="s">
        <v>11</v>
      </c>
    </row>
    <row r="2595" spans="1:6">
      <c r="A2595" t="s">
        <v>45</v>
      </c>
      <c r="B2595" t="s">
        <v>20</v>
      </c>
      <c r="C2595">
        <v>2022</v>
      </c>
      <c r="D2595" t="s">
        <v>12</v>
      </c>
      <c r="E2595">
        <v>1</v>
      </c>
      <c r="F2595" t="s">
        <v>13</v>
      </c>
    </row>
    <row r="2596" spans="1:6">
      <c r="A2596" t="s">
        <v>45</v>
      </c>
      <c r="B2596" t="s">
        <v>20</v>
      </c>
      <c r="C2596">
        <v>2022</v>
      </c>
      <c r="D2596" t="s">
        <v>14</v>
      </c>
      <c r="E2596">
        <v>0.4</v>
      </c>
      <c r="F2596" t="s">
        <v>15</v>
      </c>
    </row>
    <row r="2597" spans="1:6">
      <c r="A2597" t="s">
        <v>45</v>
      </c>
      <c r="B2597" t="s">
        <v>20</v>
      </c>
      <c r="C2597">
        <v>2022</v>
      </c>
      <c r="D2597" t="s">
        <v>164</v>
      </c>
      <c r="E2597">
        <v>0</v>
      </c>
      <c r="F2597" t="s">
        <v>166</v>
      </c>
    </row>
    <row r="2598" spans="1:6">
      <c r="A2598" t="s">
        <v>45</v>
      </c>
      <c r="B2598" t="s">
        <v>20</v>
      </c>
      <c r="C2598">
        <v>2030</v>
      </c>
      <c r="D2598" t="s">
        <v>6</v>
      </c>
      <c r="E2598">
        <v>2650</v>
      </c>
      <c r="F2598" t="s">
        <v>7</v>
      </c>
    </row>
    <row r="2599" spans="1:6">
      <c r="A2599" t="s">
        <v>45</v>
      </c>
      <c r="B2599" t="s">
        <v>20</v>
      </c>
      <c r="C2599">
        <v>2030</v>
      </c>
      <c r="D2599" t="s">
        <v>8</v>
      </c>
      <c r="E2599">
        <v>3260.8</v>
      </c>
      <c r="F2599" t="s">
        <v>7</v>
      </c>
    </row>
    <row r="2600" spans="1:6">
      <c r="A2600" t="s">
        <v>45</v>
      </c>
      <c r="B2600" t="s">
        <v>20</v>
      </c>
      <c r="C2600">
        <v>2030</v>
      </c>
      <c r="D2600" t="s">
        <v>9</v>
      </c>
      <c r="E2600">
        <v>1936.9</v>
      </c>
      <c r="F2600" t="s">
        <v>7</v>
      </c>
    </row>
    <row r="2601" spans="1:6">
      <c r="A2601" t="s">
        <v>45</v>
      </c>
      <c r="B2601" t="s">
        <v>20</v>
      </c>
      <c r="C2601">
        <v>2030</v>
      </c>
      <c r="D2601" t="s">
        <v>10</v>
      </c>
      <c r="E2601">
        <v>60</v>
      </c>
      <c r="F2601" t="s">
        <v>11</v>
      </c>
    </row>
    <row r="2602" spans="1:6">
      <c r="A2602" t="s">
        <v>45</v>
      </c>
      <c r="B2602" t="s">
        <v>20</v>
      </c>
      <c r="C2602">
        <v>2030</v>
      </c>
      <c r="D2602" t="s">
        <v>12</v>
      </c>
      <c r="E2602">
        <v>1</v>
      </c>
      <c r="F2602" t="s">
        <v>13</v>
      </c>
    </row>
    <row r="2603" spans="1:6">
      <c r="A2603" t="s">
        <v>45</v>
      </c>
      <c r="B2603" t="s">
        <v>20</v>
      </c>
      <c r="C2603">
        <v>2030</v>
      </c>
      <c r="D2603" t="s">
        <v>14</v>
      </c>
      <c r="E2603">
        <v>0.4</v>
      </c>
      <c r="F2603" t="s">
        <v>15</v>
      </c>
    </row>
    <row r="2604" spans="1:6">
      <c r="A2604" t="s">
        <v>45</v>
      </c>
      <c r="B2604" t="s">
        <v>20</v>
      </c>
      <c r="C2604">
        <v>2030</v>
      </c>
      <c r="D2604" t="s">
        <v>164</v>
      </c>
      <c r="E2604">
        <v>0</v>
      </c>
      <c r="F2604" t="s">
        <v>166</v>
      </c>
    </row>
    <row r="2605" spans="1:6">
      <c r="A2605" t="s">
        <v>45</v>
      </c>
      <c r="B2605" t="s">
        <v>20</v>
      </c>
      <c r="C2605">
        <v>2050</v>
      </c>
      <c r="D2605" t="s">
        <v>6</v>
      </c>
      <c r="E2605">
        <v>2650</v>
      </c>
      <c r="F2605" t="s">
        <v>7</v>
      </c>
    </row>
    <row r="2606" spans="1:6">
      <c r="A2606" t="s">
        <v>45</v>
      </c>
      <c r="B2606" t="s">
        <v>20</v>
      </c>
      <c r="C2606">
        <v>2050</v>
      </c>
      <c r="D2606" t="s">
        <v>8</v>
      </c>
      <c r="E2606">
        <v>4414.1000000000004</v>
      </c>
      <c r="F2606" t="s">
        <v>7</v>
      </c>
    </row>
    <row r="2607" spans="1:6">
      <c r="A2607" t="s">
        <v>45</v>
      </c>
      <c r="B2607" t="s">
        <v>20</v>
      </c>
      <c r="C2607">
        <v>2050</v>
      </c>
      <c r="D2607" t="s">
        <v>9</v>
      </c>
      <c r="E2607">
        <v>2384.6999999999998</v>
      </c>
      <c r="F2607" t="s">
        <v>7</v>
      </c>
    </row>
    <row r="2608" spans="1:6">
      <c r="A2608" t="s">
        <v>45</v>
      </c>
      <c r="B2608" t="s">
        <v>20</v>
      </c>
      <c r="C2608">
        <v>2050</v>
      </c>
      <c r="D2608" t="s">
        <v>10</v>
      </c>
      <c r="E2608">
        <v>60</v>
      </c>
      <c r="F2608" t="s">
        <v>11</v>
      </c>
    </row>
    <row r="2609" spans="1:6">
      <c r="A2609" t="s">
        <v>45</v>
      </c>
      <c r="B2609" t="s">
        <v>20</v>
      </c>
      <c r="C2609">
        <v>2050</v>
      </c>
      <c r="D2609" t="s">
        <v>12</v>
      </c>
      <c r="E2609">
        <v>1</v>
      </c>
      <c r="F2609" t="s">
        <v>13</v>
      </c>
    </row>
    <row r="2610" spans="1:6">
      <c r="A2610" t="s">
        <v>45</v>
      </c>
      <c r="B2610" t="s">
        <v>20</v>
      </c>
      <c r="C2610">
        <v>2050</v>
      </c>
      <c r="D2610" t="s">
        <v>14</v>
      </c>
      <c r="E2610">
        <v>0.4</v>
      </c>
      <c r="F2610" t="s">
        <v>15</v>
      </c>
    </row>
    <row r="2611" spans="1:6">
      <c r="A2611" t="s">
        <v>45</v>
      </c>
      <c r="B2611" t="s">
        <v>20</v>
      </c>
      <c r="C2611">
        <v>2050</v>
      </c>
      <c r="D2611" t="s">
        <v>164</v>
      </c>
      <c r="E2611">
        <v>0</v>
      </c>
      <c r="F2611" t="s">
        <v>166</v>
      </c>
    </row>
    <row r="2612" spans="1:6">
      <c r="A2612" t="s">
        <v>45</v>
      </c>
      <c r="B2612" t="s">
        <v>21</v>
      </c>
      <c r="C2612">
        <v>2022</v>
      </c>
      <c r="D2612" t="s">
        <v>6</v>
      </c>
      <c r="E2612">
        <v>2700</v>
      </c>
      <c r="F2612" t="s">
        <v>7</v>
      </c>
    </row>
    <row r="2613" spans="1:6">
      <c r="A2613" t="s">
        <v>45</v>
      </c>
      <c r="B2613" t="s">
        <v>21</v>
      </c>
      <c r="C2613">
        <v>2022</v>
      </c>
      <c r="D2613" t="s">
        <v>8</v>
      </c>
      <c r="E2613">
        <v>2700</v>
      </c>
      <c r="F2613" t="s">
        <v>7</v>
      </c>
    </row>
    <row r="2614" spans="1:6">
      <c r="A2614" t="s">
        <v>45</v>
      </c>
      <c r="B2614" t="s">
        <v>21</v>
      </c>
      <c r="C2614">
        <v>2022</v>
      </c>
      <c r="D2614" t="s">
        <v>9</v>
      </c>
      <c r="E2614">
        <v>2700</v>
      </c>
      <c r="F2614" t="s">
        <v>7</v>
      </c>
    </row>
    <row r="2615" spans="1:6">
      <c r="A2615" t="s">
        <v>45</v>
      </c>
      <c r="B2615" t="s">
        <v>21</v>
      </c>
      <c r="C2615">
        <v>2022</v>
      </c>
      <c r="D2615" t="s">
        <v>10</v>
      </c>
      <c r="E2615">
        <v>65</v>
      </c>
      <c r="F2615" t="s">
        <v>11</v>
      </c>
    </row>
    <row r="2616" spans="1:6">
      <c r="A2616" t="s">
        <v>45</v>
      </c>
      <c r="B2616" t="s">
        <v>21</v>
      </c>
      <c r="C2616">
        <v>2022</v>
      </c>
      <c r="D2616" t="s">
        <v>12</v>
      </c>
      <c r="E2616">
        <v>1</v>
      </c>
      <c r="F2616" t="s">
        <v>13</v>
      </c>
    </row>
    <row r="2617" spans="1:6">
      <c r="A2617" t="s">
        <v>45</v>
      </c>
      <c r="B2617" t="s">
        <v>21</v>
      </c>
      <c r="C2617">
        <v>2022</v>
      </c>
      <c r="D2617" t="s">
        <v>14</v>
      </c>
      <c r="E2617">
        <v>0.4</v>
      </c>
      <c r="F2617" t="s">
        <v>15</v>
      </c>
    </row>
    <row r="2618" spans="1:6">
      <c r="A2618" t="s">
        <v>45</v>
      </c>
      <c r="B2618" t="s">
        <v>21</v>
      </c>
      <c r="C2618">
        <v>2022</v>
      </c>
      <c r="D2618" t="s">
        <v>164</v>
      </c>
      <c r="E2618">
        <v>0</v>
      </c>
      <c r="F2618" t="s">
        <v>166</v>
      </c>
    </row>
    <row r="2619" spans="1:6">
      <c r="A2619" t="s">
        <v>45</v>
      </c>
      <c r="B2619" t="s">
        <v>21</v>
      </c>
      <c r="C2619">
        <v>2030</v>
      </c>
      <c r="D2619" t="s">
        <v>6</v>
      </c>
      <c r="E2619">
        <v>2700</v>
      </c>
      <c r="F2619" t="s">
        <v>7</v>
      </c>
    </row>
    <row r="2620" spans="1:6">
      <c r="A2620" t="s">
        <v>45</v>
      </c>
      <c r="B2620" t="s">
        <v>21</v>
      </c>
      <c r="C2620">
        <v>2030</v>
      </c>
      <c r="D2620" t="s">
        <v>8</v>
      </c>
      <c r="E2620">
        <v>3322.4</v>
      </c>
      <c r="F2620" t="s">
        <v>7</v>
      </c>
    </row>
    <row r="2621" spans="1:6">
      <c r="A2621" t="s">
        <v>45</v>
      </c>
      <c r="B2621" t="s">
        <v>21</v>
      </c>
      <c r="C2621">
        <v>2030</v>
      </c>
      <c r="D2621" t="s">
        <v>9</v>
      </c>
      <c r="E2621">
        <v>1973.4</v>
      </c>
      <c r="F2621" t="s">
        <v>7</v>
      </c>
    </row>
    <row r="2622" spans="1:6">
      <c r="A2622" t="s">
        <v>45</v>
      </c>
      <c r="B2622" t="s">
        <v>21</v>
      </c>
      <c r="C2622">
        <v>2030</v>
      </c>
      <c r="D2622" t="s">
        <v>10</v>
      </c>
      <c r="E2622">
        <v>65</v>
      </c>
      <c r="F2622" t="s">
        <v>11</v>
      </c>
    </row>
    <row r="2623" spans="1:6">
      <c r="A2623" t="s">
        <v>45</v>
      </c>
      <c r="B2623" t="s">
        <v>21</v>
      </c>
      <c r="C2623">
        <v>2030</v>
      </c>
      <c r="D2623" t="s">
        <v>12</v>
      </c>
      <c r="E2623">
        <v>1</v>
      </c>
      <c r="F2623" t="s">
        <v>13</v>
      </c>
    </row>
    <row r="2624" spans="1:6">
      <c r="A2624" t="s">
        <v>45</v>
      </c>
      <c r="B2624" t="s">
        <v>21</v>
      </c>
      <c r="C2624">
        <v>2030</v>
      </c>
      <c r="D2624" t="s">
        <v>14</v>
      </c>
      <c r="E2624">
        <v>0.4</v>
      </c>
      <c r="F2624" t="s">
        <v>15</v>
      </c>
    </row>
    <row r="2625" spans="1:6">
      <c r="A2625" t="s">
        <v>45</v>
      </c>
      <c r="B2625" t="s">
        <v>21</v>
      </c>
      <c r="C2625">
        <v>2030</v>
      </c>
      <c r="D2625" t="s">
        <v>164</v>
      </c>
      <c r="E2625">
        <v>0</v>
      </c>
      <c r="F2625" t="s">
        <v>166</v>
      </c>
    </row>
    <row r="2626" spans="1:6">
      <c r="A2626" t="s">
        <v>45</v>
      </c>
      <c r="B2626" t="s">
        <v>21</v>
      </c>
      <c r="C2626">
        <v>2050</v>
      </c>
      <c r="D2626" t="s">
        <v>6</v>
      </c>
      <c r="E2626">
        <v>2700</v>
      </c>
      <c r="F2626" t="s">
        <v>7</v>
      </c>
    </row>
    <row r="2627" spans="1:6">
      <c r="A2627" t="s">
        <v>45</v>
      </c>
      <c r="B2627" t="s">
        <v>21</v>
      </c>
      <c r="C2627">
        <v>2050</v>
      </c>
      <c r="D2627" t="s">
        <v>8</v>
      </c>
      <c r="E2627">
        <v>4497.3999999999996</v>
      </c>
      <c r="F2627" t="s">
        <v>7</v>
      </c>
    </row>
    <row r="2628" spans="1:6">
      <c r="A2628" t="s">
        <v>45</v>
      </c>
      <c r="B2628" t="s">
        <v>21</v>
      </c>
      <c r="C2628">
        <v>2050</v>
      </c>
      <c r="D2628" t="s">
        <v>9</v>
      </c>
      <c r="E2628">
        <v>2429.6999999999998</v>
      </c>
      <c r="F2628" t="s">
        <v>7</v>
      </c>
    </row>
    <row r="2629" spans="1:6">
      <c r="A2629" t="s">
        <v>45</v>
      </c>
      <c r="B2629" t="s">
        <v>21</v>
      </c>
      <c r="C2629">
        <v>2050</v>
      </c>
      <c r="D2629" t="s">
        <v>10</v>
      </c>
      <c r="E2629">
        <v>65</v>
      </c>
      <c r="F2629" t="s">
        <v>11</v>
      </c>
    </row>
    <row r="2630" spans="1:6">
      <c r="A2630" t="s">
        <v>45</v>
      </c>
      <c r="B2630" t="s">
        <v>21</v>
      </c>
      <c r="C2630">
        <v>2050</v>
      </c>
      <c r="D2630" t="s">
        <v>12</v>
      </c>
      <c r="E2630">
        <v>1</v>
      </c>
      <c r="F2630" t="s">
        <v>13</v>
      </c>
    </row>
    <row r="2631" spans="1:6">
      <c r="A2631" t="s">
        <v>45</v>
      </c>
      <c r="B2631" t="s">
        <v>21</v>
      </c>
      <c r="C2631">
        <v>2050</v>
      </c>
      <c r="D2631" t="s">
        <v>14</v>
      </c>
      <c r="E2631">
        <v>0.4</v>
      </c>
      <c r="F2631" t="s">
        <v>15</v>
      </c>
    </row>
    <row r="2632" spans="1:6">
      <c r="A2632" t="s">
        <v>45</v>
      </c>
      <c r="B2632" t="s">
        <v>21</v>
      </c>
      <c r="C2632">
        <v>2050</v>
      </c>
      <c r="D2632" t="s">
        <v>164</v>
      </c>
      <c r="E2632">
        <v>0</v>
      </c>
      <c r="F2632" t="s">
        <v>166</v>
      </c>
    </row>
    <row r="2633" spans="1:6">
      <c r="A2633" t="s">
        <v>45</v>
      </c>
      <c r="B2633" t="s">
        <v>22</v>
      </c>
      <c r="C2633">
        <v>2022</v>
      </c>
      <c r="D2633" t="s">
        <v>6</v>
      </c>
      <c r="E2633">
        <v>2400</v>
      </c>
      <c r="F2633" t="s">
        <v>7</v>
      </c>
    </row>
    <row r="2634" spans="1:6">
      <c r="A2634" t="s">
        <v>45</v>
      </c>
      <c r="B2634" t="s">
        <v>22</v>
      </c>
      <c r="C2634">
        <v>2022</v>
      </c>
      <c r="D2634" t="s">
        <v>8</v>
      </c>
      <c r="E2634">
        <v>2400</v>
      </c>
      <c r="F2634" t="s">
        <v>7</v>
      </c>
    </row>
    <row r="2635" spans="1:6">
      <c r="A2635" t="s">
        <v>45</v>
      </c>
      <c r="B2635" t="s">
        <v>22</v>
      </c>
      <c r="C2635">
        <v>2022</v>
      </c>
      <c r="D2635" t="s">
        <v>9</v>
      </c>
      <c r="E2635">
        <v>2400</v>
      </c>
      <c r="F2635" t="s">
        <v>7</v>
      </c>
    </row>
    <row r="2636" spans="1:6">
      <c r="A2636" t="s">
        <v>45</v>
      </c>
      <c r="B2636" t="s">
        <v>22</v>
      </c>
      <c r="C2636">
        <v>2022</v>
      </c>
      <c r="D2636" t="s">
        <v>10</v>
      </c>
      <c r="E2636">
        <v>60</v>
      </c>
      <c r="F2636" t="s">
        <v>11</v>
      </c>
    </row>
    <row r="2637" spans="1:6">
      <c r="A2637" t="s">
        <v>45</v>
      </c>
      <c r="B2637" t="s">
        <v>22</v>
      </c>
      <c r="C2637">
        <v>2022</v>
      </c>
      <c r="D2637" t="s">
        <v>12</v>
      </c>
      <c r="E2637">
        <v>1</v>
      </c>
      <c r="F2637" t="s">
        <v>13</v>
      </c>
    </row>
    <row r="2638" spans="1:6">
      <c r="A2638" t="s">
        <v>45</v>
      </c>
      <c r="B2638" t="s">
        <v>22</v>
      </c>
      <c r="C2638">
        <v>2022</v>
      </c>
      <c r="D2638" t="s">
        <v>14</v>
      </c>
      <c r="E2638">
        <v>0.5</v>
      </c>
      <c r="F2638" t="s">
        <v>15</v>
      </c>
    </row>
    <row r="2639" spans="1:6">
      <c r="A2639" t="s">
        <v>45</v>
      </c>
      <c r="B2639" t="s">
        <v>22</v>
      </c>
      <c r="C2639">
        <v>2022</v>
      </c>
      <c r="D2639" t="s">
        <v>164</v>
      </c>
      <c r="E2639">
        <v>0</v>
      </c>
      <c r="F2639" t="s">
        <v>166</v>
      </c>
    </row>
    <row r="2640" spans="1:6">
      <c r="A2640" t="s">
        <v>45</v>
      </c>
      <c r="B2640" t="s">
        <v>22</v>
      </c>
      <c r="C2640">
        <v>2030</v>
      </c>
      <c r="D2640" t="s">
        <v>6</v>
      </c>
      <c r="E2640">
        <v>2400</v>
      </c>
      <c r="F2640" t="s">
        <v>7</v>
      </c>
    </row>
    <row r="2641" spans="1:6">
      <c r="A2641" t="s">
        <v>45</v>
      </c>
      <c r="B2641" t="s">
        <v>22</v>
      </c>
      <c r="C2641">
        <v>2030</v>
      </c>
      <c r="D2641" t="s">
        <v>8</v>
      </c>
      <c r="E2641">
        <v>2953.2</v>
      </c>
      <c r="F2641" t="s">
        <v>7</v>
      </c>
    </row>
    <row r="2642" spans="1:6">
      <c r="A2642" t="s">
        <v>45</v>
      </c>
      <c r="B2642" t="s">
        <v>22</v>
      </c>
      <c r="C2642">
        <v>2030</v>
      </c>
      <c r="D2642" t="s">
        <v>9</v>
      </c>
      <c r="E2642">
        <v>1754.2</v>
      </c>
      <c r="F2642" t="s">
        <v>7</v>
      </c>
    </row>
    <row r="2643" spans="1:6">
      <c r="A2643" t="s">
        <v>45</v>
      </c>
      <c r="B2643" t="s">
        <v>22</v>
      </c>
      <c r="C2643">
        <v>2030</v>
      </c>
      <c r="D2643" t="s">
        <v>10</v>
      </c>
      <c r="E2643">
        <v>60</v>
      </c>
      <c r="F2643" t="s">
        <v>11</v>
      </c>
    </row>
    <row r="2644" spans="1:6">
      <c r="A2644" t="s">
        <v>45</v>
      </c>
      <c r="B2644" t="s">
        <v>22</v>
      </c>
      <c r="C2644">
        <v>2030</v>
      </c>
      <c r="D2644" t="s">
        <v>12</v>
      </c>
      <c r="E2644">
        <v>1</v>
      </c>
      <c r="F2644" t="s">
        <v>13</v>
      </c>
    </row>
    <row r="2645" spans="1:6">
      <c r="A2645" t="s">
        <v>45</v>
      </c>
      <c r="B2645" t="s">
        <v>22</v>
      </c>
      <c r="C2645">
        <v>2030</v>
      </c>
      <c r="D2645" t="s">
        <v>14</v>
      </c>
      <c r="E2645">
        <v>0.5</v>
      </c>
      <c r="F2645" t="s">
        <v>15</v>
      </c>
    </row>
    <row r="2646" spans="1:6">
      <c r="A2646" t="s">
        <v>45</v>
      </c>
      <c r="B2646" t="s">
        <v>22</v>
      </c>
      <c r="C2646">
        <v>2030</v>
      </c>
      <c r="D2646" t="s">
        <v>164</v>
      </c>
      <c r="E2646">
        <v>0</v>
      </c>
      <c r="F2646" t="s">
        <v>166</v>
      </c>
    </row>
    <row r="2647" spans="1:6">
      <c r="A2647" t="s">
        <v>45</v>
      </c>
      <c r="B2647" t="s">
        <v>22</v>
      </c>
      <c r="C2647">
        <v>2050</v>
      </c>
      <c r="D2647" t="s">
        <v>6</v>
      </c>
      <c r="E2647">
        <v>2400</v>
      </c>
      <c r="F2647" t="s">
        <v>7</v>
      </c>
    </row>
    <row r="2648" spans="1:6">
      <c r="A2648" t="s">
        <v>45</v>
      </c>
      <c r="B2648" t="s">
        <v>22</v>
      </c>
      <c r="C2648">
        <v>2050</v>
      </c>
      <c r="D2648" t="s">
        <v>8</v>
      </c>
      <c r="E2648">
        <v>3997.7</v>
      </c>
      <c r="F2648" t="s">
        <v>7</v>
      </c>
    </row>
    <row r="2649" spans="1:6">
      <c r="A2649" t="s">
        <v>45</v>
      </c>
      <c r="B2649" t="s">
        <v>22</v>
      </c>
      <c r="C2649">
        <v>2050</v>
      </c>
      <c r="D2649" t="s">
        <v>9</v>
      </c>
      <c r="E2649">
        <v>2159.8000000000002</v>
      </c>
      <c r="F2649" t="s">
        <v>7</v>
      </c>
    </row>
    <row r="2650" spans="1:6">
      <c r="A2650" t="s">
        <v>45</v>
      </c>
      <c r="B2650" t="s">
        <v>22</v>
      </c>
      <c r="C2650">
        <v>2050</v>
      </c>
      <c r="D2650" t="s">
        <v>10</v>
      </c>
      <c r="E2650">
        <v>60</v>
      </c>
      <c r="F2650" t="s">
        <v>11</v>
      </c>
    </row>
    <row r="2651" spans="1:6">
      <c r="A2651" t="s">
        <v>45</v>
      </c>
      <c r="B2651" t="s">
        <v>22</v>
      </c>
      <c r="C2651">
        <v>2050</v>
      </c>
      <c r="D2651" t="s">
        <v>12</v>
      </c>
      <c r="E2651">
        <v>1</v>
      </c>
      <c r="F2651" t="s">
        <v>13</v>
      </c>
    </row>
    <row r="2652" spans="1:6">
      <c r="A2652" t="s">
        <v>45</v>
      </c>
      <c r="B2652" t="s">
        <v>22</v>
      </c>
      <c r="C2652">
        <v>2050</v>
      </c>
      <c r="D2652" t="s">
        <v>14</v>
      </c>
      <c r="E2652">
        <v>0.5</v>
      </c>
      <c r="F2652" t="s">
        <v>15</v>
      </c>
    </row>
    <row r="2653" spans="1:6">
      <c r="A2653" t="s">
        <v>45</v>
      </c>
      <c r="B2653" t="s">
        <v>22</v>
      </c>
      <c r="C2653">
        <v>2050</v>
      </c>
      <c r="D2653" t="s">
        <v>164</v>
      </c>
      <c r="E2653">
        <v>0</v>
      </c>
      <c r="F2653" t="s">
        <v>166</v>
      </c>
    </row>
    <row r="2654" spans="1:6">
      <c r="A2654" t="s">
        <v>45</v>
      </c>
      <c r="B2654" t="s">
        <v>23</v>
      </c>
      <c r="C2654">
        <v>2022</v>
      </c>
      <c r="D2654" t="s">
        <v>6</v>
      </c>
      <c r="E2654">
        <v>2050</v>
      </c>
      <c r="F2654" t="s">
        <v>7</v>
      </c>
    </row>
    <row r="2655" spans="1:6">
      <c r="A2655" t="s">
        <v>45</v>
      </c>
      <c r="B2655" t="s">
        <v>23</v>
      </c>
      <c r="C2655">
        <v>2022</v>
      </c>
      <c r="D2655" t="s">
        <v>8</v>
      </c>
      <c r="E2655">
        <v>2050</v>
      </c>
      <c r="F2655" t="s">
        <v>7</v>
      </c>
    </row>
    <row r="2656" spans="1:6">
      <c r="A2656" t="s">
        <v>45</v>
      </c>
      <c r="B2656" t="s">
        <v>23</v>
      </c>
      <c r="C2656">
        <v>2022</v>
      </c>
      <c r="D2656" t="s">
        <v>9</v>
      </c>
      <c r="E2656">
        <v>2050</v>
      </c>
      <c r="F2656" t="s">
        <v>7</v>
      </c>
    </row>
    <row r="2657" spans="1:6">
      <c r="A2657" t="s">
        <v>45</v>
      </c>
      <c r="B2657" t="s">
        <v>23</v>
      </c>
      <c r="C2657">
        <v>2022</v>
      </c>
      <c r="D2657" t="s">
        <v>10</v>
      </c>
      <c r="E2657">
        <v>50</v>
      </c>
      <c r="F2657" t="s">
        <v>11</v>
      </c>
    </row>
    <row r="2658" spans="1:6">
      <c r="A2658" t="s">
        <v>45</v>
      </c>
      <c r="B2658" t="s">
        <v>23</v>
      </c>
      <c r="C2658">
        <v>2022</v>
      </c>
      <c r="D2658" t="s">
        <v>12</v>
      </c>
      <c r="E2658">
        <v>1</v>
      </c>
      <c r="F2658" t="s">
        <v>13</v>
      </c>
    </row>
    <row r="2659" spans="1:6">
      <c r="A2659" t="s">
        <v>45</v>
      </c>
      <c r="B2659" t="s">
        <v>23</v>
      </c>
      <c r="C2659">
        <v>2022</v>
      </c>
      <c r="D2659" t="s">
        <v>14</v>
      </c>
      <c r="E2659">
        <v>0.4</v>
      </c>
      <c r="F2659" t="s">
        <v>15</v>
      </c>
    </row>
    <row r="2660" spans="1:6">
      <c r="A2660" t="s">
        <v>45</v>
      </c>
      <c r="B2660" t="s">
        <v>23</v>
      </c>
      <c r="C2660">
        <v>2022</v>
      </c>
      <c r="D2660" t="s">
        <v>164</v>
      </c>
      <c r="E2660">
        <v>0</v>
      </c>
      <c r="F2660" t="s">
        <v>166</v>
      </c>
    </row>
    <row r="2661" spans="1:6">
      <c r="A2661" t="s">
        <v>45</v>
      </c>
      <c r="B2661" t="s">
        <v>23</v>
      </c>
      <c r="C2661">
        <v>2030</v>
      </c>
      <c r="D2661" t="s">
        <v>6</v>
      </c>
      <c r="E2661">
        <v>2050</v>
      </c>
      <c r="F2661" t="s">
        <v>7</v>
      </c>
    </row>
    <row r="2662" spans="1:6">
      <c r="A2662" t="s">
        <v>45</v>
      </c>
      <c r="B2662" t="s">
        <v>23</v>
      </c>
      <c r="C2662">
        <v>2030</v>
      </c>
      <c r="D2662" t="s">
        <v>8</v>
      </c>
      <c r="E2662">
        <v>2522.5</v>
      </c>
      <c r="F2662" t="s">
        <v>7</v>
      </c>
    </row>
    <row r="2663" spans="1:6">
      <c r="A2663" t="s">
        <v>45</v>
      </c>
      <c r="B2663" t="s">
        <v>23</v>
      </c>
      <c r="C2663">
        <v>2030</v>
      </c>
      <c r="D2663" t="s">
        <v>9</v>
      </c>
      <c r="E2663">
        <v>1498.3</v>
      </c>
      <c r="F2663" t="s">
        <v>7</v>
      </c>
    </row>
    <row r="2664" spans="1:6">
      <c r="A2664" t="s">
        <v>45</v>
      </c>
      <c r="B2664" t="s">
        <v>23</v>
      </c>
      <c r="C2664">
        <v>2030</v>
      </c>
      <c r="D2664" t="s">
        <v>10</v>
      </c>
      <c r="E2664">
        <v>50</v>
      </c>
      <c r="F2664" t="s">
        <v>11</v>
      </c>
    </row>
    <row r="2665" spans="1:6">
      <c r="A2665" t="s">
        <v>45</v>
      </c>
      <c r="B2665" t="s">
        <v>23</v>
      </c>
      <c r="C2665">
        <v>2030</v>
      </c>
      <c r="D2665" t="s">
        <v>12</v>
      </c>
      <c r="E2665">
        <v>1</v>
      </c>
      <c r="F2665" t="s">
        <v>13</v>
      </c>
    </row>
    <row r="2666" spans="1:6">
      <c r="A2666" t="s">
        <v>45</v>
      </c>
      <c r="B2666" t="s">
        <v>23</v>
      </c>
      <c r="C2666">
        <v>2030</v>
      </c>
      <c r="D2666" t="s">
        <v>14</v>
      </c>
      <c r="E2666">
        <v>0.4</v>
      </c>
      <c r="F2666" t="s">
        <v>15</v>
      </c>
    </row>
    <row r="2667" spans="1:6">
      <c r="A2667" t="s">
        <v>45</v>
      </c>
      <c r="B2667" t="s">
        <v>23</v>
      </c>
      <c r="C2667">
        <v>2030</v>
      </c>
      <c r="D2667" t="s">
        <v>164</v>
      </c>
      <c r="E2667">
        <v>0</v>
      </c>
      <c r="F2667" t="s">
        <v>166</v>
      </c>
    </row>
    <row r="2668" spans="1:6">
      <c r="A2668" t="s">
        <v>45</v>
      </c>
      <c r="B2668" t="s">
        <v>23</v>
      </c>
      <c r="C2668">
        <v>2050</v>
      </c>
      <c r="D2668" t="s">
        <v>6</v>
      </c>
      <c r="E2668">
        <v>2050</v>
      </c>
      <c r="F2668" t="s">
        <v>7</v>
      </c>
    </row>
    <row r="2669" spans="1:6">
      <c r="A2669" t="s">
        <v>45</v>
      </c>
      <c r="B2669" t="s">
        <v>23</v>
      </c>
      <c r="C2669">
        <v>2050</v>
      </c>
      <c r="D2669" t="s">
        <v>8</v>
      </c>
      <c r="E2669">
        <v>3414.7</v>
      </c>
      <c r="F2669" t="s">
        <v>7</v>
      </c>
    </row>
    <row r="2670" spans="1:6">
      <c r="A2670" t="s">
        <v>45</v>
      </c>
      <c r="B2670" t="s">
        <v>23</v>
      </c>
      <c r="C2670">
        <v>2050</v>
      </c>
      <c r="D2670" t="s">
        <v>9</v>
      </c>
      <c r="E2670">
        <v>1844.8</v>
      </c>
      <c r="F2670" t="s">
        <v>7</v>
      </c>
    </row>
    <row r="2671" spans="1:6">
      <c r="A2671" t="s">
        <v>45</v>
      </c>
      <c r="B2671" t="s">
        <v>23</v>
      </c>
      <c r="C2671">
        <v>2050</v>
      </c>
      <c r="D2671" t="s">
        <v>10</v>
      </c>
      <c r="E2671">
        <v>50</v>
      </c>
      <c r="F2671" t="s">
        <v>11</v>
      </c>
    </row>
    <row r="2672" spans="1:6">
      <c r="A2672" t="s">
        <v>45</v>
      </c>
      <c r="B2672" t="s">
        <v>23</v>
      </c>
      <c r="C2672">
        <v>2050</v>
      </c>
      <c r="D2672" t="s">
        <v>12</v>
      </c>
      <c r="E2672">
        <v>1</v>
      </c>
      <c r="F2672" t="s">
        <v>13</v>
      </c>
    </row>
    <row r="2673" spans="1:6">
      <c r="A2673" t="s">
        <v>45</v>
      </c>
      <c r="B2673" t="s">
        <v>23</v>
      </c>
      <c r="C2673">
        <v>2050</v>
      </c>
      <c r="D2673" t="s">
        <v>14</v>
      </c>
      <c r="E2673">
        <v>0.4</v>
      </c>
      <c r="F2673" t="s">
        <v>15</v>
      </c>
    </row>
    <row r="2674" spans="1:6">
      <c r="A2674" t="s">
        <v>45</v>
      </c>
      <c r="B2674" t="s">
        <v>23</v>
      </c>
      <c r="C2674">
        <v>2050</v>
      </c>
      <c r="D2674" t="s">
        <v>164</v>
      </c>
      <c r="E2674">
        <v>0</v>
      </c>
      <c r="F2674" t="s">
        <v>166</v>
      </c>
    </row>
    <row r="2675" spans="1:6">
      <c r="A2675" t="s">
        <v>45</v>
      </c>
      <c r="B2675" t="s">
        <v>24</v>
      </c>
      <c r="C2675">
        <v>2022</v>
      </c>
      <c r="D2675" t="s">
        <v>6</v>
      </c>
      <c r="E2675">
        <v>1600</v>
      </c>
      <c r="F2675" t="s">
        <v>7</v>
      </c>
    </row>
    <row r="2676" spans="1:6">
      <c r="A2676" t="s">
        <v>45</v>
      </c>
      <c r="B2676" t="s">
        <v>24</v>
      </c>
      <c r="C2676">
        <v>2022</v>
      </c>
      <c r="D2676" t="s">
        <v>8</v>
      </c>
      <c r="E2676">
        <v>1600</v>
      </c>
      <c r="F2676" t="s">
        <v>7</v>
      </c>
    </row>
    <row r="2677" spans="1:6">
      <c r="A2677" t="s">
        <v>45</v>
      </c>
      <c r="B2677" t="s">
        <v>24</v>
      </c>
      <c r="C2677">
        <v>2022</v>
      </c>
      <c r="D2677" t="s">
        <v>9</v>
      </c>
      <c r="E2677">
        <v>1600</v>
      </c>
      <c r="F2677" t="s">
        <v>7</v>
      </c>
    </row>
    <row r="2678" spans="1:6">
      <c r="A2678" t="s">
        <v>45</v>
      </c>
      <c r="B2678" t="s">
        <v>24</v>
      </c>
      <c r="C2678">
        <v>2022</v>
      </c>
      <c r="D2678" t="s">
        <v>10</v>
      </c>
      <c r="E2678">
        <v>40</v>
      </c>
      <c r="F2678" t="s">
        <v>11</v>
      </c>
    </row>
    <row r="2679" spans="1:6">
      <c r="A2679" t="s">
        <v>45</v>
      </c>
      <c r="B2679" t="s">
        <v>24</v>
      </c>
      <c r="C2679">
        <v>2022</v>
      </c>
      <c r="D2679" t="s">
        <v>12</v>
      </c>
      <c r="E2679">
        <v>1</v>
      </c>
      <c r="F2679" t="s">
        <v>13</v>
      </c>
    </row>
    <row r="2680" spans="1:6">
      <c r="A2680" t="s">
        <v>45</v>
      </c>
      <c r="B2680" t="s">
        <v>24</v>
      </c>
      <c r="C2680">
        <v>2022</v>
      </c>
      <c r="D2680" t="s">
        <v>14</v>
      </c>
      <c r="E2680">
        <v>0.35</v>
      </c>
      <c r="F2680" t="s">
        <v>15</v>
      </c>
    </row>
    <row r="2681" spans="1:6">
      <c r="A2681" t="s">
        <v>45</v>
      </c>
      <c r="B2681" t="s">
        <v>24</v>
      </c>
      <c r="C2681">
        <v>2022</v>
      </c>
      <c r="D2681" t="s">
        <v>164</v>
      </c>
      <c r="E2681">
        <v>0</v>
      </c>
      <c r="F2681" t="s">
        <v>166</v>
      </c>
    </row>
    <row r="2682" spans="1:6">
      <c r="A2682" t="s">
        <v>45</v>
      </c>
      <c r="B2682" t="s">
        <v>24</v>
      </c>
      <c r="C2682">
        <v>2030</v>
      </c>
      <c r="D2682" t="s">
        <v>6</v>
      </c>
      <c r="E2682">
        <v>1600</v>
      </c>
      <c r="F2682" t="s">
        <v>7</v>
      </c>
    </row>
    <row r="2683" spans="1:6">
      <c r="A2683" t="s">
        <v>45</v>
      </c>
      <c r="B2683" t="s">
        <v>24</v>
      </c>
      <c r="C2683">
        <v>2030</v>
      </c>
      <c r="D2683" t="s">
        <v>8</v>
      </c>
      <c r="E2683">
        <v>1968.8</v>
      </c>
      <c r="F2683" t="s">
        <v>7</v>
      </c>
    </row>
    <row r="2684" spans="1:6">
      <c r="A2684" t="s">
        <v>45</v>
      </c>
      <c r="B2684" t="s">
        <v>24</v>
      </c>
      <c r="C2684">
        <v>2030</v>
      </c>
      <c r="D2684" t="s">
        <v>9</v>
      </c>
      <c r="E2684">
        <v>1169.4000000000001</v>
      </c>
      <c r="F2684" t="s">
        <v>7</v>
      </c>
    </row>
    <row r="2685" spans="1:6">
      <c r="A2685" t="s">
        <v>45</v>
      </c>
      <c r="B2685" t="s">
        <v>24</v>
      </c>
      <c r="C2685">
        <v>2030</v>
      </c>
      <c r="D2685" t="s">
        <v>10</v>
      </c>
      <c r="E2685">
        <v>40</v>
      </c>
      <c r="F2685" t="s">
        <v>11</v>
      </c>
    </row>
    <row r="2686" spans="1:6">
      <c r="A2686" t="s">
        <v>45</v>
      </c>
      <c r="B2686" t="s">
        <v>24</v>
      </c>
      <c r="C2686">
        <v>2030</v>
      </c>
      <c r="D2686" t="s">
        <v>12</v>
      </c>
      <c r="E2686">
        <v>1</v>
      </c>
      <c r="F2686" t="s">
        <v>13</v>
      </c>
    </row>
    <row r="2687" spans="1:6">
      <c r="A2687" t="s">
        <v>45</v>
      </c>
      <c r="B2687" t="s">
        <v>24</v>
      </c>
      <c r="C2687">
        <v>2030</v>
      </c>
      <c r="D2687" t="s">
        <v>14</v>
      </c>
      <c r="E2687">
        <v>0.35</v>
      </c>
      <c r="F2687" t="s">
        <v>15</v>
      </c>
    </row>
    <row r="2688" spans="1:6">
      <c r="A2688" t="s">
        <v>45</v>
      </c>
      <c r="B2688" t="s">
        <v>24</v>
      </c>
      <c r="C2688">
        <v>2030</v>
      </c>
      <c r="D2688" t="s">
        <v>164</v>
      </c>
      <c r="E2688">
        <v>0</v>
      </c>
      <c r="F2688" t="s">
        <v>166</v>
      </c>
    </row>
    <row r="2689" spans="1:6">
      <c r="A2689" t="s">
        <v>45</v>
      </c>
      <c r="B2689" t="s">
        <v>24</v>
      </c>
      <c r="C2689">
        <v>2050</v>
      </c>
      <c r="D2689" t="s">
        <v>6</v>
      </c>
      <c r="E2689">
        <v>1600</v>
      </c>
      <c r="F2689" t="s">
        <v>7</v>
      </c>
    </row>
    <row r="2690" spans="1:6">
      <c r="A2690" t="s">
        <v>45</v>
      </c>
      <c r="B2690" t="s">
        <v>24</v>
      </c>
      <c r="C2690">
        <v>2050</v>
      </c>
      <c r="D2690" t="s">
        <v>8</v>
      </c>
      <c r="E2690">
        <v>2665.1</v>
      </c>
      <c r="F2690" t="s">
        <v>7</v>
      </c>
    </row>
    <row r="2691" spans="1:6">
      <c r="A2691" t="s">
        <v>45</v>
      </c>
      <c r="B2691" t="s">
        <v>24</v>
      </c>
      <c r="C2691">
        <v>2050</v>
      </c>
      <c r="D2691" t="s">
        <v>9</v>
      </c>
      <c r="E2691">
        <v>1439.8</v>
      </c>
      <c r="F2691" t="s">
        <v>7</v>
      </c>
    </row>
    <row r="2692" spans="1:6">
      <c r="A2692" t="s">
        <v>45</v>
      </c>
      <c r="B2692" t="s">
        <v>24</v>
      </c>
      <c r="C2692">
        <v>2050</v>
      </c>
      <c r="D2692" t="s">
        <v>10</v>
      </c>
      <c r="E2692">
        <v>40</v>
      </c>
      <c r="F2692" t="s">
        <v>11</v>
      </c>
    </row>
    <row r="2693" spans="1:6">
      <c r="A2693" t="s">
        <v>45</v>
      </c>
      <c r="B2693" t="s">
        <v>24</v>
      </c>
      <c r="C2693">
        <v>2050</v>
      </c>
      <c r="D2693" t="s">
        <v>12</v>
      </c>
      <c r="E2693">
        <v>1</v>
      </c>
      <c r="F2693" t="s">
        <v>13</v>
      </c>
    </row>
    <row r="2694" spans="1:6">
      <c r="A2694" t="s">
        <v>45</v>
      </c>
      <c r="B2694" t="s">
        <v>24</v>
      </c>
      <c r="C2694">
        <v>2050</v>
      </c>
      <c r="D2694" t="s">
        <v>14</v>
      </c>
      <c r="E2694">
        <v>0.35</v>
      </c>
      <c r="F2694" t="s">
        <v>15</v>
      </c>
    </row>
    <row r="2695" spans="1:6">
      <c r="A2695" t="s">
        <v>45</v>
      </c>
      <c r="B2695" t="s">
        <v>24</v>
      </c>
      <c r="C2695">
        <v>2050</v>
      </c>
      <c r="D2695" t="s">
        <v>164</v>
      </c>
      <c r="E2695">
        <v>0</v>
      </c>
      <c r="F2695" t="s">
        <v>166</v>
      </c>
    </row>
    <row r="2696" spans="1:6">
      <c r="A2696" t="s">
        <v>45</v>
      </c>
      <c r="B2696" t="s">
        <v>25</v>
      </c>
      <c r="C2696">
        <v>2022</v>
      </c>
      <c r="D2696" t="s">
        <v>6</v>
      </c>
      <c r="E2696">
        <v>2000</v>
      </c>
      <c r="F2696" t="s">
        <v>7</v>
      </c>
    </row>
    <row r="2697" spans="1:6">
      <c r="A2697" t="s">
        <v>45</v>
      </c>
      <c r="B2697" t="s">
        <v>25</v>
      </c>
      <c r="C2697">
        <v>2022</v>
      </c>
      <c r="D2697" t="s">
        <v>8</v>
      </c>
      <c r="E2697">
        <v>2000</v>
      </c>
      <c r="F2697" t="s">
        <v>7</v>
      </c>
    </row>
    <row r="2698" spans="1:6">
      <c r="A2698" t="s">
        <v>45</v>
      </c>
      <c r="B2698" t="s">
        <v>25</v>
      </c>
      <c r="C2698">
        <v>2022</v>
      </c>
      <c r="D2698" t="s">
        <v>9</v>
      </c>
      <c r="E2698">
        <v>2000</v>
      </c>
      <c r="F2698" t="s">
        <v>7</v>
      </c>
    </row>
    <row r="2699" spans="1:6">
      <c r="A2699" t="s">
        <v>45</v>
      </c>
      <c r="B2699" t="s">
        <v>25</v>
      </c>
      <c r="C2699">
        <v>2022</v>
      </c>
      <c r="D2699" t="s">
        <v>10</v>
      </c>
      <c r="E2699">
        <v>50</v>
      </c>
      <c r="F2699" t="s">
        <v>11</v>
      </c>
    </row>
    <row r="2700" spans="1:6">
      <c r="A2700" t="s">
        <v>45</v>
      </c>
      <c r="B2700" t="s">
        <v>25</v>
      </c>
      <c r="C2700">
        <v>2022</v>
      </c>
      <c r="D2700" t="s">
        <v>12</v>
      </c>
      <c r="E2700">
        <v>1</v>
      </c>
      <c r="F2700" t="s">
        <v>13</v>
      </c>
    </row>
    <row r="2701" spans="1:6">
      <c r="A2701" t="s">
        <v>45</v>
      </c>
      <c r="B2701" t="s">
        <v>25</v>
      </c>
      <c r="C2701">
        <v>2022</v>
      </c>
      <c r="D2701" t="s">
        <v>14</v>
      </c>
      <c r="E2701">
        <v>0.4</v>
      </c>
      <c r="F2701" t="s">
        <v>15</v>
      </c>
    </row>
    <row r="2702" spans="1:6">
      <c r="A2702" t="s">
        <v>45</v>
      </c>
      <c r="B2702" t="s">
        <v>25</v>
      </c>
      <c r="C2702">
        <v>2022</v>
      </c>
      <c r="D2702" t="s">
        <v>164</v>
      </c>
      <c r="E2702">
        <v>0</v>
      </c>
      <c r="F2702" t="s">
        <v>166</v>
      </c>
    </row>
    <row r="2703" spans="1:6">
      <c r="A2703" t="s">
        <v>45</v>
      </c>
      <c r="B2703" t="s">
        <v>25</v>
      </c>
      <c r="C2703">
        <v>2030</v>
      </c>
      <c r="D2703" t="s">
        <v>6</v>
      </c>
      <c r="E2703">
        <v>2000</v>
      </c>
      <c r="F2703" t="s">
        <v>7</v>
      </c>
    </row>
    <row r="2704" spans="1:6">
      <c r="A2704" t="s">
        <v>45</v>
      </c>
      <c r="B2704" t="s">
        <v>25</v>
      </c>
      <c r="C2704">
        <v>2030</v>
      </c>
      <c r="D2704" t="s">
        <v>8</v>
      </c>
      <c r="E2704">
        <v>2461</v>
      </c>
      <c r="F2704" t="s">
        <v>7</v>
      </c>
    </row>
    <row r="2705" spans="1:6">
      <c r="A2705" t="s">
        <v>45</v>
      </c>
      <c r="B2705" t="s">
        <v>25</v>
      </c>
      <c r="C2705">
        <v>2030</v>
      </c>
      <c r="D2705" t="s">
        <v>9</v>
      </c>
      <c r="E2705">
        <v>1461.8</v>
      </c>
      <c r="F2705" t="s">
        <v>7</v>
      </c>
    </row>
    <row r="2706" spans="1:6">
      <c r="A2706" t="s">
        <v>45</v>
      </c>
      <c r="B2706" t="s">
        <v>25</v>
      </c>
      <c r="C2706">
        <v>2030</v>
      </c>
      <c r="D2706" t="s">
        <v>10</v>
      </c>
      <c r="E2706">
        <v>50</v>
      </c>
      <c r="F2706" t="s">
        <v>11</v>
      </c>
    </row>
    <row r="2707" spans="1:6">
      <c r="A2707" t="s">
        <v>45</v>
      </c>
      <c r="B2707" t="s">
        <v>25</v>
      </c>
      <c r="C2707">
        <v>2030</v>
      </c>
      <c r="D2707" t="s">
        <v>12</v>
      </c>
      <c r="E2707">
        <v>1</v>
      </c>
      <c r="F2707" t="s">
        <v>13</v>
      </c>
    </row>
    <row r="2708" spans="1:6">
      <c r="A2708" t="s">
        <v>45</v>
      </c>
      <c r="B2708" t="s">
        <v>25</v>
      </c>
      <c r="C2708">
        <v>2030</v>
      </c>
      <c r="D2708" t="s">
        <v>14</v>
      </c>
      <c r="E2708">
        <v>0.4</v>
      </c>
      <c r="F2708" t="s">
        <v>15</v>
      </c>
    </row>
    <row r="2709" spans="1:6">
      <c r="A2709" t="s">
        <v>45</v>
      </c>
      <c r="B2709" t="s">
        <v>25</v>
      </c>
      <c r="C2709">
        <v>2030</v>
      </c>
      <c r="D2709" t="s">
        <v>164</v>
      </c>
      <c r="E2709">
        <v>0</v>
      </c>
      <c r="F2709" t="s">
        <v>166</v>
      </c>
    </row>
    <row r="2710" spans="1:6">
      <c r="A2710" t="s">
        <v>45</v>
      </c>
      <c r="B2710" t="s">
        <v>25</v>
      </c>
      <c r="C2710">
        <v>2050</v>
      </c>
      <c r="D2710" t="s">
        <v>6</v>
      </c>
      <c r="E2710">
        <v>2000</v>
      </c>
      <c r="F2710" t="s">
        <v>7</v>
      </c>
    </row>
    <row r="2711" spans="1:6">
      <c r="A2711" t="s">
        <v>45</v>
      </c>
      <c r="B2711" t="s">
        <v>25</v>
      </c>
      <c r="C2711">
        <v>2050</v>
      </c>
      <c r="D2711" t="s">
        <v>8</v>
      </c>
      <c r="E2711">
        <v>3331.4</v>
      </c>
      <c r="F2711" t="s">
        <v>7</v>
      </c>
    </row>
    <row r="2712" spans="1:6">
      <c r="A2712" t="s">
        <v>45</v>
      </c>
      <c r="B2712" t="s">
        <v>25</v>
      </c>
      <c r="C2712">
        <v>2050</v>
      </c>
      <c r="D2712" t="s">
        <v>9</v>
      </c>
      <c r="E2712">
        <v>1799.8</v>
      </c>
      <c r="F2712" t="s">
        <v>7</v>
      </c>
    </row>
    <row r="2713" spans="1:6">
      <c r="A2713" t="s">
        <v>45</v>
      </c>
      <c r="B2713" t="s">
        <v>25</v>
      </c>
      <c r="C2713">
        <v>2050</v>
      </c>
      <c r="D2713" t="s">
        <v>10</v>
      </c>
      <c r="E2713">
        <v>50</v>
      </c>
      <c r="F2713" t="s">
        <v>11</v>
      </c>
    </row>
    <row r="2714" spans="1:6">
      <c r="A2714" t="s">
        <v>45</v>
      </c>
      <c r="B2714" t="s">
        <v>25</v>
      </c>
      <c r="C2714">
        <v>2050</v>
      </c>
      <c r="D2714" t="s">
        <v>12</v>
      </c>
      <c r="E2714">
        <v>1</v>
      </c>
      <c r="F2714" t="s">
        <v>13</v>
      </c>
    </row>
    <row r="2715" spans="1:6">
      <c r="A2715" t="s">
        <v>45</v>
      </c>
      <c r="B2715" t="s">
        <v>25</v>
      </c>
      <c r="C2715">
        <v>2050</v>
      </c>
      <c r="D2715" t="s">
        <v>14</v>
      </c>
      <c r="E2715">
        <v>0.4</v>
      </c>
      <c r="F2715" t="s">
        <v>15</v>
      </c>
    </row>
    <row r="2716" spans="1:6">
      <c r="A2716" t="s">
        <v>45</v>
      </c>
      <c r="B2716" t="s">
        <v>25</v>
      </c>
      <c r="C2716">
        <v>2050</v>
      </c>
      <c r="D2716" t="s">
        <v>164</v>
      </c>
      <c r="E2716">
        <v>0</v>
      </c>
      <c r="F2716" t="s">
        <v>166</v>
      </c>
    </row>
    <row r="2717" spans="1:6">
      <c r="A2717" t="s">
        <v>45</v>
      </c>
      <c r="B2717" t="s">
        <v>26</v>
      </c>
      <c r="C2717">
        <v>2022</v>
      </c>
      <c r="D2717" t="s">
        <v>6</v>
      </c>
      <c r="E2717">
        <v>2150</v>
      </c>
      <c r="F2717" t="s">
        <v>7</v>
      </c>
    </row>
    <row r="2718" spans="1:6">
      <c r="A2718" t="s">
        <v>45</v>
      </c>
      <c r="B2718" t="s">
        <v>26</v>
      </c>
      <c r="C2718">
        <v>2022</v>
      </c>
      <c r="D2718" t="s">
        <v>8</v>
      </c>
      <c r="E2718">
        <v>2150</v>
      </c>
      <c r="F2718" t="s">
        <v>7</v>
      </c>
    </row>
    <row r="2719" spans="1:6">
      <c r="A2719" t="s">
        <v>45</v>
      </c>
      <c r="B2719" t="s">
        <v>26</v>
      </c>
      <c r="C2719">
        <v>2022</v>
      </c>
      <c r="D2719" t="s">
        <v>9</v>
      </c>
      <c r="E2719">
        <v>2150</v>
      </c>
      <c r="F2719" t="s">
        <v>7</v>
      </c>
    </row>
    <row r="2720" spans="1:6">
      <c r="A2720" t="s">
        <v>45</v>
      </c>
      <c r="B2720" t="s">
        <v>26</v>
      </c>
      <c r="C2720">
        <v>2022</v>
      </c>
      <c r="D2720" t="s">
        <v>10</v>
      </c>
      <c r="E2720">
        <v>55</v>
      </c>
      <c r="F2720" t="s">
        <v>11</v>
      </c>
    </row>
    <row r="2721" spans="1:6">
      <c r="A2721" t="s">
        <v>45</v>
      </c>
      <c r="B2721" t="s">
        <v>26</v>
      </c>
      <c r="C2721">
        <v>2022</v>
      </c>
      <c r="D2721" t="s">
        <v>12</v>
      </c>
      <c r="E2721">
        <v>1</v>
      </c>
      <c r="F2721" t="s">
        <v>13</v>
      </c>
    </row>
    <row r="2722" spans="1:6">
      <c r="A2722" t="s">
        <v>45</v>
      </c>
      <c r="B2722" t="s">
        <v>26</v>
      </c>
      <c r="C2722">
        <v>2022</v>
      </c>
      <c r="D2722" t="s">
        <v>14</v>
      </c>
      <c r="E2722">
        <v>0.2</v>
      </c>
      <c r="F2722" t="s">
        <v>15</v>
      </c>
    </row>
    <row r="2723" spans="1:6">
      <c r="A2723" t="s">
        <v>45</v>
      </c>
      <c r="B2723" t="s">
        <v>26</v>
      </c>
      <c r="C2723">
        <v>2022</v>
      </c>
      <c r="D2723" t="s">
        <v>164</v>
      </c>
      <c r="E2723">
        <v>0</v>
      </c>
      <c r="F2723" t="s">
        <v>166</v>
      </c>
    </row>
    <row r="2724" spans="1:6">
      <c r="A2724" t="s">
        <v>45</v>
      </c>
      <c r="B2724" t="s">
        <v>26</v>
      </c>
      <c r="C2724">
        <v>2030</v>
      </c>
      <c r="D2724" t="s">
        <v>6</v>
      </c>
      <c r="E2724">
        <v>2150</v>
      </c>
      <c r="F2724" t="s">
        <v>7</v>
      </c>
    </row>
    <row r="2725" spans="1:6">
      <c r="A2725" t="s">
        <v>45</v>
      </c>
      <c r="B2725" t="s">
        <v>26</v>
      </c>
      <c r="C2725">
        <v>2030</v>
      </c>
      <c r="D2725" t="s">
        <v>8</v>
      </c>
      <c r="E2725">
        <v>2645.6</v>
      </c>
      <c r="F2725" t="s">
        <v>7</v>
      </c>
    </row>
    <row r="2726" spans="1:6">
      <c r="A2726" t="s">
        <v>45</v>
      </c>
      <c r="B2726" t="s">
        <v>26</v>
      </c>
      <c r="C2726">
        <v>2030</v>
      </c>
      <c r="D2726" t="s">
        <v>9</v>
      </c>
      <c r="E2726">
        <v>1571.4</v>
      </c>
      <c r="F2726" t="s">
        <v>7</v>
      </c>
    </row>
    <row r="2727" spans="1:6">
      <c r="A2727" t="s">
        <v>45</v>
      </c>
      <c r="B2727" t="s">
        <v>26</v>
      </c>
      <c r="C2727">
        <v>2030</v>
      </c>
      <c r="D2727" t="s">
        <v>10</v>
      </c>
      <c r="E2727">
        <v>55</v>
      </c>
      <c r="F2727" t="s">
        <v>11</v>
      </c>
    </row>
    <row r="2728" spans="1:6">
      <c r="A2728" t="s">
        <v>45</v>
      </c>
      <c r="B2728" t="s">
        <v>26</v>
      </c>
      <c r="C2728">
        <v>2030</v>
      </c>
      <c r="D2728" t="s">
        <v>12</v>
      </c>
      <c r="E2728">
        <v>1</v>
      </c>
      <c r="F2728" t="s">
        <v>13</v>
      </c>
    </row>
    <row r="2729" spans="1:6">
      <c r="A2729" t="s">
        <v>45</v>
      </c>
      <c r="B2729" t="s">
        <v>26</v>
      </c>
      <c r="C2729">
        <v>2030</v>
      </c>
      <c r="D2729" t="s">
        <v>14</v>
      </c>
      <c r="E2729">
        <v>0.2</v>
      </c>
      <c r="F2729" t="s">
        <v>15</v>
      </c>
    </row>
    <row r="2730" spans="1:6">
      <c r="A2730" t="s">
        <v>45</v>
      </c>
      <c r="B2730" t="s">
        <v>26</v>
      </c>
      <c r="C2730">
        <v>2030</v>
      </c>
      <c r="D2730" t="s">
        <v>164</v>
      </c>
      <c r="E2730">
        <v>0</v>
      </c>
      <c r="F2730" t="s">
        <v>166</v>
      </c>
    </row>
    <row r="2731" spans="1:6">
      <c r="A2731" t="s">
        <v>45</v>
      </c>
      <c r="B2731" t="s">
        <v>26</v>
      </c>
      <c r="C2731">
        <v>2050</v>
      </c>
      <c r="D2731" t="s">
        <v>6</v>
      </c>
      <c r="E2731">
        <v>2150</v>
      </c>
      <c r="F2731" t="s">
        <v>7</v>
      </c>
    </row>
    <row r="2732" spans="1:6">
      <c r="A2732" t="s">
        <v>45</v>
      </c>
      <c r="B2732" t="s">
        <v>26</v>
      </c>
      <c r="C2732">
        <v>2050</v>
      </c>
      <c r="D2732" t="s">
        <v>8</v>
      </c>
      <c r="E2732">
        <v>3581.3</v>
      </c>
      <c r="F2732" t="s">
        <v>7</v>
      </c>
    </row>
    <row r="2733" spans="1:6">
      <c r="A2733" t="s">
        <v>45</v>
      </c>
      <c r="B2733" t="s">
        <v>26</v>
      </c>
      <c r="C2733">
        <v>2050</v>
      </c>
      <c r="D2733" t="s">
        <v>9</v>
      </c>
      <c r="E2733">
        <v>1934.8</v>
      </c>
      <c r="F2733" t="s">
        <v>7</v>
      </c>
    </row>
    <row r="2734" spans="1:6">
      <c r="A2734" t="s">
        <v>45</v>
      </c>
      <c r="B2734" t="s">
        <v>26</v>
      </c>
      <c r="C2734">
        <v>2050</v>
      </c>
      <c r="D2734" t="s">
        <v>10</v>
      </c>
      <c r="E2734">
        <v>50</v>
      </c>
      <c r="F2734" t="s">
        <v>11</v>
      </c>
    </row>
    <row r="2735" spans="1:6">
      <c r="A2735" t="s">
        <v>45</v>
      </c>
      <c r="B2735" t="s">
        <v>26</v>
      </c>
      <c r="C2735">
        <v>2050</v>
      </c>
      <c r="D2735" t="s">
        <v>12</v>
      </c>
      <c r="E2735">
        <v>1</v>
      </c>
      <c r="F2735" t="s">
        <v>13</v>
      </c>
    </row>
    <row r="2736" spans="1:6">
      <c r="A2736" t="s">
        <v>45</v>
      </c>
      <c r="B2736" t="s">
        <v>26</v>
      </c>
      <c r="C2736">
        <v>2050</v>
      </c>
      <c r="D2736" t="s">
        <v>14</v>
      </c>
      <c r="E2736">
        <v>0.2</v>
      </c>
      <c r="F2736" t="s">
        <v>15</v>
      </c>
    </row>
    <row r="2737" spans="1:6">
      <c r="A2737" t="s">
        <v>45</v>
      </c>
      <c r="B2737" t="s">
        <v>26</v>
      </c>
      <c r="C2737">
        <v>2050</v>
      </c>
      <c r="D2737" t="s">
        <v>164</v>
      </c>
      <c r="E2737">
        <v>0</v>
      </c>
      <c r="F2737" t="s">
        <v>166</v>
      </c>
    </row>
    <row r="2738" spans="1:6">
      <c r="A2738" t="s">
        <v>45</v>
      </c>
      <c r="B2738" t="s">
        <v>27</v>
      </c>
      <c r="C2738">
        <v>2022</v>
      </c>
      <c r="D2738" t="s">
        <v>6</v>
      </c>
      <c r="E2738">
        <v>2100</v>
      </c>
      <c r="F2738" t="s">
        <v>7</v>
      </c>
    </row>
    <row r="2739" spans="1:6">
      <c r="A2739" t="s">
        <v>45</v>
      </c>
      <c r="B2739" t="s">
        <v>27</v>
      </c>
      <c r="C2739">
        <v>2022</v>
      </c>
      <c r="D2739" t="s">
        <v>8</v>
      </c>
      <c r="E2739">
        <v>2100</v>
      </c>
      <c r="F2739" t="s">
        <v>7</v>
      </c>
    </row>
    <row r="2740" spans="1:6">
      <c r="A2740" t="s">
        <v>45</v>
      </c>
      <c r="B2740" t="s">
        <v>27</v>
      </c>
      <c r="C2740">
        <v>2022</v>
      </c>
      <c r="D2740" t="s">
        <v>9</v>
      </c>
      <c r="E2740">
        <v>2100</v>
      </c>
      <c r="F2740" t="s">
        <v>7</v>
      </c>
    </row>
    <row r="2741" spans="1:6">
      <c r="A2741" t="s">
        <v>45</v>
      </c>
      <c r="B2741" t="s">
        <v>27</v>
      </c>
      <c r="C2741">
        <v>2022</v>
      </c>
      <c r="D2741" t="s">
        <v>10</v>
      </c>
      <c r="E2741">
        <v>50</v>
      </c>
      <c r="F2741" t="s">
        <v>11</v>
      </c>
    </row>
    <row r="2742" spans="1:6">
      <c r="A2742" t="s">
        <v>45</v>
      </c>
      <c r="B2742" t="s">
        <v>27</v>
      </c>
      <c r="C2742">
        <v>2022</v>
      </c>
      <c r="D2742" t="s">
        <v>12</v>
      </c>
      <c r="E2742">
        <v>1</v>
      </c>
      <c r="F2742" t="s">
        <v>13</v>
      </c>
    </row>
    <row r="2743" spans="1:6">
      <c r="A2743" t="s">
        <v>45</v>
      </c>
      <c r="B2743" t="s">
        <v>27</v>
      </c>
      <c r="C2743">
        <v>2022</v>
      </c>
      <c r="D2743" t="s">
        <v>14</v>
      </c>
      <c r="E2743">
        <v>0.5</v>
      </c>
      <c r="F2743" t="s">
        <v>15</v>
      </c>
    </row>
    <row r="2744" spans="1:6">
      <c r="A2744" t="s">
        <v>45</v>
      </c>
      <c r="B2744" t="s">
        <v>27</v>
      </c>
      <c r="C2744">
        <v>2022</v>
      </c>
      <c r="D2744" t="s">
        <v>164</v>
      </c>
      <c r="E2744">
        <v>0</v>
      </c>
      <c r="F2744" t="s">
        <v>166</v>
      </c>
    </row>
    <row r="2745" spans="1:6">
      <c r="A2745" t="s">
        <v>45</v>
      </c>
      <c r="B2745" t="s">
        <v>27</v>
      </c>
      <c r="C2745">
        <v>2030</v>
      </c>
      <c r="D2745" t="s">
        <v>6</v>
      </c>
      <c r="E2745">
        <v>2100</v>
      </c>
      <c r="F2745" t="s">
        <v>7</v>
      </c>
    </row>
    <row r="2746" spans="1:6">
      <c r="A2746" t="s">
        <v>45</v>
      </c>
      <c r="B2746" t="s">
        <v>27</v>
      </c>
      <c r="C2746">
        <v>2030</v>
      </c>
      <c r="D2746" t="s">
        <v>8</v>
      </c>
      <c r="E2746">
        <v>2584</v>
      </c>
      <c r="F2746" t="s">
        <v>7</v>
      </c>
    </row>
    <row r="2747" spans="1:6">
      <c r="A2747" t="s">
        <v>45</v>
      </c>
      <c r="B2747" t="s">
        <v>27</v>
      </c>
      <c r="C2747">
        <v>2030</v>
      </c>
      <c r="D2747" t="s">
        <v>9</v>
      </c>
      <c r="E2747">
        <v>1534.9</v>
      </c>
      <c r="F2747" t="s">
        <v>7</v>
      </c>
    </row>
    <row r="2748" spans="1:6">
      <c r="A2748" t="s">
        <v>45</v>
      </c>
      <c r="B2748" t="s">
        <v>27</v>
      </c>
      <c r="C2748">
        <v>2030</v>
      </c>
      <c r="D2748" t="s">
        <v>10</v>
      </c>
      <c r="E2748">
        <v>50</v>
      </c>
      <c r="F2748" t="s">
        <v>11</v>
      </c>
    </row>
    <row r="2749" spans="1:6">
      <c r="A2749" t="s">
        <v>45</v>
      </c>
      <c r="B2749" t="s">
        <v>27</v>
      </c>
      <c r="C2749">
        <v>2030</v>
      </c>
      <c r="D2749" t="s">
        <v>12</v>
      </c>
      <c r="E2749">
        <v>1</v>
      </c>
      <c r="F2749" t="s">
        <v>13</v>
      </c>
    </row>
    <row r="2750" spans="1:6">
      <c r="A2750" t="s">
        <v>45</v>
      </c>
      <c r="B2750" t="s">
        <v>27</v>
      </c>
      <c r="C2750">
        <v>2030</v>
      </c>
      <c r="D2750" t="s">
        <v>14</v>
      </c>
      <c r="E2750">
        <v>0.5</v>
      </c>
      <c r="F2750" t="s">
        <v>15</v>
      </c>
    </row>
    <row r="2751" spans="1:6">
      <c r="A2751" t="s">
        <v>45</v>
      </c>
      <c r="B2751" t="s">
        <v>27</v>
      </c>
      <c r="C2751">
        <v>2030</v>
      </c>
      <c r="D2751" t="s">
        <v>164</v>
      </c>
      <c r="E2751">
        <v>0</v>
      </c>
      <c r="F2751" t="s">
        <v>166</v>
      </c>
    </row>
    <row r="2752" spans="1:6">
      <c r="A2752" t="s">
        <v>45</v>
      </c>
      <c r="B2752" t="s">
        <v>27</v>
      </c>
      <c r="C2752">
        <v>2050</v>
      </c>
      <c r="D2752" t="s">
        <v>6</v>
      </c>
      <c r="E2752">
        <v>2100</v>
      </c>
      <c r="F2752" t="s">
        <v>7</v>
      </c>
    </row>
    <row r="2753" spans="1:6">
      <c r="A2753" t="s">
        <v>45</v>
      </c>
      <c r="B2753" t="s">
        <v>27</v>
      </c>
      <c r="C2753">
        <v>2050</v>
      </c>
      <c r="D2753" t="s">
        <v>8</v>
      </c>
      <c r="E2753">
        <v>3498</v>
      </c>
      <c r="F2753" t="s">
        <v>7</v>
      </c>
    </row>
    <row r="2754" spans="1:6">
      <c r="A2754" t="s">
        <v>45</v>
      </c>
      <c r="B2754" t="s">
        <v>27</v>
      </c>
      <c r="C2754">
        <v>2050</v>
      </c>
      <c r="D2754" t="s">
        <v>9</v>
      </c>
      <c r="E2754">
        <v>1889.8</v>
      </c>
      <c r="F2754" t="s">
        <v>7</v>
      </c>
    </row>
    <row r="2755" spans="1:6">
      <c r="A2755" t="s">
        <v>45</v>
      </c>
      <c r="B2755" t="s">
        <v>27</v>
      </c>
      <c r="C2755">
        <v>2050</v>
      </c>
      <c r="D2755" t="s">
        <v>10</v>
      </c>
      <c r="E2755">
        <v>50</v>
      </c>
      <c r="F2755" t="s">
        <v>11</v>
      </c>
    </row>
    <row r="2756" spans="1:6">
      <c r="A2756" t="s">
        <v>45</v>
      </c>
      <c r="B2756" t="s">
        <v>27</v>
      </c>
      <c r="C2756">
        <v>2050</v>
      </c>
      <c r="D2756" t="s">
        <v>12</v>
      </c>
      <c r="E2756">
        <v>1</v>
      </c>
      <c r="F2756" t="s">
        <v>13</v>
      </c>
    </row>
    <row r="2757" spans="1:6">
      <c r="A2757" t="s">
        <v>45</v>
      </c>
      <c r="B2757" t="s">
        <v>27</v>
      </c>
      <c r="C2757">
        <v>2050</v>
      </c>
      <c r="D2757" t="s">
        <v>14</v>
      </c>
      <c r="E2757">
        <v>0.5</v>
      </c>
      <c r="F2757" t="s">
        <v>15</v>
      </c>
    </row>
    <row r="2758" spans="1:6">
      <c r="A2758" t="s">
        <v>45</v>
      </c>
      <c r="B2758" t="s">
        <v>27</v>
      </c>
      <c r="C2758">
        <v>2050</v>
      </c>
      <c r="D2758" t="s">
        <v>164</v>
      </c>
      <c r="E2758">
        <v>0</v>
      </c>
      <c r="F2758" t="s">
        <v>166</v>
      </c>
    </row>
    <row r="2759" spans="1:6">
      <c r="A2759" t="s">
        <v>45</v>
      </c>
      <c r="B2759" t="s">
        <v>28</v>
      </c>
      <c r="C2759">
        <v>2022</v>
      </c>
      <c r="D2759" t="s">
        <v>6</v>
      </c>
      <c r="E2759">
        <v>2100</v>
      </c>
      <c r="F2759" t="s">
        <v>7</v>
      </c>
    </row>
    <row r="2760" spans="1:6">
      <c r="A2760" t="s">
        <v>45</v>
      </c>
      <c r="B2760" t="s">
        <v>28</v>
      </c>
      <c r="C2760">
        <v>2022</v>
      </c>
      <c r="D2760" t="s">
        <v>8</v>
      </c>
      <c r="E2760">
        <v>2100</v>
      </c>
      <c r="F2760" t="s">
        <v>7</v>
      </c>
    </row>
    <row r="2761" spans="1:6">
      <c r="A2761" t="s">
        <v>45</v>
      </c>
      <c r="B2761" t="s">
        <v>28</v>
      </c>
      <c r="C2761">
        <v>2022</v>
      </c>
      <c r="D2761" t="s">
        <v>9</v>
      </c>
      <c r="E2761">
        <v>2100</v>
      </c>
      <c r="F2761" t="s">
        <v>7</v>
      </c>
    </row>
    <row r="2762" spans="1:6">
      <c r="A2762" t="s">
        <v>45</v>
      </c>
      <c r="B2762" t="s">
        <v>28</v>
      </c>
      <c r="C2762">
        <v>2022</v>
      </c>
      <c r="D2762" t="s">
        <v>10</v>
      </c>
      <c r="E2762">
        <v>55</v>
      </c>
      <c r="F2762" t="s">
        <v>11</v>
      </c>
    </row>
    <row r="2763" spans="1:6">
      <c r="A2763" t="s">
        <v>45</v>
      </c>
      <c r="B2763" t="s">
        <v>28</v>
      </c>
      <c r="C2763">
        <v>2022</v>
      </c>
      <c r="D2763" t="s">
        <v>12</v>
      </c>
      <c r="E2763">
        <v>1</v>
      </c>
      <c r="F2763" t="s">
        <v>13</v>
      </c>
    </row>
    <row r="2764" spans="1:6">
      <c r="A2764" t="s">
        <v>45</v>
      </c>
      <c r="B2764" t="s">
        <v>28</v>
      </c>
      <c r="C2764">
        <v>2022</v>
      </c>
      <c r="D2764" t="s">
        <v>14</v>
      </c>
      <c r="E2764">
        <v>0.5</v>
      </c>
      <c r="F2764" t="s">
        <v>15</v>
      </c>
    </row>
    <row r="2765" spans="1:6">
      <c r="A2765" t="s">
        <v>45</v>
      </c>
      <c r="B2765" t="s">
        <v>28</v>
      </c>
      <c r="C2765">
        <v>2022</v>
      </c>
      <c r="D2765" t="s">
        <v>164</v>
      </c>
      <c r="E2765">
        <v>0</v>
      </c>
      <c r="F2765" t="s">
        <v>166</v>
      </c>
    </row>
    <row r="2766" spans="1:6">
      <c r="A2766" t="s">
        <v>45</v>
      </c>
      <c r="B2766" t="s">
        <v>28</v>
      </c>
      <c r="C2766">
        <v>2030</v>
      </c>
      <c r="D2766" t="s">
        <v>6</v>
      </c>
      <c r="E2766">
        <v>2100</v>
      </c>
      <c r="F2766" t="s">
        <v>7</v>
      </c>
    </row>
    <row r="2767" spans="1:6">
      <c r="A2767" t="s">
        <v>45</v>
      </c>
      <c r="B2767" t="s">
        <v>28</v>
      </c>
      <c r="C2767">
        <v>2030</v>
      </c>
      <c r="D2767" t="s">
        <v>8</v>
      </c>
      <c r="E2767">
        <v>2584</v>
      </c>
      <c r="F2767" t="s">
        <v>7</v>
      </c>
    </row>
    <row r="2768" spans="1:6">
      <c r="A2768" t="s">
        <v>45</v>
      </c>
      <c r="B2768" t="s">
        <v>28</v>
      </c>
      <c r="C2768">
        <v>2030</v>
      </c>
      <c r="D2768" t="s">
        <v>9</v>
      </c>
      <c r="E2768">
        <v>1534.9</v>
      </c>
      <c r="F2768" t="s">
        <v>7</v>
      </c>
    </row>
    <row r="2769" spans="1:6">
      <c r="A2769" t="s">
        <v>45</v>
      </c>
      <c r="B2769" t="s">
        <v>28</v>
      </c>
      <c r="C2769">
        <v>2030</v>
      </c>
      <c r="D2769" t="s">
        <v>10</v>
      </c>
      <c r="E2769">
        <v>50</v>
      </c>
      <c r="F2769" t="s">
        <v>11</v>
      </c>
    </row>
    <row r="2770" spans="1:6">
      <c r="A2770" t="s">
        <v>45</v>
      </c>
      <c r="B2770" t="s">
        <v>28</v>
      </c>
      <c r="C2770">
        <v>2030</v>
      </c>
      <c r="D2770" t="s">
        <v>12</v>
      </c>
      <c r="E2770">
        <v>1</v>
      </c>
      <c r="F2770" t="s">
        <v>13</v>
      </c>
    </row>
    <row r="2771" spans="1:6">
      <c r="A2771" t="s">
        <v>45</v>
      </c>
      <c r="B2771" t="s">
        <v>28</v>
      </c>
      <c r="C2771">
        <v>2030</v>
      </c>
      <c r="D2771" t="s">
        <v>14</v>
      </c>
      <c r="E2771">
        <v>0.5</v>
      </c>
      <c r="F2771" t="s">
        <v>15</v>
      </c>
    </row>
    <row r="2772" spans="1:6">
      <c r="A2772" t="s">
        <v>45</v>
      </c>
      <c r="B2772" t="s">
        <v>28</v>
      </c>
      <c r="C2772">
        <v>2030</v>
      </c>
      <c r="D2772" t="s">
        <v>164</v>
      </c>
      <c r="E2772">
        <v>0</v>
      </c>
      <c r="F2772" t="s">
        <v>166</v>
      </c>
    </row>
    <row r="2773" spans="1:6">
      <c r="A2773" t="s">
        <v>45</v>
      </c>
      <c r="B2773" t="s">
        <v>28</v>
      </c>
      <c r="C2773">
        <v>2050</v>
      </c>
      <c r="D2773" t="s">
        <v>6</v>
      </c>
      <c r="E2773">
        <v>2100</v>
      </c>
      <c r="F2773" t="s">
        <v>7</v>
      </c>
    </row>
    <row r="2774" spans="1:6">
      <c r="A2774" t="s">
        <v>45</v>
      </c>
      <c r="B2774" t="s">
        <v>28</v>
      </c>
      <c r="C2774">
        <v>2050</v>
      </c>
      <c r="D2774" t="s">
        <v>8</v>
      </c>
      <c r="E2774">
        <v>3498</v>
      </c>
      <c r="F2774" t="s">
        <v>7</v>
      </c>
    </row>
    <row r="2775" spans="1:6">
      <c r="A2775" t="s">
        <v>45</v>
      </c>
      <c r="B2775" t="s">
        <v>28</v>
      </c>
      <c r="C2775">
        <v>2050</v>
      </c>
      <c r="D2775" t="s">
        <v>9</v>
      </c>
      <c r="E2775">
        <v>1889.8</v>
      </c>
      <c r="F2775" t="s">
        <v>7</v>
      </c>
    </row>
    <row r="2776" spans="1:6">
      <c r="A2776" t="s">
        <v>45</v>
      </c>
      <c r="B2776" t="s">
        <v>28</v>
      </c>
      <c r="C2776">
        <v>2050</v>
      </c>
      <c r="D2776" t="s">
        <v>10</v>
      </c>
      <c r="E2776">
        <v>50</v>
      </c>
      <c r="F2776" t="s">
        <v>11</v>
      </c>
    </row>
    <row r="2777" spans="1:6">
      <c r="A2777" t="s">
        <v>45</v>
      </c>
      <c r="B2777" t="s">
        <v>28</v>
      </c>
      <c r="C2777">
        <v>2050</v>
      </c>
      <c r="D2777" t="s">
        <v>12</v>
      </c>
      <c r="E2777">
        <v>1</v>
      </c>
      <c r="F2777" t="s">
        <v>13</v>
      </c>
    </row>
    <row r="2778" spans="1:6">
      <c r="A2778" t="s">
        <v>45</v>
      </c>
      <c r="B2778" t="s">
        <v>28</v>
      </c>
      <c r="C2778">
        <v>2050</v>
      </c>
      <c r="D2778" t="s">
        <v>14</v>
      </c>
      <c r="E2778">
        <v>0.5</v>
      </c>
      <c r="F2778" t="s">
        <v>15</v>
      </c>
    </row>
    <row r="2779" spans="1:6">
      <c r="A2779" t="s">
        <v>45</v>
      </c>
      <c r="B2779" t="s">
        <v>28</v>
      </c>
      <c r="C2779">
        <v>2050</v>
      </c>
      <c r="D2779" t="s">
        <v>164</v>
      </c>
      <c r="E2779">
        <v>0</v>
      </c>
      <c r="F2779" t="s">
        <v>166</v>
      </c>
    </row>
    <row r="2780" spans="1:6">
      <c r="A2780" t="s">
        <v>46</v>
      </c>
      <c r="B2780" t="s">
        <v>20</v>
      </c>
      <c r="C2780">
        <v>2022</v>
      </c>
      <c r="D2780" t="s">
        <v>6</v>
      </c>
      <c r="E2780">
        <v>3900</v>
      </c>
      <c r="F2780" t="s">
        <v>7</v>
      </c>
    </row>
    <row r="2781" spans="1:6">
      <c r="A2781" t="s">
        <v>46</v>
      </c>
      <c r="B2781" t="s">
        <v>20</v>
      </c>
      <c r="C2781">
        <v>2022</v>
      </c>
      <c r="D2781" t="s">
        <v>8</v>
      </c>
      <c r="E2781">
        <v>3900</v>
      </c>
      <c r="F2781" t="s">
        <v>7</v>
      </c>
    </row>
    <row r="2782" spans="1:6">
      <c r="A2782" t="s">
        <v>46</v>
      </c>
      <c r="B2782" t="s">
        <v>20</v>
      </c>
      <c r="C2782">
        <v>2022</v>
      </c>
      <c r="D2782" t="s">
        <v>9</v>
      </c>
      <c r="E2782">
        <v>3900</v>
      </c>
      <c r="F2782" t="s">
        <v>7</v>
      </c>
    </row>
    <row r="2783" spans="1:6">
      <c r="A2783" t="s">
        <v>46</v>
      </c>
      <c r="B2783" t="s">
        <v>20</v>
      </c>
      <c r="C2783">
        <v>2022</v>
      </c>
      <c r="D2783" t="s">
        <v>10</v>
      </c>
      <c r="E2783">
        <v>80</v>
      </c>
      <c r="F2783" t="s">
        <v>11</v>
      </c>
    </row>
    <row r="2784" spans="1:6">
      <c r="A2784" t="s">
        <v>46</v>
      </c>
      <c r="B2784" t="s">
        <v>20</v>
      </c>
      <c r="C2784">
        <v>2022</v>
      </c>
      <c r="D2784" t="s">
        <v>12</v>
      </c>
      <c r="E2784">
        <v>1</v>
      </c>
      <c r="F2784" t="s">
        <v>13</v>
      </c>
    </row>
    <row r="2785" spans="1:6">
      <c r="A2785" t="s">
        <v>46</v>
      </c>
      <c r="B2785" t="s">
        <v>20</v>
      </c>
      <c r="C2785">
        <v>2022</v>
      </c>
      <c r="D2785" t="s">
        <v>14</v>
      </c>
      <c r="E2785">
        <v>0.25</v>
      </c>
      <c r="F2785" t="s">
        <v>15</v>
      </c>
    </row>
    <row r="2786" spans="1:6">
      <c r="A2786" t="s">
        <v>46</v>
      </c>
      <c r="B2786" t="s">
        <v>20</v>
      </c>
      <c r="C2786">
        <v>2022</v>
      </c>
      <c r="D2786" t="s">
        <v>164</v>
      </c>
      <c r="E2786">
        <v>0.27800000000000002</v>
      </c>
      <c r="F2786" t="s">
        <v>166</v>
      </c>
    </row>
    <row r="2787" spans="1:6">
      <c r="A2787" t="s">
        <v>46</v>
      </c>
      <c r="B2787" t="s">
        <v>20</v>
      </c>
      <c r="C2787">
        <v>2030</v>
      </c>
      <c r="D2787" t="s">
        <v>6</v>
      </c>
      <c r="E2787">
        <v>3900</v>
      </c>
      <c r="F2787" t="s">
        <v>7</v>
      </c>
    </row>
    <row r="2788" spans="1:6">
      <c r="A2788" t="s">
        <v>46</v>
      </c>
      <c r="B2788" t="s">
        <v>20</v>
      </c>
      <c r="C2788">
        <v>2030</v>
      </c>
      <c r="D2788" t="s">
        <v>8</v>
      </c>
      <c r="E2788">
        <v>3900</v>
      </c>
      <c r="F2788" t="s">
        <v>7</v>
      </c>
    </row>
    <row r="2789" spans="1:6">
      <c r="A2789" t="s">
        <v>46</v>
      </c>
      <c r="B2789" t="s">
        <v>20</v>
      </c>
      <c r="C2789">
        <v>2030</v>
      </c>
      <c r="D2789" t="s">
        <v>9</v>
      </c>
      <c r="E2789">
        <v>3900</v>
      </c>
      <c r="F2789" t="s">
        <v>7</v>
      </c>
    </row>
    <row r="2790" spans="1:6">
      <c r="A2790" t="s">
        <v>46</v>
      </c>
      <c r="B2790" t="s">
        <v>20</v>
      </c>
      <c r="C2790">
        <v>2030</v>
      </c>
      <c r="D2790" t="s">
        <v>10</v>
      </c>
      <c r="E2790">
        <v>80</v>
      </c>
      <c r="F2790" t="s">
        <v>11</v>
      </c>
    </row>
    <row r="2791" spans="1:6">
      <c r="A2791" t="s">
        <v>46</v>
      </c>
      <c r="B2791" t="s">
        <v>20</v>
      </c>
      <c r="C2791">
        <v>2030</v>
      </c>
      <c r="D2791" t="s">
        <v>12</v>
      </c>
      <c r="E2791">
        <v>1</v>
      </c>
      <c r="F2791" t="s">
        <v>13</v>
      </c>
    </row>
    <row r="2792" spans="1:6">
      <c r="A2792" t="s">
        <v>46</v>
      </c>
      <c r="B2792" t="s">
        <v>20</v>
      </c>
      <c r="C2792">
        <v>2030</v>
      </c>
      <c r="D2792" t="s">
        <v>14</v>
      </c>
      <c r="E2792">
        <v>0.25</v>
      </c>
      <c r="F2792" t="s">
        <v>15</v>
      </c>
    </row>
    <row r="2793" spans="1:6">
      <c r="A2793" t="s">
        <v>46</v>
      </c>
      <c r="B2793" t="s">
        <v>20</v>
      </c>
      <c r="C2793">
        <v>2030</v>
      </c>
      <c r="D2793" t="s">
        <v>164</v>
      </c>
      <c r="E2793">
        <v>0.27800000000000002</v>
      </c>
      <c r="F2793" t="s">
        <v>166</v>
      </c>
    </row>
    <row r="2794" spans="1:6">
      <c r="A2794" t="s">
        <v>46</v>
      </c>
      <c r="B2794" t="s">
        <v>20</v>
      </c>
      <c r="C2794">
        <v>2050</v>
      </c>
      <c r="D2794" t="s">
        <v>6</v>
      </c>
      <c r="E2794">
        <v>3900</v>
      </c>
      <c r="F2794" t="s">
        <v>7</v>
      </c>
    </row>
    <row r="2795" spans="1:6">
      <c r="A2795" t="s">
        <v>46</v>
      </c>
      <c r="B2795" t="s">
        <v>20</v>
      </c>
      <c r="C2795">
        <v>2050</v>
      </c>
      <c r="D2795" t="s">
        <v>8</v>
      </c>
      <c r="E2795">
        <v>3900</v>
      </c>
      <c r="F2795" t="s">
        <v>7</v>
      </c>
    </row>
    <row r="2796" spans="1:6">
      <c r="A2796" t="s">
        <v>46</v>
      </c>
      <c r="B2796" t="s">
        <v>20</v>
      </c>
      <c r="C2796">
        <v>2050</v>
      </c>
      <c r="D2796" t="s">
        <v>9</v>
      </c>
      <c r="E2796">
        <v>3900</v>
      </c>
      <c r="F2796" t="s">
        <v>7</v>
      </c>
    </row>
    <row r="2797" spans="1:6">
      <c r="A2797" t="s">
        <v>46</v>
      </c>
      <c r="B2797" t="s">
        <v>20</v>
      </c>
      <c r="C2797">
        <v>2050</v>
      </c>
      <c r="D2797" t="s">
        <v>10</v>
      </c>
      <c r="E2797">
        <v>80</v>
      </c>
      <c r="F2797" t="s">
        <v>11</v>
      </c>
    </row>
    <row r="2798" spans="1:6">
      <c r="A2798" t="s">
        <v>46</v>
      </c>
      <c r="B2798" t="s">
        <v>20</v>
      </c>
      <c r="C2798">
        <v>2050</v>
      </c>
      <c r="D2798" t="s">
        <v>12</v>
      </c>
      <c r="E2798">
        <v>1</v>
      </c>
      <c r="F2798" t="s">
        <v>13</v>
      </c>
    </row>
    <row r="2799" spans="1:6">
      <c r="A2799" t="s">
        <v>46</v>
      </c>
      <c r="B2799" t="s">
        <v>20</v>
      </c>
      <c r="C2799">
        <v>2050</v>
      </c>
      <c r="D2799" t="s">
        <v>14</v>
      </c>
      <c r="E2799">
        <v>0.25</v>
      </c>
      <c r="F2799" t="s">
        <v>15</v>
      </c>
    </row>
    <row r="2800" spans="1:6">
      <c r="A2800" t="s">
        <v>46</v>
      </c>
      <c r="B2800" t="s">
        <v>20</v>
      </c>
      <c r="C2800">
        <v>2050</v>
      </c>
      <c r="D2800" t="s">
        <v>164</v>
      </c>
      <c r="E2800">
        <v>0.27800000000000002</v>
      </c>
      <c r="F2800" t="s">
        <v>166</v>
      </c>
    </row>
    <row r="2801" spans="1:6">
      <c r="A2801" t="s">
        <v>46</v>
      </c>
      <c r="B2801" t="s">
        <v>21</v>
      </c>
      <c r="C2801">
        <v>2022</v>
      </c>
      <c r="D2801" t="s">
        <v>6</v>
      </c>
      <c r="E2801">
        <v>4050</v>
      </c>
      <c r="F2801" t="s">
        <v>7</v>
      </c>
    </row>
    <row r="2802" spans="1:6">
      <c r="A2802" t="s">
        <v>46</v>
      </c>
      <c r="B2802" t="s">
        <v>21</v>
      </c>
      <c r="C2802">
        <v>2022</v>
      </c>
      <c r="D2802" t="s">
        <v>8</v>
      </c>
      <c r="E2802">
        <v>4050</v>
      </c>
      <c r="F2802" t="s">
        <v>7</v>
      </c>
    </row>
    <row r="2803" spans="1:6">
      <c r="A2803" t="s">
        <v>46</v>
      </c>
      <c r="B2803" t="s">
        <v>21</v>
      </c>
      <c r="C2803">
        <v>2022</v>
      </c>
      <c r="D2803" t="s">
        <v>9</v>
      </c>
      <c r="E2803">
        <v>4050</v>
      </c>
      <c r="F2803" t="s">
        <v>7</v>
      </c>
    </row>
    <row r="2804" spans="1:6">
      <c r="A2804" t="s">
        <v>46</v>
      </c>
      <c r="B2804" t="s">
        <v>21</v>
      </c>
      <c r="C2804">
        <v>2022</v>
      </c>
      <c r="D2804" t="s">
        <v>10</v>
      </c>
      <c r="E2804">
        <v>80</v>
      </c>
      <c r="F2804" t="s">
        <v>11</v>
      </c>
    </row>
    <row r="2805" spans="1:6">
      <c r="A2805" t="s">
        <v>46</v>
      </c>
      <c r="B2805" t="s">
        <v>21</v>
      </c>
      <c r="C2805">
        <v>2022</v>
      </c>
      <c r="D2805" t="s">
        <v>12</v>
      </c>
      <c r="E2805">
        <v>1</v>
      </c>
      <c r="F2805" t="s">
        <v>13</v>
      </c>
    </row>
    <row r="2806" spans="1:6">
      <c r="A2806" t="s">
        <v>46</v>
      </c>
      <c r="B2806" t="s">
        <v>21</v>
      </c>
      <c r="C2806">
        <v>2022</v>
      </c>
      <c r="D2806" t="s">
        <v>14</v>
      </c>
      <c r="E2806">
        <v>0.3</v>
      </c>
      <c r="F2806" t="s">
        <v>15</v>
      </c>
    </row>
    <row r="2807" spans="1:6">
      <c r="A2807" t="s">
        <v>46</v>
      </c>
      <c r="B2807" t="s">
        <v>21</v>
      </c>
      <c r="C2807">
        <v>2022</v>
      </c>
      <c r="D2807" t="s">
        <v>164</v>
      </c>
      <c r="E2807">
        <v>0.27800000000000002</v>
      </c>
      <c r="F2807" t="s">
        <v>166</v>
      </c>
    </row>
    <row r="2808" spans="1:6">
      <c r="A2808" t="s">
        <v>46</v>
      </c>
      <c r="B2808" t="s">
        <v>21</v>
      </c>
      <c r="C2808">
        <v>2030</v>
      </c>
      <c r="D2808" t="s">
        <v>6</v>
      </c>
      <c r="E2808">
        <v>4050</v>
      </c>
      <c r="F2808" t="s">
        <v>7</v>
      </c>
    </row>
    <row r="2809" spans="1:6">
      <c r="A2809" t="s">
        <v>46</v>
      </c>
      <c r="B2809" t="s">
        <v>21</v>
      </c>
      <c r="C2809">
        <v>2030</v>
      </c>
      <c r="D2809" t="s">
        <v>8</v>
      </c>
      <c r="E2809">
        <v>4050</v>
      </c>
      <c r="F2809" t="s">
        <v>7</v>
      </c>
    </row>
    <row r="2810" spans="1:6">
      <c r="A2810" t="s">
        <v>46</v>
      </c>
      <c r="B2810" t="s">
        <v>21</v>
      </c>
      <c r="C2810">
        <v>2030</v>
      </c>
      <c r="D2810" t="s">
        <v>9</v>
      </c>
      <c r="E2810">
        <v>4050</v>
      </c>
      <c r="F2810" t="s">
        <v>7</v>
      </c>
    </row>
    <row r="2811" spans="1:6">
      <c r="A2811" t="s">
        <v>46</v>
      </c>
      <c r="B2811" t="s">
        <v>21</v>
      </c>
      <c r="C2811">
        <v>2030</v>
      </c>
      <c r="D2811" t="s">
        <v>10</v>
      </c>
      <c r="E2811">
        <v>80</v>
      </c>
      <c r="F2811" t="s">
        <v>11</v>
      </c>
    </row>
    <row r="2812" spans="1:6">
      <c r="A2812" t="s">
        <v>46</v>
      </c>
      <c r="B2812" t="s">
        <v>21</v>
      </c>
      <c r="C2812">
        <v>2030</v>
      </c>
      <c r="D2812" t="s">
        <v>12</v>
      </c>
      <c r="E2812">
        <v>1</v>
      </c>
      <c r="F2812" t="s">
        <v>13</v>
      </c>
    </row>
    <row r="2813" spans="1:6">
      <c r="A2813" t="s">
        <v>46</v>
      </c>
      <c r="B2813" t="s">
        <v>21</v>
      </c>
      <c r="C2813">
        <v>2030</v>
      </c>
      <c r="D2813" t="s">
        <v>14</v>
      </c>
      <c r="E2813">
        <v>0.3</v>
      </c>
      <c r="F2813" t="s">
        <v>15</v>
      </c>
    </row>
    <row r="2814" spans="1:6">
      <c r="A2814" t="s">
        <v>46</v>
      </c>
      <c r="B2814" t="s">
        <v>21</v>
      </c>
      <c r="C2814">
        <v>2030</v>
      </c>
      <c r="D2814" t="s">
        <v>164</v>
      </c>
      <c r="E2814">
        <v>0.27800000000000002</v>
      </c>
      <c r="F2814" t="s">
        <v>166</v>
      </c>
    </row>
    <row r="2815" spans="1:6">
      <c r="A2815" t="s">
        <v>46</v>
      </c>
      <c r="B2815" t="s">
        <v>21</v>
      </c>
      <c r="C2815">
        <v>2050</v>
      </c>
      <c r="D2815" t="s">
        <v>6</v>
      </c>
      <c r="E2815">
        <v>4050</v>
      </c>
      <c r="F2815" t="s">
        <v>7</v>
      </c>
    </row>
    <row r="2816" spans="1:6">
      <c r="A2816" t="s">
        <v>46</v>
      </c>
      <c r="B2816" t="s">
        <v>21</v>
      </c>
      <c r="C2816">
        <v>2050</v>
      </c>
      <c r="D2816" t="s">
        <v>8</v>
      </c>
      <c r="E2816">
        <v>4050</v>
      </c>
      <c r="F2816" t="s">
        <v>7</v>
      </c>
    </row>
    <row r="2817" spans="1:6">
      <c r="A2817" t="s">
        <v>46</v>
      </c>
      <c r="B2817" t="s">
        <v>21</v>
      </c>
      <c r="C2817">
        <v>2050</v>
      </c>
      <c r="D2817" t="s">
        <v>9</v>
      </c>
      <c r="E2817">
        <v>4050</v>
      </c>
      <c r="F2817" t="s">
        <v>7</v>
      </c>
    </row>
    <row r="2818" spans="1:6">
      <c r="A2818" t="s">
        <v>46</v>
      </c>
      <c r="B2818" t="s">
        <v>21</v>
      </c>
      <c r="C2818">
        <v>2050</v>
      </c>
      <c r="D2818" t="s">
        <v>10</v>
      </c>
      <c r="E2818">
        <v>80</v>
      </c>
      <c r="F2818" t="s">
        <v>11</v>
      </c>
    </row>
    <row r="2819" spans="1:6">
      <c r="A2819" t="s">
        <v>46</v>
      </c>
      <c r="B2819" t="s">
        <v>21</v>
      </c>
      <c r="C2819">
        <v>2050</v>
      </c>
      <c r="D2819" t="s">
        <v>12</v>
      </c>
      <c r="E2819">
        <v>1</v>
      </c>
      <c r="F2819" t="s">
        <v>13</v>
      </c>
    </row>
    <row r="2820" spans="1:6">
      <c r="A2820" t="s">
        <v>46</v>
      </c>
      <c r="B2820" t="s">
        <v>21</v>
      </c>
      <c r="C2820">
        <v>2050</v>
      </c>
      <c r="D2820" t="s">
        <v>14</v>
      </c>
      <c r="E2820">
        <v>0.3</v>
      </c>
      <c r="F2820" t="s">
        <v>15</v>
      </c>
    </row>
    <row r="2821" spans="1:6">
      <c r="A2821" t="s">
        <v>46</v>
      </c>
      <c r="B2821" t="s">
        <v>21</v>
      </c>
      <c r="C2821">
        <v>2050</v>
      </c>
      <c r="D2821" t="s">
        <v>164</v>
      </c>
      <c r="E2821">
        <v>0.27800000000000002</v>
      </c>
      <c r="F2821" t="s">
        <v>166</v>
      </c>
    </row>
    <row r="2822" spans="1:6">
      <c r="A2822" t="s">
        <v>46</v>
      </c>
      <c r="B2822" t="s">
        <v>22</v>
      </c>
      <c r="C2822">
        <v>2022</v>
      </c>
      <c r="D2822" t="s">
        <v>6</v>
      </c>
      <c r="E2822">
        <v>3550</v>
      </c>
      <c r="F2822" t="s">
        <v>7</v>
      </c>
    </row>
    <row r="2823" spans="1:6">
      <c r="A2823" t="s">
        <v>46</v>
      </c>
      <c r="B2823" t="s">
        <v>22</v>
      </c>
      <c r="C2823">
        <v>2022</v>
      </c>
      <c r="D2823" t="s">
        <v>8</v>
      </c>
      <c r="E2823">
        <v>3550</v>
      </c>
      <c r="F2823" t="s">
        <v>7</v>
      </c>
    </row>
    <row r="2824" spans="1:6">
      <c r="A2824" t="s">
        <v>46</v>
      </c>
      <c r="B2824" t="s">
        <v>22</v>
      </c>
      <c r="C2824">
        <v>2022</v>
      </c>
      <c r="D2824" t="s">
        <v>9</v>
      </c>
      <c r="E2824">
        <v>3550</v>
      </c>
      <c r="F2824" t="s">
        <v>7</v>
      </c>
    </row>
    <row r="2825" spans="1:6">
      <c r="A2825" t="s">
        <v>46</v>
      </c>
      <c r="B2825" t="s">
        <v>22</v>
      </c>
      <c r="C2825">
        <v>2022</v>
      </c>
      <c r="D2825" t="s">
        <v>10</v>
      </c>
      <c r="E2825">
        <v>70</v>
      </c>
      <c r="F2825" t="s">
        <v>11</v>
      </c>
    </row>
    <row r="2826" spans="1:6">
      <c r="A2826" t="s">
        <v>46</v>
      </c>
      <c r="B2826" t="s">
        <v>22</v>
      </c>
      <c r="C2826">
        <v>2022</v>
      </c>
      <c r="D2826" t="s">
        <v>12</v>
      </c>
      <c r="E2826">
        <v>1</v>
      </c>
      <c r="F2826" t="s">
        <v>13</v>
      </c>
    </row>
    <row r="2827" spans="1:6">
      <c r="A2827" t="s">
        <v>46</v>
      </c>
      <c r="B2827" t="s">
        <v>22</v>
      </c>
      <c r="C2827">
        <v>2022</v>
      </c>
      <c r="D2827" t="s">
        <v>14</v>
      </c>
      <c r="E2827">
        <v>0.2</v>
      </c>
      <c r="F2827" t="s">
        <v>15</v>
      </c>
    </row>
    <row r="2828" spans="1:6">
      <c r="A2828" t="s">
        <v>46</v>
      </c>
      <c r="B2828" t="s">
        <v>22</v>
      </c>
      <c r="C2828">
        <v>2022</v>
      </c>
      <c r="D2828" t="s">
        <v>164</v>
      </c>
      <c r="E2828">
        <v>0.27800000000000002</v>
      </c>
      <c r="F2828" t="s">
        <v>166</v>
      </c>
    </row>
    <row r="2829" spans="1:6">
      <c r="A2829" t="s">
        <v>46</v>
      </c>
      <c r="B2829" t="s">
        <v>22</v>
      </c>
      <c r="C2829">
        <v>2030</v>
      </c>
      <c r="D2829" t="s">
        <v>6</v>
      </c>
      <c r="E2829">
        <v>3550</v>
      </c>
      <c r="F2829" t="s">
        <v>7</v>
      </c>
    </row>
    <row r="2830" spans="1:6">
      <c r="A2830" t="s">
        <v>46</v>
      </c>
      <c r="B2830" t="s">
        <v>22</v>
      </c>
      <c r="C2830">
        <v>2030</v>
      </c>
      <c r="D2830" t="s">
        <v>8</v>
      </c>
      <c r="E2830">
        <v>3550</v>
      </c>
      <c r="F2830" t="s">
        <v>7</v>
      </c>
    </row>
    <row r="2831" spans="1:6">
      <c r="A2831" t="s">
        <v>46</v>
      </c>
      <c r="B2831" t="s">
        <v>22</v>
      </c>
      <c r="C2831">
        <v>2030</v>
      </c>
      <c r="D2831" t="s">
        <v>9</v>
      </c>
      <c r="E2831">
        <v>3550</v>
      </c>
      <c r="F2831" t="s">
        <v>7</v>
      </c>
    </row>
    <row r="2832" spans="1:6">
      <c r="A2832" t="s">
        <v>46</v>
      </c>
      <c r="B2832" t="s">
        <v>22</v>
      </c>
      <c r="C2832">
        <v>2030</v>
      </c>
      <c r="D2832" t="s">
        <v>10</v>
      </c>
      <c r="E2832">
        <v>70</v>
      </c>
      <c r="F2832" t="s">
        <v>11</v>
      </c>
    </row>
    <row r="2833" spans="1:6">
      <c r="A2833" t="s">
        <v>46</v>
      </c>
      <c r="B2833" t="s">
        <v>22</v>
      </c>
      <c r="C2833">
        <v>2030</v>
      </c>
      <c r="D2833" t="s">
        <v>12</v>
      </c>
      <c r="E2833">
        <v>1</v>
      </c>
      <c r="F2833" t="s">
        <v>13</v>
      </c>
    </row>
    <row r="2834" spans="1:6">
      <c r="A2834" t="s">
        <v>46</v>
      </c>
      <c r="B2834" t="s">
        <v>22</v>
      </c>
      <c r="C2834">
        <v>2030</v>
      </c>
      <c r="D2834" t="s">
        <v>14</v>
      </c>
      <c r="E2834">
        <v>0.2</v>
      </c>
      <c r="F2834" t="s">
        <v>15</v>
      </c>
    </row>
    <row r="2835" spans="1:6">
      <c r="A2835" t="s">
        <v>46</v>
      </c>
      <c r="B2835" t="s">
        <v>22</v>
      </c>
      <c r="C2835">
        <v>2030</v>
      </c>
      <c r="D2835" t="s">
        <v>164</v>
      </c>
      <c r="E2835">
        <v>0.27800000000000002</v>
      </c>
      <c r="F2835" t="s">
        <v>166</v>
      </c>
    </row>
    <row r="2836" spans="1:6">
      <c r="A2836" t="s">
        <v>46</v>
      </c>
      <c r="B2836" t="s">
        <v>22</v>
      </c>
      <c r="C2836">
        <v>2050</v>
      </c>
      <c r="D2836" t="s">
        <v>6</v>
      </c>
      <c r="E2836">
        <v>3550</v>
      </c>
      <c r="F2836" t="s">
        <v>7</v>
      </c>
    </row>
    <row r="2837" spans="1:6">
      <c r="A2837" t="s">
        <v>46</v>
      </c>
      <c r="B2837" t="s">
        <v>22</v>
      </c>
      <c r="C2837">
        <v>2050</v>
      </c>
      <c r="D2837" t="s">
        <v>8</v>
      </c>
      <c r="E2837">
        <v>3550</v>
      </c>
      <c r="F2837" t="s">
        <v>7</v>
      </c>
    </row>
    <row r="2838" spans="1:6">
      <c r="A2838" t="s">
        <v>46</v>
      </c>
      <c r="B2838" t="s">
        <v>22</v>
      </c>
      <c r="C2838">
        <v>2050</v>
      </c>
      <c r="D2838" t="s">
        <v>9</v>
      </c>
      <c r="E2838">
        <v>3550</v>
      </c>
      <c r="F2838" t="s">
        <v>7</v>
      </c>
    </row>
    <row r="2839" spans="1:6">
      <c r="A2839" t="s">
        <v>46</v>
      </c>
      <c r="B2839" t="s">
        <v>22</v>
      </c>
      <c r="C2839">
        <v>2050</v>
      </c>
      <c r="D2839" t="s">
        <v>10</v>
      </c>
      <c r="E2839">
        <v>70</v>
      </c>
      <c r="F2839" t="s">
        <v>11</v>
      </c>
    </row>
    <row r="2840" spans="1:6">
      <c r="A2840" t="s">
        <v>46</v>
      </c>
      <c r="B2840" t="s">
        <v>22</v>
      </c>
      <c r="C2840">
        <v>2050</v>
      </c>
      <c r="D2840" t="s">
        <v>12</v>
      </c>
      <c r="E2840">
        <v>1</v>
      </c>
      <c r="F2840" t="s">
        <v>13</v>
      </c>
    </row>
    <row r="2841" spans="1:6">
      <c r="A2841" t="s">
        <v>46</v>
      </c>
      <c r="B2841" t="s">
        <v>22</v>
      </c>
      <c r="C2841">
        <v>2050</v>
      </c>
      <c r="D2841" t="s">
        <v>14</v>
      </c>
      <c r="E2841">
        <v>0.2</v>
      </c>
      <c r="F2841" t="s">
        <v>15</v>
      </c>
    </row>
    <row r="2842" spans="1:6">
      <c r="A2842" t="s">
        <v>46</v>
      </c>
      <c r="B2842" t="s">
        <v>22</v>
      </c>
      <c r="C2842">
        <v>2050</v>
      </c>
      <c r="D2842" t="s">
        <v>164</v>
      </c>
      <c r="E2842">
        <v>0.27800000000000002</v>
      </c>
      <c r="F2842" t="s">
        <v>166</v>
      </c>
    </row>
    <row r="2843" spans="1:6">
      <c r="A2843" t="s">
        <v>46</v>
      </c>
      <c r="B2843" t="s">
        <v>23</v>
      </c>
      <c r="C2843">
        <v>2022</v>
      </c>
      <c r="D2843" t="s">
        <v>6</v>
      </c>
      <c r="E2843">
        <v>3500</v>
      </c>
      <c r="F2843" t="s">
        <v>7</v>
      </c>
    </row>
    <row r="2844" spans="1:6">
      <c r="A2844" t="s">
        <v>46</v>
      </c>
      <c r="B2844" t="s">
        <v>23</v>
      </c>
      <c r="C2844">
        <v>2022</v>
      </c>
      <c r="D2844" t="s">
        <v>8</v>
      </c>
      <c r="E2844">
        <v>3500</v>
      </c>
      <c r="F2844" t="s">
        <v>7</v>
      </c>
    </row>
    <row r="2845" spans="1:6">
      <c r="A2845" t="s">
        <v>46</v>
      </c>
      <c r="B2845" t="s">
        <v>23</v>
      </c>
      <c r="C2845">
        <v>2022</v>
      </c>
      <c r="D2845" t="s">
        <v>9</v>
      </c>
      <c r="E2845">
        <v>3500</v>
      </c>
      <c r="F2845" t="s">
        <v>7</v>
      </c>
    </row>
    <row r="2846" spans="1:6">
      <c r="A2846" t="s">
        <v>46</v>
      </c>
      <c r="B2846" t="s">
        <v>23</v>
      </c>
      <c r="C2846">
        <v>2022</v>
      </c>
      <c r="D2846" t="s">
        <v>10</v>
      </c>
      <c r="E2846">
        <v>70</v>
      </c>
      <c r="F2846" t="s">
        <v>11</v>
      </c>
    </row>
    <row r="2847" spans="1:6">
      <c r="A2847" t="s">
        <v>46</v>
      </c>
      <c r="B2847" t="s">
        <v>23</v>
      </c>
      <c r="C2847">
        <v>2022</v>
      </c>
      <c r="D2847" t="s">
        <v>12</v>
      </c>
      <c r="E2847">
        <v>1</v>
      </c>
      <c r="F2847" t="s">
        <v>13</v>
      </c>
    </row>
    <row r="2848" spans="1:6">
      <c r="A2848" t="s">
        <v>46</v>
      </c>
      <c r="B2848" t="s">
        <v>23</v>
      </c>
      <c r="C2848">
        <v>2022</v>
      </c>
      <c r="D2848" t="s">
        <v>14</v>
      </c>
      <c r="E2848">
        <v>0.4</v>
      </c>
      <c r="F2848" t="s">
        <v>15</v>
      </c>
    </row>
    <row r="2849" spans="1:6">
      <c r="A2849" t="s">
        <v>46</v>
      </c>
      <c r="B2849" t="s">
        <v>23</v>
      </c>
      <c r="C2849">
        <v>2022</v>
      </c>
      <c r="D2849" t="s">
        <v>164</v>
      </c>
      <c r="E2849">
        <v>0.27800000000000002</v>
      </c>
      <c r="F2849" t="s">
        <v>166</v>
      </c>
    </row>
    <row r="2850" spans="1:6">
      <c r="A2850" t="s">
        <v>46</v>
      </c>
      <c r="B2850" t="s">
        <v>23</v>
      </c>
      <c r="C2850">
        <v>2030</v>
      </c>
      <c r="D2850" t="s">
        <v>6</v>
      </c>
      <c r="E2850">
        <v>3500</v>
      </c>
      <c r="F2850" t="s">
        <v>7</v>
      </c>
    </row>
    <row r="2851" spans="1:6">
      <c r="A2851" t="s">
        <v>46</v>
      </c>
      <c r="B2851" t="s">
        <v>23</v>
      </c>
      <c r="C2851">
        <v>2030</v>
      </c>
      <c r="D2851" t="s">
        <v>8</v>
      </c>
      <c r="E2851">
        <v>3500</v>
      </c>
      <c r="F2851" t="s">
        <v>7</v>
      </c>
    </row>
    <row r="2852" spans="1:6">
      <c r="A2852" t="s">
        <v>46</v>
      </c>
      <c r="B2852" t="s">
        <v>23</v>
      </c>
      <c r="C2852">
        <v>2030</v>
      </c>
      <c r="D2852" t="s">
        <v>9</v>
      </c>
      <c r="E2852">
        <v>3500</v>
      </c>
      <c r="F2852" t="s">
        <v>7</v>
      </c>
    </row>
    <row r="2853" spans="1:6">
      <c r="A2853" t="s">
        <v>46</v>
      </c>
      <c r="B2853" t="s">
        <v>23</v>
      </c>
      <c r="C2853">
        <v>2030</v>
      </c>
      <c r="D2853" t="s">
        <v>10</v>
      </c>
      <c r="E2853">
        <v>70</v>
      </c>
      <c r="F2853" t="s">
        <v>11</v>
      </c>
    </row>
    <row r="2854" spans="1:6">
      <c r="A2854" t="s">
        <v>46</v>
      </c>
      <c r="B2854" t="s">
        <v>23</v>
      </c>
      <c r="C2854">
        <v>2030</v>
      </c>
      <c r="D2854" t="s">
        <v>12</v>
      </c>
      <c r="E2854">
        <v>1</v>
      </c>
      <c r="F2854" t="s">
        <v>13</v>
      </c>
    </row>
    <row r="2855" spans="1:6">
      <c r="A2855" t="s">
        <v>46</v>
      </c>
      <c r="B2855" t="s">
        <v>23</v>
      </c>
      <c r="C2855">
        <v>2030</v>
      </c>
      <c r="D2855" t="s">
        <v>14</v>
      </c>
      <c r="E2855">
        <v>0.4</v>
      </c>
      <c r="F2855" t="s">
        <v>15</v>
      </c>
    </row>
    <row r="2856" spans="1:6">
      <c r="A2856" t="s">
        <v>46</v>
      </c>
      <c r="B2856" t="s">
        <v>23</v>
      </c>
      <c r="C2856">
        <v>2030</v>
      </c>
      <c r="D2856" t="s">
        <v>164</v>
      </c>
      <c r="E2856">
        <v>0.27800000000000002</v>
      </c>
      <c r="F2856" t="s">
        <v>166</v>
      </c>
    </row>
    <row r="2857" spans="1:6">
      <c r="A2857" t="s">
        <v>46</v>
      </c>
      <c r="B2857" t="s">
        <v>23</v>
      </c>
      <c r="C2857">
        <v>2050</v>
      </c>
      <c r="D2857" t="s">
        <v>6</v>
      </c>
      <c r="E2857">
        <v>3500</v>
      </c>
      <c r="F2857" t="s">
        <v>7</v>
      </c>
    </row>
    <row r="2858" spans="1:6">
      <c r="A2858" t="s">
        <v>46</v>
      </c>
      <c r="B2858" t="s">
        <v>23</v>
      </c>
      <c r="C2858">
        <v>2050</v>
      </c>
      <c r="D2858" t="s">
        <v>8</v>
      </c>
      <c r="E2858">
        <v>3500</v>
      </c>
      <c r="F2858" t="s">
        <v>7</v>
      </c>
    </row>
    <row r="2859" spans="1:6">
      <c r="A2859" t="s">
        <v>46</v>
      </c>
      <c r="B2859" t="s">
        <v>23</v>
      </c>
      <c r="C2859">
        <v>2050</v>
      </c>
      <c r="D2859" t="s">
        <v>9</v>
      </c>
      <c r="E2859">
        <v>3500</v>
      </c>
      <c r="F2859" t="s">
        <v>7</v>
      </c>
    </row>
    <row r="2860" spans="1:6">
      <c r="A2860" t="s">
        <v>46</v>
      </c>
      <c r="B2860" t="s">
        <v>23</v>
      </c>
      <c r="C2860">
        <v>2050</v>
      </c>
      <c r="D2860" t="s">
        <v>10</v>
      </c>
      <c r="E2860">
        <v>70</v>
      </c>
      <c r="F2860" t="s">
        <v>11</v>
      </c>
    </row>
    <row r="2861" spans="1:6">
      <c r="A2861" t="s">
        <v>46</v>
      </c>
      <c r="B2861" t="s">
        <v>23</v>
      </c>
      <c r="C2861">
        <v>2050</v>
      </c>
      <c r="D2861" t="s">
        <v>12</v>
      </c>
      <c r="E2861">
        <v>1</v>
      </c>
      <c r="F2861" t="s">
        <v>13</v>
      </c>
    </row>
    <row r="2862" spans="1:6">
      <c r="A2862" t="s">
        <v>46</v>
      </c>
      <c r="B2862" t="s">
        <v>23</v>
      </c>
      <c r="C2862">
        <v>2050</v>
      </c>
      <c r="D2862" t="s">
        <v>14</v>
      </c>
      <c r="E2862">
        <v>0.4</v>
      </c>
      <c r="F2862" t="s">
        <v>15</v>
      </c>
    </row>
    <row r="2863" spans="1:6">
      <c r="A2863" t="s">
        <v>46</v>
      </c>
      <c r="B2863" t="s">
        <v>23</v>
      </c>
      <c r="C2863">
        <v>2050</v>
      </c>
      <c r="D2863" t="s">
        <v>164</v>
      </c>
      <c r="E2863">
        <v>0.27800000000000002</v>
      </c>
      <c r="F2863" t="s">
        <v>166</v>
      </c>
    </row>
    <row r="2864" spans="1:6">
      <c r="A2864" t="s">
        <v>46</v>
      </c>
      <c r="B2864" t="s">
        <v>24</v>
      </c>
      <c r="C2864">
        <v>2022</v>
      </c>
      <c r="D2864" t="s">
        <v>6</v>
      </c>
      <c r="E2864">
        <v>2000</v>
      </c>
      <c r="F2864" t="s">
        <v>7</v>
      </c>
    </row>
    <row r="2865" spans="1:6">
      <c r="A2865" t="s">
        <v>46</v>
      </c>
      <c r="B2865" t="s">
        <v>24</v>
      </c>
      <c r="C2865">
        <v>2022</v>
      </c>
      <c r="D2865" t="s">
        <v>8</v>
      </c>
      <c r="E2865">
        <v>2000</v>
      </c>
      <c r="F2865" t="s">
        <v>7</v>
      </c>
    </row>
    <row r="2866" spans="1:6">
      <c r="A2866" t="s">
        <v>46</v>
      </c>
      <c r="B2866" t="s">
        <v>24</v>
      </c>
      <c r="C2866">
        <v>2022</v>
      </c>
      <c r="D2866" t="s">
        <v>9</v>
      </c>
      <c r="E2866">
        <v>2000</v>
      </c>
      <c r="F2866" t="s">
        <v>7</v>
      </c>
    </row>
    <row r="2867" spans="1:6">
      <c r="A2867" t="s">
        <v>46</v>
      </c>
      <c r="B2867" t="s">
        <v>24</v>
      </c>
      <c r="C2867">
        <v>2022</v>
      </c>
      <c r="D2867" t="s">
        <v>10</v>
      </c>
      <c r="E2867">
        <v>40</v>
      </c>
      <c r="F2867" t="s">
        <v>11</v>
      </c>
    </row>
    <row r="2868" spans="1:6">
      <c r="A2868" t="s">
        <v>46</v>
      </c>
      <c r="B2868" t="s">
        <v>24</v>
      </c>
      <c r="C2868">
        <v>2022</v>
      </c>
      <c r="D2868" t="s">
        <v>12</v>
      </c>
      <c r="E2868">
        <v>1</v>
      </c>
      <c r="F2868" t="s">
        <v>13</v>
      </c>
    </row>
    <row r="2869" spans="1:6">
      <c r="A2869" t="s">
        <v>46</v>
      </c>
      <c r="B2869" t="s">
        <v>24</v>
      </c>
      <c r="C2869">
        <v>2022</v>
      </c>
      <c r="D2869" t="s">
        <v>14</v>
      </c>
      <c r="E2869">
        <v>0.35</v>
      </c>
      <c r="F2869" t="s">
        <v>15</v>
      </c>
    </row>
    <row r="2870" spans="1:6">
      <c r="A2870" t="s">
        <v>46</v>
      </c>
      <c r="B2870" t="s">
        <v>24</v>
      </c>
      <c r="C2870">
        <v>2022</v>
      </c>
      <c r="D2870" t="s">
        <v>164</v>
      </c>
      <c r="E2870">
        <v>0.27800000000000002</v>
      </c>
      <c r="F2870" t="s">
        <v>166</v>
      </c>
    </row>
    <row r="2871" spans="1:6">
      <c r="A2871" t="s">
        <v>46</v>
      </c>
      <c r="B2871" t="s">
        <v>24</v>
      </c>
      <c r="C2871">
        <v>2030</v>
      </c>
      <c r="D2871" t="s">
        <v>6</v>
      </c>
      <c r="E2871">
        <v>2000</v>
      </c>
      <c r="F2871" t="s">
        <v>7</v>
      </c>
    </row>
    <row r="2872" spans="1:6">
      <c r="A2872" t="s">
        <v>46</v>
      </c>
      <c r="B2872" t="s">
        <v>24</v>
      </c>
      <c r="C2872">
        <v>2030</v>
      </c>
      <c r="D2872" t="s">
        <v>8</v>
      </c>
      <c r="E2872">
        <v>2000</v>
      </c>
      <c r="F2872" t="s">
        <v>7</v>
      </c>
    </row>
    <row r="2873" spans="1:6">
      <c r="A2873" t="s">
        <v>46</v>
      </c>
      <c r="B2873" t="s">
        <v>24</v>
      </c>
      <c r="C2873">
        <v>2030</v>
      </c>
      <c r="D2873" t="s">
        <v>9</v>
      </c>
      <c r="E2873">
        <v>2000</v>
      </c>
      <c r="F2873" t="s">
        <v>7</v>
      </c>
    </row>
    <row r="2874" spans="1:6">
      <c r="A2874" t="s">
        <v>46</v>
      </c>
      <c r="B2874" t="s">
        <v>24</v>
      </c>
      <c r="C2874">
        <v>2030</v>
      </c>
      <c r="D2874" t="s">
        <v>10</v>
      </c>
      <c r="E2874">
        <v>40</v>
      </c>
      <c r="F2874" t="s">
        <v>11</v>
      </c>
    </row>
    <row r="2875" spans="1:6">
      <c r="A2875" t="s">
        <v>46</v>
      </c>
      <c r="B2875" t="s">
        <v>24</v>
      </c>
      <c r="C2875">
        <v>2030</v>
      </c>
      <c r="D2875" t="s">
        <v>12</v>
      </c>
      <c r="E2875">
        <v>1</v>
      </c>
      <c r="F2875" t="s">
        <v>13</v>
      </c>
    </row>
    <row r="2876" spans="1:6">
      <c r="A2876" t="s">
        <v>46</v>
      </c>
      <c r="B2876" t="s">
        <v>24</v>
      </c>
      <c r="C2876">
        <v>2030</v>
      </c>
      <c r="D2876" t="s">
        <v>14</v>
      </c>
      <c r="E2876">
        <v>0.35</v>
      </c>
      <c r="F2876" t="s">
        <v>15</v>
      </c>
    </row>
    <row r="2877" spans="1:6">
      <c r="A2877" t="s">
        <v>46</v>
      </c>
      <c r="B2877" t="s">
        <v>24</v>
      </c>
      <c r="C2877">
        <v>2030</v>
      </c>
      <c r="D2877" t="s">
        <v>164</v>
      </c>
      <c r="E2877">
        <v>0.27800000000000002</v>
      </c>
      <c r="F2877" t="s">
        <v>166</v>
      </c>
    </row>
    <row r="2878" spans="1:6">
      <c r="A2878" t="s">
        <v>46</v>
      </c>
      <c r="B2878" t="s">
        <v>24</v>
      </c>
      <c r="C2878">
        <v>2050</v>
      </c>
      <c r="D2878" t="s">
        <v>6</v>
      </c>
      <c r="E2878">
        <v>2000</v>
      </c>
      <c r="F2878" t="s">
        <v>7</v>
      </c>
    </row>
    <row r="2879" spans="1:6">
      <c r="A2879" t="s">
        <v>46</v>
      </c>
      <c r="B2879" t="s">
        <v>24</v>
      </c>
      <c r="C2879">
        <v>2050</v>
      </c>
      <c r="D2879" t="s">
        <v>8</v>
      </c>
      <c r="E2879">
        <v>2000</v>
      </c>
      <c r="F2879" t="s">
        <v>7</v>
      </c>
    </row>
    <row r="2880" spans="1:6">
      <c r="A2880" t="s">
        <v>46</v>
      </c>
      <c r="B2880" t="s">
        <v>24</v>
      </c>
      <c r="C2880">
        <v>2050</v>
      </c>
      <c r="D2880" t="s">
        <v>9</v>
      </c>
      <c r="E2880">
        <v>2000</v>
      </c>
      <c r="F2880" t="s">
        <v>7</v>
      </c>
    </row>
    <row r="2881" spans="1:6">
      <c r="A2881" t="s">
        <v>46</v>
      </c>
      <c r="B2881" t="s">
        <v>24</v>
      </c>
      <c r="C2881">
        <v>2050</v>
      </c>
      <c r="D2881" t="s">
        <v>10</v>
      </c>
      <c r="E2881">
        <v>40</v>
      </c>
      <c r="F2881" t="s">
        <v>11</v>
      </c>
    </row>
    <row r="2882" spans="1:6">
      <c r="A2882" t="s">
        <v>46</v>
      </c>
      <c r="B2882" t="s">
        <v>24</v>
      </c>
      <c r="C2882">
        <v>2050</v>
      </c>
      <c r="D2882" t="s">
        <v>12</v>
      </c>
      <c r="E2882">
        <v>1</v>
      </c>
      <c r="F2882" t="s">
        <v>13</v>
      </c>
    </row>
    <row r="2883" spans="1:6">
      <c r="A2883" t="s">
        <v>46</v>
      </c>
      <c r="B2883" t="s">
        <v>24</v>
      </c>
      <c r="C2883">
        <v>2050</v>
      </c>
      <c r="D2883" t="s">
        <v>14</v>
      </c>
      <c r="E2883">
        <v>0.35</v>
      </c>
      <c r="F2883" t="s">
        <v>15</v>
      </c>
    </row>
    <row r="2884" spans="1:6">
      <c r="A2884" t="s">
        <v>46</v>
      </c>
      <c r="B2884" t="s">
        <v>24</v>
      </c>
      <c r="C2884">
        <v>2050</v>
      </c>
      <c r="D2884" t="s">
        <v>164</v>
      </c>
      <c r="E2884">
        <v>0.27800000000000002</v>
      </c>
      <c r="F2884" t="s">
        <v>166</v>
      </c>
    </row>
    <row r="2885" spans="1:6">
      <c r="A2885" t="s">
        <v>46</v>
      </c>
      <c r="B2885" t="s">
        <v>25</v>
      </c>
      <c r="C2885">
        <v>2022</v>
      </c>
      <c r="D2885" t="s">
        <v>6</v>
      </c>
      <c r="E2885">
        <v>3050</v>
      </c>
      <c r="F2885" t="s">
        <v>7</v>
      </c>
    </row>
    <row r="2886" spans="1:6">
      <c r="A2886" t="s">
        <v>46</v>
      </c>
      <c r="B2886" t="s">
        <v>25</v>
      </c>
      <c r="C2886">
        <v>2022</v>
      </c>
      <c r="D2886" t="s">
        <v>8</v>
      </c>
      <c r="E2886">
        <v>3050</v>
      </c>
      <c r="F2886" t="s">
        <v>7</v>
      </c>
    </row>
    <row r="2887" spans="1:6">
      <c r="A2887" t="s">
        <v>46</v>
      </c>
      <c r="B2887" t="s">
        <v>25</v>
      </c>
      <c r="C2887">
        <v>2022</v>
      </c>
      <c r="D2887" t="s">
        <v>9</v>
      </c>
      <c r="E2887">
        <v>3050</v>
      </c>
      <c r="F2887" t="s">
        <v>7</v>
      </c>
    </row>
    <row r="2888" spans="1:6">
      <c r="A2888" t="s">
        <v>46</v>
      </c>
      <c r="B2888" t="s">
        <v>25</v>
      </c>
      <c r="C2888">
        <v>2022</v>
      </c>
      <c r="D2888" t="s">
        <v>10</v>
      </c>
      <c r="E2888">
        <v>60</v>
      </c>
      <c r="F2888" t="s">
        <v>11</v>
      </c>
    </row>
    <row r="2889" spans="1:6">
      <c r="A2889" t="s">
        <v>46</v>
      </c>
      <c r="B2889" t="s">
        <v>25</v>
      </c>
      <c r="C2889">
        <v>2022</v>
      </c>
      <c r="D2889" t="s">
        <v>12</v>
      </c>
      <c r="E2889">
        <v>1</v>
      </c>
      <c r="F2889" t="s">
        <v>13</v>
      </c>
    </row>
    <row r="2890" spans="1:6">
      <c r="A2890" t="s">
        <v>46</v>
      </c>
      <c r="B2890" t="s">
        <v>25</v>
      </c>
      <c r="C2890">
        <v>2022</v>
      </c>
      <c r="D2890" t="s">
        <v>14</v>
      </c>
      <c r="E2890">
        <v>0.35</v>
      </c>
      <c r="F2890" t="s">
        <v>15</v>
      </c>
    </row>
    <row r="2891" spans="1:6">
      <c r="A2891" t="s">
        <v>46</v>
      </c>
      <c r="B2891" t="s">
        <v>25</v>
      </c>
      <c r="C2891">
        <v>2022</v>
      </c>
      <c r="D2891" t="s">
        <v>164</v>
      </c>
      <c r="E2891">
        <v>0.27800000000000002</v>
      </c>
      <c r="F2891" t="s">
        <v>166</v>
      </c>
    </row>
    <row r="2892" spans="1:6">
      <c r="A2892" t="s">
        <v>46</v>
      </c>
      <c r="B2892" t="s">
        <v>25</v>
      </c>
      <c r="C2892">
        <v>2030</v>
      </c>
      <c r="D2892" t="s">
        <v>6</v>
      </c>
      <c r="E2892">
        <v>3050</v>
      </c>
      <c r="F2892" t="s">
        <v>7</v>
      </c>
    </row>
    <row r="2893" spans="1:6">
      <c r="A2893" t="s">
        <v>46</v>
      </c>
      <c r="B2893" t="s">
        <v>25</v>
      </c>
      <c r="C2893">
        <v>2030</v>
      </c>
      <c r="D2893" t="s">
        <v>8</v>
      </c>
      <c r="E2893">
        <v>3050</v>
      </c>
      <c r="F2893" t="s">
        <v>7</v>
      </c>
    </row>
    <row r="2894" spans="1:6">
      <c r="A2894" t="s">
        <v>46</v>
      </c>
      <c r="B2894" t="s">
        <v>25</v>
      </c>
      <c r="C2894">
        <v>2030</v>
      </c>
      <c r="D2894" t="s">
        <v>9</v>
      </c>
      <c r="E2894">
        <v>3050</v>
      </c>
      <c r="F2894" t="s">
        <v>7</v>
      </c>
    </row>
    <row r="2895" spans="1:6">
      <c r="A2895" t="s">
        <v>46</v>
      </c>
      <c r="B2895" t="s">
        <v>25</v>
      </c>
      <c r="C2895">
        <v>2030</v>
      </c>
      <c r="D2895" t="s">
        <v>10</v>
      </c>
      <c r="E2895">
        <v>60</v>
      </c>
      <c r="F2895" t="s">
        <v>11</v>
      </c>
    </row>
    <row r="2896" spans="1:6">
      <c r="A2896" t="s">
        <v>46</v>
      </c>
      <c r="B2896" t="s">
        <v>25</v>
      </c>
      <c r="C2896">
        <v>2030</v>
      </c>
      <c r="D2896" t="s">
        <v>12</v>
      </c>
      <c r="E2896">
        <v>1</v>
      </c>
      <c r="F2896" t="s">
        <v>13</v>
      </c>
    </row>
    <row r="2897" spans="1:6">
      <c r="A2897" t="s">
        <v>46</v>
      </c>
      <c r="B2897" t="s">
        <v>25</v>
      </c>
      <c r="C2897">
        <v>2030</v>
      </c>
      <c r="D2897" t="s">
        <v>14</v>
      </c>
      <c r="E2897">
        <v>0.35</v>
      </c>
      <c r="F2897" t="s">
        <v>15</v>
      </c>
    </row>
    <row r="2898" spans="1:6">
      <c r="A2898" t="s">
        <v>46</v>
      </c>
      <c r="B2898" t="s">
        <v>25</v>
      </c>
      <c r="C2898">
        <v>2030</v>
      </c>
      <c r="D2898" t="s">
        <v>164</v>
      </c>
      <c r="E2898">
        <v>0.27800000000000002</v>
      </c>
      <c r="F2898" t="s">
        <v>166</v>
      </c>
    </row>
    <row r="2899" spans="1:6">
      <c r="A2899" t="s">
        <v>46</v>
      </c>
      <c r="B2899" t="s">
        <v>25</v>
      </c>
      <c r="C2899">
        <v>2050</v>
      </c>
      <c r="D2899" t="s">
        <v>6</v>
      </c>
      <c r="E2899">
        <v>3050</v>
      </c>
      <c r="F2899" t="s">
        <v>7</v>
      </c>
    </row>
    <row r="2900" spans="1:6">
      <c r="A2900" t="s">
        <v>46</v>
      </c>
      <c r="B2900" t="s">
        <v>25</v>
      </c>
      <c r="C2900">
        <v>2050</v>
      </c>
      <c r="D2900" t="s">
        <v>8</v>
      </c>
      <c r="E2900">
        <v>3050</v>
      </c>
      <c r="F2900" t="s">
        <v>7</v>
      </c>
    </row>
    <row r="2901" spans="1:6">
      <c r="A2901" t="s">
        <v>46</v>
      </c>
      <c r="B2901" t="s">
        <v>25</v>
      </c>
      <c r="C2901">
        <v>2050</v>
      </c>
      <c r="D2901" t="s">
        <v>9</v>
      </c>
      <c r="E2901">
        <v>3050</v>
      </c>
      <c r="F2901" t="s">
        <v>7</v>
      </c>
    </row>
    <row r="2902" spans="1:6">
      <c r="A2902" t="s">
        <v>46</v>
      </c>
      <c r="B2902" t="s">
        <v>25</v>
      </c>
      <c r="C2902">
        <v>2050</v>
      </c>
      <c r="D2902" t="s">
        <v>10</v>
      </c>
      <c r="E2902">
        <v>60</v>
      </c>
      <c r="F2902" t="s">
        <v>11</v>
      </c>
    </row>
    <row r="2903" spans="1:6">
      <c r="A2903" t="s">
        <v>46</v>
      </c>
      <c r="B2903" t="s">
        <v>25</v>
      </c>
      <c r="C2903">
        <v>2050</v>
      </c>
      <c r="D2903" t="s">
        <v>12</v>
      </c>
      <c r="E2903">
        <v>1</v>
      </c>
      <c r="F2903" t="s">
        <v>13</v>
      </c>
    </row>
    <row r="2904" spans="1:6">
      <c r="A2904" t="s">
        <v>46</v>
      </c>
      <c r="B2904" t="s">
        <v>25</v>
      </c>
      <c r="C2904">
        <v>2050</v>
      </c>
      <c r="D2904" t="s">
        <v>14</v>
      </c>
      <c r="E2904">
        <v>0.35</v>
      </c>
      <c r="F2904" t="s">
        <v>15</v>
      </c>
    </row>
    <row r="2905" spans="1:6">
      <c r="A2905" t="s">
        <v>46</v>
      </c>
      <c r="B2905" t="s">
        <v>25</v>
      </c>
      <c r="C2905">
        <v>2050</v>
      </c>
      <c r="D2905" t="s">
        <v>164</v>
      </c>
      <c r="E2905">
        <v>0.27800000000000002</v>
      </c>
      <c r="F2905" t="s">
        <v>166</v>
      </c>
    </row>
    <row r="2906" spans="1:6">
      <c r="A2906" t="s">
        <v>46</v>
      </c>
      <c r="B2906" t="s">
        <v>26</v>
      </c>
      <c r="C2906">
        <v>2022</v>
      </c>
      <c r="D2906" t="s">
        <v>6</v>
      </c>
      <c r="E2906">
        <v>3400</v>
      </c>
      <c r="F2906" t="s">
        <v>7</v>
      </c>
    </row>
    <row r="2907" spans="1:6">
      <c r="A2907" t="s">
        <v>46</v>
      </c>
      <c r="B2907" t="s">
        <v>26</v>
      </c>
      <c r="C2907">
        <v>2022</v>
      </c>
      <c r="D2907" t="s">
        <v>8</v>
      </c>
      <c r="E2907">
        <v>3400</v>
      </c>
      <c r="F2907" t="s">
        <v>7</v>
      </c>
    </row>
    <row r="2908" spans="1:6">
      <c r="A2908" t="s">
        <v>46</v>
      </c>
      <c r="B2908" t="s">
        <v>26</v>
      </c>
      <c r="C2908">
        <v>2022</v>
      </c>
      <c r="D2908" t="s">
        <v>9</v>
      </c>
      <c r="E2908">
        <v>3400</v>
      </c>
      <c r="F2908" t="s">
        <v>7</v>
      </c>
    </row>
    <row r="2909" spans="1:6">
      <c r="A2909" t="s">
        <v>46</v>
      </c>
      <c r="B2909" t="s">
        <v>26</v>
      </c>
      <c r="C2909">
        <v>2022</v>
      </c>
      <c r="D2909" t="s">
        <v>10</v>
      </c>
      <c r="E2909">
        <v>70</v>
      </c>
      <c r="F2909" t="s">
        <v>11</v>
      </c>
    </row>
    <row r="2910" spans="1:6">
      <c r="A2910" t="s">
        <v>46</v>
      </c>
      <c r="B2910" t="s">
        <v>26</v>
      </c>
      <c r="C2910">
        <v>2022</v>
      </c>
      <c r="D2910" t="s">
        <v>12</v>
      </c>
      <c r="E2910">
        <v>1</v>
      </c>
      <c r="F2910" t="s">
        <v>13</v>
      </c>
    </row>
    <row r="2911" spans="1:6">
      <c r="A2911" t="s">
        <v>46</v>
      </c>
      <c r="B2911" t="s">
        <v>26</v>
      </c>
      <c r="C2911">
        <v>2022</v>
      </c>
      <c r="D2911" t="s">
        <v>14</v>
      </c>
      <c r="E2911">
        <v>0.15</v>
      </c>
      <c r="F2911" t="s">
        <v>15</v>
      </c>
    </row>
    <row r="2912" spans="1:6">
      <c r="A2912" t="s">
        <v>46</v>
      </c>
      <c r="B2912" t="s">
        <v>26</v>
      </c>
      <c r="C2912">
        <v>2022</v>
      </c>
      <c r="D2912" t="s">
        <v>164</v>
      </c>
      <c r="E2912">
        <v>0.27800000000000002</v>
      </c>
      <c r="F2912" t="s">
        <v>166</v>
      </c>
    </row>
    <row r="2913" spans="1:6">
      <c r="A2913" t="s">
        <v>46</v>
      </c>
      <c r="B2913" t="s">
        <v>26</v>
      </c>
      <c r="C2913">
        <v>2030</v>
      </c>
      <c r="D2913" t="s">
        <v>6</v>
      </c>
      <c r="E2913">
        <v>3400</v>
      </c>
      <c r="F2913" t="s">
        <v>7</v>
      </c>
    </row>
    <row r="2914" spans="1:6">
      <c r="A2914" t="s">
        <v>46</v>
      </c>
      <c r="B2914" t="s">
        <v>26</v>
      </c>
      <c r="C2914">
        <v>2030</v>
      </c>
      <c r="D2914" t="s">
        <v>8</v>
      </c>
      <c r="E2914">
        <v>3400</v>
      </c>
      <c r="F2914" t="s">
        <v>7</v>
      </c>
    </row>
    <row r="2915" spans="1:6">
      <c r="A2915" t="s">
        <v>46</v>
      </c>
      <c r="B2915" t="s">
        <v>26</v>
      </c>
      <c r="C2915">
        <v>2030</v>
      </c>
      <c r="D2915" t="s">
        <v>9</v>
      </c>
      <c r="E2915">
        <v>3400</v>
      </c>
      <c r="F2915" t="s">
        <v>7</v>
      </c>
    </row>
    <row r="2916" spans="1:6">
      <c r="A2916" t="s">
        <v>46</v>
      </c>
      <c r="B2916" t="s">
        <v>26</v>
      </c>
      <c r="C2916">
        <v>2030</v>
      </c>
      <c r="D2916" t="s">
        <v>10</v>
      </c>
      <c r="E2916">
        <v>70</v>
      </c>
      <c r="F2916" t="s">
        <v>11</v>
      </c>
    </row>
    <row r="2917" spans="1:6">
      <c r="A2917" t="s">
        <v>46</v>
      </c>
      <c r="B2917" t="s">
        <v>26</v>
      </c>
      <c r="C2917">
        <v>2030</v>
      </c>
      <c r="D2917" t="s">
        <v>12</v>
      </c>
      <c r="E2917">
        <v>1</v>
      </c>
      <c r="F2917" t="s">
        <v>13</v>
      </c>
    </row>
    <row r="2918" spans="1:6">
      <c r="A2918" t="s">
        <v>46</v>
      </c>
      <c r="B2918" t="s">
        <v>26</v>
      </c>
      <c r="C2918">
        <v>2030</v>
      </c>
      <c r="D2918" t="s">
        <v>14</v>
      </c>
      <c r="E2918">
        <v>0.15</v>
      </c>
      <c r="F2918" t="s">
        <v>15</v>
      </c>
    </row>
    <row r="2919" spans="1:6">
      <c r="A2919" t="s">
        <v>46</v>
      </c>
      <c r="B2919" t="s">
        <v>26</v>
      </c>
      <c r="C2919">
        <v>2030</v>
      </c>
      <c r="D2919" t="s">
        <v>164</v>
      </c>
      <c r="E2919">
        <v>0.27800000000000002</v>
      </c>
      <c r="F2919" t="s">
        <v>166</v>
      </c>
    </row>
    <row r="2920" spans="1:6">
      <c r="A2920" t="s">
        <v>46</v>
      </c>
      <c r="B2920" t="s">
        <v>26</v>
      </c>
      <c r="C2920">
        <v>2050</v>
      </c>
      <c r="D2920" t="s">
        <v>6</v>
      </c>
      <c r="E2920">
        <v>3400</v>
      </c>
      <c r="F2920" t="s">
        <v>7</v>
      </c>
    </row>
    <row r="2921" spans="1:6">
      <c r="A2921" t="s">
        <v>46</v>
      </c>
      <c r="B2921" t="s">
        <v>26</v>
      </c>
      <c r="C2921">
        <v>2050</v>
      </c>
      <c r="D2921" t="s">
        <v>8</v>
      </c>
      <c r="E2921">
        <v>3400</v>
      </c>
      <c r="F2921" t="s">
        <v>7</v>
      </c>
    </row>
    <row r="2922" spans="1:6">
      <c r="A2922" t="s">
        <v>46</v>
      </c>
      <c r="B2922" t="s">
        <v>26</v>
      </c>
      <c r="C2922">
        <v>2050</v>
      </c>
      <c r="D2922" t="s">
        <v>9</v>
      </c>
      <c r="E2922">
        <v>3400</v>
      </c>
      <c r="F2922" t="s">
        <v>7</v>
      </c>
    </row>
    <row r="2923" spans="1:6">
      <c r="A2923" t="s">
        <v>46</v>
      </c>
      <c r="B2923" t="s">
        <v>26</v>
      </c>
      <c r="C2923">
        <v>2050</v>
      </c>
      <c r="D2923" t="s">
        <v>10</v>
      </c>
      <c r="E2923">
        <v>70</v>
      </c>
      <c r="F2923" t="s">
        <v>11</v>
      </c>
    </row>
    <row r="2924" spans="1:6">
      <c r="A2924" t="s">
        <v>46</v>
      </c>
      <c r="B2924" t="s">
        <v>26</v>
      </c>
      <c r="C2924">
        <v>2050</v>
      </c>
      <c r="D2924" t="s">
        <v>12</v>
      </c>
      <c r="E2924">
        <v>1</v>
      </c>
      <c r="F2924" t="s">
        <v>13</v>
      </c>
    </row>
    <row r="2925" spans="1:6">
      <c r="A2925" t="s">
        <v>46</v>
      </c>
      <c r="B2925" t="s">
        <v>26</v>
      </c>
      <c r="C2925">
        <v>2050</v>
      </c>
      <c r="D2925" t="s">
        <v>14</v>
      </c>
      <c r="E2925">
        <v>0.15</v>
      </c>
      <c r="F2925" t="s">
        <v>15</v>
      </c>
    </row>
    <row r="2926" spans="1:6">
      <c r="A2926" t="s">
        <v>46</v>
      </c>
      <c r="B2926" t="s">
        <v>26</v>
      </c>
      <c r="C2926">
        <v>2050</v>
      </c>
      <c r="D2926" t="s">
        <v>164</v>
      </c>
      <c r="E2926">
        <v>0.27800000000000002</v>
      </c>
      <c r="F2926" t="s">
        <v>166</v>
      </c>
    </row>
    <row r="2927" spans="1:6">
      <c r="A2927" t="s">
        <v>46</v>
      </c>
      <c r="B2927" t="s">
        <v>27</v>
      </c>
      <c r="C2927">
        <v>2022</v>
      </c>
      <c r="D2927" t="s">
        <v>6</v>
      </c>
      <c r="E2927">
        <v>3300</v>
      </c>
      <c r="F2927" t="s">
        <v>7</v>
      </c>
    </row>
    <row r="2928" spans="1:6">
      <c r="A2928" t="s">
        <v>46</v>
      </c>
      <c r="B2928" t="s">
        <v>27</v>
      </c>
      <c r="C2928">
        <v>2022</v>
      </c>
      <c r="D2928" t="s">
        <v>8</v>
      </c>
      <c r="E2928">
        <v>3300</v>
      </c>
      <c r="F2928" t="s">
        <v>7</v>
      </c>
    </row>
    <row r="2929" spans="1:6">
      <c r="A2929" t="s">
        <v>46</v>
      </c>
      <c r="B2929" t="s">
        <v>27</v>
      </c>
      <c r="C2929">
        <v>2022</v>
      </c>
      <c r="D2929" t="s">
        <v>9</v>
      </c>
      <c r="E2929">
        <v>3300</v>
      </c>
      <c r="F2929" t="s">
        <v>7</v>
      </c>
    </row>
    <row r="2930" spans="1:6">
      <c r="A2930" t="s">
        <v>46</v>
      </c>
      <c r="B2930" t="s">
        <v>27</v>
      </c>
      <c r="C2930">
        <v>2022</v>
      </c>
      <c r="D2930" t="s">
        <v>10</v>
      </c>
      <c r="E2930">
        <v>65</v>
      </c>
      <c r="F2930" t="s">
        <v>11</v>
      </c>
    </row>
    <row r="2931" spans="1:6">
      <c r="A2931" t="s">
        <v>46</v>
      </c>
      <c r="B2931" t="s">
        <v>27</v>
      </c>
      <c r="C2931">
        <v>2022</v>
      </c>
      <c r="D2931" t="s">
        <v>12</v>
      </c>
      <c r="E2931">
        <v>1</v>
      </c>
      <c r="F2931" t="s">
        <v>13</v>
      </c>
    </row>
    <row r="2932" spans="1:6">
      <c r="A2932" t="s">
        <v>46</v>
      </c>
      <c r="B2932" t="s">
        <v>27</v>
      </c>
      <c r="C2932">
        <v>2022</v>
      </c>
      <c r="D2932" t="s">
        <v>14</v>
      </c>
      <c r="E2932">
        <v>0.5</v>
      </c>
      <c r="F2932" t="s">
        <v>15</v>
      </c>
    </row>
    <row r="2933" spans="1:6">
      <c r="A2933" t="s">
        <v>46</v>
      </c>
      <c r="B2933" t="s">
        <v>27</v>
      </c>
      <c r="C2933">
        <v>2022</v>
      </c>
      <c r="D2933" t="s">
        <v>164</v>
      </c>
      <c r="E2933">
        <v>0.27800000000000002</v>
      </c>
      <c r="F2933" t="s">
        <v>166</v>
      </c>
    </row>
    <row r="2934" spans="1:6">
      <c r="A2934" t="s">
        <v>46</v>
      </c>
      <c r="B2934" t="s">
        <v>27</v>
      </c>
      <c r="C2934">
        <v>2030</v>
      </c>
      <c r="D2934" t="s">
        <v>6</v>
      </c>
      <c r="E2934">
        <v>3300</v>
      </c>
      <c r="F2934" t="s">
        <v>7</v>
      </c>
    </row>
    <row r="2935" spans="1:6">
      <c r="A2935" t="s">
        <v>46</v>
      </c>
      <c r="B2935" t="s">
        <v>27</v>
      </c>
      <c r="C2935">
        <v>2030</v>
      </c>
      <c r="D2935" t="s">
        <v>8</v>
      </c>
      <c r="E2935">
        <v>3300</v>
      </c>
      <c r="F2935" t="s">
        <v>7</v>
      </c>
    </row>
    <row r="2936" spans="1:6">
      <c r="A2936" t="s">
        <v>46</v>
      </c>
      <c r="B2936" t="s">
        <v>27</v>
      </c>
      <c r="C2936">
        <v>2030</v>
      </c>
      <c r="D2936" t="s">
        <v>9</v>
      </c>
      <c r="E2936">
        <v>3300</v>
      </c>
      <c r="F2936" t="s">
        <v>7</v>
      </c>
    </row>
    <row r="2937" spans="1:6">
      <c r="A2937" t="s">
        <v>46</v>
      </c>
      <c r="B2937" t="s">
        <v>27</v>
      </c>
      <c r="C2937">
        <v>2030</v>
      </c>
      <c r="D2937" t="s">
        <v>10</v>
      </c>
      <c r="E2937">
        <v>65</v>
      </c>
      <c r="F2937" t="s">
        <v>11</v>
      </c>
    </row>
    <row r="2938" spans="1:6">
      <c r="A2938" t="s">
        <v>46</v>
      </c>
      <c r="B2938" t="s">
        <v>27</v>
      </c>
      <c r="C2938">
        <v>2030</v>
      </c>
      <c r="D2938" t="s">
        <v>12</v>
      </c>
      <c r="E2938">
        <v>1</v>
      </c>
      <c r="F2938" t="s">
        <v>13</v>
      </c>
    </row>
    <row r="2939" spans="1:6">
      <c r="A2939" t="s">
        <v>46</v>
      </c>
      <c r="B2939" t="s">
        <v>27</v>
      </c>
      <c r="C2939">
        <v>2030</v>
      </c>
      <c r="D2939" t="s">
        <v>14</v>
      </c>
      <c r="E2939">
        <v>0.5</v>
      </c>
      <c r="F2939" t="s">
        <v>15</v>
      </c>
    </row>
    <row r="2940" spans="1:6">
      <c r="A2940" t="s">
        <v>46</v>
      </c>
      <c r="B2940" t="s">
        <v>27</v>
      </c>
      <c r="C2940">
        <v>2030</v>
      </c>
      <c r="D2940" t="s">
        <v>164</v>
      </c>
      <c r="E2940">
        <v>0.27800000000000002</v>
      </c>
      <c r="F2940" t="s">
        <v>166</v>
      </c>
    </row>
    <row r="2941" spans="1:6">
      <c r="A2941" t="s">
        <v>46</v>
      </c>
      <c r="B2941" t="s">
        <v>27</v>
      </c>
      <c r="C2941">
        <v>2050</v>
      </c>
      <c r="D2941" t="s">
        <v>6</v>
      </c>
      <c r="E2941">
        <v>3250</v>
      </c>
      <c r="F2941" t="s">
        <v>7</v>
      </c>
    </row>
    <row r="2942" spans="1:6">
      <c r="A2942" t="s">
        <v>46</v>
      </c>
      <c r="B2942" t="s">
        <v>27</v>
      </c>
      <c r="C2942">
        <v>2050</v>
      </c>
      <c r="D2942" t="s">
        <v>8</v>
      </c>
      <c r="E2942">
        <v>3250</v>
      </c>
      <c r="F2942" t="s">
        <v>7</v>
      </c>
    </row>
    <row r="2943" spans="1:6">
      <c r="A2943" t="s">
        <v>46</v>
      </c>
      <c r="B2943" t="s">
        <v>27</v>
      </c>
      <c r="C2943">
        <v>2050</v>
      </c>
      <c r="D2943" t="s">
        <v>9</v>
      </c>
      <c r="E2943">
        <v>3250</v>
      </c>
      <c r="F2943" t="s">
        <v>7</v>
      </c>
    </row>
    <row r="2944" spans="1:6">
      <c r="A2944" t="s">
        <v>46</v>
      </c>
      <c r="B2944" t="s">
        <v>27</v>
      </c>
      <c r="C2944">
        <v>2050</v>
      </c>
      <c r="D2944" t="s">
        <v>10</v>
      </c>
      <c r="E2944">
        <v>65</v>
      </c>
      <c r="F2944" t="s">
        <v>11</v>
      </c>
    </row>
    <row r="2945" spans="1:6">
      <c r="A2945" t="s">
        <v>46</v>
      </c>
      <c r="B2945" t="s">
        <v>27</v>
      </c>
      <c r="C2945">
        <v>2050</v>
      </c>
      <c r="D2945" t="s">
        <v>12</v>
      </c>
      <c r="E2945">
        <v>1</v>
      </c>
      <c r="F2945" t="s">
        <v>13</v>
      </c>
    </row>
    <row r="2946" spans="1:6">
      <c r="A2946" t="s">
        <v>46</v>
      </c>
      <c r="B2946" t="s">
        <v>27</v>
      </c>
      <c r="C2946">
        <v>2050</v>
      </c>
      <c r="D2946" t="s">
        <v>14</v>
      </c>
      <c r="E2946">
        <v>0.5</v>
      </c>
      <c r="F2946" t="s">
        <v>15</v>
      </c>
    </row>
    <row r="2947" spans="1:6">
      <c r="A2947" t="s">
        <v>46</v>
      </c>
      <c r="B2947" t="s">
        <v>27</v>
      </c>
      <c r="C2947">
        <v>2050</v>
      </c>
      <c r="D2947" t="s">
        <v>164</v>
      </c>
      <c r="E2947">
        <v>0.27800000000000002</v>
      </c>
      <c r="F2947" t="s">
        <v>166</v>
      </c>
    </row>
    <row r="2948" spans="1:6">
      <c r="A2948" t="s">
        <v>46</v>
      </c>
      <c r="B2948" t="s">
        <v>28</v>
      </c>
      <c r="C2948">
        <v>2022</v>
      </c>
      <c r="D2948" t="s">
        <v>6</v>
      </c>
      <c r="E2948">
        <v>3350</v>
      </c>
      <c r="F2948" t="s">
        <v>7</v>
      </c>
    </row>
    <row r="2949" spans="1:6">
      <c r="A2949" t="s">
        <v>46</v>
      </c>
      <c r="B2949" t="s">
        <v>28</v>
      </c>
      <c r="C2949">
        <v>2022</v>
      </c>
      <c r="D2949" t="s">
        <v>8</v>
      </c>
      <c r="E2949">
        <v>3350</v>
      </c>
      <c r="F2949" t="s">
        <v>7</v>
      </c>
    </row>
    <row r="2950" spans="1:6">
      <c r="A2950" t="s">
        <v>46</v>
      </c>
      <c r="B2950" t="s">
        <v>28</v>
      </c>
      <c r="C2950">
        <v>2022</v>
      </c>
      <c r="D2950" t="s">
        <v>9</v>
      </c>
      <c r="E2950">
        <v>3350</v>
      </c>
      <c r="F2950" t="s">
        <v>7</v>
      </c>
    </row>
    <row r="2951" spans="1:6">
      <c r="A2951" t="s">
        <v>46</v>
      </c>
      <c r="B2951" t="s">
        <v>28</v>
      </c>
      <c r="C2951">
        <v>2022</v>
      </c>
      <c r="D2951" t="s">
        <v>10</v>
      </c>
      <c r="E2951">
        <v>65</v>
      </c>
      <c r="F2951" t="s">
        <v>11</v>
      </c>
    </row>
    <row r="2952" spans="1:6">
      <c r="A2952" t="s">
        <v>46</v>
      </c>
      <c r="B2952" t="s">
        <v>28</v>
      </c>
      <c r="C2952">
        <v>2022</v>
      </c>
      <c r="D2952" t="s">
        <v>12</v>
      </c>
      <c r="E2952">
        <v>1</v>
      </c>
      <c r="F2952" t="s">
        <v>13</v>
      </c>
    </row>
    <row r="2953" spans="1:6">
      <c r="A2953" t="s">
        <v>46</v>
      </c>
      <c r="B2953" t="s">
        <v>28</v>
      </c>
      <c r="C2953">
        <v>2022</v>
      </c>
      <c r="D2953" t="s">
        <v>14</v>
      </c>
      <c r="E2953">
        <v>0.5</v>
      </c>
      <c r="F2953" t="s">
        <v>15</v>
      </c>
    </row>
    <row r="2954" spans="1:6">
      <c r="A2954" t="s">
        <v>46</v>
      </c>
      <c r="B2954" t="s">
        <v>28</v>
      </c>
      <c r="C2954">
        <v>2022</v>
      </c>
      <c r="D2954" t="s">
        <v>164</v>
      </c>
      <c r="E2954">
        <v>0.27800000000000002</v>
      </c>
      <c r="F2954" t="s">
        <v>166</v>
      </c>
    </row>
    <row r="2955" spans="1:6">
      <c r="A2955" t="s">
        <v>46</v>
      </c>
      <c r="B2955" t="s">
        <v>28</v>
      </c>
      <c r="C2955">
        <v>2030</v>
      </c>
      <c r="D2955" t="s">
        <v>6</v>
      </c>
      <c r="E2955">
        <v>3350</v>
      </c>
      <c r="F2955" t="s">
        <v>7</v>
      </c>
    </row>
    <row r="2956" spans="1:6">
      <c r="A2956" t="s">
        <v>46</v>
      </c>
      <c r="B2956" t="s">
        <v>28</v>
      </c>
      <c r="C2956">
        <v>2030</v>
      </c>
      <c r="D2956" t="s">
        <v>8</v>
      </c>
      <c r="E2956">
        <v>3350</v>
      </c>
      <c r="F2956" t="s">
        <v>7</v>
      </c>
    </row>
    <row r="2957" spans="1:6">
      <c r="A2957" t="s">
        <v>46</v>
      </c>
      <c r="B2957" t="s">
        <v>28</v>
      </c>
      <c r="C2957">
        <v>2030</v>
      </c>
      <c r="D2957" t="s">
        <v>9</v>
      </c>
      <c r="E2957">
        <v>3350</v>
      </c>
      <c r="F2957" t="s">
        <v>7</v>
      </c>
    </row>
    <row r="2958" spans="1:6">
      <c r="A2958" t="s">
        <v>46</v>
      </c>
      <c r="B2958" t="s">
        <v>28</v>
      </c>
      <c r="C2958">
        <v>2030</v>
      </c>
      <c r="D2958" t="s">
        <v>10</v>
      </c>
      <c r="E2958">
        <v>65</v>
      </c>
      <c r="F2958" t="s">
        <v>11</v>
      </c>
    </row>
    <row r="2959" spans="1:6">
      <c r="A2959" t="s">
        <v>46</v>
      </c>
      <c r="B2959" t="s">
        <v>28</v>
      </c>
      <c r="C2959">
        <v>2030</v>
      </c>
      <c r="D2959" t="s">
        <v>12</v>
      </c>
      <c r="E2959">
        <v>1</v>
      </c>
      <c r="F2959" t="s">
        <v>13</v>
      </c>
    </row>
    <row r="2960" spans="1:6">
      <c r="A2960" t="s">
        <v>46</v>
      </c>
      <c r="B2960" t="s">
        <v>28</v>
      </c>
      <c r="C2960">
        <v>2030</v>
      </c>
      <c r="D2960" t="s">
        <v>14</v>
      </c>
      <c r="E2960">
        <v>0.5</v>
      </c>
      <c r="F2960" t="s">
        <v>15</v>
      </c>
    </row>
    <row r="2961" spans="1:6">
      <c r="A2961" t="s">
        <v>46</v>
      </c>
      <c r="B2961" t="s">
        <v>28</v>
      </c>
      <c r="C2961">
        <v>2030</v>
      </c>
      <c r="D2961" t="s">
        <v>164</v>
      </c>
      <c r="E2961">
        <v>0.27800000000000002</v>
      </c>
      <c r="F2961" t="s">
        <v>166</v>
      </c>
    </row>
    <row r="2962" spans="1:6">
      <c r="A2962" t="s">
        <v>46</v>
      </c>
      <c r="B2962" t="s">
        <v>28</v>
      </c>
      <c r="C2962">
        <v>2050</v>
      </c>
      <c r="D2962" t="s">
        <v>6</v>
      </c>
      <c r="E2962">
        <v>3350</v>
      </c>
      <c r="F2962" t="s">
        <v>7</v>
      </c>
    </row>
    <row r="2963" spans="1:6">
      <c r="A2963" t="s">
        <v>46</v>
      </c>
      <c r="B2963" t="s">
        <v>28</v>
      </c>
      <c r="C2963">
        <v>2050</v>
      </c>
      <c r="D2963" t="s">
        <v>8</v>
      </c>
      <c r="E2963">
        <v>3350</v>
      </c>
      <c r="F2963" t="s">
        <v>7</v>
      </c>
    </row>
    <row r="2964" spans="1:6">
      <c r="A2964" t="s">
        <v>46</v>
      </c>
      <c r="B2964" t="s">
        <v>28</v>
      </c>
      <c r="C2964">
        <v>2050</v>
      </c>
      <c r="D2964" t="s">
        <v>9</v>
      </c>
      <c r="E2964">
        <v>3350</v>
      </c>
      <c r="F2964" t="s">
        <v>7</v>
      </c>
    </row>
    <row r="2965" spans="1:6">
      <c r="A2965" t="s">
        <v>46</v>
      </c>
      <c r="B2965" t="s">
        <v>28</v>
      </c>
      <c r="C2965">
        <v>2050</v>
      </c>
      <c r="D2965" t="s">
        <v>10</v>
      </c>
      <c r="E2965">
        <v>65</v>
      </c>
      <c r="F2965" t="s">
        <v>11</v>
      </c>
    </row>
    <row r="2966" spans="1:6">
      <c r="A2966" t="s">
        <v>46</v>
      </c>
      <c r="B2966" t="s">
        <v>28</v>
      </c>
      <c r="C2966">
        <v>2050</v>
      </c>
      <c r="D2966" t="s">
        <v>12</v>
      </c>
      <c r="E2966">
        <v>1</v>
      </c>
      <c r="F2966" t="s">
        <v>13</v>
      </c>
    </row>
    <row r="2967" spans="1:6">
      <c r="A2967" t="s">
        <v>46</v>
      </c>
      <c r="B2967" t="s">
        <v>28</v>
      </c>
      <c r="C2967">
        <v>2050</v>
      </c>
      <c r="D2967" t="s">
        <v>14</v>
      </c>
      <c r="E2967">
        <v>0.5</v>
      </c>
      <c r="F2967" t="s">
        <v>15</v>
      </c>
    </row>
    <row r="2968" spans="1:6">
      <c r="A2968" t="s">
        <v>46</v>
      </c>
      <c r="B2968" t="s">
        <v>28</v>
      </c>
      <c r="C2968">
        <v>2050</v>
      </c>
      <c r="D2968" t="s">
        <v>164</v>
      </c>
      <c r="E2968">
        <v>0.27800000000000002</v>
      </c>
      <c r="F2968" t="s">
        <v>166</v>
      </c>
    </row>
    <row r="2969" spans="1:6">
      <c r="A2969" t="s">
        <v>47</v>
      </c>
      <c r="B2969" t="s">
        <v>20</v>
      </c>
      <c r="C2969">
        <v>2022</v>
      </c>
      <c r="D2969" t="s">
        <v>6</v>
      </c>
      <c r="E2969">
        <v>2400</v>
      </c>
      <c r="F2969" t="s">
        <v>7</v>
      </c>
    </row>
    <row r="2970" spans="1:6">
      <c r="A2970" t="s">
        <v>47</v>
      </c>
      <c r="B2970" t="s">
        <v>20</v>
      </c>
      <c r="C2970">
        <v>2022</v>
      </c>
      <c r="D2970" t="s">
        <v>8</v>
      </c>
      <c r="E2970">
        <v>2400</v>
      </c>
      <c r="F2970" t="s">
        <v>7</v>
      </c>
    </row>
    <row r="2971" spans="1:6">
      <c r="A2971" t="s">
        <v>47</v>
      </c>
      <c r="B2971" t="s">
        <v>20</v>
      </c>
      <c r="C2971">
        <v>2022</v>
      </c>
      <c r="D2971" t="s">
        <v>9</v>
      </c>
      <c r="E2971">
        <v>2400</v>
      </c>
      <c r="F2971" t="s">
        <v>7</v>
      </c>
    </row>
    <row r="2972" spans="1:6">
      <c r="A2972" t="s">
        <v>47</v>
      </c>
      <c r="B2972" t="s">
        <v>20</v>
      </c>
      <c r="C2972">
        <v>2022</v>
      </c>
      <c r="D2972" t="s">
        <v>10</v>
      </c>
      <c r="E2972">
        <v>85</v>
      </c>
      <c r="F2972" t="s">
        <v>11</v>
      </c>
    </row>
    <row r="2973" spans="1:6">
      <c r="A2973" t="s">
        <v>47</v>
      </c>
      <c r="B2973" t="s">
        <v>20</v>
      </c>
      <c r="C2973">
        <v>2022</v>
      </c>
      <c r="D2973" t="s">
        <v>12</v>
      </c>
      <c r="E2973">
        <v>0.35</v>
      </c>
      <c r="F2973" t="s">
        <v>13</v>
      </c>
    </row>
    <row r="2974" spans="1:6">
      <c r="A2974" t="s">
        <v>47</v>
      </c>
      <c r="B2974" t="s">
        <v>20</v>
      </c>
      <c r="C2974">
        <v>2022</v>
      </c>
      <c r="D2974" t="s">
        <v>14</v>
      </c>
      <c r="E2974">
        <v>0.6</v>
      </c>
      <c r="F2974" t="s">
        <v>15</v>
      </c>
    </row>
    <row r="2975" spans="1:6">
      <c r="A2975" t="s">
        <v>47</v>
      </c>
      <c r="B2975" t="s">
        <v>20</v>
      </c>
      <c r="C2975">
        <v>2022</v>
      </c>
      <c r="D2975" t="s">
        <v>164</v>
      </c>
      <c r="E2975">
        <v>1.4570000000000001</v>
      </c>
      <c r="F2975" t="s">
        <v>166</v>
      </c>
    </row>
    <row r="2976" spans="1:6">
      <c r="A2976" t="s">
        <v>47</v>
      </c>
      <c r="B2976" t="s">
        <v>20</v>
      </c>
      <c r="C2976">
        <v>2030</v>
      </c>
      <c r="D2976" t="s">
        <v>6</v>
      </c>
      <c r="E2976">
        <v>2350</v>
      </c>
      <c r="F2976" t="s">
        <v>7</v>
      </c>
    </row>
    <row r="2977" spans="1:6">
      <c r="A2977" t="s">
        <v>47</v>
      </c>
      <c r="B2977" t="s">
        <v>20</v>
      </c>
      <c r="C2977">
        <v>2030</v>
      </c>
      <c r="D2977" t="s">
        <v>8</v>
      </c>
      <c r="E2977">
        <v>2350</v>
      </c>
      <c r="F2977" t="s">
        <v>7</v>
      </c>
    </row>
    <row r="2978" spans="1:6">
      <c r="A2978" t="s">
        <v>47</v>
      </c>
      <c r="B2978" t="s">
        <v>20</v>
      </c>
      <c r="C2978">
        <v>2030</v>
      </c>
      <c r="D2978" t="s">
        <v>9</v>
      </c>
      <c r="E2978">
        <v>2350</v>
      </c>
      <c r="F2978" t="s">
        <v>7</v>
      </c>
    </row>
    <row r="2979" spans="1:6">
      <c r="A2979" t="s">
        <v>47</v>
      </c>
      <c r="B2979" t="s">
        <v>20</v>
      </c>
      <c r="C2979">
        <v>2030</v>
      </c>
      <c r="D2979" t="s">
        <v>10</v>
      </c>
      <c r="E2979">
        <v>80</v>
      </c>
      <c r="F2979" t="s">
        <v>11</v>
      </c>
    </row>
    <row r="2980" spans="1:6">
      <c r="A2980" t="s">
        <v>47</v>
      </c>
      <c r="B2980" t="s">
        <v>20</v>
      </c>
      <c r="C2980">
        <v>2030</v>
      </c>
      <c r="D2980" t="s">
        <v>12</v>
      </c>
      <c r="E2980">
        <v>0.35</v>
      </c>
      <c r="F2980" t="s">
        <v>13</v>
      </c>
    </row>
    <row r="2981" spans="1:6">
      <c r="A2981" t="s">
        <v>47</v>
      </c>
      <c r="B2981" t="s">
        <v>20</v>
      </c>
      <c r="C2981">
        <v>2030</v>
      </c>
      <c r="D2981" t="s">
        <v>14</v>
      </c>
      <c r="E2981">
        <v>0.6</v>
      </c>
      <c r="F2981" t="s">
        <v>15</v>
      </c>
    </row>
    <row r="2982" spans="1:6">
      <c r="A2982" t="s">
        <v>47</v>
      </c>
      <c r="B2982" t="s">
        <v>20</v>
      </c>
      <c r="C2982">
        <v>2030</v>
      </c>
      <c r="D2982" t="s">
        <v>164</v>
      </c>
      <c r="E2982">
        <v>1.4570000000000001</v>
      </c>
      <c r="F2982" t="s">
        <v>166</v>
      </c>
    </row>
    <row r="2983" spans="1:6">
      <c r="A2983" t="s">
        <v>47</v>
      </c>
      <c r="B2983" t="s">
        <v>20</v>
      </c>
      <c r="C2983">
        <v>2050</v>
      </c>
      <c r="D2983" t="s">
        <v>6</v>
      </c>
      <c r="E2983">
        <v>2300</v>
      </c>
      <c r="F2983" t="s">
        <v>7</v>
      </c>
    </row>
    <row r="2984" spans="1:6">
      <c r="A2984" t="s">
        <v>47</v>
      </c>
      <c r="B2984" t="s">
        <v>20</v>
      </c>
      <c r="C2984">
        <v>2050</v>
      </c>
      <c r="D2984" t="s">
        <v>8</v>
      </c>
      <c r="E2984">
        <v>2300</v>
      </c>
      <c r="F2984" t="s">
        <v>7</v>
      </c>
    </row>
    <row r="2985" spans="1:6">
      <c r="A2985" t="s">
        <v>47</v>
      </c>
      <c r="B2985" t="s">
        <v>20</v>
      </c>
      <c r="C2985">
        <v>2050</v>
      </c>
      <c r="D2985" t="s">
        <v>9</v>
      </c>
      <c r="E2985">
        <v>2300</v>
      </c>
      <c r="F2985" t="s">
        <v>7</v>
      </c>
    </row>
    <row r="2986" spans="1:6">
      <c r="A2986" t="s">
        <v>47</v>
      </c>
      <c r="B2986" t="s">
        <v>20</v>
      </c>
      <c r="C2986">
        <v>2050</v>
      </c>
      <c r="D2986" t="s">
        <v>10</v>
      </c>
      <c r="E2986">
        <v>80</v>
      </c>
      <c r="F2986" t="s">
        <v>11</v>
      </c>
    </row>
    <row r="2987" spans="1:6">
      <c r="A2987" t="s">
        <v>47</v>
      </c>
      <c r="B2987" t="s">
        <v>20</v>
      </c>
      <c r="C2987">
        <v>2050</v>
      </c>
      <c r="D2987" t="s">
        <v>12</v>
      </c>
      <c r="E2987">
        <v>0.35</v>
      </c>
      <c r="F2987" t="s">
        <v>13</v>
      </c>
    </row>
    <row r="2988" spans="1:6">
      <c r="A2988" t="s">
        <v>47</v>
      </c>
      <c r="B2988" t="s">
        <v>20</v>
      </c>
      <c r="C2988">
        <v>2050</v>
      </c>
      <c r="D2988" t="s">
        <v>14</v>
      </c>
      <c r="E2988">
        <v>0.6</v>
      </c>
      <c r="F2988" t="s">
        <v>15</v>
      </c>
    </row>
    <row r="2989" spans="1:6">
      <c r="A2989" t="s">
        <v>47</v>
      </c>
      <c r="B2989" t="s">
        <v>20</v>
      </c>
      <c r="C2989">
        <v>2050</v>
      </c>
      <c r="D2989" t="s">
        <v>164</v>
      </c>
      <c r="E2989">
        <v>1.4570000000000001</v>
      </c>
      <c r="F2989" t="s">
        <v>166</v>
      </c>
    </row>
    <row r="2990" spans="1:6">
      <c r="A2990" t="s">
        <v>47</v>
      </c>
      <c r="B2990" t="s">
        <v>21</v>
      </c>
      <c r="C2990">
        <v>2022</v>
      </c>
      <c r="D2990" t="s">
        <v>6</v>
      </c>
      <c r="E2990">
        <v>2500</v>
      </c>
      <c r="F2990" t="s">
        <v>7</v>
      </c>
    </row>
    <row r="2991" spans="1:6">
      <c r="A2991" t="s">
        <v>47</v>
      </c>
      <c r="B2991" t="s">
        <v>21</v>
      </c>
      <c r="C2991">
        <v>2022</v>
      </c>
      <c r="D2991" t="s">
        <v>8</v>
      </c>
      <c r="E2991">
        <v>2500</v>
      </c>
      <c r="F2991" t="s">
        <v>7</v>
      </c>
    </row>
    <row r="2992" spans="1:6">
      <c r="A2992" t="s">
        <v>47</v>
      </c>
      <c r="B2992" t="s">
        <v>21</v>
      </c>
      <c r="C2992">
        <v>2022</v>
      </c>
      <c r="D2992" t="s">
        <v>9</v>
      </c>
      <c r="E2992">
        <v>2500</v>
      </c>
      <c r="F2992" t="s">
        <v>7</v>
      </c>
    </row>
    <row r="2993" spans="1:6">
      <c r="A2993" t="s">
        <v>47</v>
      </c>
      <c r="B2993" t="s">
        <v>21</v>
      </c>
      <c r="C2993">
        <v>2022</v>
      </c>
      <c r="D2993" t="s">
        <v>10</v>
      </c>
      <c r="E2993">
        <v>85</v>
      </c>
      <c r="F2993" t="s">
        <v>11</v>
      </c>
    </row>
    <row r="2994" spans="1:6">
      <c r="A2994" t="s">
        <v>47</v>
      </c>
      <c r="B2994" t="s">
        <v>21</v>
      </c>
      <c r="C2994">
        <v>2022</v>
      </c>
      <c r="D2994" t="s">
        <v>12</v>
      </c>
      <c r="E2994">
        <v>0.35</v>
      </c>
      <c r="F2994" t="s">
        <v>13</v>
      </c>
    </row>
    <row r="2995" spans="1:6">
      <c r="A2995" t="s">
        <v>47</v>
      </c>
      <c r="B2995" t="s">
        <v>21</v>
      </c>
      <c r="C2995">
        <v>2022</v>
      </c>
      <c r="D2995" t="s">
        <v>14</v>
      </c>
      <c r="E2995">
        <v>0.5</v>
      </c>
      <c r="F2995" t="s">
        <v>15</v>
      </c>
    </row>
    <row r="2996" spans="1:6">
      <c r="A2996" t="s">
        <v>47</v>
      </c>
      <c r="B2996" t="s">
        <v>21</v>
      </c>
      <c r="C2996">
        <v>2022</v>
      </c>
      <c r="D2996" t="s">
        <v>164</v>
      </c>
      <c r="E2996">
        <v>1.4570000000000001</v>
      </c>
      <c r="F2996" t="s">
        <v>166</v>
      </c>
    </row>
    <row r="2997" spans="1:6">
      <c r="A2997" t="s">
        <v>47</v>
      </c>
      <c r="B2997" t="s">
        <v>21</v>
      </c>
      <c r="C2997">
        <v>2030</v>
      </c>
      <c r="D2997" t="s">
        <v>6</v>
      </c>
      <c r="E2997">
        <v>2450</v>
      </c>
      <c r="F2997" t="s">
        <v>7</v>
      </c>
    </row>
    <row r="2998" spans="1:6">
      <c r="A2998" t="s">
        <v>47</v>
      </c>
      <c r="B2998" t="s">
        <v>21</v>
      </c>
      <c r="C2998">
        <v>2030</v>
      </c>
      <c r="D2998" t="s">
        <v>8</v>
      </c>
      <c r="E2998">
        <v>2450</v>
      </c>
      <c r="F2998" t="s">
        <v>7</v>
      </c>
    </row>
    <row r="2999" spans="1:6">
      <c r="A2999" t="s">
        <v>47</v>
      </c>
      <c r="B2999" t="s">
        <v>21</v>
      </c>
      <c r="C2999">
        <v>2030</v>
      </c>
      <c r="D2999" t="s">
        <v>9</v>
      </c>
      <c r="E2999">
        <v>2450</v>
      </c>
      <c r="F2999" t="s">
        <v>7</v>
      </c>
    </row>
    <row r="3000" spans="1:6">
      <c r="A3000" t="s">
        <v>47</v>
      </c>
      <c r="B3000" t="s">
        <v>21</v>
      </c>
      <c r="C3000">
        <v>2030</v>
      </c>
      <c r="D3000" t="s">
        <v>10</v>
      </c>
      <c r="E3000">
        <v>85</v>
      </c>
      <c r="F3000" t="s">
        <v>11</v>
      </c>
    </row>
    <row r="3001" spans="1:6">
      <c r="A3001" t="s">
        <v>47</v>
      </c>
      <c r="B3001" t="s">
        <v>21</v>
      </c>
      <c r="C3001">
        <v>2030</v>
      </c>
      <c r="D3001" t="s">
        <v>12</v>
      </c>
      <c r="E3001">
        <v>0.35</v>
      </c>
      <c r="F3001" t="s">
        <v>13</v>
      </c>
    </row>
    <row r="3002" spans="1:6">
      <c r="A3002" t="s">
        <v>47</v>
      </c>
      <c r="B3002" t="s">
        <v>21</v>
      </c>
      <c r="C3002">
        <v>2030</v>
      </c>
      <c r="D3002" t="s">
        <v>14</v>
      </c>
      <c r="E3002">
        <v>0.5</v>
      </c>
      <c r="F3002" t="s">
        <v>15</v>
      </c>
    </row>
    <row r="3003" spans="1:6">
      <c r="A3003" t="s">
        <v>47</v>
      </c>
      <c r="B3003" t="s">
        <v>21</v>
      </c>
      <c r="C3003">
        <v>2030</v>
      </c>
      <c r="D3003" t="s">
        <v>164</v>
      </c>
      <c r="E3003">
        <v>1.4570000000000001</v>
      </c>
      <c r="F3003" t="s">
        <v>166</v>
      </c>
    </row>
    <row r="3004" spans="1:6">
      <c r="A3004" t="s">
        <v>47</v>
      </c>
      <c r="B3004" t="s">
        <v>21</v>
      </c>
      <c r="C3004">
        <v>2050</v>
      </c>
      <c r="D3004" t="s">
        <v>6</v>
      </c>
      <c r="E3004">
        <v>2350</v>
      </c>
      <c r="F3004" t="s">
        <v>7</v>
      </c>
    </row>
    <row r="3005" spans="1:6">
      <c r="A3005" t="s">
        <v>47</v>
      </c>
      <c r="B3005" t="s">
        <v>21</v>
      </c>
      <c r="C3005">
        <v>2050</v>
      </c>
      <c r="D3005" t="s">
        <v>8</v>
      </c>
      <c r="E3005">
        <v>2350</v>
      </c>
      <c r="F3005" t="s">
        <v>7</v>
      </c>
    </row>
    <row r="3006" spans="1:6">
      <c r="A3006" t="s">
        <v>47</v>
      </c>
      <c r="B3006" t="s">
        <v>21</v>
      </c>
      <c r="C3006">
        <v>2050</v>
      </c>
      <c r="D3006" t="s">
        <v>9</v>
      </c>
      <c r="E3006">
        <v>2350</v>
      </c>
      <c r="F3006" t="s">
        <v>7</v>
      </c>
    </row>
    <row r="3007" spans="1:6">
      <c r="A3007" t="s">
        <v>47</v>
      </c>
      <c r="B3007" t="s">
        <v>21</v>
      </c>
      <c r="C3007">
        <v>2050</v>
      </c>
      <c r="D3007" t="s">
        <v>10</v>
      </c>
      <c r="E3007">
        <v>85</v>
      </c>
      <c r="F3007" t="s">
        <v>11</v>
      </c>
    </row>
    <row r="3008" spans="1:6">
      <c r="A3008" t="s">
        <v>47</v>
      </c>
      <c r="B3008" t="s">
        <v>21</v>
      </c>
      <c r="C3008">
        <v>2050</v>
      </c>
      <c r="D3008" t="s">
        <v>12</v>
      </c>
      <c r="E3008">
        <v>0.35</v>
      </c>
      <c r="F3008" t="s">
        <v>13</v>
      </c>
    </row>
    <row r="3009" spans="1:6">
      <c r="A3009" t="s">
        <v>47</v>
      </c>
      <c r="B3009" t="s">
        <v>21</v>
      </c>
      <c r="C3009">
        <v>2050</v>
      </c>
      <c r="D3009" t="s">
        <v>14</v>
      </c>
      <c r="E3009">
        <v>0.5</v>
      </c>
      <c r="F3009" t="s">
        <v>15</v>
      </c>
    </row>
    <row r="3010" spans="1:6">
      <c r="A3010" t="s">
        <v>47</v>
      </c>
      <c r="B3010" t="s">
        <v>21</v>
      </c>
      <c r="C3010">
        <v>2050</v>
      </c>
      <c r="D3010" t="s">
        <v>164</v>
      </c>
      <c r="E3010">
        <v>1.4570000000000001</v>
      </c>
      <c r="F3010" t="s">
        <v>166</v>
      </c>
    </row>
    <row r="3011" spans="1:6">
      <c r="A3011" t="s">
        <v>47</v>
      </c>
      <c r="B3011" t="s">
        <v>22</v>
      </c>
      <c r="C3011">
        <v>2022</v>
      </c>
      <c r="D3011" t="s">
        <v>6</v>
      </c>
      <c r="E3011">
        <v>2350</v>
      </c>
      <c r="F3011" t="s">
        <v>7</v>
      </c>
    </row>
    <row r="3012" spans="1:6">
      <c r="A3012" t="s">
        <v>47</v>
      </c>
      <c r="B3012" t="s">
        <v>22</v>
      </c>
      <c r="C3012">
        <v>2022</v>
      </c>
      <c r="D3012" t="s">
        <v>8</v>
      </c>
      <c r="E3012">
        <v>2350</v>
      </c>
      <c r="F3012" t="s">
        <v>7</v>
      </c>
    </row>
    <row r="3013" spans="1:6">
      <c r="A3013" t="s">
        <v>47</v>
      </c>
      <c r="B3013" t="s">
        <v>22</v>
      </c>
      <c r="C3013">
        <v>2022</v>
      </c>
      <c r="D3013" t="s">
        <v>9</v>
      </c>
      <c r="E3013">
        <v>2350</v>
      </c>
      <c r="F3013" t="s">
        <v>7</v>
      </c>
    </row>
    <row r="3014" spans="1:6">
      <c r="A3014" t="s">
        <v>47</v>
      </c>
      <c r="B3014" t="s">
        <v>22</v>
      </c>
      <c r="C3014">
        <v>2022</v>
      </c>
      <c r="D3014" t="s">
        <v>10</v>
      </c>
      <c r="E3014">
        <v>75</v>
      </c>
      <c r="F3014" t="s">
        <v>11</v>
      </c>
    </row>
    <row r="3015" spans="1:6">
      <c r="A3015" t="s">
        <v>47</v>
      </c>
      <c r="B3015" t="s">
        <v>22</v>
      </c>
      <c r="C3015">
        <v>2022</v>
      </c>
      <c r="D3015" t="s">
        <v>12</v>
      </c>
      <c r="E3015">
        <v>0.35</v>
      </c>
      <c r="F3015" t="s">
        <v>13</v>
      </c>
    </row>
    <row r="3016" spans="1:6">
      <c r="A3016" t="s">
        <v>47</v>
      </c>
      <c r="B3016" t="s">
        <v>22</v>
      </c>
      <c r="C3016">
        <v>2022</v>
      </c>
      <c r="D3016" t="s">
        <v>14</v>
      </c>
      <c r="E3016">
        <v>0.6</v>
      </c>
      <c r="F3016" t="s">
        <v>15</v>
      </c>
    </row>
    <row r="3017" spans="1:6">
      <c r="A3017" t="s">
        <v>47</v>
      </c>
      <c r="B3017" t="s">
        <v>22</v>
      </c>
      <c r="C3017">
        <v>2022</v>
      </c>
      <c r="D3017" t="s">
        <v>164</v>
      </c>
      <c r="E3017">
        <v>1.4570000000000001</v>
      </c>
      <c r="F3017" t="s">
        <v>166</v>
      </c>
    </row>
    <row r="3018" spans="1:6">
      <c r="A3018" t="s">
        <v>47</v>
      </c>
      <c r="B3018" t="s">
        <v>22</v>
      </c>
      <c r="C3018">
        <v>2030</v>
      </c>
      <c r="D3018" t="s">
        <v>6</v>
      </c>
      <c r="E3018">
        <v>2300</v>
      </c>
      <c r="F3018" t="s">
        <v>7</v>
      </c>
    </row>
    <row r="3019" spans="1:6">
      <c r="A3019" t="s">
        <v>47</v>
      </c>
      <c r="B3019" t="s">
        <v>22</v>
      </c>
      <c r="C3019">
        <v>2030</v>
      </c>
      <c r="D3019" t="s">
        <v>8</v>
      </c>
      <c r="E3019">
        <v>2300</v>
      </c>
      <c r="F3019" t="s">
        <v>7</v>
      </c>
    </row>
    <row r="3020" spans="1:6">
      <c r="A3020" t="s">
        <v>47</v>
      </c>
      <c r="B3020" t="s">
        <v>22</v>
      </c>
      <c r="C3020">
        <v>2030</v>
      </c>
      <c r="D3020" t="s">
        <v>9</v>
      </c>
      <c r="E3020">
        <v>2300</v>
      </c>
      <c r="F3020" t="s">
        <v>7</v>
      </c>
    </row>
    <row r="3021" spans="1:6">
      <c r="A3021" t="s">
        <v>47</v>
      </c>
      <c r="B3021" t="s">
        <v>22</v>
      </c>
      <c r="C3021">
        <v>2030</v>
      </c>
      <c r="D3021" t="s">
        <v>10</v>
      </c>
      <c r="E3021">
        <v>80</v>
      </c>
      <c r="F3021" t="s">
        <v>11</v>
      </c>
    </row>
    <row r="3022" spans="1:6">
      <c r="A3022" t="s">
        <v>47</v>
      </c>
      <c r="B3022" t="s">
        <v>22</v>
      </c>
      <c r="C3022">
        <v>2030</v>
      </c>
      <c r="D3022" t="s">
        <v>12</v>
      </c>
      <c r="E3022">
        <v>0.35</v>
      </c>
      <c r="F3022" t="s">
        <v>13</v>
      </c>
    </row>
    <row r="3023" spans="1:6">
      <c r="A3023" t="s">
        <v>47</v>
      </c>
      <c r="B3023" t="s">
        <v>22</v>
      </c>
      <c r="C3023">
        <v>2030</v>
      </c>
      <c r="D3023" t="s">
        <v>14</v>
      </c>
      <c r="E3023">
        <v>0.6</v>
      </c>
      <c r="F3023" t="s">
        <v>15</v>
      </c>
    </row>
    <row r="3024" spans="1:6">
      <c r="A3024" t="s">
        <v>47</v>
      </c>
      <c r="B3024" t="s">
        <v>22</v>
      </c>
      <c r="C3024">
        <v>2030</v>
      </c>
      <c r="D3024" t="s">
        <v>164</v>
      </c>
      <c r="E3024">
        <v>1.4570000000000001</v>
      </c>
      <c r="F3024" t="s">
        <v>166</v>
      </c>
    </row>
    <row r="3025" spans="1:6">
      <c r="A3025" t="s">
        <v>47</v>
      </c>
      <c r="B3025" t="s">
        <v>22</v>
      </c>
      <c r="C3025">
        <v>2050</v>
      </c>
      <c r="D3025" t="s">
        <v>6</v>
      </c>
      <c r="E3025">
        <v>2250</v>
      </c>
      <c r="F3025" t="s">
        <v>7</v>
      </c>
    </row>
    <row r="3026" spans="1:6">
      <c r="A3026" t="s">
        <v>47</v>
      </c>
      <c r="B3026" t="s">
        <v>22</v>
      </c>
      <c r="C3026">
        <v>2050</v>
      </c>
      <c r="D3026" t="s">
        <v>8</v>
      </c>
      <c r="E3026">
        <v>2250</v>
      </c>
      <c r="F3026" t="s">
        <v>7</v>
      </c>
    </row>
    <row r="3027" spans="1:6">
      <c r="A3027" t="s">
        <v>47</v>
      </c>
      <c r="B3027" t="s">
        <v>22</v>
      </c>
      <c r="C3027">
        <v>2050</v>
      </c>
      <c r="D3027" t="s">
        <v>9</v>
      </c>
      <c r="E3027">
        <v>2250</v>
      </c>
      <c r="F3027" t="s">
        <v>7</v>
      </c>
    </row>
    <row r="3028" spans="1:6">
      <c r="A3028" t="s">
        <v>47</v>
      </c>
      <c r="B3028" t="s">
        <v>22</v>
      </c>
      <c r="C3028">
        <v>2050</v>
      </c>
      <c r="D3028" t="s">
        <v>10</v>
      </c>
      <c r="E3028">
        <v>80</v>
      </c>
      <c r="F3028" t="s">
        <v>11</v>
      </c>
    </row>
    <row r="3029" spans="1:6">
      <c r="A3029" t="s">
        <v>47</v>
      </c>
      <c r="B3029" t="s">
        <v>22</v>
      </c>
      <c r="C3029">
        <v>2050</v>
      </c>
      <c r="D3029" t="s">
        <v>12</v>
      </c>
      <c r="E3029">
        <v>0.35</v>
      </c>
      <c r="F3029" t="s">
        <v>13</v>
      </c>
    </row>
    <row r="3030" spans="1:6">
      <c r="A3030" t="s">
        <v>47</v>
      </c>
      <c r="B3030" t="s">
        <v>22</v>
      </c>
      <c r="C3030">
        <v>2050</v>
      </c>
      <c r="D3030" t="s">
        <v>14</v>
      </c>
      <c r="E3030">
        <v>0.6</v>
      </c>
      <c r="F3030" t="s">
        <v>15</v>
      </c>
    </row>
    <row r="3031" spans="1:6">
      <c r="A3031" t="s">
        <v>47</v>
      </c>
      <c r="B3031" t="s">
        <v>22</v>
      </c>
      <c r="C3031">
        <v>2050</v>
      </c>
      <c r="D3031" t="s">
        <v>164</v>
      </c>
      <c r="E3031">
        <v>1.4570000000000001</v>
      </c>
      <c r="F3031" t="s">
        <v>166</v>
      </c>
    </row>
    <row r="3032" spans="1:6">
      <c r="A3032" t="s">
        <v>47</v>
      </c>
      <c r="B3032" t="s">
        <v>23</v>
      </c>
      <c r="C3032">
        <v>2022</v>
      </c>
      <c r="D3032" t="s">
        <v>6</v>
      </c>
      <c r="E3032">
        <v>2250</v>
      </c>
      <c r="F3032" t="s">
        <v>7</v>
      </c>
    </row>
    <row r="3033" spans="1:6">
      <c r="A3033" t="s">
        <v>47</v>
      </c>
      <c r="B3033" t="s">
        <v>23</v>
      </c>
      <c r="C3033">
        <v>2022</v>
      </c>
      <c r="D3033" t="s">
        <v>8</v>
      </c>
      <c r="E3033">
        <v>2250</v>
      </c>
      <c r="F3033" t="s">
        <v>7</v>
      </c>
    </row>
    <row r="3034" spans="1:6">
      <c r="A3034" t="s">
        <v>47</v>
      </c>
      <c r="B3034" t="s">
        <v>23</v>
      </c>
      <c r="C3034">
        <v>2022</v>
      </c>
      <c r="D3034" t="s">
        <v>9</v>
      </c>
      <c r="E3034">
        <v>2250</v>
      </c>
      <c r="F3034" t="s">
        <v>7</v>
      </c>
    </row>
    <row r="3035" spans="1:6">
      <c r="A3035" t="s">
        <v>47</v>
      </c>
      <c r="B3035" t="s">
        <v>23</v>
      </c>
      <c r="C3035">
        <v>2022</v>
      </c>
      <c r="D3035" t="s">
        <v>10</v>
      </c>
      <c r="E3035">
        <v>80</v>
      </c>
      <c r="F3035" t="s">
        <v>11</v>
      </c>
    </row>
    <row r="3036" spans="1:6">
      <c r="A3036" t="s">
        <v>47</v>
      </c>
      <c r="B3036" t="s">
        <v>23</v>
      </c>
      <c r="C3036">
        <v>2022</v>
      </c>
      <c r="D3036" t="s">
        <v>12</v>
      </c>
      <c r="E3036">
        <v>0.35</v>
      </c>
      <c r="F3036" t="s">
        <v>13</v>
      </c>
    </row>
    <row r="3037" spans="1:6">
      <c r="A3037" t="s">
        <v>47</v>
      </c>
      <c r="B3037" t="s">
        <v>23</v>
      </c>
      <c r="C3037">
        <v>2022</v>
      </c>
      <c r="D3037" t="s">
        <v>14</v>
      </c>
      <c r="E3037">
        <v>0.5</v>
      </c>
      <c r="F3037" t="s">
        <v>15</v>
      </c>
    </row>
    <row r="3038" spans="1:6">
      <c r="A3038" t="s">
        <v>47</v>
      </c>
      <c r="B3038" t="s">
        <v>23</v>
      </c>
      <c r="C3038">
        <v>2022</v>
      </c>
      <c r="D3038" t="s">
        <v>164</v>
      </c>
      <c r="E3038">
        <v>1.4570000000000001</v>
      </c>
      <c r="F3038" t="s">
        <v>166</v>
      </c>
    </row>
    <row r="3039" spans="1:6">
      <c r="A3039" t="s">
        <v>47</v>
      </c>
      <c r="B3039" t="s">
        <v>23</v>
      </c>
      <c r="C3039">
        <v>2030</v>
      </c>
      <c r="D3039" t="s">
        <v>6</v>
      </c>
      <c r="E3039">
        <v>2200</v>
      </c>
      <c r="F3039" t="s">
        <v>7</v>
      </c>
    </row>
    <row r="3040" spans="1:6">
      <c r="A3040" t="s">
        <v>47</v>
      </c>
      <c r="B3040" t="s">
        <v>23</v>
      </c>
      <c r="C3040">
        <v>2030</v>
      </c>
      <c r="D3040" t="s">
        <v>8</v>
      </c>
      <c r="E3040">
        <v>2200</v>
      </c>
      <c r="F3040" t="s">
        <v>7</v>
      </c>
    </row>
    <row r="3041" spans="1:6">
      <c r="A3041" t="s">
        <v>47</v>
      </c>
      <c r="B3041" t="s">
        <v>23</v>
      </c>
      <c r="C3041">
        <v>2030</v>
      </c>
      <c r="D3041" t="s">
        <v>9</v>
      </c>
      <c r="E3041">
        <v>2200</v>
      </c>
      <c r="F3041" t="s">
        <v>7</v>
      </c>
    </row>
    <row r="3042" spans="1:6">
      <c r="A3042" t="s">
        <v>47</v>
      </c>
      <c r="B3042" t="s">
        <v>23</v>
      </c>
      <c r="C3042">
        <v>2030</v>
      </c>
      <c r="D3042" t="s">
        <v>10</v>
      </c>
      <c r="E3042">
        <v>75</v>
      </c>
      <c r="F3042" t="s">
        <v>11</v>
      </c>
    </row>
    <row r="3043" spans="1:6">
      <c r="A3043" t="s">
        <v>47</v>
      </c>
      <c r="B3043" t="s">
        <v>23</v>
      </c>
      <c r="C3043">
        <v>2030</v>
      </c>
      <c r="D3043" t="s">
        <v>12</v>
      </c>
      <c r="E3043">
        <v>0.35</v>
      </c>
      <c r="F3043" t="s">
        <v>13</v>
      </c>
    </row>
    <row r="3044" spans="1:6">
      <c r="A3044" t="s">
        <v>47</v>
      </c>
      <c r="B3044" t="s">
        <v>23</v>
      </c>
      <c r="C3044">
        <v>2030</v>
      </c>
      <c r="D3044" t="s">
        <v>14</v>
      </c>
      <c r="E3044">
        <v>0.5</v>
      </c>
      <c r="F3044" t="s">
        <v>15</v>
      </c>
    </row>
    <row r="3045" spans="1:6">
      <c r="A3045" t="s">
        <v>47</v>
      </c>
      <c r="B3045" t="s">
        <v>23</v>
      </c>
      <c r="C3045">
        <v>2030</v>
      </c>
      <c r="D3045" t="s">
        <v>164</v>
      </c>
      <c r="E3045">
        <v>1.4570000000000001</v>
      </c>
      <c r="F3045" t="s">
        <v>166</v>
      </c>
    </row>
    <row r="3046" spans="1:6">
      <c r="A3046" t="s">
        <v>47</v>
      </c>
      <c r="B3046" t="s">
        <v>23</v>
      </c>
      <c r="C3046">
        <v>2050</v>
      </c>
      <c r="D3046" t="s">
        <v>6</v>
      </c>
      <c r="E3046">
        <v>2100</v>
      </c>
      <c r="F3046" t="s">
        <v>7</v>
      </c>
    </row>
    <row r="3047" spans="1:6">
      <c r="A3047" t="s">
        <v>47</v>
      </c>
      <c r="B3047" t="s">
        <v>23</v>
      </c>
      <c r="C3047">
        <v>2050</v>
      </c>
      <c r="D3047" t="s">
        <v>8</v>
      </c>
      <c r="E3047">
        <v>2100</v>
      </c>
      <c r="F3047" t="s">
        <v>7</v>
      </c>
    </row>
    <row r="3048" spans="1:6">
      <c r="A3048" t="s">
        <v>47</v>
      </c>
      <c r="B3048" t="s">
        <v>23</v>
      </c>
      <c r="C3048">
        <v>2050</v>
      </c>
      <c r="D3048" t="s">
        <v>9</v>
      </c>
      <c r="E3048">
        <v>2100</v>
      </c>
      <c r="F3048" t="s">
        <v>7</v>
      </c>
    </row>
    <row r="3049" spans="1:6">
      <c r="A3049" t="s">
        <v>47</v>
      </c>
      <c r="B3049" t="s">
        <v>23</v>
      </c>
      <c r="C3049">
        <v>2050</v>
      </c>
      <c r="D3049" t="s">
        <v>10</v>
      </c>
      <c r="E3049">
        <v>75</v>
      </c>
      <c r="F3049" t="s">
        <v>11</v>
      </c>
    </row>
    <row r="3050" spans="1:6">
      <c r="A3050" t="s">
        <v>47</v>
      </c>
      <c r="B3050" t="s">
        <v>23</v>
      </c>
      <c r="C3050">
        <v>2050</v>
      </c>
      <c r="D3050" t="s">
        <v>12</v>
      </c>
      <c r="E3050">
        <v>0.35</v>
      </c>
      <c r="F3050" t="s">
        <v>13</v>
      </c>
    </row>
    <row r="3051" spans="1:6">
      <c r="A3051" t="s">
        <v>47</v>
      </c>
      <c r="B3051" t="s">
        <v>23</v>
      </c>
      <c r="C3051">
        <v>2050</v>
      </c>
      <c r="D3051" t="s">
        <v>14</v>
      </c>
      <c r="E3051">
        <v>0.5</v>
      </c>
      <c r="F3051" t="s">
        <v>15</v>
      </c>
    </row>
    <row r="3052" spans="1:6">
      <c r="A3052" t="s">
        <v>47</v>
      </c>
      <c r="B3052" t="s">
        <v>23</v>
      </c>
      <c r="C3052">
        <v>2050</v>
      </c>
      <c r="D3052" t="s">
        <v>164</v>
      </c>
      <c r="E3052">
        <v>1.4570000000000001</v>
      </c>
      <c r="F3052" t="s">
        <v>166</v>
      </c>
    </row>
    <row r="3053" spans="1:6">
      <c r="A3053" t="s">
        <v>47</v>
      </c>
      <c r="B3053" t="s">
        <v>24</v>
      </c>
      <c r="C3053">
        <v>2022</v>
      </c>
      <c r="D3053" t="s">
        <v>6</v>
      </c>
      <c r="E3053">
        <v>1600</v>
      </c>
      <c r="F3053" t="s">
        <v>7</v>
      </c>
    </row>
    <row r="3054" spans="1:6">
      <c r="A3054" t="s">
        <v>47</v>
      </c>
      <c r="B3054" t="s">
        <v>24</v>
      </c>
      <c r="C3054">
        <v>2022</v>
      </c>
      <c r="D3054" t="s">
        <v>8</v>
      </c>
      <c r="E3054">
        <v>1600</v>
      </c>
      <c r="F3054" t="s">
        <v>7</v>
      </c>
    </row>
    <row r="3055" spans="1:6">
      <c r="A3055" t="s">
        <v>47</v>
      </c>
      <c r="B3055" t="s">
        <v>24</v>
      </c>
      <c r="C3055">
        <v>2022</v>
      </c>
      <c r="D3055" t="s">
        <v>9</v>
      </c>
      <c r="E3055">
        <v>1600</v>
      </c>
      <c r="F3055" t="s">
        <v>7</v>
      </c>
    </row>
    <row r="3056" spans="1:6">
      <c r="A3056" t="s">
        <v>47</v>
      </c>
      <c r="B3056" t="s">
        <v>24</v>
      </c>
      <c r="C3056">
        <v>2022</v>
      </c>
      <c r="D3056" t="s">
        <v>10</v>
      </c>
      <c r="E3056">
        <v>55</v>
      </c>
      <c r="F3056" t="s">
        <v>11</v>
      </c>
    </row>
    <row r="3057" spans="1:6">
      <c r="A3057" t="s">
        <v>47</v>
      </c>
      <c r="B3057" t="s">
        <v>24</v>
      </c>
      <c r="C3057">
        <v>2022</v>
      </c>
      <c r="D3057" t="s">
        <v>12</v>
      </c>
      <c r="E3057">
        <v>0.35</v>
      </c>
      <c r="F3057" t="s">
        <v>13</v>
      </c>
    </row>
    <row r="3058" spans="1:6">
      <c r="A3058" t="s">
        <v>47</v>
      </c>
      <c r="B3058" t="s">
        <v>24</v>
      </c>
      <c r="C3058">
        <v>2022</v>
      </c>
      <c r="D3058" t="s">
        <v>14</v>
      </c>
      <c r="E3058">
        <v>0.7</v>
      </c>
      <c r="F3058" t="s">
        <v>15</v>
      </c>
    </row>
    <row r="3059" spans="1:6">
      <c r="A3059" t="s">
        <v>47</v>
      </c>
      <c r="B3059" t="s">
        <v>24</v>
      </c>
      <c r="C3059">
        <v>2022</v>
      </c>
      <c r="D3059" t="s">
        <v>164</v>
      </c>
      <c r="E3059">
        <v>1.4570000000000001</v>
      </c>
      <c r="F3059" t="s">
        <v>166</v>
      </c>
    </row>
    <row r="3060" spans="1:6">
      <c r="A3060" t="s">
        <v>47</v>
      </c>
      <c r="B3060" t="s">
        <v>24</v>
      </c>
      <c r="C3060">
        <v>2030</v>
      </c>
      <c r="D3060" t="s">
        <v>6</v>
      </c>
      <c r="E3060">
        <v>1550</v>
      </c>
      <c r="F3060" t="s">
        <v>7</v>
      </c>
    </row>
    <row r="3061" spans="1:6">
      <c r="A3061" t="s">
        <v>47</v>
      </c>
      <c r="B3061" t="s">
        <v>24</v>
      </c>
      <c r="C3061">
        <v>2030</v>
      </c>
      <c r="D3061" t="s">
        <v>8</v>
      </c>
      <c r="E3061">
        <v>1550</v>
      </c>
      <c r="F3061" t="s">
        <v>7</v>
      </c>
    </row>
    <row r="3062" spans="1:6">
      <c r="A3062" t="s">
        <v>47</v>
      </c>
      <c r="B3062" t="s">
        <v>24</v>
      </c>
      <c r="C3062">
        <v>2030</v>
      </c>
      <c r="D3062" t="s">
        <v>9</v>
      </c>
      <c r="E3062">
        <v>1550</v>
      </c>
      <c r="F3062" t="s">
        <v>7</v>
      </c>
    </row>
    <row r="3063" spans="1:6">
      <c r="A3063" t="s">
        <v>47</v>
      </c>
      <c r="B3063" t="s">
        <v>24</v>
      </c>
      <c r="C3063">
        <v>2030</v>
      </c>
      <c r="D3063" t="s">
        <v>10</v>
      </c>
      <c r="E3063">
        <v>55</v>
      </c>
      <c r="F3063" t="s">
        <v>11</v>
      </c>
    </row>
    <row r="3064" spans="1:6">
      <c r="A3064" t="s">
        <v>47</v>
      </c>
      <c r="B3064" t="s">
        <v>24</v>
      </c>
      <c r="C3064">
        <v>2030</v>
      </c>
      <c r="D3064" t="s">
        <v>12</v>
      </c>
      <c r="E3064">
        <v>0.35</v>
      </c>
      <c r="F3064" t="s">
        <v>13</v>
      </c>
    </row>
    <row r="3065" spans="1:6">
      <c r="A3065" t="s">
        <v>47</v>
      </c>
      <c r="B3065" t="s">
        <v>24</v>
      </c>
      <c r="C3065">
        <v>2030</v>
      </c>
      <c r="D3065" t="s">
        <v>14</v>
      </c>
      <c r="E3065">
        <v>0.7</v>
      </c>
      <c r="F3065" t="s">
        <v>15</v>
      </c>
    </row>
    <row r="3066" spans="1:6">
      <c r="A3066" t="s">
        <v>47</v>
      </c>
      <c r="B3066" t="s">
        <v>24</v>
      </c>
      <c r="C3066">
        <v>2030</v>
      </c>
      <c r="D3066" t="s">
        <v>164</v>
      </c>
      <c r="E3066">
        <v>1.4570000000000001</v>
      </c>
      <c r="F3066" t="s">
        <v>166</v>
      </c>
    </row>
    <row r="3067" spans="1:6">
      <c r="A3067" t="s">
        <v>47</v>
      </c>
      <c r="B3067" t="s">
        <v>24</v>
      </c>
      <c r="C3067">
        <v>2050</v>
      </c>
      <c r="D3067" t="s">
        <v>6</v>
      </c>
      <c r="E3067">
        <v>1500</v>
      </c>
      <c r="F3067" t="s">
        <v>7</v>
      </c>
    </row>
    <row r="3068" spans="1:6">
      <c r="A3068" t="s">
        <v>47</v>
      </c>
      <c r="B3068" t="s">
        <v>24</v>
      </c>
      <c r="C3068">
        <v>2050</v>
      </c>
      <c r="D3068" t="s">
        <v>8</v>
      </c>
      <c r="E3068">
        <v>1500</v>
      </c>
      <c r="F3068" t="s">
        <v>7</v>
      </c>
    </row>
    <row r="3069" spans="1:6">
      <c r="A3069" t="s">
        <v>47</v>
      </c>
      <c r="B3069" t="s">
        <v>24</v>
      </c>
      <c r="C3069">
        <v>2050</v>
      </c>
      <c r="D3069" t="s">
        <v>9</v>
      </c>
      <c r="E3069">
        <v>1500</v>
      </c>
      <c r="F3069" t="s">
        <v>7</v>
      </c>
    </row>
    <row r="3070" spans="1:6">
      <c r="A3070" t="s">
        <v>47</v>
      </c>
      <c r="B3070" t="s">
        <v>24</v>
      </c>
      <c r="C3070">
        <v>2050</v>
      </c>
      <c r="D3070" t="s">
        <v>10</v>
      </c>
      <c r="E3070">
        <v>55</v>
      </c>
      <c r="F3070" t="s">
        <v>11</v>
      </c>
    </row>
    <row r="3071" spans="1:6">
      <c r="A3071" t="s">
        <v>47</v>
      </c>
      <c r="B3071" t="s">
        <v>24</v>
      </c>
      <c r="C3071">
        <v>2050</v>
      </c>
      <c r="D3071" t="s">
        <v>12</v>
      </c>
      <c r="E3071">
        <v>0.35</v>
      </c>
      <c r="F3071" t="s">
        <v>13</v>
      </c>
    </row>
    <row r="3072" spans="1:6">
      <c r="A3072" t="s">
        <v>47</v>
      </c>
      <c r="B3072" t="s">
        <v>24</v>
      </c>
      <c r="C3072">
        <v>2050</v>
      </c>
      <c r="D3072" t="s">
        <v>14</v>
      </c>
      <c r="E3072">
        <v>0.7</v>
      </c>
      <c r="F3072" t="s">
        <v>15</v>
      </c>
    </row>
    <row r="3073" spans="1:6">
      <c r="A3073" t="s">
        <v>47</v>
      </c>
      <c r="B3073" t="s">
        <v>24</v>
      </c>
      <c r="C3073">
        <v>2050</v>
      </c>
      <c r="D3073" t="s">
        <v>164</v>
      </c>
      <c r="E3073">
        <v>1.4570000000000001</v>
      </c>
      <c r="F3073" t="s">
        <v>166</v>
      </c>
    </row>
    <row r="3074" spans="1:6">
      <c r="A3074" t="s">
        <v>47</v>
      </c>
      <c r="B3074" t="s">
        <v>25</v>
      </c>
      <c r="C3074">
        <v>2022</v>
      </c>
      <c r="D3074" t="s">
        <v>6</v>
      </c>
      <c r="E3074">
        <v>2150</v>
      </c>
      <c r="F3074" t="s">
        <v>7</v>
      </c>
    </row>
    <row r="3075" spans="1:6">
      <c r="A3075" t="s">
        <v>47</v>
      </c>
      <c r="B3075" t="s">
        <v>25</v>
      </c>
      <c r="C3075">
        <v>2022</v>
      </c>
      <c r="D3075" t="s">
        <v>8</v>
      </c>
      <c r="E3075">
        <v>2150</v>
      </c>
      <c r="F3075" t="s">
        <v>7</v>
      </c>
    </row>
    <row r="3076" spans="1:6">
      <c r="A3076" t="s">
        <v>47</v>
      </c>
      <c r="B3076" t="s">
        <v>25</v>
      </c>
      <c r="C3076">
        <v>2022</v>
      </c>
      <c r="D3076" t="s">
        <v>9</v>
      </c>
      <c r="E3076">
        <v>2150</v>
      </c>
      <c r="F3076" t="s">
        <v>7</v>
      </c>
    </row>
    <row r="3077" spans="1:6">
      <c r="A3077" t="s">
        <v>47</v>
      </c>
      <c r="B3077" t="s">
        <v>25</v>
      </c>
      <c r="C3077">
        <v>2022</v>
      </c>
      <c r="D3077" t="s">
        <v>10</v>
      </c>
      <c r="E3077">
        <v>75</v>
      </c>
      <c r="F3077" t="s">
        <v>11</v>
      </c>
    </row>
    <row r="3078" spans="1:6">
      <c r="A3078" t="s">
        <v>47</v>
      </c>
      <c r="B3078" t="s">
        <v>25</v>
      </c>
      <c r="C3078">
        <v>2022</v>
      </c>
      <c r="D3078" t="s">
        <v>12</v>
      </c>
      <c r="E3078">
        <v>0.35</v>
      </c>
      <c r="F3078" t="s">
        <v>13</v>
      </c>
    </row>
    <row r="3079" spans="1:6">
      <c r="A3079" t="s">
        <v>47</v>
      </c>
      <c r="B3079" t="s">
        <v>25</v>
      </c>
      <c r="C3079">
        <v>2022</v>
      </c>
      <c r="D3079" t="s">
        <v>14</v>
      </c>
      <c r="E3079">
        <v>0.6</v>
      </c>
      <c r="F3079" t="s">
        <v>15</v>
      </c>
    </row>
    <row r="3080" spans="1:6">
      <c r="A3080" t="s">
        <v>47</v>
      </c>
      <c r="B3080" t="s">
        <v>25</v>
      </c>
      <c r="C3080">
        <v>2022</v>
      </c>
      <c r="D3080" t="s">
        <v>164</v>
      </c>
      <c r="E3080">
        <v>1.4570000000000001</v>
      </c>
      <c r="F3080" t="s">
        <v>166</v>
      </c>
    </row>
    <row r="3081" spans="1:6">
      <c r="A3081" t="s">
        <v>47</v>
      </c>
      <c r="B3081" t="s">
        <v>25</v>
      </c>
      <c r="C3081">
        <v>2030</v>
      </c>
      <c r="D3081" t="s">
        <v>6</v>
      </c>
      <c r="E3081">
        <v>2100</v>
      </c>
      <c r="F3081" t="s">
        <v>7</v>
      </c>
    </row>
    <row r="3082" spans="1:6">
      <c r="A3082" t="s">
        <v>47</v>
      </c>
      <c r="B3082" t="s">
        <v>25</v>
      </c>
      <c r="C3082">
        <v>2030</v>
      </c>
      <c r="D3082" t="s">
        <v>8</v>
      </c>
      <c r="E3082">
        <v>2100</v>
      </c>
      <c r="F3082" t="s">
        <v>7</v>
      </c>
    </row>
    <row r="3083" spans="1:6">
      <c r="A3083" t="s">
        <v>47</v>
      </c>
      <c r="B3083" t="s">
        <v>25</v>
      </c>
      <c r="C3083">
        <v>2030</v>
      </c>
      <c r="D3083" t="s">
        <v>9</v>
      </c>
      <c r="E3083">
        <v>2100</v>
      </c>
      <c r="F3083" t="s">
        <v>7</v>
      </c>
    </row>
    <row r="3084" spans="1:6">
      <c r="A3084" t="s">
        <v>47</v>
      </c>
      <c r="B3084" t="s">
        <v>25</v>
      </c>
      <c r="C3084">
        <v>2030</v>
      </c>
      <c r="D3084" t="s">
        <v>10</v>
      </c>
      <c r="E3084">
        <v>75</v>
      </c>
      <c r="F3084" t="s">
        <v>11</v>
      </c>
    </row>
    <row r="3085" spans="1:6">
      <c r="A3085" t="s">
        <v>47</v>
      </c>
      <c r="B3085" t="s">
        <v>25</v>
      </c>
      <c r="C3085">
        <v>2030</v>
      </c>
      <c r="D3085" t="s">
        <v>12</v>
      </c>
      <c r="E3085">
        <v>0.35</v>
      </c>
      <c r="F3085" t="s">
        <v>13</v>
      </c>
    </row>
    <row r="3086" spans="1:6">
      <c r="A3086" t="s">
        <v>47</v>
      </c>
      <c r="B3086" t="s">
        <v>25</v>
      </c>
      <c r="C3086">
        <v>2030</v>
      </c>
      <c r="D3086" t="s">
        <v>14</v>
      </c>
      <c r="E3086">
        <v>0.6</v>
      </c>
      <c r="F3086" t="s">
        <v>15</v>
      </c>
    </row>
    <row r="3087" spans="1:6">
      <c r="A3087" t="s">
        <v>47</v>
      </c>
      <c r="B3087" t="s">
        <v>25</v>
      </c>
      <c r="C3087">
        <v>2030</v>
      </c>
      <c r="D3087" t="s">
        <v>164</v>
      </c>
      <c r="E3087">
        <v>1.4570000000000001</v>
      </c>
      <c r="F3087" t="s">
        <v>166</v>
      </c>
    </row>
    <row r="3088" spans="1:6">
      <c r="A3088" t="s">
        <v>47</v>
      </c>
      <c r="B3088" t="s">
        <v>25</v>
      </c>
      <c r="C3088">
        <v>2050</v>
      </c>
      <c r="D3088" t="s">
        <v>6</v>
      </c>
      <c r="E3088">
        <v>2050</v>
      </c>
      <c r="F3088" t="s">
        <v>7</v>
      </c>
    </row>
    <row r="3089" spans="1:6">
      <c r="A3089" t="s">
        <v>47</v>
      </c>
      <c r="B3089" t="s">
        <v>25</v>
      </c>
      <c r="C3089">
        <v>2050</v>
      </c>
      <c r="D3089" t="s">
        <v>8</v>
      </c>
      <c r="E3089">
        <v>2050</v>
      </c>
      <c r="F3089" t="s">
        <v>7</v>
      </c>
    </row>
    <row r="3090" spans="1:6">
      <c r="A3090" t="s">
        <v>47</v>
      </c>
      <c r="B3090" t="s">
        <v>25</v>
      </c>
      <c r="C3090">
        <v>2050</v>
      </c>
      <c r="D3090" t="s">
        <v>9</v>
      </c>
      <c r="E3090">
        <v>2050</v>
      </c>
      <c r="F3090" t="s">
        <v>7</v>
      </c>
    </row>
    <row r="3091" spans="1:6">
      <c r="A3091" t="s">
        <v>47</v>
      </c>
      <c r="B3091" t="s">
        <v>25</v>
      </c>
      <c r="C3091">
        <v>2050</v>
      </c>
      <c r="D3091" t="s">
        <v>10</v>
      </c>
      <c r="E3091">
        <v>70</v>
      </c>
      <c r="F3091" t="s">
        <v>11</v>
      </c>
    </row>
    <row r="3092" spans="1:6">
      <c r="A3092" t="s">
        <v>47</v>
      </c>
      <c r="B3092" t="s">
        <v>25</v>
      </c>
      <c r="C3092">
        <v>2050</v>
      </c>
      <c r="D3092" t="s">
        <v>12</v>
      </c>
      <c r="E3092">
        <v>0.35</v>
      </c>
      <c r="F3092" t="s">
        <v>13</v>
      </c>
    </row>
    <row r="3093" spans="1:6">
      <c r="A3093" t="s">
        <v>47</v>
      </c>
      <c r="B3093" t="s">
        <v>25</v>
      </c>
      <c r="C3093">
        <v>2050</v>
      </c>
      <c r="D3093" t="s">
        <v>14</v>
      </c>
      <c r="E3093">
        <v>0.6</v>
      </c>
      <c r="F3093" t="s">
        <v>15</v>
      </c>
    </row>
    <row r="3094" spans="1:6">
      <c r="A3094" t="s">
        <v>47</v>
      </c>
      <c r="B3094" t="s">
        <v>25</v>
      </c>
      <c r="C3094">
        <v>2050</v>
      </c>
      <c r="D3094" t="s">
        <v>164</v>
      </c>
      <c r="E3094">
        <v>1.4570000000000001</v>
      </c>
      <c r="F3094" t="s">
        <v>166</v>
      </c>
    </row>
    <row r="3095" spans="1:6">
      <c r="A3095" t="s">
        <v>47</v>
      </c>
      <c r="B3095" t="s">
        <v>26</v>
      </c>
      <c r="C3095">
        <v>2022</v>
      </c>
      <c r="D3095" t="s">
        <v>6</v>
      </c>
      <c r="E3095">
        <v>2300</v>
      </c>
      <c r="F3095" t="s">
        <v>7</v>
      </c>
    </row>
    <row r="3096" spans="1:6">
      <c r="A3096" t="s">
        <v>47</v>
      </c>
      <c r="B3096" t="s">
        <v>26</v>
      </c>
      <c r="C3096">
        <v>2022</v>
      </c>
      <c r="D3096" t="s">
        <v>8</v>
      </c>
      <c r="E3096">
        <v>2300</v>
      </c>
      <c r="F3096" t="s">
        <v>7</v>
      </c>
    </row>
    <row r="3097" spans="1:6">
      <c r="A3097" t="s">
        <v>47</v>
      </c>
      <c r="B3097" t="s">
        <v>26</v>
      </c>
      <c r="C3097">
        <v>2022</v>
      </c>
      <c r="D3097" t="s">
        <v>9</v>
      </c>
      <c r="E3097">
        <v>2300</v>
      </c>
      <c r="F3097" t="s">
        <v>7</v>
      </c>
    </row>
    <row r="3098" spans="1:6">
      <c r="A3098" t="s">
        <v>47</v>
      </c>
      <c r="B3098" t="s">
        <v>26</v>
      </c>
      <c r="C3098">
        <v>2022</v>
      </c>
      <c r="D3098" t="s">
        <v>10</v>
      </c>
      <c r="E3098">
        <v>80</v>
      </c>
      <c r="F3098" t="s">
        <v>11</v>
      </c>
    </row>
    <row r="3099" spans="1:6">
      <c r="A3099" t="s">
        <v>47</v>
      </c>
      <c r="B3099" t="s">
        <v>26</v>
      </c>
      <c r="C3099">
        <v>2022</v>
      </c>
      <c r="D3099" t="s">
        <v>12</v>
      </c>
      <c r="E3099">
        <v>0.35</v>
      </c>
      <c r="F3099" t="s">
        <v>13</v>
      </c>
    </row>
    <row r="3100" spans="1:6">
      <c r="A3100" t="s">
        <v>47</v>
      </c>
      <c r="B3100" t="s">
        <v>26</v>
      </c>
      <c r="C3100">
        <v>2022</v>
      </c>
      <c r="D3100" t="s">
        <v>14</v>
      </c>
      <c r="E3100">
        <v>0.8</v>
      </c>
      <c r="F3100" t="s">
        <v>15</v>
      </c>
    </row>
    <row r="3101" spans="1:6">
      <c r="A3101" t="s">
        <v>47</v>
      </c>
      <c r="B3101" t="s">
        <v>26</v>
      </c>
      <c r="C3101">
        <v>2022</v>
      </c>
      <c r="D3101" t="s">
        <v>164</v>
      </c>
      <c r="E3101">
        <v>1.4570000000000001</v>
      </c>
      <c r="F3101" t="s">
        <v>166</v>
      </c>
    </row>
    <row r="3102" spans="1:6">
      <c r="A3102" t="s">
        <v>47</v>
      </c>
      <c r="B3102" t="s">
        <v>26</v>
      </c>
      <c r="C3102">
        <v>2030</v>
      </c>
      <c r="D3102" t="s">
        <v>6</v>
      </c>
      <c r="E3102">
        <v>2200</v>
      </c>
      <c r="F3102" t="s">
        <v>7</v>
      </c>
    </row>
    <row r="3103" spans="1:6">
      <c r="A3103" t="s">
        <v>47</v>
      </c>
      <c r="B3103" t="s">
        <v>26</v>
      </c>
      <c r="C3103">
        <v>2030</v>
      </c>
      <c r="D3103" t="s">
        <v>8</v>
      </c>
      <c r="E3103">
        <v>2200</v>
      </c>
      <c r="F3103" t="s">
        <v>7</v>
      </c>
    </row>
    <row r="3104" spans="1:6">
      <c r="A3104" t="s">
        <v>47</v>
      </c>
      <c r="B3104" t="s">
        <v>26</v>
      </c>
      <c r="C3104">
        <v>2030</v>
      </c>
      <c r="D3104" t="s">
        <v>9</v>
      </c>
      <c r="E3104">
        <v>2200</v>
      </c>
      <c r="F3104" t="s">
        <v>7</v>
      </c>
    </row>
    <row r="3105" spans="1:6">
      <c r="A3105" t="s">
        <v>47</v>
      </c>
      <c r="B3105" t="s">
        <v>26</v>
      </c>
      <c r="C3105">
        <v>2030</v>
      </c>
      <c r="D3105" t="s">
        <v>10</v>
      </c>
      <c r="E3105">
        <v>75</v>
      </c>
      <c r="F3105" t="s">
        <v>11</v>
      </c>
    </row>
    <row r="3106" spans="1:6">
      <c r="A3106" t="s">
        <v>47</v>
      </c>
      <c r="B3106" t="s">
        <v>26</v>
      </c>
      <c r="C3106">
        <v>2030</v>
      </c>
      <c r="D3106" t="s">
        <v>12</v>
      </c>
      <c r="E3106">
        <v>0.35</v>
      </c>
      <c r="F3106" t="s">
        <v>13</v>
      </c>
    </row>
    <row r="3107" spans="1:6">
      <c r="A3107" t="s">
        <v>47</v>
      </c>
      <c r="B3107" t="s">
        <v>26</v>
      </c>
      <c r="C3107">
        <v>2030</v>
      </c>
      <c r="D3107" t="s">
        <v>14</v>
      </c>
      <c r="E3107">
        <v>0.8</v>
      </c>
      <c r="F3107" t="s">
        <v>15</v>
      </c>
    </row>
    <row r="3108" spans="1:6">
      <c r="A3108" t="s">
        <v>47</v>
      </c>
      <c r="B3108" t="s">
        <v>26</v>
      </c>
      <c r="C3108">
        <v>2030</v>
      </c>
      <c r="D3108" t="s">
        <v>164</v>
      </c>
      <c r="E3108">
        <v>1.4570000000000001</v>
      </c>
      <c r="F3108" t="s">
        <v>166</v>
      </c>
    </row>
    <row r="3109" spans="1:6">
      <c r="A3109" t="s">
        <v>47</v>
      </c>
      <c r="B3109" t="s">
        <v>26</v>
      </c>
      <c r="C3109">
        <v>2050</v>
      </c>
      <c r="D3109" t="s">
        <v>6</v>
      </c>
      <c r="E3109">
        <v>2100</v>
      </c>
      <c r="F3109" t="s">
        <v>7</v>
      </c>
    </row>
    <row r="3110" spans="1:6">
      <c r="A3110" t="s">
        <v>47</v>
      </c>
      <c r="B3110" t="s">
        <v>26</v>
      </c>
      <c r="C3110">
        <v>2050</v>
      </c>
      <c r="D3110" t="s">
        <v>8</v>
      </c>
      <c r="E3110">
        <v>2100</v>
      </c>
      <c r="F3110" t="s">
        <v>7</v>
      </c>
    </row>
    <row r="3111" spans="1:6">
      <c r="A3111" t="s">
        <v>47</v>
      </c>
      <c r="B3111" t="s">
        <v>26</v>
      </c>
      <c r="C3111">
        <v>2050</v>
      </c>
      <c r="D3111" t="s">
        <v>9</v>
      </c>
      <c r="E3111">
        <v>2100</v>
      </c>
      <c r="F3111" t="s">
        <v>7</v>
      </c>
    </row>
    <row r="3112" spans="1:6">
      <c r="A3112" t="s">
        <v>47</v>
      </c>
      <c r="B3112" t="s">
        <v>26</v>
      </c>
      <c r="C3112">
        <v>2050</v>
      </c>
      <c r="D3112" t="s">
        <v>10</v>
      </c>
      <c r="E3112">
        <v>75</v>
      </c>
      <c r="F3112" t="s">
        <v>11</v>
      </c>
    </row>
    <row r="3113" spans="1:6">
      <c r="A3113" t="s">
        <v>47</v>
      </c>
      <c r="B3113" t="s">
        <v>26</v>
      </c>
      <c r="C3113">
        <v>2050</v>
      </c>
      <c r="D3113" t="s">
        <v>12</v>
      </c>
      <c r="E3113">
        <v>0.35</v>
      </c>
      <c r="F3113" t="s">
        <v>13</v>
      </c>
    </row>
    <row r="3114" spans="1:6">
      <c r="A3114" t="s">
        <v>47</v>
      </c>
      <c r="B3114" t="s">
        <v>26</v>
      </c>
      <c r="C3114">
        <v>2050</v>
      </c>
      <c r="D3114" t="s">
        <v>14</v>
      </c>
      <c r="E3114">
        <v>0.8</v>
      </c>
      <c r="F3114" t="s">
        <v>15</v>
      </c>
    </row>
    <row r="3115" spans="1:6">
      <c r="A3115" t="s">
        <v>47</v>
      </c>
      <c r="B3115" t="s">
        <v>26</v>
      </c>
      <c r="C3115">
        <v>2050</v>
      </c>
      <c r="D3115" t="s">
        <v>164</v>
      </c>
      <c r="E3115">
        <v>1.4570000000000001</v>
      </c>
      <c r="F3115" t="s">
        <v>166</v>
      </c>
    </row>
    <row r="3116" spans="1:6">
      <c r="A3116" t="s">
        <v>47</v>
      </c>
      <c r="B3116" t="s">
        <v>27</v>
      </c>
      <c r="C3116">
        <v>2022</v>
      </c>
      <c r="D3116" t="s">
        <v>6</v>
      </c>
      <c r="E3116">
        <v>2150</v>
      </c>
      <c r="F3116" t="s">
        <v>7</v>
      </c>
    </row>
    <row r="3117" spans="1:6">
      <c r="A3117" t="s">
        <v>47</v>
      </c>
      <c r="B3117" t="s">
        <v>27</v>
      </c>
      <c r="C3117">
        <v>2022</v>
      </c>
      <c r="D3117" t="s">
        <v>8</v>
      </c>
      <c r="E3117">
        <v>2150</v>
      </c>
      <c r="F3117" t="s">
        <v>7</v>
      </c>
    </row>
    <row r="3118" spans="1:6">
      <c r="A3118" t="s">
        <v>47</v>
      </c>
      <c r="B3118" t="s">
        <v>27</v>
      </c>
      <c r="C3118">
        <v>2022</v>
      </c>
      <c r="D3118" t="s">
        <v>9</v>
      </c>
      <c r="E3118">
        <v>2150</v>
      </c>
      <c r="F3118" t="s">
        <v>7</v>
      </c>
    </row>
    <row r="3119" spans="1:6">
      <c r="A3119" t="s">
        <v>47</v>
      </c>
      <c r="B3119" t="s">
        <v>27</v>
      </c>
      <c r="C3119">
        <v>2022</v>
      </c>
      <c r="D3119" t="s">
        <v>10</v>
      </c>
      <c r="E3119">
        <v>75</v>
      </c>
      <c r="F3119" t="s">
        <v>11</v>
      </c>
    </row>
    <row r="3120" spans="1:6">
      <c r="A3120" t="s">
        <v>47</v>
      </c>
      <c r="B3120" t="s">
        <v>27</v>
      </c>
      <c r="C3120">
        <v>2022</v>
      </c>
      <c r="D3120" t="s">
        <v>12</v>
      </c>
      <c r="E3120">
        <v>0.35</v>
      </c>
      <c r="F3120" t="s">
        <v>13</v>
      </c>
    </row>
    <row r="3121" spans="1:6">
      <c r="A3121" t="s">
        <v>47</v>
      </c>
      <c r="B3121" t="s">
        <v>27</v>
      </c>
      <c r="C3121">
        <v>2022</v>
      </c>
      <c r="D3121" t="s">
        <v>14</v>
      </c>
      <c r="E3121">
        <v>0.5</v>
      </c>
      <c r="F3121" t="s">
        <v>15</v>
      </c>
    </row>
    <row r="3122" spans="1:6">
      <c r="A3122" t="s">
        <v>47</v>
      </c>
      <c r="B3122" t="s">
        <v>27</v>
      </c>
      <c r="C3122">
        <v>2022</v>
      </c>
      <c r="D3122" t="s">
        <v>164</v>
      </c>
      <c r="E3122">
        <v>1.4570000000000001</v>
      </c>
      <c r="F3122" t="s">
        <v>166</v>
      </c>
    </row>
    <row r="3123" spans="1:6">
      <c r="A3123" t="s">
        <v>47</v>
      </c>
      <c r="B3123" t="s">
        <v>27</v>
      </c>
      <c r="C3123">
        <v>2030</v>
      </c>
      <c r="D3123" t="s">
        <v>6</v>
      </c>
      <c r="E3123">
        <v>2100</v>
      </c>
      <c r="F3123" t="s">
        <v>7</v>
      </c>
    </row>
    <row r="3124" spans="1:6">
      <c r="A3124" t="s">
        <v>47</v>
      </c>
      <c r="B3124" t="s">
        <v>27</v>
      </c>
      <c r="C3124">
        <v>2030</v>
      </c>
      <c r="D3124" t="s">
        <v>8</v>
      </c>
      <c r="E3124">
        <v>2100</v>
      </c>
      <c r="F3124" t="s">
        <v>7</v>
      </c>
    </row>
    <row r="3125" spans="1:6">
      <c r="A3125" t="s">
        <v>47</v>
      </c>
      <c r="B3125" t="s">
        <v>27</v>
      </c>
      <c r="C3125">
        <v>2030</v>
      </c>
      <c r="D3125" t="s">
        <v>9</v>
      </c>
      <c r="E3125">
        <v>2100</v>
      </c>
      <c r="F3125" t="s">
        <v>7</v>
      </c>
    </row>
    <row r="3126" spans="1:6">
      <c r="A3126" t="s">
        <v>47</v>
      </c>
      <c r="B3126" t="s">
        <v>27</v>
      </c>
      <c r="C3126">
        <v>2030</v>
      </c>
      <c r="D3126" t="s">
        <v>10</v>
      </c>
      <c r="E3126">
        <v>75</v>
      </c>
      <c r="F3126" t="s">
        <v>11</v>
      </c>
    </row>
    <row r="3127" spans="1:6">
      <c r="A3127" t="s">
        <v>47</v>
      </c>
      <c r="B3127" t="s">
        <v>27</v>
      </c>
      <c r="C3127">
        <v>2030</v>
      </c>
      <c r="D3127" t="s">
        <v>12</v>
      </c>
      <c r="E3127">
        <v>0.35</v>
      </c>
      <c r="F3127" t="s">
        <v>13</v>
      </c>
    </row>
    <row r="3128" spans="1:6">
      <c r="A3128" t="s">
        <v>47</v>
      </c>
      <c r="B3128" t="s">
        <v>27</v>
      </c>
      <c r="C3128">
        <v>2030</v>
      </c>
      <c r="D3128" t="s">
        <v>14</v>
      </c>
      <c r="E3128">
        <v>0.5</v>
      </c>
      <c r="F3128" t="s">
        <v>15</v>
      </c>
    </row>
    <row r="3129" spans="1:6">
      <c r="A3129" t="s">
        <v>47</v>
      </c>
      <c r="B3129" t="s">
        <v>27</v>
      </c>
      <c r="C3129">
        <v>2030</v>
      </c>
      <c r="D3129" t="s">
        <v>164</v>
      </c>
      <c r="E3129">
        <v>1.4570000000000001</v>
      </c>
      <c r="F3129" t="s">
        <v>166</v>
      </c>
    </row>
    <row r="3130" spans="1:6">
      <c r="A3130" t="s">
        <v>47</v>
      </c>
      <c r="B3130" t="s">
        <v>27</v>
      </c>
      <c r="C3130">
        <v>2050</v>
      </c>
      <c r="D3130" t="s">
        <v>6</v>
      </c>
      <c r="E3130">
        <v>2000</v>
      </c>
      <c r="F3130" t="s">
        <v>7</v>
      </c>
    </row>
    <row r="3131" spans="1:6">
      <c r="A3131" t="s">
        <v>47</v>
      </c>
      <c r="B3131" t="s">
        <v>27</v>
      </c>
      <c r="C3131">
        <v>2050</v>
      </c>
      <c r="D3131" t="s">
        <v>8</v>
      </c>
      <c r="E3131">
        <v>2000</v>
      </c>
      <c r="F3131" t="s">
        <v>7</v>
      </c>
    </row>
    <row r="3132" spans="1:6">
      <c r="A3132" t="s">
        <v>47</v>
      </c>
      <c r="B3132" t="s">
        <v>27</v>
      </c>
      <c r="C3132">
        <v>2050</v>
      </c>
      <c r="D3132" t="s">
        <v>9</v>
      </c>
      <c r="E3132">
        <v>2000</v>
      </c>
      <c r="F3132" t="s">
        <v>7</v>
      </c>
    </row>
    <row r="3133" spans="1:6">
      <c r="A3133" t="s">
        <v>47</v>
      </c>
      <c r="B3133" t="s">
        <v>27</v>
      </c>
      <c r="C3133">
        <v>2050</v>
      </c>
      <c r="D3133" t="s">
        <v>10</v>
      </c>
      <c r="E3133">
        <v>70</v>
      </c>
      <c r="F3133" t="s">
        <v>11</v>
      </c>
    </row>
    <row r="3134" spans="1:6">
      <c r="A3134" t="s">
        <v>47</v>
      </c>
      <c r="B3134" t="s">
        <v>27</v>
      </c>
      <c r="C3134">
        <v>2050</v>
      </c>
      <c r="D3134" t="s">
        <v>12</v>
      </c>
      <c r="E3134">
        <v>0.35</v>
      </c>
      <c r="F3134" t="s">
        <v>13</v>
      </c>
    </row>
    <row r="3135" spans="1:6">
      <c r="A3135" t="s">
        <v>47</v>
      </c>
      <c r="B3135" t="s">
        <v>27</v>
      </c>
      <c r="C3135">
        <v>2050</v>
      </c>
      <c r="D3135" t="s">
        <v>14</v>
      </c>
      <c r="E3135">
        <v>0.5</v>
      </c>
      <c r="F3135" t="s">
        <v>15</v>
      </c>
    </row>
    <row r="3136" spans="1:6">
      <c r="A3136" t="s">
        <v>47</v>
      </c>
      <c r="B3136" t="s">
        <v>27</v>
      </c>
      <c r="C3136">
        <v>2050</v>
      </c>
      <c r="D3136" t="s">
        <v>164</v>
      </c>
      <c r="E3136">
        <v>1.4570000000000001</v>
      </c>
      <c r="F3136" t="s">
        <v>166</v>
      </c>
    </row>
    <row r="3137" spans="1:6">
      <c r="A3137" t="s">
        <v>47</v>
      </c>
      <c r="B3137" t="s">
        <v>28</v>
      </c>
      <c r="C3137">
        <v>2022</v>
      </c>
      <c r="D3137" t="s">
        <v>6</v>
      </c>
      <c r="E3137">
        <v>2200</v>
      </c>
      <c r="F3137" t="s">
        <v>7</v>
      </c>
    </row>
    <row r="3138" spans="1:6">
      <c r="A3138" t="s">
        <v>47</v>
      </c>
      <c r="B3138" t="s">
        <v>28</v>
      </c>
      <c r="C3138">
        <v>2022</v>
      </c>
      <c r="D3138" t="s">
        <v>8</v>
      </c>
      <c r="E3138">
        <v>2200</v>
      </c>
      <c r="F3138" t="s">
        <v>7</v>
      </c>
    </row>
    <row r="3139" spans="1:6">
      <c r="A3139" t="s">
        <v>47</v>
      </c>
      <c r="B3139" t="s">
        <v>28</v>
      </c>
      <c r="C3139">
        <v>2022</v>
      </c>
      <c r="D3139" t="s">
        <v>9</v>
      </c>
      <c r="E3139">
        <v>2200</v>
      </c>
      <c r="F3139" t="s">
        <v>7</v>
      </c>
    </row>
    <row r="3140" spans="1:6">
      <c r="A3140" t="s">
        <v>47</v>
      </c>
      <c r="B3140" t="s">
        <v>28</v>
      </c>
      <c r="C3140">
        <v>2022</v>
      </c>
      <c r="D3140" t="s">
        <v>10</v>
      </c>
      <c r="E3140">
        <v>75</v>
      </c>
      <c r="F3140" t="s">
        <v>11</v>
      </c>
    </row>
    <row r="3141" spans="1:6">
      <c r="A3141" t="s">
        <v>47</v>
      </c>
      <c r="B3141" t="s">
        <v>28</v>
      </c>
      <c r="C3141">
        <v>2022</v>
      </c>
      <c r="D3141" t="s">
        <v>12</v>
      </c>
      <c r="E3141">
        <v>0.35</v>
      </c>
      <c r="F3141" t="s">
        <v>13</v>
      </c>
    </row>
    <row r="3142" spans="1:6">
      <c r="A3142" t="s">
        <v>47</v>
      </c>
      <c r="B3142" t="s">
        <v>28</v>
      </c>
      <c r="C3142">
        <v>2022</v>
      </c>
      <c r="D3142" t="s">
        <v>14</v>
      </c>
      <c r="E3142">
        <v>0.4</v>
      </c>
      <c r="F3142" t="s">
        <v>15</v>
      </c>
    </row>
    <row r="3143" spans="1:6">
      <c r="A3143" t="s">
        <v>47</v>
      </c>
      <c r="B3143" t="s">
        <v>28</v>
      </c>
      <c r="C3143">
        <v>2022</v>
      </c>
      <c r="D3143" t="s">
        <v>164</v>
      </c>
      <c r="E3143">
        <v>1.4570000000000001</v>
      </c>
      <c r="F3143" t="s">
        <v>166</v>
      </c>
    </row>
    <row r="3144" spans="1:6">
      <c r="A3144" t="s">
        <v>47</v>
      </c>
      <c r="B3144" t="s">
        <v>28</v>
      </c>
      <c r="C3144">
        <v>2030</v>
      </c>
      <c r="D3144" t="s">
        <v>6</v>
      </c>
      <c r="E3144">
        <v>2150</v>
      </c>
      <c r="F3144" t="s">
        <v>7</v>
      </c>
    </row>
    <row r="3145" spans="1:6">
      <c r="A3145" t="s">
        <v>47</v>
      </c>
      <c r="B3145" t="s">
        <v>28</v>
      </c>
      <c r="C3145">
        <v>2030</v>
      </c>
      <c r="D3145" t="s">
        <v>8</v>
      </c>
      <c r="E3145">
        <v>2150</v>
      </c>
      <c r="F3145" t="s">
        <v>7</v>
      </c>
    </row>
    <row r="3146" spans="1:6">
      <c r="A3146" t="s">
        <v>47</v>
      </c>
      <c r="B3146" t="s">
        <v>28</v>
      </c>
      <c r="C3146">
        <v>2030</v>
      </c>
      <c r="D3146" t="s">
        <v>9</v>
      </c>
      <c r="E3146">
        <v>2150</v>
      </c>
      <c r="F3146" t="s">
        <v>7</v>
      </c>
    </row>
    <row r="3147" spans="1:6">
      <c r="A3147" t="s">
        <v>47</v>
      </c>
      <c r="B3147" t="s">
        <v>28</v>
      </c>
      <c r="C3147">
        <v>2030</v>
      </c>
      <c r="D3147" t="s">
        <v>10</v>
      </c>
      <c r="E3147">
        <v>75</v>
      </c>
      <c r="F3147" t="s">
        <v>11</v>
      </c>
    </row>
    <row r="3148" spans="1:6">
      <c r="A3148" t="s">
        <v>47</v>
      </c>
      <c r="B3148" t="s">
        <v>28</v>
      </c>
      <c r="C3148">
        <v>2030</v>
      </c>
      <c r="D3148" t="s">
        <v>12</v>
      </c>
      <c r="E3148">
        <v>0.35</v>
      </c>
      <c r="F3148" t="s">
        <v>13</v>
      </c>
    </row>
    <row r="3149" spans="1:6">
      <c r="A3149" t="s">
        <v>47</v>
      </c>
      <c r="B3149" t="s">
        <v>28</v>
      </c>
      <c r="C3149">
        <v>2030</v>
      </c>
      <c r="D3149" t="s">
        <v>14</v>
      </c>
      <c r="E3149">
        <v>0.4</v>
      </c>
      <c r="F3149" t="s">
        <v>15</v>
      </c>
    </row>
    <row r="3150" spans="1:6">
      <c r="A3150" t="s">
        <v>47</v>
      </c>
      <c r="B3150" t="s">
        <v>28</v>
      </c>
      <c r="C3150">
        <v>2030</v>
      </c>
      <c r="D3150" t="s">
        <v>164</v>
      </c>
      <c r="E3150">
        <v>1.4570000000000001</v>
      </c>
      <c r="F3150" t="s">
        <v>166</v>
      </c>
    </row>
    <row r="3151" spans="1:6">
      <c r="A3151" t="s">
        <v>47</v>
      </c>
      <c r="B3151" t="s">
        <v>28</v>
      </c>
      <c r="C3151">
        <v>2050</v>
      </c>
      <c r="D3151" t="s">
        <v>6</v>
      </c>
      <c r="E3151">
        <v>2100</v>
      </c>
      <c r="F3151" t="s">
        <v>7</v>
      </c>
    </row>
    <row r="3152" spans="1:6">
      <c r="A3152" t="s">
        <v>47</v>
      </c>
      <c r="B3152" t="s">
        <v>28</v>
      </c>
      <c r="C3152">
        <v>2050</v>
      </c>
      <c r="D3152" t="s">
        <v>8</v>
      </c>
      <c r="E3152">
        <v>2100</v>
      </c>
      <c r="F3152" t="s">
        <v>7</v>
      </c>
    </row>
    <row r="3153" spans="1:6">
      <c r="A3153" t="s">
        <v>47</v>
      </c>
      <c r="B3153" t="s">
        <v>28</v>
      </c>
      <c r="C3153">
        <v>2050</v>
      </c>
      <c r="D3153" t="s">
        <v>9</v>
      </c>
      <c r="E3153">
        <v>2100</v>
      </c>
      <c r="F3153" t="s">
        <v>7</v>
      </c>
    </row>
    <row r="3154" spans="1:6">
      <c r="A3154" t="s">
        <v>47</v>
      </c>
      <c r="B3154" t="s">
        <v>28</v>
      </c>
      <c r="C3154">
        <v>2050</v>
      </c>
      <c r="D3154" t="s">
        <v>10</v>
      </c>
      <c r="E3154">
        <v>75</v>
      </c>
      <c r="F3154" t="s">
        <v>11</v>
      </c>
    </row>
    <row r="3155" spans="1:6">
      <c r="A3155" t="s">
        <v>47</v>
      </c>
      <c r="B3155" t="s">
        <v>28</v>
      </c>
      <c r="C3155">
        <v>2050</v>
      </c>
      <c r="D3155" t="s">
        <v>12</v>
      </c>
      <c r="E3155">
        <v>0.35</v>
      </c>
      <c r="F3155" t="s">
        <v>13</v>
      </c>
    </row>
    <row r="3156" spans="1:6">
      <c r="A3156" t="s">
        <v>47</v>
      </c>
      <c r="B3156" t="s">
        <v>28</v>
      </c>
      <c r="C3156">
        <v>2050</v>
      </c>
      <c r="D3156" t="s">
        <v>14</v>
      </c>
      <c r="E3156">
        <v>0.4</v>
      </c>
      <c r="F3156" t="s">
        <v>15</v>
      </c>
    </row>
    <row r="3157" spans="1:6">
      <c r="A3157" t="s">
        <v>47</v>
      </c>
      <c r="B3157" t="s">
        <v>28</v>
      </c>
      <c r="C3157">
        <v>2050</v>
      </c>
      <c r="D3157" t="s">
        <v>164</v>
      </c>
      <c r="E3157">
        <v>1.4570000000000001</v>
      </c>
      <c r="F3157" t="s">
        <v>166</v>
      </c>
    </row>
    <row r="3158" spans="1:6">
      <c r="A3158" t="s">
        <v>48</v>
      </c>
      <c r="B3158" t="s">
        <v>20</v>
      </c>
      <c r="C3158">
        <v>2022</v>
      </c>
      <c r="D3158" t="s">
        <v>6</v>
      </c>
      <c r="E3158">
        <v>600</v>
      </c>
      <c r="F3158" t="s">
        <v>7</v>
      </c>
    </row>
    <row r="3159" spans="1:6">
      <c r="A3159" t="s">
        <v>48</v>
      </c>
      <c r="B3159" t="s">
        <v>20</v>
      </c>
      <c r="C3159">
        <v>2022</v>
      </c>
      <c r="D3159" t="s">
        <v>8</v>
      </c>
      <c r="E3159">
        <v>600</v>
      </c>
      <c r="F3159" t="s">
        <v>7</v>
      </c>
    </row>
    <row r="3160" spans="1:6">
      <c r="A3160" t="s">
        <v>48</v>
      </c>
      <c r="B3160" t="s">
        <v>20</v>
      </c>
      <c r="C3160">
        <v>2022</v>
      </c>
      <c r="D3160" t="s">
        <v>9</v>
      </c>
      <c r="E3160">
        <v>600</v>
      </c>
      <c r="F3160" t="s">
        <v>7</v>
      </c>
    </row>
    <row r="3161" spans="1:6">
      <c r="A3161" t="s">
        <v>48</v>
      </c>
      <c r="B3161" t="s">
        <v>20</v>
      </c>
      <c r="C3161">
        <v>2022</v>
      </c>
      <c r="D3161" t="s">
        <v>10</v>
      </c>
      <c r="E3161">
        <v>25</v>
      </c>
      <c r="F3161" t="s">
        <v>11</v>
      </c>
    </row>
    <row r="3162" spans="1:6">
      <c r="A3162" t="s">
        <v>48</v>
      </c>
      <c r="B3162" t="s">
        <v>20</v>
      </c>
      <c r="C3162">
        <v>2022</v>
      </c>
      <c r="D3162" t="s">
        <v>12</v>
      </c>
      <c r="E3162">
        <v>0.37</v>
      </c>
      <c r="F3162" t="s">
        <v>13</v>
      </c>
    </row>
    <row r="3163" spans="1:6">
      <c r="A3163" t="s">
        <v>48</v>
      </c>
      <c r="B3163" t="s">
        <v>20</v>
      </c>
      <c r="C3163">
        <v>2022</v>
      </c>
      <c r="D3163" t="s">
        <v>14</v>
      </c>
      <c r="E3163">
        <v>0.6</v>
      </c>
      <c r="F3163" t="s">
        <v>15</v>
      </c>
    </row>
    <row r="3164" spans="1:6">
      <c r="A3164" t="s">
        <v>48</v>
      </c>
      <c r="B3164" t="s">
        <v>20</v>
      </c>
      <c r="C3164">
        <v>2022</v>
      </c>
      <c r="D3164" t="s">
        <v>164</v>
      </c>
      <c r="E3164">
        <v>1.111</v>
      </c>
      <c r="F3164" t="s">
        <v>166</v>
      </c>
    </row>
    <row r="3165" spans="1:6">
      <c r="A3165" t="s">
        <v>48</v>
      </c>
      <c r="B3165" t="s">
        <v>20</v>
      </c>
      <c r="C3165">
        <v>2030</v>
      </c>
      <c r="D3165" t="s">
        <v>6</v>
      </c>
      <c r="E3165">
        <v>575</v>
      </c>
      <c r="F3165" t="s">
        <v>7</v>
      </c>
    </row>
    <row r="3166" spans="1:6">
      <c r="A3166" t="s">
        <v>48</v>
      </c>
      <c r="B3166" t="s">
        <v>20</v>
      </c>
      <c r="C3166">
        <v>2030</v>
      </c>
      <c r="D3166" t="s">
        <v>8</v>
      </c>
      <c r="E3166">
        <v>575</v>
      </c>
      <c r="F3166" t="s">
        <v>7</v>
      </c>
    </row>
    <row r="3167" spans="1:6">
      <c r="A3167" t="s">
        <v>48</v>
      </c>
      <c r="B3167" t="s">
        <v>20</v>
      </c>
      <c r="C3167">
        <v>2030</v>
      </c>
      <c r="D3167" t="s">
        <v>9</v>
      </c>
      <c r="E3167">
        <v>575</v>
      </c>
      <c r="F3167" t="s">
        <v>7</v>
      </c>
    </row>
    <row r="3168" spans="1:6">
      <c r="A3168" t="s">
        <v>48</v>
      </c>
      <c r="B3168" t="s">
        <v>20</v>
      </c>
      <c r="C3168">
        <v>2030</v>
      </c>
      <c r="D3168" t="s">
        <v>10</v>
      </c>
      <c r="E3168">
        <v>20</v>
      </c>
      <c r="F3168" t="s">
        <v>11</v>
      </c>
    </row>
    <row r="3169" spans="1:6">
      <c r="A3169" t="s">
        <v>48</v>
      </c>
      <c r="B3169" t="s">
        <v>20</v>
      </c>
      <c r="C3169">
        <v>2030</v>
      </c>
      <c r="D3169" t="s">
        <v>12</v>
      </c>
      <c r="E3169">
        <v>0.37</v>
      </c>
      <c r="F3169" t="s">
        <v>13</v>
      </c>
    </row>
    <row r="3170" spans="1:6">
      <c r="A3170" t="s">
        <v>48</v>
      </c>
      <c r="B3170" t="s">
        <v>20</v>
      </c>
      <c r="C3170">
        <v>2030</v>
      </c>
      <c r="D3170" t="s">
        <v>14</v>
      </c>
      <c r="E3170">
        <v>0.6</v>
      </c>
      <c r="F3170" t="s">
        <v>15</v>
      </c>
    </row>
    <row r="3171" spans="1:6">
      <c r="A3171" t="s">
        <v>48</v>
      </c>
      <c r="B3171" t="s">
        <v>20</v>
      </c>
      <c r="C3171">
        <v>2030</v>
      </c>
      <c r="D3171" t="s">
        <v>164</v>
      </c>
      <c r="E3171">
        <v>1.111</v>
      </c>
      <c r="F3171" t="s">
        <v>166</v>
      </c>
    </row>
    <row r="3172" spans="1:6">
      <c r="A3172" t="s">
        <v>48</v>
      </c>
      <c r="B3172" t="s">
        <v>20</v>
      </c>
      <c r="C3172">
        <v>2050</v>
      </c>
      <c r="D3172" t="s">
        <v>6</v>
      </c>
      <c r="E3172">
        <v>575</v>
      </c>
      <c r="F3172" t="s">
        <v>7</v>
      </c>
    </row>
    <row r="3173" spans="1:6">
      <c r="A3173" t="s">
        <v>48</v>
      </c>
      <c r="B3173" t="s">
        <v>20</v>
      </c>
      <c r="C3173">
        <v>2050</v>
      </c>
      <c r="D3173" t="s">
        <v>8</v>
      </c>
      <c r="E3173">
        <v>575</v>
      </c>
      <c r="F3173" t="s">
        <v>7</v>
      </c>
    </row>
    <row r="3174" spans="1:6">
      <c r="A3174" t="s">
        <v>48</v>
      </c>
      <c r="B3174" t="s">
        <v>20</v>
      </c>
      <c r="C3174">
        <v>2050</v>
      </c>
      <c r="D3174" t="s">
        <v>9</v>
      </c>
      <c r="E3174">
        <v>575</v>
      </c>
      <c r="F3174" t="s">
        <v>7</v>
      </c>
    </row>
    <row r="3175" spans="1:6">
      <c r="A3175" t="s">
        <v>48</v>
      </c>
      <c r="B3175" t="s">
        <v>20</v>
      </c>
      <c r="C3175">
        <v>2050</v>
      </c>
      <c r="D3175" t="s">
        <v>10</v>
      </c>
      <c r="E3175">
        <v>20</v>
      </c>
      <c r="F3175" t="s">
        <v>11</v>
      </c>
    </row>
    <row r="3176" spans="1:6">
      <c r="A3176" t="s">
        <v>48</v>
      </c>
      <c r="B3176" t="s">
        <v>20</v>
      </c>
      <c r="C3176">
        <v>2050</v>
      </c>
      <c r="D3176" t="s">
        <v>12</v>
      </c>
      <c r="E3176">
        <v>0.37</v>
      </c>
      <c r="F3176" t="s">
        <v>13</v>
      </c>
    </row>
    <row r="3177" spans="1:6">
      <c r="A3177" t="s">
        <v>48</v>
      </c>
      <c r="B3177" t="s">
        <v>20</v>
      </c>
      <c r="C3177">
        <v>2050</v>
      </c>
      <c r="D3177" t="s">
        <v>14</v>
      </c>
      <c r="E3177">
        <v>0.6</v>
      </c>
      <c r="F3177" t="s">
        <v>15</v>
      </c>
    </row>
    <row r="3178" spans="1:6">
      <c r="A3178" t="s">
        <v>48</v>
      </c>
      <c r="B3178" t="s">
        <v>20</v>
      </c>
      <c r="C3178">
        <v>2050</v>
      </c>
      <c r="D3178" t="s">
        <v>164</v>
      </c>
      <c r="E3178">
        <v>1.111</v>
      </c>
      <c r="F3178" t="s">
        <v>166</v>
      </c>
    </row>
    <row r="3179" spans="1:6">
      <c r="A3179" t="s">
        <v>48</v>
      </c>
      <c r="B3179" t="s">
        <v>21</v>
      </c>
      <c r="C3179">
        <v>2022</v>
      </c>
      <c r="D3179" t="s">
        <v>6</v>
      </c>
      <c r="E3179">
        <v>625</v>
      </c>
      <c r="F3179" t="s">
        <v>7</v>
      </c>
    </row>
    <row r="3180" spans="1:6">
      <c r="A3180" t="s">
        <v>48</v>
      </c>
      <c r="B3180" t="s">
        <v>21</v>
      </c>
      <c r="C3180">
        <v>2022</v>
      </c>
      <c r="D3180" t="s">
        <v>8</v>
      </c>
      <c r="E3180">
        <v>625</v>
      </c>
      <c r="F3180" t="s">
        <v>7</v>
      </c>
    </row>
    <row r="3181" spans="1:6">
      <c r="A3181" t="s">
        <v>48</v>
      </c>
      <c r="B3181" t="s">
        <v>21</v>
      </c>
      <c r="C3181">
        <v>2022</v>
      </c>
      <c r="D3181" t="s">
        <v>9</v>
      </c>
      <c r="E3181">
        <v>625</v>
      </c>
      <c r="F3181" t="s">
        <v>7</v>
      </c>
    </row>
    <row r="3182" spans="1:6">
      <c r="A3182" t="s">
        <v>48</v>
      </c>
      <c r="B3182" t="s">
        <v>21</v>
      </c>
      <c r="C3182">
        <v>2022</v>
      </c>
      <c r="D3182" t="s">
        <v>10</v>
      </c>
      <c r="E3182">
        <v>25</v>
      </c>
      <c r="F3182" t="s">
        <v>11</v>
      </c>
    </row>
    <row r="3183" spans="1:6">
      <c r="A3183" t="s">
        <v>48</v>
      </c>
      <c r="B3183" t="s">
        <v>21</v>
      </c>
      <c r="C3183">
        <v>2022</v>
      </c>
      <c r="D3183" t="s">
        <v>12</v>
      </c>
      <c r="E3183">
        <v>0.37</v>
      </c>
      <c r="F3183" t="s">
        <v>13</v>
      </c>
    </row>
    <row r="3184" spans="1:6">
      <c r="A3184" t="s">
        <v>48</v>
      </c>
      <c r="B3184" t="s">
        <v>21</v>
      </c>
      <c r="C3184">
        <v>2022</v>
      </c>
      <c r="D3184" t="s">
        <v>14</v>
      </c>
      <c r="E3184">
        <v>0.7</v>
      </c>
      <c r="F3184" t="s">
        <v>15</v>
      </c>
    </row>
    <row r="3185" spans="1:6">
      <c r="A3185" t="s">
        <v>48</v>
      </c>
      <c r="B3185" t="s">
        <v>21</v>
      </c>
      <c r="C3185">
        <v>2022</v>
      </c>
      <c r="D3185" t="s">
        <v>164</v>
      </c>
      <c r="E3185">
        <v>1.111</v>
      </c>
      <c r="F3185" t="s">
        <v>166</v>
      </c>
    </row>
    <row r="3186" spans="1:6">
      <c r="A3186" t="s">
        <v>48</v>
      </c>
      <c r="B3186" t="s">
        <v>21</v>
      </c>
      <c r="C3186">
        <v>2030</v>
      </c>
      <c r="D3186" t="s">
        <v>6</v>
      </c>
      <c r="E3186">
        <v>625</v>
      </c>
      <c r="F3186" t="s">
        <v>7</v>
      </c>
    </row>
    <row r="3187" spans="1:6">
      <c r="A3187" t="s">
        <v>48</v>
      </c>
      <c r="B3187" t="s">
        <v>21</v>
      </c>
      <c r="C3187">
        <v>2030</v>
      </c>
      <c r="D3187" t="s">
        <v>8</v>
      </c>
      <c r="E3187">
        <v>625</v>
      </c>
      <c r="F3187" t="s">
        <v>7</v>
      </c>
    </row>
    <row r="3188" spans="1:6">
      <c r="A3188" t="s">
        <v>48</v>
      </c>
      <c r="B3188" t="s">
        <v>21</v>
      </c>
      <c r="C3188">
        <v>2030</v>
      </c>
      <c r="D3188" t="s">
        <v>9</v>
      </c>
      <c r="E3188">
        <v>625</v>
      </c>
      <c r="F3188" t="s">
        <v>7</v>
      </c>
    </row>
    <row r="3189" spans="1:6">
      <c r="A3189" t="s">
        <v>48</v>
      </c>
      <c r="B3189" t="s">
        <v>21</v>
      </c>
      <c r="C3189">
        <v>2030</v>
      </c>
      <c r="D3189" t="s">
        <v>10</v>
      </c>
      <c r="E3189">
        <v>25</v>
      </c>
      <c r="F3189" t="s">
        <v>11</v>
      </c>
    </row>
    <row r="3190" spans="1:6">
      <c r="A3190" t="s">
        <v>48</v>
      </c>
      <c r="B3190" t="s">
        <v>21</v>
      </c>
      <c r="C3190">
        <v>2030</v>
      </c>
      <c r="D3190" t="s">
        <v>12</v>
      </c>
      <c r="E3190">
        <v>0.37</v>
      </c>
      <c r="F3190" t="s">
        <v>13</v>
      </c>
    </row>
    <row r="3191" spans="1:6">
      <c r="A3191" t="s">
        <v>48</v>
      </c>
      <c r="B3191" t="s">
        <v>21</v>
      </c>
      <c r="C3191">
        <v>2030</v>
      </c>
      <c r="D3191" t="s">
        <v>14</v>
      </c>
      <c r="E3191">
        <v>0.7</v>
      </c>
      <c r="F3191" t="s">
        <v>15</v>
      </c>
    </row>
    <row r="3192" spans="1:6">
      <c r="A3192" t="s">
        <v>48</v>
      </c>
      <c r="B3192" t="s">
        <v>21</v>
      </c>
      <c r="C3192">
        <v>2030</v>
      </c>
      <c r="D3192" t="s">
        <v>164</v>
      </c>
      <c r="E3192">
        <v>1.111</v>
      </c>
      <c r="F3192" t="s">
        <v>166</v>
      </c>
    </row>
    <row r="3193" spans="1:6">
      <c r="A3193" t="s">
        <v>48</v>
      </c>
      <c r="B3193" t="s">
        <v>21</v>
      </c>
      <c r="C3193">
        <v>2050</v>
      </c>
      <c r="D3193" t="s">
        <v>6</v>
      </c>
      <c r="E3193">
        <v>600</v>
      </c>
      <c r="F3193" t="s">
        <v>7</v>
      </c>
    </row>
    <row r="3194" spans="1:6">
      <c r="A3194" t="s">
        <v>48</v>
      </c>
      <c r="B3194" t="s">
        <v>21</v>
      </c>
      <c r="C3194">
        <v>2050</v>
      </c>
      <c r="D3194" t="s">
        <v>8</v>
      </c>
      <c r="E3194">
        <v>600</v>
      </c>
      <c r="F3194" t="s">
        <v>7</v>
      </c>
    </row>
    <row r="3195" spans="1:6">
      <c r="A3195" t="s">
        <v>48</v>
      </c>
      <c r="B3195" t="s">
        <v>21</v>
      </c>
      <c r="C3195">
        <v>2050</v>
      </c>
      <c r="D3195" t="s">
        <v>9</v>
      </c>
      <c r="E3195">
        <v>600</v>
      </c>
      <c r="F3195" t="s">
        <v>7</v>
      </c>
    </row>
    <row r="3196" spans="1:6">
      <c r="A3196" t="s">
        <v>48</v>
      </c>
      <c r="B3196" t="s">
        <v>21</v>
      </c>
      <c r="C3196">
        <v>2050</v>
      </c>
      <c r="D3196" t="s">
        <v>10</v>
      </c>
      <c r="E3196">
        <v>25</v>
      </c>
      <c r="F3196" t="s">
        <v>11</v>
      </c>
    </row>
    <row r="3197" spans="1:6">
      <c r="A3197" t="s">
        <v>48</v>
      </c>
      <c r="B3197" t="s">
        <v>21</v>
      </c>
      <c r="C3197">
        <v>2050</v>
      </c>
      <c r="D3197" t="s">
        <v>12</v>
      </c>
      <c r="E3197">
        <v>0.37</v>
      </c>
      <c r="F3197" t="s">
        <v>13</v>
      </c>
    </row>
    <row r="3198" spans="1:6">
      <c r="A3198" t="s">
        <v>48</v>
      </c>
      <c r="B3198" t="s">
        <v>21</v>
      </c>
      <c r="C3198">
        <v>2050</v>
      </c>
      <c r="D3198" t="s">
        <v>14</v>
      </c>
      <c r="E3198">
        <v>0.7</v>
      </c>
      <c r="F3198" t="s">
        <v>15</v>
      </c>
    </row>
    <row r="3199" spans="1:6">
      <c r="A3199" t="s">
        <v>48</v>
      </c>
      <c r="B3199" t="s">
        <v>21</v>
      </c>
      <c r="C3199">
        <v>2050</v>
      </c>
      <c r="D3199" t="s">
        <v>164</v>
      </c>
      <c r="E3199">
        <v>1.111</v>
      </c>
      <c r="F3199" t="s">
        <v>166</v>
      </c>
    </row>
    <row r="3200" spans="1:6">
      <c r="A3200" t="s">
        <v>48</v>
      </c>
      <c r="B3200" t="s">
        <v>22</v>
      </c>
      <c r="C3200">
        <v>2022</v>
      </c>
      <c r="D3200" t="s">
        <v>6</v>
      </c>
      <c r="E3200">
        <v>600</v>
      </c>
      <c r="F3200" t="s">
        <v>7</v>
      </c>
    </row>
    <row r="3201" spans="1:6">
      <c r="A3201" t="s">
        <v>48</v>
      </c>
      <c r="B3201" t="s">
        <v>22</v>
      </c>
      <c r="C3201">
        <v>2022</v>
      </c>
      <c r="D3201" t="s">
        <v>8</v>
      </c>
      <c r="E3201">
        <v>600</v>
      </c>
      <c r="F3201" t="s">
        <v>7</v>
      </c>
    </row>
    <row r="3202" spans="1:6">
      <c r="A3202" t="s">
        <v>48</v>
      </c>
      <c r="B3202" t="s">
        <v>22</v>
      </c>
      <c r="C3202">
        <v>2022</v>
      </c>
      <c r="D3202" t="s">
        <v>9</v>
      </c>
      <c r="E3202">
        <v>600</v>
      </c>
      <c r="F3202" t="s">
        <v>7</v>
      </c>
    </row>
    <row r="3203" spans="1:6">
      <c r="A3203" t="s">
        <v>48</v>
      </c>
      <c r="B3203" t="s">
        <v>22</v>
      </c>
      <c r="C3203">
        <v>2022</v>
      </c>
      <c r="D3203" t="s">
        <v>10</v>
      </c>
      <c r="E3203">
        <v>25</v>
      </c>
      <c r="F3203" t="s">
        <v>11</v>
      </c>
    </row>
    <row r="3204" spans="1:6">
      <c r="A3204" t="s">
        <v>48</v>
      </c>
      <c r="B3204" t="s">
        <v>22</v>
      </c>
      <c r="C3204">
        <v>2022</v>
      </c>
      <c r="D3204" t="s">
        <v>12</v>
      </c>
      <c r="E3204">
        <v>0.37</v>
      </c>
      <c r="F3204" t="s">
        <v>13</v>
      </c>
    </row>
    <row r="3205" spans="1:6">
      <c r="A3205" t="s">
        <v>48</v>
      </c>
      <c r="B3205" t="s">
        <v>22</v>
      </c>
      <c r="C3205">
        <v>2022</v>
      </c>
      <c r="D3205" t="s">
        <v>14</v>
      </c>
      <c r="E3205">
        <v>0.8</v>
      </c>
      <c r="F3205" t="s">
        <v>15</v>
      </c>
    </row>
    <row r="3206" spans="1:6">
      <c r="A3206" t="s">
        <v>48</v>
      </c>
      <c r="B3206" t="s">
        <v>22</v>
      </c>
      <c r="C3206">
        <v>2022</v>
      </c>
      <c r="D3206" t="s">
        <v>164</v>
      </c>
      <c r="E3206">
        <v>1.111</v>
      </c>
      <c r="F3206" t="s">
        <v>166</v>
      </c>
    </row>
    <row r="3207" spans="1:6">
      <c r="A3207" t="s">
        <v>48</v>
      </c>
      <c r="B3207" t="s">
        <v>22</v>
      </c>
      <c r="C3207">
        <v>2030</v>
      </c>
      <c r="D3207" t="s">
        <v>6</v>
      </c>
      <c r="E3207">
        <v>575</v>
      </c>
      <c r="F3207" t="s">
        <v>7</v>
      </c>
    </row>
    <row r="3208" spans="1:6">
      <c r="A3208" t="s">
        <v>48</v>
      </c>
      <c r="B3208" t="s">
        <v>22</v>
      </c>
      <c r="C3208">
        <v>2030</v>
      </c>
      <c r="D3208" t="s">
        <v>8</v>
      </c>
      <c r="E3208">
        <v>575</v>
      </c>
      <c r="F3208" t="s">
        <v>7</v>
      </c>
    </row>
    <row r="3209" spans="1:6">
      <c r="A3209" t="s">
        <v>48</v>
      </c>
      <c r="B3209" t="s">
        <v>22</v>
      </c>
      <c r="C3209">
        <v>2030</v>
      </c>
      <c r="D3209" t="s">
        <v>9</v>
      </c>
      <c r="E3209">
        <v>575</v>
      </c>
      <c r="F3209" t="s">
        <v>7</v>
      </c>
    </row>
    <row r="3210" spans="1:6">
      <c r="A3210" t="s">
        <v>48</v>
      </c>
      <c r="B3210" t="s">
        <v>22</v>
      </c>
      <c r="C3210">
        <v>2030</v>
      </c>
      <c r="D3210" t="s">
        <v>10</v>
      </c>
      <c r="E3210">
        <v>20</v>
      </c>
      <c r="F3210" t="s">
        <v>11</v>
      </c>
    </row>
    <row r="3211" spans="1:6">
      <c r="A3211" t="s">
        <v>48</v>
      </c>
      <c r="B3211" t="s">
        <v>22</v>
      </c>
      <c r="C3211">
        <v>2030</v>
      </c>
      <c r="D3211" t="s">
        <v>12</v>
      </c>
      <c r="E3211">
        <v>0.37</v>
      </c>
      <c r="F3211" t="s">
        <v>13</v>
      </c>
    </row>
    <row r="3212" spans="1:6">
      <c r="A3212" t="s">
        <v>48</v>
      </c>
      <c r="B3212" t="s">
        <v>22</v>
      </c>
      <c r="C3212">
        <v>2030</v>
      </c>
      <c r="D3212" t="s">
        <v>14</v>
      </c>
      <c r="E3212">
        <v>0.8</v>
      </c>
      <c r="F3212" t="s">
        <v>15</v>
      </c>
    </row>
    <row r="3213" spans="1:6">
      <c r="A3213" t="s">
        <v>48</v>
      </c>
      <c r="B3213" t="s">
        <v>22</v>
      </c>
      <c r="C3213">
        <v>2030</v>
      </c>
      <c r="D3213" t="s">
        <v>164</v>
      </c>
      <c r="E3213">
        <v>1.111</v>
      </c>
      <c r="F3213" t="s">
        <v>166</v>
      </c>
    </row>
    <row r="3214" spans="1:6">
      <c r="A3214" t="s">
        <v>48</v>
      </c>
      <c r="B3214" t="s">
        <v>22</v>
      </c>
      <c r="C3214">
        <v>2050</v>
      </c>
      <c r="D3214" t="s">
        <v>6</v>
      </c>
      <c r="E3214">
        <v>575</v>
      </c>
      <c r="F3214" t="s">
        <v>7</v>
      </c>
    </row>
    <row r="3215" spans="1:6">
      <c r="A3215" t="s">
        <v>48</v>
      </c>
      <c r="B3215" t="s">
        <v>22</v>
      </c>
      <c r="C3215">
        <v>2050</v>
      </c>
      <c r="D3215" t="s">
        <v>8</v>
      </c>
      <c r="E3215">
        <v>575</v>
      </c>
      <c r="F3215" t="s">
        <v>7</v>
      </c>
    </row>
    <row r="3216" spans="1:6">
      <c r="A3216" t="s">
        <v>48</v>
      </c>
      <c r="B3216" t="s">
        <v>22</v>
      </c>
      <c r="C3216">
        <v>2050</v>
      </c>
      <c r="D3216" t="s">
        <v>9</v>
      </c>
      <c r="E3216">
        <v>575</v>
      </c>
      <c r="F3216" t="s">
        <v>7</v>
      </c>
    </row>
    <row r="3217" spans="1:6">
      <c r="A3217" t="s">
        <v>48</v>
      </c>
      <c r="B3217" t="s">
        <v>22</v>
      </c>
      <c r="C3217">
        <v>2050</v>
      </c>
      <c r="D3217" t="s">
        <v>10</v>
      </c>
      <c r="E3217">
        <v>20</v>
      </c>
      <c r="F3217" t="s">
        <v>11</v>
      </c>
    </row>
    <row r="3218" spans="1:6">
      <c r="A3218" t="s">
        <v>48</v>
      </c>
      <c r="B3218" t="s">
        <v>22</v>
      </c>
      <c r="C3218">
        <v>2050</v>
      </c>
      <c r="D3218" t="s">
        <v>12</v>
      </c>
      <c r="E3218">
        <v>0.37</v>
      </c>
      <c r="F3218" t="s">
        <v>13</v>
      </c>
    </row>
    <row r="3219" spans="1:6">
      <c r="A3219" t="s">
        <v>48</v>
      </c>
      <c r="B3219" t="s">
        <v>22</v>
      </c>
      <c r="C3219">
        <v>2050</v>
      </c>
      <c r="D3219" t="s">
        <v>14</v>
      </c>
      <c r="E3219">
        <v>0.8</v>
      </c>
      <c r="F3219" t="s">
        <v>15</v>
      </c>
    </row>
    <row r="3220" spans="1:6">
      <c r="A3220" t="s">
        <v>48</v>
      </c>
      <c r="B3220" t="s">
        <v>22</v>
      </c>
      <c r="C3220">
        <v>2050</v>
      </c>
      <c r="D3220" t="s">
        <v>164</v>
      </c>
      <c r="E3220">
        <v>1.111</v>
      </c>
      <c r="F3220" t="s">
        <v>166</v>
      </c>
    </row>
    <row r="3221" spans="1:6">
      <c r="A3221" t="s">
        <v>48</v>
      </c>
      <c r="B3221" t="s">
        <v>23</v>
      </c>
      <c r="C3221">
        <v>2022</v>
      </c>
      <c r="D3221" t="s">
        <v>6</v>
      </c>
      <c r="E3221">
        <v>575</v>
      </c>
      <c r="F3221" t="s">
        <v>7</v>
      </c>
    </row>
    <row r="3222" spans="1:6">
      <c r="A3222" t="s">
        <v>48</v>
      </c>
      <c r="B3222" t="s">
        <v>23</v>
      </c>
      <c r="C3222">
        <v>2022</v>
      </c>
      <c r="D3222" t="s">
        <v>8</v>
      </c>
      <c r="E3222">
        <v>575</v>
      </c>
      <c r="F3222" t="s">
        <v>7</v>
      </c>
    </row>
    <row r="3223" spans="1:6">
      <c r="A3223" t="s">
        <v>48</v>
      </c>
      <c r="B3223" t="s">
        <v>23</v>
      </c>
      <c r="C3223">
        <v>2022</v>
      </c>
      <c r="D3223" t="s">
        <v>9</v>
      </c>
      <c r="E3223">
        <v>575</v>
      </c>
      <c r="F3223" t="s">
        <v>7</v>
      </c>
    </row>
    <row r="3224" spans="1:6">
      <c r="A3224" t="s">
        <v>48</v>
      </c>
      <c r="B3224" t="s">
        <v>23</v>
      </c>
      <c r="C3224">
        <v>2022</v>
      </c>
      <c r="D3224" t="s">
        <v>10</v>
      </c>
      <c r="E3224">
        <v>20</v>
      </c>
      <c r="F3224" t="s">
        <v>11</v>
      </c>
    </row>
    <row r="3225" spans="1:6">
      <c r="A3225" t="s">
        <v>48</v>
      </c>
      <c r="B3225" t="s">
        <v>23</v>
      </c>
      <c r="C3225">
        <v>2022</v>
      </c>
      <c r="D3225" t="s">
        <v>12</v>
      </c>
      <c r="E3225">
        <v>0.37</v>
      </c>
      <c r="F3225" t="s">
        <v>13</v>
      </c>
    </row>
    <row r="3226" spans="1:6">
      <c r="A3226" t="s">
        <v>48</v>
      </c>
      <c r="B3226" t="s">
        <v>23</v>
      </c>
      <c r="C3226">
        <v>2022</v>
      </c>
      <c r="D3226" t="s">
        <v>14</v>
      </c>
      <c r="E3226">
        <v>0.6</v>
      </c>
      <c r="F3226" t="s">
        <v>15</v>
      </c>
    </row>
    <row r="3227" spans="1:6">
      <c r="A3227" t="s">
        <v>48</v>
      </c>
      <c r="B3227" t="s">
        <v>23</v>
      </c>
      <c r="C3227">
        <v>2022</v>
      </c>
      <c r="D3227" t="s">
        <v>164</v>
      </c>
      <c r="E3227">
        <v>1.111</v>
      </c>
      <c r="F3227" t="s">
        <v>166</v>
      </c>
    </row>
    <row r="3228" spans="1:6">
      <c r="A3228" t="s">
        <v>48</v>
      </c>
      <c r="B3228" t="s">
        <v>23</v>
      </c>
      <c r="C3228">
        <v>2030</v>
      </c>
      <c r="D3228" t="s">
        <v>6</v>
      </c>
      <c r="E3228">
        <v>550</v>
      </c>
      <c r="F3228" t="s">
        <v>7</v>
      </c>
    </row>
    <row r="3229" spans="1:6">
      <c r="A3229" t="s">
        <v>48</v>
      </c>
      <c r="B3229" t="s">
        <v>23</v>
      </c>
      <c r="C3229">
        <v>2030</v>
      </c>
      <c r="D3229" t="s">
        <v>8</v>
      </c>
      <c r="E3229">
        <v>550</v>
      </c>
      <c r="F3229" t="s">
        <v>7</v>
      </c>
    </row>
    <row r="3230" spans="1:6">
      <c r="A3230" t="s">
        <v>48</v>
      </c>
      <c r="B3230" t="s">
        <v>23</v>
      </c>
      <c r="C3230">
        <v>2030</v>
      </c>
      <c r="D3230" t="s">
        <v>9</v>
      </c>
      <c r="E3230">
        <v>550</v>
      </c>
      <c r="F3230" t="s">
        <v>7</v>
      </c>
    </row>
    <row r="3231" spans="1:6">
      <c r="A3231" t="s">
        <v>48</v>
      </c>
      <c r="B3231" t="s">
        <v>23</v>
      </c>
      <c r="C3231">
        <v>2030</v>
      </c>
      <c r="D3231" t="s">
        <v>10</v>
      </c>
      <c r="E3231">
        <v>20</v>
      </c>
      <c r="F3231" t="s">
        <v>11</v>
      </c>
    </row>
    <row r="3232" spans="1:6">
      <c r="A3232" t="s">
        <v>48</v>
      </c>
      <c r="B3232" t="s">
        <v>23</v>
      </c>
      <c r="C3232">
        <v>2030</v>
      </c>
      <c r="D3232" t="s">
        <v>12</v>
      </c>
      <c r="E3232">
        <v>0.37</v>
      </c>
      <c r="F3232" t="s">
        <v>13</v>
      </c>
    </row>
    <row r="3233" spans="1:6">
      <c r="A3233" t="s">
        <v>48</v>
      </c>
      <c r="B3233" t="s">
        <v>23</v>
      </c>
      <c r="C3233">
        <v>2030</v>
      </c>
      <c r="D3233" t="s">
        <v>14</v>
      </c>
      <c r="E3233">
        <v>0.6</v>
      </c>
      <c r="F3233" t="s">
        <v>15</v>
      </c>
    </row>
    <row r="3234" spans="1:6">
      <c r="A3234" t="s">
        <v>48</v>
      </c>
      <c r="B3234" t="s">
        <v>23</v>
      </c>
      <c r="C3234">
        <v>2030</v>
      </c>
      <c r="D3234" t="s">
        <v>164</v>
      </c>
      <c r="E3234">
        <v>1.111</v>
      </c>
      <c r="F3234" t="s">
        <v>166</v>
      </c>
    </row>
    <row r="3235" spans="1:6">
      <c r="A3235" t="s">
        <v>48</v>
      </c>
      <c r="B3235" t="s">
        <v>23</v>
      </c>
      <c r="C3235">
        <v>2050</v>
      </c>
      <c r="D3235" t="s">
        <v>6</v>
      </c>
      <c r="E3235">
        <v>525</v>
      </c>
      <c r="F3235" t="s">
        <v>7</v>
      </c>
    </row>
    <row r="3236" spans="1:6">
      <c r="A3236" t="s">
        <v>48</v>
      </c>
      <c r="B3236" t="s">
        <v>23</v>
      </c>
      <c r="C3236">
        <v>2050</v>
      </c>
      <c r="D3236" t="s">
        <v>8</v>
      </c>
      <c r="E3236">
        <v>525</v>
      </c>
      <c r="F3236" t="s">
        <v>7</v>
      </c>
    </row>
    <row r="3237" spans="1:6">
      <c r="A3237" t="s">
        <v>48</v>
      </c>
      <c r="B3237" t="s">
        <v>23</v>
      </c>
      <c r="C3237">
        <v>2050</v>
      </c>
      <c r="D3237" t="s">
        <v>9</v>
      </c>
      <c r="E3237">
        <v>525</v>
      </c>
      <c r="F3237" t="s">
        <v>7</v>
      </c>
    </row>
    <row r="3238" spans="1:6">
      <c r="A3238" t="s">
        <v>48</v>
      </c>
      <c r="B3238" t="s">
        <v>23</v>
      </c>
      <c r="C3238">
        <v>2050</v>
      </c>
      <c r="D3238" t="s">
        <v>10</v>
      </c>
      <c r="E3238">
        <v>20</v>
      </c>
      <c r="F3238" t="s">
        <v>11</v>
      </c>
    </row>
    <row r="3239" spans="1:6">
      <c r="A3239" t="s">
        <v>48</v>
      </c>
      <c r="B3239" t="s">
        <v>23</v>
      </c>
      <c r="C3239">
        <v>2050</v>
      </c>
      <c r="D3239" t="s">
        <v>12</v>
      </c>
      <c r="E3239">
        <v>0.37</v>
      </c>
      <c r="F3239" t="s">
        <v>13</v>
      </c>
    </row>
    <row r="3240" spans="1:6">
      <c r="A3240" t="s">
        <v>48</v>
      </c>
      <c r="B3240" t="s">
        <v>23</v>
      </c>
      <c r="C3240">
        <v>2050</v>
      </c>
      <c r="D3240" t="s">
        <v>14</v>
      </c>
      <c r="E3240">
        <v>0.6</v>
      </c>
      <c r="F3240" t="s">
        <v>15</v>
      </c>
    </row>
    <row r="3241" spans="1:6">
      <c r="A3241" t="s">
        <v>48</v>
      </c>
      <c r="B3241" t="s">
        <v>23</v>
      </c>
      <c r="C3241">
        <v>2050</v>
      </c>
      <c r="D3241" t="s">
        <v>164</v>
      </c>
      <c r="E3241">
        <v>1.111</v>
      </c>
      <c r="F3241" t="s">
        <v>166</v>
      </c>
    </row>
    <row r="3242" spans="1:6">
      <c r="A3242" t="s">
        <v>48</v>
      </c>
      <c r="B3242" t="s">
        <v>24</v>
      </c>
      <c r="C3242">
        <v>2022</v>
      </c>
      <c r="D3242" t="s">
        <v>6</v>
      </c>
      <c r="E3242">
        <v>400</v>
      </c>
      <c r="F3242" t="s">
        <v>7</v>
      </c>
    </row>
    <row r="3243" spans="1:6">
      <c r="A3243" t="s">
        <v>48</v>
      </c>
      <c r="B3243" t="s">
        <v>24</v>
      </c>
      <c r="C3243">
        <v>2022</v>
      </c>
      <c r="D3243" t="s">
        <v>8</v>
      </c>
      <c r="E3243">
        <v>400</v>
      </c>
      <c r="F3243" t="s">
        <v>7</v>
      </c>
    </row>
    <row r="3244" spans="1:6">
      <c r="A3244" t="s">
        <v>48</v>
      </c>
      <c r="B3244" t="s">
        <v>24</v>
      </c>
      <c r="C3244">
        <v>2022</v>
      </c>
      <c r="D3244" t="s">
        <v>9</v>
      </c>
      <c r="E3244">
        <v>400</v>
      </c>
      <c r="F3244" t="s">
        <v>7</v>
      </c>
    </row>
    <row r="3245" spans="1:6">
      <c r="A3245" t="s">
        <v>48</v>
      </c>
      <c r="B3245" t="s">
        <v>24</v>
      </c>
      <c r="C3245">
        <v>2022</v>
      </c>
      <c r="D3245" t="s">
        <v>10</v>
      </c>
      <c r="E3245">
        <v>15</v>
      </c>
      <c r="F3245" t="s">
        <v>11</v>
      </c>
    </row>
    <row r="3246" spans="1:6">
      <c r="A3246" t="s">
        <v>48</v>
      </c>
      <c r="B3246" t="s">
        <v>24</v>
      </c>
      <c r="C3246">
        <v>2022</v>
      </c>
      <c r="D3246" t="s">
        <v>12</v>
      </c>
      <c r="E3246">
        <v>0.37</v>
      </c>
      <c r="F3246" t="s">
        <v>13</v>
      </c>
    </row>
    <row r="3247" spans="1:6">
      <c r="A3247" t="s">
        <v>48</v>
      </c>
      <c r="B3247" t="s">
        <v>24</v>
      </c>
      <c r="C3247">
        <v>2022</v>
      </c>
      <c r="D3247" t="s">
        <v>14</v>
      </c>
      <c r="E3247">
        <v>0.8</v>
      </c>
      <c r="F3247" t="s">
        <v>15</v>
      </c>
    </row>
    <row r="3248" spans="1:6">
      <c r="A3248" t="s">
        <v>48</v>
      </c>
      <c r="B3248" t="s">
        <v>24</v>
      </c>
      <c r="C3248">
        <v>2022</v>
      </c>
      <c r="D3248" t="s">
        <v>164</v>
      </c>
      <c r="E3248">
        <v>1.111</v>
      </c>
      <c r="F3248" t="s">
        <v>166</v>
      </c>
    </row>
    <row r="3249" spans="1:6">
      <c r="A3249" t="s">
        <v>48</v>
      </c>
      <c r="B3249" t="s">
        <v>24</v>
      </c>
      <c r="C3249">
        <v>2030</v>
      </c>
      <c r="D3249" t="s">
        <v>6</v>
      </c>
      <c r="E3249">
        <v>400</v>
      </c>
      <c r="F3249" t="s">
        <v>7</v>
      </c>
    </row>
    <row r="3250" spans="1:6">
      <c r="A3250" t="s">
        <v>48</v>
      </c>
      <c r="B3250" t="s">
        <v>24</v>
      </c>
      <c r="C3250">
        <v>2030</v>
      </c>
      <c r="D3250" t="s">
        <v>8</v>
      </c>
      <c r="E3250">
        <v>400</v>
      </c>
      <c r="F3250" t="s">
        <v>7</v>
      </c>
    </row>
    <row r="3251" spans="1:6">
      <c r="A3251" t="s">
        <v>48</v>
      </c>
      <c r="B3251" t="s">
        <v>24</v>
      </c>
      <c r="C3251">
        <v>2030</v>
      </c>
      <c r="D3251" t="s">
        <v>9</v>
      </c>
      <c r="E3251">
        <v>400</v>
      </c>
      <c r="F3251" t="s">
        <v>7</v>
      </c>
    </row>
    <row r="3252" spans="1:6">
      <c r="A3252" t="s">
        <v>48</v>
      </c>
      <c r="B3252" t="s">
        <v>24</v>
      </c>
      <c r="C3252">
        <v>2030</v>
      </c>
      <c r="D3252" t="s">
        <v>10</v>
      </c>
      <c r="E3252">
        <v>15</v>
      </c>
      <c r="F3252" t="s">
        <v>11</v>
      </c>
    </row>
    <row r="3253" spans="1:6">
      <c r="A3253" t="s">
        <v>48</v>
      </c>
      <c r="B3253" t="s">
        <v>24</v>
      </c>
      <c r="C3253">
        <v>2030</v>
      </c>
      <c r="D3253" t="s">
        <v>12</v>
      </c>
      <c r="E3253">
        <v>0.37</v>
      </c>
      <c r="F3253" t="s">
        <v>13</v>
      </c>
    </row>
    <row r="3254" spans="1:6">
      <c r="A3254" t="s">
        <v>48</v>
      </c>
      <c r="B3254" t="s">
        <v>24</v>
      </c>
      <c r="C3254">
        <v>2030</v>
      </c>
      <c r="D3254" t="s">
        <v>14</v>
      </c>
      <c r="E3254">
        <v>0.8</v>
      </c>
      <c r="F3254" t="s">
        <v>15</v>
      </c>
    </row>
    <row r="3255" spans="1:6">
      <c r="A3255" t="s">
        <v>48</v>
      </c>
      <c r="B3255" t="s">
        <v>24</v>
      </c>
      <c r="C3255">
        <v>2030</v>
      </c>
      <c r="D3255" t="s">
        <v>164</v>
      </c>
      <c r="E3255">
        <v>1.111</v>
      </c>
      <c r="F3255" t="s">
        <v>166</v>
      </c>
    </row>
    <row r="3256" spans="1:6">
      <c r="A3256" t="s">
        <v>48</v>
      </c>
      <c r="B3256" t="s">
        <v>24</v>
      </c>
      <c r="C3256">
        <v>2050</v>
      </c>
      <c r="D3256" t="s">
        <v>6</v>
      </c>
      <c r="E3256">
        <v>375</v>
      </c>
      <c r="F3256" t="s">
        <v>7</v>
      </c>
    </row>
    <row r="3257" spans="1:6">
      <c r="A3257" t="s">
        <v>48</v>
      </c>
      <c r="B3257" t="s">
        <v>24</v>
      </c>
      <c r="C3257">
        <v>2050</v>
      </c>
      <c r="D3257" t="s">
        <v>8</v>
      </c>
      <c r="E3257">
        <v>375</v>
      </c>
      <c r="F3257" t="s">
        <v>7</v>
      </c>
    </row>
    <row r="3258" spans="1:6">
      <c r="A3258" t="s">
        <v>48</v>
      </c>
      <c r="B3258" t="s">
        <v>24</v>
      </c>
      <c r="C3258">
        <v>2050</v>
      </c>
      <c r="D3258" t="s">
        <v>9</v>
      </c>
      <c r="E3258">
        <v>375</v>
      </c>
      <c r="F3258" t="s">
        <v>7</v>
      </c>
    </row>
    <row r="3259" spans="1:6">
      <c r="A3259" t="s">
        <v>48</v>
      </c>
      <c r="B3259" t="s">
        <v>24</v>
      </c>
      <c r="C3259">
        <v>2050</v>
      </c>
      <c r="D3259" t="s">
        <v>10</v>
      </c>
      <c r="E3259">
        <v>15</v>
      </c>
      <c r="F3259" t="s">
        <v>11</v>
      </c>
    </row>
    <row r="3260" spans="1:6">
      <c r="A3260" t="s">
        <v>48</v>
      </c>
      <c r="B3260" t="s">
        <v>24</v>
      </c>
      <c r="C3260">
        <v>2050</v>
      </c>
      <c r="D3260" t="s">
        <v>12</v>
      </c>
      <c r="E3260">
        <v>0.37</v>
      </c>
      <c r="F3260" t="s">
        <v>13</v>
      </c>
    </row>
    <row r="3261" spans="1:6">
      <c r="A3261" t="s">
        <v>48</v>
      </c>
      <c r="B3261" t="s">
        <v>24</v>
      </c>
      <c r="C3261">
        <v>2050</v>
      </c>
      <c r="D3261" t="s">
        <v>14</v>
      </c>
      <c r="E3261">
        <v>0.8</v>
      </c>
      <c r="F3261" t="s">
        <v>15</v>
      </c>
    </row>
    <row r="3262" spans="1:6">
      <c r="A3262" t="s">
        <v>48</v>
      </c>
      <c r="B3262" t="s">
        <v>24</v>
      </c>
      <c r="C3262">
        <v>2050</v>
      </c>
      <c r="D3262" t="s">
        <v>164</v>
      </c>
      <c r="E3262">
        <v>1.111</v>
      </c>
      <c r="F3262" t="s">
        <v>166</v>
      </c>
    </row>
    <row r="3263" spans="1:6">
      <c r="A3263" t="s">
        <v>48</v>
      </c>
      <c r="B3263" t="s">
        <v>25</v>
      </c>
      <c r="C3263">
        <v>2022</v>
      </c>
      <c r="D3263" t="s">
        <v>6</v>
      </c>
      <c r="E3263">
        <v>550</v>
      </c>
      <c r="F3263" t="s">
        <v>7</v>
      </c>
    </row>
    <row r="3264" spans="1:6">
      <c r="A3264" t="s">
        <v>48</v>
      </c>
      <c r="B3264" t="s">
        <v>25</v>
      </c>
      <c r="C3264">
        <v>2022</v>
      </c>
      <c r="D3264" t="s">
        <v>8</v>
      </c>
      <c r="E3264">
        <v>550</v>
      </c>
      <c r="F3264" t="s">
        <v>7</v>
      </c>
    </row>
    <row r="3265" spans="1:6">
      <c r="A3265" t="s">
        <v>48</v>
      </c>
      <c r="B3265" t="s">
        <v>25</v>
      </c>
      <c r="C3265">
        <v>2022</v>
      </c>
      <c r="D3265" t="s">
        <v>9</v>
      </c>
      <c r="E3265">
        <v>550</v>
      </c>
      <c r="F3265" t="s">
        <v>7</v>
      </c>
    </row>
    <row r="3266" spans="1:6">
      <c r="A3266" t="s">
        <v>48</v>
      </c>
      <c r="B3266" t="s">
        <v>25</v>
      </c>
      <c r="C3266">
        <v>2022</v>
      </c>
      <c r="D3266" t="s">
        <v>10</v>
      </c>
      <c r="E3266">
        <v>20</v>
      </c>
      <c r="F3266" t="s">
        <v>11</v>
      </c>
    </row>
    <row r="3267" spans="1:6">
      <c r="A3267" t="s">
        <v>48</v>
      </c>
      <c r="B3267" t="s">
        <v>25</v>
      </c>
      <c r="C3267">
        <v>2022</v>
      </c>
      <c r="D3267" t="s">
        <v>12</v>
      </c>
      <c r="E3267">
        <v>0.37</v>
      </c>
      <c r="F3267" t="s">
        <v>13</v>
      </c>
    </row>
    <row r="3268" spans="1:6">
      <c r="A3268" t="s">
        <v>48</v>
      </c>
      <c r="B3268" t="s">
        <v>25</v>
      </c>
      <c r="C3268">
        <v>2022</v>
      </c>
      <c r="D3268" t="s">
        <v>14</v>
      </c>
      <c r="E3268">
        <v>0.6</v>
      </c>
      <c r="F3268" t="s">
        <v>15</v>
      </c>
    </row>
    <row r="3269" spans="1:6">
      <c r="A3269" t="s">
        <v>48</v>
      </c>
      <c r="B3269" t="s">
        <v>25</v>
      </c>
      <c r="C3269">
        <v>2022</v>
      </c>
      <c r="D3269" t="s">
        <v>164</v>
      </c>
      <c r="E3269">
        <v>1.111</v>
      </c>
      <c r="F3269" t="s">
        <v>166</v>
      </c>
    </row>
    <row r="3270" spans="1:6">
      <c r="A3270" t="s">
        <v>48</v>
      </c>
      <c r="B3270" t="s">
        <v>25</v>
      </c>
      <c r="C3270">
        <v>2030</v>
      </c>
      <c r="D3270" t="s">
        <v>6</v>
      </c>
      <c r="E3270">
        <v>550</v>
      </c>
      <c r="F3270" t="s">
        <v>7</v>
      </c>
    </row>
    <row r="3271" spans="1:6">
      <c r="A3271" t="s">
        <v>48</v>
      </c>
      <c r="B3271" t="s">
        <v>25</v>
      </c>
      <c r="C3271">
        <v>2030</v>
      </c>
      <c r="D3271" t="s">
        <v>8</v>
      </c>
      <c r="E3271">
        <v>550</v>
      </c>
      <c r="F3271" t="s">
        <v>7</v>
      </c>
    </row>
    <row r="3272" spans="1:6">
      <c r="A3272" t="s">
        <v>48</v>
      </c>
      <c r="B3272" t="s">
        <v>25</v>
      </c>
      <c r="C3272">
        <v>2030</v>
      </c>
      <c r="D3272" t="s">
        <v>9</v>
      </c>
      <c r="E3272">
        <v>550</v>
      </c>
      <c r="F3272" t="s">
        <v>7</v>
      </c>
    </row>
    <row r="3273" spans="1:6">
      <c r="A3273" t="s">
        <v>48</v>
      </c>
      <c r="B3273" t="s">
        <v>25</v>
      </c>
      <c r="C3273">
        <v>2030</v>
      </c>
      <c r="D3273" t="s">
        <v>10</v>
      </c>
      <c r="E3273">
        <v>20</v>
      </c>
      <c r="F3273" t="s">
        <v>11</v>
      </c>
    </row>
    <row r="3274" spans="1:6">
      <c r="A3274" t="s">
        <v>48</v>
      </c>
      <c r="B3274" t="s">
        <v>25</v>
      </c>
      <c r="C3274">
        <v>2030</v>
      </c>
      <c r="D3274" t="s">
        <v>12</v>
      </c>
      <c r="E3274">
        <v>0.37</v>
      </c>
      <c r="F3274" t="s">
        <v>13</v>
      </c>
    </row>
    <row r="3275" spans="1:6">
      <c r="A3275" t="s">
        <v>48</v>
      </c>
      <c r="B3275" t="s">
        <v>25</v>
      </c>
      <c r="C3275">
        <v>2030</v>
      </c>
      <c r="D3275" t="s">
        <v>14</v>
      </c>
      <c r="E3275">
        <v>0.6</v>
      </c>
      <c r="F3275" t="s">
        <v>15</v>
      </c>
    </row>
    <row r="3276" spans="1:6">
      <c r="A3276" t="s">
        <v>48</v>
      </c>
      <c r="B3276" t="s">
        <v>25</v>
      </c>
      <c r="C3276">
        <v>2030</v>
      </c>
      <c r="D3276" t="s">
        <v>164</v>
      </c>
      <c r="E3276">
        <v>1.111</v>
      </c>
      <c r="F3276" t="s">
        <v>166</v>
      </c>
    </row>
    <row r="3277" spans="1:6">
      <c r="A3277" t="s">
        <v>48</v>
      </c>
      <c r="B3277" t="s">
        <v>25</v>
      </c>
      <c r="C3277">
        <v>2050</v>
      </c>
      <c r="D3277" t="s">
        <v>6</v>
      </c>
      <c r="E3277">
        <v>525</v>
      </c>
      <c r="F3277" t="s">
        <v>7</v>
      </c>
    </row>
    <row r="3278" spans="1:6">
      <c r="A3278" t="s">
        <v>48</v>
      </c>
      <c r="B3278" t="s">
        <v>25</v>
      </c>
      <c r="C3278">
        <v>2050</v>
      </c>
      <c r="D3278" t="s">
        <v>8</v>
      </c>
      <c r="E3278">
        <v>525</v>
      </c>
      <c r="F3278" t="s">
        <v>7</v>
      </c>
    </row>
    <row r="3279" spans="1:6">
      <c r="A3279" t="s">
        <v>48</v>
      </c>
      <c r="B3279" t="s">
        <v>25</v>
      </c>
      <c r="C3279">
        <v>2050</v>
      </c>
      <c r="D3279" t="s">
        <v>9</v>
      </c>
      <c r="E3279">
        <v>525</v>
      </c>
      <c r="F3279" t="s">
        <v>7</v>
      </c>
    </row>
    <row r="3280" spans="1:6">
      <c r="A3280" t="s">
        <v>48</v>
      </c>
      <c r="B3280" t="s">
        <v>25</v>
      </c>
      <c r="C3280">
        <v>2050</v>
      </c>
      <c r="D3280" t="s">
        <v>10</v>
      </c>
      <c r="E3280">
        <v>20</v>
      </c>
      <c r="F3280" t="s">
        <v>11</v>
      </c>
    </row>
    <row r="3281" spans="1:6">
      <c r="A3281" t="s">
        <v>48</v>
      </c>
      <c r="B3281" t="s">
        <v>25</v>
      </c>
      <c r="C3281">
        <v>2050</v>
      </c>
      <c r="D3281" t="s">
        <v>12</v>
      </c>
      <c r="E3281">
        <v>0.37</v>
      </c>
      <c r="F3281" t="s">
        <v>13</v>
      </c>
    </row>
    <row r="3282" spans="1:6">
      <c r="A3282" t="s">
        <v>48</v>
      </c>
      <c r="B3282" t="s">
        <v>25</v>
      </c>
      <c r="C3282">
        <v>2050</v>
      </c>
      <c r="D3282" t="s">
        <v>14</v>
      </c>
      <c r="E3282">
        <v>0.6</v>
      </c>
      <c r="F3282" t="s">
        <v>15</v>
      </c>
    </row>
    <row r="3283" spans="1:6">
      <c r="A3283" t="s">
        <v>48</v>
      </c>
      <c r="B3283" t="s">
        <v>25</v>
      </c>
      <c r="C3283">
        <v>2050</v>
      </c>
      <c r="D3283" t="s">
        <v>164</v>
      </c>
      <c r="E3283">
        <v>1.111</v>
      </c>
      <c r="F3283" t="s">
        <v>166</v>
      </c>
    </row>
    <row r="3284" spans="1:6">
      <c r="A3284" t="s">
        <v>48</v>
      </c>
      <c r="B3284" t="s">
        <v>26</v>
      </c>
      <c r="C3284">
        <v>2022</v>
      </c>
      <c r="D3284" t="s">
        <v>6</v>
      </c>
      <c r="E3284">
        <v>575</v>
      </c>
      <c r="F3284" t="s">
        <v>7</v>
      </c>
    </row>
    <row r="3285" spans="1:6">
      <c r="A3285" t="s">
        <v>48</v>
      </c>
      <c r="B3285" t="s">
        <v>26</v>
      </c>
      <c r="C3285">
        <v>2022</v>
      </c>
      <c r="D3285" t="s">
        <v>8</v>
      </c>
      <c r="E3285">
        <v>575</v>
      </c>
      <c r="F3285" t="s">
        <v>7</v>
      </c>
    </row>
    <row r="3286" spans="1:6">
      <c r="A3286" t="s">
        <v>48</v>
      </c>
      <c r="B3286" t="s">
        <v>26</v>
      </c>
      <c r="C3286">
        <v>2022</v>
      </c>
      <c r="D3286" t="s">
        <v>9</v>
      </c>
      <c r="E3286">
        <v>575</v>
      </c>
      <c r="F3286" t="s">
        <v>7</v>
      </c>
    </row>
    <row r="3287" spans="1:6">
      <c r="A3287" t="s">
        <v>48</v>
      </c>
      <c r="B3287" t="s">
        <v>26</v>
      </c>
      <c r="C3287">
        <v>2022</v>
      </c>
      <c r="D3287" t="s">
        <v>10</v>
      </c>
      <c r="E3287">
        <v>20</v>
      </c>
      <c r="F3287" t="s">
        <v>11</v>
      </c>
    </row>
    <row r="3288" spans="1:6">
      <c r="A3288" t="s">
        <v>48</v>
      </c>
      <c r="B3288" t="s">
        <v>26</v>
      </c>
      <c r="C3288">
        <v>2022</v>
      </c>
      <c r="D3288" t="s">
        <v>12</v>
      </c>
      <c r="E3288">
        <v>0.37</v>
      </c>
      <c r="F3288" t="s">
        <v>13</v>
      </c>
    </row>
    <row r="3289" spans="1:6">
      <c r="A3289" t="s">
        <v>48</v>
      </c>
      <c r="B3289" t="s">
        <v>26</v>
      </c>
      <c r="C3289">
        <v>2022</v>
      </c>
      <c r="D3289" t="s">
        <v>14</v>
      </c>
      <c r="E3289">
        <v>0.6</v>
      </c>
      <c r="F3289" t="s">
        <v>15</v>
      </c>
    </row>
    <row r="3290" spans="1:6">
      <c r="A3290" t="s">
        <v>48</v>
      </c>
      <c r="B3290" t="s">
        <v>26</v>
      </c>
      <c r="C3290">
        <v>2022</v>
      </c>
      <c r="D3290" t="s">
        <v>164</v>
      </c>
      <c r="E3290">
        <v>1.111</v>
      </c>
      <c r="F3290" t="s">
        <v>166</v>
      </c>
    </row>
    <row r="3291" spans="1:6">
      <c r="A3291" t="s">
        <v>48</v>
      </c>
      <c r="B3291" t="s">
        <v>26</v>
      </c>
      <c r="C3291">
        <v>2030</v>
      </c>
      <c r="D3291" t="s">
        <v>6</v>
      </c>
      <c r="E3291">
        <v>550</v>
      </c>
      <c r="F3291" t="s">
        <v>7</v>
      </c>
    </row>
    <row r="3292" spans="1:6">
      <c r="A3292" t="s">
        <v>48</v>
      </c>
      <c r="B3292" t="s">
        <v>26</v>
      </c>
      <c r="C3292">
        <v>2030</v>
      </c>
      <c r="D3292" t="s">
        <v>8</v>
      </c>
      <c r="E3292">
        <v>550</v>
      </c>
      <c r="F3292" t="s">
        <v>7</v>
      </c>
    </row>
    <row r="3293" spans="1:6">
      <c r="A3293" t="s">
        <v>48</v>
      </c>
      <c r="B3293" t="s">
        <v>26</v>
      </c>
      <c r="C3293">
        <v>2030</v>
      </c>
      <c r="D3293" t="s">
        <v>9</v>
      </c>
      <c r="E3293">
        <v>550</v>
      </c>
      <c r="F3293" t="s">
        <v>7</v>
      </c>
    </row>
    <row r="3294" spans="1:6">
      <c r="A3294" t="s">
        <v>48</v>
      </c>
      <c r="B3294" t="s">
        <v>26</v>
      </c>
      <c r="C3294">
        <v>2030</v>
      </c>
      <c r="D3294" t="s">
        <v>10</v>
      </c>
      <c r="E3294">
        <v>20</v>
      </c>
      <c r="F3294" t="s">
        <v>11</v>
      </c>
    </row>
    <row r="3295" spans="1:6">
      <c r="A3295" t="s">
        <v>48</v>
      </c>
      <c r="B3295" t="s">
        <v>26</v>
      </c>
      <c r="C3295">
        <v>2030</v>
      </c>
      <c r="D3295" t="s">
        <v>12</v>
      </c>
      <c r="E3295">
        <v>0.37</v>
      </c>
      <c r="F3295" t="s">
        <v>13</v>
      </c>
    </row>
    <row r="3296" spans="1:6">
      <c r="A3296" t="s">
        <v>48</v>
      </c>
      <c r="B3296" t="s">
        <v>26</v>
      </c>
      <c r="C3296">
        <v>2030</v>
      </c>
      <c r="D3296" t="s">
        <v>14</v>
      </c>
      <c r="E3296">
        <v>0.6</v>
      </c>
      <c r="F3296" t="s">
        <v>15</v>
      </c>
    </row>
    <row r="3297" spans="1:6">
      <c r="A3297" t="s">
        <v>48</v>
      </c>
      <c r="B3297" t="s">
        <v>26</v>
      </c>
      <c r="C3297">
        <v>2030</v>
      </c>
      <c r="D3297" t="s">
        <v>164</v>
      </c>
      <c r="E3297">
        <v>1.111</v>
      </c>
      <c r="F3297" t="s">
        <v>166</v>
      </c>
    </row>
    <row r="3298" spans="1:6">
      <c r="A3298" t="s">
        <v>48</v>
      </c>
      <c r="B3298" t="s">
        <v>26</v>
      </c>
      <c r="C3298">
        <v>2050</v>
      </c>
      <c r="D3298" t="s">
        <v>6</v>
      </c>
      <c r="E3298">
        <v>525</v>
      </c>
      <c r="F3298" t="s">
        <v>7</v>
      </c>
    </row>
    <row r="3299" spans="1:6">
      <c r="A3299" t="s">
        <v>48</v>
      </c>
      <c r="B3299" t="s">
        <v>26</v>
      </c>
      <c r="C3299">
        <v>2050</v>
      </c>
      <c r="D3299" t="s">
        <v>8</v>
      </c>
      <c r="E3299">
        <v>525</v>
      </c>
      <c r="F3299" t="s">
        <v>7</v>
      </c>
    </row>
    <row r="3300" spans="1:6">
      <c r="A3300" t="s">
        <v>48</v>
      </c>
      <c r="B3300" t="s">
        <v>26</v>
      </c>
      <c r="C3300">
        <v>2050</v>
      </c>
      <c r="D3300" t="s">
        <v>9</v>
      </c>
      <c r="E3300">
        <v>525</v>
      </c>
      <c r="F3300" t="s">
        <v>7</v>
      </c>
    </row>
    <row r="3301" spans="1:6">
      <c r="A3301" t="s">
        <v>48</v>
      </c>
      <c r="B3301" t="s">
        <v>26</v>
      </c>
      <c r="C3301">
        <v>2050</v>
      </c>
      <c r="D3301" t="s">
        <v>10</v>
      </c>
      <c r="E3301">
        <v>20</v>
      </c>
      <c r="F3301" t="s">
        <v>11</v>
      </c>
    </row>
    <row r="3302" spans="1:6">
      <c r="A3302" t="s">
        <v>48</v>
      </c>
      <c r="B3302" t="s">
        <v>26</v>
      </c>
      <c r="C3302">
        <v>2050</v>
      </c>
      <c r="D3302" t="s">
        <v>12</v>
      </c>
      <c r="E3302">
        <v>0.37</v>
      </c>
      <c r="F3302" t="s">
        <v>13</v>
      </c>
    </row>
    <row r="3303" spans="1:6">
      <c r="A3303" t="s">
        <v>48</v>
      </c>
      <c r="B3303" t="s">
        <v>26</v>
      </c>
      <c r="C3303">
        <v>2050</v>
      </c>
      <c r="D3303" t="s">
        <v>14</v>
      </c>
      <c r="E3303">
        <v>0.6</v>
      </c>
      <c r="F3303" t="s">
        <v>15</v>
      </c>
    </row>
    <row r="3304" spans="1:6">
      <c r="A3304" t="s">
        <v>48</v>
      </c>
      <c r="B3304" t="s">
        <v>26</v>
      </c>
      <c r="C3304">
        <v>2050</v>
      </c>
      <c r="D3304" t="s">
        <v>164</v>
      </c>
      <c r="E3304">
        <v>1.111</v>
      </c>
      <c r="F3304" t="s">
        <v>166</v>
      </c>
    </row>
    <row r="3305" spans="1:6">
      <c r="A3305" t="s">
        <v>48</v>
      </c>
      <c r="B3305" t="s">
        <v>27</v>
      </c>
      <c r="C3305">
        <v>2022</v>
      </c>
      <c r="D3305" t="s">
        <v>6</v>
      </c>
      <c r="E3305">
        <v>525</v>
      </c>
      <c r="F3305" t="s">
        <v>7</v>
      </c>
    </row>
    <row r="3306" spans="1:6">
      <c r="A3306" t="s">
        <v>48</v>
      </c>
      <c r="B3306" t="s">
        <v>27</v>
      </c>
      <c r="C3306">
        <v>2022</v>
      </c>
      <c r="D3306" t="s">
        <v>8</v>
      </c>
      <c r="E3306">
        <v>525</v>
      </c>
      <c r="F3306" t="s">
        <v>7</v>
      </c>
    </row>
    <row r="3307" spans="1:6">
      <c r="A3307" t="s">
        <v>48</v>
      </c>
      <c r="B3307" t="s">
        <v>27</v>
      </c>
      <c r="C3307">
        <v>2022</v>
      </c>
      <c r="D3307" t="s">
        <v>9</v>
      </c>
      <c r="E3307">
        <v>525</v>
      </c>
      <c r="F3307" t="s">
        <v>7</v>
      </c>
    </row>
    <row r="3308" spans="1:6">
      <c r="A3308" t="s">
        <v>48</v>
      </c>
      <c r="B3308" t="s">
        <v>27</v>
      </c>
      <c r="C3308">
        <v>2022</v>
      </c>
      <c r="D3308" t="s">
        <v>10</v>
      </c>
      <c r="E3308">
        <v>20</v>
      </c>
      <c r="F3308" t="s">
        <v>11</v>
      </c>
    </row>
    <row r="3309" spans="1:6">
      <c r="A3309" t="s">
        <v>48</v>
      </c>
      <c r="B3309" t="s">
        <v>27</v>
      </c>
      <c r="C3309">
        <v>2022</v>
      </c>
      <c r="D3309" t="s">
        <v>12</v>
      </c>
      <c r="E3309">
        <v>0.37</v>
      </c>
      <c r="F3309" t="s">
        <v>13</v>
      </c>
    </row>
    <row r="3310" spans="1:6">
      <c r="A3310" t="s">
        <v>48</v>
      </c>
      <c r="B3310" t="s">
        <v>27</v>
      </c>
      <c r="C3310">
        <v>2022</v>
      </c>
      <c r="D3310" t="s">
        <v>14</v>
      </c>
      <c r="E3310">
        <v>0.4</v>
      </c>
      <c r="F3310" t="s">
        <v>15</v>
      </c>
    </row>
    <row r="3311" spans="1:6">
      <c r="A3311" t="s">
        <v>48</v>
      </c>
      <c r="B3311" t="s">
        <v>27</v>
      </c>
      <c r="C3311">
        <v>2022</v>
      </c>
      <c r="D3311" t="s">
        <v>164</v>
      </c>
      <c r="E3311">
        <v>1.111</v>
      </c>
      <c r="F3311" t="s">
        <v>166</v>
      </c>
    </row>
    <row r="3312" spans="1:6">
      <c r="A3312" t="s">
        <v>48</v>
      </c>
      <c r="B3312" t="s">
        <v>27</v>
      </c>
      <c r="C3312">
        <v>2030</v>
      </c>
      <c r="D3312" t="s">
        <v>6</v>
      </c>
      <c r="E3312">
        <v>500</v>
      </c>
      <c r="F3312" t="s">
        <v>7</v>
      </c>
    </row>
    <row r="3313" spans="1:6">
      <c r="A3313" t="s">
        <v>48</v>
      </c>
      <c r="B3313" t="s">
        <v>27</v>
      </c>
      <c r="C3313">
        <v>2030</v>
      </c>
      <c r="D3313" t="s">
        <v>8</v>
      </c>
      <c r="E3313">
        <v>500</v>
      </c>
      <c r="F3313" t="s">
        <v>7</v>
      </c>
    </row>
    <row r="3314" spans="1:6">
      <c r="A3314" t="s">
        <v>48</v>
      </c>
      <c r="B3314" t="s">
        <v>27</v>
      </c>
      <c r="C3314">
        <v>2030</v>
      </c>
      <c r="D3314" t="s">
        <v>9</v>
      </c>
      <c r="E3314">
        <v>500</v>
      </c>
      <c r="F3314" t="s">
        <v>7</v>
      </c>
    </row>
    <row r="3315" spans="1:6">
      <c r="A3315" t="s">
        <v>48</v>
      </c>
      <c r="B3315" t="s">
        <v>27</v>
      </c>
      <c r="C3315">
        <v>2030</v>
      </c>
      <c r="D3315" t="s">
        <v>10</v>
      </c>
      <c r="E3315">
        <v>20</v>
      </c>
      <c r="F3315" t="s">
        <v>11</v>
      </c>
    </row>
    <row r="3316" spans="1:6">
      <c r="A3316" t="s">
        <v>48</v>
      </c>
      <c r="B3316" t="s">
        <v>27</v>
      </c>
      <c r="C3316">
        <v>2030</v>
      </c>
      <c r="D3316" t="s">
        <v>12</v>
      </c>
      <c r="E3316">
        <v>0.37</v>
      </c>
      <c r="F3316" t="s">
        <v>13</v>
      </c>
    </row>
    <row r="3317" spans="1:6">
      <c r="A3317" t="s">
        <v>48</v>
      </c>
      <c r="B3317" t="s">
        <v>27</v>
      </c>
      <c r="C3317">
        <v>2030</v>
      </c>
      <c r="D3317" t="s">
        <v>14</v>
      </c>
      <c r="E3317">
        <v>0.4</v>
      </c>
      <c r="F3317" t="s">
        <v>15</v>
      </c>
    </row>
    <row r="3318" spans="1:6">
      <c r="A3318" t="s">
        <v>48</v>
      </c>
      <c r="B3318" t="s">
        <v>27</v>
      </c>
      <c r="C3318">
        <v>2030</v>
      </c>
      <c r="D3318" t="s">
        <v>164</v>
      </c>
      <c r="E3318">
        <v>1.111</v>
      </c>
      <c r="F3318" t="s">
        <v>166</v>
      </c>
    </row>
    <row r="3319" spans="1:6">
      <c r="A3319" t="s">
        <v>48</v>
      </c>
      <c r="B3319" t="s">
        <v>27</v>
      </c>
      <c r="C3319">
        <v>2050</v>
      </c>
      <c r="D3319" t="s">
        <v>6</v>
      </c>
      <c r="E3319">
        <v>500</v>
      </c>
      <c r="F3319" t="s">
        <v>7</v>
      </c>
    </row>
    <row r="3320" spans="1:6">
      <c r="A3320" t="s">
        <v>48</v>
      </c>
      <c r="B3320" t="s">
        <v>27</v>
      </c>
      <c r="C3320">
        <v>2050</v>
      </c>
      <c r="D3320" t="s">
        <v>8</v>
      </c>
      <c r="E3320">
        <v>500</v>
      </c>
      <c r="F3320" t="s">
        <v>7</v>
      </c>
    </row>
    <row r="3321" spans="1:6">
      <c r="A3321" t="s">
        <v>48</v>
      </c>
      <c r="B3321" t="s">
        <v>27</v>
      </c>
      <c r="C3321">
        <v>2050</v>
      </c>
      <c r="D3321" t="s">
        <v>9</v>
      </c>
      <c r="E3321">
        <v>500</v>
      </c>
      <c r="F3321" t="s">
        <v>7</v>
      </c>
    </row>
    <row r="3322" spans="1:6">
      <c r="A3322" t="s">
        <v>48</v>
      </c>
      <c r="B3322" t="s">
        <v>27</v>
      </c>
      <c r="C3322">
        <v>2050</v>
      </c>
      <c r="D3322" t="s">
        <v>10</v>
      </c>
      <c r="E3322">
        <v>20</v>
      </c>
      <c r="F3322" t="s">
        <v>11</v>
      </c>
    </row>
    <row r="3323" spans="1:6">
      <c r="A3323" t="s">
        <v>48</v>
      </c>
      <c r="B3323" t="s">
        <v>27</v>
      </c>
      <c r="C3323">
        <v>2050</v>
      </c>
      <c r="D3323" t="s">
        <v>12</v>
      </c>
      <c r="E3323">
        <v>0.37</v>
      </c>
      <c r="F3323" t="s">
        <v>13</v>
      </c>
    </row>
    <row r="3324" spans="1:6">
      <c r="A3324" t="s">
        <v>48</v>
      </c>
      <c r="B3324" t="s">
        <v>27</v>
      </c>
      <c r="C3324">
        <v>2050</v>
      </c>
      <c r="D3324" t="s">
        <v>14</v>
      </c>
      <c r="E3324">
        <v>0.4</v>
      </c>
      <c r="F3324" t="s">
        <v>15</v>
      </c>
    </row>
    <row r="3325" spans="1:6">
      <c r="A3325" t="s">
        <v>48</v>
      </c>
      <c r="B3325" t="s">
        <v>27</v>
      </c>
      <c r="C3325">
        <v>2050</v>
      </c>
      <c r="D3325" t="s">
        <v>164</v>
      </c>
      <c r="E3325">
        <v>1.111</v>
      </c>
      <c r="F3325" t="s">
        <v>166</v>
      </c>
    </row>
    <row r="3326" spans="1:6">
      <c r="A3326" t="s">
        <v>48</v>
      </c>
      <c r="B3326" t="s">
        <v>28</v>
      </c>
      <c r="C3326">
        <v>2022</v>
      </c>
      <c r="D3326" t="s">
        <v>6</v>
      </c>
      <c r="E3326">
        <v>550</v>
      </c>
      <c r="F3326" t="s">
        <v>7</v>
      </c>
    </row>
    <row r="3327" spans="1:6">
      <c r="A3327" t="s">
        <v>48</v>
      </c>
      <c r="B3327" t="s">
        <v>28</v>
      </c>
      <c r="C3327">
        <v>2022</v>
      </c>
      <c r="D3327" t="s">
        <v>8</v>
      </c>
      <c r="E3327">
        <v>550</v>
      </c>
      <c r="F3327" t="s">
        <v>7</v>
      </c>
    </row>
    <row r="3328" spans="1:6">
      <c r="A3328" t="s">
        <v>48</v>
      </c>
      <c r="B3328" t="s">
        <v>28</v>
      </c>
      <c r="C3328">
        <v>2022</v>
      </c>
      <c r="D3328" t="s">
        <v>9</v>
      </c>
      <c r="E3328">
        <v>550</v>
      </c>
      <c r="F3328" t="s">
        <v>7</v>
      </c>
    </row>
    <row r="3329" spans="1:6">
      <c r="A3329" t="s">
        <v>48</v>
      </c>
      <c r="B3329" t="s">
        <v>28</v>
      </c>
      <c r="C3329">
        <v>2022</v>
      </c>
      <c r="D3329" t="s">
        <v>10</v>
      </c>
      <c r="E3329">
        <v>20</v>
      </c>
      <c r="F3329" t="s">
        <v>11</v>
      </c>
    </row>
    <row r="3330" spans="1:6">
      <c r="A3330" t="s">
        <v>48</v>
      </c>
      <c r="B3330" t="s">
        <v>28</v>
      </c>
      <c r="C3330">
        <v>2022</v>
      </c>
      <c r="D3330" t="s">
        <v>12</v>
      </c>
      <c r="E3330">
        <v>0.37</v>
      </c>
      <c r="F3330" t="s">
        <v>13</v>
      </c>
    </row>
    <row r="3331" spans="1:6">
      <c r="A3331" t="s">
        <v>48</v>
      </c>
      <c r="B3331" t="s">
        <v>28</v>
      </c>
      <c r="C3331">
        <v>2022</v>
      </c>
      <c r="D3331" t="s">
        <v>14</v>
      </c>
      <c r="E3331">
        <v>0.7</v>
      </c>
      <c r="F3331" t="s">
        <v>15</v>
      </c>
    </row>
    <row r="3332" spans="1:6">
      <c r="A3332" t="s">
        <v>48</v>
      </c>
      <c r="B3332" t="s">
        <v>28</v>
      </c>
      <c r="C3332">
        <v>2022</v>
      </c>
      <c r="D3332" t="s">
        <v>164</v>
      </c>
      <c r="E3332">
        <v>1.111</v>
      </c>
      <c r="F3332" t="s">
        <v>166</v>
      </c>
    </row>
    <row r="3333" spans="1:6">
      <c r="A3333" t="s">
        <v>48</v>
      </c>
      <c r="B3333" t="s">
        <v>28</v>
      </c>
      <c r="C3333">
        <v>2030</v>
      </c>
      <c r="D3333" t="s">
        <v>6</v>
      </c>
      <c r="E3333">
        <v>550</v>
      </c>
      <c r="F3333" t="s">
        <v>7</v>
      </c>
    </row>
    <row r="3334" spans="1:6">
      <c r="A3334" t="s">
        <v>48</v>
      </c>
      <c r="B3334" t="s">
        <v>28</v>
      </c>
      <c r="C3334">
        <v>2030</v>
      </c>
      <c r="D3334" t="s">
        <v>8</v>
      </c>
      <c r="E3334">
        <v>550</v>
      </c>
      <c r="F3334" t="s">
        <v>7</v>
      </c>
    </row>
    <row r="3335" spans="1:6">
      <c r="A3335" t="s">
        <v>48</v>
      </c>
      <c r="B3335" t="s">
        <v>28</v>
      </c>
      <c r="C3335">
        <v>2030</v>
      </c>
      <c r="D3335" t="s">
        <v>9</v>
      </c>
      <c r="E3335">
        <v>550</v>
      </c>
      <c r="F3335" t="s">
        <v>7</v>
      </c>
    </row>
    <row r="3336" spans="1:6">
      <c r="A3336" t="s">
        <v>48</v>
      </c>
      <c r="B3336" t="s">
        <v>28</v>
      </c>
      <c r="C3336">
        <v>2030</v>
      </c>
      <c r="D3336" t="s">
        <v>10</v>
      </c>
      <c r="E3336">
        <v>20</v>
      </c>
      <c r="F3336" t="s">
        <v>11</v>
      </c>
    </row>
    <row r="3337" spans="1:6">
      <c r="A3337" t="s">
        <v>48</v>
      </c>
      <c r="B3337" t="s">
        <v>28</v>
      </c>
      <c r="C3337">
        <v>2030</v>
      </c>
      <c r="D3337" t="s">
        <v>12</v>
      </c>
      <c r="E3337">
        <v>0.37</v>
      </c>
      <c r="F3337" t="s">
        <v>13</v>
      </c>
    </row>
    <row r="3338" spans="1:6">
      <c r="A3338" t="s">
        <v>48</v>
      </c>
      <c r="B3338" t="s">
        <v>28</v>
      </c>
      <c r="C3338">
        <v>2030</v>
      </c>
      <c r="D3338" t="s">
        <v>14</v>
      </c>
      <c r="E3338">
        <v>0.7</v>
      </c>
      <c r="F3338" t="s">
        <v>15</v>
      </c>
    </row>
    <row r="3339" spans="1:6">
      <c r="A3339" t="s">
        <v>48</v>
      </c>
      <c r="B3339" t="s">
        <v>28</v>
      </c>
      <c r="C3339">
        <v>2030</v>
      </c>
      <c r="D3339" t="s">
        <v>164</v>
      </c>
      <c r="E3339">
        <v>1.111</v>
      </c>
      <c r="F3339" t="s">
        <v>166</v>
      </c>
    </row>
    <row r="3340" spans="1:6">
      <c r="A3340" t="s">
        <v>48</v>
      </c>
      <c r="B3340" t="s">
        <v>28</v>
      </c>
      <c r="C3340">
        <v>2050</v>
      </c>
      <c r="D3340" t="s">
        <v>6</v>
      </c>
      <c r="E3340">
        <v>525</v>
      </c>
      <c r="F3340" t="s">
        <v>7</v>
      </c>
    </row>
    <row r="3341" spans="1:6">
      <c r="A3341" t="s">
        <v>48</v>
      </c>
      <c r="B3341" t="s">
        <v>28</v>
      </c>
      <c r="C3341">
        <v>2050</v>
      </c>
      <c r="D3341" t="s">
        <v>8</v>
      </c>
      <c r="E3341">
        <v>525</v>
      </c>
      <c r="F3341" t="s">
        <v>7</v>
      </c>
    </row>
    <row r="3342" spans="1:6">
      <c r="A3342" t="s">
        <v>48</v>
      </c>
      <c r="B3342" t="s">
        <v>28</v>
      </c>
      <c r="C3342">
        <v>2050</v>
      </c>
      <c r="D3342" t="s">
        <v>9</v>
      </c>
      <c r="E3342">
        <v>525</v>
      </c>
      <c r="F3342" t="s">
        <v>7</v>
      </c>
    </row>
    <row r="3343" spans="1:6">
      <c r="A3343" t="s">
        <v>48</v>
      </c>
      <c r="B3343" t="s">
        <v>28</v>
      </c>
      <c r="C3343">
        <v>2050</v>
      </c>
      <c r="D3343" t="s">
        <v>10</v>
      </c>
      <c r="E3343">
        <v>20</v>
      </c>
      <c r="F3343" t="s">
        <v>11</v>
      </c>
    </row>
    <row r="3344" spans="1:6">
      <c r="A3344" t="s">
        <v>48</v>
      </c>
      <c r="B3344" t="s">
        <v>28</v>
      </c>
      <c r="C3344">
        <v>2050</v>
      </c>
      <c r="D3344" t="s">
        <v>12</v>
      </c>
      <c r="E3344">
        <v>0.37</v>
      </c>
      <c r="F3344" t="s">
        <v>13</v>
      </c>
    </row>
    <row r="3345" spans="1:6">
      <c r="A3345" t="s">
        <v>48</v>
      </c>
      <c r="B3345" t="s">
        <v>28</v>
      </c>
      <c r="C3345">
        <v>2050</v>
      </c>
      <c r="D3345" t="s">
        <v>14</v>
      </c>
      <c r="E3345">
        <v>0.7</v>
      </c>
      <c r="F3345" t="s">
        <v>15</v>
      </c>
    </row>
    <row r="3346" spans="1:6">
      <c r="A3346" t="s">
        <v>48</v>
      </c>
      <c r="B3346" t="s">
        <v>28</v>
      </c>
      <c r="C3346">
        <v>2050</v>
      </c>
      <c r="D3346" t="s">
        <v>164</v>
      </c>
      <c r="E3346">
        <v>1.111</v>
      </c>
      <c r="F3346" t="s">
        <v>166</v>
      </c>
    </row>
    <row r="3347" spans="1:6">
      <c r="A3347" t="s">
        <v>49</v>
      </c>
      <c r="B3347" t="s">
        <v>20</v>
      </c>
      <c r="C3347">
        <v>2022</v>
      </c>
      <c r="D3347" t="s">
        <v>6</v>
      </c>
      <c r="E3347">
        <v>3750</v>
      </c>
      <c r="F3347" t="s">
        <v>7</v>
      </c>
    </row>
    <row r="3348" spans="1:6">
      <c r="A3348" t="s">
        <v>49</v>
      </c>
      <c r="B3348" t="s">
        <v>20</v>
      </c>
      <c r="C3348">
        <v>2022</v>
      </c>
      <c r="D3348" t="s">
        <v>8</v>
      </c>
      <c r="E3348">
        <v>3750</v>
      </c>
      <c r="F3348" t="s">
        <v>7</v>
      </c>
    </row>
    <row r="3349" spans="1:6">
      <c r="A3349" t="s">
        <v>49</v>
      </c>
      <c r="B3349" t="s">
        <v>20</v>
      </c>
      <c r="C3349">
        <v>2022</v>
      </c>
      <c r="D3349" t="s">
        <v>9</v>
      </c>
      <c r="E3349">
        <v>3750</v>
      </c>
      <c r="F3349" t="s">
        <v>7</v>
      </c>
    </row>
    <row r="3350" spans="1:6">
      <c r="A3350" t="s">
        <v>49</v>
      </c>
      <c r="B3350" t="s">
        <v>20</v>
      </c>
      <c r="C3350">
        <v>2022</v>
      </c>
      <c r="D3350" t="s">
        <v>10</v>
      </c>
      <c r="E3350">
        <v>140</v>
      </c>
      <c r="F3350" t="s">
        <v>11</v>
      </c>
    </row>
    <row r="3351" spans="1:6">
      <c r="A3351" t="s">
        <v>49</v>
      </c>
      <c r="B3351" t="s">
        <v>20</v>
      </c>
      <c r="C3351">
        <v>2022</v>
      </c>
      <c r="D3351" t="s">
        <v>12</v>
      </c>
      <c r="E3351">
        <v>0.38500000000000001</v>
      </c>
      <c r="F3351" t="s">
        <v>13</v>
      </c>
    </row>
    <row r="3352" spans="1:6">
      <c r="A3352" t="s">
        <v>49</v>
      </c>
      <c r="B3352" t="s">
        <v>20</v>
      </c>
      <c r="C3352">
        <v>2022</v>
      </c>
      <c r="D3352" t="s">
        <v>14</v>
      </c>
      <c r="E3352">
        <v>0.7</v>
      </c>
      <c r="F3352" t="s">
        <v>15</v>
      </c>
    </row>
    <row r="3353" spans="1:6">
      <c r="A3353" t="s">
        <v>49</v>
      </c>
      <c r="B3353" t="s">
        <v>20</v>
      </c>
      <c r="C3353">
        <v>2022</v>
      </c>
      <c r="D3353" t="s">
        <v>164</v>
      </c>
      <c r="E3353">
        <v>1.667</v>
      </c>
      <c r="F3353" t="s">
        <v>166</v>
      </c>
    </row>
    <row r="3354" spans="1:6">
      <c r="A3354" t="s">
        <v>49</v>
      </c>
      <c r="B3354" t="s">
        <v>20</v>
      </c>
      <c r="C3354">
        <v>2030</v>
      </c>
      <c r="D3354" t="s">
        <v>6</v>
      </c>
      <c r="E3354">
        <v>3650</v>
      </c>
      <c r="F3354" t="s">
        <v>7</v>
      </c>
    </row>
    <row r="3355" spans="1:6">
      <c r="A3355" t="s">
        <v>49</v>
      </c>
      <c r="B3355" t="s">
        <v>20</v>
      </c>
      <c r="C3355">
        <v>2030</v>
      </c>
      <c r="D3355" t="s">
        <v>8</v>
      </c>
      <c r="E3355">
        <v>3650</v>
      </c>
      <c r="F3355" t="s">
        <v>7</v>
      </c>
    </row>
    <row r="3356" spans="1:6">
      <c r="A3356" t="s">
        <v>49</v>
      </c>
      <c r="B3356" t="s">
        <v>20</v>
      </c>
      <c r="C3356">
        <v>2030</v>
      </c>
      <c r="D3356" t="s">
        <v>9</v>
      </c>
      <c r="E3356">
        <v>3650</v>
      </c>
      <c r="F3356" t="s">
        <v>7</v>
      </c>
    </row>
    <row r="3357" spans="1:6">
      <c r="A3357" t="s">
        <v>49</v>
      </c>
      <c r="B3357" t="s">
        <v>20</v>
      </c>
      <c r="C3357">
        <v>2030</v>
      </c>
      <c r="D3357" t="s">
        <v>10</v>
      </c>
      <c r="E3357">
        <v>140</v>
      </c>
      <c r="F3357" t="s">
        <v>11</v>
      </c>
    </row>
    <row r="3358" spans="1:6">
      <c r="A3358" t="s">
        <v>49</v>
      </c>
      <c r="B3358" t="s">
        <v>20</v>
      </c>
      <c r="C3358">
        <v>2030</v>
      </c>
      <c r="D3358" t="s">
        <v>12</v>
      </c>
      <c r="E3358">
        <v>0.38500000000000001</v>
      </c>
      <c r="F3358" t="s">
        <v>13</v>
      </c>
    </row>
    <row r="3359" spans="1:6">
      <c r="A3359" t="s">
        <v>49</v>
      </c>
      <c r="B3359" t="s">
        <v>20</v>
      </c>
      <c r="C3359">
        <v>2030</v>
      </c>
      <c r="D3359" t="s">
        <v>14</v>
      </c>
      <c r="E3359">
        <v>0.7</v>
      </c>
      <c r="F3359" t="s">
        <v>15</v>
      </c>
    </row>
    <row r="3360" spans="1:6">
      <c r="A3360" t="s">
        <v>49</v>
      </c>
      <c r="B3360" t="s">
        <v>20</v>
      </c>
      <c r="C3360">
        <v>2030</v>
      </c>
      <c r="D3360" t="s">
        <v>164</v>
      </c>
      <c r="E3360">
        <v>1.667</v>
      </c>
      <c r="F3360" t="s">
        <v>166</v>
      </c>
    </row>
    <row r="3361" spans="1:6">
      <c r="A3361" t="s">
        <v>49</v>
      </c>
      <c r="B3361" t="s">
        <v>20</v>
      </c>
      <c r="C3361">
        <v>2050</v>
      </c>
      <c r="D3361" t="s">
        <v>6</v>
      </c>
      <c r="E3361">
        <v>3550</v>
      </c>
      <c r="F3361" t="s">
        <v>7</v>
      </c>
    </row>
    <row r="3362" spans="1:6">
      <c r="A3362" t="s">
        <v>49</v>
      </c>
      <c r="B3362" t="s">
        <v>20</v>
      </c>
      <c r="C3362">
        <v>2050</v>
      </c>
      <c r="D3362" t="s">
        <v>8</v>
      </c>
      <c r="E3362">
        <v>3550</v>
      </c>
      <c r="F3362" t="s">
        <v>7</v>
      </c>
    </row>
    <row r="3363" spans="1:6">
      <c r="A3363" t="s">
        <v>49</v>
      </c>
      <c r="B3363" t="s">
        <v>20</v>
      </c>
      <c r="C3363">
        <v>2050</v>
      </c>
      <c r="D3363" t="s">
        <v>9</v>
      </c>
      <c r="E3363">
        <v>3550</v>
      </c>
      <c r="F3363" t="s">
        <v>7</v>
      </c>
    </row>
    <row r="3364" spans="1:6">
      <c r="A3364" t="s">
        <v>49</v>
      </c>
      <c r="B3364" t="s">
        <v>20</v>
      </c>
      <c r="C3364">
        <v>2050</v>
      </c>
      <c r="D3364" t="s">
        <v>10</v>
      </c>
      <c r="E3364">
        <v>130</v>
      </c>
      <c r="F3364" t="s">
        <v>11</v>
      </c>
    </row>
    <row r="3365" spans="1:6">
      <c r="A3365" t="s">
        <v>49</v>
      </c>
      <c r="B3365" t="s">
        <v>20</v>
      </c>
      <c r="C3365">
        <v>2050</v>
      </c>
      <c r="D3365" t="s">
        <v>12</v>
      </c>
      <c r="E3365">
        <v>0.38500000000000001</v>
      </c>
      <c r="F3365" t="s">
        <v>13</v>
      </c>
    </row>
    <row r="3366" spans="1:6">
      <c r="A3366" t="s">
        <v>49</v>
      </c>
      <c r="B3366" t="s">
        <v>20</v>
      </c>
      <c r="C3366">
        <v>2050</v>
      </c>
      <c r="D3366" t="s">
        <v>14</v>
      </c>
      <c r="E3366">
        <v>0.7</v>
      </c>
      <c r="F3366" t="s">
        <v>15</v>
      </c>
    </row>
    <row r="3367" spans="1:6">
      <c r="A3367" t="s">
        <v>49</v>
      </c>
      <c r="B3367" t="s">
        <v>20</v>
      </c>
      <c r="C3367">
        <v>2050</v>
      </c>
      <c r="D3367" t="s">
        <v>164</v>
      </c>
      <c r="E3367">
        <v>1.667</v>
      </c>
      <c r="F3367" t="s">
        <v>166</v>
      </c>
    </row>
    <row r="3368" spans="1:6">
      <c r="A3368" t="s">
        <v>49</v>
      </c>
      <c r="B3368" t="s">
        <v>21</v>
      </c>
      <c r="C3368">
        <v>2022</v>
      </c>
      <c r="D3368" t="s">
        <v>6</v>
      </c>
      <c r="E3368">
        <v>4050</v>
      </c>
      <c r="F3368" t="s">
        <v>7</v>
      </c>
    </row>
    <row r="3369" spans="1:6">
      <c r="A3369" t="s">
        <v>49</v>
      </c>
      <c r="B3369" t="s">
        <v>21</v>
      </c>
      <c r="C3369">
        <v>2022</v>
      </c>
      <c r="D3369" t="s">
        <v>8</v>
      </c>
      <c r="E3369">
        <v>4050</v>
      </c>
      <c r="F3369" t="s">
        <v>7</v>
      </c>
    </row>
    <row r="3370" spans="1:6">
      <c r="A3370" t="s">
        <v>49</v>
      </c>
      <c r="B3370" t="s">
        <v>21</v>
      </c>
      <c r="C3370">
        <v>2022</v>
      </c>
      <c r="D3370" t="s">
        <v>9</v>
      </c>
      <c r="E3370">
        <v>4050</v>
      </c>
      <c r="F3370" t="s">
        <v>7</v>
      </c>
    </row>
    <row r="3371" spans="1:6">
      <c r="A3371" t="s">
        <v>49</v>
      </c>
      <c r="B3371" t="s">
        <v>21</v>
      </c>
      <c r="C3371">
        <v>2022</v>
      </c>
      <c r="D3371" t="s">
        <v>10</v>
      </c>
      <c r="E3371">
        <v>150</v>
      </c>
      <c r="F3371" t="s">
        <v>11</v>
      </c>
    </row>
    <row r="3372" spans="1:6">
      <c r="A3372" t="s">
        <v>49</v>
      </c>
      <c r="B3372" t="s">
        <v>21</v>
      </c>
      <c r="C3372">
        <v>2022</v>
      </c>
      <c r="D3372" t="s">
        <v>12</v>
      </c>
      <c r="E3372">
        <v>0.38500000000000001</v>
      </c>
      <c r="F3372" t="s">
        <v>13</v>
      </c>
    </row>
    <row r="3373" spans="1:6">
      <c r="A3373" t="s">
        <v>49</v>
      </c>
      <c r="B3373" t="s">
        <v>21</v>
      </c>
      <c r="C3373">
        <v>2022</v>
      </c>
      <c r="D3373" t="s">
        <v>14</v>
      </c>
      <c r="E3373">
        <v>0.5</v>
      </c>
      <c r="F3373" t="s">
        <v>15</v>
      </c>
    </row>
    <row r="3374" spans="1:6">
      <c r="A3374" t="s">
        <v>49</v>
      </c>
      <c r="B3374" t="s">
        <v>21</v>
      </c>
      <c r="C3374">
        <v>2022</v>
      </c>
      <c r="D3374" t="s">
        <v>164</v>
      </c>
      <c r="E3374">
        <v>1.667</v>
      </c>
      <c r="F3374" t="s">
        <v>166</v>
      </c>
    </row>
    <row r="3375" spans="1:6">
      <c r="A3375" t="s">
        <v>49</v>
      </c>
      <c r="B3375" t="s">
        <v>21</v>
      </c>
      <c r="C3375">
        <v>2030</v>
      </c>
      <c r="D3375" t="s">
        <v>6</v>
      </c>
      <c r="E3375">
        <v>3950</v>
      </c>
      <c r="F3375" t="s">
        <v>7</v>
      </c>
    </row>
    <row r="3376" spans="1:6">
      <c r="A3376" t="s">
        <v>49</v>
      </c>
      <c r="B3376" t="s">
        <v>21</v>
      </c>
      <c r="C3376">
        <v>2030</v>
      </c>
      <c r="D3376" t="s">
        <v>8</v>
      </c>
      <c r="E3376">
        <v>3950</v>
      </c>
      <c r="F3376" t="s">
        <v>7</v>
      </c>
    </row>
    <row r="3377" spans="1:6">
      <c r="A3377" t="s">
        <v>49</v>
      </c>
      <c r="B3377" t="s">
        <v>21</v>
      </c>
      <c r="C3377">
        <v>2030</v>
      </c>
      <c r="D3377" t="s">
        <v>9</v>
      </c>
      <c r="E3377">
        <v>3950</v>
      </c>
      <c r="F3377" t="s">
        <v>7</v>
      </c>
    </row>
    <row r="3378" spans="1:6">
      <c r="A3378" t="s">
        <v>49</v>
      </c>
      <c r="B3378" t="s">
        <v>21</v>
      </c>
      <c r="C3378">
        <v>2030</v>
      </c>
      <c r="D3378" t="s">
        <v>10</v>
      </c>
      <c r="E3378">
        <v>150</v>
      </c>
      <c r="F3378" t="s">
        <v>11</v>
      </c>
    </row>
    <row r="3379" spans="1:6">
      <c r="A3379" t="s">
        <v>49</v>
      </c>
      <c r="B3379" t="s">
        <v>21</v>
      </c>
      <c r="C3379">
        <v>2030</v>
      </c>
      <c r="D3379" t="s">
        <v>12</v>
      </c>
      <c r="E3379">
        <v>0.38500000000000001</v>
      </c>
      <c r="F3379" t="s">
        <v>13</v>
      </c>
    </row>
    <row r="3380" spans="1:6">
      <c r="A3380" t="s">
        <v>49</v>
      </c>
      <c r="B3380" t="s">
        <v>21</v>
      </c>
      <c r="C3380">
        <v>2030</v>
      </c>
      <c r="D3380" t="s">
        <v>14</v>
      </c>
      <c r="E3380">
        <v>0.5</v>
      </c>
      <c r="F3380" t="s">
        <v>15</v>
      </c>
    </row>
    <row r="3381" spans="1:6">
      <c r="A3381" t="s">
        <v>49</v>
      </c>
      <c r="B3381" t="s">
        <v>21</v>
      </c>
      <c r="C3381">
        <v>2030</v>
      </c>
      <c r="D3381" t="s">
        <v>164</v>
      </c>
      <c r="E3381">
        <v>1.667</v>
      </c>
      <c r="F3381" t="s">
        <v>166</v>
      </c>
    </row>
    <row r="3382" spans="1:6">
      <c r="A3382" t="s">
        <v>49</v>
      </c>
      <c r="B3382" t="s">
        <v>21</v>
      </c>
      <c r="C3382">
        <v>2050</v>
      </c>
      <c r="D3382" t="s">
        <v>6</v>
      </c>
      <c r="E3382">
        <v>3850</v>
      </c>
      <c r="F3382" t="s">
        <v>7</v>
      </c>
    </row>
    <row r="3383" spans="1:6">
      <c r="A3383" t="s">
        <v>49</v>
      </c>
      <c r="B3383" t="s">
        <v>21</v>
      </c>
      <c r="C3383">
        <v>2050</v>
      </c>
      <c r="D3383" t="s">
        <v>8</v>
      </c>
      <c r="E3383">
        <v>3850</v>
      </c>
      <c r="F3383" t="s">
        <v>7</v>
      </c>
    </row>
    <row r="3384" spans="1:6">
      <c r="A3384" t="s">
        <v>49</v>
      </c>
      <c r="B3384" t="s">
        <v>21</v>
      </c>
      <c r="C3384">
        <v>2050</v>
      </c>
      <c r="D3384" t="s">
        <v>9</v>
      </c>
      <c r="E3384">
        <v>3850</v>
      </c>
      <c r="F3384" t="s">
        <v>7</v>
      </c>
    </row>
    <row r="3385" spans="1:6">
      <c r="A3385" t="s">
        <v>49</v>
      </c>
      <c r="B3385" t="s">
        <v>21</v>
      </c>
      <c r="C3385">
        <v>2050</v>
      </c>
      <c r="D3385" t="s">
        <v>10</v>
      </c>
      <c r="E3385">
        <v>145</v>
      </c>
      <c r="F3385" t="s">
        <v>11</v>
      </c>
    </row>
    <row r="3386" spans="1:6">
      <c r="A3386" t="s">
        <v>49</v>
      </c>
      <c r="B3386" t="s">
        <v>21</v>
      </c>
      <c r="C3386">
        <v>2050</v>
      </c>
      <c r="D3386" t="s">
        <v>12</v>
      </c>
      <c r="E3386">
        <v>0.38500000000000001</v>
      </c>
      <c r="F3386" t="s">
        <v>13</v>
      </c>
    </row>
    <row r="3387" spans="1:6">
      <c r="A3387" t="s">
        <v>49</v>
      </c>
      <c r="B3387" t="s">
        <v>21</v>
      </c>
      <c r="C3387">
        <v>2050</v>
      </c>
      <c r="D3387" t="s">
        <v>14</v>
      </c>
      <c r="E3387">
        <v>0.5</v>
      </c>
      <c r="F3387" t="s">
        <v>15</v>
      </c>
    </row>
    <row r="3388" spans="1:6">
      <c r="A3388" t="s">
        <v>49</v>
      </c>
      <c r="B3388" t="s">
        <v>21</v>
      </c>
      <c r="C3388">
        <v>2050</v>
      </c>
      <c r="D3388" t="s">
        <v>164</v>
      </c>
      <c r="E3388">
        <v>1.667</v>
      </c>
      <c r="F3388" t="s">
        <v>166</v>
      </c>
    </row>
    <row r="3389" spans="1:6">
      <c r="A3389" t="s">
        <v>49</v>
      </c>
      <c r="B3389" t="s">
        <v>22</v>
      </c>
      <c r="C3389">
        <v>2022</v>
      </c>
      <c r="D3389" t="s">
        <v>6</v>
      </c>
      <c r="E3389">
        <v>3900</v>
      </c>
      <c r="F3389" t="s">
        <v>7</v>
      </c>
    </row>
    <row r="3390" spans="1:6">
      <c r="A3390" t="s">
        <v>49</v>
      </c>
      <c r="B3390" t="s">
        <v>22</v>
      </c>
      <c r="C3390">
        <v>2022</v>
      </c>
      <c r="D3390" t="s">
        <v>8</v>
      </c>
      <c r="E3390">
        <v>3900</v>
      </c>
      <c r="F3390" t="s">
        <v>7</v>
      </c>
    </row>
    <row r="3391" spans="1:6">
      <c r="A3391" t="s">
        <v>49</v>
      </c>
      <c r="B3391" t="s">
        <v>22</v>
      </c>
      <c r="C3391">
        <v>2022</v>
      </c>
      <c r="D3391" t="s">
        <v>9</v>
      </c>
      <c r="E3391">
        <v>3900</v>
      </c>
      <c r="F3391" t="s">
        <v>7</v>
      </c>
    </row>
    <row r="3392" spans="1:6">
      <c r="A3392" t="s">
        <v>49</v>
      </c>
      <c r="B3392" t="s">
        <v>22</v>
      </c>
      <c r="C3392">
        <v>2022</v>
      </c>
      <c r="D3392" t="s">
        <v>10</v>
      </c>
      <c r="E3392">
        <v>145</v>
      </c>
      <c r="F3392" t="s">
        <v>11</v>
      </c>
    </row>
    <row r="3393" spans="1:6">
      <c r="A3393" t="s">
        <v>49</v>
      </c>
      <c r="B3393" t="s">
        <v>22</v>
      </c>
      <c r="C3393">
        <v>2022</v>
      </c>
      <c r="D3393" t="s">
        <v>12</v>
      </c>
      <c r="E3393">
        <v>0.38500000000000001</v>
      </c>
      <c r="F3393" t="s">
        <v>13</v>
      </c>
    </row>
    <row r="3394" spans="1:6">
      <c r="A3394" t="s">
        <v>49</v>
      </c>
      <c r="B3394" t="s">
        <v>22</v>
      </c>
      <c r="C3394">
        <v>2022</v>
      </c>
      <c r="D3394" t="s">
        <v>14</v>
      </c>
      <c r="E3394">
        <v>0.6</v>
      </c>
      <c r="F3394" t="s">
        <v>15</v>
      </c>
    </row>
    <row r="3395" spans="1:6">
      <c r="A3395" t="s">
        <v>49</v>
      </c>
      <c r="B3395" t="s">
        <v>22</v>
      </c>
      <c r="C3395">
        <v>2022</v>
      </c>
      <c r="D3395" t="s">
        <v>164</v>
      </c>
      <c r="E3395">
        <v>1.667</v>
      </c>
      <c r="F3395" t="s">
        <v>166</v>
      </c>
    </row>
    <row r="3396" spans="1:6">
      <c r="A3396" t="s">
        <v>49</v>
      </c>
      <c r="B3396" t="s">
        <v>22</v>
      </c>
      <c r="C3396">
        <v>2030</v>
      </c>
      <c r="D3396" t="s">
        <v>6</v>
      </c>
      <c r="E3396">
        <v>3800</v>
      </c>
      <c r="F3396" t="s">
        <v>7</v>
      </c>
    </row>
    <row r="3397" spans="1:6">
      <c r="A3397" t="s">
        <v>49</v>
      </c>
      <c r="B3397" t="s">
        <v>22</v>
      </c>
      <c r="C3397">
        <v>2030</v>
      </c>
      <c r="D3397" t="s">
        <v>8</v>
      </c>
      <c r="E3397">
        <v>3800</v>
      </c>
      <c r="F3397" t="s">
        <v>7</v>
      </c>
    </row>
    <row r="3398" spans="1:6">
      <c r="A3398" t="s">
        <v>49</v>
      </c>
      <c r="B3398" t="s">
        <v>22</v>
      </c>
      <c r="C3398">
        <v>2030</v>
      </c>
      <c r="D3398" t="s">
        <v>9</v>
      </c>
      <c r="E3398">
        <v>3800</v>
      </c>
      <c r="F3398" t="s">
        <v>7</v>
      </c>
    </row>
    <row r="3399" spans="1:6">
      <c r="A3399" t="s">
        <v>49</v>
      </c>
      <c r="B3399" t="s">
        <v>22</v>
      </c>
      <c r="C3399">
        <v>2030</v>
      </c>
      <c r="D3399" t="s">
        <v>10</v>
      </c>
      <c r="E3399">
        <v>145</v>
      </c>
      <c r="F3399" t="s">
        <v>11</v>
      </c>
    </row>
    <row r="3400" spans="1:6">
      <c r="A3400" t="s">
        <v>49</v>
      </c>
      <c r="B3400" t="s">
        <v>22</v>
      </c>
      <c r="C3400">
        <v>2030</v>
      </c>
      <c r="D3400" t="s">
        <v>12</v>
      </c>
      <c r="E3400">
        <v>0.38500000000000001</v>
      </c>
      <c r="F3400" t="s">
        <v>13</v>
      </c>
    </row>
    <row r="3401" spans="1:6">
      <c r="A3401" t="s">
        <v>49</v>
      </c>
      <c r="B3401" t="s">
        <v>22</v>
      </c>
      <c r="C3401">
        <v>2030</v>
      </c>
      <c r="D3401" t="s">
        <v>14</v>
      </c>
      <c r="E3401">
        <v>0.6</v>
      </c>
      <c r="F3401" t="s">
        <v>15</v>
      </c>
    </row>
    <row r="3402" spans="1:6">
      <c r="A3402" t="s">
        <v>49</v>
      </c>
      <c r="B3402" t="s">
        <v>22</v>
      </c>
      <c r="C3402">
        <v>2030</v>
      </c>
      <c r="D3402" t="s">
        <v>164</v>
      </c>
      <c r="E3402">
        <v>1.667</v>
      </c>
      <c r="F3402" t="s">
        <v>166</v>
      </c>
    </row>
    <row r="3403" spans="1:6">
      <c r="A3403" t="s">
        <v>49</v>
      </c>
      <c r="B3403" t="s">
        <v>22</v>
      </c>
      <c r="C3403">
        <v>2050</v>
      </c>
      <c r="D3403" t="s">
        <v>6</v>
      </c>
      <c r="E3403">
        <v>3700</v>
      </c>
      <c r="F3403" t="s">
        <v>7</v>
      </c>
    </row>
    <row r="3404" spans="1:6">
      <c r="A3404" t="s">
        <v>49</v>
      </c>
      <c r="B3404" t="s">
        <v>22</v>
      </c>
      <c r="C3404">
        <v>2050</v>
      </c>
      <c r="D3404" t="s">
        <v>8</v>
      </c>
      <c r="E3404">
        <v>3700</v>
      </c>
      <c r="F3404" t="s">
        <v>7</v>
      </c>
    </row>
    <row r="3405" spans="1:6">
      <c r="A3405" t="s">
        <v>49</v>
      </c>
      <c r="B3405" t="s">
        <v>22</v>
      </c>
      <c r="C3405">
        <v>2050</v>
      </c>
      <c r="D3405" t="s">
        <v>9</v>
      </c>
      <c r="E3405">
        <v>3700</v>
      </c>
      <c r="F3405" t="s">
        <v>7</v>
      </c>
    </row>
    <row r="3406" spans="1:6">
      <c r="A3406" t="s">
        <v>49</v>
      </c>
      <c r="B3406" t="s">
        <v>22</v>
      </c>
      <c r="C3406">
        <v>2050</v>
      </c>
      <c r="D3406" t="s">
        <v>10</v>
      </c>
      <c r="E3406">
        <v>140</v>
      </c>
      <c r="F3406" t="s">
        <v>11</v>
      </c>
    </row>
    <row r="3407" spans="1:6">
      <c r="A3407" t="s">
        <v>49</v>
      </c>
      <c r="B3407" t="s">
        <v>22</v>
      </c>
      <c r="C3407">
        <v>2050</v>
      </c>
      <c r="D3407" t="s">
        <v>12</v>
      </c>
      <c r="E3407">
        <v>0.38500000000000001</v>
      </c>
      <c r="F3407" t="s">
        <v>13</v>
      </c>
    </row>
    <row r="3408" spans="1:6">
      <c r="A3408" t="s">
        <v>49</v>
      </c>
      <c r="B3408" t="s">
        <v>22</v>
      </c>
      <c r="C3408">
        <v>2050</v>
      </c>
      <c r="D3408" t="s">
        <v>14</v>
      </c>
      <c r="E3408">
        <v>0.6</v>
      </c>
      <c r="F3408" t="s">
        <v>15</v>
      </c>
    </row>
    <row r="3409" spans="1:6">
      <c r="A3409" t="s">
        <v>49</v>
      </c>
      <c r="B3409" t="s">
        <v>22</v>
      </c>
      <c r="C3409">
        <v>2050</v>
      </c>
      <c r="D3409" t="s">
        <v>164</v>
      </c>
      <c r="E3409">
        <v>1.667</v>
      </c>
      <c r="F3409" t="s">
        <v>166</v>
      </c>
    </row>
    <row r="3410" spans="1:6">
      <c r="A3410" t="s">
        <v>49</v>
      </c>
      <c r="B3410" t="s">
        <v>23</v>
      </c>
      <c r="C3410">
        <v>2022</v>
      </c>
      <c r="D3410" t="s">
        <v>6</v>
      </c>
      <c r="E3410">
        <v>3500</v>
      </c>
      <c r="F3410" t="s">
        <v>7</v>
      </c>
    </row>
    <row r="3411" spans="1:6">
      <c r="A3411" t="s">
        <v>49</v>
      </c>
      <c r="B3411" t="s">
        <v>23</v>
      </c>
      <c r="C3411">
        <v>2022</v>
      </c>
      <c r="D3411" t="s">
        <v>8</v>
      </c>
      <c r="E3411">
        <v>3500</v>
      </c>
      <c r="F3411" t="s">
        <v>7</v>
      </c>
    </row>
    <row r="3412" spans="1:6">
      <c r="A3412" t="s">
        <v>49</v>
      </c>
      <c r="B3412" t="s">
        <v>23</v>
      </c>
      <c r="C3412">
        <v>2022</v>
      </c>
      <c r="D3412" t="s">
        <v>9</v>
      </c>
      <c r="E3412">
        <v>3500</v>
      </c>
      <c r="F3412" t="s">
        <v>7</v>
      </c>
    </row>
    <row r="3413" spans="1:6">
      <c r="A3413" t="s">
        <v>49</v>
      </c>
      <c r="B3413" t="s">
        <v>23</v>
      </c>
      <c r="C3413">
        <v>2022</v>
      </c>
      <c r="D3413" t="s">
        <v>10</v>
      </c>
      <c r="E3413">
        <v>130</v>
      </c>
      <c r="F3413" t="s">
        <v>11</v>
      </c>
    </row>
    <row r="3414" spans="1:6">
      <c r="A3414" t="s">
        <v>49</v>
      </c>
      <c r="B3414" t="s">
        <v>23</v>
      </c>
      <c r="C3414">
        <v>2022</v>
      </c>
      <c r="D3414" t="s">
        <v>12</v>
      </c>
      <c r="E3414">
        <v>0.38500000000000001</v>
      </c>
      <c r="F3414" t="s">
        <v>13</v>
      </c>
    </row>
    <row r="3415" spans="1:6">
      <c r="A3415" t="s">
        <v>49</v>
      </c>
      <c r="B3415" t="s">
        <v>23</v>
      </c>
      <c r="C3415">
        <v>2022</v>
      </c>
      <c r="D3415" t="s">
        <v>14</v>
      </c>
      <c r="E3415">
        <v>0.4</v>
      </c>
      <c r="F3415" t="s">
        <v>15</v>
      </c>
    </row>
    <row r="3416" spans="1:6">
      <c r="A3416" t="s">
        <v>49</v>
      </c>
      <c r="B3416" t="s">
        <v>23</v>
      </c>
      <c r="C3416">
        <v>2022</v>
      </c>
      <c r="D3416" t="s">
        <v>164</v>
      </c>
      <c r="E3416">
        <v>1.667</v>
      </c>
      <c r="F3416" t="s">
        <v>166</v>
      </c>
    </row>
    <row r="3417" spans="1:6">
      <c r="A3417" t="s">
        <v>49</v>
      </c>
      <c r="B3417" t="s">
        <v>23</v>
      </c>
      <c r="C3417">
        <v>2030</v>
      </c>
      <c r="D3417" t="s">
        <v>6</v>
      </c>
      <c r="E3417">
        <v>3400</v>
      </c>
      <c r="F3417" t="s">
        <v>7</v>
      </c>
    </row>
    <row r="3418" spans="1:6">
      <c r="A3418" t="s">
        <v>49</v>
      </c>
      <c r="B3418" t="s">
        <v>23</v>
      </c>
      <c r="C3418">
        <v>2030</v>
      </c>
      <c r="D3418" t="s">
        <v>8</v>
      </c>
      <c r="E3418">
        <v>3400</v>
      </c>
      <c r="F3418" t="s">
        <v>7</v>
      </c>
    </row>
    <row r="3419" spans="1:6">
      <c r="A3419" t="s">
        <v>49</v>
      </c>
      <c r="B3419" t="s">
        <v>23</v>
      </c>
      <c r="C3419">
        <v>2030</v>
      </c>
      <c r="D3419" t="s">
        <v>9</v>
      </c>
      <c r="E3419">
        <v>3400</v>
      </c>
      <c r="F3419" t="s">
        <v>7</v>
      </c>
    </row>
    <row r="3420" spans="1:6">
      <c r="A3420" t="s">
        <v>49</v>
      </c>
      <c r="B3420" t="s">
        <v>23</v>
      </c>
      <c r="C3420">
        <v>2030</v>
      </c>
      <c r="D3420" t="s">
        <v>10</v>
      </c>
      <c r="E3420">
        <v>130</v>
      </c>
      <c r="F3420" t="s">
        <v>11</v>
      </c>
    </row>
    <row r="3421" spans="1:6">
      <c r="A3421" t="s">
        <v>49</v>
      </c>
      <c r="B3421" t="s">
        <v>23</v>
      </c>
      <c r="C3421">
        <v>2030</v>
      </c>
      <c r="D3421" t="s">
        <v>12</v>
      </c>
      <c r="E3421">
        <v>0.38500000000000001</v>
      </c>
      <c r="F3421" t="s">
        <v>13</v>
      </c>
    </row>
    <row r="3422" spans="1:6">
      <c r="A3422" t="s">
        <v>49</v>
      </c>
      <c r="B3422" t="s">
        <v>23</v>
      </c>
      <c r="C3422">
        <v>2030</v>
      </c>
      <c r="D3422" t="s">
        <v>14</v>
      </c>
      <c r="E3422">
        <v>0.4</v>
      </c>
      <c r="F3422" t="s">
        <v>15</v>
      </c>
    </row>
    <row r="3423" spans="1:6">
      <c r="A3423" t="s">
        <v>49</v>
      </c>
      <c r="B3423" t="s">
        <v>23</v>
      </c>
      <c r="C3423">
        <v>2030</v>
      </c>
      <c r="D3423" t="s">
        <v>164</v>
      </c>
      <c r="E3423">
        <v>1.667</v>
      </c>
      <c r="F3423" t="s">
        <v>166</v>
      </c>
    </row>
    <row r="3424" spans="1:6">
      <c r="A3424" t="s">
        <v>49</v>
      </c>
      <c r="B3424" t="s">
        <v>23</v>
      </c>
      <c r="C3424">
        <v>2050</v>
      </c>
      <c r="D3424" t="s">
        <v>6</v>
      </c>
      <c r="E3424">
        <v>3250</v>
      </c>
      <c r="F3424" t="s">
        <v>7</v>
      </c>
    </row>
    <row r="3425" spans="1:6">
      <c r="A3425" t="s">
        <v>49</v>
      </c>
      <c r="B3425" t="s">
        <v>23</v>
      </c>
      <c r="C3425">
        <v>2050</v>
      </c>
      <c r="D3425" t="s">
        <v>8</v>
      </c>
      <c r="E3425">
        <v>3250</v>
      </c>
      <c r="F3425" t="s">
        <v>7</v>
      </c>
    </row>
    <row r="3426" spans="1:6">
      <c r="A3426" t="s">
        <v>49</v>
      </c>
      <c r="B3426" t="s">
        <v>23</v>
      </c>
      <c r="C3426">
        <v>2050</v>
      </c>
      <c r="D3426" t="s">
        <v>9</v>
      </c>
      <c r="E3426">
        <v>3250</v>
      </c>
      <c r="F3426" t="s">
        <v>7</v>
      </c>
    </row>
    <row r="3427" spans="1:6">
      <c r="A3427" t="s">
        <v>49</v>
      </c>
      <c r="B3427" t="s">
        <v>23</v>
      </c>
      <c r="C3427">
        <v>2050</v>
      </c>
      <c r="D3427" t="s">
        <v>10</v>
      </c>
      <c r="E3427">
        <v>120</v>
      </c>
      <c r="F3427" t="s">
        <v>11</v>
      </c>
    </row>
    <row r="3428" spans="1:6">
      <c r="A3428" t="s">
        <v>49</v>
      </c>
      <c r="B3428" t="s">
        <v>23</v>
      </c>
      <c r="C3428">
        <v>2050</v>
      </c>
      <c r="D3428" t="s">
        <v>12</v>
      </c>
      <c r="E3428">
        <v>0.38500000000000001</v>
      </c>
      <c r="F3428" t="s">
        <v>13</v>
      </c>
    </row>
    <row r="3429" spans="1:6">
      <c r="A3429" t="s">
        <v>49</v>
      </c>
      <c r="B3429" t="s">
        <v>23</v>
      </c>
      <c r="C3429">
        <v>2050</v>
      </c>
      <c r="D3429" t="s">
        <v>14</v>
      </c>
      <c r="E3429">
        <v>0.4</v>
      </c>
      <c r="F3429" t="s">
        <v>15</v>
      </c>
    </row>
    <row r="3430" spans="1:6">
      <c r="A3430" t="s">
        <v>49</v>
      </c>
      <c r="B3430" t="s">
        <v>23</v>
      </c>
      <c r="C3430">
        <v>2050</v>
      </c>
      <c r="D3430" t="s">
        <v>164</v>
      </c>
      <c r="E3430">
        <v>1.667</v>
      </c>
      <c r="F3430" t="s">
        <v>166</v>
      </c>
    </row>
    <row r="3431" spans="1:6">
      <c r="A3431" t="s">
        <v>49</v>
      </c>
      <c r="B3431" t="s">
        <v>24</v>
      </c>
      <c r="C3431">
        <v>2022</v>
      </c>
      <c r="D3431" t="s">
        <v>6</v>
      </c>
      <c r="E3431">
        <v>2500</v>
      </c>
      <c r="F3431" t="s">
        <v>7</v>
      </c>
    </row>
    <row r="3432" spans="1:6">
      <c r="A3432" t="s">
        <v>49</v>
      </c>
      <c r="B3432" t="s">
        <v>24</v>
      </c>
      <c r="C3432">
        <v>2022</v>
      </c>
      <c r="D3432" t="s">
        <v>8</v>
      </c>
      <c r="E3432">
        <v>2500</v>
      </c>
      <c r="F3432" t="s">
        <v>7</v>
      </c>
    </row>
    <row r="3433" spans="1:6">
      <c r="A3433" t="s">
        <v>49</v>
      </c>
      <c r="B3433" t="s">
        <v>24</v>
      </c>
      <c r="C3433">
        <v>2022</v>
      </c>
      <c r="D3433" t="s">
        <v>9</v>
      </c>
      <c r="E3433">
        <v>2500</v>
      </c>
      <c r="F3433" t="s">
        <v>7</v>
      </c>
    </row>
    <row r="3434" spans="1:6">
      <c r="A3434" t="s">
        <v>49</v>
      </c>
      <c r="B3434" t="s">
        <v>24</v>
      </c>
      <c r="C3434">
        <v>2022</v>
      </c>
      <c r="D3434" t="s">
        <v>10</v>
      </c>
      <c r="E3434">
        <v>95</v>
      </c>
      <c r="F3434" t="s">
        <v>11</v>
      </c>
    </row>
    <row r="3435" spans="1:6">
      <c r="A3435" t="s">
        <v>49</v>
      </c>
      <c r="B3435" t="s">
        <v>24</v>
      </c>
      <c r="C3435">
        <v>2022</v>
      </c>
      <c r="D3435" t="s">
        <v>12</v>
      </c>
      <c r="E3435">
        <v>0.38500000000000001</v>
      </c>
      <c r="F3435" t="s">
        <v>13</v>
      </c>
    </row>
    <row r="3436" spans="1:6">
      <c r="A3436" t="s">
        <v>49</v>
      </c>
      <c r="B3436" t="s">
        <v>24</v>
      </c>
      <c r="C3436">
        <v>2022</v>
      </c>
      <c r="D3436" t="s">
        <v>14</v>
      </c>
      <c r="E3436">
        <v>0.6</v>
      </c>
      <c r="F3436" t="s">
        <v>15</v>
      </c>
    </row>
    <row r="3437" spans="1:6">
      <c r="A3437" t="s">
        <v>49</v>
      </c>
      <c r="B3437" t="s">
        <v>24</v>
      </c>
      <c r="C3437">
        <v>2022</v>
      </c>
      <c r="D3437" t="s">
        <v>164</v>
      </c>
      <c r="E3437">
        <v>1.667</v>
      </c>
      <c r="F3437" t="s">
        <v>166</v>
      </c>
    </row>
    <row r="3438" spans="1:6">
      <c r="A3438" t="s">
        <v>49</v>
      </c>
      <c r="B3438" t="s">
        <v>24</v>
      </c>
      <c r="C3438">
        <v>2030</v>
      </c>
      <c r="D3438" t="s">
        <v>6</v>
      </c>
      <c r="E3438">
        <v>2450</v>
      </c>
      <c r="F3438" t="s">
        <v>7</v>
      </c>
    </row>
    <row r="3439" spans="1:6">
      <c r="A3439" t="s">
        <v>49</v>
      </c>
      <c r="B3439" t="s">
        <v>24</v>
      </c>
      <c r="C3439">
        <v>2030</v>
      </c>
      <c r="D3439" t="s">
        <v>8</v>
      </c>
      <c r="E3439">
        <v>2450</v>
      </c>
      <c r="F3439" t="s">
        <v>7</v>
      </c>
    </row>
    <row r="3440" spans="1:6">
      <c r="A3440" t="s">
        <v>49</v>
      </c>
      <c r="B3440" t="s">
        <v>24</v>
      </c>
      <c r="C3440">
        <v>2030</v>
      </c>
      <c r="D3440" t="s">
        <v>9</v>
      </c>
      <c r="E3440">
        <v>2450</v>
      </c>
      <c r="F3440" t="s">
        <v>7</v>
      </c>
    </row>
    <row r="3441" spans="1:6">
      <c r="A3441" t="s">
        <v>49</v>
      </c>
      <c r="B3441" t="s">
        <v>24</v>
      </c>
      <c r="C3441">
        <v>2030</v>
      </c>
      <c r="D3441" t="s">
        <v>10</v>
      </c>
      <c r="E3441">
        <v>90</v>
      </c>
      <c r="F3441" t="s">
        <v>11</v>
      </c>
    </row>
    <row r="3442" spans="1:6">
      <c r="A3442" t="s">
        <v>49</v>
      </c>
      <c r="B3442" t="s">
        <v>24</v>
      </c>
      <c r="C3442">
        <v>2030</v>
      </c>
      <c r="D3442" t="s">
        <v>12</v>
      </c>
      <c r="E3442">
        <v>0.38500000000000001</v>
      </c>
      <c r="F3442" t="s">
        <v>13</v>
      </c>
    </row>
    <row r="3443" spans="1:6">
      <c r="A3443" t="s">
        <v>49</v>
      </c>
      <c r="B3443" t="s">
        <v>24</v>
      </c>
      <c r="C3443">
        <v>2030</v>
      </c>
      <c r="D3443" t="s">
        <v>14</v>
      </c>
      <c r="E3443">
        <v>0.6</v>
      </c>
      <c r="F3443" t="s">
        <v>15</v>
      </c>
    </row>
    <row r="3444" spans="1:6">
      <c r="A3444" t="s">
        <v>49</v>
      </c>
      <c r="B3444" t="s">
        <v>24</v>
      </c>
      <c r="C3444">
        <v>2030</v>
      </c>
      <c r="D3444" t="s">
        <v>164</v>
      </c>
      <c r="E3444">
        <v>1.667</v>
      </c>
      <c r="F3444" t="s">
        <v>166</v>
      </c>
    </row>
    <row r="3445" spans="1:6">
      <c r="A3445" t="s">
        <v>49</v>
      </c>
      <c r="B3445" t="s">
        <v>24</v>
      </c>
      <c r="C3445">
        <v>2050</v>
      </c>
      <c r="D3445" t="s">
        <v>6</v>
      </c>
      <c r="E3445">
        <v>2350</v>
      </c>
      <c r="F3445" t="s">
        <v>7</v>
      </c>
    </row>
    <row r="3446" spans="1:6">
      <c r="A3446" t="s">
        <v>49</v>
      </c>
      <c r="B3446" t="s">
        <v>24</v>
      </c>
      <c r="C3446">
        <v>2050</v>
      </c>
      <c r="D3446" t="s">
        <v>8</v>
      </c>
      <c r="E3446">
        <v>2350</v>
      </c>
      <c r="F3446" t="s">
        <v>7</v>
      </c>
    </row>
    <row r="3447" spans="1:6">
      <c r="A3447" t="s">
        <v>49</v>
      </c>
      <c r="B3447" t="s">
        <v>24</v>
      </c>
      <c r="C3447">
        <v>2050</v>
      </c>
      <c r="D3447" t="s">
        <v>9</v>
      </c>
      <c r="E3447">
        <v>2350</v>
      </c>
      <c r="F3447" t="s">
        <v>7</v>
      </c>
    </row>
    <row r="3448" spans="1:6">
      <c r="A3448" t="s">
        <v>49</v>
      </c>
      <c r="B3448" t="s">
        <v>24</v>
      </c>
      <c r="C3448">
        <v>2050</v>
      </c>
      <c r="D3448" t="s">
        <v>10</v>
      </c>
      <c r="E3448">
        <v>90</v>
      </c>
      <c r="F3448" t="s">
        <v>11</v>
      </c>
    </row>
    <row r="3449" spans="1:6">
      <c r="A3449" t="s">
        <v>49</v>
      </c>
      <c r="B3449" t="s">
        <v>24</v>
      </c>
      <c r="C3449">
        <v>2050</v>
      </c>
      <c r="D3449" t="s">
        <v>12</v>
      </c>
      <c r="E3449">
        <v>0.38500000000000001</v>
      </c>
      <c r="F3449" t="s">
        <v>13</v>
      </c>
    </row>
    <row r="3450" spans="1:6">
      <c r="A3450" t="s">
        <v>49</v>
      </c>
      <c r="B3450" t="s">
        <v>24</v>
      </c>
      <c r="C3450">
        <v>2050</v>
      </c>
      <c r="D3450" t="s">
        <v>14</v>
      </c>
      <c r="E3450">
        <v>0.6</v>
      </c>
      <c r="F3450" t="s">
        <v>15</v>
      </c>
    </row>
    <row r="3451" spans="1:6">
      <c r="A3451" t="s">
        <v>49</v>
      </c>
      <c r="B3451" t="s">
        <v>24</v>
      </c>
      <c r="C3451">
        <v>2050</v>
      </c>
      <c r="D3451" t="s">
        <v>164</v>
      </c>
      <c r="E3451">
        <v>1.667</v>
      </c>
      <c r="F3451" t="s">
        <v>166</v>
      </c>
    </row>
    <row r="3452" spans="1:6">
      <c r="A3452" t="s">
        <v>49</v>
      </c>
      <c r="B3452" t="s">
        <v>25</v>
      </c>
      <c r="C3452">
        <v>2022</v>
      </c>
      <c r="D3452" t="s">
        <v>6</v>
      </c>
      <c r="E3452">
        <v>2800</v>
      </c>
      <c r="F3452" t="s">
        <v>7</v>
      </c>
    </row>
    <row r="3453" spans="1:6">
      <c r="A3453" t="s">
        <v>49</v>
      </c>
      <c r="B3453" t="s">
        <v>25</v>
      </c>
      <c r="C3453">
        <v>2022</v>
      </c>
      <c r="D3453" t="s">
        <v>8</v>
      </c>
      <c r="E3453">
        <v>2800</v>
      </c>
      <c r="F3453" t="s">
        <v>7</v>
      </c>
    </row>
    <row r="3454" spans="1:6">
      <c r="A3454" t="s">
        <v>49</v>
      </c>
      <c r="B3454" t="s">
        <v>25</v>
      </c>
      <c r="C3454">
        <v>2022</v>
      </c>
      <c r="D3454" t="s">
        <v>9</v>
      </c>
      <c r="E3454">
        <v>2800</v>
      </c>
      <c r="F3454" t="s">
        <v>7</v>
      </c>
    </row>
    <row r="3455" spans="1:6">
      <c r="A3455" t="s">
        <v>49</v>
      </c>
      <c r="B3455" t="s">
        <v>25</v>
      </c>
      <c r="C3455">
        <v>2022</v>
      </c>
      <c r="D3455" t="s">
        <v>10</v>
      </c>
      <c r="E3455">
        <v>105</v>
      </c>
      <c r="F3455" t="s">
        <v>11</v>
      </c>
    </row>
    <row r="3456" spans="1:6">
      <c r="A3456" t="s">
        <v>49</v>
      </c>
      <c r="B3456" t="s">
        <v>25</v>
      </c>
      <c r="C3456">
        <v>2022</v>
      </c>
      <c r="D3456" t="s">
        <v>12</v>
      </c>
      <c r="E3456">
        <v>0.38500000000000001</v>
      </c>
      <c r="F3456" t="s">
        <v>13</v>
      </c>
    </row>
    <row r="3457" spans="1:6">
      <c r="A3457" t="s">
        <v>49</v>
      </c>
      <c r="B3457" t="s">
        <v>25</v>
      </c>
      <c r="C3457">
        <v>2022</v>
      </c>
      <c r="D3457" t="s">
        <v>14</v>
      </c>
      <c r="E3457">
        <v>0.5</v>
      </c>
      <c r="F3457" t="s">
        <v>15</v>
      </c>
    </row>
    <row r="3458" spans="1:6">
      <c r="A3458" t="s">
        <v>49</v>
      </c>
      <c r="B3458" t="s">
        <v>25</v>
      </c>
      <c r="C3458">
        <v>2022</v>
      </c>
      <c r="D3458" t="s">
        <v>164</v>
      </c>
      <c r="E3458">
        <v>1.667</v>
      </c>
      <c r="F3458" t="s">
        <v>166</v>
      </c>
    </row>
    <row r="3459" spans="1:6">
      <c r="A3459" t="s">
        <v>49</v>
      </c>
      <c r="B3459" t="s">
        <v>25</v>
      </c>
      <c r="C3459">
        <v>2030</v>
      </c>
      <c r="D3459" t="s">
        <v>6</v>
      </c>
      <c r="E3459">
        <v>2750</v>
      </c>
      <c r="F3459" t="s">
        <v>7</v>
      </c>
    </row>
    <row r="3460" spans="1:6">
      <c r="A3460" t="s">
        <v>49</v>
      </c>
      <c r="B3460" t="s">
        <v>25</v>
      </c>
      <c r="C3460">
        <v>2030</v>
      </c>
      <c r="D3460" t="s">
        <v>8</v>
      </c>
      <c r="E3460">
        <v>2750</v>
      </c>
      <c r="F3460" t="s">
        <v>7</v>
      </c>
    </row>
    <row r="3461" spans="1:6">
      <c r="A3461" t="s">
        <v>49</v>
      </c>
      <c r="B3461" t="s">
        <v>25</v>
      </c>
      <c r="C3461">
        <v>2030</v>
      </c>
      <c r="D3461" t="s">
        <v>9</v>
      </c>
      <c r="E3461">
        <v>2750</v>
      </c>
      <c r="F3461" t="s">
        <v>7</v>
      </c>
    </row>
    <row r="3462" spans="1:6">
      <c r="A3462" t="s">
        <v>49</v>
      </c>
      <c r="B3462" t="s">
        <v>25</v>
      </c>
      <c r="C3462">
        <v>2030</v>
      </c>
      <c r="D3462" t="s">
        <v>10</v>
      </c>
      <c r="E3462">
        <v>105</v>
      </c>
      <c r="F3462" t="s">
        <v>11</v>
      </c>
    </row>
    <row r="3463" spans="1:6">
      <c r="A3463" t="s">
        <v>49</v>
      </c>
      <c r="B3463" t="s">
        <v>25</v>
      </c>
      <c r="C3463">
        <v>2030</v>
      </c>
      <c r="D3463" t="s">
        <v>12</v>
      </c>
      <c r="E3463">
        <v>0.38500000000000001</v>
      </c>
      <c r="F3463" t="s">
        <v>13</v>
      </c>
    </row>
    <row r="3464" spans="1:6">
      <c r="A3464" t="s">
        <v>49</v>
      </c>
      <c r="B3464" t="s">
        <v>25</v>
      </c>
      <c r="C3464">
        <v>2030</v>
      </c>
      <c r="D3464" t="s">
        <v>14</v>
      </c>
      <c r="E3464">
        <v>0.5</v>
      </c>
      <c r="F3464" t="s">
        <v>15</v>
      </c>
    </row>
    <row r="3465" spans="1:6">
      <c r="A3465" t="s">
        <v>49</v>
      </c>
      <c r="B3465" t="s">
        <v>25</v>
      </c>
      <c r="C3465">
        <v>2030</v>
      </c>
      <c r="D3465" t="s">
        <v>164</v>
      </c>
      <c r="E3465">
        <v>1.667</v>
      </c>
      <c r="F3465" t="s">
        <v>166</v>
      </c>
    </row>
    <row r="3466" spans="1:6">
      <c r="A3466" t="s">
        <v>49</v>
      </c>
      <c r="B3466" t="s">
        <v>25</v>
      </c>
      <c r="C3466">
        <v>2050</v>
      </c>
      <c r="D3466" t="s">
        <v>6</v>
      </c>
      <c r="E3466">
        <v>2650</v>
      </c>
      <c r="F3466" t="s">
        <v>7</v>
      </c>
    </row>
    <row r="3467" spans="1:6">
      <c r="A3467" t="s">
        <v>49</v>
      </c>
      <c r="B3467" t="s">
        <v>25</v>
      </c>
      <c r="C3467">
        <v>2050</v>
      </c>
      <c r="D3467" t="s">
        <v>8</v>
      </c>
      <c r="E3467">
        <v>2650</v>
      </c>
      <c r="F3467" t="s">
        <v>7</v>
      </c>
    </row>
    <row r="3468" spans="1:6">
      <c r="A3468" t="s">
        <v>49</v>
      </c>
      <c r="B3468" t="s">
        <v>25</v>
      </c>
      <c r="C3468">
        <v>2050</v>
      </c>
      <c r="D3468" t="s">
        <v>9</v>
      </c>
      <c r="E3468">
        <v>2650</v>
      </c>
      <c r="F3468" t="s">
        <v>7</v>
      </c>
    </row>
    <row r="3469" spans="1:6">
      <c r="A3469" t="s">
        <v>49</v>
      </c>
      <c r="B3469" t="s">
        <v>25</v>
      </c>
      <c r="C3469">
        <v>2050</v>
      </c>
      <c r="D3469" t="s">
        <v>10</v>
      </c>
      <c r="E3469">
        <v>100</v>
      </c>
      <c r="F3469" t="s">
        <v>11</v>
      </c>
    </row>
    <row r="3470" spans="1:6">
      <c r="A3470" t="s">
        <v>49</v>
      </c>
      <c r="B3470" t="s">
        <v>25</v>
      </c>
      <c r="C3470">
        <v>2050</v>
      </c>
      <c r="D3470" t="s">
        <v>12</v>
      </c>
      <c r="E3470">
        <v>0.38500000000000001</v>
      </c>
      <c r="F3470" t="s">
        <v>13</v>
      </c>
    </row>
    <row r="3471" spans="1:6">
      <c r="A3471" t="s">
        <v>49</v>
      </c>
      <c r="B3471" t="s">
        <v>25</v>
      </c>
      <c r="C3471">
        <v>2050</v>
      </c>
      <c r="D3471" t="s">
        <v>14</v>
      </c>
      <c r="E3471">
        <v>0.5</v>
      </c>
      <c r="F3471" t="s">
        <v>15</v>
      </c>
    </row>
    <row r="3472" spans="1:6">
      <c r="A3472" t="s">
        <v>49</v>
      </c>
      <c r="B3472" t="s">
        <v>25</v>
      </c>
      <c r="C3472">
        <v>2050</v>
      </c>
      <c r="D3472" t="s">
        <v>164</v>
      </c>
      <c r="E3472">
        <v>1.667</v>
      </c>
      <c r="F3472" t="s">
        <v>166</v>
      </c>
    </row>
    <row r="3473" spans="1:6">
      <c r="A3473" t="s">
        <v>49</v>
      </c>
      <c r="B3473" t="s">
        <v>26</v>
      </c>
      <c r="C3473">
        <v>2022</v>
      </c>
      <c r="D3473" t="s">
        <v>6</v>
      </c>
      <c r="E3473">
        <v>2950</v>
      </c>
      <c r="F3473" t="s">
        <v>7</v>
      </c>
    </row>
    <row r="3474" spans="1:6">
      <c r="A3474" t="s">
        <v>49</v>
      </c>
      <c r="B3474" t="s">
        <v>26</v>
      </c>
      <c r="C3474">
        <v>2022</v>
      </c>
      <c r="D3474" t="s">
        <v>8</v>
      </c>
      <c r="E3474">
        <v>2950</v>
      </c>
      <c r="F3474" t="s">
        <v>7</v>
      </c>
    </row>
    <row r="3475" spans="1:6">
      <c r="A3475" t="s">
        <v>49</v>
      </c>
      <c r="B3475" t="s">
        <v>26</v>
      </c>
      <c r="C3475">
        <v>2022</v>
      </c>
      <c r="D3475" t="s">
        <v>9</v>
      </c>
      <c r="E3475">
        <v>2950</v>
      </c>
      <c r="F3475" t="s">
        <v>7</v>
      </c>
    </row>
    <row r="3476" spans="1:6">
      <c r="A3476" t="s">
        <v>49</v>
      </c>
      <c r="B3476" t="s">
        <v>26</v>
      </c>
      <c r="C3476">
        <v>2022</v>
      </c>
      <c r="D3476" t="s">
        <v>10</v>
      </c>
      <c r="E3476">
        <v>110</v>
      </c>
      <c r="F3476" t="s">
        <v>11</v>
      </c>
    </row>
    <row r="3477" spans="1:6">
      <c r="A3477" t="s">
        <v>49</v>
      </c>
      <c r="B3477" t="s">
        <v>26</v>
      </c>
      <c r="C3477">
        <v>2022</v>
      </c>
      <c r="D3477" t="s">
        <v>12</v>
      </c>
      <c r="E3477">
        <v>0.38500000000000001</v>
      </c>
      <c r="F3477" t="s">
        <v>13</v>
      </c>
    </row>
    <row r="3478" spans="1:6">
      <c r="A3478" t="s">
        <v>49</v>
      </c>
      <c r="B3478" t="s">
        <v>26</v>
      </c>
      <c r="C3478">
        <v>2022</v>
      </c>
      <c r="D3478" t="s">
        <v>14</v>
      </c>
      <c r="E3478">
        <v>0.5</v>
      </c>
      <c r="F3478" t="s">
        <v>15</v>
      </c>
    </row>
    <row r="3479" spans="1:6">
      <c r="A3479" t="s">
        <v>49</v>
      </c>
      <c r="B3479" t="s">
        <v>26</v>
      </c>
      <c r="C3479">
        <v>2022</v>
      </c>
      <c r="D3479" t="s">
        <v>164</v>
      </c>
      <c r="E3479">
        <v>1.667</v>
      </c>
      <c r="F3479" t="s">
        <v>166</v>
      </c>
    </row>
    <row r="3480" spans="1:6">
      <c r="A3480" t="s">
        <v>49</v>
      </c>
      <c r="B3480" t="s">
        <v>26</v>
      </c>
      <c r="C3480">
        <v>2030</v>
      </c>
      <c r="D3480" t="s">
        <v>6</v>
      </c>
      <c r="E3480">
        <v>2850</v>
      </c>
      <c r="F3480" t="s">
        <v>7</v>
      </c>
    </row>
    <row r="3481" spans="1:6">
      <c r="A3481" t="s">
        <v>49</v>
      </c>
      <c r="B3481" t="s">
        <v>26</v>
      </c>
      <c r="C3481">
        <v>2030</v>
      </c>
      <c r="D3481" t="s">
        <v>8</v>
      </c>
      <c r="E3481">
        <v>2850</v>
      </c>
      <c r="F3481" t="s">
        <v>7</v>
      </c>
    </row>
    <row r="3482" spans="1:6">
      <c r="A3482" t="s">
        <v>49</v>
      </c>
      <c r="B3482" t="s">
        <v>26</v>
      </c>
      <c r="C3482">
        <v>2030</v>
      </c>
      <c r="D3482" t="s">
        <v>9</v>
      </c>
      <c r="E3482">
        <v>2850</v>
      </c>
      <c r="F3482" t="s">
        <v>7</v>
      </c>
    </row>
    <row r="3483" spans="1:6">
      <c r="A3483" t="s">
        <v>49</v>
      </c>
      <c r="B3483" t="s">
        <v>26</v>
      </c>
      <c r="C3483">
        <v>2030</v>
      </c>
      <c r="D3483" t="s">
        <v>10</v>
      </c>
      <c r="E3483">
        <v>105</v>
      </c>
      <c r="F3483" t="s">
        <v>11</v>
      </c>
    </row>
    <row r="3484" spans="1:6">
      <c r="A3484" t="s">
        <v>49</v>
      </c>
      <c r="B3484" t="s">
        <v>26</v>
      </c>
      <c r="C3484">
        <v>2030</v>
      </c>
      <c r="D3484" t="s">
        <v>12</v>
      </c>
      <c r="E3484">
        <v>0.38500000000000001</v>
      </c>
      <c r="F3484" t="s">
        <v>13</v>
      </c>
    </row>
    <row r="3485" spans="1:6">
      <c r="A3485" t="s">
        <v>49</v>
      </c>
      <c r="B3485" t="s">
        <v>26</v>
      </c>
      <c r="C3485">
        <v>2030</v>
      </c>
      <c r="D3485" t="s">
        <v>14</v>
      </c>
      <c r="E3485">
        <v>0.5</v>
      </c>
      <c r="F3485" t="s">
        <v>15</v>
      </c>
    </row>
    <row r="3486" spans="1:6">
      <c r="A3486" t="s">
        <v>49</v>
      </c>
      <c r="B3486" t="s">
        <v>26</v>
      </c>
      <c r="C3486">
        <v>2030</v>
      </c>
      <c r="D3486" t="s">
        <v>164</v>
      </c>
      <c r="E3486">
        <v>1.667</v>
      </c>
      <c r="F3486" t="s">
        <v>166</v>
      </c>
    </row>
    <row r="3487" spans="1:6">
      <c r="A3487" t="s">
        <v>49</v>
      </c>
      <c r="B3487" t="s">
        <v>26</v>
      </c>
      <c r="C3487">
        <v>2050</v>
      </c>
      <c r="D3487" t="s">
        <v>6</v>
      </c>
      <c r="E3487">
        <v>2700</v>
      </c>
      <c r="F3487" t="s">
        <v>7</v>
      </c>
    </row>
    <row r="3488" spans="1:6">
      <c r="A3488" t="s">
        <v>49</v>
      </c>
      <c r="B3488" t="s">
        <v>26</v>
      </c>
      <c r="C3488">
        <v>2050</v>
      </c>
      <c r="D3488" t="s">
        <v>8</v>
      </c>
      <c r="E3488">
        <v>2700</v>
      </c>
      <c r="F3488" t="s">
        <v>7</v>
      </c>
    </row>
    <row r="3489" spans="1:6">
      <c r="A3489" t="s">
        <v>49</v>
      </c>
      <c r="B3489" t="s">
        <v>26</v>
      </c>
      <c r="C3489">
        <v>2050</v>
      </c>
      <c r="D3489" t="s">
        <v>9</v>
      </c>
      <c r="E3489">
        <v>2700</v>
      </c>
      <c r="F3489" t="s">
        <v>7</v>
      </c>
    </row>
    <row r="3490" spans="1:6">
      <c r="A3490" t="s">
        <v>49</v>
      </c>
      <c r="B3490" t="s">
        <v>26</v>
      </c>
      <c r="C3490">
        <v>2050</v>
      </c>
      <c r="D3490" t="s">
        <v>10</v>
      </c>
      <c r="E3490">
        <v>100</v>
      </c>
      <c r="F3490" t="s">
        <v>11</v>
      </c>
    </row>
    <row r="3491" spans="1:6">
      <c r="A3491" t="s">
        <v>49</v>
      </c>
      <c r="B3491" t="s">
        <v>26</v>
      </c>
      <c r="C3491">
        <v>2050</v>
      </c>
      <c r="D3491" t="s">
        <v>12</v>
      </c>
      <c r="E3491">
        <v>0.38500000000000001</v>
      </c>
      <c r="F3491" t="s">
        <v>13</v>
      </c>
    </row>
    <row r="3492" spans="1:6">
      <c r="A3492" t="s">
        <v>49</v>
      </c>
      <c r="B3492" t="s">
        <v>26</v>
      </c>
      <c r="C3492">
        <v>2050</v>
      </c>
      <c r="D3492" t="s">
        <v>14</v>
      </c>
      <c r="E3492">
        <v>0.5</v>
      </c>
      <c r="F3492" t="s">
        <v>15</v>
      </c>
    </row>
    <row r="3493" spans="1:6">
      <c r="A3493" t="s">
        <v>49</v>
      </c>
      <c r="B3493" t="s">
        <v>26</v>
      </c>
      <c r="C3493">
        <v>2050</v>
      </c>
      <c r="D3493" t="s">
        <v>164</v>
      </c>
      <c r="E3493">
        <v>1.667</v>
      </c>
      <c r="F3493" t="s">
        <v>166</v>
      </c>
    </row>
    <row r="3494" spans="1:6">
      <c r="A3494" t="s">
        <v>49</v>
      </c>
      <c r="B3494" t="s">
        <v>27</v>
      </c>
      <c r="C3494">
        <v>2022</v>
      </c>
      <c r="D3494" t="s">
        <v>6</v>
      </c>
      <c r="E3494">
        <v>2850</v>
      </c>
      <c r="F3494" t="s">
        <v>7</v>
      </c>
    </row>
    <row r="3495" spans="1:6">
      <c r="A3495" t="s">
        <v>49</v>
      </c>
      <c r="B3495" t="s">
        <v>27</v>
      </c>
      <c r="C3495">
        <v>2022</v>
      </c>
      <c r="D3495" t="s">
        <v>8</v>
      </c>
      <c r="E3495">
        <v>2850</v>
      </c>
      <c r="F3495" t="s">
        <v>7</v>
      </c>
    </row>
    <row r="3496" spans="1:6">
      <c r="A3496" t="s">
        <v>49</v>
      </c>
      <c r="B3496" t="s">
        <v>27</v>
      </c>
      <c r="C3496">
        <v>2022</v>
      </c>
      <c r="D3496" t="s">
        <v>9</v>
      </c>
      <c r="E3496">
        <v>2850</v>
      </c>
      <c r="F3496" t="s">
        <v>7</v>
      </c>
    </row>
    <row r="3497" spans="1:6">
      <c r="A3497" t="s">
        <v>49</v>
      </c>
      <c r="B3497" t="s">
        <v>27</v>
      </c>
      <c r="C3497">
        <v>2022</v>
      </c>
      <c r="D3497" t="s">
        <v>10</v>
      </c>
      <c r="E3497">
        <v>105</v>
      </c>
      <c r="F3497" t="s">
        <v>11</v>
      </c>
    </row>
    <row r="3498" spans="1:6">
      <c r="A3498" t="s">
        <v>49</v>
      </c>
      <c r="B3498" t="s">
        <v>27</v>
      </c>
      <c r="C3498">
        <v>2022</v>
      </c>
      <c r="D3498" t="s">
        <v>12</v>
      </c>
      <c r="E3498">
        <v>0.38500000000000001</v>
      </c>
      <c r="F3498" t="s">
        <v>13</v>
      </c>
    </row>
    <row r="3499" spans="1:6">
      <c r="A3499" t="s">
        <v>49</v>
      </c>
      <c r="B3499" t="s">
        <v>27</v>
      </c>
      <c r="C3499">
        <v>2022</v>
      </c>
      <c r="D3499" t="s">
        <v>14</v>
      </c>
      <c r="E3499">
        <v>0.5</v>
      </c>
      <c r="F3499" t="s">
        <v>15</v>
      </c>
    </row>
    <row r="3500" spans="1:6">
      <c r="A3500" t="s">
        <v>49</v>
      </c>
      <c r="B3500" t="s">
        <v>27</v>
      </c>
      <c r="C3500">
        <v>2022</v>
      </c>
      <c r="D3500" t="s">
        <v>164</v>
      </c>
      <c r="E3500">
        <v>1.667</v>
      </c>
      <c r="F3500" t="s">
        <v>166</v>
      </c>
    </row>
    <row r="3501" spans="1:6">
      <c r="A3501" t="s">
        <v>49</v>
      </c>
      <c r="B3501" t="s">
        <v>27</v>
      </c>
      <c r="C3501">
        <v>2030</v>
      </c>
      <c r="D3501" t="s">
        <v>6</v>
      </c>
      <c r="E3501">
        <v>2750</v>
      </c>
      <c r="F3501" t="s">
        <v>7</v>
      </c>
    </row>
    <row r="3502" spans="1:6">
      <c r="A3502" t="s">
        <v>49</v>
      </c>
      <c r="B3502" t="s">
        <v>27</v>
      </c>
      <c r="C3502">
        <v>2030</v>
      </c>
      <c r="D3502" t="s">
        <v>8</v>
      </c>
      <c r="E3502">
        <v>2750</v>
      </c>
      <c r="F3502" t="s">
        <v>7</v>
      </c>
    </row>
    <row r="3503" spans="1:6">
      <c r="A3503" t="s">
        <v>49</v>
      </c>
      <c r="B3503" t="s">
        <v>27</v>
      </c>
      <c r="C3503">
        <v>2030</v>
      </c>
      <c r="D3503" t="s">
        <v>9</v>
      </c>
      <c r="E3503">
        <v>2750</v>
      </c>
      <c r="F3503" t="s">
        <v>7</v>
      </c>
    </row>
    <row r="3504" spans="1:6">
      <c r="A3504" t="s">
        <v>49</v>
      </c>
      <c r="B3504" t="s">
        <v>27</v>
      </c>
      <c r="C3504">
        <v>2030</v>
      </c>
      <c r="D3504" t="s">
        <v>10</v>
      </c>
      <c r="E3504">
        <v>105</v>
      </c>
      <c r="F3504" t="s">
        <v>11</v>
      </c>
    </row>
    <row r="3505" spans="1:6">
      <c r="A3505" t="s">
        <v>49</v>
      </c>
      <c r="B3505" t="s">
        <v>27</v>
      </c>
      <c r="C3505">
        <v>2030</v>
      </c>
      <c r="D3505" t="s">
        <v>12</v>
      </c>
      <c r="E3505">
        <v>0.38500000000000001</v>
      </c>
      <c r="F3505" t="s">
        <v>13</v>
      </c>
    </row>
    <row r="3506" spans="1:6">
      <c r="A3506" t="s">
        <v>49</v>
      </c>
      <c r="B3506" t="s">
        <v>27</v>
      </c>
      <c r="C3506">
        <v>2030</v>
      </c>
      <c r="D3506" t="s">
        <v>14</v>
      </c>
      <c r="E3506">
        <v>0.5</v>
      </c>
      <c r="F3506" t="s">
        <v>15</v>
      </c>
    </row>
    <row r="3507" spans="1:6">
      <c r="A3507" t="s">
        <v>49</v>
      </c>
      <c r="B3507" t="s">
        <v>27</v>
      </c>
      <c r="C3507">
        <v>2030</v>
      </c>
      <c r="D3507" t="s">
        <v>164</v>
      </c>
      <c r="E3507">
        <v>1.667</v>
      </c>
      <c r="F3507" t="s">
        <v>166</v>
      </c>
    </row>
    <row r="3508" spans="1:6">
      <c r="A3508" t="s">
        <v>49</v>
      </c>
      <c r="B3508" t="s">
        <v>27</v>
      </c>
      <c r="C3508">
        <v>2050</v>
      </c>
      <c r="D3508" t="s">
        <v>6</v>
      </c>
      <c r="E3508">
        <v>2650</v>
      </c>
      <c r="F3508" t="s">
        <v>7</v>
      </c>
    </row>
    <row r="3509" spans="1:6">
      <c r="A3509" t="s">
        <v>49</v>
      </c>
      <c r="B3509" t="s">
        <v>27</v>
      </c>
      <c r="C3509">
        <v>2050</v>
      </c>
      <c r="D3509" t="s">
        <v>8</v>
      </c>
      <c r="E3509">
        <v>2650</v>
      </c>
      <c r="F3509" t="s">
        <v>7</v>
      </c>
    </row>
    <row r="3510" spans="1:6">
      <c r="A3510" t="s">
        <v>49</v>
      </c>
      <c r="B3510" t="s">
        <v>27</v>
      </c>
      <c r="C3510">
        <v>2050</v>
      </c>
      <c r="D3510" t="s">
        <v>9</v>
      </c>
      <c r="E3510">
        <v>2650</v>
      </c>
      <c r="F3510" t="s">
        <v>7</v>
      </c>
    </row>
    <row r="3511" spans="1:6">
      <c r="A3511" t="s">
        <v>49</v>
      </c>
      <c r="B3511" t="s">
        <v>27</v>
      </c>
      <c r="C3511">
        <v>2050</v>
      </c>
      <c r="D3511" t="s">
        <v>10</v>
      </c>
      <c r="E3511">
        <v>100</v>
      </c>
      <c r="F3511" t="s">
        <v>11</v>
      </c>
    </row>
    <row r="3512" spans="1:6">
      <c r="A3512" t="s">
        <v>49</v>
      </c>
      <c r="B3512" t="s">
        <v>27</v>
      </c>
      <c r="C3512">
        <v>2050</v>
      </c>
      <c r="D3512" t="s">
        <v>12</v>
      </c>
      <c r="E3512">
        <v>0.38500000000000001</v>
      </c>
      <c r="F3512" t="s">
        <v>13</v>
      </c>
    </row>
    <row r="3513" spans="1:6">
      <c r="A3513" t="s">
        <v>49</v>
      </c>
      <c r="B3513" t="s">
        <v>27</v>
      </c>
      <c r="C3513">
        <v>2050</v>
      </c>
      <c r="D3513" t="s">
        <v>14</v>
      </c>
      <c r="E3513">
        <v>0.5</v>
      </c>
      <c r="F3513" t="s">
        <v>15</v>
      </c>
    </row>
    <row r="3514" spans="1:6">
      <c r="A3514" t="s">
        <v>49</v>
      </c>
      <c r="B3514" t="s">
        <v>27</v>
      </c>
      <c r="C3514">
        <v>2050</v>
      </c>
      <c r="D3514" t="s">
        <v>164</v>
      </c>
      <c r="E3514">
        <v>1.667</v>
      </c>
      <c r="F3514" t="s">
        <v>166</v>
      </c>
    </row>
    <row r="3515" spans="1:6">
      <c r="A3515" t="s">
        <v>49</v>
      </c>
      <c r="B3515" t="s">
        <v>28</v>
      </c>
      <c r="C3515">
        <v>2022</v>
      </c>
      <c r="D3515" t="s">
        <v>6</v>
      </c>
      <c r="E3515">
        <v>2900</v>
      </c>
      <c r="F3515" t="s">
        <v>7</v>
      </c>
    </row>
    <row r="3516" spans="1:6">
      <c r="A3516" t="s">
        <v>49</v>
      </c>
      <c r="B3516" t="s">
        <v>28</v>
      </c>
      <c r="C3516">
        <v>2022</v>
      </c>
      <c r="D3516" t="s">
        <v>8</v>
      </c>
      <c r="E3516">
        <v>2900</v>
      </c>
      <c r="F3516" t="s">
        <v>7</v>
      </c>
    </row>
    <row r="3517" spans="1:6">
      <c r="A3517" t="s">
        <v>49</v>
      </c>
      <c r="B3517" t="s">
        <v>28</v>
      </c>
      <c r="C3517">
        <v>2022</v>
      </c>
      <c r="D3517" t="s">
        <v>9</v>
      </c>
      <c r="E3517">
        <v>2900</v>
      </c>
      <c r="F3517" t="s">
        <v>7</v>
      </c>
    </row>
    <row r="3518" spans="1:6">
      <c r="A3518" t="s">
        <v>49</v>
      </c>
      <c r="B3518" t="s">
        <v>28</v>
      </c>
      <c r="C3518">
        <v>2022</v>
      </c>
      <c r="D3518" t="s">
        <v>10</v>
      </c>
      <c r="E3518">
        <v>110</v>
      </c>
      <c r="F3518" t="s">
        <v>11</v>
      </c>
    </row>
    <row r="3519" spans="1:6">
      <c r="A3519" t="s">
        <v>49</v>
      </c>
      <c r="B3519" t="s">
        <v>28</v>
      </c>
      <c r="C3519">
        <v>2022</v>
      </c>
      <c r="D3519" t="s">
        <v>12</v>
      </c>
      <c r="E3519">
        <v>0.38500000000000001</v>
      </c>
      <c r="F3519" t="s">
        <v>13</v>
      </c>
    </row>
    <row r="3520" spans="1:6">
      <c r="A3520" t="s">
        <v>49</v>
      </c>
      <c r="B3520" t="s">
        <v>28</v>
      </c>
      <c r="C3520">
        <v>2022</v>
      </c>
      <c r="D3520" t="s">
        <v>14</v>
      </c>
      <c r="E3520">
        <v>0.5</v>
      </c>
      <c r="F3520" t="s">
        <v>15</v>
      </c>
    </row>
    <row r="3521" spans="1:6">
      <c r="A3521" t="s">
        <v>49</v>
      </c>
      <c r="B3521" t="s">
        <v>28</v>
      </c>
      <c r="C3521">
        <v>2022</v>
      </c>
      <c r="D3521" t="s">
        <v>164</v>
      </c>
      <c r="E3521">
        <v>1.667</v>
      </c>
      <c r="F3521" t="s">
        <v>166</v>
      </c>
    </row>
    <row r="3522" spans="1:6">
      <c r="A3522" t="s">
        <v>49</v>
      </c>
      <c r="B3522" t="s">
        <v>28</v>
      </c>
      <c r="C3522">
        <v>2030</v>
      </c>
      <c r="D3522" t="s">
        <v>6</v>
      </c>
      <c r="E3522">
        <v>2850</v>
      </c>
      <c r="F3522" t="s">
        <v>7</v>
      </c>
    </row>
    <row r="3523" spans="1:6">
      <c r="A3523" t="s">
        <v>49</v>
      </c>
      <c r="B3523" t="s">
        <v>28</v>
      </c>
      <c r="C3523">
        <v>2030</v>
      </c>
      <c r="D3523" t="s">
        <v>8</v>
      </c>
      <c r="E3523">
        <v>2850</v>
      </c>
      <c r="F3523" t="s">
        <v>7</v>
      </c>
    </row>
    <row r="3524" spans="1:6">
      <c r="A3524" t="s">
        <v>49</v>
      </c>
      <c r="B3524" t="s">
        <v>28</v>
      </c>
      <c r="C3524">
        <v>2030</v>
      </c>
      <c r="D3524" t="s">
        <v>9</v>
      </c>
      <c r="E3524">
        <v>2850</v>
      </c>
      <c r="F3524" t="s">
        <v>7</v>
      </c>
    </row>
    <row r="3525" spans="1:6">
      <c r="A3525" t="s">
        <v>49</v>
      </c>
      <c r="B3525" t="s">
        <v>28</v>
      </c>
      <c r="C3525">
        <v>2030</v>
      </c>
      <c r="D3525" t="s">
        <v>10</v>
      </c>
      <c r="E3525">
        <v>105</v>
      </c>
      <c r="F3525" t="s">
        <v>11</v>
      </c>
    </row>
    <row r="3526" spans="1:6">
      <c r="A3526" t="s">
        <v>49</v>
      </c>
      <c r="B3526" t="s">
        <v>28</v>
      </c>
      <c r="C3526">
        <v>2030</v>
      </c>
      <c r="D3526" t="s">
        <v>12</v>
      </c>
      <c r="E3526">
        <v>0.38500000000000001</v>
      </c>
      <c r="F3526" t="s">
        <v>13</v>
      </c>
    </row>
    <row r="3527" spans="1:6">
      <c r="A3527" t="s">
        <v>49</v>
      </c>
      <c r="B3527" t="s">
        <v>28</v>
      </c>
      <c r="C3527">
        <v>2030</v>
      </c>
      <c r="D3527" t="s">
        <v>14</v>
      </c>
      <c r="E3527">
        <v>0.5</v>
      </c>
      <c r="F3527" t="s">
        <v>15</v>
      </c>
    </row>
    <row r="3528" spans="1:6">
      <c r="A3528" t="s">
        <v>49</v>
      </c>
      <c r="B3528" t="s">
        <v>28</v>
      </c>
      <c r="C3528">
        <v>2030</v>
      </c>
      <c r="D3528" t="s">
        <v>164</v>
      </c>
      <c r="E3528">
        <v>1.667</v>
      </c>
      <c r="F3528" t="s">
        <v>166</v>
      </c>
    </row>
    <row r="3529" spans="1:6">
      <c r="A3529" t="s">
        <v>49</v>
      </c>
      <c r="B3529" t="s">
        <v>28</v>
      </c>
      <c r="C3529">
        <v>2050</v>
      </c>
      <c r="D3529" t="s">
        <v>6</v>
      </c>
      <c r="E3529">
        <v>2750</v>
      </c>
      <c r="F3529" t="s">
        <v>7</v>
      </c>
    </row>
    <row r="3530" spans="1:6">
      <c r="A3530" t="s">
        <v>49</v>
      </c>
      <c r="B3530" t="s">
        <v>28</v>
      </c>
      <c r="C3530">
        <v>2050</v>
      </c>
      <c r="D3530" t="s">
        <v>8</v>
      </c>
      <c r="E3530">
        <v>2750</v>
      </c>
      <c r="F3530" t="s">
        <v>7</v>
      </c>
    </row>
    <row r="3531" spans="1:6">
      <c r="A3531" t="s">
        <v>49</v>
      </c>
      <c r="B3531" t="s">
        <v>28</v>
      </c>
      <c r="C3531">
        <v>2050</v>
      </c>
      <c r="D3531" t="s">
        <v>9</v>
      </c>
      <c r="E3531">
        <v>2750</v>
      </c>
      <c r="F3531" t="s">
        <v>7</v>
      </c>
    </row>
    <row r="3532" spans="1:6">
      <c r="A3532" t="s">
        <v>49</v>
      </c>
      <c r="B3532" t="s">
        <v>28</v>
      </c>
      <c r="C3532">
        <v>2050</v>
      </c>
      <c r="D3532" t="s">
        <v>10</v>
      </c>
      <c r="E3532">
        <v>105</v>
      </c>
      <c r="F3532" t="s">
        <v>11</v>
      </c>
    </row>
    <row r="3533" spans="1:6">
      <c r="A3533" t="s">
        <v>49</v>
      </c>
      <c r="B3533" t="s">
        <v>28</v>
      </c>
      <c r="C3533">
        <v>2050</v>
      </c>
      <c r="D3533" t="s">
        <v>12</v>
      </c>
      <c r="E3533">
        <v>0.38500000000000001</v>
      </c>
      <c r="F3533" t="s">
        <v>13</v>
      </c>
    </row>
    <row r="3534" spans="1:6">
      <c r="A3534" t="s">
        <v>49</v>
      </c>
      <c r="B3534" t="s">
        <v>28</v>
      </c>
      <c r="C3534">
        <v>2050</v>
      </c>
      <c r="D3534" t="s">
        <v>14</v>
      </c>
      <c r="E3534">
        <v>0.5</v>
      </c>
      <c r="F3534" t="s">
        <v>15</v>
      </c>
    </row>
    <row r="3535" spans="1:6">
      <c r="A3535" t="s">
        <v>49</v>
      </c>
      <c r="B3535" t="s">
        <v>28</v>
      </c>
      <c r="C3535">
        <v>2050</v>
      </c>
      <c r="D3535" t="s">
        <v>164</v>
      </c>
      <c r="E3535">
        <v>1.667</v>
      </c>
      <c r="F3535" t="s">
        <v>166</v>
      </c>
    </row>
    <row r="3536" spans="1:6">
      <c r="A3536" t="s">
        <v>50</v>
      </c>
      <c r="B3536" t="s">
        <v>20</v>
      </c>
      <c r="C3536">
        <v>2022</v>
      </c>
      <c r="D3536" t="s">
        <v>6</v>
      </c>
      <c r="E3536">
        <v>5750</v>
      </c>
      <c r="F3536" t="s">
        <v>7</v>
      </c>
    </row>
    <row r="3537" spans="1:6">
      <c r="A3537" t="s">
        <v>50</v>
      </c>
      <c r="B3537" t="s">
        <v>20</v>
      </c>
      <c r="C3537">
        <v>2022</v>
      </c>
      <c r="D3537" t="s">
        <v>8</v>
      </c>
      <c r="E3537">
        <v>5750</v>
      </c>
      <c r="F3537" t="s">
        <v>7</v>
      </c>
    </row>
    <row r="3538" spans="1:6">
      <c r="A3538" t="s">
        <v>50</v>
      </c>
      <c r="B3538" t="s">
        <v>20</v>
      </c>
      <c r="C3538">
        <v>2022</v>
      </c>
      <c r="D3538" t="s">
        <v>9</v>
      </c>
      <c r="E3538">
        <v>5750</v>
      </c>
      <c r="F3538" t="s">
        <v>7</v>
      </c>
    </row>
    <row r="3539" spans="1:6">
      <c r="A3539" t="s">
        <v>50</v>
      </c>
      <c r="B3539" t="s">
        <v>20</v>
      </c>
      <c r="C3539">
        <v>2022</v>
      </c>
      <c r="D3539" t="s">
        <v>10</v>
      </c>
      <c r="E3539">
        <v>205</v>
      </c>
      <c r="F3539" t="s">
        <v>11</v>
      </c>
    </row>
    <row r="3540" spans="1:6">
      <c r="A3540" t="s">
        <v>50</v>
      </c>
      <c r="B3540" t="s">
        <v>20</v>
      </c>
      <c r="C3540">
        <v>2022</v>
      </c>
      <c r="D3540" t="s">
        <v>12</v>
      </c>
      <c r="E3540">
        <v>0.3</v>
      </c>
      <c r="F3540" t="s">
        <v>13</v>
      </c>
    </row>
    <row r="3541" spans="1:6">
      <c r="A3541" t="s">
        <v>50</v>
      </c>
      <c r="B3541" t="s">
        <v>20</v>
      </c>
      <c r="C3541">
        <v>2022</v>
      </c>
      <c r="D3541" t="s">
        <v>14</v>
      </c>
      <c r="E3541">
        <v>0.6</v>
      </c>
      <c r="F3541" t="s">
        <v>15</v>
      </c>
    </row>
    <row r="3542" spans="1:6">
      <c r="A3542" t="s">
        <v>50</v>
      </c>
      <c r="B3542" t="s">
        <v>20</v>
      </c>
      <c r="C3542">
        <v>2022</v>
      </c>
      <c r="D3542" t="s">
        <v>164</v>
      </c>
      <c r="E3542">
        <v>2.3610000000000002</v>
      </c>
      <c r="F3542" t="s">
        <v>166</v>
      </c>
    </row>
    <row r="3543" spans="1:6">
      <c r="A3543" t="s">
        <v>50</v>
      </c>
      <c r="B3543" t="s">
        <v>20</v>
      </c>
      <c r="C3543">
        <v>2030</v>
      </c>
      <c r="D3543" t="s">
        <v>6</v>
      </c>
      <c r="E3543">
        <v>5700</v>
      </c>
      <c r="F3543" t="s">
        <v>7</v>
      </c>
    </row>
    <row r="3544" spans="1:6">
      <c r="A3544" t="s">
        <v>50</v>
      </c>
      <c r="B3544" t="s">
        <v>20</v>
      </c>
      <c r="C3544">
        <v>2030</v>
      </c>
      <c r="D3544" t="s">
        <v>8</v>
      </c>
      <c r="E3544">
        <v>5700</v>
      </c>
      <c r="F3544" t="s">
        <v>7</v>
      </c>
    </row>
    <row r="3545" spans="1:6">
      <c r="A3545" t="s">
        <v>50</v>
      </c>
      <c r="B3545" t="s">
        <v>20</v>
      </c>
      <c r="C3545">
        <v>2030</v>
      </c>
      <c r="D3545" t="s">
        <v>9</v>
      </c>
      <c r="E3545">
        <v>5700</v>
      </c>
      <c r="F3545" t="s">
        <v>7</v>
      </c>
    </row>
    <row r="3546" spans="1:6">
      <c r="A3546" t="s">
        <v>50</v>
      </c>
      <c r="B3546" t="s">
        <v>20</v>
      </c>
      <c r="C3546">
        <v>2030</v>
      </c>
      <c r="D3546" t="s">
        <v>10</v>
      </c>
      <c r="E3546">
        <v>200</v>
      </c>
      <c r="F3546" t="s">
        <v>11</v>
      </c>
    </row>
    <row r="3547" spans="1:6">
      <c r="A3547" t="s">
        <v>50</v>
      </c>
      <c r="B3547" t="s">
        <v>20</v>
      </c>
      <c r="C3547">
        <v>2030</v>
      </c>
      <c r="D3547" t="s">
        <v>12</v>
      </c>
      <c r="E3547">
        <v>0.3</v>
      </c>
      <c r="F3547" t="s">
        <v>13</v>
      </c>
    </row>
    <row r="3548" spans="1:6">
      <c r="A3548" t="s">
        <v>50</v>
      </c>
      <c r="B3548" t="s">
        <v>20</v>
      </c>
      <c r="C3548">
        <v>2030</v>
      </c>
      <c r="D3548" t="s">
        <v>14</v>
      </c>
      <c r="E3548">
        <v>0.6</v>
      </c>
      <c r="F3548" t="s">
        <v>15</v>
      </c>
    </row>
    <row r="3549" spans="1:6">
      <c r="A3549" t="s">
        <v>50</v>
      </c>
      <c r="B3549" t="s">
        <v>20</v>
      </c>
      <c r="C3549">
        <v>2030</v>
      </c>
      <c r="D3549" t="s">
        <v>164</v>
      </c>
      <c r="E3549">
        <v>2.3610000000000002</v>
      </c>
      <c r="F3549" t="s">
        <v>166</v>
      </c>
    </row>
    <row r="3550" spans="1:6">
      <c r="A3550" t="s">
        <v>50</v>
      </c>
      <c r="B3550" t="s">
        <v>20</v>
      </c>
      <c r="C3550">
        <v>2050</v>
      </c>
      <c r="D3550" t="s">
        <v>6</v>
      </c>
      <c r="E3550">
        <v>5100</v>
      </c>
      <c r="F3550" t="s">
        <v>7</v>
      </c>
    </row>
    <row r="3551" spans="1:6">
      <c r="A3551" t="s">
        <v>50</v>
      </c>
      <c r="B3551" t="s">
        <v>20</v>
      </c>
      <c r="C3551">
        <v>2050</v>
      </c>
      <c r="D3551" t="s">
        <v>8</v>
      </c>
      <c r="E3551">
        <v>5100</v>
      </c>
      <c r="F3551" t="s">
        <v>7</v>
      </c>
    </row>
    <row r="3552" spans="1:6">
      <c r="A3552" t="s">
        <v>50</v>
      </c>
      <c r="B3552" t="s">
        <v>20</v>
      </c>
      <c r="C3552">
        <v>2050</v>
      </c>
      <c r="D3552" t="s">
        <v>9</v>
      </c>
      <c r="E3552">
        <v>5100</v>
      </c>
      <c r="F3552" t="s">
        <v>7</v>
      </c>
    </row>
    <row r="3553" spans="1:6">
      <c r="A3553" t="s">
        <v>50</v>
      </c>
      <c r="B3553" t="s">
        <v>20</v>
      </c>
      <c r="C3553">
        <v>2050</v>
      </c>
      <c r="D3553" t="s">
        <v>10</v>
      </c>
      <c r="E3553">
        <v>180</v>
      </c>
      <c r="F3553" t="s">
        <v>11</v>
      </c>
    </row>
    <row r="3554" spans="1:6">
      <c r="A3554" t="s">
        <v>50</v>
      </c>
      <c r="B3554" t="s">
        <v>20</v>
      </c>
      <c r="C3554">
        <v>2050</v>
      </c>
      <c r="D3554" t="s">
        <v>12</v>
      </c>
      <c r="E3554">
        <v>0.3</v>
      </c>
      <c r="F3554" t="s">
        <v>13</v>
      </c>
    </row>
    <row r="3555" spans="1:6">
      <c r="A3555" t="s">
        <v>50</v>
      </c>
      <c r="B3555" t="s">
        <v>20</v>
      </c>
      <c r="C3555">
        <v>2050</v>
      </c>
      <c r="D3555" t="s">
        <v>14</v>
      </c>
      <c r="E3555">
        <v>0.6</v>
      </c>
      <c r="F3555" t="s">
        <v>15</v>
      </c>
    </row>
    <row r="3556" spans="1:6">
      <c r="A3556" t="s">
        <v>50</v>
      </c>
      <c r="B3556" t="s">
        <v>20</v>
      </c>
      <c r="C3556">
        <v>2050</v>
      </c>
      <c r="D3556" t="s">
        <v>164</v>
      </c>
      <c r="E3556">
        <v>2.3610000000000002</v>
      </c>
      <c r="F3556" t="s">
        <v>166</v>
      </c>
    </row>
    <row r="3557" spans="1:6">
      <c r="A3557" t="s">
        <v>50</v>
      </c>
      <c r="B3557" t="s">
        <v>21</v>
      </c>
      <c r="C3557">
        <v>2022</v>
      </c>
      <c r="D3557" t="s">
        <v>6</v>
      </c>
      <c r="E3557">
        <v>5850</v>
      </c>
      <c r="F3557" t="s">
        <v>7</v>
      </c>
    </row>
    <row r="3558" spans="1:6">
      <c r="A3558" t="s">
        <v>50</v>
      </c>
      <c r="B3558" t="s">
        <v>21</v>
      </c>
      <c r="C3558">
        <v>2022</v>
      </c>
      <c r="D3558" t="s">
        <v>8</v>
      </c>
      <c r="E3558">
        <v>5850</v>
      </c>
      <c r="F3558" t="s">
        <v>7</v>
      </c>
    </row>
    <row r="3559" spans="1:6">
      <c r="A3559" t="s">
        <v>50</v>
      </c>
      <c r="B3559" t="s">
        <v>21</v>
      </c>
      <c r="C3559">
        <v>2022</v>
      </c>
      <c r="D3559" t="s">
        <v>9</v>
      </c>
      <c r="E3559">
        <v>5850</v>
      </c>
      <c r="F3559" t="s">
        <v>7</v>
      </c>
    </row>
    <row r="3560" spans="1:6">
      <c r="A3560" t="s">
        <v>50</v>
      </c>
      <c r="B3560" t="s">
        <v>21</v>
      </c>
      <c r="C3560">
        <v>2022</v>
      </c>
      <c r="D3560" t="s">
        <v>10</v>
      </c>
      <c r="E3560">
        <v>200</v>
      </c>
      <c r="F3560" t="s">
        <v>11</v>
      </c>
    </row>
    <row r="3561" spans="1:6">
      <c r="A3561" t="s">
        <v>50</v>
      </c>
      <c r="B3561" t="s">
        <v>21</v>
      </c>
      <c r="C3561">
        <v>2022</v>
      </c>
      <c r="D3561" t="s">
        <v>12</v>
      </c>
      <c r="E3561">
        <v>0.3</v>
      </c>
      <c r="F3561" t="s">
        <v>13</v>
      </c>
    </row>
    <row r="3562" spans="1:6">
      <c r="A3562" t="s">
        <v>50</v>
      </c>
      <c r="B3562" t="s">
        <v>21</v>
      </c>
      <c r="C3562">
        <v>2022</v>
      </c>
      <c r="D3562" t="s">
        <v>14</v>
      </c>
      <c r="E3562">
        <v>0.5</v>
      </c>
      <c r="F3562" t="s">
        <v>15</v>
      </c>
    </row>
    <row r="3563" spans="1:6">
      <c r="A3563" t="s">
        <v>50</v>
      </c>
      <c r="B3563" t="s">
        <v>21</v>
      </c>
      <c r="C3563">
        <v>2022</v>
      </c>
      <c r="D3563" t="s">
        <v>164</v>
      </c>
      <c r="E3563">
        <v>2.3610000000000002</v>
      </c>
      <c r="F3563" t="s">
        <v>166</v>
      </c>
    </row>
    <row r="3564" spans="1:6">
      <c r="A3564" t="s">
        <v>50</v>
      </c>
      <c r="B3564" t="s">
        <v>21</v>
      </c>
      <c r="C3564">
        <v>2030</v>
      </c>
      <c r="D3564" t="s">
        <v>6</v>
      </c>
      <c r="E3564">
        <v>5800</v>
      </c>
      <c r="F3564" t="s">
        <v>7</v>
      </c>
    </row>
    <row r="3565" spans="1:6">
      <c r="A3565" t="s">
        <v>50</v>
      </c>
      <c r="B3565" t="s">
        <v>21</v>
      </c>
      <c r="C3565">
        <v>2030</v>
      </c>
      <c r="D3565" t="s">
        <v>8</v>
      </c>
      <c r="E3565">
        <v>5800</v>
      </c>
      <c r="F3565" t="s">
        <v>7</v>
      </c>
    </row>
    <row r="3566" spans="1:6">
      <c r="A3566" t="s">
        <v>50</v>
      </c>
      <c r="B3566" t="s">
        <v>21</v>
      </c>
      <c r="C3566">
        <v>2030</v>
      </c>
      <c r="D3566" t="s">
        <v>9</v>
      </c>
      <c r="E3566">
        <v>5800</v>
      </c>
      <c r="F3566" t="s">
        <v>7</v>
      </c>
    </row>
    <row r="3567" spans="1:6">
      <c r="A3567" t="s">
        <v>50</v>
      </c>
      <c r="B3567" t="s">
        <v>21</v>
      </c>
      <c r="C3567">
        <v>2030</v>
      </c>
      <c r="D3567" t="s">
        <v>10</v>
      </c>
      <c r="E3567">
        <v>205</v>
      </c>
      <c r="F3567" t="s">
        <v>11</v>
      </c>
    </row>
    <row r="3568" spans="1:6">
      <c r="A3568" t="s">
        <v>50</v>
      </c>
      <c r="B3568" t="s">
        <v>21</v>
      </c>
      <c r="C3568">
        <v>2030</v>
      </c>
      <c r="D3568" t="s">
        <v>12</v>
      </c>
      <c r="E3568">
        <v>0.3</v>
      </c>
      <c r="F3568" t="s">
        <v>13</v>
      </c>
    </row>
    <row r="3569" spans="1:6">
      <c r="A3569" t="s">
        <v>50</v>
      </c>
      <c r="B3569" t="s">
        <v>21</v>
      </c>
      <c r="C3569">
        <v>2030</v>
      </c>
      <c r="D3569" t="s">
        <v>14</v>
      </c>
      <c r="E3569">
        <v>0.5</v>
      </c>
      <c r="F3569" t="s">
        <v>15</v>
      </c>
    </row>
    <row r="3570" spans="1:6">
      <c r="A3570" t="s">
        <v>50</v>
      </c>
      <c r="B3570" t="s">
        <v>21</v>
      </c>
      <c r="C3570">
        <v>2030</v>
      </c>
      <c r="D3570" t="s">
        <v>164</v>
      </c>
      <c r="E3570">
        <v>2.3610000000000002</v>
      </c>
      <c r="F3570" t="s">
        <v>166</v>
      </c>
    </row>
    <row r="3571" spans="1:6">
      <c r="A3571" t="s">
        <v>50</v>
      </c>
      <c r="B3571" t="s">
        <v>21</v>
      </c>
      <c r="C3571">
        <v>2050</v>
      </c>
      <c r="D3571" t="s">
        <v>6</v>
      </c>
      <c r="E3571">
        <v>5150</v>
      </c>
      <c r="F3571" t="s">
        <v>7</v>
      </c>
    </row>
    <row r="3572" spans="1:6">
      <c r="A3572" t="s">
        <v>50</v>
      </c>
      <c r="B3572" t="s">
        <v>21</v>
      </c>
      <c r="C3572">
        <v>2050</v>
      </c>
      <c r="D3572" t="s">
        <v>8</v>
      </c>
      <c r="E3572">
        <v>5150</v>
      </c>
      <c r="F3572" t="s">
        <v>7</v>
      </c>
    </row>
    <row r="3573" spans="1:6">
      <c r="A3573" t="s">
        <v>50</v>
      </c>
      <c r="B3573" t="s">
        <v>21</v>
      </c>
      <c r="C3573">
        <v>2050</v>
      </c>
      <c r="D3573" t="s">
        <v>9</v>
      </c>
      <c r="E3573">
        <v>5150</v>
      </c>
      <c r="F3573" t="s">
        <v>7</v>
      </c>
    </row>
    <row r="3574" spans="1:6">
      <c r="A3574" t="s">
        <v>50</v>
      </c>
      <c r="B3574" t="s">
        <v>21</v>
      </c>
      <c r="C3574">
        <v>2050</v>
      </c>
      <c r="D3574" t="s">
        <v>10</v>
      </c>
      <c r="E3574">
        <v>180</v>
      </c>
      <c r="F3574" t="s">
        <v>11</v>
      </c>
    </row>
    <row r="3575" spans="1:6">
      <c r="A3575" t="s">
        <v>50</v>
      </c>
      <c r="B3575" t="s">
        <v>21</v>
      </c>
      <c r="C3575">
        <v>2050</v>
      </c>
      <c r="D3575" t="s">
        <v>12</v>
      </c>
      <c r="E3575">
        <v>0.3</v>
      </c>
      <c r="F3575" t="s">
        <v>13</v>
      </c>
    </row>
    <row r="3576" spans="1:6">
      <c r="A3576" t="s">
        <v>50</v>
      </c>
      <c r="B3576" t="s">
        <v>21</v>
      </c>
      <c r="C3576">
        <v>2050</v>
      </c>
      <c r="D3576" t="s">
        <v>14</v>
      </c>
      <c r="E3576">
        <v>0.5</v>
      </c>
      <c r="F3576" t="s">
        <v>15</v>
      </c>
    </row>
    <row r="3577" spans="1:6">
      <c r="A3577" t="s">
        <v>50</v>
      </c>
      <c r="B3577" t="s">
        <v>21</v>
      </c>
      <c r="C3577">
        <v>2050</v>
      </c>
      <c r="D3577" t="s">
        <v>164</v>
      </c>
      <c r="E3577">
        <v>2.3610000000000002</v>
      </c>
      <c r="F3577" t="s">
        <v>166</v>
      </c>
    </row>
    <row r="3578" spans="1:6">
      <c r="A3578" t="s">
        <v>50</v>
      </c>
      <c r="B3578" t="s">
        <v>22</v>
      </c>
      <c r="C3578">
        <v>2022</v>
      </c>
      <c r="D3578" t="s">
        <v>6</v>
      </c>
      <c r="E3578">
        <v>5700</v>
      </c>
      <c r="F3578" t="s">
        <v>7</v>
      </c>
    </row>
    <row r="3579" spans="1:6">
      <c r="A3579" t="s">
        <v>50</v>
      </c>
      <c r="B3579" t="s">
        <v>22</v>
      </c>
      <c r="C3579">
        <v>2022</v>
      </c>
      <c r="D3579" t="s">
        <v>8</v>
      </c>
      <c r="E3579">
        <v>5700</v>
      </c>
      <c r="F3579" t="s">
        <v>7</v>
      </c>
    </row>
    <row r="3580" spans="1:6">
      <c r="A3580" t="s">
        <v>50</v>
      </c>
      <c r="B3580" t="s">
        <v>22</v>
      </c>
      <c r="C3580">
        <v>2022</v>
      </c>
      <c r="D3580" t="s">
        <v>9</v>
      </c>
      <c r="E3580">
        <v>5700</v>
      </c>
      <c r="F3580" t="s">
        <v>7</v>
      </c>
    </row>
    <row r="3581" spans="1:6">
      <c r="A3581" t="s">
        <v>50</v>
      </c>
      <c r="B3581" t="s">
        <v>22</v>
      </c>
      <c r="C3581">
        <v>2022</v>
      </c>
      <c r="D3581" t="s">
        <v>10</v>
      </c>
      <c r="E3581">
        <v>195</v>
      </c>
      <c r="F3581" t="s">
        <v>11</v>
      </c>
    </row>
    <row r="3582" spans="1:6">
      <c r="A3582" t="s">
        <v>50</v>
      </c>
      <c r="B3582" t="s">
        <v>22</v>
      </c>
      <c r="C3582">
        <v>2022</v>
      </c>
      <c r="D3582" t="s">
        <v>12</v>
      </c>
      <c r="E3582">
        <v>0.3</v>
      </c>
      <c r="F3582" t="s">
        <v>13</v>
      </c>
    </row>
    <row r="3583" spans="1:6">
      <c r="A3583" t="s">
        <v>50</v>
      </c>
      <c r="B3583" t="s">
        <v>22</v>
      </c>
      <c r="C3583">
        <v>2022</v>
      </c>
      <c r="D3583" t="s">
        <v>14</v>
      </c>
      <c r="E3583">
        <v>0.6</v>
      </c>
      <c r="F3583" t="s">
        <v>15</v>
      </c>
    </row>
    <row r="3584" spans="1:6">
      <c r="A3584" t="s">
        <v>50</v>
      </c>
      <c r="B3584" t="s">
        <v>22</v>
      </c>
      <c r="C3584">
        <v>2022</v>
      </c>
      <c r="D3584" t="s">
        <v>164</v>
      </c>
      <c r="E3584">
        <v>2.3610000000000002</v>
      </c>
      <c r="F3584" t="s">
        <v>166</v>
      </c>
    </row>
    <row r="3585" spans="1:6">
      <c r="A3585" t="s">
        <v>50</v>
      </c>
      <c r="B3585" t="s">
        <v>22</v>
      </c>
      <c r="C3585">
        <v>2030</v>
      </c>
      <c r="D3585" t="s">
        <v>6</v>
      </c>
      <c r="E3585">
        <v>5650</v>
      </c>
      <c r="F3585" t="s">
        <v>7</v>
      </c>
    </row>
    <row r="3586" spans="1:6">
      <c r="A3586" t="s">
        <v>50</v>
      </c>
      <c r="B3586" t="s">
        <v>22</v>
      </c>
      <c r="C3586">
        <v>2030</v>
      </c>
      <c r="D3586" t="s">
        <v>8</v>
      </c>
      <c r="E3586">
        <v>5650</v>
      </c>
      <c r="F3586" t="s">
        <v>7</v>
      </c>
    </row>
    <row r="3587" spans="1:6">
      <c r="A3587" t="s">
        <v>50</v>
      </c>
      <c r="B3587" t="s">
        <v>22</v>
      </c>
      <c r="C3587">
        <v>2030</v>
      </c>
      <c r="D3587" t="s">
        <v>9</v>
      </c>
      <c r="E3587">
        <v>5650</v>
      </c>
      <c r="F3587" t="s">
        <v>7</v>
      </c>
    </row>
    <row r="3588" spans="1:6">
      <c r="A3588" t="s">
        <v>50</v>
      </c>
      <c r="B3588" t="s">
        <v>22</v>
      </c>
      <c r="C3588">
        <v>2030</v>
      </c>
      <c r="D3588" t="s">
        <v>10</v>
      </c>
      <c r="E3588">
        <v>200</v>
      </c>
      <c r="F3588" t="s">
        <v>11</v>
      </c>
    </row>
    <row r="3589" spans="1:6">
      <c r="A3589" t="s">
        <v>50</v>
      </c>
      <c r="B3589" t="s">
        <v>22</v>
      </c>
      <c r="C3589">
        <v>2030</v>
      </c>
      <c r="D3589" t="s">
        <v>12</v>
      </c>
      <c r="E3589">
        <v>0.3</v>
      </c>
      <c r="F3589" t="s">
        <v>13</v>
      </c>
    </row>
    <row r="3590" spans="1:6">
      <c r="A3590" t="s">
        <v>50</v>
      </c>
      <c r="B3590" t="s">
        <v>22</v>
      </c>
      <c r="C3590">
        <v>2030</v>
      </c>
      <c r="D3590" t="s">
        <v>14</v>
      </c>
      <c r="E3590">
        <v>0.6</v>
      </c>
      <c r="F3590" t="s">
        <v>15</v>
      </c>
    </row>
    <row r="3591" spans="1:6">
      <c r="A3591" t="s">
        <v>50</v>
      </c>
      <c r="B3591" t="s">
        <v>22</v>
      </c>
      <c r="C3591">
        <v>2030</v>
      </c>
      <c r="D3591" t="s">
        <v>164</v>
      </c>
      <c r="E3591">
        <v>2.3610000000000002</v>
      </c>
      <c r="F3591" t="s">
        <v>166</v>
      </c>
    </row>
    <row r="3592" spans="1:6">
      <c r="A3592" t="s">
        <v>50</v>
      </c>
      <c r="B3592" t="s">
        <v>22</v>
      </c>
      <c r="C3592">
        <v>2050</v>
      </c>
      <c r="D3592" t="s">
        <v>6</v>
      </c>
      <c r="E3592">
        <v>5100</v>
      </c>
      <c r="F3592" t="s">
        <v>7</v>
      </c>
    </row>
    <row r="3593" spans="1:6">
      <c r="A3593" t="s">
        <v>50</v>
      </c>
      <c r="B3593" t="s">
        <v>22</v>
      </c>
      <c r="C3593">
        <v>2050</v>
      </c>
      <c r="D3593" t="s">
        <v>8</v>
      </c>
      <c r="E3593">
        <v>5100</v>
      </c>
      <c r="F3593" t="s">
        <v>7</v>
      </c>
    </row>
    <row r="3594" spans="1:6">
      <c r="A3594" t="s">
        <v>50</v>
      </c>
      <c r="B3594" t="s">
        <v>22</v>
      </c>
      <c r="C3594">
        <v>2050</v>
      </c>
      <c r="D3594" t="s">
        <v>9</v>
      </c>
      <c r="E3594">
        <v>5100</v>
      </c>
      <c r="F3594" t="s">
        <v>7</v>
      </c>
    </row>
    <row r="3595" spans="1:6">
      <c r="A3595" t="s">
        <v>50</v>
      </c>
      <c r="B3595" t="s">
        <v>22</v>
      </c>
      <c r="C3595">
        <v>2050</v>
      </c>
      <c r="D3595" t="s">
        <v>10</v>
      </c>
      <c r="E3595">
        <v>175</v>
      </c>
      <c r="F3595" t="s">
        <v>11</v>
      </c>
    </row>
    <row r="3596" spans="1:6">
      <c r="A3596" t="s">
        <v>50</v>
      </c>
      <c r="B3596" t="s">
        <v>22</v>
      </c>
      <c r="C3596">
        <v>2050</v>
      </c>
      <c r="D3596" t="s">
        <v>12</v>
      </c>
      <c r="E3596">
        <v>0.3</v>
      </c>
      <c r="F3596" t="s">
        <v>13</v>
      </c>
    </row>
    <row r="3597" spans="1:6">
      <c r="A3597" t="s">
        <v>50</v>
      </c>
      <c r="B3597" t="s">
        <v>22</v>
      </c>
      <c r="C3597">
        <v>2050</v>
      </c>
      <c r="D3597" t="s">
        <v>14</v>
      </c>
      <c r="E3597">
        <v>0.6</v>
      </c>
      <c r="F3597" t="s">
        <v>15</v>
      </c>
    </row>
    <row r="3598" spans="1:6">
      <c r="A3598" t="s">
        <v>50</v>
      </c>
      <c r="B3598" t="s">
        <v>22</v>
      </c>
      <c r="C3598">
        <v>2050</v>
      </c>
      <c r="D3598" t="s">
        <v>164</v>
      </c>
      <c r="E3598">
        <v>2.3610000000000002</v>
      </c>
      <c r="F3598" t="s">
        <v>166</v>
      </c>
    </row>
    <row r="3599" spans="1:6">
      <c r="A3599" t="s">
        <v>50</v>
      </c>
      <c r="B3599" t="s">
        <v>23</v>
      </c>
      <c r="C3599">
        <v>2022</v>
      </c>
      <c r="D3599" t="s">
        <v>6</v>
      </c>
      <c r="E3599">
        <v>5200</v>
      </c>
      <c r="F3599" t="s">
        <v>7</v>
      </c>
    </row>
    <row r="3600" spans="1:6">
      <c r="A3600" t="s">
        <v>50</v>
      </c>
      <c r="B3600" t="s">
        <v>23</v>
      </c>
      <c r="C3600">
        <v>2022</v>
      </c>
      <c r="D3600" t="s">
        <v>8</v>
      </c>
      <c r="E3600">
        <v>5200</v>
      </c>
      <c r="F3600" t="s">
        <v>7</v>
      </c>
    </row>
    <row r="3601" spans="1:6">
      <c r="A3601" t="s">
        <v>50</v>
      </c>
      <c r="B3601" t="s">
        <v>23</v>
      </c>
      <c r="C3601">
        <v>2022</v>
      </c>
      <c r="D3601" t="s">
        <v>9</v>
      </c>
      <c r="E3601">
        <v>5200</v>
      </c>
      <c r="F3601" t="s">
        <v>7</v>
      </c>
    </row>
    <row r="3602" spans="1:6">
      <c r="A3602" t="s">
        <v>50</v>
      </c>
      <c r="B3602" t="s">
        <v>23</v>
      </c>
      <c r="C3602">
        <v>2022</v>
      </c>
      <c r="D3602" t="s">
        <v>10</v>
      </c>
      <c r="E3602">
        <v>180</v>
      </c>
      <c r="F3602" t="s">
        <v>11</v>
      </c>
    </row>
    <row r="3603" spans="1:6">
      <c r="A3603" t="s">
        <v>50</v>
      </c>
      <c r="B3603" t="s">
        <v>23</v>
      </c>
      <c r="C3603">
        <v>2022</v>
      </c>
      <c r="D3603" t="s">
        <v>12</v>
      </c>
      <c r="E3603">
        <v>0.3</v>
      </c>
      <c r="F3603" t="s">
        <v>13</v>
      </c>
    </row>
    <row r="3604" spans="1:6">
      <c r="A3604" t="s">
        <v>50</v>
      </c>
      <c r="B3604" t="s">
        <v>23</v>
      </c>
      <c r="C3604">
        <v>2022</v>
      </c>
      <c r="D3604" t="s">
        <v>14</v>
      </c>
      <c r="E3604">
        <v>0.5</v>
      </c>
      <c r="F3604" t="s">
        <v>15</v>
      </c>
    </row>
    <row r="3605" spans="1:6">
      <c r="A3605" t="s">
        <v>50</v>
      </c>
      <c r="B3605" t="s">
        <v>23</v>
      </c>
      <c r="C3605">
        <v>2022</v>
      </c>
      <c r="D3605" t="s">
        <v>164</v>
      </c>
      <c r="E3605">
        <v>2.3610000000000002</v>
      </c>
      <c r="F3605" t="s">
        <v>166</v>
      </c>
    </row>
    <row r="3606" spans="1:6">
      <c r="A3606" t="s">
        <v>50</v>
      </c>
      <c r="B3606" t="s">
        <v>23</v>
      </c>
      <c r="C3606">
        <v>2030</v>
      </c>
      <c r="D3606" t="s">
        <v>6</v>
      </c>
      <c r="E3606">
        <v>5150</v>
      </c>
      <c r="F3606" t="s">
        <v>7</v>
      </c>
    </row>
    <row r="3607" spans="1:6">
      <c r="A3607" t="s">
        <v>50</v>
      </c>
      <c r="B3607" t="s">
        <v>23</v>
      </c>
      <c r="C3607">
        <v>2030</v>
      </c>
      <c r="D3607" t="s">
        <v>8</v>
      </c>
      <c r="E3607">
        <v>5150</v>
      </c>
      <c r="F3607" t="s">
        <v>7</v>
      </c>
    </row>
    <row r="3608" spans="1:6">
      <c r="A3608" t="s">
        <v>50</v>
      </c>
      <c r="B3608" t="s">
        <v>23</v>
      </c>
      <c r="C3608">
        <v>2030</v>
      </c>
      <c r="D3608" t="s">
        <v>9</v>
      </c>
      <c r="E3608">
        <v>5150</v>
      </c>
      <c r="F3608" t="s">
        <v>7</v>
      </c>
    </row>
    <row r="3609" spans="1:6">
      <c r="A3609" t="s">
        <v>50</v>
      </c>
      <c r="B3609" t="s">
        <v>23</v>
      </c>
      <c r="C3609">
        <v>2030</v>
      </c>
      <c r="D3609" t="s">
        <v>10</v>
      </c>
      <c r="E3609">
        <v>180</v>
      </c>
      <c r="F3609" t="s">
        <v>11</v>
      </c>
    </row>
    <row r="3610" spans="1:6">
      <c r="A3610" t="s">
        <v>50</v>
      </c>
      <c r="B3610" t="s">
        <v>23</v>
      </c>
      <c r="C3610">
        <v>2030</v>
      </c>
      <c r="D3610" t="s">
        <v>12</v>
      </c>
      <c r="E3610">
        <v>0.3</v>
      </c>
      <c r="F3610" t="s">
        <v>13</v>
      </c>
    </row>
    <row r="3611" spans="1:6">
      <c r="A3611" t="s">
        <v>50</v>
      </c>
      <c r="B3611" t="s">
        <v>23</v>
      </c>
      <c r="C3611">
        <v>2030</v>
      </c>
      <c r="D3611" t="s">
        <v>14</v>
      </c>
      <c r="E3611">
        <v>0.5</v>
      </c>
      <c r="F3611" t="s">
        <v>15</v>
      </c>
    </row>
    <row r="3612" spans="1:6">
      <c r="A3612" t="s">
        <v>50</v>
      </c>
      <c r="B3612" t="s">
        <v>23</v>
      </c>
      <c r="C3612">
        <v>2030</v>
      </c>
      <c r="D3612" t="s">
        <v>164</v>
      </c>
      <c r="E3612">
        <v>2.3610000000000002</v>
      </c>
      <c r="F3612" t="s">
        <v>166</v>
      </c>
    </row>
    <row r="3613" spans="1:6">
      <c r="A3613" t="s">
        <v>50</v>
      </c>
      <c r="B3613" t="s">
        <v>23</v>
      </c>
      <c r="C3613">
        <v>2050</v>
      </c>
      <c r="D3613" t="s">
        <v>6</v>
      </c>
      <c r="E3613">
        <v>4600</v>
      </c>
      <c r="F3613" t="s">
        <v>7</v>
      </c>
    </row>
    <row r="3614" spans="1:6">
      <c r="A3614" t="s">
        <v>50</v>
      </c>
      <c r="B3614" t="s">
        <v>23</v>
      </c>
      <c r="C3614">
        <v>2050</v>
      </c>
      <c r="D3614" t="s">
        <v>8</v>
      </c>
      <c r="E3614">
        <v>4600</v>
      </c>
      <c r="F3614" t="s">
        <v>7</v>
      </c>
    </row>
    <row r="3615" spans="1:6">
      <c r="A3615" t="s">
        <v>50</v>
      </c>
      <c r="B3615" t="s">
        <v>23</v>
      </c>
      <c r="C3615">
        <v>2050</v>
      </c>
      <c r="D3615" t="s">
        <v>9</v>
      </c>
      <c r="E3615">
        <v>4600</v>
      </c>
      <c r="F3615" t="s">
        <v>7</v>
      </c>
    </row>
    <row r="3616" spans="1:6">
      <c r="A3616" t="s">
        <v>50</v>
      </c>
      <c r="B3616" t="s">
        <v>23</v>
      </c>
      <c r="C3616">
        <v>2050</v>
      </c>
      <c r="D3616" t="s">
        <v>10</v>
      </c>
      <c r="E3616">
        <v>160</v>
      </c>
      <c r="F3616" t="s">
        <v>11</v>
      </c>
    </row>
    <row r="3617" spans="1:6">
      <c r="A3617" t="s">
        <v>50</v>
      </c>
      <c r="B3617" t="s">
        <v>23</v>
      </c>
      <c r="C3617">
        <v>2050</v>
      </c>
      <c r="D3617" t="s">
        <v>12</v>
      </c>
      <c r="E3617">
        <v>0.3</v>
      </c>
      <c r="F3617" t="s">
        <v>13</v>
      </c>
    </row>
    <row r="3618" spans="1:6">
      <c r="A3618" t="s">
        <v>50</v>
      </c>
      <c r="B3618" t="s">
        <v>23</v>
      </c>
      <c r="C3618">
        <v>2050</v>
      </c>
      <c r="D3618" t="s">
        <v>14</v>
      </c>
      <c r="E3618">
        <v>0.5</v>
      </c>
      <c r="F3618" t="s">
        <v>15</v>
      </c>
    </row>
    <row r="3619" spans="1:6">
      <c r="A3619" t="s">
        <v>50</v>
      </c>
      <c r="B3619" t="s">
        <v>23</v>
      </c>
      <c r="C3619">
        <v>2050</v>
      </c>
      <c r="D3619" t="s">
        <v>164</v>
      </c>
      <c r="E3619">
        <v>2.3610000000000002</v>
      </c>
      <c r="F3619" t="s">
        <v>166</v>
      </c>
    </row>
    <row r="3620" spans="1:6">
      <c r="A3620" t="s">
        <v>50</v>
      </c>
      <c r="B3620" t="s">
        <v>24</v>
      </c>
      <c r="C3620">
        <v>2022</v>
      </c>
      <c r="D3620" t="s">
        <v>6</v>
      </c>
      <c r="E3620">
        <v>4150</v>
      </c>
      <c r="F3620" t="s">
        <v>7</v>
      </c>
    </row>
    <row r="3621" spans="1:6">
      <c r="A3621" t="s">
        <v>50</v>
      </c>
      <c r="B3621" t="s">
        <v>24</v>
      </c>
      <c r="C3621">
        <v>2022</v>
      </c>
      <c r="D3621" t="s">
        <v>8</v>
      </c>
      <c r="E3621">
        <v>4150</v>
      </c>
      <c r="F3621" t="s">
        <v>7</v>
      </c>
    </row>
    <row r="3622" spans="1:6">
      <c r="A3622" t="s">
        <v>50</v>
      </c>
      <c r="B3622" t="s">
        <v>24</v>
      </c>
      <c r="C3622">
        <v>2022</v>
      </c>
      <c r="D3622" t="s">
        <v>9</v>
      </c>
      <c r="E3622">
        <v>4150</v>
      </c>
      <c r="F3622" t="s">
        <v>7</v>
      </c>
    </row>
    <row r="3623" spans="1:6">
      <c r="A3623" t="s">
        <v>50</v>
      </c>
      <c r="B3623" t="s">
        <v>24</v>
      </c>
      <c r="C3623">
        <v>2022</v>
      </c>
      <c r="D3623" t="s">
        <v>10</v>
      </c>
      <c r="E3623">
        <v>145</v>
      </c>
      <c r="F3623" t="s">
        <v>11</v>
      </c>
    </row>
    <row r="3624" spans="1:6">
      <c r="A3624" t="s">
        <v>50</v>
      </c>
      <c r="B3624" t="s">
        <v>24</v>
      </c>
      <c r="C3624">
        <v>2022</v>
      </c>
      <c r="D3624" t="s">
        <v>12</v>
      </c>
      <c r="E3624">
        <v>0.3</v>
      </c>
      <c r="F3624" t="s">
        <v>13</v>
      </c>
    </row>
    <row r="3625" spans="1:6">
      <c r="A3625" t="s">
        <v>50</v>
      </c>
      <c r="B3625" t="s">
        <v>24</v>
      </c>
      <c r="C3625">
        <v>2022</v>
      </c>
      <c r="D3625" t="s">
        <v>14</v>
      </c>
      <c r="E3625">
        <v>0.7</v>
      </c>
      <c r="F3625" t="s">
        <v>15</v>
      </c>
    </row>
    <row r="3626" spans="1:6">
      <c r="A3626" t="s">
        <v>50</v>
      </c>
      <c r="B3626" t="s">
        <v>24</v>
      </c>
      <c r="C3626">
        <v>2022</v>
      </c>
      <c r="D3626" t="s">
        <v>164</v>
      </c>
      <c r="E3626">
        <v>2.3610000000000002</v>
      </c>
      <c r="F3626" t="s">
        <v>166</v>
      </c>
    </row>
    <row r="3627" spans="1:6">
      <c r="A3627" t="s">
        <v>50</v>
      </c>
      <c r="B3627" t="s">
        <v>24</v>
      </c>
      <c r="C3627">
        <v>2030</v>
      </c>
      <c r="D3627" t="s">
        <v>6</v>
      </c>
      <c r="E3627">
        <v>4100</v>
      </c>
      <c r="F3627" t="s">
        <v>7</v>
      </c>
    </row>
    <row r="3628" spans="1:6">
      <c r="A3628" t="s">
        <v>50</v>
      </c>
      <c r="B3628" t="s">
        <v>24</v>
      </c>
      <c r="C3628">
        <v>2030</v>
      </c>
      <c r="D3628" t="s">
        <v>8</v>
      </c>
      <c r="E3628">
        <v>4100</v>
      </c>
      <c r="F3628" t="s">
        <v>7</v>
      </c>
    </row>
    <row r="3629" spans="1:6">
      <c r="A3629" t="s">
        <v>50</v>
      </c>
      <c r="B3629" t="s">
        <v>24</v>
      </c>
      <c r="C3629">
        <v>2030</v>
      </c>
      <c r="D3629" t="s">
        <v>9</v>
      </c>
      <c r="E3629">
        <v>4100</v>
      </c>
      <c r="F3629" t="s">
        <v>7</v>
      </c>
    </row>
    <row r="3630" spans="1:6">
      <c r="A3630" t="s">
        <v>50</v>
      </c>
      <c r="B3630" t="s">
        <v>24</v>
      </c>
      <c r="C3630">
        <v>2030</v>
      </c>
      <c r="D3630" t="s">
        <v>10</v>
      </c>
      <c r="E3630">
        <v>145</v>
      </c>
      <c r="F3630" t="s">
        <v>11</v>
      </c>
    </row>
    <row r="3631" spans="1:6">
      <c r="A3631" t="s">
        <v>50</v>
      </c>
      <c r="B3631" t="s">
        <v>24</v>
      </c>
      <c r="C3631">
        <v>2030</v>
      </c>
      <c r="D3631" t="s">
        <v>12</v>
      </c>
      <c r="E3631">
        <v>0.3</v>
      </c>
      <c r="F3631" t="s">
        <v>13</v>
      </c>
    </row>
    <row r="3632" spans="1:6">
      <c r="A3632" t="s">
        <v>50</v>
      </c>
      <c r="B3632" t="s">
        <v>24</v>
      </c>
      <c r="C3632">
        <v>2030</v>
      </c>
      <c r="D3632" t="s">
        <v>14</v>
      </c>
      <c r="E3632">
        <v>0.7</v>
      </c>
      <c r="F3632" t="s">
        <v>15</v>
      </c>
    </row>
    <row r="3633" spans="1:6">
      <c r="A3633" t="s">
        <v>50</v>
      </c>
      <c r="B3633" t="s">
        <v>24</v>
      </c>
      <c r="C3633">
        <v>2030</v>
      </c>
      <c r="D3633" t="s">
        <v>164</v>
      </c>
      <c r="E3633">
        <v>2.3610000000000002</v>
      </c>
      <c r="F3633" t="s">
        <v>166</v>
      </c>
    </row>
    <row r="3634" spans="1:6">
      <c r="A3634" t="s">
        <v>50</v>
      </c>
      <c r="B3634" t="s">
        <v>24</v>
      </c>
      <c r="C3634">
        <v>2050</v>
      </c>
      <c r="D3634" t="s">
        <v>6</v>
      </c>
      <c r="E3634">
        <v>3650</v>
      </c>
      <c r="F3634" t="s">
        <v>7</v>
      </c>
    </row>
    <row r="3635" spans="1:6">
      <c r="A3635" t="s">
        <v>50</v>
      </c>
      <c r="B3635" t="s">
        <v>24</v>
      </c>
      <c r="C3635">
        <v>2050</v>
      </c>
      <c r="D3635" t="s">
        <v>8</v>
      </c>
      <c r="E3635">
        <v>3650</v>
      </c>
      <c r="F3635" t="s">
        <v>7</v>
      </c>
    </row>
    <row r="3636" spans="1:6">
      <c r="A3636" t="s">
        <v>50</v>
      </c>
      <c r="B3636" t="s">
        <v>24</v>
      </c>
      <c r="C3636">
        <v>2050</v>
      </c>
      <c r="D3636" t="s">
        <v>9</v>
      </c>
      <c r="E3636">
        <v>3650</v>
      </c>
      <c r="F3636" t="s">
        <v>7</v>
      </c>
    </row>
    <row r="3637" spans="1:6">
      <c r="A3637" t="s">
        <v>50</v>
      </c>
      <c r="B3637" t="s">
        <v>24</v>
      </c>
      <c r="C3637">
        <v>2050</v>
      </c>
      <c r="D3637" t="s">
        <v>10</v>
      </c>
      <c r="E3637">
        <v>125</v>
      </c>
      <c r="F3637" t="s">
        <v>11</v>
      </c>
    </row>
    <row r="3638" spans="1:6">
      <c r="A3638" t="s">
        <v>50</v>
      </c>
      <c r="B3638" t="s">
        <v>24</v>
      </c>
      <c r="C3638">
        <v>2050</v>
      </c>
      <c r="D3638" t="s">
        <v>12</v>
      </c>
      <c r="E3638">
        <v>0.3</v>
      </c>
      <c r="F3638" t="s">
        <v>13</v>
      </c>
    </row>
    <row r="3639" spans="1:6">
      <c r="A3639" t="s">
        <v>50</v>
      </c>
      <c r="B3639" t="s">
        <v>24</v>
      </c>
      <c r="C3639">
        <v>2050</v>
      </c>
      <c r="D3639" t="s">
        <v>14</v>
      </c>
      <c r="E3639">
        <v>0.7</v>
      </c>
      <c r="F3639" t="s">
        <v>15</v>
      </c>
    </row>
    <row r="3640" spans="1:6">
      <c r="A3640" t="s">
        <v>50</v>
      </c>
      <c r="B3640" t="s">
        <v>24</v>
      </c>
      <c r="C3640">
        <v>2050</v>
      </c>
      <c r="D3640" t="s">
        <v>164</v>
      </c>
      <c r="E3640">
        <v>2.3610000000000002</v>
      </c>
      <c r="F3640" t="s">
        <v>166</v>
      </c>
    </row>
    <row r="3641" spans="1:6">
      <c r="A3641" t="s">
        <v>50</v>
      </c>
      <c r="B3641" t="s">
        <v>25</v>
      </c>
      <c r="C3641">
        <v>2022</v>
      </c>
      <c r="D3641" t="s">
        <v>6</v>
      </c>
      <c r="E3641">
        <v>4700</v>
      </c>
      <c r="F3641" t="s">
        <v>7</v>
      </c>
    </row>
    <row r="3642" spans="1:6">
      <c r="A3642" t="s">
        <v>50</v>
      </c>
      <c r="B3642" t="s">
        <v>25</v>
      </c>
      <c r="C3642">
        <v>2022</v>
      </c>
      <c r="D3642" t="s">
        <v>8</v>
      </c>
      <c r="E3642">
        <v>4700</v>
      </c>
      <c r="F3642" t="s">
        <v>7</v>
      </c>
    </row>
    <row r="3643" spans="1:6">
      <c r="A3643" t="s">
        <v>50</v>
      </c>
      <c r="B3643" t="s">
        <v>25</v>
      </c>
      <c r="C3643">
        <v>2022</v>
      </c>
      <c r="D3643" t="s">
        <v>9</v>
      </c>
      <c r="E3643">
        <v>4700</v>
      </c>
      <c r="F3643" t="s">
        <v>7</v>
      </c>
    </row>
    <row r="3644" spans="1:6">
      <c r="A3644" t="s">
        <v>50</v>
      </c>
      <c r="B3644" t="s">
        <v>25</v>
      </c>
      <c r="C3644">
        <v>2022</v>
      </c>
      <c r="D3644" t="s">
        <v>10</v>
      </c>
      <c r="E3644">
        <v>165</v>
      </c>
      <c r="F3644" t="s">
        <v>11</v>
      </c>
    </row>
    <row r="3645" spans="1:6">
      <c r="A3645" t="s">
        <v>50</v>
      </c>
      <c r="B3645" t="s">
        <v>25</v>
      </c>
      <c r="C3645">
        <v>2022</v>
      </c>
      <c r="D3645" t="s">
        <v>12</v>
      </c>
      <c r="E3645">
        <v>0.3</v>
      </c>
      <c r="F3645" t="s">
        <v>13</v>
      </c>
    </row>
    <row r="3646" spans="1:6">
      <c r="A3646" t="s">
        <v>50</v>
      </c>
      <c r="B3646" t="s">
        <v>25</v>
      </c>
      <c r="C3646">
        <v>2022</v>
      </c>
      <c r="D3646" t="s">
        <v>14</v>
      </c>
      <c r="E3646">
        <v>0.6</v>
      </c>
      <c r="F3646" t="s">
        <v>15</v>
      </c>
    </row>
    <row r="3647" spans="1:6">
      <c r="A3647" t="s">
        <v>50</v>
      </c>
      <c r="B3647" t="s">
        <v>25</v>
      </c>
      <c r="C3647">
        <v>2022</v>
      </c>
      <c r="D3647" t="s">
        <v>164</v>
      </c>
      <c r="E3647">
        <v>2.3610000000000002</v>
      </c>
      <c r="F3647" t="s">
        <v>166</v>
      </c>
    </row>
    <row r="3648" spans="1:6">
      <c r="A3648" t="s">
        <v>50</v>
      </c>
      <c r="B3648" t="s">
        <v>25</v>
      </c>
      <c r="C3648">
        <v>2030</v>
      </c>
      <c r="D3648" t="s">
        <v>6</v>
      </c>
      <c r="E3648">
        <v>4650</v>
      </c>
      <c r="F3648" t="s">
        <v>7</v>
      </c>
    </row>
    <row r="3649" spans="1:6">
      <c r="A3649" t="s">
        <v>50</v>
      </c>
      <c r="B3649" t="s">
        <v>25</v>
      </c>
      <c r="C3649">
        <v>2030</v>
      </c>
      <c r="D3649" t="s">
        <v>8</v>
      </c>
      <c r="E3649">
        <v>4650</v>
      </c>
      <c r="F3649" t="s">
        <v>7</v>
      </c>
    </row>
    <row r="3650" spans="1:6">
      <c r="A3650" t="s">
        <v>50</v>
      </c>
      <c r="B3650" t="s">
        <v>25</v>
      </c>
      <c r="C3650">
        <v>2030</v>
      </c>
      <c r="D3650" t="s">
        <v>9</v>
      </c>
      <c r="E3650">
        <v>4650</v>
      </c>
      <c r="F3650" t="s">
        <v>7</v>
      </c>
    </row>
    <row r="3651" spans="1:6">
      <c r="A3651" t="s">
        <v>50</v>
      </c>
      <c r="B3651" t="s">
        <v>25</v>
      </c>
      <c r="C3651">
        <v>2030</v>
      </c>
      <c r="D3651" t="s">
        <v>10</v>
      </c>
      <c r="E3651">
        <v>165</v>
      </c>
      <c r="F3651" t="s">
        <v>11</v>
      </c>
    </row>
    <row r="3652" spans="1:6">
      <c r="A3652" t="s">
        <v>50</v>
      </c>
      <c r="B3652" t="s">
        <v>25</v>
      </c>
      <c r="C3652">
        <v>2030</v>
      </c>
      <c r="D3652" t="s">
        <v>12</v>
      </c>
      <c r="E3652">
        <v>0.3</v>
      </c>
      <c r="F3652" t="s">
        <v>13</v>
      </c>
    </row>
    <row r="3653" spans="1:6">
      <c r="A3653" t="s">
        <v>50</v>
      </c>
      <c r="B3653" t="s">
        <v>25</v>
      </c>
      <c r="C3653">
        <v>2030</v>
      </c>
      <c r="D3653" t="s">
        <v>14</v>
      </c>
      <c r="E3653">
        <v>0.6</v>
      </c>
      <c r="F3653" t="s">
        <v>15</v>
      </c>
    </row>
    <row r="3654" spans="1:6">
      <c r="A3654" t="s">
        <v>50</v>
      </c>
      <c r="B3654" t="s">
        <v>25</v>
      </c>
      <c r="C3654">
        <v>2030</v>
      </c>
      <c r="D3654" t="s">
        <v>164</v>
      </c>
      <c r="E3654">
        <v>2.3610000000000002</v>
      </c>
      <c r="F3654" t="s">
        <v>166</v>
      </c>
    </row>
    <row r="3655" spans="1:6">
      <c r="A3655" t="s">
        <v>50</v>
      </c>
      <c r="B3655" t="s">
        <v>25</v>
      </c>
      <c r="C3655">
        <v>2050</v>
      </c>
      <c r="D3655" t="s">
        <v>6</v>
      </c>
      <c r="E3655">
        <v>4200</v>
      </c>
      <c r="F3655" t="s">
        <v>7</v>
      </c>
    </row>
    <row r="3656" spans="1:6">
      <c r="A3656" t="s">
        <v>50</v>
      </c>
      <c r="B3656" t="s">
        <v>25</v>
      </c>
      <c r="C3656">
        <v>2050</v>
      </c>
      <c r="D3656" t="s">
        <v>8</v>
      </c>
      <c r="E3656">
        <v>4200</v>
      </c>
      <c r="F3656" t="s">
        <v>7</v>
      </c>
    </row>
    <row r="3657" spans="1:6">
      <c r="A3657" t="s">
        <v>50</v>
      </c>
      <c r="B3657" t="s">
        <v>25</v>
      </c>
      <c r="C3657">
        <v>2050</v>
      </c>
      <c r="D3657" t="s">
        <v>9</v>
      </c>
      <c r="E3657">
        <v>4200</v>
      </c>
      <c r="F3657" t="s">
        <v>7</v>
      </c>
    </row>
    <row r="3658" spans="1:6">
      <c r="A3658" t="s">
        <v>50</v>
      </c>
      <c r="B3658" t="s">
        <v>25</v>
      </c>
      <c r="C3658">
        <v>2050</v>
      </c>
      <c r="D3658" t="s">
        <v>10</v>
      </c>
      <c r="E3658">
        <v>145</v>
      </c>
      <c r="F3658" t="s">
        <v>11</v>
      </c>
    </row>
    <row r="3659" spans="1:6">
      <c r="A3659" t="s">
        <v>50</v>
      </c>
      <c r="B3659" t="s">
        <v>25</v>
      </c>
      <c r="C3659">
        <v>2050</v>
      </c>
      <c r="D3659" t="s">
        <v>12</v>
      </c>
      <c r="E3659">
        <v>0.3</v>
      </c>
      <c r="F3659" t="s">
        <v>13</v>
      </c>
    </row>
    <row r="3660" spans="1:6">
      <c r="A3660" t="s">
        <v>50</v>
      </c>
      <c r="B3660" t="s">
        <v>25</v>
      </c>
      <c r="C3660">
        <v>2050</v>
      </c>
      <c r="D3660" t="s">
        <v>14</v>
      </c>
      <c r="E3660">
        <v>0.6</v>
      </c>
      <c r="F3660" t="s">
        <v>15</v>
      </c>
    </row>
    <row r="3661" spans="1:6">
      <c r="A3661" t="s">
        <v>50</v>
      </c>
      <c r="B3661" t="s">
        <v>25</v>
      </c>
      <c r="C3661">
        <v>2050</v>
      </c>
      <c r="D3661" t="s">
        <v>164</v>
      </c>
      <c r="E3661">
        <v>2.3610000000000002</v>
      </c>
      <c r="F3661" t="s">
        <v>166</v>
      </c>
    </row>
    <row r="3662" spans="1:6">
      <c r="A3662" t="s">
        <v>50</v>
      </c>
      <c r="B3662" t="s">
        <v>26</v>
      </c>
      <c r="C3662">
        <v>2022</v>
      </c>
      <c r="D3662" t="s">
        <v>6</v>
      </c>
      <c r="E3662">
        <v>5150</v>
      </c>
      <c r="F3662" t="s">
        <v>7</v>
      </c>
    </row>
    <row r="3663" spans="1:6">
      <c r="A3663" t="s">
        <v>50</v>
      </c>
      <c r="B3663" t="s">
        <v>26</v>
      </c>
      <c r="C3663">
        <v>2022</v>
      </c>
      <c r="D3663" t="s">
        <v>8</v>
      </c>
      <c r="E3663">
        <v>5150</v>
      </c>
      <c r="F3663" t="s">
        <v>7</v>
      </c>
    </row>
    <row r="3664" spans="1:6">
      <c r="A3664" t="s">
        <v>50</v>
      </c>
      <c r="B3664" t="s">
        <v>26</v>
      </c>
      <c r="C3664">
        <v>2022</v>
      </c>
      <c r="D3664" t="s">
        <v>9</v>
      </c>
      <c r="E3664">
        <v>5150</v>
      </c>
      <c r="F3664" t="s">
        <v>7</v>
      </c>
    </row>
    <row r="3665" spans="1:6">
      <c r="A3665" t="s">
        <v>50</v>
      </c>
      <c r="B3665" t="s">
        <v>26</v>
      </c>
      <c r="C3665">
        <v>2022</v>
      </c>
      <c r="D3665" t="s">
        <v>10</v>
      </c>
      <c r="E3665">
        <v>180</v>
      </c>
      <c r="F3665" t="s">
        <v>11</v>
      </c>
    </row>
    <row r="3666" spans="1:6">
      <c r="A3666" t="s">
        <v>50</v>
      </c>
      <c r="B3666" t="s">
        <v>26</v>
      </c>
      <c r="C3666">
        <v>2022</v>
      </c>
      <c r="D3666" t="s">
        <v>12</v>
      </c>
      <c r="E3666">
        <v>0.3</v>
      </c>
      <c r="F3666" t="s">
        <v>13</v>
      </c>
    </row>
    <row r="3667" spans="1:6">
      <c r="A3667" t="s">
        <v>50</v>
      </c>
      <c r="B3667" t="s">
        <v>26</v>
      </c>
      <c r="C3667">
        <v>2022</v>
      </c>
      <c r="D3667" t="s">
        <v>14</v>
      </c>
      <c r="E3667">
        <v>0.8</v>
      </c>
      <c r="F3667" t="s">
        <v>15</v>
      </c>
    </row>
    <row r="3668" spans="1:6">
      <c r="A3668" t="s">
        <v>50</v>
      </c>
      <c r="B3668" t="s">
        <v>26</v>
      </c>
      <c r="C3668">
        <v>2022</v>
      </c>
      <c r="D3668" t="s">
        <v>164</v>
      </c>
      <c r="E3668">
        <v>2.3610000000000002</v>
      </c>
      <c r="F3668" t="s">
        <v>166</v>
      </c>
    </row>
    <row r="3669" spans="1:6">
      <c r="A3669" t="s">
        <v>50</v>
      </c>
      <c r="B3669" t="s">
        <v>26</v>
      </c>
      <c r="C3669">
        <v>2030</v>
      </c>
      <c r="D3669" t="s">
        <v>6</v>
      </c>
      <c r="E3669">
        <v>5050</v>
      </c>
      <c r="F3669" t="s">
        <v>7</v>
      </c>
    </row>
    <row r="3670" spans="1:6">
      <c r="A3670" t="s">
        <v>50</v>
      </c>
      <c r="B3670" t="s">
        <v>26</v>
      </c>
      <c r="C3670">
        <v>2030</v>
      </c>
      <c r="D3670" t="s">
        <v>8</v>
      </c>
      <c r="E3670">
        <v>5050</v>
      </c>
      <c r="F3670" t="s">
        <v>7</v>
      </c>
    </row>
    <row r="3671" spans="1:6">
      <c r="A3671" t="s">
        <v>50</v>
      </c>
      <c r="B3671" t="s">
        <v>26</v>
      </c>
      <c r="C3671">
        <v>2030</v>
      </c>
      <c r="D3671" t="s">
        <v>9</v>
      </c>
      <c r="E3671">
        <v>5050</v>
      </c>
      <c r="F3671" t="s">
        <v>7</v>
      </c>
    </row>
    <row r="3672" spans="1:6">
      <c r="A3672" t="s">
        <v>50</v>
      </c>
      <c r="B3672" t="s">
        <v>26</v>
      </c>
      <c r="C3672">
        <v>2030</v>
      </c>
      <c r="D3672" t="s">
        <v>10</v>
      </c>
      <c r="E3672">
        <v>175</v>
      </c>
      <c r="F3672" t="s">
        <v>11</v>
      </c>
    </row>
    <row r="3673" spans="1:6">
      <c r="A3673" t="s">
        <v>50</v>
      </c>
      <c r="B3673" t="s">
        <v>26</v>
      </c>
      <c r="C3673">
        <v>2030</v>
      </c>
      <c r="D3673" t="s">
        <v>12</v>
      </c>
      <c r="E3673">
        <v>0.3</v>
      </c>
      <c r="F3673" t="s">
        <v>13</v>
      </c>
    </row>
    <row r="3674" spans="1:6">
      <c r="A3674" t="s">
        <v>50</v>
      </c>
      <c r="B3674" t="s">
        <v>26</v>
      </c>
      <c r="C3674">
        <v>2030</v>
      </c>
      <c r="D3674" t="s">
        <v>14</v>
      </c>
      <c r="E3674">
        <v>0.8</v>
      </c>
      <c r="F3674" t="s">
        <v>15</v>
      </c>
    </row>
    <row r="3675" spans="1:6">
      <c r="A3675" t="s">
        <v>50</v>
      </c>
      <c r="B3675" t="s">
        <v>26</v>
      </c>
      <c r="C3675">
        <v>2030</v>
      </c>
      <c r="D3675" t="s">
        <v>164</v>
      </c>
      <c r="E3675">
        <v>2.3610000000000002</v>
      </c>
      <c r="F3675" t="s">
        <v>166</v>
      </c>
    </row>
    <row r="3676" spans="1:6">
      <c r="A3676" t="s">
        <v>50</v>
      </c>
      <c r="B3676" t="s">
        <v>26</v>
      </c>
      <c r="C3676">
        <v>2050</v>
      </c>
      <c r="D3676" t="s">
        <v>6</v>
      </c>
      <c r="E3676">
        <v>4500</v>
      </c>
      <c r="F3676" t="s">
        <v>7</v>
      </c>
    </row>
    <row r="3677" spans="1:6">
      <c r="A3677" t="s">
        <v>50</v>
      </c>
      <c r="B3677" t="s">
        <v>26</v>
      </c>
      <c r="C3677">
        <v>2050</v>
      </c>
      <c r="D3677" t="s">
        <v>8</v>
      </c>
      <c r="E3677">
        <v>4500</v>
      </c>
      <c r="F3677" t="s">
        <v>7</v>
      </c>
    </row>
    <row r="3678" spans="1:6">
      <c r="A3678" t="s">
        <v>50</v>
      </c>
      <c r="B3678" t="s">
        <v>26</v>
      </c>
      <c r="C3678">
        <v>2050</v>
      </c>
      <c r="D3678" t="s">
        <v>9</v>
      </c>
      <c r="E3678">
        <v>4500</v>
      </c>
      <c r="F3678" t="s">
        <v>7</v>
      </c>
    </row>
    <row r="3679" spans="1:6">
      <c r="A3679" t="s">
        <v>50</v>
      </c>
      <c r="B3679" t="s">
        <v>26</v>
      </c>
      <c r="C3679">
        <v>2050</v>
      </c>
      <c r="D3679" t="s">
        <v>10</v>
      </c>
      <c r="E3679">
        <v>160</v>
      </c>
      <c r="F3679" t="s">
        <v>11</v>
      </c>
    </row>
    <row r="3680" spans="1:6">
      <c r="A3680" t="s">
        <v>50</v>
      </c>
      <c r="B3680" t="s">
        <v>26</v>
      </c>
      <c r="C3680">
        <v>2050</v>
      </c>
      <c r="D3680" t="s">
        <v>12</v>
      </c>
      <c r="E3680">
        <v>0.3</v>
      </c>
      <c r="F3680" t="s">
        <v>13</v>
      </c>
    </row>
    <row r="3681" spans="1:6">
      <c r="A3681" t="s">
        <v>50</v>
      </c>
      <c r="B3681" t="s">
        <v>26</v>
      </c>
      <c r="C3681">
        <v>2050</v>
      </c>
      <c r="D3681" t="s">
        <v>14</v>
      </c>
      <c r="E3681">
        <v>0.8</v>
      </c>
      <c r="F3681" t="s">
        <v>15</v>
      </c>
    </row>
    <row r="3682" spans="1:6">
      <c r="A3682" t="s">
        <v>50</v>
      </c>
      <c r="B3682" t="s">
        <v>26</v>
      </c>
      <c r="C3682">
        <v>2050</v>
      </c>
      <c r="D3682" t="s">
        <v>164</v>
      </c>
      <c r="E3682">
        <v>2.3610000000000002</v>
      </c>
      <c r="F3682" t="s">
        <v>166</v>
      </c>
    </row>
    <row r="3683" spans="1:6">
      <c r="A3683" t="s">
        <v>50</v>
      </c>
      <c r="B3683" t="s">
        <v>27</v>
      </c>
      <c r="C3683">
        <v>2022</v>
      </c>
      <c r="D3683" t="s">
        <v>6</v>
      </c>
      <c r="E3683">
        <v>4900</v>
      </c>
      <c r="F3683" t="s">
        <v>7</v>
      </c>
    </row>
    <row r="3684" spans="1:6">
      <c r="A3684" t="s">
        <v>50</v>
      </c>
      <c r="B3684" t="s">
        <v>27</v>
      </c>
      <c r="C3684">
        <v>2022</v>
      </c>
      <c r="D3684" t="s">
        <v>8</v>
      </c>
      <c r="E3684">
        <v>4900</v>
      </c>
      <c r="F3684" t="s">
        <v>7</v>
      </c>
    </row>
    <row r="3685" spans="1:6">
      <c r="A3685" t="s">
        <v>50</v>
      </c>
      <c r="B3685" t="s">
        <v>27</v>
      </c>
      <c r="C3685">
        <v>2022</v>
      </c>
      <c r="D3685" t="s">
        <v>9</v>
      </c>
      <c r="E3685">
        <v>4900</v>
      </c>
      <c r="F3685" t="s">
        <v>7</v>
      </c>
    </row>
    <row r="3686" spans="1:6">
      <c r="A3686" t="s">
        <v>50</v>
      </c>
      <c r="B3686" t="s">
        <v>27</v>
      </c>
      <c r="C3686">
        <v>2022</v>
      </c>
      <c r="D3686" t="s">
        <v>10</v>
      </c>
      <c r="E3686">
        <v>170</v>
      </c>
      <c r="F3686" t="s">
        <v>11</v>
      </c>
    </row>
    <row r="3687" spans="1:6">
      <c r="A3687" t="s">
        <v>50</v>
      </c>
      <c r="B3687" t="s">
        <v>27</v>
      </c>
      <c r="C3687">
        <v>2022</v>
      </c>
      <c r="D3687" t="s">
        <v>12</v>
      </c>
      <c r="E3687">
        <v>0.3</v>
      </c>
      <c r="F3687" t="s">
        <v>13</v>
      </c>
    </row>
    <row r="3688" spans="1:6">
      <c r="A3688" t="s">
        <v>50</v>
      </c>
      <c r="B3688" t="s">
        <v>27</v>
      </c>
      <c r="C3688">
        <v>2022</v>
      </c>
      <c r="D3688" t="s">
        <v>14</v>
      </c>
      <c r="E3688">
        <v>0.5</v>
      </c>
      <c r="F3688" t="s">
        <v>15</v>
      </c>
    </row>
    <row r="3689" spans="1:6">
      <c r="A3689" t="s">
        <v>50</v>
      </c>
      <c r="B3689" t="s">
        <v>27</v>
      </c>
      <c r="C3689">
        <v>2022</v>
      </c>
      <c r="D3689" t="s">
        <v>164</v>
      </c>
      <c r="E3689">
        <v>2.3610000000000002</v>
      </c>
      <c r="F3689" t="s">
        <v>166</v>
      </c>
    </row>
    <row r="3690" spans="1:6">
      <c r="A3690" t="s">
        <v>50</v>
      </c>
      <c r="B3690" t="s">
        <v>27</v>
      </c>
      <c r="C3690">
        <v>2030</v>
      </c>
      <c r="D3690" t="s">
        <v>6</v>
      </c>
      <c r="E3690">
        <v>4850</v>
      </c>
      <c r="F3690" t="s">
        <v>7</v>
      </c>
    </row>
    <row r="3691" spans="1:6">
      <c r="A3691" t="s">
        <v>50</v>
      </c>
      <c r="B3691" t="s">
        <v>27</v>
      </c>
      <c r="C3691">
        <v>2030</v>
      </c>
      <c r="D3691" t="s">
        <v>8</v>
      </c>
      <c r="E3691">
        <v>4850</v>
      </c>
      <c r="F3691" t="s">
        <v>7</v>
      </c>
    </row>
    <row r="3692" spans="1:6">
      <c r="A3692" t="s">
        <v>50</v>
      </c>
      <c r="B3692" t="s">
        <v>27</v>
      </c>
      <c r="C3692">
        <v>2030</v>
      </c>
      <c r="D3692" t="s">
        <v>9</v>
      </c>
      <c r="E3692">
        <v>4850</v>
      </c>
      <c r="F3692" t="s">
        <v>7</v>
      </c>
    </row>
    <row r="3693" spans="1:6">
      <c r="A3693" t="s">
        <v>50</v>
      </c>
      <c r="B3693" t="s">
        <v>27</v>
      </c>
      <c r="C3693">
        <v>2030</v>
      </c>
      <c r="D3693" t="s">
        <v>10</v>
      </c>
      <c r="E3693">
        <v>170</v>
      </c>
      <c r="F3693" t="s">
        <v>11</v>
      </c>
    </row>
    <row r="3694" spans="1:6">
      <c r="A3694" t="s">
        <v>50</v>
      </c>
      <c r="B3694" t="s">
        <v>27</v>
      </c>
      <c r="C3694">
        <v>2030</v>
      </c>
      <c r="D3694" t="s">
        <v>12</v>
      </c>
      <c r="E3694">
        <v>0.3</v>
      </c>
      <c r="F3694" t="s">
        <v>13</v>
      </c>
    </row>
    <row r="3695" spans="1:6">
      <c r="A3695" t="s">
        <v>50</v>
      </c>
      <c r="B3695" t="s">
        <v>27</v>
      </c>
      <c r="C3695">
        <v>2030</v>
      </c>
      <c r="D3695" t="s">
        <v>14</v>
      </c>
      <c r="E3695">
        <v>0.5</v>
      </c>
      <c r="F3695" t="s">
        <v>15</v>
      </c>
    </row>
    <row r="3696" spans="1:6">
      <c r="A3696" t="s">
        <v>50</v>
      </c>
      <c r="B3696" t="s">
        <v>27</v>
      </c>
      <c r="C3696">
        <v>2030</v>
      </c>
      <c r="D3696" t="s">
        <v>164</v>
      </c>
      <c r="E3696">
        <v>2.3610000000000002</v>
      </c>
      <c r="F3696" t="s">
        <v>166</v>
      </c>
    </row>
    <row r="3697" spans="1:6">
      <c r="A3697" t="s">
        <v>50</v>
      </c>
      <c r="B3697" t="s">
        <v>27</v>
      </c>
      <c r="C3697">
        <v>2050</v>
      </c>
      <c r="D3697" t="s">
        <v>6</v>
      </c>
      <c r="E3697">
        <v>4350</v>
      </c>
      <c r="F3697" t="s">
        <v>7</v>
      </c>
    </row>
    <row r="3698" spans="1:6">
      <c r="A3698" t="s">
        <v>50</v>
      </c>
      <c r="B3698" t="s">
        <v>27</v>
      </c>
      <c r="C3698">
        <v>2050</v>
      </c>
      <c r="D3698" t="s">
        <v>8</v>
      </c>
      <c r="E3698">
        <v>4350</v>
      </c>
      <c r="F3698" t="s">
        <v>7</v>
      </c>
    </row>
    <row r="3699" spans="1:6">
      <c r="A3699" t="s">
        <v>50</v>
      </c>
      <c r="B3699" t="s">
        <v>27</v>
      </c>
      <c r="C3699">
        <v>2050</v>
      </c>
      <c r="D3699" t="s">
        <v>9</v>
      </c>
      <c r="E3699">
        <v>4350</v>
      </c>
      <c r="F3699" t="s">
        <v>7</v>
      </c>
    </row>
    <row r="3700" spans="1:6">
      <c r="A3700" t="s">
        <v>50</v>
      </c>
      <c r="B3700" t="s">
        <v>27</v>
      </c>
      <c r="C3700">
        <v>2050</v>
      </c>
      <c r="D3700" t="s">
        <v>10</v>
      </c>
      <c r="E3700">
        <v>150</v>
      </c>
      <c r="F3700" t="s">
        <v>11</v>
      </c>
    </row>
    <row r="3701" spans="1:6">
      <c r="A3701" t="s">
        <v>50</v>
      </c>
      <c r="B3701" t="s">
        <v>27</v>
      </c>
      <c r="C3701">
        <v>2050</v>
      </c>
      <c r="D3701" t="s">
        <v>12</v>
      </c>
      <c r="E3701">
        <v>0.3</v>
      </c>
      <c r="F3701" t="s">
        <v>13</v>
      </c>
    </row>
    <row r="3702" spans="1:6">
      <c r="A3702" t="s">
        <v>50</v>
      </c>
      <c r="B3702" t="s">
        <v>27</v>
      </c>
      <c r="C3702">
        <v>2050</v>
      </c>
      <c r="D3702" t="s">
        <v>14</v>
      </c>
      <c r="E3702">
        <v>0.5</v>
      </c>
      <c r="F3702" t="s">
        <v>15</v>
      </c>
    </row>
    <row r="3703" spans="1:6">
      <c r="A3703" t="s">
        <v>50</v>
      </c>
      <c r="B3703" t="s">
        <v>27</v>
      </c>
      <c r="C3703">
        <v>2050</v>
      </c>
      <c r="D3703" t="s">
        <v>164</v>
      </c>
      <c r="E3703">
        <v>2.3610000000000002</v>
      </c>
      <c r="F3703" t="s">
        <v>166</v>
      </c>
    </row>
    <row r="3704" spans="1:6">
      <c r="A3704" t="s">
        <v>50</v>
      </c>
      <c r="B3704" t="s">
        <v>28</v>
      </c>
      <c r="C3704">
        <v>2022</v>
      </c>
      <c r="D3704" t="s">
        <v>6</v>
      </c>
      <c r="E3704">
        <v>4550</v>
      </c>
      <c r="F3704" t="s">
        <v>7</v>
      </c>
    </row>
    <row r="3705" spans="1:6">
      <c r="A3705" t="s">
        <v>50</v>
      </c>
      <c r="B3705" t="s">
        <v>28</v>
      </c>
      <c r="C3705">
        <v>2022</v>
      </c>
      <c r="D3705" t="s">
        <v>8</v>
      </c>
      <c r="E3705">
        <v>4550</v>
      </c>
      <c r="F3705" t="s">
        <v>7</v>
      </c>
    </row>
    <row r="3706" spans="1:6">
      <c r="A3706" t="s">
        <v>50</v>
      </c>
      <c r="B3706" t="s">
        <v>28</v>
      </c>
      <c r="C3706">
        <v>2022</v>
      </c>
      <c r="D3706" t="s">
        <v>9</v>
      </c>
      <c r="E3706">
        <v>4550</v>
      </c>
      <c r="F3706" t="s">
        <v>7</v>
      </c>
    </row>
    <row r="3707" spans="1:6">
      <c r="A3707" t="s">
        <v>50</v>
      </c>
      <c r="B3707" t="s">
        <v>28</v>
      </c>
      <c r="C3707">
        <v>2022</v>
      </c>
      <c r="D3707" t="s">
        <v>10</v>
      </c>
      <c r="E3707">
        <v>160</v>
      </c>
      <c r="F3707" t="s">
        <v>11</v>
      </c>
    </row>
    <row r="3708" spans="1:6">
      <c r="A3708" t="s">
        <v>50</v>
      </c>
      <c r="B3708" t="s">
        <v>28</v>
      </c>
      <c r="C3708">
        <v>2022</v>
      </c>
      <c r="D3708" t="s">
        <v>12</v>
      </c>
      <c r="E3708">
        <v>0.3</v>
      </c>
      <c r="F3708" t="s">
        <v>13</v>
      </c>
    </row>
    <row r="3709" spans="1:6">
      <c r="A3709" t="s">
        <v>50</v>
      </c>
      <c r="B3709" t="s">
        <v>28</v>
      </c>
      <c r="C3709">
        <v>2022</v>
      </c>
      <c r="D3709" t="s">
        <v>14</v>
      </c>
      <c r="E3709">
        <v>0.4</v>
      </c>
      <c r="F3709" t="s">
        <v>15</v>
      </c>
    </row>
    <row r="3710" spans="1:6">
      <c r="A3710" t="s">
        <v>50</v>
      </c>
      <c r="B3710" t="s">
        <v>28</v>
      </c>
      <c r="C3710">
        <v>2022</v>
      </c>
      <c r="D3710" t="s">
        <v>164</v>
      </c>
      <c r="E3710">
        <v>2.3610000000000002</v>
      </c>
      <c r="F3710" t="s">
        <v>166</v>
      </c>
    </row>
    <row r="3711" spans="1:6">
      <c r="A3711" t="s">
        <v>50</v>
      </c>
      <c r="B3711" t="s">
        <v>28</v>
      </c>
      <c r="C3711">
        <v>2030</v>
      </c>
      <c r="D3711" t="s">
        <v>6</v>
      </c>
      <c r="E3711">
        <v>4500</v>
      </c>
      <c r="F3711" t="s">
        <v>7</v>
      </c>
    </row>
    <row r="3712" spans="1:6">
      <c r="A3712" t="s">
        <v>50</v>
      </c>
      <c r="B3712" t="s">
        <v>28</v>
      </c>
      <c r="C3712">
        <v>2030</v>
      </c>
      <c r="D3712" t="s">
        <v>8</v>
      </c>
      <c r="E3712">
        <v>4500</v>
      </c>
      <c r="F3712" t="s">
        <v>7</v>
      </c>
    </row>
    <row r="3713" spans="1:6">
      <c r="A3713" t="s">
        <v>50</v>
      </c>
      <c r="B3713" t="s">
        <v>28</v>
      </c>
      <c r="C3713">
        <v>2030</v>
      </c>
      <c r="D3713" t="s">
        <v>9</v>
      </c>
      <c r="E3713">
        <v>4500</v>
      </c>
      <c r="F3713" t="s">
        <v>7</v>
      </c>
    </row>
    <row r="3714" spans="1:6">
      <c r="A3714" t="s">
        <v>50</v>
      </c>
      <c r="B3714" t="s">
        <v>28</v>
      </c>
      <c r="C3714">
        <v>2030</v>
      </c>
      <c r="D3714" t="s">
        <v>10</v>
      </c>
      <c r="E3714">
        <v>160</v>
      </c>
      <c r="F3714" t="s">
        <v>11</v>
      </c>
    </row>
    <row r="3715" spans="1:6">
      <c r="A3715" t="s">
        <v>50</v>
      </c>
      <c r="B3715" t="s">
        <v>28</v>
      </c>
      <c r="C3715">
        <v>2030</v>
      </c>
      <c r="D3715" t="s">
        <v>12</v>
      </c>
      <c r="E3715">
        <v>0.3</v>
      </c>
      <c r="F3715" t="s">
        <v>13</v>
      </c>
    </row>
    <row r="3716" spans="1:6">
      <c r="A3716" t="s">
        <v>50</v>
      </c>
      <c r="B3716" t="s">
        <v>28</v>
      </c>
      <c r="C3716">
        <v>2030</v>
      </c>
      <c r="D3716" t="s">
        <v>14</v>
      </c>
      <c r="E3716">
        <v>0.4</v>
      </c>
      <c r="F3716" t="s">
        <v>15</v>
      </c>
    </row>
    <row r="3717" spans="1:6">
      <c r="A3717" t="s">
        <v>50</v>
      </c>
      <c r="B3717" t="s">
        <v>28</v>
      </c>
      <c r="C3717">
        <v>2030</v>
      </c>
      <c r="D3717" t="s">
        <v>164</v>
      </c>
      <c r="E3717">
        <v>2.3610000000000002</v>
      </c>
      <c r="F3717" t="s">
        <v>166</v>
      </c>
    </row>
    <row r="3718" spans="1:6">
      <c r="A3718" t="s">
        <v>50</v>
      </c>
      <c r="B3718" t="s">
        <v>28</v>
      </c>
      <c r="C3718">
        <v>2050</v>
      </c>
      <c r="D3718" t="s">
        <v>6</v>
      </c>
      <c r="E3718">
        <v>4050</v>
      </c>
      <c r="F3718" t="s">
        <v>7</v>
      </c>
    </row>
    <row r="3719" spans="1:6">
      <c r="A3719" t="s">
        <v>50</v>
      </c>
      <c r="B3719" t="s">
        <v>28</v>
      </c>
      <c r="C3719">
        <v>2050</v>
      </c>
      <c r="D3719" t="s">
        <v>8</v>
      </c>
      <c r="E3719">
        <v>4050</v>
      </c>
      <c r="F3719" t="s">
        <v>7</v>
      </c>
    </row>
    <row r="3720" spans="1:6">
      <c r="A3720" t="s">
        <v>50</v>
      </c>
      <c r="B3720" t="s">
        <v>28</v>
      </c>
      <c r="C3720">
        <v>2050</v>
      </c>
      <c r="D3720" t="s">
        <v>9</v>
      </c>
      <c r="E3720">
        <v>4050</v>
      </c>
      <c r="F3720" t="s">
        <v>7</v>
      </c>
    </row>
    <row r="3721" spans="1:6">
      <c r="A3721" t="s">
        <v>50</v>
      </c>
      <c r="B3721" t="s">
        <v>28</v>
      </c>
      <c r="C3721">
        <v>2050</v>
      </c>
      <c r="D3721" t="s">
        <v>10</v>
      </c>
      <c r="E3721">
        <v>145</v>
      </c>
      <c r="F3721" t="s">
        <v>11</v>
      </c>
    </row>
    <row r="3722" spans="1:6">
      <c r="A3722" t="s">
        <v>50</v>
      </c>
      <c r="B3722" t="s">
        <v>28</v>
      </c>
      <c r="C3722">
        <v>2050</v>
      </c>
      <c r="D3722" t="s">
        <v>12</v>
      </c>
      <c r="E3722">
        <v>0.3</v>
      </c>
      <c r="F3722" t="s">
        <v>13</v>
      </c>
    </row>
    <row r="3723" spans="1:6">
      <c r="A3723" t="s">
        <v>50</v>
      </c>
      <c r="B3723" t="s">
        <v>28</v>
      </c>
      <c r="C3723">
        <v>2050</v>
      </c>
      <c r="D3723" t="s">
        <v>14</v>
      </c>
      <c r="E3723">
        <v>0.4</v>
      </c>
      <c r="F3723" t="s">
        <v>15</v>
      </c>
    </row>
    <row r="3724" spans="1:6">
      <c r="A3724" t="s">
        <v>50</v>
      </c>
      <c r="B3724" t="s">
        <v>28</v>
      </c>
      <c r="C3724">
        <v>2050</v>
      </c>
      <c r="D3724" t="s">
        <v>164</v>
      </c>
      <c r="E3724">
        <v>2.3610000000000002</v>
      </c>
      <c r="F3724" t="s">
        <v>166</v>
      </c>
    </row>
    <row r="3725" spans="1:6">
      <c r="A3725" t="s">
        <v>51</v>
      </c>
      <c r="B3725" t="s">
        <v>20</v>
      </c>
      <c r="C3725">
        <v>2022</v>
      </c>
      <c r="D3725" t="s">
        <v>6</v>
      </c>
      <c r="E3725">
        <v>5650</v>
      </c>
      <c r="F3725" t="s">
        <v>7</v>
      </c>
    </row>
    <row r="3726" spans="1:6">
      <c r="A3726" t="s">
        <v>51</v>
      </c>
      <c r="B3726" t="s">
        <v>20</v>
      </c>
      <c r="C3726">
        <v>2022</v>
      </c>
      <c r="D3726" t="s">
        <v>8</v>
      </c>
      <c r="E3726">
        <v>5650</v>
      </c>
      <c r="F3726" t="s">
        <v>7</v>
      </c>
    </row>
    <row r="3727" spans="1:6">
      <c r="A3727" t="s">
        <v>51</v>
      </c>
      <c r="B3727" t="s">
        <v>20</v>
      </c>
      <c r="C3727">
        <v>2022</v>
      </c>
      <c r="D3727" t="s">
        <v>9</v>
      </c>
      <c r="E3727">
        <v>5650</v>
      </c>
      <c r="F3727" t="s">
        <v>7</v>
      </c>
    </row>
    <row r="3728" spans="1:6">
      <c r="A3728" t="s">
        <v>51</v>
      </c>
      <c r="B3728" t="s">
        <v>20</v>
      </c>
      <c r="C3728">
        <v>2022</v>
      </c>
      <c r="D3728" t="s">
        <v>10</v>
      </c>
      <c r="E3728">
        <v>230</v>
      </c>
      <c r="F3728" t="s">
        <v>11</v>
      </c>
    </row>
    <row r="3729" spans="1:6">
      <c r="A3729" t="s">
        <v>51</v>
      </c>
      <c r="B3729" t="s">
        <v>20</v>
      </c>
      <c r="C3729">
        <v>2022</v>
      </c>
      <c r="D3729" t="s">
        <v>12</v>
      </c>
      <c r="E3729">
        <v>0.4</v>
      </c>
      <c r="F3729" t="s">
        <v>13</v>
      </c>
    </row>
    <row r="3730" spans="1:6">
      <c r="A3730" t="s">
        <v>51</v>
      </c>
      <c r="B3730" t="s">
        <v>20</v>
      </c>
      <c r="C3730">
        <v>2022</v>
      </c>
      <c r="D3730" t="s">
        <v>14</v>
      </c>
      <c r="E3730">
        <v>0.3</v>
      </c>
      <c r="F3730" t="s">
        <v>15</v>
      </c>
    </row>
    <row r="3731" spans="1:6">
      <c r="A3731" t="s">
        <v>51</v>
      </c>
      <c r="B3731" t="s">
        <v>20</v>
      </c>
      <c r="C3731">
        <v>2022</v>
      </c>
      <c r="D3731" t="s">
        <v>164</v>
      </c>
      <c r="E3731">
        <v>1.099</v>
      </c>
      <c r="F3731" t="s">
        <v>166</v>
      </c>
    </row>
    <row r="3732" spans="1:6">
      <c r="A3732" t="s">
        <v>51</v>
      </c>
      <c r="B3732" t="s">
        <v>20</v>
      </c>
      <c r="C3732">
        <v>2030</v>
      </c>
      <c r="D3732" t="s">
        <v>6</v>
      </c>
      <c r="E3732">
        <v>4950</v>
      </c>
      <c r="F3732" t="s">
        <v>7</v>
      </c>
    </row>
    <row r="3733" spans="1:6">
      <c r="A3733" t="s">
        <v>51</v>
      </c>
      <c r="B3733" t="s">
        <v>20</v>
      </c>
      <c r="C3733">
        <v>2030</v>
      </c>
      <c r="D3733" t="s">
        <v>8</v>
      </c>
      <c r="E3733">
        <v>7560.6</v>
      </c>
      <c r="F3733" t="s">
        <v>7</v>
      </c>
    </row>
    <row r="3734" spans="1:6">
      <c r="A3734" t="s">
        <v>51</v>
      </c>
      <c r="B3734" t="s">
        <v>20</v>
      </c>
      <c r="C3734">
        <v>2030</v>
      </c>
      <c r="D3734" t="s">
        <v>9</v>
      </c>
      <c r="E3734">
        <v>3980.3</v>
      </c>
      <c r="F3734" t="s">
        <v>7</v>
      </c>
    </row>
    <row r="3735" spans="1:6">
      <c r="A3735" t="s">
        <v>51</v>
      </c>
      <c r="B3735" t="s">
        <v>20</v>
      </c>
      <c r="C3735">
        <v>2030</v>
      </c>
      <c r="D3735" t="s">
        <v>10</v>
      </c>
      <c r="E3735">
        <v>200</v>
      </c>
      <c r="F3735" t="s">
        <v>11</v>
      </c>
    </row>
    <row r="3736" spans="1:6">
      <c r="A3736" t="s">
        <v>51</v>
      </c>
      <c r="B3736" t="s">
        <v>20</v>
      </c>
      <c r="C3736">
        <v>2030</v>
      </c>
      <c r="D3736" t="s">
        <v>12</v>
      </c>
      <c r="E3736">
        <v>0.4</v>
      </c>
      <c r="F3736" t="s">
        <v>13</v>
      </c>
    </row>
    <row r="3737" spans="1:6">
      <c r="A3737" t="s">
        <v>51</v>
      </c>
      <c r="B3737" t="s">
        <v>20</v>
      </c>
      <c r="C3737">
        <v>2030</v>
      </c>
      <c r="D3737" t="s">
        <v>14</v>
      </c>
      <c r="E3737">
        <v>0.36</v>
      </c>
      <c r="F3737" t="s">
        <v>15</v>
      </c>
    </row>
    <row r="3738" spans="1:6">
      <c r="A3738" t="s">
        <v>51</v>
      </c>
      <c r="B3738" t="s">
        <v>20</v>
      </c>
      <c r="C3738">
        <v>2030</v>
      </c>
      <c r="D3738" t="s">
        <v>164</v>
      </c>
      <c r="E3738">
        <v>0.83299999999999996</v>
      </c>
      <c r="F3738" t="s">
        <v>166</v>
      </c>
    </row>
    <row r="3739" spans="1:6">
      <c r="A3739" t="s">
        <v>51</v>
      </c>
      <c r="B3739" t="s">
        <v>20</v>
      </c>
      <c r="C3739">
        <v>2050</v>
      </c>
      <c r="D3739" t="s">
        <v>6</v>
      </c>
      <c r="E3739">
        <v>3850</v>
      </c>
      <c r="F3739" t="s">
        <v>7</v>
      </c>
    </row>
    <row r="3740" spans="1:6">
      <c r="A3740" t="s">
        <v>51</v>
      </c>
      <c r="B3740" t="s">
        <v>20</v>
      </c>
      <c r="C3740">
        <v>2050</v>
      </c>
      <c r="D3740" t="s">
        <v>8</v>
      </c>
      <c r="E3740">
        <v>6837.2</v>
      </c>
      <c r="F3740" t="s">
        <v>7</v>
      </c>
    </row>
    <row r="3741" spans="1:6">
      <c r="A3741" t="s">
        <v>51</v>
      </c>
      <c r="B3741" t="s">
        <v>20</v>
      </c>
      <c r="C3741">
        <v>2050</v>
      </c>
      <c r="D3741" t="s">
        <v>9</v>
      </c>
      <c r="E3741">
        <v>2722.7</v>
      </c>
      <c r="F3741" t="s">
        <v>7</v>
      </c>
    </row>
    <row r="3742" spans="1:6">
      <c r="A3742" t="s">
        <v>51</v>
      </c>
      <c r="B3742" t="s">
        <v>20</v>
      </c>
      <c r="C3742">
        <v>2050</v>
      </c>
      <c r="D3742" t="s">
        <v>10</v>
      </c>
      <c r="E3742">
        <v>150</v>
      </c>
      <c r="F3742" t="s">
        <v>11</v>
      </c>
    </row>
    <row r="3743" spans="1:6">
      <c r="A3743" t="s">
        <v>51</v>
      </c>
      <c r="B3743" t="s">
        <v>20</v>
      </c>
      <c r="C3743">
        <v>2050</v>
      </c>
      <c r="D3743" t="s">
        <v>12</v>
      </c>
      <c r="E3743">
        <v>0.4</v>
      </c>
      <c r="F3743" t="s">
        <v>13</v>
      </c>
    </row>
    <row r="3744" spans="1:6">
      <c r="A3744" t="s">
        <v>51</v>
      </c>
      <c r="B3744" t="s">
        <v>20</v>
      </c>
      <c r="C3744">
        <v>2050</v>
      </c>
      <c r="D3744" t="s">
        <v>14</v>
      </c>
      <c r="E3744">
        <v>0.42</v>
      </c>
      <c r="F3744" t="s">
        <v>15</v>
      </c>
    </row>
    <row r="3745" spans="1:6">
      <c r="A3745" t="s">
        <v>51</v>
      </c>
      <c r="B3745" t="s">
        <v>20</v>
      </c>
      <c r="C3745">
        <v>2050</v>
      </c>
      <c r="D3745" t="s">
        <v>164</v>
      </c>
      <c r="E3745">
        <v>0.83299999999999996</v>
      </c>
      <c r="F3745" t="s">
        <v>166</v>
      </c>
    </row>
    <row r="3746" spans="1:6">
      <c r="A3746" t="s">
        <v>51</v>
      </c>
      <c r="B3746" t="s">
        <v>21</v>
      </c>
      <c r="C3746">
        <v>2022</v>
      </c>
      <c r="D3746" t="s">
        <v>6</v>
      </c>
      <c r="E3746">
        <v>6500</v>
      </c>
      <c r="F3746" t="s">
        <v>7</v>
      </c>
    </row>
    <row r="3747" spans="1:6">
      <c r="A3747" t="s">
        <v>51</v>
      </c>
      <c r="B3747" t="s">
        <v>21</v>
      </c>
      <c r="C3747">
        <v>2022</v>
      </c>
      <c r="D3747" t="s">
        <v>8</v>
      </c>
      <c r="E3747">
        <v>6500</v>
      </c>
      <c r="F3747" t="s">
        <v>7</v>
      </c>
    </row>
    <row r="3748" spans="1:6">
      <c r="A3748" t="s">
        <v>51</v>
      </c>
      <c r="B3748" t="s">
        <v>21</v>
      </c>
      <c r="C3748">
        <v>2022</v>
      </c>
      <c r="D3748" t="s">
        <v>9</v>
      </c>
      <c r="E3748">
        <v>6500</v>
      </c>
      <c r="F3748" t="s">
        <v>7</v>
      </c>
    </row>
    <row r="3749" spans="1:6">
      <c r="A3749" t="s">
        <v>51</v>
      </c>
      <c r="B3749" t="s">
        <v>21</v>
      </c>
      <c r="C3749">
        <v>2022</v>
      </c>
      <c r="D3749" t="s">
        <v>10</v>
      </c>
      <c r="E3749">
        <v>260</v>
      </c>
      <c r="F3749" t="s">
        <v>11</v>
      </c>
    </row>
    <row r="3750" spans="1:6">
      <c r="A3750" t="s">
        <v>51</v>
      </c>
      <c r="B3750" t="s">
        <v>21</v>
      </c>
      <c r="C3750">
        <v>2022</v>
      </c>
      <c r="D3750" t="s">
        <v>12</v>
      </c>
      <c r="E3750">
        <v>0.4</v>
      </c>
      <c r="F3750" t="s">
        <v>13</v>
      </c>
    </row>
    <row r="3751" spans="1:6">
      <c r="A3751" t="s">
        <v>51</v>
      </c>
      <c r="B3751" t="s">
        <v>21</v>
      </c>
      <c r="C3751">
        <v>2022</v>
      </c>
      <c r="D3751" t="s">
        <v>14</v>
      </c>
      <c r="E3751">
        <v>0.28000000000000003</v>
      </c>
      <c r="F3751" t="s">
        <v>15</v>
      </c>
    </row>
    <row r="3752" spans="1:6">
      <c r="A3752" t="s">
        <v>51</v>
      </c>
      <c r="B3752" t="s">
        <v>21</v>
      </c>
      <c r="C3752">
        <v>2022</v>
      </c>
      <c r="D3752" t="s">
        <v>164</v>
      </c>
      <c r="E3752">
        <v>1.099</v>
      </c>
      <c r="F3752" t="s">
        <v>166</v>
      </c>
    </row>
    <row r="3753" spans="1:6">
      <c r="A3753" t="s">
        <v>51</v>
      </c>
      <c r="B3753" t="s">
        <v>21</v>
      </c>
      <c r="C3753">
        <v>2030</v>
      </c>
      <c r="D3753" t="s">
        <v>6</v>
      </c>
      <c r="E3753">
        <v>5850</v>
      </c>
      <c r="F3753" t="s">
        <v>7</v>
      </c>
    </row>
    <row r="3754" spans="1:6">
      <c r="A3754" t="s">
        <v>51</v>
      </c>
      <c r="B3754" t="s">
        <v>21</v>
      </c>
      <c r="C3754">
        <v>2030</v>
      </c>
      <c r="D3754" t="s">
        <v>8</v>
      </c>
      <c r="E3754">
        <v>8935.2999999999993</v>
      </c>
      <c r="F3754" t="s">
        <v>7</v>
      </c>
    </row>
    <row r="3755" spans="1:6">
      <c r="A3755" t="s">
        <v>51</v>
      </c>
      <c r="B3755" t="s">
        <v>21</v>
      </c>
      <c r="C3755">
        <v>2030</v>
      </c>
      <c r="D3755" t="s">
        <v>9</v>
      </c>
      <c r="E3755">
        <v>4704</v>
      </c>
      <c r="F3755" t="s">
        <v>7</v>
      </c>
    </row>
    <row r="3756" spans="1:6">
      <c r="A3756" t="s">
        <v>51</v>
      </c>
      <c r="B3756" t="s">
        <v>21</v>
      </c>
      <c r="C3756">
        <v>2030</v>
      </c>
      <c r="D3756" t="s">
        <v>10</v>
      </c>
      <c r="E3756">
        <v>230</v>
      </c>
      <c r="F3756" t="s">
        <v>11</v>
      </c>
    </row>
    <row r="3757" spans="1:6">
      <c r="A3757" t="s">
        <v>51</v>
      </c>
      <c r="B3757" t="s">
        <v>21</v>
      </c>
      <c r="C3757">
        <v>2030</v>
      </c>
      <c r="D3757" t="s">
        <v>12</v>
      </c>
      <c r="E3757">
        <v>0.4</v>
      </c>
      <c r="F3757" t="s">
        <v>13</v>
      </c>
    </row>
    <row r="3758" spans="1:6">
      <c r="A3758" t="s">
        <v>51</v>
      </c>
      <c r="B3758" t="s">
        <v>21</v>
      </c>
      <c r="C3758">
        <v>2030</v>
      </c>
      <c r="D3758" t="s">
        <v>14</v>
      </c>
      <c r="E3758">
        <v>0.34</v>
      </c>
      <c r="F3758" t="s">
        <v>15</v>
      </c>
    </row>
    <row r="3759" spans="1:6">
      <c r="A3759" t="s">
        <v>51</v>
      </c>
      <c r="B3759" t="s">
        <v>21</v>
      </c>
      <c r="C3759">
        <v>2030</v>
      </c>
      <c r="D3759" t="s">
        <v>164</v>
      </c>
      <c r="E3759">
        <v>0.83299999999999996</v>
      </c>
      <c r="F3759" t="s">
        <v>166</v>
      </c>
    </row>
    <row r="3760" spans="1:6">
      <c r="A3760" t="s">
        <v>51</v>
      </c>
      <c r="B3760" t="s">
        <v>21</v>
      </c>
      <c r="C3760">
        <v>2050</v>
      </c>
      <c r="D3760" t="s">
        <v>6</v>
      </c>
      <c r="E3760">
        <v>4550</v>
      </c>
      <c r="F3760" t="s">
        <v>7</v>
      </c>
    </row>
    <row r="3761" spans="1:6">
      <c r="A3761" t="s">
        <v>51</v>
      </c>
      <c r="B3761" t="s">
        <v>21</v>
      </c>
      <c r="C3761">
        <v>2050</v>
      </c>
      <c r="D3761" t="s">
        <v>8</v>
      </c>
      <c r="E3761">
        <v>8080.3</v>
      </c>
      <c r="F3761" t="s">
        <v>7</v>
      </c>
    </row>
    <row r="3762" spans="1:6">
      <c r="A3762" t="s">
        <v>51</v>
      </c>
      <c r="B3762" t="s">
        <v>21</v>
      </c>
      <c r="C3762">
        <v>2050</v>
      </c>
      <c r="D3762" t="s">
        <v>9</v>
      </c>
      <c r="E3762">
        <v>3217.8</v>
      </c>
      <c r="F3762" t="s">
        <v>7</v>
      </c>
    </row>
    <row r="3763" spans="1:6">
      <c r="A3763" t="s">
        <v>51</v>
      </c>
      <c r="B3763" t="s">
        <v>21</v>
      </c>
      <c r="C3763">
        <v>2050</v>
      </c>
      <c r="D3763" t="s">
        <v>10</v>
      </c>
      <c r="E3763">
        <v>180</v>
      </c>
      <c r="F3763" t="s">
        <v>11</v>
      </c>
    </row>
    <row r="3764" spans="1:6">
      <c r="A3764" t="s">
        <v>51</v>
      </c>
      <c r="B3764" t="s">
        <v>21</v>
      </c>
      <c r="C3764">
        <v>2050</v>
      </c>
      <c r="D3764" t="s">
        <v>12</v>
      </c>
      <c r="E3764">
        <v>0.4</v>
      </c>
      <c r="F3764" t="s">
        <v>13</v>
      </c>
    </row>
    <row r="3765" spans="1:6">
      <c r="A3765" t="s">
        <v>51</v>
      </c>
      <c r="B3765" t="s">
        <v>21</v>
      </c>
      <c r="C3765">
        <v>2050</v>
      </c>
      <c r="D3765" t="s">
        <v>14</v>
      </c>
      <c r="E3765">
        <v>0.4</v>
      </c>
      <c r="F3765" t="s">
        <v>15</v>
      </c>
    </row>
    <row r="3766" spans="1:6">
      <c r="A3766" t="s">
        <v>51</v>
      </c>
      <c r="B3766" t="s">
        <v>21</v>
      </c>
      <c r="C3766">
        <v>2050</v>
      </c>
      <c r="D3766" t="s">
        <v>164</v>
      </c>
      <c r="E3766">
        <v>0.83299999999999996</v>
      </c>
      <c r="F3766" t="s">
        <v>166</v>
      </c>
    </row>
    <row r="3767" spans="1:6">
      <c r="A3767" t="s">
        <v>51</v>
      </c>
      <c r="B3767" t="s">
        <v>22</v>
      </c>
      <c r="C3767">
        <v>2022</v>
      </c>
      <c r="D3767" t="s">
        <v>164</v>
      </c>
      <c r="E3767">
        <v>1.099</v>
      </c>
      <c r="F3767" t="s">
        <v>166</v>
      </c>
    </row>
    <row r="3768" spans="1:6">
      <c r="A3768" t="s">
        <v>51</v>
      </c>
      <c r="B3768" t="s">
        <v>22</v>
      </c>
      <c r="C3768">
        <v>2030</v>
      </c>
      <c r="D3768" t="s">
        <v>164</v>
      </c>
      <c r="E3768">
        <v>0.83299999999999996</v>
      </c>
      <c r="F3768" t="s">
        <v>166</v>
      </c>
    </row>
    <row r="3769" spans="1:6">
      <c r="A3769" t="s">
        <v>51</v>
      </c>
      <c r="B3769" t="s">
        <v>22</v>
      </c>
      <c r="C3769">
        <v>2050</v>
      </c>
      <c r="D3769" t="s">
        <v>164</v>
      </c>
      <c r="E3769">
        <v>0.83299999999999996</v>
      </c>
      <c r="F3769" t="s">
        <v>166</v>
      </c>
    </row>
    <row r="3770" spans="1:6">
      <c r="A3770" t="s">
        <v>51</v>
      </c>
      <c r="B3770" t="s">
        <v>23</v>
      </c>
      <c r="C3770">
        <v>2022</v>
      </c>
      <c r="D3770" t="s">
        <v>164</v>
      </c>
      <c r="E3770">
        <v>1.099</v>
      </c>
      <c r="F3770" t="s">
        <v>166</v>
      </c>
    </row>
    <row r="3771" spans="1:6">
      <c r="A3771" t="s">
        <v>51</v>
      </c>
      <c r="B3771" t="s">
        <v>23</v>
      </c>
      <c r="C3771">
        <v>2030</v>
      </c>
      <c r="D3771" t="s">
        <v>164</v>
      </c>
      <c r="E3771">
        <v>0.83299999999999996</v>
      </c>
      <c r="F3771" t="s">
        <v>166</v>
      </c>
    </row>
    <row r="3772" spans="1:6">
      <c r="A3772" t="s">
        <v>51</v>
      </c>
      <c r="B3772" t="s">
        <v>23</v>
      </c>
      <c r="C3772">
        <v>2050</v>
      </c>
      <c r="D3772" t="s">
        <v>164</v>
      </c>
      <c r="E3772">
        <v>0.83299999999999996</v>
      </c>
      <c r="F3772" t="s">
        <v>166</v>
      </c>
    </row>
    <row r="3773" spans="1:6">
      <c r="A3773" t="s">
        <v>51</v>
      </c>
      <c r="B3773" t="s">
        <v>24</v>
      </c>
      <c r="C3773">
        <v>2022</v>
      </c>
      <c r="D3773" t="s">
        <v>6</v>
      </c>
      <c r="E3773">
        <v>4900</v>
      </c>
      <c r="F3773" t="s">
        <v>7</v>
      </c>
    </row>
    <row r="3774" spans="1:6">
      <c r="A3774" t="s">
        <v>51</v>
      </c>
      <c r="B3774" t="s">
        <v>24</v>
      </c>
      <c r="C3774">
        <v>2022</v>
      </c>
      <c r="D3774" t="s">
        <v>8</v>
      </c>
      <c r="E3774">
        <v>4900</v>
      </c>
      <c r="F3774" t="s">
        <v>7</v>
      </c>
    </row>
    <row r="3775" spans="1:6">
      <c r="A3775" t="s">
        <v>51</v>
      </c>
      <c r="B3775" t="s">
        <v>24</v>
      </c>
      <c r="C3775">
        <v>2022</v>
      </c>
      <c r="D3775" t="s">
        <v>9</v>
      </c>
      <c r="E3775">
        <v>4900</v>
      </c>
      <c r="F3775" t="s">
        <v>7</v>
      </c>
    </row>
    <row r="3776" spans="1:6">
      <c r="A3776" t="s">
        <v>51</v>
      </c>
      <c r="B3776" t="s">
        <v>24</v>
      </c>
      <c r="C3776">
        <v>2022</v>
      </c>
      <c r="D3776" t="s">
        <v>10</v>
      </c>
      <c r="E3776">
        <v>200</v>
      </c>
      <c r="F3776" t="s">
        <v>11</v>
      </c>
    </row>
    <row r="3777" spans="1:6">
      <c r="A3777" t="s">
        <v>51</v>
      </c>
      <c r="B3777" t="s">
        <v>24</v>
      </c>
      <c r="C3777">
        <v>2022</v>
      </c>
      <c r="D3777" t="s">
        <v>12</v>
      </c>
      <c r="E3777">
        <v>0.4</v>
      </c>
      <c r="F3777" t="s">
        <v>13</v>
      </c>
    </row>
    <row r="3778" spans="1:6">
      <c r="A3778" t="s">
        <v>51</v>
      </c>
      <c r="B3778" t="s">
        <v>24</v>
      </c>
      <c r="C3778">
        <v>2022</v>
      </c>
      <c r="D3778" t="s">
        <v>14</v>
      </c>
      <c r="E3778">
        <v>0.28000000000000003</v>
      </c>
      <c r="F3778" t="s">
        <v>15</v>
      </c>
    </row>
    <row r="3779" spans="1:6">
      <c r="A3779" t="s">
        <v>51</v>
      </c>
      <c r="B3779" t="s">
        <v>24</v>
      </c>
      <c r="C3779">
        <v>2022</v>
      </c>
      <c r="D3779" t="s">
        <v>164</v>
      </c>
      <c r="E3779">
        <v>1.099</v>
      </c>
      <c r="F3779" t="s">
        <v>166</v>
      </c>
    </row>
    <row r="3780" spans="1:6">
      <c r="A3780" t="s">
        <v>51</v>
      </c>
      <c r="B3780" t="s">
        <v>24</v>
      </c>
      <c r="C3780">
        <v>2030</v>
      </c>
      <c r="D3780" t="s">
        <v>6</v>
      </c>
      <c r="E3780">
        <v>4200</v>
      </c>
      <c r="F3780" t="s">
        <v>7</v>
      </c>
    </row>
    <row r="3781" spans="1:6">
      <c r="A3781" t="s">
        <v>51</v>
      </c>
      <c r="B3781" t="s">
        <v>24</v>
      </c>
      <c r="C3781">
        <v>2030</v>
      </c>
      <c r="D3781" t="s">
        <v>8</v>
      </c>
      <c r="E3781">
        <v>6415.1</v>
      </c>
      <c r="F3781" t="s">
        <v>7</v>
      </c>
    </row>
    <row r="3782" spans="1:6">
      <c r="A3782" t="s">
        <v>51</v>
      </c>
      <c r="B3782" t="s">
        <v>24</v>
      </c>
      <c r="C3782">
        <v>2030</v>
      </c>
      <c r="D3782" t="s">
        <v>9</v>
      </c>
      <c r="E3782">
        <v>3377.2</v>
      </c>
      <c r="F3782" t="s">
        <v>7</v>
      </c>
    </row>
    <row r="3783" spans="1:6">
      <c r="A3783" t="s">
        <v>51</v>
      </c>
      <c r="B3783" t="s">
        <v>24</v>
      </c>
      <c r="C3783">
        <v>2030</v>
      </c>
      <c r="D3783" t="s">
        <v>10</v>
      </c>
      <c r="E3783">
        <v>170</v>
      </c>
      <c r="F3783" t="s">
        <v>11</v>
      </c>
    </row>
    <row r="3784" spans="1:6">
      <c r="A3784" t="s">
        <v>51</v>
      </c>
      <c r="B3784" t="s">
        <v>24</v>
      </c>
      <c r="C3784">
        <v>2030</v>
      </c>
      <c r="D3784" t="s">
        <v>12</v>
      </c>
      <c r="E3784">
        <v>0.4</v>
      </c>
      <c r="F3784" t="s">
        <v>13</v>
      </c>
    </row>
    <row r="3785" spans="1:6">
      <c r="A3785" t="s">
        <v>51</v>
      </c>
      <c r="B3785" t="s">
        <v>24</v>
      </c>
      <c r="C3785">
        <v>2030</v>
      </c>
      <c r="D3785" t="s">
        <v>14</v>
      </c>
      <c r="E3785">
        <v>0.34</v>
      </c>
      <c r="F3785" t="s">
        <v>15</v>
      </c>
    </row>
    <row r="3786" spans="1:6">
      <c r="A3786" t="s">
        <v>51</v>
      </c>
      <c r="B3786" t="s">
        <v>24</v>
      </c>
      <c r="C3786">
        <v>2030</v>
      </c>
      <c r="D3786" t="s">
        <v>164</v>
      </c>
      <c r="E3786">
        <v>0.83299999999999996</v>
      </c>
      <c r="F3786" t="s">
        <v>166</v>
      </c>
    </row>
    <row r="3787" spans="1:6">
      <c r="A3787" t="s">
        <v>51</v>
      </c>
      <c r="B3787" t="s">
        <v>24</v>
      </c>
      <c r="C3787">
        <v>2050</v>
      </c>
      <c r="D3787" t="s">
        <v>6</v>
      </c>
      <c r="E3787">
        <v>3250</v>
      </c>
      <c r="F3787" t="s">
        <v>7</v>
      </c>
    </row>
    <row r="3788" spans="1:6">
      <c r="A3788" t="s">
        <v>51</v>
      </c>
      <c r="B3788" t="s">
        <v>24</v>
      </c>
      <c r="C3788">
        <v>2050</v>
      </c>
      <c r="D3788" t="s">
        <v>8</v>
      </c>
      <c r="E3788">
        <v>5771.7</v>
      </c>
      <c r="F3788" t="s">
        <v>7</v>
      </c>
    </row>
    <row r="3789" spans="1:6">
      <c r="A3789" t="s">
        <v>51</v>
      </c>
      <c r="B3789" t="s">
        <v>24</v>
      </c>
      <c r="C3789">
        <v>2050</v>
      </c>
      <c r="D3789" t="s">
        <v>9</v>
      </c>
      <c r="E3789">
        <v>2298.4</v>
      </c>
      <c r="F3789" t="s">
        <v>7</v>
      </c>
    </row>
    <row r="3790" spans="1:6">
      <c r="A3790" t="s">
        <v>51</v>
      </c>
      <c r="B3790" t="s">
        <v>24</v>
      </c>
      <c r="C3790">
        <v>2050</v>
      </c>
      <c r="D3790" t="s">
        <v>10</v>
      </c>
      <c r="E3790">
        <v>130</v>
      </c>
      <c r="F3790" t="s">
        <v>11</v>
      </c>
    </row>
    <row r="3791" spans="1:6">
      <c r="A3791" t="s">
        <v>51</v>
      </c>
      <c r="B3791" t="s">
        <v>24</v>
      </c>
      <c r="C3791">
        <v>2050</v>
      </c>
      <c r="D3791" t="s">
        <v>12</v>
      </c>
      <c r="E3791">
        <v>0.4</v>
      </c>
      <c r="F3791" t="s">
        <v>13</v>
      </c>
    </row>
    <row r="3792" spans="1:6">
      <c r="A3792" t="s">
        <v>51</v>
      </c>
      <c r="B3792" t="s">
        <v>24</v>
      </c>
      <c r="C3792">
        <v>2050</v>
      </c>
      <c r="D3792" t="s">
        <v>14</v>
      </c>
      <c r="E3792">
        <v>0.4</v>
      </c>
      <c r="F3792" t="s">
        <v>15</v>
      </c>
    </row>
    <row r="3793" spans="1:6">
      <c r="A3793" t="s">
        <v>51</v>
      </c>
      <c r="B3793" t="s">
        <v>24</v>
      </c>
      <c r="C3793">
        <v>2050</v>
      </c>
      <c r="D3793" t="s">
        <v>164</v>
      </c>
      <c r="E3793">
        <v>0.83299999999999996</v>
      </c>
      <c r="F3793" t="s">
        <v>166</v>
      </c>
    </row>
    <row r="3794" spans="1:6">
      <c r="A3794" t="s">
        <v>51</v>
      </c>
      <c r="B3794" t="s">
        <v>25</v>
      </c>
      <c r="C3794">
        <v>2022</v>
      </c>
      <c r="D3794" t="s">
        <v>6</v>
      </c>
      <c r="E3794">
        <v>5700</v>
      </c>
      <c r="F3794" t="s">
        <v>7</v>
      </c>
    </row>
    <row r="3795" spans="1:6">
      <c r="A3795" t="s">
        <v>51</v>
      </c>
      <c r="B3795" t="s">
        <v>25</v>
      </c>
      <c r="C3795">
        <v>2022</v>
      </c>
      <c r="D3795" t="s">
        <v>8</v>
      </c>
      <c r="E3795">
        <v>5700</v>
      </c>
      <c r="F3795" t="s">
        <v>7</v>
      </c>
    </row>
    <row r="3796" spans="1:6">
      <c r="A3796" t="s">
        <v>51</v>
      </c>
      <c r="B3796" t="s">
        <v>25</v>
      </c>
      <c r="C3796">
        <v>2022</v>
      </c>
      <c r="D3796" t="s">
        <v>9</v>
      </c>
      <c r="E3796">
        <v>5700</v>
      </c>
      <c r="F3796" t="s">
        <v>7</v>
      </c>
    </row>
    <row r="3797" spans="1:6">
      <c r="A3797" t="s">
        <v>51</v>
      </c>
      <c r="B3797" t="s">
        <v>25</v>
      </c>
      <c r="C3797">
        <v>2022</v>
      </c>
      <c r="D3797" t="s">
        <v>10</v>
      </c>
      <c r="E3797">
        <v>230</v>
      </c>
      <c r="F3797" t="s">
        <v>11</v>
      </c>
    </row>
    <row r="3798" spans="1:6">
      <c r="A3798" t="s">
        <v>51</v>
      </c>
      <c r="B3798" t="s">
        <v>25</v>
      </c>
      <c r="C3798">
        <v>2022</v>
      </c>
      <c r="D3798" t="s">
        <v>12</v>
      </c>
      <c r="E3798">
        <v>0.4</v>
      </c>
      <c r="F3798" t="s">
        <v>13</v>
      </c>
    </row>
    <row r="3799" spans="1:6">
      <c r="A3799" t="s">
        <v>51</v>
      </c>
      <c r="B3799" t="s">
        <v>25</v>
      </c>
      <c r="C3799">
        <v>2022</v>
      </c>
      <c r="D3799" t="s">
        <v>14</v>
      </c>
      <c r="E3799">
        <v>0.26</v>
      </c>
      <c r="F3799" t="s">
        <v>15</v>
      </c>
    </row>
    <row r="3800" spans="1:6">
      <c r="A3800" t="s">
        <v>51</v>
      </c>
      <c r="B3800" t="s">
        <v>25</v>
      </c>
      <c r="C3800">
        <v>2022</v>
      </c>
      <c r="D3800" t="s">
        <v>164</v>
      </c>
      <c r="E3800">
        <v>1.099</v>
      </c>
      <c r="F3800" t="s">
        <v>166</v>
      </c>
    </row>
    <row r="3801" spans="1:6">
      <c r="A3801" t="s">
        <v>51</v>
      </c>
      <c r="B3801" t="s">
        <v>25</v>
      </c>
      <c r="C3801">
        <v>2030</v>
      </c>
      <c r="D3801" t="s">
        <v>6</v>
      </c>
      <c r="E3801">
        <v>5000</v>
      </c>
      <c r="F3801" t="s">
        <v>7</v>
      </c>
    </row>
    <row r="3802" spans="1:6">
      <c r="A3802" t="s">
        <v>51</v>
      </c>
      <c r="B3802" t="s">
        <v>25</v>
      </c>
      <c r="C3802">
        <v>2030</v>
      </c>
      <c r="D3802" t="s">
        <v>8</v>
      </c>
      <c r="E3802">
        <v>7637</v>
      </c>
      <c r="F3802" t="s">
        <v>7</v>
      </c>
    </row>
    <row r="3803" spans="1:6">
      <c r="A3803" t="s">
        <v>51</v>
      </c>
      <c r="B3803" t="s">
        <v>25</v>
      </c>
      <c r="C3803">
        <v>2030</v>
      </c>
      <c r="D3803" t="s">
        <v>9</v>
      </c>
      <c r="E3803">
        <v>4020.5</v>
      </c>
      <c r="F3803" t="s">
        <v>7</v>
      </c>
    </row>
    <row r="3804" spans="1:6">
      <c r="A3804" t="s">
        <v>51</v>
      </c>
      <c r="B3804" t="s">
        <v>25</v>
      </c>
      <c r="C3804">
        <v>2030</v>
      </c>
      <c r="D3804" t="s">
        <v>10</v>
      </c>
      <c r="E3804">
        <v>200</v>
      </c>
      <c r="F3804" t="s">
        <v>11</v>
      </c>
    </row>
    <row r="3805" spans="1:6">
      <c r="A3805" t="s">
        <v>51</v>
      </c>
      <c r="B3805" t="s">
        <v>25</v>
      </c>
      <c r="C3805">
        <v>2030</v>
      </c>
      <c r="D3805" t="s">
        <v>12</v>
      </c>
      <c r="E3805">
        <v>0.4</v>
      </c>
      <c r="F3805" t="s">
        <v>13</v>
      </c>
    </row>
    <row r="3806" spans="1:6">
      <c r="A3806" t="s">
        <v>51</v>
      </c>
      <c r="B3806" t="s">
        <v>25</v>
      </c>
      <c r="C3806">
        <v>2030</v>
      </c>
      <c r="D3806" t="s">
        <v>14</v>
      </c>
      <c r="E3806">
        <v>0.3</v>
      </c>
      <c r="F3806" t="s">
        <v>15</v>
      </c>
    </row>
    <row r="3807" spans="1:6">
      <c r="A3807" t="s">
        <v>51</v>
      </c>
      <c r="B3807" t="s">
        <v>25</v>
      </c>
      <c r="C3807">
        <v>2030</v>
      </c>
      <c r="D3807" t="s">
        <v>164</v>
      </c>
      <c r="E3807">
        <v>0.83299999999999996</v>
      </c>
      <c r="F3807" t="s">
        <v>166</v>
      </c>
    </row>
    <row r="3808" spans="1:6">
      <c r="A3808" t="s">
        <v>51</v>
      </c>
      <c r="B3808" t="s">
        <v>25</v>
      </c>
      <c r="C3808">
        <v>2050</v>
      </c>
      <c r="D3808" t="s">
        <v>6</v>
      </c>
      <c r="E3808">
        <v>3800</v>
      </c>
      <c r="F3808" t="s">
        <v>7</v>
      </c>
    </row>
    <row r="3809" spans="1:6">
      <c r="A3809" t="s">
        <v>51</v>
      </c>
      <c r="B3809" t="s">
        <v>25</v>
      </c>
      <c r="C3809">
        <v>2050</v>
      </c>
      <c r="D3809" t="s">
        <v>8</v>
      </c>
      <c r="E3809">
        <v>6748.4</v>
      </c>
      <c r="F3809" t="s">
        <v>7</v>
      </c>
    </row>
    <row r="3810" spans="1:6">
      <c r="A3810" t="s">
        <v>51</v>
      </c>
      <c r="B3810" t="s">
        <v>25</v>
      </c>
      <c r="C3810">
        <v>2050</v>
      </c>
      <c r="D3810" t="s">
        <v>9</v>
      </c>
      <c r="E3810">
        <v>2687.4</v>
      </c>
      <c r="F3810" t="s">
        <v>7</v>
      </c>
    </row>
    <row r="3811" spans="1:6">
      <c r="A3811" t="s">
        <v>51</v>
      </c>
      <c r="B3811" t="s">
        <v>25</v>
      </c>
      <c r="C3811">
        <v>2050</v>
      </c>
      <c r="D3811" t="s">
        <v>10</v>
      </c>
      <c r="E3811">
        <v>150</v>
      </c>
      <c r="F3811" t="s">
        <v>11</v>
      </c>
    </row>
    <row r="3812" spans="1:6">
      <c r="A3812" t="s">
        <v>51</v>
      </c>
      <c r="B3812" t="s">
        <v>25</v>
      </c>
      <c r="C3812">
        <v>2050</v>
      </c>
      <c r="D3812" t="s">
        <v>12</v>
      </c>
      <c r="E3812">
        <v>0.4</v>
      </c>
      <c r="F3812" t="s">
        <v>13</v>
      </c>
    </row>
    <row r="3813" spans="1:6">
      <c r="A3813" t="s">
        <v>51</v>
      </c>
      <c r="B3813" t="s">
        <v>25</v>
      </c>
      <c r="C3813">
        <v>2050</v>
      </c>
      <c r="D3813" t="s">
        <v>14</v>
      </c>
      <c r="E3813">
        <v>0.36</v>
      </c>
      <c r="F3813" t="s">
        <v>15</v>
      </c>
    </row>
    <row r="3814" spans="1:6">
      <c r="A3814" t="s">
        <v>51</v>
      </c>
      <c r="B3814" t="s">
        <v>25</v>
      </c>
      <c r="C3814">
        <v>2050</v>
      </c>
      <c r="D3814" t="s">
        <v>164</v>
      </c>
      <c r="E3814">
        <v>0.83299999999999996</v>
      </c>
      <c r="F3814" t="s">
        <v>166</v>
      </c>
    </row>
    <row r="3815" spans="1:6">
      <c r="A3815" t="s">
        <v>51</v>
      </c>
      <c r="B3815" t="s">
        <v>26</v>
      </c>
      <c r="C3815">
        <v>2022</v>
      </c>
      <c r="D3815" t="s">
        <v>6</v>
      </c>
      <c r="E3815">
        <v>5250</v>
      </c>
      <c r="F3815" t="s">
        <v>7</v>
      </c>
    </row>
    <row r="3816" spans="1:6">
      <c r="A3816" t="s">
        <v>51</v>
      </c>
      <c r="B3816" t="s">
        <v>26</v>
      </c>
      <c r="C3816">
        <v>2022</v>
      </c>
      <c r="D3816" t="s">
        <v>8</v>
      </c>
      <c r="E3816">
        <v>5250</v>
      </c>
      <c r="F3816" t="s">
        <v>7</v>
      </c>
    </row>
    <row r="3817" spans="1:6">
      <c r="A3817" t="s">
        <v>51</v>
      </c>
      <c r="B3817" t="s">
        <v>26</v>
      </c>
      <c r="C3817">
        <v>2022</v>
      </c>
      <c r="D3817" t="s">
        <v>9</v>
      </c>
      <c r="E3817">
        <v>5250</v>
      </c>
      <c r="F3817" t="s">
        <v>7</v>
      </c>
    </row>
    <row r="3818" spans="1:6">
      <c r="A3818" t="s">
        <v>51</v>
      </c>
      <c r="B3818" t="s">
        <v>26</v>
      </c>
      <c r="C3818">
        <v>2022</v>
      </c>
      <c r="D3818" t="s">
        <v>10</v>
      </c>
      <c r="E3818">
        <v>210</v>
      </c>
      <c r="F3818" t="s">
        <v>11</v>
      </c>
    </row>
    <row r="3819" spans="1:6">
      <c r="A3819" t="s">
        <v>51</v>
      </c>
      <c r="B3819" t="s">
        <v>26</v>
      </c>
      <c r="C3819">
        <v>2022</v>
      </c>
      <c r="D3819" t="s">
        <v>12</v>
      </c>
      <c r="E3819">
        <v>0.4</v>
      </c>
      <c r="F3819" t="s">
        <v>13</v>
      </c>
    </row>
    <row r="3820" spans="1:6">
      <c r="A3820" t="s">
        <v>51</v>
      </c>
      <c r="B3820" t="s">
        <v>26</v>
      </c>
      <c r="C3820">
        <v>2022</v>
      </c>
      <c r="D3820" t="s">
        <v>14</v>
      </c>
      <c r="E3820">
        <v>0.3</v>
      </c>
      <c r="F3820" t="s">
        <v>15</v>
      </c>
    </row>
    <row r="3821" spans="1:6">
      <c r="A3821" t="s">
        <v>51</v>
      </c>
      <c r="B3821" t="s">
        <v>26</v>
      </c>
      <c r="C3821">
        <v>2022</v>
      </c>
      <c r="D3821" t="s">
        <v>164</v>
      </c>
      <c r="E3821">
        <v>1.099</v>
      </c>
      <c r="F3821" t="s">
        <v>166</v>
      </c>
    </row>
    <row r="3822" spans="1:6">
      <c r="A3822" t="s">
        <v>51</v>
      </c>
      <c r="B3822" t="s">
        <v>26</v>
      </c>
      <c r="C3822">
        <v>2030</v>
      </c>
      <c r="D3822" t="s">
        <v>6</v>
      </c>
      <c r="E3822">
        <v>4500</v>
      </c>
      <c r="F3822" t="s">
        <v>7</v>
      </c>
    </row>
    <row r="3823" spans="1:6">
      <c r="A3823" t="s">
        <v>51</v>
      </c>
      <c r="B3823" t="s">
        <v>26</v>
      </c>
      <c r="C3823">
        <v>2030</v>
      </c>
      <c r="D3823" t="s">
        <v>8</v>
      </c>
      <c r="E3823">
        <v>6873.3</v>
      </c>
      <c r="F3823" t="s">
        <v>7</v>
      </c>
    </row>
    <row r="3824" spans="1:6">
      <c r="A3824" t="s">
        <v>51</v>
      </c>
      <c r="B3824" t="s">
        <v>26</v>
      </c>
      <c r="C3824">
        <v>2030</v>
      </c>
      <c r="D3824" t="s">
        <v>9</v>
      </c>
      <c r="E3824">
        <v>3618.4</v>
      </c>
      <c r="F3824" t="s">
        <v>7</v>
      </c>
    </row>
    <row r="3825" spans="1:6">
      <c r="A3825" t="s">
        <v>51</v>
      </c>
      <c r="B3825" t="s">
        <v>26</v>
      </c>
      <c r="C3825">
        <v>2030</v>
      </c>
      <c r="D3825" t="s">
        <v>10</v>
      </c>
      <c r="E3825">
        <v>180</v>
      </c>
      <c r="F3825" t="s">
        <v>11</v>
      </c>
    </row>
    <row r="3826" spans="1:6">
      <c r="A3826" t="s">
        <v>51</v>
      </c>
      <c r="B3826" t="s">
        <v>26</v>
      </c>
      <c r="C3826">
        <v>2030</v>
      </c>
      <c r="D3826" t="s">
        <v>12</v>
      </c>
      <c r="E3826">
        <v>0.4</v>
      </c>
      <c r="F3826" t="s">
        <v>13</v>
      </c>
    </row>
    <row r="3827" spans="1:6">
      <c r="A3827" t="s">
        <v>51</v>
      </c>
      <c r="B3827" t="s">
        <v>26</v>
      </c>
      <c r="C3827">
        <v>2030</v>
      </c>
      <c r="D3827" t="s">
        <v>14</v>
      </c>
      <c r="E3827">
        <v>0.36</v>
      </c>
      <c r="F3827" t="s">
        <v>15</v>
      </c>
    </row>
    <row r="3828" spans="1:6">
      <c r="A3828" t="s">
        <v>51</v>
      </c>
      <c r="B3828" t="s">
        <v>26</v>
      </c>
      <c r="C3828">
        <v>2030</v>
      </c>
      <c r="D3828" t="s">
        <v>164</v>
      </c>
      <c r="E3828">
        <v>0.83299999999999996</v>
      </c>
      <c r="F3828" t="s">
        <v>166</v>
      </c>
    </row>
    <row r="3829" spans="1:6">
      <c r="A3829" t="s">
        <v>51</v>
      </c>
      <c r="B3829" t="s">
        <v>26</v>
      </c>
      <c r="C3829">
        <v>2050</v>
      </c>
      <c r="D3829" t="s">
        <v>6</v>
      </c>
      <c r="E3829">
        <v>3400</v>
      </c>
      <c r="F3829" t="s">
        <v>7</v>
      </c>
    </row>
    <row r="3830" spans="1:6">
      <c r="A3830" t="s">
        <v>51</v>
      </c>
      <c r="B3830" t="s">
        <v>26</v>
      </c>
      <c r="C3830">
        <v>2050</v>
      </c>
      <c r="D3830" t="s">
        <v>8</v>
      </c>
      <c r="E3830">
        <v>6038.1</v>
      </c>
      <c r="F3830" t="s">
        <v>7</v>
      </c>
    </row>
    <row r="3831" spans="1:6">
      <c r="A3831" t="s">
        <v>51</v>
      </c>
      <c r="B3831" t="s">
        <v>26</v>
      </c>
      <c r="C3831">
        <v>2050</v>
      </c>
      <c r="D3831" t="s">
        <v>9</v>
      </c>
      <c r="E3831">
        <v>2404.5</v>
      </c>
      <c r="F3831" t="s">
        <v>7</v>
      </c>
    </row>
    <row r="3832" spans="1:6">
      <c r="A3832" t="s">
        <v>51</v>
      </c>
      <c r="B3832" t="s">
        <v>26</v>
      </c>
      <c r="C3832">
        <v>2050</v>
      </c>
      <c r="D3832" t="s">
        <v>10</v>
      </c>
      <c r="E3832">
        <v>140</v>
      </c>
      <c r="F3832" t="s">
        <v>11</v>
      </c>
    </row>
    <row r="3833" spans="1:6">
      <c r="A3833" t="s">
        <v>51</v>
      </c>
      <c r="B3833" t="s">
        <v>26</v>
      </c>
      <c r="C3833">
        <v>2050</v>
      </c>
      <c r="D3833" t="s">
        <v>12</v>
      </c>
      <c r="E3833">
        <v>0.4</v>
      </c>
      <c r="F3833" t="s">
        <v>13</v>
      </c>
    </row>
    <row r="3834" spans="1:6">
      <c r="A3834" t="s">
        <v>51</v>
      </c>
      <c r="B3834" t="s">
        <v>26</v>
      </c>
      <c r="C3834">
        <v>2050</v>
      </c>
      <c r="D3834" t="s">
        <v>14</v>
      </c>
      <c r="E3834">
        <v>0.42</v>
      </c>
      <c r="F3834" t="s">
        <v>15</v>
      </c>
    </row>
    <row r="3835" spans="1:6">
      <c r="A3835" t="s">
        <v>51</v>
      </c>
      <c r="B3835" t="s">
        <v>26</v>
      </c>
      <c r="C3835">
        <v>2050</v>
      </c>
      <c r="D3835" t="s">
        <v>164</v>
      </c>
      <c r="E3835">
        <v>0.83299999999999996</v>
      </c>
      <c r="F3835" t="s">
        <v>166</v>
      </c>
    </row>
    <row r="3836" spans="1:6">
      <c r="A3836" t="s">
        <v>51</v>
      </c>
      <c r="B3836" t="s">
        <v>27</v>
      </c>
      <c r="C3836">
        <v>2022</v>
      </c>
      <c r="D3836" t="s">
        <v>6</v>
      </c>
      <c r="E3836">
        <v>5050</v>
      </c>
      <c r="F3836" t="s">
        <v>7</v>
      </c>
    </row>
    <row r="3837" spans="1:6">
      <c r="A3837" t="s">
        <v>51</v>
      </c>
      <c r="B3837" t="s">
        <v>27</v>
      </c>
      <c r="C3837">
        <v>2022</v>
      </c>
      <c r="D3837" t="s">
        <v>8</v>
      </c>
      <c r="E3837">
        <v>5050</v>
      </c>
      <c r="F3837" t="s">
        <v>7</v>
      </c>
    </row>
    <row r="3838" spans="1:6">
      <c r="A3838" t="s">
        <v>51</v>
      </c>
      <c r="B3838" t="s">
        <v>27</v>
      </c>
      <c r="C3838">
        <v>2022</v>
      </c>
      <c r="D3838" t="s">
        <v>9</v>
      </c>
      <c r="E3838">
        <v>5050</v>
      </c>
      <c r="F3838" t="s">
        <v>7</v>
      </c>
    </row>
    <row r="3839" spans="1:6">
      <c r="A3839" t="s">
        <v>51</v>
      </c>
      <c r="B3839" t="s">
        <v>27</v>
      </c>
      <c r="C3839">
        <v>2022</v>
      </c>
      <c r="D3839" t="s">
        <v>10</v>
      </c>
      <c r="E3839">
        <v>200</v>
      </c>
      <c r="F3839" t="s">
        <v>11</v>
      </c>
    </row>
    <row r="3840" spans="1:6">
      <c r="A3840" t="s">
        <v>51</v>
      </c>
      <c r="B3840" t="s">
        <v>27</v>
      </c>
      <c r="C3840">
        <v>2022</v>
      </c>
      <c r="D3840" t="s">
        <v>12</v>
      </c>
      <c r="E3840">
        <v>0.4</v>
      </c>
      <c r="F3840" t="s">
        <v>13</v>
      </c>
    </row>
    <row r="3841" spans="1:6">
      <c r="A3841" t="s">
        <v>51</v>
      </c>
      <c r="B3841" t="s">
        <v>27</v>
      </c>
      <c r="C3841">
        <v>2022</v>
      </c>
      <c r="D3841" t="s">
        <v>14</v>
      </c>
      <c r="E3841">
        <v>0.3</v>
      </c>
      <c r="F3841" t="s">
        <v>15</v>
      </c>
    </row>
    <row r="3842" spans="1:6">
      <c r="A3842" t="s">
        <v>51</v>
      </c>
      <c r="B3842" t="s">
        <v>27</v>
      </c>
      <c r="C3842">
        <v>2022</v>
      </c>
      <c r="D3842" t="s">
        <v>164</v>
      </c>
      <c r="E3842">
        <v>1.099</v>
      </c>
      <c r="F3842" t="s">
        <v>166</v>
      </c>
    </row>
    <row r="3843" spans="1:6">
      <c r="A3843" t="s">
        <v>51</v>
      </c>
      <c r="B3843" t="s">
        <v>27</v>
      </c>
      <c r="C3843">
        <v>2030</v>
      </c>
      <c r="D3843" t="s">
        <v>6</v>
      </c>
      <c r="E3843">
        <v>4450</v>
      </c>
      <c r="F3843" t="s">
        <v>7</v>
      </c>
    </row>
    <row r="3844" spans="1:6">
      <c r="A3844" t="s">
        <v>51</v>
      </c>
      <c r="B3844" t="s">
        <v>27</v>
      </c>
      <c r="C3844">
        <v>2030</v>
      </c>
      <c r="D3844" t="s">
        <v>8</v>
      </c>
      <c r="E3844">
        <v>6796.9</v>
      </c>
      <c r="F3844" t="s">
        <v>7</v>
      </c>
    </row>
    <row r="3845" spans="1:6">
      <c r="A3845" t="s">
        <v>51</v>
      </c>
      <c r="B3845" t="s">
        <v>27</v>
      </c>
      <c r="C3845">
        <v>2030</v>
      </c>
      <c r="D3845" t="s">
        <v>9</v>
      </c>
      <c r="E3845">
        <v>3578.2</v>
      </c>
      <c r="F3845" t="s">
        <v>7</v>
      </c>
    </row>
    <row r="3846" spans="1:6">
      <c r="A3846" t="s">
        <v>51</v>
      </c>
      <c r="B3846" t="s">
        <v>27</v>
      </c>
      <c r="C3846">
        <v>2030</v>
      </c>
      <c r="D3846" t="s">
        <v>10</v>
      </c>
      <c r="E3846">
        <v>180</v>
      </c>
      <c r="F3846" t="s">
        <v>11</v>
      </c>
    </row>
    <row r="3847" spans="1:6">
      <c r="A3847" t="s">
        <v>51</v>
      </c>
      <c r="B3847" t="s">
        <v>27</v>
      </c>
      <c r="C3847">
        <v>2030</v>
      </c>
      <c r="D3847" t="s">
        <v>12</v>
      </c>
      <c r="E3847">
        <v>0.4</v>
      </c>
      <c r="F3847" t="s">
        <v>13</v>
      </c>
    </row>
    <row r="3848" spans="1:6">
      <c r="A3848" t="s">
        <v>51</v>
      </c>
      <c r="B3848" t="s">
        <v>27</v>
      </c>
      <c r="C3848">
        <v>2030</v>
      </c>
      <c r="D3848" t="s">
        <v>14</v>
      </c>
      <c r="E3848">
        <v>0.36</v>
      </c>
      <c r="F3848" t="s">
        <v>15</v>
      </c>
    </row>
    <row r="3849" spans="1:6">
      <c r="A3849" t="s">
        <v>51</v>
      </c>
      <c r="B3849" t="s">
        <v>27</v>
      </c>
      <c r="C3849">
        <v>2030</v>
      </c>
      <c r="D3849" t="s">
        <v>164</v>
      </c>
      <c r="E3849">
        <v>0.83299999999999996</v>
      </c>
      <c r="F3849" t="s">
        <v>166</v>
      </c>
    </row>
    <row r="3850" spans="1:6">
      <c r="A3850" t="s">
        <v>51</v>
      </c>
      <c r="B3850" t="s">
        <v>27</v>
      </c>
      <c r="C3850">
        <v>2050</v>
      </c>
      <c r="D3850" t="s">
        <v>6</v>
      </c>
      <c r="E3850">
        <v>3450</v>
      </c>
      <c r="F3850" t="s">
        <v>7</v>
      </c>
    </row>
    <row r="3851" spans="1:6">
      <c r="A3851" t="s">
        <v>51</v>
      </c>
      <c r="B3851" t="s">
        <v>27</v>
      </c>
      <c r="C3851">
        <v>2050</v>
      </c>
      <c r="D3851" t="s">
        <v>8</v>
      </c>
      <c r="E3851">
        <v>6126.9</v>
      </c>
      <c r="F3851" t="s">
        <v>7</v>
      </c>
    </row>
    <row r="3852" spans="1:6">
      <c r="A3852" t="s">
        <v>51</v>
      </c>
      <c r="B3852" t="s">
        <v>27</v>
      </c>
      <c r="C3852">
        <v>2050</v>
      </c>
      <c r="D3852" t="s">
        <v>9</v>
      </c>
      <c r="E3852">
        <v>2439.8000000000002</v>
      </c>
      <c r="F3852" t="s">
        <v>7</v>
      </c>
    </row>
    <row r="3853" spans="1:6">
      <c r="A3853" t="s">
        <v>51</v>
      </c>
      <c r="B3853" t="s">
        <v>27</v>
      </c>
      <c r="C3853">
        <v>2050</v>
      </c>
      <c r="D3853" t="s">
        <v>10</v>
      </c>
      <c r="E3853">
        <v>140</v>
      </c>
      <c r="F3853" t="s">
        <v>11</v>
      </c>
    </row>
    <row r="3854" spans="1:6">
      <c r="A3854" t="s">
        <v>51</v>
      </c>
      <c r="B3854" t="s">
        <v>27</v>
      </c>
      <c r="C3854">
        <v>2050</v>
      </c>
      <c r="D3854" t="s">
        <v>12</v>
      </c>
      <c r="E3854">
        <v>0.4</v>
      </c>
      <c r="F3854" t="s">
        <v>13</v>
      </c>
    </row>
    <row r="3855" spans="1:6">
      <c r="A3855" t="s">
        <v>51</v>
      </c>
      <c r="B3855" t="s">
        <v>27</v>
      </c>
      <c r="C3855">
        <v>2050</v>
      </c>
      <c r="D3855" t="s">
        <v>14</v>
      </c>
      <c r="E3855">
        <v>0.42</v>
      </c>
      <c r="F3855" t="s">
        <v>15</v>
      </c>
    </row>
    <row r="3856" spans="1:6">
      <c r="A3856" t="s">
        <v>51</v>
      </c>
      <c r="B3856" t="s">
        <v>27</v>
      </c>
      <c r="C3856">
        <v>2050</v>
      </c>
      <c r="D3856" t="s">
        <v>164</v>
      </c>
      <c r="E3856">
        <v>0.83299999999999996</v>
      </c>
      <c r="F3856" t="s">
        <v>166</v>
      </c>
    </row>
    <row r="3857" spans="1:6">
      <c r="A3857" t="s">
        <v>51</v>
      </c>
      <c r="B3857" t="s">
        <v>28</v>
      </c>
      <c r="C3857">
        <v>2022</v>
      </c>
      <c r="D3857" t="s">
        <v>6</v>
      </c>
      <c r="E3857">
        <v>5350</v>
      </c>
      <c r="F3857" t="s">
        <v>7</v>
      </c>
    </row>
    <row r="3858" spans="1:6">
      <c r="A3858" t="s">
        <v>51</v>
      </c>
      <c r="B3858" t="s">
        <v>28</v>
      </c>
      <c r="C3858">
        <v>2022</v>
      </c>
      <c r="D3858" t="s">
        <v>8</v>
      </c>
      <c r="E3858">
        <v>5350</v>
      </c>
      <c r="F3858" t="s">
        <v>7</v>
      </c>
    </row>
    <row r="3859" spans="1:6">
      <c r="A3859" t="s">
        <v>51</v>
      </c>
      <c r="B3859" t="s">
        <v>28</v>
      </c>
      <c r="C3859">
        <v>2022</v>
      </c>
      <c r="D3859" t="s">
        <v>9</v>
      </c>
      <c r="E3859">
        <v>5350</v>
      </c>
      <c r="F3859" t="s">
        <v>7</v>
      </c>
    </row>
    <row r="3860" spans="1:6">
      <c r="A3860" t="s">
        <v>51</v>
      </c>
      <c r="B3860" t="s">
        <v>28</v>
      </c>
      <c r="C3860">
        <v>2022</v>
      </c>
      <c r="D3860" t="s">
        <v>10</v>
      </c>
      <c r="E3860">
        <v>210</v>
      </c>
      <c r="F3860" t="s">
        <v>11</v>
      </c>
    </row>
    <row r="3861" spans="1:6">
      <c r="A3861" t="s">
        <v>51</v>
      </c>
      <c r="B3861" t="s">
        <v>28</v>
      </c>
      <c r="C3861">
        <v>2022</v>
      </c>
      <c r="D3861" t="s">
        <v>12</v>
      </c>
      <c r="E3861">
        <v>0.4</v>
      </c>
      <c r="F3861" t="s">
        <v>13</v>
      </c>
    </row>
    <row r="3862" spans="1:6">
      <c r="A3862" t="s">
        <v>51</v>
      </c>
      <c r="B3862" t="s">
        <v>28</v>
      </c>
      <c r="C3862">
        <v>2022</v>
      </c>
      <c r="D3862" t="s">
        <v>14</v>
      </c>
      <c r="E3862">
        <v>0.28000000000000003</v>
      </c>
      <c r="F3862" t="s">
        <v>15</v>
      </c>
    </row>
    <row r="3863" spans="1:6">
      <c r="A3863" t="s">
        <v>51</v>
      </c>
      <c r="B3863" t="s">
        <v>28</v>
      </c>
      <c r="C3863">
        <v>2022</v>
      </c>
      <c r="D3863" t="s">
        <v>164</v>
      </c>
      <c r="E3863">
        <v>1.099</v>
      </c>
      <c r="F3863" t="s">
        <v>166</v>
      </c>
    </row>
    <row r="3864" spans="1:6">
      <c r="A3864" t="s">
        <v>51</v>
      </c>
      <c r="B3864" t="s">
        <v>28</v>
      </c>
      <c r="C3864">
        <v>2030</v>
      </c>
      <c r="D3864" t="s">
        <v>6</v>
      </c>
      <c r="E3864">
        <v>4650</v>
      </c>
      <c r="F3864" t="s">
        <v>7</v>
      </c>
    </row>
    <row r="3865" spans="1:6">
      <c r="A3865" t="s">
        <v>51</v>
      </c>
      <c r="B3865" t="s">
        <v>28</v>
      </c>
      <c r="C3865">
        <v>2030</v>
      </c>
      <c r="D3865" t="s">
        <v>8</v>
      </c>
      <c r="E3865">
        <v>7102.4</v>
      </c>
      <c r="F3865" t="s">
        <v>7</v>
      </c>
    </row>
    <row r="3866" spans="1:6">
      <c r="A3866" t="s">
        <v>51</v>
      </c>
      <c r="B3866" t="s">
        <v>28</v>
      </c>
      <c r="C3866">
        <v>2030</v>
      </c>
      <c r="D3866" t="s">
        <v>9</v>
      </c>
      <c r="E3866">
        <v>3739.1</v>
      </c>
      <c r="F3866" t="s">
        <v>7</v>
      </c>
    </row>
    <row r="3867" spans="1:6">
      <c r="A3867" t="s">
        <v>51</v>
      </c>
      <c r="B3867" t="s">
        <v>28</v>
      </c>
      <c r="C3867">
        <v>2030</v>
      </c>
      <c r="D3867" t="s">
        <v>10</v>
      </c>
      <c r="E3867">
        <v>190</v>
      </c>
      <c r="F3867" t="s">
        <v>11</v>
      </c>
    </row>
    <row r="3868" spans="1:6">
      <c r="A3868" t="s">
        <v>51</v>
      </c>
      <c r="B3868" t="s">
        <v>28</v>
      </c>
      <c r="C3868">
        <v>2030</v>
      </c>
      <c r="D3868" t="s">
        <v>12</v>
      </c>
      <c r="E3868">
        <v>0.4</v>
      </c>
      <c r="F3868" t="s">
        <v>13</v>
      </c>
    </row>
    <row r="3869" spans="1:6">
      <c r="A3869" t="s">
        <v>51</v>
      </c>
      <c r="B3869" t="s">
        <v>28</v>
      </c>
      <c r="C3869">
        <v>2030</v>
      </c>
      <c r="D3869" t="s">
        <v>14</v>
      </c>
      <c r="E3869">
        <v>0.34</v>
      </c>
      <c r="F3869" t="s">
        <v>15</v>
      </c>
    </row>
    <row r="3870" spans="1:6">
      <c r="A3870" t="s">
        <v>51</v>
      </c>
      <c r="B3870" t="s">
        <v>28</v>
      </c>
      <c r="C3870">
        <v>2030</v>
      </c>
      <c r="D3870" t="s">
        <v>164</v>
      </c>
      <c r="E3870">
        <v>0.83299999999999996</v>
      </c>
      <c r="F3870" t="s">
        <v>166</v>
      </c>
    </row>
    <row r="3871" spans="1:6">
      <c r="A3871" t="s">
        <v>51</v>
      </c>
      <c r="B3871" t="s">
        <v>28</v>
      </c>
      <c r="C3871">
        <v>2050</v>
      </c>
      <c r="D3871" t="s">
        <v>6</v>
      </c>
      <c r="E3871">
        <v>3450</v>
      </c>
      <c r="F3871" t="s">
        <v>7</v>
      </c>
    </row>
    <row r="3872" spans="1:6">
      <c r="A3872" t="s">
        <v>51</v>
      </c>
      <c r="B3872" t="s">
        <v>28</v>
      </c>
      <c r="C3872">
        <v>2050</v>
      </c>
      <c r="D3872" t="s">
        <v>8</v>
      </c>
      <c r="E3872">
        <v>6126.9</v>
      </c>
      <c r="F3872" t="s">
        <v>7</v>
      </c>
    </row>
    <row r="3873" spans="1:6">
      <c r="A3873" t="s">
        <v>51</v>
      </c>
      <c r="B3873" t="s">
        <v>28</v>
      </c>
      <c r="C3873">
        <v>2050</v>
      </c>
      <c r="D3873" t="s">
        <v>9</v>
      </c>
      <c r="E3873">
        <v>2439.8000000000002</v>
      </c>
      <c r="F3873" t="s">
        <v>7</v>
      </c>
    </row>
    <row r="3874" spans="1:6">
      <c r="A3874" t="s">
        <v>51</v>
      </c>
      <c r="B3874" t="s">
        <v>28</v>
      </c>
      <c r="C3874">
        <v>2050</v>
      </c>
      <c r="D3874" t="s">
        <v>10</v>
      </c>
      <c r="E3874">
        <v>140</v>
      </c>
      <c r="F3874" t="s">
        <v>11</v>
      </c>
    </row>
    <row r="3875" spans="1:6">
      <c r="A3875" t="s">
        <v>51</v>
      </c>
      <c r="B3875" t="s">
        <v>28</v>
      </c>
      <c r="C3875">
        <v>2050</v>
      </c>
      <c r="D3875" t="s">
        <v>12</v>
      </c>
      <c r="E3875">
        <v>0.4</v>
      </c>
      <c r="F3875" t="s">
        <v>13</v>
      </c>
    </row>
    <row r="3876" spans="1:6">
      <c r="A3876" t="s">
        <v>51</v>
      </c>
      <c r="B3876" t="s">
        <v>28</v>
      </c>
      <c r="C3876">
        <v>2050</v>
      </c>
      <c r="D3876" t="s">
        <v>14</v>
      </c>
      <c r="E3876">
        <v>0.4</v>
      </c>
      <c r="F3876" t="s">
        <v>15</v>
      </c>
    </row>
    <row r="3877" spans="1:6">
      <c r="A3877" t="s">
        <v>51</v>
      </c>
      <c r="B3877" t="s">
        <v>28</v>
      </c>
      <c r="C3877">
        <v>2050</v>
      </c>
      <c r="D3877" t="s">
        <v>164</v>
      </c>
      <c r="E3877">
        <v>0.83299999999999996</v>
      </c>
      <c r="F3877" t="s">
        <v>166</v>
      </c>
    </row>
    <row r="3878" spans="1:6">
      <c r="A3878" t="s">
        <v>52</v>
      </c>
      <c r="B3878" t="s">
        <v>20</v>
      </c>
      <c r="C3878">
        <v>2022</v>
      </c>
      <c r="D3878" t="s">
        <v>6</v>
      </c>
      <c r="E3878">
        <v>2850</v>
      </c>
      <c r="F3878" t="s">
        <v>7</v>
      </c>
    </row>
    <row r="3879" spans="1:6">
      <c r="A3879" t="s">
        <v>52</v>
      </c>
      <c r="B3879" t="s">
        <v>20</v>
      </c>
      <c r="C3879">
        <v>2022</v>
      </c>
      <c r="D3879" t="s">
        <v>8</v>
      </c>
      <c r="E3879">
        <v>2850</v>
      </c>
      <c r="F3879" t="s">
        <v>7</v>
      </c>
    </row>
    <row r="3880" spans="1:6">
      <c r="A3880" t="s">
        <v>52</v>
      </c>
      <c r="B3880" t="s">
        <v>20</v>
      </c>
      <c r="C3880">
        <v>2022</v>
      </c>
      <c r="D3880" t="s">
        <v>9</v>
      </c>
      <c r="E3880">
        <v>2850</v>
      </c>
      <c r="F3880" t="s">
        <v>7</v>
      </c>
    </row>
    <row r="3881" spans="1:6">
      <c r="A3881" t="s">
        <v>52</v>
      </c>
      <c r="B3881" t="s">
        <v>20</v>
      </c>
      <c r="C3881">
        <v>2022</v>
      </c>
      <c r="D3881" t="s">
        <v>10</v>
      </c>
      <c r="E3881">
        <v>55</v>
      </c>
      <c r="F3881" t="s">
        <v>11</v>
      </c>
    </row>
    <row r="3882" spans="1:6">
      <c r="A3882" t="s">
        <v>52</v>
      </c>
      <c r="B3882" t="s">
        <v>20</v>
      </c>
      <c r="C3882">
        <v>2022</v>
      </c>
      <c r="D3882" t="s">
        <v>12</v>
      </c>
      <c r="E3882">
        <v>0.1</v>
      </c>
      <c r="F3882" t="s">
        <v>13</v>
      </c>
    </row>
    <row r="3883" spans="1:6">
      <c r="A3883" t="s">
        <v>52</v>
      </c>
      <c r="B3883" t="s">
        <v>20</v>
      </c>
      <c r="C3883">
        <v>2022</v>
      </c>
      <c r="D3883" t="s">
        <v>14</v>
      </c>
      <c r="E3883">
        <v>0.85</v>
      </c>
      <c r="F3883" t="s">
        <v>15</v>
      </c>
    </row>
    <row r="3884" spans="1:6">
      <c r="A3884" t="s">
        <v>52</v>
      </c>
      <c r="B3884" t="s">
        <v>20</v>
      </c>
      <c r="C3884">
        <v>2022</v>
      </c>
      <c r="D3884" t="s">
        <v>164</v>
      </c>
      <c r="E3884">
        <v>0</v>
      </c>
      <c r="F3884" t="s">
        <v>166</v>
      </c>
    </row>
    <row r="3885" spans="1:6">
      <c r="A3885" t="s">
        <v>52</v>
      </c>
      <c r="B3885" t="s">
        <v>20</v>
      </c>
      <c r="C3885">
        <v>2030</v>
      </c>
      <c r="D3885" t="s">
        <v>6</v>
      </c>
      <c r="E3885">
        <v>2750</v>
      </c>
      <c r="F3885" t="s">
        <v>7</v>
      </c>
    </row>
    <row r="3886" spans="1:6">
      <c r="A3886" t="s">
        <v>52</v>
      </c>
      <c r="B3886" t="s">
        <v>20</v>
      </c>
      <c r="C3886">
        <v>2030</v>
      </c>
      <c r="D3886" t="s">
        <v>8</v>
      </c>
      <c r="E3886">
        <v>2942.5</v>
      </c>
      <c r="F3886" t="s">
        <v>7</v>
      </c>
    </row>
    <row r="3887" spans="1:6">
      <c r="A3887" t="s">
        <v>52</v>
      </c>
      <c r="B3887" t="s">
        <v>20</v>
      </c>
      <c r="C3887">
        <v>2030</v>
      </c>
      <c r="D3887" t="s">
        <v>9</v>
      </c>
      <c r="E3887">
        <v>2487.4</v>
      </c>
      <c r="F3887" t="s">
        <v>7</v>
      </c>
    </row>
    <row r="3888" spans="1:6">
      <c r="A3888" t="s">
        <v>52</v>
      </c>
      <c r="B3888" t="s">
        <v>20</v>
      </c>
      <c r="C3888">
        <v>2030</v>
      </c>
      <c r="D3888" t="s">
        <v>10</v>
      </c>
      <c r="E3888">
        <v>55</v>
      </c>
      <c r="F3888" t="s">
        <v>11</v>
      </c>
    </row>
    <row r="3889" spans="1:6">
      <c r="A3889" t="s">
        <v>52</v>
      </c>
      <c r="B3889" t="s">
        <v>20</v>
      </c>
      <c r="C3889">
        <v>2030</v>
      </c>
      <c r="D3889" t="s">
        <v>12</v>
      </c>
      <c r="E3889">
        <v>0.1</v>
      </c>
      <c r="F3889" t="s">
        <v>13</v>
      </c>
    </row>
    <row r="3890" spans="1:6">
      <c r="A3890" t="s">
        <v>52</v>
      </c>
      <c r="B3890" t="s">
        <v>20</v>
      </c>
      <c r="C3890">
        <v>2030</v>
      </c>
      <c r="D3890" t="s">
        <v>14</v>
      </c>
      <c r="E3890">
        <v>0.85</v>
      </c>
      <c r="F3890" t="s">
        <v>15</v>
      </c>
    </row>
    <row r="3891" spans="1:6">
      <c r="A3891" t="s">
        <v>52</v>
      </c>
      <c r="B3891" t="s">
        <v>20</v>
      </c>
      <c r="C3891">
        <v>2030</v>
      </c>
      <c r="D3891" t="s">
        <v>164</v>
      </c>
      <c r="E3891">
        <v>0</v>
      </c>
      <c r="F3891" t="s">
        <v>166</v>
      </c>
    </row>
    <row r="3892" spans="1:6">
      <c r="A3892" t="s">
        <v>52</v>
      </c>
      <c r="B3892" t="s">
        <v>20</v>
      </c>
      <c r="C3892">
        <v>2050</v>
      </c>
      <c r="D3892" t="s">
        <v>6</v>
      </c>
      <c r="E3892">
        <v>2550</v>
      </c>
      <c r="F3892" t="s">
        <v>7</v>
      </c>
    </row>
    <row r="3893" spans="1:6">
      <c r="A3893" t="s">
        <v>52</v>
      </c>
      <c r="B3893" t="s">
        <v>20</v>
      </c>
      <c r="C3893">
        <v>2050</v>
      </c>
      <c r="D3893" t="s">
        <v>8</v>
      </c>
      <c r="E3893">
        <v>2795.8</v>
      </c>
      <c r="F3893" t="s">
        <v>7</v>
      </c>
    </row>
    <row r="3894" spans="1:6">
      <c r="A3894" t="s">
        <v>52</v>
      </c>
      <c r="B3894" t="s">
        <v>20</v>
      </c>
      <c r="C3894">
        <v>2050</v>
      </c>
      <c r="D3894" t="s">
        <v>9</v>
      </c>
      <c r="E3894">
        <v>2165.6999999999998</v>
      </c>
      <c r="F3894" t="s">
        <v>7</v>
      </c>
    </row>
    <row r="3895" spans="1:6">
      <c r="A3895" t="s">
        <v>52</v>
      </c>
      <c r="B3895" t="s">
        <v>20</v>
      </c>
      <c r="C3895">
        <v>2050</v>
      </c>
      <c r="D3895" t="s">
        <v>10</v>
      </c>
      <c r="E3895">
        <v>50</v>
      </c>
      <c r="F3895" t="s">
        <v>11</v>
      </c>
    </row>
    <row r="3896" spans="1:6">
      <c r="A3896" t="s">
        <v>52</v>
      </c>
      <c r="B3896" t="s">
        <v>20</v>
      </c>
      <c r="C3896">
        <v>2050</v>
      </c>
      <c r="D3896" t="s">
        <v>12</v>
      </c>
      <c r="E3896">
        <v>0.1</v>
      </c>
      <c r="F3896" t="s">
        <v>13</v>
      </c>
    </row>
    <row r="3897" spans="1:6">
      <c r="A3897" t="s">
        <v>52</v>
      </c>
      <c r="B3897" t="s">
        <v>20</v>
      </c>
      <c r="C3897">
        <v>2050</v>
      </c>
      <c r="D3897" t="s">
        <v>14</v>
      </c>
      <c r="E3897">
        <v>0.85</v>
      </c>
      <c r="F3897" t="s">
        <v>15</v>
      </c>
    </row>
    <row r="3898" spans="1:6">
      <c r="A3898" t="s">
        <v>52</v>
      </c>
      <c r="B3898" t="s">
        <v>20</v>
      </c>
      <c r="C3898">
        <v>2050</v>
      </c>
      <c r="D3898" t="s">
        <v>164</v>
      </c>
      <c r="E3898">
        <v>0</v>
      </c>
      <c r="F3898" t="s">
        <v>166</v>
      </c>
    </row>
    <row r="3899" spans="1:6">
      <c r="A3899" t="s">
        <v>52</v>
      </c>
      <c r="B3899" t="s">
        <v>21</v>
      </c>
      <c r="C3899">
        <v>2022</v>
      </c>
      <c r="D3899" t="s">
        <v>6</v>
      </c>
      <c r="E3899">
        <v>2150</v>
      </c>
      <c r="F3899" t="s">
        <v>7</v>
      </c>
    </row>
    <row r="3900" spans="1:6">
      <c r="A3900" t="s">
        <v>52</v>
      </c>
      <c r="B3900" t="s">
        <v>21</v>
      </c>
      <c r="C3900">
        <v>2022</v>
      </c>
      <c r="D3900" t="s">
        <v>8</v>
      </c>
      <c r="E3900">
        <v>2150</v>
      </c>
      <c r="F3900" t="s">
        <v>7</v>
      </c>
    </row>
    <row r="3901" spans="1:6">
      <c r="A3901" t="s">
        <v>52</v>
      </c>
      <c r="B3901" t="s">
        <v>21</v>
      </c>
      <c r="C3901">
        <v>2022</v>
      </c>
      <c r="D3901" t="s">
        <v>9</v>
      </c>
      <c r="E3901">
        <v>2150</v>
      </c>
      <c r="F3901" t="s">
        <v>7</v>
      </c>
    </row>
    <row r="3902" spans="1:6">
      <c r="A3902" t="s">
        <v>52</v>
      </c>
      <c r="B3902" t="s">
        <v>21</v>
      </c>
      <c r="C3902">
        <v>2022</v>
      </c>
      <c r="D3902" t="s">
        <v>10</v>
      </c>
      <c r="E3902">
        <v>45</v>
      </c>
      <c r="F3902" t="s">
        <v>11</v>
      </c>
    </row>
    <row r="3903" spans="1:6">
      <c r="A3903" t="s">
        <v>52</v>
      </c>
      <c r="B3903" t="s">
        <v>21</v>
      </c>
      <c r="C3903">
        <v>2022</v>
      </c>
      <c r="D3903" t="s">
        <v>12</v>
      </c>
      <c r="E3903">
        <v>0.1</v>
      </c>
      <c r="F3903" t="s">
        <v>13</v>
      </c>
    </row>
    <row r="3904" spans="1:6">
      <c r="A3904" t="s">
        <v>52</v>
      </c>
      <c r="B3904" t="s">
        <v>21</v>
      </c>
      <c r="C3904">
        <v>2022</v>
      </c>
      <c r="D3904" t="s">
        <v>14</v>
      </c>
      <c r="E3904">
        <v>0.6</v>
      </c>
      <c r="F3904" t="s">
        <v>15</v>
      </c>
    </row>
    <row r="3905" spans="1:6">
      <c r="A3905" t="s">
        <v>52</v>
      </c>
      <c r="B3905" t="s">
        <v>21</v>
      </c>
      <c r="C3905">
        <v>2022</v>
      </c>
      <c r="D3905" t="s">
        <v>164</v>
      </c>
      <c r="E3905">
        <v>0</v>
      </c>
      <c r="F3905" t="s">
        <v>166</v>
      </c>
    </row>
    <row r="3906" spans="1:6">
      <c r="A3906" t="s">
        <v>52</v>
      </c>
      <c r="B3906" t="s">
        <v>21</v>
      </c>
      <c r="C3906">
        <v>2030</v>
      </c>
      <c r="D3906" t="s">
        <v>6</v>
      </c>
      <c r="E3906">
        <v>2100</v>
      </c>
      <c r="F3906" t="s">
        <v>7</v>
      </c>
    </row>
    <row r="3907" spans="1:6">
      <c r="A3907" t="s">
        <v>52</v>
      </c>
      <c r="B3907" t="s">
        <v>21</v>
      </c>
      <c r="C3907">
        <v>2030</v>
      </c>
      <c r="D3907" t="s">
        <v>8</v>
      </c>
      <c r="E3907">
        <v>2247</v>
      </c>
      <c r="F3907" t="s">
        <v>7</v>
      </c>
    </row>
    <row r="3908" spans="1:6">
      <c r="A3908" t="s">
        <v>52</v>
      </c>
      <c r="B3908" t="s">
        <v>21</v>
      </c>
      <c r="C3908">
        <v>2030</v>
      </c>
      <c r="D3908" t="s">
        <v>9</v>
      </c>
      <c r="E3908">
        <v>1899.4</v>
      </c>
      <c r="F3908" t="s">
        <v>7</v>
      </c>
    </row>
    <row r="3909" spans="1:6">
      <c r="A3909" t="s">
        <v>52</v>
      </c>
      <c r="B3909" t="s">
        <v>21</v>
      </c>
      <c r="C3909">
        <v>2030</v>
      </c>
      <c r="D3909" t="s">
        <v>10</v>
      </c>
      <c r="E3909">
        <v>40</v>
      </c>
      <c r="F3909" t="s">
        <v>11</v>
      </c>
    </row>
    <row r="3910" spans="1:6">
      <c r="A3910" t="s">
        <v>52</v>
      </c>
      <c r="B3910" t="s">
        <v>21</v>
      </c>
      <c r="C3910">
        <v>2030</v>
      </c>
      <c r="D3910" t="s">
        <v>12</v>
      </c>
      <c r="E3910">
        <v>0.1</v>
      </c>
      <c r="F3910" t="s">
        <v>13</v>
      </c>
    </row>
    <row r="3911" spans="1:6">
      <c r="A3911" t="s">
        <v>52</v>
      </c>
      <c r="B3911" t="s">
        <v>21</v>
      </c>
      <c r="C3911">
        <v>2030</v>
      </c>
      <c r="D3911" t="s">
        <v>14</v>
      </c>
      <c r="E3911">
        <v>0.6</v>
      </c>
      <c r="F3911" t="s">
        <v>15</v>
      </c>
    </row>
    <row r="3912" spans="1:6">
      <c r="A3912" t="s">
        <v>52</v>
      </c>
      <c r="B3912" t="s">
        <v>21</v>
      </c>
      <c r="C3912">
        <v>2030</v>
      </c>
      <c r="D3912" t="s">
        <v>164</v>
      </c>
      <c r="E3912">
        <v>0</v>
      </c>
      <c r="F3912" t="s">
        <v>166</v>
      </c>
    </row>
    <row r="3913" spans="1:6">
      <c r="A3913" t="s">
        <v>52</v>
      </c>
      <c r="B3913" t="s">
        <v>21</v>
      </c>
      <c r="C3913">
        <v>2050</v>
      </c>
      <c r="D3913" t="s">
        <v>6</v>
      </c>
      <c r="E3913">
        <v>1950</v>
      </c>
      <c r="F3913" t="s">
        <v>7</v>
      </c>
    </row>
    <row r="3914" spans="1:6">
      <c r="A3914" t="s">
        <v>52</v>
      </c>
      <c r="B3914" t="s">
        <v>21</v>
      </c>
      <c r="C3914">
        <v>2050</v>
      </c>
      <c r="D3914" t="s">
        <v>8</v>
      </c>
      <c r="E3914">
        <v>2138</v>
      </c>
      <c r="F3914" t="s">
        <v>7</v>
      </c>
    </row>
    <row r="3915" spans="1:6">
      <c r="A3915" t="s">
        <v>52</v>
      </c>
      <c r="B3915" t="s">
        <v>21</v>
      </c>
      <c r="C3915">
        <v>2050</v>
      </c>
      <c r="D3915" t="s">
        <v>9</v>
      </c>
      <c r="E3915">
        <v>1656.1</v>
      </c>
      <c r="F3915" t="s">
        <v>7</v>
      </c>
    </row>
    <row r="3916" spans="1:6">
      <c r="A3916" t="s">
        <v>52</v>
      </c>
      <c r="B3916" t="s">
        <v>21</v>
      </c>
      <c r="C3916">
        <v>2050</v>
      </c>
      <c r="D3916" t="s">
        <v>10</v>
      </c>
      <c r="E3916">
        <v>40</v>
      </c>
      <c r="F3916" t="s">
        <v>11</v>
      </c>
    </row>
    <row r="3917" spans="1:6">
      <c r="A3917" t="s">
        <v>52</v>
      </c>
      <c r="B3917" t="s">
        <v>21</v>
      </c>
      <c r="C3917">
        <v>2050</v>
      </c>
      <c r="D3917" t="s">
        <v>12</v>
      </c>
      <c r="E3917">
        <v>0.1</v>
      </c>
      <c r="F3917" t="s">
        <v>13</v>
      </c>
    </row>
    <row r="3918" spans="1:6">
      <c r="A3918" t="s">
        <v>52</v>
      </c>
      <c r="B3918" t="s">
        <v>21</v>
      </c>
      <c r="C3918">
        <v>2050</v>
      </c>
      <c r="D3918" t="s">
        <v>14</v>
      </c>
      <c r="E3918">
        <v>0.6</v>
      </c>
      <c r="F3918" t="s">
        <v>15</v>
      </c>
    </row>
    <row r="3919" spans="1:6">
      <c r="A3919" t="s">
        <v>52</v>
      </c>
      <c r="B3919" t="s">
        <v>21</v>
      </c>
      <c r="C3919">
        <v>2050</v>
      </c>
      <c r="D3919" t="s">
        <v>164</v>
      </c>
      <c r="E3919">
        <v>0</v>
      </c>
      <c r="F3919" t="s">
        <v>166</v>
      </c>
    </row>
    <row r="3920" spans="1:6">
      <c r="A3920" t="s">
        <v>52</v>
      </c>
      <c r="B3920" t="s">
        <v>22</v>
      </c>
      <c r="C3920">
        <v>2022</v>
      </c>
      <c r="D3920" t="s">
        <v>6</v>
      </c>
      <c r="E3920">
        <v>2800</v>
      </c>
      <c r="F3920" t="s">
        <v>7</v>
      </c>
    </row>
    <row r="3921" spans="1:6">
      <c r="A3921" t="s">
        <v>52</v>
      </c>
      <c r="B3921" t="s">
        <v>22</v>
      </c>
      <c r="C3921">
        <v>2022</v>
      </c>
      <c r="D3921" t="s">
        <v>8</v>
      </c>
      <c r="E3921">
        <v>2800</v>
      </c>
      <c r="F3921" t="s">
        <v>7</v>
      </c>
    </row>
    <row r="3922" spans="1:6">
      <c r="A3922" t="s">
        <v>52</v>
      </c>
      <c r="B3922" t="s">
        <v>22</v>
      </c>
      <c r="C3922">
        <v>2022</v>
      </c>
      <c r="D3922" t="s">
        <v>9</v>
      </c>
      <c r="E3922">
        <v>2800</v>
      </c>
      <c r="F3922" t="s">
        <v>7</v>
      </c>
    </row>
    <row r="3923" spans="1:6">
      <c r="A3923" t="s">
        <v>52</v>
      </c>
      <c r="B3923" t="s">
        <v>22</v>
      </c>
      <c r="C3923">
        <v>2022</v>
      </c>
      <c r="D3923" t="s">
        <v>10</v>
      </c>
      <c r="E3923">
        <v>55</v>
      </c>
      <c r="F3923" t="s">
        <v>11</v>
      </c>
    </row>
    <row r="3924" spans="1:6">
      <c r="A3924" t="s">
        <v>52</v>
      </c>
      <c r="B3924" t="s">
        <v>22</v>
      </c>
      <c r="C3924">
        <v>2022</v>
      </c>
      <c r="D3924" t="s">
        <v>12</v>
      </c>
      <c r="E3924">
        <v>0.1</v>
      </c>
      <c r="F3924" t="s">
        <v>13</v>
      </c>
    </row>
    <row r="3925" spans="1:6">
      <c r="A3925" t="s">
        <v>52</v>
      </c>
      <c r="B3925" t="s">
        <v>22</v>
      </c>
      <c r="C3925">
        <v>2022</v>
      </c>
      <c r="D3925" t="s">
        <v>14</v>
      </c>
      <c r="E3925">
        <v>0.6</v>
      </c>
      <c r="F3925" t="s">
        <v>15</v>
      </c>
    </row>
    <row r="3926" spans="1:6">
      <c r="A3926" t="s">
        <v>52</v>
      </c>
      <c r="B3926" t="s">
        <v>22</v>
      </c>
      <c r="C3926">
        <v>2022</v>
      </c>
      <c r="D3926" t="s">
        <v>164</v>
      </c>
      <c r="E3926">
        <v>0</v>
      </c>
      <c r="F3926" t="s">
        <v>166</v>
      </c>
    </row>
    <row r="3927" spans="1:6">
      <c r="A3927" t="s">
        <v>52</v>
      </c>
      <c r="B3927" t="s">
        <v>22</v>
      </c>
      <c r="C3927">
        <v>2030</v>
      </c>
      <c r="D3927" t="s">
        <v>6</v>
      </c>
      <c r="E3927">
        <v>2700</v>
      </c>
      <c r="F3927" t="s">
        <v>7</v>
      </c>
    </row>
    <row r="3928" spans="1:6">
      <c r="A3928" t="s">
        <v>52</v>
      </c>
      <c r="B3928" t="s">
        <v>22</v>
      </c>
      <c r="C3928">
        <v>2030</v>
      </c>
      <c r="D3928" t="s">
        <v>8</v>
      </c>
      <c r="E3928">
        <v>2889</v>
      </c>
      <c r="F3928" t="s">
        <v>7</v>
      </c>
    </row>
    <row r="3929" spans="1:6">
      <c r="A3929" t="s">
        <v>52</v>
      </c>
      <c r="B3929" t="s">
        <v>22</v>
      </c>
      <c r="C3929">
        <v>2030</v>
      </c>
      <c r="D3929" t="s">
        <v>9</v>
      </c>
      <c r="E3929">
        <v>2442.1999999999998</v>
      </c>
      <c r="F3929" t="s">
        <v>7</v>
      </c>
    </row>
    <row r="3930" spans="1:6">
      <c r="A3930" t="s">
        <v>52</v>
      </c>
      <c r="B3930" t="s">
        <v>22</v>
      </c>
      <c r="C3930">
        <v>2030</v>
      </c>
      <c r="D3930" t="s">
        <v>10</v>
      </c>
      <c r="E3930">
        <v>55</v>
      </c>
      <c r="F3930" t="s">
        <v>11</v>
      </c>
    </row>
    <row r="3931" spans="1:6">
      <c r="A3931" t="s">
        <v>52</v>
      </c>
      <c r="B3931" t="s">
        <v>22</v>
      </c>
      <c r="C3931">
        <v>2030</v>
      </c>
      <c r="D3931" t="s">
        <v>12</v>
      </c>
      <c r="E3931">
        <v>0.1</v>
      </c>
      <c r="F3931" t="s">
        <v>13</v>
      </c>
    </row>
    <row r="3932" spans="1:6">
      <c r="A3932" t="s">
        <v>52</v>
      </c>
      <c r="B3932" t="s">
        <v>22</v>
      </c>
      <c r="C3932">
        <v>2030</v>
      </c>
      <c r="D3932" t="s">
        <v>14</v>
      </c>
      <c r="E3932">
        <v>0.6</v>
      </c>
      <c r="F3932" t="s">
        <v>15</v>
      </c>
    </row>
    <row r="3933" spans="1:6">
      <c r="A3933" t="s">
        <v>52</v>
      </c>
      <c r="B3933" t="s">
        <v>22</v>
      </c>
      <c r="C3933">
        <v>2030</v>
      </c>
      <c r="D3933" t="s">
        <v>164</v>
      </c>
      <c r="E3933">
        <v>0</v>
      </c>
      <c r="F3933" t="s">
        <v>166</v>
      </c>
    </row>
    <row r="3934" spans="1:6">
      <c r="A3934" t="s">
        <v>52</v>
      </c>
      <c r="B3934" t="s">
        <v>22</v>
      </c>
      <c r="C3934">
        <v>2050</v>
      </c>
      <c r="D3934" t="s">
        <v>6</v>
      </c>
      <c r="E3934">
        <v>2500</v>
      </c>
      <c r="F3934" t="s">
        <v>7</v>
      </c>
    </row>
    <row r="3935" spans="1:6">
      <c r="A3935" t="s">
        <v>52</v>
      </c>
      <c r="B3935" t="s">
        <v>22</v>
      </c>
      <c r="C3935">
        <v>2050</v>
      </c>
      <c r="D3935" t="s">
        <v>8</v>
      </c>
      <c r="E3935">
        <v>2741</v>
      </c>
      <c r="F3935" t="s">
        <v>7</v>
      </c>
    </row>
    <row r="3936" spans="1:6">
      <c r="A3936" t="s">
        <v>52</v>
      </c>
      <c r="B3936" t="s">
        <v>22</v>
      </c>
      <c r="C3936">
        <v>2050</v>
      </c>
      <c r="D3936" t="s">
        <v>9</v>
      </c>
      <c r="E3936">
        <v>2123.1999999999998</v>
      </c>
      <c r="F3936" t="s">
        <v>7</v>
      </c>
    </row>
    <row r="3937" spans="1:6">
      <c r="A3937" t="s">
        <v>52</v>
      </c>
      <c r="B3937" t="s">
        <v>22</v>
      </c>
      <c r="C3937">
        <v>2050</v>
      </c>
      <c r="D3937" t="s">
        <v>10</v>
      </c>
      <c r="E3937">
        <v>50</v>
      </c>
      <c r="F3937" t="s">
        <v>11</v>
      </c>
    </row>
    <row r="3938" spans="1:6">
      <c r="A3938" t="s">
        <v>52</v>
      </c>
      <c r="B3938" t="s">
        <v>22</v>
      </c>
      <c r="C3938">
        <v>2050</v>
      </c>
      <c r="D3938" t="s">
        <v>12</v>
      </c>
      <c r="E3938">
        <v>0.1</v>
      </c>
      <c r="F3938" t="s">
        <v>13</v>
      </c>
    </row>
    <row r="3939" spans="1:6">
      <c r="A3939" t="s">
        <v>52</v>
      </c>
      <c r="B3939" t="s">
        <v>22</v>
      </c>
      <c r="C3939">
        <v>2050</v>
      </c>
      <c r="D3939" t="s">
        <v>14</v>
      </c>
      <c r="E3939">
        <v>0.6</v>
      </c>
      <c r="F3939" t="s">
        <v>15</v>
      </c>
    </row>
    <row r="3940" spans="1:6">
      <c r="A3940" t="s">
        <v>52</v>
      </c>
      <c r="B3940" t="s">
        <v>22</v>
      </c>
      <c r="C3940">
        <v>2050</v>
      </c>
      <c r="D3940" t="s">
        <v>164</v>
      </c>
      <c r="E3940">
        <v>0</v>
      </c>
      <c r="F3940" t="s">
        <v>166</v>
      </c>
    </row>
    <row r="3941" spans="1:6">
      <c r="A3941" t="s">
        <v>52</v>
      </c>
      <c r="B3941" t="s">
        <v>23</v>
      </c>
      <c r="C3941">
        <v>2022</v>
      </c>
      <c r="D3941" t="s">
        <v>6</v>
      </c>
      <c r="E3941">
        <v>2200</v>
      </c>
      <c r="F3941" t="s">
        <v>7</v>
      </c>
    </row>
    <row r="3942" spans="1:6">
      <c r="A3942" t="s">
        <v>52</v>
      </c>
      <c r="B3942" t="s">
        <v>23</v>
      </c>
      <c r="C3942">
        <v>2022</v>
      </c>
      <c r="D3942" t="s">
        <v>8</v>
      </c>
      <c r="E3942">
        <v>2200</v>
      </c>
      <c r="F3942" t="s">
        <v>7</v>
      </c>
    </row>
    <row r="3943" spans="1:6">
      <c r="A3943" t="s">
        <v>52</v>
      </c>
      <c r="B3943" t="s">
        <v>23</v>
      </c>
      <c r="C3943">
        <v>2022</v>
      </c>
      <c r="D3943" t="s">
        <v>9</v>
      </c>
      <c r="E3943">
        <v>2200</v>
      </c>
      <c r="F3943" t="s">
        <v>7</v>
      </c>
    </row>
    <row r="3944" spans="1:6">
      <c r="A3944" t="s">
        <v>52</v>
      </c>
      <c r="B3944" t="s">
        <v>23</v>
      </c>
      <c r="C3944">
        <v>2022</v>
      </c>
      <c r="D3944" t="s">
        <v>10</v>
      </c>
      <c r="E3944">
        <v>45</v>
      </c>
      <c r="F3944" t="s">
        <v>11</v>
      </c>
    </row>
    <row r="3945" spans="1:6">
      <c r="A3945" t="s">
        <v>52</v>
      </c>
      <c r="B3945" t="s">
        <v>23</v>
      </c>
      <c r="C3945">
        <v>2022</v>
      </c>
      <c r="D3945" t="s">
        <v>12</v>
      </c>
      <c r="E3945">
        <v>0.1</v>
      </c>
      <c r="F3945" t="s">
        <v>13</v>
      </c>
    </row>
    <row r="3946" spans="1:6">
      <c r="A3946" t="s">
        <v>52</v>
      </c>
      <c r="B3946" t="s">
        <v>23</v>
      </c>
      <c r="C3946">
        <v>2022</v>
      </c>
      <c r="D3946" t="s">
        <v>14</v>
      </c>
      <c r="E3946">
        <v>0.65</v>
      </c>
      <c r="F3946" t="s">
        <v>15</v>
      </c>
    </row>
    <row r="3947" spans="1:6">
      <c r="A3947" t="s">
        <v>52</v>
      </c>
      <c r="B3947" t="s">
        <v>23</v>
      </c>
      <c r="C3947">
        <v>2022</v>
      </c>
      <c r="D3947" t="s">
        <v>164</v>
      </c>
      <c r="E3947">
        <v>0</v>
      </c>
      <c r="F3947" t="s">
        <v>166</v>
      </c>
    </row>
    <row r="3948" spans="1:6">
      <c r="A3948" t="s">
        <v>52</v>
      </c>
      <c r="B3948" t="s">
        <v>23</v>
      </c>
      <c r="C3948">
        <v>2030</v>
      </c>
      <c r="D3948" t="s">
        <v>6</v>
      </c>
      <c r="E3948">
        <v>2100</v>
      </c>
      <c r="F3948" t="s">
        <v>7</v>
      </c>
    </row>
    <row r="3949" spans="1:6">
      <c r="A3949" t="s">
        <v>52</v>
      </c>
      <c r="B3949" t="s">
        <v>23</v>
      </c>
      <c r="C3949">
        <v>2030</v>
      </c>
      <c r="D3949" t="s">
        <v>8</v>
      </c>
      <c r="E3949">
        <v>2247</v>
      </c>
      <c r="F3949" t="s">
        <v>7</v>
      </c>
    </row>
    <row r="3950" spans="1:6">
      <c r="A3950" t="s">
        <v>52</v>
      </c>
      <c r="B3950" t="s">
        <v>23</v>
      </c>
      <c r="C3950">
        <v>2030</v>
      </c>
      <c r="D3950" t="s">
        <v>9</v>
      </c>
      <c r="E3950">
        <v>1899.4</v>
      </c>
      <c r="F3950" t="s">
        <v>7</v>
      </c>
    </row>
    <row r="3951" spans="1:6">
      <c r="A3951" t="s">
        <v>52</v>
      </c>
      <c r="B3951" t="s">
        <v>23</v>
      </c>
      <c r="C3951">
        <v>2030</v>
      </c>
      <c r="D3951" t="s">
        <v>10</v>
      </c>
      <c r="E3951">
        <v>40</v>
      </c>
      <c r="F3951" t="s">
        <v>11</v>
      </c>
    </row>
    <row r="3952" spans="1:6">
      <c r="A3952" t="s">
        <v>52</v>
      </c>
      <c r="B3952" t="s">
        <v>23</v>
      </c>
      <c r="C3952">
        <v>2030</v>
      </c>
      <c r="D3952" t="s">
        <v>12</v>
      </c>
      <c r="E3952">
        <v>0.1</v>
      </c>
      <c r="F3952" t="s">
        <v>13</v>
      </c>
    </row>
    <row r="3953" spans="1:6">
      <c r="A3953" t="s">
        <v>52</v>
      </c>
      <c r="B3953" t="s">
        <v>23</v>
      </c>
      <c r="C3953">
        <v>2030</v>
      </c>
      <c r="D3953" t="s">
        <v>14</v>
      </c>
      <c r="E3953">
        <v>0.65</v>
      </c>
      <c r="F3953" t="s">
        <v>15</v>
      </c>
    </row>
    <row r="3954" spans="1:6">
      <c r="A3954" t="s">
        <v>52</v>
      </c>
      <c r="B3954" t="s">
        <v>23</v>
      </c>
      <c r="C3954">
        <v>2030</v>
      </c>
      <c r="D3954" t="s">
        <v>164</v>
      </c>
      <c r="E3954">
        <v>0</v>
      </c>
      <c r="F3954" t="s">
        <v>166</v>
      </c>
    </row>
    <row r="3955" spans="1:6">
      <c r="A3955" t="s">
        <v>52</v>
      </c>
      <c r="B3955" t="s">
        <v>23</v>
      </c>
      <c r="C3955">
        <v>2050</v>
      </c>
      <c r="D3955" t="s">
        <v>6</v>
      </c>
      <c r="E3955">
        <v>1950</v>
      </c>
      <c r="F3955" t="s">
        <v>7</v>
      </c>
    </row>
    <row r="3956" spans="1:6">
      <c r="A3956" t="s">
        <v>52</v>
      </c>
      <c r="B3956" t="s">
        <v>23</v>
      </c>
      <c r="C3956">
        <v>2050</v>
      </c>
      <c r="D3956" t="s">
        <v>8</v>
      </c>
      <c r="E3956">
        <v>2138</v>
      </c>
      <c r="F3956" t="s">
        <v>7</v>
      </c>
    </row>
    <row r="3957" spans="1:6">
      <c r="A3957" t="s">
        <v>52</v>
      </c>
      <c r="B3957" t="s">
        <v>23</v>
      </c>
      <c r="C3957">
        <v>2050</v>
      </c>
      <c r="D3957" t="s">
        <v>9</v>
      </c>
      <c r="E3957">
        <v>1656.1</v>
      </c>
      <c r="F3957" t="s">
        <v>7</v>
      </c>
    </row>
    <row r="3958" spans="1:6">
      <c r="A3958" t="s">
        <v>52</v>
      </c>
      <c r="B3958" t="s">
        <v>23</v>
      </c>
      <c r="C3958">
        <v>2050</v>
      </c>
      <c r="D3958" t="s">
        <v>10</v>
      </c>
      <c r="E3958">
        <v>40</v>
      </c>
      <c r="F3958" t="s">
        <v>11</v>
      </c>
    </row>
    <row r="3959" spans="1:6">
      <c r="A3959" t="s">
        <v>52</v>
      </c>
      <c r="B3959" t="s">
        <v>23</v>
      </c>
      <c r="C3959">
        <v>2050</v>
      </c>
      <c r="D3959" t="s">
        <v>12</v>
      </c>
      <c r="E3959">
        <v>0.1</v>
      </c>
      <c r="F3959" t="s">
        <v>13</v>
      </c>
    </row>
    <row r="3960" spans="1:6">
      <c r="A3960" t="s">
        <v>52</v>
      </c>
      <c r="B3960" t="s">
        <v>23</v>
      </c>
      <c r="C3960">
        <v>2050</v>
      </c>
      <c r="D3960" t="s">
        <v>14</v>
      </c>
      <c r="E3960">
        <v>0.65</v>
      </c>
      <c r="F3960" t="s">
        <v>15</v>
      </c>
    </row>
    <row r="3961" spans="1:6">
      <c r="A3961" t="s">
        <v>52</v>
      </c>
      <c r="B3961" t="s">
        <v>23</v>
      </c>
      <c r="C3961">
        <v>2050</v>
      </c>
      <c r="D3961" t="s">
        <v>164</v>
      </c>
      <c r="E3961">
        <v>0</v>
      </c>
      <c r="F3961" t="s">
        <v>166</v>
      </c>
    </row>
    <row r="3962" spans="1:6">
      <c r="A3962" t="s">
        <v>52</v>
      </c>
      <c r="B3962" t="s">
        <v>24</v>
      </c>
      <c r="C3962">
        <v>2022</v>
      </c>
      <c r="D3962" t="s">
        <v>6</v>
      </c>
      <c r="E3962">
        <v>2300</v>
      </c>
      <c r="F3962" t="s">
        <v>7</v>
      </c>
    </row>
    <row r="3963" spans="1:6">
      <c r="A3963" t="s">
        <v>52</v>
      </c>
      <c r="B3963" t="s">
        <v>24</v>
      </c>
      <c r="C3963">
        <v>2022</v>
      </c>
      <c r="D3963" t="s">
        <v>8</v>
      </c>
      <c r="E3963">
        <v>2300</v>
      </c>
      <c r="F3963" t="s">
        <v>7</v>
      </c>
    </row>
    <row r="3964" spans="1:6">
      <c r="A3964" t="s">
        <v>52</v>
      </c>
      <c r="B3964" t="s">
        <v>24</v>
      </c>
      <c r="C3964">
        <v>2022</v>
      </c>
      <c r="D3964" t="s">
        <v>9</v>
      </c>
      <c r="E3964">
        <v>2300</v>
      </c>
      <c r="F3964" t="s">
        <v>7</v>
      </c>
    </row>
    <row r="3965" spans="1:6">
      <c r="A3965" t="s">
        <v>52</v>
      </c>
      <c r="B3965" t="s">
        <v>24</v>
      </c>
      <c r="C3965">
        <v>2022</v>
      </c>
      <c r="D3965" t="s">
        <v>10</v>
      </c>
      <c r="E3965">
        <v>45</v>
      </c>
      <c r="F3965" t="s">
        <v>11</v>
      </c>
    </row>
    <row r="3966" spans="1:6">
      <c r="A3966" t="s">
        <v>52</v>
      </c>
      <c r="B3966" t="s">
        <v>24</v>
      </c>
      <c r="C3966">
        <v>2022</v>
      </c>
      <c r="D3966" t="s">
        <v>12</v>
      </c>
      <c r="E3966">
        <v>0.1</v>
      </c>
      <c r="F3966" t="s">
        <v>13</v>
      </c>
    </row>
    <row r="3967" spans="1:6">
      <c r="A3967" t="s">
        <v>52</v>
      </c>
      <c r="B3967" t="s">
        <v>24</v>
      </c>
      <c r="C3967">
        <v>2022</v>
      </c>
      <c r="D3967" t="s">
        <v>14</v>
      </c>
      <c r="E3967">
        <v>0.5</v>
      </c>
      <c r="F3967" t="s">
        <v>15</v>
      </c>
    </row>
    <row r="3968" spans="1:6">
      <c r="A3968" t="s">
        <v>52</v>
      </c>
      <c r="B3968" t="s">
        <v>24</v>
      </c>
      <c r="C3968">
        <v>2022</v>
      </c>
      <c r="D3968" t="s">
        <v>164</v>
      </c>
      <c r="E3968">
        <v>0</v>
      </c>
      <c r="F3968" t="s">
        <v>166</v>
      </c>
    </row>
    <row r="3969" spans="1:6">
      <c r="A3969" t="s">
        <v>52</v>
      </c>
      <c r="B3969" t="s">
        <v>24</v>
      </c>
      <c r="C3969">
        <v>2030</v>
      </c>
      <c r="D3969" t="s">
        <v>6</v>
      </c>
      <c r="E3969">
        <v>2200</v>
      </c>
      <c r="F3969" t="s">
        <v>7</v>
      </c>
    </row>
    <row r="3970" spans="1:6">
      <c r="A3970" t="s">
        <v>52</v>
      </c>
      <c r="B3970" t="s">
        <v>24</v>
      </c>
      <c r="C3970">
        <v>2030</v>
      </c>
      <c r="D3970" t="s">
        <v>8</v>
      </c>
      <c r="E3970">
        <v>2354</v>
      </c>
      <c r="F3970" t="s">
        <v>7</v>
      </c>
    </row>
    <row r="3971" spans="1:6">
      <c r="A3971" t="s">
        <v>52</v>
      </c>
      <c r="B3971" t="s">
        <v>24</v>
      </c>
      <c r="C3971">
        <v>2030</v>
      </c>
      <c r="D3971" t="s">
        <v>9</v>
      </c>
      <c r="E3971">
        <v>1989.9</v>
      </c>
      <c r="F3971" t="s">
        <v>7</v>
      </c>
    </row>
    <row r="3972" spans="1:6">
      <c r="A3972" t="s">
        <v>52</v>
      </c>
      <c r="B3972" t="s">
        <v>24</v>
      </c>
      <c r="C3972">
        <v>2030</v>
      </c>
      <c r="D3972" t="s">
        <v>10</v>
      </c>
      <c r="E3972">
        <v>45</v>
      </c>
      <c r="F3972" t="s">
        <v>11</v>
      </c>
    </row>
    <row r="3973" spans="1:6">
      <c r="A3973" t="s">
        <v>52</v>
      </c>
      <c r="B3973" t="s">
        <v>24</v>
      </c>
      <c r="C3973">
        <v>2030</v>
      </c>
      <c r="D3973" t="s">
        <v>12</v>
      </c>
      <c r="E3973">
        <v>0.1</v>
      </c>
      <c r="F3973" t="s">
        <v>13</v>
      </c>
    </row>
    <row r="3974" spans="1:6">
      <c r="A3974" t="s">
        <v>52</v>
      </c>
      <c r="B3974" t="s">
        <v>24</v>
      </c>
      <c r="C3974">
        <v>2030</v>
      </c>
      <c r="D3974" t="s">
        <v>14</v>
      </c>
      <c r="E3974">
        <v>0.5</v>
      </c>
      <c r="F3974" t="s">
        <v>15</v>
      </c>
    </row>
    <row r="3975" spans="1:6">
      <c r="A3975" t="s">
        <v>52</v>
      </c>
      <c r="B3975" t="s">
        <v>24</v>
      </c>
      <c r="C3975">
        <v>2030</v>
      </c>
      <c r="D3975" t="s">
        <v>164</v>
      </c>
      <c r="E3975">
        <v>0</v>
      </c>
      <c r="F3975" t="s">
        <v>166</v>
      </c>
    </row>
    <row r="3976" spans="1:6">
      <c r="A3976" t="s">
        <v>52</v>
      </c>
      <c r="B3976" t="s">
        <v>24</v>
      </c>
      <c r="C3976">
        <v>2050</v>
      </c>
      <c r="D3976" t="s">
        <v>6</v>
      </c>
      <c r="E3976">
        <v>2000</v>
      </c>
      <c r="F3976" t="s">
        <v>7</v>
      </c>
    </row>
    <row r="3977" spans="1:6">
      <c r="A3977" t="s">
        <v>52</v>
      </c>
      <c r="B3977" t="s">
        <v>24</v>
      </c>
      <c r="C3977">
        <v>2050</v>
      </c>
      <c r="D3977" t="s">
        <v>8</v>
      </c>
      <c r="E3977">
        <v>2192.8000000000002</v>
      </c>
      <c r="F3977" t="s">
        <v>7</v>
      </c>
    </row>
    <row r="3978" spans="1:6">
      <c r="A3978" t="s">
        <v>52</v>
      </c>
      <c r="B3978" t="s">
        <v>24</v>
      </c>
      <c r="C3978">
        <v>2050</v>
      </c>
      <c r="D3978" t="s">
        <v>9</v>
      </c>
      <c r="E3978">
        <v>1698.6</v>
      </c>
      <c r="F3978" t="s">
        <v>7</v>
      </c>
    </row>
    <row r="3979" spans="1:6">
      <c r="A3979" t="s">
        <v>52</v>
      </c>
      <c r="B3979" t="s">
        <v>24</v>
      </c>
      <c r="C3979">
        <v>2050</v>
      </c>
      <c r="D3979" t="s">
        <v>10</v>
      </c>
      <c r="E3979">
        <v>40</v>
      </c>
      <c r="F3979" t="s">
        <v>11</v>
      </c>
    </row>
    <row r="3980" spans="1:6">
      <c r="A3980" t="s">
        <v>52</v>
      </c>
      <c r="B3980" t="s">
        <v>24</v>
      </c>
      <c r="C3980">
        <v>2050</v>
      </c>
      <c r="D3980" t="s">
        <v>12</v>
      </c>
      <c r="E3980">
        <v>0.1</v>
      </c>
      <c r="F3980" t="s">
        <v>13</v>
      </c>
    </row>
    <row r="3981" spans="1:6">
      <c r="A3981" t="s">
        <v>52</v>
      </c>
      <c r="B3981" t="s">
        <v>24</v>
      </c>
      <c r="C3981">
        <v>2050</v>
      </c>
      <c r="D3981" t="s">
        <v>14</v>
      </c>
      <c r="E3981">
        <v>0.5</v>
      </c>
      <c r="F3981" t="s">
        <v>15</v>
      </c>
    </row>
    <row r="3982" spans="1:6">
      <c r="A3982" t="s">
        <v>52</v>
      </c>
      <c r="B3982" t="s">
        <v>24</v>
      </c>
      <c r="C3982">
        <v>2050</v>
      </c>
      <c r="D3982" t="s">
        <v>164</v>
      </c>
      <c r="E3982">
        <v>0</v>
      </c>
      <c r="F3982" t="s">
        <v>166</v>
      </c>
    </row>
    <row r="3983" spans="1:6">
      <c r="A3983" t="s">
        <v>52</v>
      </c>
      <c r="B3983" t="s">
        <v>25</v>
      </c>
      <c r="C3983">
        <v>2022</v>
      </c>
      <c r="D3983" t="s">
        <v>6</v>
      </c>
      <c r="E3983">
        <v>3600</v>
      </c>
      <c r="F3983" t="s">
        <v>7</v>
      </c>
    </row>
    <row r="3984" spans="1:6">
      <c r="A3984" t="s">
        <v>52</v>
      </c>
      <c r="B3984" t="s">
        <v>25</v>
      </c>
      <c r="C3984">
        <v>2022</v>
      </c>
      <c r="D3984" t="s">
        <v>8</v>
      </c>
      <c r="E3984">
        <v>3600</v>
      </c>
      <c r="F3984" t="s">
        <v>7</v>
      </c>
    </row>
    <row r="3985" spans="1:6">
      <c r="A3985" t="s">
        <v>52</v>
      </c>
      <c r="B3985" t="s">
        <v>25</v>
      </c>
      <c r="C3985">
        <v>2022</v>
      </c>
      <c r="D3985" t="s">
        <v>9</v>
      </c>
      <c r="E3985">
        <v>3600</v>
      </c>
      <c r="F3985" t="s">
        <v>7</v>
      </c>
    </row>
    <row r="3986" spans="1:6">
      <c r="A3986" t="s">
        <v>52</v>
      </c>
      <c r="B3986" t="s">
        <v>25</v>
      </c>
      <c r="C3986">
        <v>2022</v>
      </c>
      <c r="D3986" t="s">
        <v>10</v>
      </c>
      <c r="E3986">
        <v>70</v>
      </c>
      <c r="F3986" t="s">
        <v>11</v>
      </c>
    </row>
    <row r="3987" spans="1:6">
      <c r="A3987" t="s">
        <v>52</v>
      </c>
      <c r="B3987" t="s">
        <v>25</v>
      </c>
      <c r="C3987">
        <v>2022</v>
      </c>
      <c r="D3987" t="s">
        <v>12</v>
      </c>
      <c r="E3987">
        <v>0.1</v>
      </c>
      <c r="F3987" t="s">
        <v>13</v>
      </c>
    </row>
    <row r="3988" spans="1:6">
      <c r="A3988" t="s">
        <v>52</v>
      </c>
      <c r="B3988" t="s">
        <v>25</v>
      </c>
      <c r="C3988">
        <v>2022</v>
      </c>
      <c r="D3988" t="s">
        <v>14</v>
      </c>
      <c r="E3988">
        <v>0.5</v>
      </c>
      <c r="F3988" t="s">
        <v>15</v>
      </c>
    </row>
    <row r="3989" spans="1:6">
      <c r="A3989" t="s">
        <v>52</v>
      </c>
      <c r="B3989" t="s">
        <v>25</v>
      </c>
      <c r="C3989">
        <v>2022</v>
      </c>
      <c r="D3989" t="s">
        <v>164</v>
      </c>
      <c r="E3989">
        <v>0</v>
      </c>
      <c r="F3989" t="s">
        <v>166</v>
      </c>
    </row>
    <row r="3990" spans="1:6">
      <c r="A3990" t="s">
        <v>52</v>
      </c>
      <c r="B3990" t="s">
        <v>25</v>
      </c>
      <c r="C3990">
        <v>2030</v>
      </c>
      <c r="D3990" t="s">
        <v>6</v>
      </c>
      <c r="E3990">
        <v>3450</v>
      </c>
      <c r="F3990" t="s">
        <v>7</v>
      </c>
    </row>
    <row r="3991" spans="1:6">
      <c r="A3991" t="s">
        <v>52</v>
      </c>
      <c r="B3991" t="s">
        <v>25</v>
      </c>
      <c r="C3991">
        <v>2030</v>
      </c>
      <c r="D3991" t="s">
        <v>8</v>
      </c>
      <c r="E3991">
        <v>3691.5</v>
      </c>
      <c r="F3991" t="s">
        <v>7</v>
      </c>
    </row>
    <row r="3992" spans="1:6">
      <c r="A3992" t="s">
        <v>52</v>
      </c>
      <c r="B3992" t="s">
        <v>25</v>
      </c>
      <c r="C3992">
        <v>2030</v>
      </c>
      <c r="D3992" t="s">
        <v>9</v>
      </c>
      <c r="E3992">
        <v>3120.5</v>
      </c>
      <c r="F3992" t="s">
        <v>7</v>
      </c>
    </row>
    <row r="3993" spans="1:6">
      <c r="A3993" t="s">
        <v>52</v>
      </c>
      <c r="B3993" t="s">
        <v>25</v>
      </c>
      <c r="C3993">
        <v>2030</v>
      </c>
      <c r="D3993" t="s">
        <v>10</v>
      </c>
      <c r="E3993">
        <v>70</v>
      </c>
      <c r="F3993" t="s">
        <v>11</v>
      </c>
    </row>
    <row r="3994" spans="1:6">
      <c r="A3994" t="s">
        <v>52</v>
      </c>
      <c r="B3994" t="s">
        <v>25</v>
      </c>
      <c r="C3994">
        <v>2030</v>
      </c>
      <c r="D3994" t="s">
        <v>12</v>
      </c>
      <c r="E3994">
        <v>0.1</v>
      </c>
      <c r="F3994" t="s">
        <v>13</v>
      </c>
    </row>
    <row r="3995" spans="1:6">
      <c r="A3995" t="s">
        <v>52</v>
      </c>
      <c r="B3995" t="s">
        <v>25</v>
      </c>
      <c r="C3995">
        <v>2030</v>
      </c>
      <c r="D3995" t="s">
        <v>14</v>
      </c>
      <c r="E3995">
        <v>0.5</v>
      </c>
      <c r="F3995" t="s">
        <v>15</v>
      </c>
    </row>
    <row r="3996" spans="1:6">
      <c r="A3996" t="s">
        <v>52</v>
      </c>
      <c r="B3996" t="s">
        <v>25</v>
      </c>
      <c r="C3996">
        <v>2030</v>
      </c>
      <c r="D3996" t="s">
        <v>164</v>
      </c>
      <c r="E3996">
        <v>0</v>
      </c>
      <c r="F3996" t="s">
        <v>166</v>
      </c>
    </row>
    <row r="3997" spans="1:6">
      <c r="A3997" t="s">
        <v>52</v>
      </c>
      <c r="B3997" t="s">
        <v>25</v>
      </c>
      <c r="C3997">
        <v>2050</v>
      </c>
      <c r="D3997" t="s">
        <v>6</v>
      </c>
      <c r="E3997">
        <v>3200</v>
      </c>
      <c r="F3997" t="s">
        <v>7</v>
      </c>
    </row>
    <row r="3998" spans="1:6">
      <c r="A3998" t="s">
        <v>52</v>
      </c>
      <c r="B3998" t="s">
        <v>25</v>
      </c>
      <c r="C3998">
        <v>2050</v>
      </c>
      <c r="D3998" t="s">
        <v>8</v>
      </c>
      <c r="E3998">
        <v>3508.5</v>
      </c>
      <c r="F3998" t="s">
        <v>7</v>
      </c>
    </row>
    <row r="3999" spans="1:6">
      <c r="A3999" t="s">
        <v>52</v>
      </c>
      <c r="B3999" t="s">
        <v>25</v>
      </c>
      <c r="C3999">
        <v>2050</v>
      </c>
      <c r="D3999" t="s">
        <v>9</v>
      </c>
      <c r="E3999">
        <v>2717.8</v>
      </c>
      <c r="F3999" t="s">
        <v>7</v>
      </c>
    </row>
    <row r="4000" spans="1:6">
      <c r="A4000" t="s">
        <v>52</v>
      </c>
      <c r="B4000" t="s">
        <v>25</v>
      </c>
      <c r="C4000">
        <v>2050</v>
      </c>
      <c r="D4000" t="s">
        <v>10</v>
      </c>
      <c r="E4000">
        <v>65</v>
      </c>
      <c r="F4000" t="s">
        <v>11</v>
      </c>
    </row>
    <row r="4001" spans="1:6">
      <c r="A4001" t="s">
        <v>52</v>
      </c>
      <c r="B4001" t="s">
        <v>25</v>
      </c>
      <c r="C4001">
        <v>2050</v>
      </c>
      <c r="D4001" t="s">
        <v>12</v>
      </c>
      <c r="E4001">
        <v>0.1</v>
      </c>
      <c r="F4001" t="s">
        <v>13</v>
      </c>
    </row>
    <row r="4002" spans="1:6">
      <c r="A4002" t="s">
        <v>52</v>
      </c>
      <c r="B4002" t="s">
        <v>25</v>
      </c>
      <c r="C4002">
        <v>2050</v>
      </c>
      <c r="D4002" t="s">
        <v>14</v>
      </c>
      <c r="E4002">
        <v>0.5</v>
      </c>
      <c r="F4002" t="s">
        <v>15</v>
      </c>
    </row>
    <row r="4003" spans="1:6">
      <c r="A4003" t="s">
        <v>52</v>
      </c>
      <c r="B4003" t="s">
        <v>25</v>
      </c>
      <c r="C4003">
        <v>2050</v>
      </c>
      <c r="D4003" t="s">
        <v>164</v>
      </c>
      <c r="E4003">
        <v>0</v>
      </c>
      <c r="F4003" t="s">
        <v>166</v>
      </c>
    </row>
    <row r="4004" spans="1:6">
      <c r="A4004" t="s">
        <v>52</v>
      </c>
      <c r="B4004" t="s">
        <v>26</v>
      </c>
      <c r="C4004">
        <v>2022</v>
      </c>
      <c r="D4004" t="s">
        <v>6</v>
      </c>
      <c r="E4004">
        <v>2200</v>
      </c>
      <c r="F4004" t="s">
        <v>7</v>
      </c>
    </row>
    <row r="4005" spans="1:6">
      <c r="A4005" t="s">
        <v>52</v>
      </c>
      <c r="B4005" t="s">
        <v>26</v>
      </c>
      <c r="C4005">
        <v>2022</v>
      </c>
      <c r="D4005" t="s">
        <v>8</v>
      </c>
      <c r="E4005">
        <v>2200</v>
      </c>
      <c r="F4005" t="s">
        <v>7</v>
      </c>
    </row>
    <row r="4006" spans="1:6">
      <c r="A4006" t="s">
        <v>52</v>
      </c>
      <c r="B4006" t="s">
        <v>26</v>
      </c>
      <c r="C4006">
        <v>2022</v>
      </c>
      <c r="D4006" t="s">
        <v>9</v>
      </c>
      <c r="E4006">
        <v>2200</v>
      </c>
      <c r="F4006" t="s">
        <v>7</v>
      </c>
    </row>
    <row r="4007" spans="1:6">
      <c r="A4007" t="s">
        <v>52</v>
      </c>
      <c r="B4007" t="s">
        <v>26</v>
      </c>
      <c r="C4007">
        <v>2022</v>
      </c>
      <c r="D4007" t="s">
        <v>10</v>
      </c>
      <c r="E4007">
        <v>45</v>
      </c>
      <c r="F4007" t="s">
        <v>11</v>
      </c>
    </row>
    <row r="4008" spans="1:6">
      <c r="A4008" t="s">
        <v>52</v>
      </c>
      <c r="B4008" t="s">
        <v>26</v>
      </c>
      <c r="C4008">
        <v>2022</v>
      </c>
      <c r="D4008" t="s">
        <v>12</v>
      </c>
      <c r="E4008">
        <v>0.1</v>
      </c>
      <c r="F4008" t="s">
        <v>13</v>
      </c>
    </row>
    <row r="4009" spans="1:6">
      <c r="A4009" t="s">
        <v>52</v>
      </c>
      <c r="B4009" t="s">
        <v>26</v>
      </c>
      <c r="C4009">
        <v>2022</v>
      </c>
      <c r="D4009" t="s">
        <v>14</v>
      </c>
      <c r="E4009">
        <v>0.8</v>
      </c>
      <c r="F4009" t="s">
        <v>15</v>
      </c>
    </row>
    <row r="4010" spans="1:6">
      <c r="A4010" t="s">
        <v>52</v>
      </c>
      <c r="B4010" t="s">
        <v>26</v>
      </c>
      <c r="C4010">
        <v>2022</v>
      </c>
      <c r="D4010" t="s">
        <v>164</v>
      </c>
      <c r="E4010">
        <v>0</v>
      </c>
      <c r="F4010" t="s">
        <v>166</v>
      </c>
    </row>
    <row r="4011" spans="1:6">
      <c r="A4011" t="s">
        <v>52</v>
      </c>
      <c r="B4011" t="s">
        <v>26</v>
      </c>
      <c r="C4011">
        <v>2030</v>
      </c>
      <c r="D4011" t="s">
        <v>6</v>
      </c>
      <c r="E4011">
        <v>2100</v>
      </c>
      <c r="F4011" t="s">
        <v>7</v>
      </c>
    </row>
    <row r="4012" spans="1:6">
      <c r="A4012" t="s">
        <v>52</v>
      </c>
      <c r="B4012" t="s">
        <v>26</v>
      </c>
      <c r="C4012">
        <v>2030</v>
      </c>
      <c r="D4012" t="s">
        <v>8</v>
      </c>
      <c r="E4012">
        <v>2247</v>
      </c>
      <c r="F4012" t="s">
        <v>7</v>
      </c>
    </row>
    <row r="4013" spans="1:6">
      <c r="A4013" t="s">
        <v>52</v>
      </c>
      <c r="B4013" t="s">
        <v>26</v>
      </c>
      <c r="C4013">
        <v>2030</v>
      </c>
      <c r="D4013" t="s">
        <v>9</v>
      </c>
      <c r="E4013">
        <v>1899.4</v>
      </c>
      <c r="F4013" t="s">
        <v>7</v>
      </c>
    </row>
    <row r="4014" spans="1:6">
      <c r="A4014" t="s">
        <v>52</v>
      </c>
      <c r="B4014" t="s">
        <v>26</v>
      </c>
      <c r="C4014">
        <v>2030</v>
      </c>
      <c r="D4014" t="s">
        <v>10</v>
      </c>
      <c r="E4014">
        <v>40</v>
      </c>
      <c r="F4014" t="s">
        <v>11</v>
      </c>
    </row>
    <row r="4015" spans="1:6">
      <c r="A4015" t="s">
        <v>52</v>
      </c>
      <c r="B4015" t="s">
        <v>26</v>
      </c>
      <c r="C4015">
        <v>2030</v>
      </c>
      <c r="D4015" t="s">
        <v>12</v>
      </c>
      <c r="E4015">
        <v>0.1</v>
      </c>
      <c r="F4015" t="s">
        <v>13</v>
      </c>
    </row>
    <row r="4016" spans="1:6">
      <c r="A4016" t="s">
        <v>52</v>
      </c>
      <c r="B4016" t="s">
        <v>26</v>
      </c>
      <c r="C4016">
        <v>2030</v>
      </c>
      <c r="D4016" t="s">
        <v>14</v>
      </c>
      <c r="E4016">
        <v>0.8</v>
      </c>
      <c r="F4016" t="s">
        <v>15</v>
      </c>
    </row>
    <row r="4017" spans="1:6">
      <c r="A4017" t="s">
        <v>52</v>
      </c>
      <c r="B4017" t="s">
        <v>26</v>
      </c>
      <c r="C4017">
        <v>2030</v>
      </c>
      <c r="D4017" t="s">
        <v>164</v>
      </c>
      <c r="E4017">
        <v>0</v>
      </c>
      <c r="F4017" t="s">
        <v>166</v>
      </c>
    </row>
    <row r="4018" spans="1:6">
      <c r="A4018" t="s">
        <v>52</v>
      </c>
      <c r="B4018" t="s">
        <v>26</v>
      </c>
      <c r="C4018">
        <v>2050</v>
      </c>
      <c r="D4018" t="s">
        <v>6</v>
      </c>
      <c r="E4018">
        <v>2000</v>
      </c>
      <c r="F4018" t="s">
        <v>7</v>
      </c>
    </row>
    <row r="4019" spans="1:6">
      <c r="A4019" t="s">
        <v>52</v>
      </c>
      <c r="B4019" t="s">
        <v>26</v>
      </c>
      <c r="C4019">
        <v>2050</v>
      </c>
      <c r="D4019" t="s">
        <v>8</v>
      </c>
      <c r="E4019">
        <v>2192.8000000000002</v>
      </c>
      <c r="F4019" t="s">
        <v>7</v>
      </c>
    </row>
    <row r="4020" spans="1:6">
      <c r="A4020" t="s">
        <v>52</v>
      </c>
      <c r="B4020" t="s">
        <v>26</v>
      </c>
      <c r="C4020">
        <v>2050</v>
      </c>
      <c r="D4020" t="s">
        <v>9</v>
      </c>
      <c r="E4020">
        <v>1698.6</v>
      </c>
      <c r="F4020" t="s">
        <v>7</v>
      </c>
    </row>
    <row r="4021" spans="1:6">
      <c r="A4021" t="s">
        <v>52</v>
      </c>
      <c r="B4021" t="s">
        <v>26</v>
      </c>
      <c r="C4021">
        <v>2050</v>
      </c>
      <c r="D4021" t="s">
        <v>10</v>
      </c>
      <c r="E4021">
        <v>40</v>
      </c>
      <c r="F4021" t="s">
        <v>11</v>
      </c>
    </row>
    <row r="4022" spans="1:6">
      <c r="A4022" t="s">
        <v>52</v>
      </c>
      <c r="B4022" t="s">
        <v>26</v>
      </c>
      <c r="C4022">
        <v>2050</v>
      </c>
      <c r="D4022" t="s">
        <v>12</v>
      </c>
      <c r="E4022">
        <v>0.1</v>
      </c>
      <c r="F4022" t="s">
        <v>13</v>
      </c>
    </row>
    <row r="4023" spans="1:6">
      <c r="A4023" t="s">
        <v>52</v>
      </c>
      <c r="B4023" t="s">
        <v>26</v>
      </c>
      <c r="C4023">
        <v>2050</v>
      </c>
      <c r="D4023" t="s">
        <v>14</v>
      </c>
      <c r="E4023">
        <v>0.8</v>
      </c>
      <c r="F4023" t="s">
        <v>15</v>
      </c>
    </row>
    <row r="4024" spans="1:6">
      <c r="A4024" t="s">
        <v>52</v>
      </c>
      <c r="B4024" t="s">
        <v>26</v>
      </c>
      <c r="C4024">
        <v>2050</v>
      </c>
      <c r="D4024" t="s">
        <v>164</v>
      </c>
      <c r="E4024">
        <v>0</v>
      </c>
      <c r="F4024" t="s">
        <v>166</v>
      </c>
    </row>
    <row r="4025" spans="1:6">
      <c r="A4025" t="s">
        <v>52</v>
      </c>
      <c r="B4025" t="s">
        <v>27</v>
      </c>
      <c r="C4025">
        <v>2022</v>
      </c>
      <c r="D4025" t="s">
        <v>6</v>
      </c>
      <c r="E4025">
        <v>3050</v>
      </c>
      <c r="F4025" t="s">
        <v>7</v>
      </c>
    </row>
    <row r="4026" spans="1:6">
      <c r="A4026" t="s">
        <v>52</v>
      </c>
      <c r="B4026" t="s">
        <v>27</v>
      </c>
      <c r="C4026">
        <v>2022</v>
      </c>
      <c r="D4026" t="s">
        <v>8</v>
      </c>
      <c r="E4026">
        <v>3050</v>
      </c>
      <c r="F4026" t="s">
        <v>7</v>
      </c>
    </row>
    <row r="4027" spans="1:6">
      <c r="A4027" t="s">
        <v>52</v>
      </c>
      <c r="B4027" t="s">
        <v>27</v>
      </c>
      <c r="C4027">
        <v>2022</v>
      </c>
      <c r="D4027" t="s">
        <v>9</v>
      </c>
      <c r="E4027">
        <v>3050</v>
      </c>
      <c r="F4027" t="s">
        <v>7</v>
      </c>
    </row>
    <row r="4028" spans="1:6">
      <c r="A4028" t="s">
        <v>52</v>
      </c>
      <c r="B4028" t="s">
        <v>27</v>
      </c>
      <c r="C4028">
        <v>2022</v>
      </c>
      <c r="D4028" t="s">
        <v>10</v>
      </c>
      <c r="E4028">
        <v>60</v>
      </c>
      <c r="F4028" t="s">
        <v>11</v>
      </c>
    </row>
    <row r="4029" spans="1:6">
      <c r="A4029" t="s">
        <v>52</v>
      </c>
      <c r="B4029" t="s">
        <v>27</v>
      </c>
      <c r="C4029">
        <v>2022</v>
      </c>
      <c r="D4029" t="s">
        <v>12</v>
      </c>
      <c r="E4029">
        <v>0.1</v>
      </c>
      <c r="F4029" t="s">
        <v>13</v>
      </c>
    </row>
    <row r="4030" spans="1:6">
      <c r="A4030" t="s">
        <v>52</v>
      </c>
      <c r="B4030" t="s">
        <v>27</v>
      </c>
      <c r="C4030">
        <v>2022</v>
      </c>
      <c r="D4030" t="s">
        <v>14</v>
      </c>
      <c r="E4030">
        <v>0.8</v>
      </c>
      <c r="F4030" t="s">
        <v>15</v>
      </c>
    </row>
    <row r="4031" spans="1:6">
      <c r="A4031" t="s">
        <v>52</v>
      </c>
      <c r="B4031" t="s">
        <v>27</v>
      </c>
      <c r="C4031">
        <v>2022</v>
      </c>
      <c r="D4031" t="s">
        <v>164</v>
      </c>
      <c r="E4031">
        <v>0</v>
      </c>
      <c r="F4031" t="s">
        <v>166</v>
      </c>
    </row>
    <row r="4032" spans="1:6">
      <c r="A4032" t="s">
        <v>52</v>
      </c>
      <c r="B4032" t="s">
        <v>27</v>
      </c>
      <c r="C4032">
        <v>2030</v>
      </c>
      <c r="D4032" t="s">
        <v>6</v>
      </c>
      <c r="E4032">
        <v>2900</v>
      </c>
      <c r="F4032" t="s">
        <v>7</v>
      </c>
    </row>
    <row r="4033" spans="1:6">
      <c r="A4033" t="s">
        <v>52</v>
      </c>
      <c r="B4033" t="s">
        <v>27</v>
      </c>
      <c r="C4033">
        <v>2030</v>
      </c>
      <c r="D4033" t="s">
        <v>8</v>
      </c>
      <c r="E4033">
        <v>3103</v>
      </c>
      <c r="F4033" t="s">
        <v>7</v>
      </c>
    </row>
    <row r="4034" spans="1:6">
      <c r="A4034" t="s">
        <v>52</v>
      </c>
      <c r="B4034" t="s">
        <v>27</v>
      </c>
      <c r="C4034">
        <v>2030</v>
      </c>
      <c r="D4034" t="s">
        <v>9</v>
      </c>
      <c r="E4034">
        <v>2623</v>
      </c>
      <c r="F4034" t="s">
        <v>7</v>
      </c>
    </row>
    <row r="4035" spans="1:6">
      <c r="A4035" t="s">
        <v>52</v>
      </c>
      <c r="B4035" t="s">
        <v>27</v>
      </c>
      <c r="C4035">
        <v>2030</v>
      </c>
      <c r="D4035" t="s">
        <v>10</v>
      </c>
      <c r="E4035">
        <v>60</v>
      </c>
      <c r="F4035" t="s">
        <v>11</v>
      </c>
    </row>
    <row r="4036" spans="1:6">
      <c r="A4036" t="s">
        <v>52</v>
      </c>
      <c r="B4036" t="s">
        <v>27</v>
      </c>
      <c r="C4036">
        <v>2030</v>
      </c>
      <c r="D4036" t="s">
        <v>12</v>
      </c>
      <c r="E4036">
        <v>0.1</v>
      </c>
      <c r="F4036" t="s">
        <v>13</v>
      </c>
    </row>
    <row r="4037" spans="1:6">
      <c r="A4037" t="s">
        <v>52</v>
      </c>
      <c r="B4037" t="s">
        <v>27</v>
      </c>
      <c r="C4037">
        <v>2030</v>
      </c>
      <c r="D4037" t="s">
        <v>14</v>
      </c>
      <c r="E4037">
        <v>0.8</v>
      </c>
      <c r="F4037" t="s">
        <v>15</v>
      </c>
    </row>
    <row r="4038" spans="1:6">
      <c r="A4038" t="s">
        <v>52</v>
      </c>
      <c r="B4038" t="s">
        <v>27</v>
      </c>
      <c r="C4038">
        <v>2030</v>
      </c>
      <c r="D4038" t="s">
        <v>164</v>
      </c>
      <c r="E4038">
        <v>0</v>
      </c>
      <c r="F4038" t="s">
        <v>166</v>
      </c>
    </row>
    <row r="4039" spans="1:6">
      <c r="A4039" t="s">
        <v>52</v>
      </c>
      <c r="B4039" t="s">
        <v>27</v>
      </c>
      <c r="C4039">
        <v>2050</v>
      </c>
      <c r="D4039" t="s">
        <v>6</v>
      </c>
      <c r="E4039">
        <v>2700</v>
      </c>
      <c r="F4039" t="s">
        <v>7</v>
      </c>
    </row>
    <row r="4040" spans="1:6">
      <c r="A4040" t="s">
        <v>52</v>
      </c>
      <c r="B4040" t="s">
        <v>27</v>
      </c>
      <c r="C4040">
        <v>2050</v>
      </c>
      <c r="D4040" t="s">
        <v>8</v>
      </c>
      <c r="E4040">
        <v>2960.3</v>
      </c>
      <c r="F4040" t="s">
        <v>7</v>
      </c>
    </row>
    <row r="4041" spans="1:6">
      <c r="A4041" t="s">
        <v>52</v>
      </c>
      <c r="B4041" t="s">
        <v>27</v>
      </c>
      <c r="C4041">
        <v>2050</v>
      </c>
      <c r="D4041" t="s">
        <v>9</v>
      </c>
      <c r="E4041">
        <v>2293.1</v>
      </c>
      <c r="F4041" t="s">
        <v>7</v>
      </c>
    </row>
    <row r="4042" spans="1:6">
      <c r="A4042" t="s">
        <v>52</v>
      </c>
      <c r="B4042" t="s">
        <v>27</v>
      </c>
      <c r="C4042">
        <v>2050</v>
      </c>
      <c r="D4042" t="s">
        <v>10</v>
      </c>
      <c r="E4042">
        <v>55</v>
      </c>
      <c r="F4042" t="s">
        <v>11</v>
      </c>
    </row>
    <row r="4043" spans="1:6">
      <c r="A4043" t="s">
        <v>52</v>
      </c>
      <c r="B4043" t="s">
        <v>27</v>
      </c>
      <c r="C4043">
        <v>2050</v>
      </c>
      <c r="D4043" t="s">
        <v>12</v>
      </c>
      <c r="E4043">
        <v>0.1</v>
      </c>
      <c r="F4043" t="s">
        <v>13</v>
      </c>
    </row>
    <row r="4044" spans="1:6">
      <c r="A4044" t="s">
        <v>52</v>
      </c>
      <c r="B4044" t="s">
        <v>27</v>
      </c>
      <c r="C4044">
        <v>2050</v>
      </c>
      <c r="D4044" t="s">
        <v>14</v>
      </c>
      <c r="E4044">
        <v>0.8</v>
      </c>
      <c r="F4044" t="s">
        <v>15</v>
      </c>
    </row>
    <row r="4045" spans="1:6">
      <c r="A4045" t="s">
        <v>52</v>
      </c>
      <c r="B4045" t="s">
        <v>27</v>
      </c>
      <c r="C4045">
        <v>2050</v>
      </c>
      <c r="D4045" t="s">
        <v>164</v>
      </c>
      <c r="E4045">
        <v>0</v>
      </c>
      <c r="F4045" t="s">
        <v>166</v>
      </c>
    </row>
    <row r="4046" spans="1:6">
      <c r="A4046" t="s">
        <v>52</v>
      </c>
      <c r="B4046" t="s">
        <v>28</v>
      </c>
      <c r="C4046">
        <v>2022</v>
      </c>
      <c r="D4046" t="s">
        <v>164</v>
      </c>
      <c r="E4046">
        <v>0</v>
      </c>
      <c r="F4046" t="s">
        <v>166</v>
      </c>
    </row>
    <row r="4047" spans="1:6">
      <c r="A4047" t="s">
        <v>52</v>
      </c>
      <c r="B4047" t="s">
        <v>28</v>
      </c>
      <c r="C4047">
        <v>2030</v>
      </c>
      <c r="D4047" t="s">
        <v>164</v>
      </c>
      <c r="E4047">
        <v>0</v>
      </c>
      <c r="F4047" t="s">
        <v>166</v>
      </c>
    </row>
    <row r="4048" spans="1:6">
      <c r="A4048" t="s">
        <v>52</v>
      </c>
      <c r="B4048" t="s">
        <v>28</v>
      </c>
      <c r="C4048">
        <v>2050</v>
      </c>
      <c r="D4048" t="s">
        <v>164</v>
      </c>
      <c r="E4048">
        <v>0</v>
      </c>
      <c r="F4048" t="s">
        <v>166</v>
      </c>
    </row>
    <row r="4049" spans="1:6">
      <c r="A4049" t="s">
        <v>53</v>
      </c>
      <c r="B4049" t="s">
        <v>20</v>
      </c>
      <c r="C4049">
        <v>2022</v>
      </c>
      <c r="D4049" t="s">
        <v>6</v>
      </c>
      <c r="E4049">
        <v>2100.8000000000002</v>
      </c>
      <c r="F4049" t="s">
        <v>7</v>
      </c>
    </row>
    <row r="4050" spans="1:6">
      <c r="A4050" t="s">
        <v>53</v>
      </c>
      <c r="B4050" t="s">
        <v>20</v>
      </c>
      <c r="C4050">
        <v>2022</v>
      </c>
      <c r="D4050" t="s">
        <v>10</v>
      </c>
      <c r="E4050">
        <v>48.2</v>
      </c>
      <c r="F4050" t="s">
        <v>11</v>
      </c>
    </row>
    <row r="4051" spans="1:6">
      <c r="A4051" t="s">
        <v>53</v>
      </c>
      <c r="B4051" t="s">
        <v>20</v>
      </c>
      <c r="C4051">
        <v>2022</v>
      </c>
      <c r="D4051" t="s">
        <v>16</v>
      </c>
      <c r="E4051">
        <v>0.86</v>
      </c>
      <c r="F4051" t="s">
        <v>15</v>
      </c>
    </row>
    <row r="4052" spans="1:6">
      <c r="A4052" t="s">
        <v>53</v>
      </c>
      <c r="B4052" t="s">
        <v>20</v>
      </c>
      <c r="C4052">
        <v>2022</v>
      </c>
      <c r="D4052" t="s">
        <v>164</v>
      </c>
      <c r="E4052">
        <v>0.13900000000000001</v>
      </c>
      <c r="F4052" t="s">
        <v>166</v>
      </c>
    </row>
    <row r="4053" spans="1:6">
      <c r="A4053" t="s">
        <v>53</v>
      </c>
      <c r="B4053" t="s">
        <v>21</v>
      </c>
      <c r="C4053">
        <v>2022</v>
      </c>
      <c r="D4053" t="s">
        <v>6</v>
      </c>
      <c r="E4053">
        <v>2100.8000000000002</v>
      </c>
      <c r="F4053" t="s">
        <v>7</v>
      </c>
    </row>
    <row r="4054" spans="1:6">
      <c r="A4054" t="s">
        <v>53</v>
      </c>
      <c r="B4054" t="s">
        <v>21</v>
      </c>
      <c r="C4054">
        <v>2022</v>
      </c>
      <c r="D4054" t="s">
        <v>10</v>
      </c>
      <c r="E4054">
        <v>48.2</v>
      </c>
      <c r="F4054" t="s">
        <v>11</v>
      </c>
    </row>
    <row r="4055" spans="1:6">
      <c r="A4055" t="s">
        <v>53</v>
      </c>
      <c r="B4055" t="s">
        <v>21</v>
      </c>
      <c r="C4055">
        <v>2022</v>
      </c>
      <c r="D4055" t="s">
        <v>16</v>
      </c>
      <c r="E4055">
        <v>0.86</v>
      </c>
      <c r="F4055" t="s">
        <v>15</v>
      </c>
    </row>
    <row r="4056" spans="1:6">
      <c r="A4056" t="s">
        <v>53</v>
      </c>
      <c r="B4056" t="s">
        <v>21</v>
      </c>
      <c r="C4056">
        <v>2022</v>
      </c>
      <c r="D4056" t="s">
        <v>164</v>
      </c>
      <c r="E4056">
        <v>0.13900000000000001</v>
      </c>
      <c r="F4056" t="s">
        <v>166</v>
      </c>
    </row>
    <row r="4057" spans="1:6">
      <c r="A4057" t="s">
        <v>53</v>
      </c>
      <c r="B4057" t="s">
        <v>22</v>
      </c>
      <c r="C4057">
        <v>2022</v>
      </c>
      <c r="D4057" t="s">
        <v>6</v>
      </c>
      <c r="E4057">
        <v>2100.8000000000002</v>
      </c>
      <c r="F4057" t="s">
        <v>7</v>
      </c>
    </row>
    <row r="4058" spans="1:6">
      <c r="A4058" t="s">
        <v>53</v>
      </c>
      <c r="B4058" t="s">
        <v>22</v>
      </c>
      <c r="C4058">
        <v>2022</v>
      </c>
      <c r="D4058" t="s">
        <v>10</v>
      </c>
      <c r="E4058">
        <v>48.2</v>
      </c>
      <c r="F4058" t="s">
        <v>11</v>
      </c>
    </row>
    <row r="4059" spans="1:6">
      <c r="A4059" t="s">
        <v>53</v>
      </c>
      <c r="B4059" t="s">
        <v>22</v>
      </c>
      <c r="C4059">
        <v>2022</v>
      </c>
      <c r="D4059" t="s">
        <v>16</v>
      </c>
      <c r="E4059">
        <v>0.86</v>
      </c>
      <c r="F4059" t="s">
        <v>15</v>
      </c>
    </row>
    <row r="4060" spans="1:6">
      <c r="A4060" t="s">
        <v>53</v>
      </c>
      <c r="B4060" t="s">
        <v>22</v>
      </c>
      <c r="C4060">
        <v>2022</v>
      </c>
      <c r="D4060" t="s">
        <v>164</v>
      </c>
      <c r="E4060">
        <v>0.13900000000000001</v>
      </c>
      <c r="F4060" t="s">
        <v>166</v>
      </c>
    </row>
    <row r="4061" spans="1:6">
      <c r="A4061" t="s">
        <v>53</v>
      </c>
      <c r="B4061" t="s">
        <v>23</v>
      </c>
      <c r="C4061">
        <v>2022</v>
      </c>
      <c r="D4061" t="s">
        <v>6</v>
      </c>
      <c r="E4061">
        <v>2100.8000000000002</v>
      </c>
      <c r="F4061" t="s">
        <v>7</v>
      </c>
    </row>
    <row r="4062" spans="1:6">
      <c r="A4062" t="s">
        <v>53</v>
      </c>
      <c r="B4062" t="s">
        <v>23</v>
      </c>
      <c r="C4062">
        <v>2022</v>
      </c>
      <c r="D4062" t="s">
        <v>10</v>
      </c>
      <c r="E4062">
        <v>48.2</v>
      </c>
      <c r="F4062" t="s">
        <v>11</v>
      </c>
    </row>
    <row r="4063" spans="1:6">
      <c r="A4063" t="s">
        <v>53</v>
      </c>
      <c r="B4063" t="s">
        <v>23</v>
      </c>
      <c r="C4063">
        <v>2022</v>
      </c>
      <c r="D4063" t="s">
        <v>16</v>
      </c>
      <c r="E4063">
        <v>0.86</v>
      </c>
      <c r="F4063" t="s">
        <v>15</v>
      </c>
    </row>
    <row r="4064" spans="1:6">
      <c r="A4064" t="s">
        <v>53</v>
      </c>
      <c r="B4064" t="s">
        <v>23</v>
      </c>
      <c r="C4064">
        <v>2022</v>
      </c>
      <c r="D4064" t="s">
        <v>164</v>
      </c>
      <c r="E4064">
        <v>0.13900000000000001</v>
      </c>
      <c r="F4064" t="s">
        <v>166</v>
      </c>
    </row>
    <row r="4065" spans="1:6">
      <c r="A4065" t="s">
        <v>53</v>
      </c>
      <c r="B4065" t="s">
        <v>24</v>
      </c>
      <c r="C4065">
        <v>2022</v>
      </c>
      <c r="D4065" t="s">
        <v>6</v>
      </c>
      <c r="E4065">
        <v>2100.8000000000002</v>
      </c>
      <c r="F4065" t="s">
        <v>7</v>
      </c>
    </row>
    <row r="4066" spans="1:6">
      <c r="A4066" t="s">
        <v>53</v>
      </c>
      <c r="B4066" t="s">
        <v>24</v>
      </c>
      <c r="C4066">
        <v>2022</v>
      </c>
      <c r="D4066" t="s">
        <v>10</v>
      </c>
      <c r="E4066">
        <v>48.2</v>
      </c>
      <c r="F4066" t="s">
        <v>11</v>
      </c>
    </row>
    <row r="4067" spans="1:6">
      <c r="A4067" t="s">
        <v>53</v>
      </c>
      <c r="B4067" t="s">
        <v>24</v>
      </c>
      <c r="C4067">
        <v>2022</v>
      </c>
      <c r="D4067" t="s">
        <v>16</v>
      </c>
      <c r="E4067">
        <v>0.86</v>
      </c>
      <c r="F4067" t="s">
        <v>15</v>
      </c>
    </row>
    <row r="4068" spans="1:6">
      <c r="A4068" t="s">
        <v>53</v>
      </c>
      <c r="B4068" t="s">
        <v>24</v>
      </c>
      <c r="C4068">
        <v>2022</v>
      </c>
      <c r="D4068" t="s">
        <v>164</v>
      </c>
      <c r="E4068">
        <v>0.13900000000000001</v>
      </c>
      <c r="F4068" t="s">
        <v>166</v>
      </c>
    </row>
    <row r="4069" spans="1:6">
      <c r="A4069" t="s">
        <v>53</v>
      </c>
      <c r="B4069" t="s">
        <v>25</v>
      </c>
      <c r="C4069">
        <v>2022</v>
      </c>
      <c r="D4069" t="s">
        <v>6</v>
      </c>
      <c r="E4069">
        <v>2100.8000000000002</v>
      </c>
      <c r="F4069" t="s">
        <v>7</v>
      </c>
    </row>
    <row r="4070" spans="1:6">
      <c r="A4070" t="s">
        <v>53</v>
      </c>
      <c r="B4070" t="s">
        <v>25</v>
      </c>
      <c r="C4070">
        <v>2022</v>
      </c>
      <c r="D4070" t="s">
        <v>10</v>
      </c>
      <c r="E4070">
        <v>48.2</v>
      </c>
      <c r="F4070" t="s">
        <v>11</v>
      </c>
    </row>
    <row r="4071" spans="1:6">
      <c r="A4071" t="s">
        <v>53</v>
      </c>
      <c r="B4071" t="s">
        <v>25</v>
      </c>
      <c r="C4071">
        <v>2022</v>
      </c>
      <c r="D4071" t="s">
        <v>16</v>
      </c>
      <c r="E4071">
        <v>0.86</v>
      </c>
      <c r="F4071" t="s">
        <v>15</v>
      </c>
    </row>
    <row r="4072" spans="1:6">
      <c r="A4072" t="s">
        <v>53</v>
      </c>
      <c r="B4072" t="s">
        <v>25</v>
      </c>
      <c r="C4072">
        <v>2022</v>
      </c>
      <c r="D4072" t="s">
        <v>164</v>
      </c>
      <c r="E4072">
        <v>0.13900000000000001</v>
      </c>
      <c r="F4072" t="s">
        <v>166</v>
      </c>
    </row>
    <row r="4073" spans="1:6">
      <c r="A4073" t="s">
        <v>53</v>
      </c>
      <c r="B4073" t="s">
        <v>26</v>
      </c>
      <c r="C4073">
        <v>2022</v>
      </c>
      <c r="D4073" t="s">
        <v>6</v>
      </c>
      <c r="E4073">
        <v>2100.8000000000002</v>
      </c>
      <c r="F4073" t="s">
        <v>7</v>
      </c>
    </row>
    <row r="4074" spans="1:6">
      <c r="A4074" t="s">
        <v>53</v>
      </c>
      <c r="B4074" t="s">
        <v>26</v>
      </c>
      <c r="C4074">
        <v>2022</v>
      </c>
      <c r="D4074" t="s">
        <v>10</v>
      </c>
      <c r="E4074">
        <v>48.2</v>
      </c>
      <c r="F4074" t="s">
        <v>11</v>
      </c>
    </row>
    <row r="4075" spans="1:6">
      <c r="A4075" t="s">
        <v>53</v>
      </c>
      <c r="B4075" t="s">
        <v>26</v>
      </c>
      <c r="C4075">
        <v>2022</v>
      </c>
      <c r="D4075" t="s">
        <v>16</v>
      </c>
      <c r="E4075">
        <v>0.86</v>
      </c>
      <c r="F4075" t="s">
        <v>15</v>
      </c>
    </row>
    <row r="4076" spans="1:6">
      <c r="A4076" t="s">
        <v>53</v>
      </c>
      <c r="B4076" t="s">
        <v>26</v>
      </c>
      <c r="C4076">
        <v>2022</v>
      </c>
      <c r="D4076" t="s">
        <v>164</v>
      </c>
      <c r="E4076">
        <v>0.13900000000000001</v>
      </c>
      <c r="F4076" t="s">
        <v>166</v>
      </c>
    </row>
    <row r="4077" spans="1:6">
      <c r="A4077" t="s">
        <v>53</v>
      </c>
      <c r="B4077" t="s">
        <v>27</v>
      </c>
      <c r="C4077">
        <v>2022</v>
      </c>
      <c r="D4077" t="s">
        <v>6</v>
      </c>
      <c r="E4077">
        <v>2100.8000000000002</v>
      </c>
      <c r="F4077" t="s">
        <v>7</v>
      </c>
    </row>
    <row r="4078" spans="1:6">
      <c r="A4078" t="s">
        <v>53</v>
      </c>
      <c r="B4078" t="s">
        <v>27</v>
      </c>
      <c r="C4078">
        <v>2022</v>
      </c>
      <c r="D4078" t="s">
        <v>10</v>
      </c>
      <c r="E4078">
        <v>48.2</v>
      </c>
      <c r="F4078" t="s">
        <v>11</v>
      </c>
    </row>
    <row r="4079" spans="1:6">
      <c r="A4079" t="s">
        <v>53</v>
      </c>
      <c r="B4079" t="s">
        <v>27</v>
      </c>
      <c r="C4079">
        <v>2022</v>
      </c>
      <c r="D4079" t="s">
        <v>16</v>
      </c>
      <c r="E4079">
        <v>0.86</v>
      </c>
      <c r="F4079" t="s">
        <v>15</v>
      </c>
    </row>
    <row r="4080" spans="1:6">
      <c r="A4080" t="s">
        <v>53</v>
      </c>
      <c r="B4080" t="s">
        <v>27</v>
      </c>
      <c r="C4080">
        <v>2022</v>
      </c>
      <c r="D4080" t="s">
        <v>164</v>
      </c>
      <c r="E4080">
        <v>0.13900000000000001</v>
      </c>
      <c r="F4080" t="s">
        <v>166</v>
      </c>
    </row>
    <row r="4081" spans="1:6">
      <c r="A4081" t="s">
        <v>53</v>
      </c>
      <c r="B4081" t="s">
        <v>28</v>
      </c>
      <c r="C4081">
        <v>2022</v>
      </c>
      <c r="D4081" t="s">
        <v>6</v>
      </c>
      <c r="E4081">
        <v>2100.8000000000002</v>
      </c>
      <c r="F4081" t="s">
        <v>7</v>
      </c>
    </row>
    <row r="4082" spans="1:6">
      <c r="A4082" t="s">
        <v>53</v>
      </c>
      <c r="B4082" t="s">
        <v>28</v>
      </c>
      <c r="C4082">
        <v>2022</v>
      </c>
      <c r="D4082" t="s">
        <v>10</v>
      </c>
      <c r="E4082">
        <v>48.2</v>
      </c>
      <c r="F4082" t="s">
        <v>11</v>
      </c>
    </row>
    <row r="4083" spans="1:6">
      <c r="A4083" t="s">
        <v>53</v>
      </c>
      <c r="B4083" t="s">
        <v>28</v>
      </c>
      <c r="C4083">
        <v>2022</v>
      </c>
      <c r="D4083" t="s">
        <v>16</v>
      </c>
      <c r="E4083">
        <v>0.86</v>
      </c>
      <c r="F4083" t="s">
        <v>15</v>
      </c>
    </row>
    <row r="4084" spans="1:6">
      <c r="A4084" t="s">
        <v>53</v>
      </c>
      <c r="B4084" t="s">
        <v>28</v>
      </c>
      <c r="C4084">
        <v>2022</v>
      </c>
      <c r="D4084" t="s">
        <v>164</v>
      </c>
      <c r="E4084">
        <v>0.13900000000000001</v>
      </c>
      <c r="F4084" t="s">
        <v>166</v>
      </c>
    </row>
    <row r="4085" spans="1:6">
      <c r="A4085" t="s">
        <v>53</v>
      </c>
      <c r="B4085" t="s">
        <v>20</v>
      </c>
      <c r="C4085">
        <v>2022</v>
      </c>
      <c r="D4085" t="s">
        <v>8</v>
      </c>
      <c r="E4085">
        <v>2100.8000000000002</v>
      </c>
      <c r="F4085" t="s">
        <v>7</v>
      </c>
    </row>
    <row r="4086" spans="1:6">
      <c r="A4086" t="s">
        <v>53</v>
      </c>
      <c r="B4086" t="s">
        <v>21</v>
      </c>
      <c r="C4086">
        <v>2022</v>
      </c>
      <c r="D4086" t="s">
        <v>8</v>
      </c>
      <c r="E4086">
        <v>2100.8000000000002</v>
      </c>
      <c r="F4086" t="s">
        <v>7</v>
      </c>
    </row>
    <row r="4087" spans="1:6">
      <c r="A4087" t="s">
        <v>53</v>
      </c>
      <c r="B4087" t="s">
        <v>22</v>
      </c>
      <c r="C4087">
        <v>2022</v>
      </c>
      <c r="D4087" t="s">
        <v>8</v>
      </c>
      <c r="E4087">
        <v>2100.8000000000002</v>
      </c>
      <c r="F4087" t="s">
        <v>7</v>
      </c>
    </row>
    <row r="4088" spans="1:6">
      <c r="A4088" t="s">
        <v>53</v>
      </c>
      <c r="B4088" t="s">
        <v>23</v>
      </c>
      <c r="C4088">
        <v>2022</v>
      </c>
      <c r="D4088" t="s">
        <v>8</v>
      </c>
      <c r="E4088">
        <v>2100.8000000000002</v>
      </c>
      <c r="F4088" t="s">
        <v>7</v>
      </c>
    </row>
    <row r="4089" spans="1:6">
      <c r="A4089" t="s">
        <v>53</v>
      </c>
      <c r="B4089" t="s">
        <v>24</v>
      </c>
      <c r="C4089">
        <v>2022</v>
      </c>
      <c r="D4089" t="s">
        <v>8</v>
      </c>
      <c r="E4089">
        <v>2100.8000000000002</v>
      </c>
      <c r="F4089" t="s">
        <v>7</v>
      </c>
    </row>
    <row r="4090" spans="1:6">
      <c r="A4090" t="s">
        <v>53</v>
      </c>
      <c r="B4090" t="s">
        <v>25</v>
      </c>
      <c r="C4090">
        <v>2022</v>
      </c>
      <c r="D4090" t="s">
        <v>8</v>
      </c>
      <c r="E4090">
        <v>2100.8000000000002</v>
      </c>
      <c r="F4090" t="s">
        <v>7</v>
      </c>
    </row>
    <row r="4091" spans="1:6">
      <c r="A4091" t="s">
        <v>53</v>
      </c>
      <c r="B4091" t="s">
        <v>26</v>
      </c>
      <c r="C4091">
        <v>2022</v>
      </c>
      <c r="D4091" t="s">
        <v>8</v>
      </c>
      <c r="E4091">
        <v>2100.8000000000002</v>
      </c>
      <c r="F4091" t="s">
        <v>7</v>
      </c>
    </row>
    <row r="4092" spans="1:6">
      <c r="A4092" t="s">
        <v>53</v>
      </c>
      <c r="B4092" t="s">
        <v>27</v>
      </c>
      <c r="C4092">
        <v>2022</v>
      </c>
      <c r="D4092" t="s">
        <v>8</v>
      </c>
      <c r="E4092">
        <v>2100.8000000000002</v>
      </c>
      <c r="F4092" t="s">
        <v>7</v>
      </c>
    </row>
    <row r="4093" spans="1:6">
      <c r="A4093" t="s">
        <v>53</v>
      </c>
      <c r="B4093" t="s">
        <v>28</v>
      </c>
      <c r="C4093">
        <v>2022</v>
      </c>
      <c r="D4093" t="s">
        <v>8</v>
      </c>
      <c r="E4093">
        <v>2100.8000000000002</v>
      </c>
      <c r="F4093" t="s">
        <v>7</v>
      </c>
    </row>
    <row r="4094" spans="1:6">
      <c r="A4094" t="s">
        <v>53</v>
      </c>
      <c r="B4094" t="s">
        <v>20</v>
      </c>
      <c r="C4094">
        <v>2022</v>
      </c>
      <c r="D4094" t="s">
        <v>9</v>
      </c>
      <c r="E4094">
        <v>2100.8000000000002</v>
      </c>
      <c r="F4094" t="s">
        <v>7</v>
      </c>
    </row>
    <row r="4095" spans="1:6">
      <c r="A4095" t="s">
        <v>53</v>
      </c>
      <c r="B4095" t="s">
        <v>21</v>
      </c>
      <c r="C4095">
        <v>2022</v>
      </c>
      <c r="D4095" t="s">
        <v>9</v>
      </c>
      <c r="E4095">
        <v>2100.8000000000002</v>
      </c>
      <c r="F4095" t="s">
        <v>7</v>
      </c>
    </row>
    <row r="4096" spans="1:6">
      <c r="A4096" t="s">
        <v>53</v>
      </c>
      <c r="B4096" t="s">
        <v>22</v>
      </c>
      <c r="C4096">
        <v>2022</v>
      </c>
      <c r="D4096" t="s">
        <v>9</v>
      </c>
      <c r="E4096">
        <v>2100.8000000000002</v>
      </c>
      <c r="F4096" t="s">
        <v>7</v>
      </c>
    </row>
    <row r="4097" spans="1:6">
      <c r="A4097" t="s">
        <v>53</v>
      </c>
      <c r="B4097" t="s">
        <v>23</v>
      </c>
      <c r="C4097">
        <v>2022</v>
      </c>
      <c r="D4097" t="s">
        <v>9</v>
      </c>
      <c r="E4097">
        <v>2100.8000000000002</v>
      </c>
      <c r="F4097" t="s">
        <v>7</v>
      </c>
    </row>
    <row r="4098" spans="1:6">
      <c r="A4098" t="s">
        <v>53</v>
      </c>
      <c r="B4098" t="s">
        <v>24</v>
      </c>
      <c r="C4098">
        <v>2022</v>
      </c>
      <c r="D4098" t="s">
        <v>9</v>
      </c>
      <c r="E4098">
        <v>2100.8000000000002</v>
      </c>
      <c r="F4098" t="s">
        <v>7</v>
      </c>
    </row>
    <row r="4099" spans="1:6">
      <c r="A4099" t="s">
        <v>53</v>
      </c>
      <c r="B4099" t="s">
        <v>25</v>
      </c>
      <c r="C4099">
        <v>2022</v>
      </c>
      <c r="D4099" t="s">
        <v>9</v>
      </c>
      <c r="E4099">
        <v>2100.8000000000002</v>
      </c>
      <c r="F4099" t="s">
        <v>7</v>
      </c>
    </row>
    <row r="4100" spans="1:6">
      <c r="A4100" t="s">
        <v>53</v>
      </c>
      <c r="B4100" t="s">
        <v>26</v>
      </c>
      <c r="C4100">
        <v>2022</v>
      </c>
      <c r="D4100" t="s">
        <v>9</v>
      </c>
      <c r="E4100">
        <v>2100.8000000000002</v>
      </c>
      <c r="F4100" t="s">
        <v>7</v>
      </c>
    </row>
    <row r="4101" spans="1:6">
      <c r="A4101" t="s">
        <v>53</v>
      </c>
      <c r="B4101" t="s">
        <v>27</v>
      </c>
      <c r="C4101">
        <v>2022</v>
      </c>
      <c r="D4101" t="s">
        <v>9</v>
      </c>
      <c r="E4101">
        <v>2100.8000000000002</v>
      </c>
      <c r="F4101" t="s">
        <v>7</v>
      </c>
    </row>
    <row r="4102" spans="1:6">
      <c r="A4102" t="s">
        <v>53</v>
      </c>
      <c r="B4102" t="s">
        <v>28</v>
      </c>
      <c r="C4102">
        <v>2022</v>
      </c>
      <c r="D4102" t="s">
        <v>9</v>
      </c>
      <c r="E4102">
        <v>2100.8000000000002</v>
      </c>
      <c r="F4102" t="s">
        <v>7</v>
      </c>
    </row>
    <row r="4103" spans="1:6">
      <c r="A4103" t="s">
        <v>53</v>
      </c>
      <c r="B4103" t="s">
        <v>20</v>
      </c>
      <c r="C4103">
        <v>2025</v>
      </c>
      <c r="D4103" t="s">
        <v>6</v>
      </c>
      <c r="E4103">
        <v>1711.4</v>
      </c>
      <c r="F4103" t="s">
        <v>7</v>
      </c>
    </row>
    <row r="4104" spans="1:6">
      <c r="A4104" t="s">
        <v>53</v>
      </c>
      <c r="B4104" t="s">
        <v>20</v>
      </c>
      <c r="C4104">
        <v>2025</v>
      </c>
      <c r="D4104" t="s">
        <v>10</v>
      </c>
      <c r="E4104">
        <v>38.799999999999997</v>
      </c>
      <c r="F4104" t="s">
        <v>11</v>
      </c>
    </row>
    <row r="4105" spans="1:6">
      <c r="A4105" t="s">
        <v>53</v>
      </c>
      <c r="B4105" t="s">
        <v>20</v>
      </c>
      <c r="C4105">
        <v>2025</v>
      </c>
      <c r="D4105" t="s">
        <v>16</v>
      </c>
      <c r="E4105">
        <v>0.86</v>
      </c>
      <c r="F4105" t="s">
        <v>15</v>
      </c>
    </row>
    <row r="4106" spans="1:6">
      <c r="A4106" t="s">
        <v>53</v>
      </c>
      <c r="B4106" t="s">
        <v>20</v>
      </c>
      <c r="C4106">
        <v>2025</v>
      </c>
      <c r="D4106" t="s">
        <v>164</v>
      </c>
      <c r="E4106">
        <v>0.13900000000000001</v>
      </c>
      <c r="F4106" t="s">
        <v>166</v>
      </c>
    </row>
    <row r="4107" spans="1:6">
      <c r="A4107" t="s">
        <v>53</v>
      </c>
      <c r="B4107" t="s">
        <v>21</v>
      </c>
      <c r="C4107">
        <v>2025</v>
      </c>
      <c r="D4107" t="s">
        <v>6</v>
      </c>
      <c r="E4107">
        <v>1711.4</v>
      </c>
      <c r="F4107" t="s">
        <v>7</v>
      </c>
    </row>
    <row r="4108" spans="1:6">
      <c r="A4108" t="s">
        <v>53</v>
      </c>
      <c r="B4108" t="s">
        <v>21</v>
      </c>
      <c r="C4108">
        <v>2025</v>
      </c>
      <c r="D4108" t="s">
        <v>10</v>
      </c>
      <c r="E4108">
        <v>38.799999999999997</v>
      </c>
      <c r="F4108" t="s">
        <v>11</v>
      </c>
    </row>
    <row r="4109" spans="1:6">
      <c r="A4109" t="s">
        <v>53</v>
      </c>
      <c r="B4109" t="s">
        <v>21</v>
      </c>
      <c r="C4109">
        <v>2025</v>
      </c>
      <c r="D4109" t="s">
        <v>16</v>
      </c>
      <c r="E4109">
        <v>0.86</v>
      </c>
      <c r="F4109" t="s">
        <v>15</v>
      </c>
    </row>
    <row r="4110" spans="1:6">
      <c r="A4110" t="s">
        <v>53</v>
      </c>
      <c r="B4110" t="s">
        <v>21</v>
      </c>
      <c r="C4110">
        <v>2025</v>
      </c>
      <c r="D4110" t="s">
        <v>164</v>
      </c>
      <c r="E4110">
        <v>0.13900000000000001</v>
      </c>
      <c r="F4110" t="s">
        <v>166</v>
      </c>
    </row>
    <row r="4111" spans="1:6">
      <c r="A4111" t="s">
        <v>53</v>
      </c>
      <c r="B4111" t="s">
        <v>22</v>
      </c>
      <c r="C4111">
        <v>2025</v>
      </c>
      <c r="D4111" t="s">
        <v>6</v>
      </c>
      <c r="E4111">
        <v>1711.4</v>
      </c>
      <c r="F4111" t="s">
        <v>7</v>
      </c>
    </row>
    <row r="4112" spans="1:6">
      <c r="A4112" t="s">
        <v>53</v>
      </c>
      <c r="B4112" t="s">
        <v>22</v>
      </c>
      <c r="C4112">
        <v>2025</v>
      </c>
      <c r="D4112" t="s">
        <v>10</v>
      </c>
      <c r="E4112">
        <v>38.799999999999997</v>
      </c>
      <c r="F4112" t="s">
        <v>11</v>
      </c>
    </row>
    <row r="4113" spans="1:6">
      <c r="A4113" t="s">
        <v>53</v>
      </c>
      <c r="B4113" t="s">
        <v>22</v>
      </c>
      <c r="C4113">
        <v>2025</v>
      </c>
      <c r="D4113" t="s">
        <v>16</v>
      </c>
      <c r="E4113">
        <v>0.86</v>
      </c>
      <c r="F4113" t="s">
        <v>15</v>
      </c>
    </row>
    <row r="4114" spans="1:6">
      <c r="A4114" t="s">
        <v>53</v>
      </c>
      <c r="B4114" t="s">
        <v>22</v>
      </c>
      <c r="C4114">
        <v>2025</v>
      </c>
      <c r="D4114" t="s">
        <v>164</v>
      </c>
      <c r="E4114">
        <v>0.13900000000000001</v>
      </c>
      <c r="F4114" t="s">
        <v>166</v>
      </c>
    </row>
    <row r="4115" spans="1:6">
      <c r="A4115" t="s">
        <v>53</v>
      </c>
      <c r="B4115" t="s">
        <v>23</v>
      </c>
      <c r="C4115">
        <v>2025</v>
      </c>
      <c r="D4115" t="s">
        <v>6</v>
      </c>
      <c r="E4115">
        <v>1711.4</v>
      </c>
      <c r="F4115" t="s">
        <v>7</v>
      </c>
    </row>
    <row r="4116" spans="1:6">
      <c r="A4116" t="s">
        <v>53</v>
      </c>
      <c r="B4116" t="s">
        <v>23</v>
      </c>
      <c r="C4116">
        <v>2025</v>
      </c>
      <c r="D4116" t="s">
        <v>10</v>
      </c>
      <c r="E4116">
        <v>38.799999999999997</v>
      </c>
      <c r="F4116" t="s">
        <v>11</v>
      </c>
    </row>
    <row r="4117" spans="1:6">
      <c r="A4117" t="s">
        <v>53</v>
      </c>
      <c r="B4117" t="s">
        <v>23</v>
      </c>
      <c r="C4117">
        <v>2025</v>
      </c>
      <c r="D4117" t="s">
        <v>16</v>
      </c>
      <c r="E4117">
        <v>0.86</v>
      </c>
      <c r="F4117" t="s">
        <v>15</v>
      </c>
    </row>
    <row r="4118" spans="1:6">
      <c r="A4118" t="s">
        <v>53</v>
      </c>
      <c r="B4118" t="s">
        <v>23</v>
      </c>
      <c r="C4118">
        <v>2025</v>
      </c>
      <c r="D4118" t="s">
        <v>164</v>
      </c>
      <c r="E4118">
        <v>0.13900000000000001</v>
      </c>
      <c r="F4118" t="s">
        <v>166</v>
      </c>
    </row>
    <row r="4119" spans="1:6">
      <c r="A4119" t="s">
        <v>53</v>
      </c>
      <c r="B4119" t="s">
        <v>24</v>
      </c>
      <c r="C4119">
        <v>2025</v>
      </c>
      <c r="D4119" t="s">
        <v>6</v>
      </c>
      <c r="E4119">
        <v>1711.4</v>
      </c>
      <c r="F4119" t="s">
        <v>7</v>
      </c>
    </row>
    <row r="4120" spans="1:6">
      <c r="A4120" t="s">
        <v>53</v>
      </c>
      <c r="B4120" t="s">
        <v>24</v>
      </c>
      <c r="C4120">
        <v>2025</v>
      </c>
      <c r="D4120" t="s">
        <v>10</v>
      </c>
      <c r="E4120">
        <v>38.799999999999997</v>
      </c>
      <c r="F4120" t="s">
        <v>11</v>
      </c>
    </row>
    <row r="4121" spans="1:6">
      <c r="A4121" t="s">
        <v>53</v>
      </c>
      <c r="B4121" t="s">
        <v>24</v>
      </c>
      <c r="C4121">
        <v>2025</v>
      </c>
      <c r="D4121" t="s">
        <v>16</v>
      </c>
      <c r="E4121">
        <v>0.86</v>
      </c>
      <c r="F4121" t="s">
        <v>15</v>
      </c>
    </row>
    <row r="4122" spans="1:6">
      <c r="A4122" t="s">
        <v>53</v>
      </c>
      <c r="B4122" t="s">
        <v>24</v>
      </c>
      <c r="C4122">
        <v>2025</v>
      </c>
      <c r="D4122" t="s">
        <v>164</v>
      </c>
      <c r="E4122">
        <v>0.13900000000000001</v>
      </c>
      <c r="F4122" t="s">
        <v>166</v>
      </c>
    </row>
    <row r="4123" spans="1:6">
      <c r="A4123" t="s">
        <v>53</v>
      </c>
      <c r="B4123" t="s">
        <v>25</v>
      </c>
      <c r="C4123">
        <v>2025</v>
      </c>
      <c r="D4123" t="s">
        <v>6</v>
      </c>
      <c r="E4123">
        <v>1711.4</v>
      </c>
      <c r="F4123" t="s">
        <v>7</v>
      </c>
    </row>
    <row r="4124" spans="1:6">
      <c r="A4124" t="s">
        <v>53</v>
      </c>
      <c r="B4124" t="s">
        <v>25</v>
      </c>
      <c r="C4124">
        <v>2025</v>
      </c>
      <c r="D4124" t="s">
        <v>10</v>
      </c>
      <c r="E4124">
        <v>38.799999999999997</v>
      </c>
      <c r="F4124" t="s">
        <v>11</v>
      </c>
    </row>
    <row r="4125" spans="1:6">
      <c r="A4125" t="s">
        <v>53</v>
      </c>
      <c r="B4125" t="s">
        <v>25</v>
      </c>
      <c r="C4125">
        <v>2025</v>
      </c>
      <c r="D4125" t="s">
        <v>16</v>
      </c>
      <c r="E4125">
        <v>0.86</v>
      </c>
      <c r="F4125" t="s">
        <v>15</v>
      </c>
    </row>
    <row r="4126" spans="1:6">
      <c r="A4126" t="s">
        <v>53</v>
      </c>
      <c r="B4126" t="s">
        <v>25</v>
      </c>
      <c r="C4126">
        <v>2025</v>
      </c>
      <c r="D4126" t="s">
        <v>164</v>
      </c>
      <c r="E4126">
        <v>0.13900000000000001</v>
      </c>
      <c r="F4126" t="s">
        <v>166</v>
      </c>
    </row>
    <row r="4127" spans="1:6">
      <c r="A4127" t="s">
        <v>53</v>
      </c>
      <c r="B4127" t="s">
        <v>26</v>
      </c>
      <c r="C4127">
        <v>2025</v>
      </c>
      <c r="D4127" t="s">
        <v>6</v>
      </c>
      <c r="E4127">
        <v>1711.4</v>
      </c>
      <c r="F4127" t="s">
        <v>7</v>
      </c>
    </row>
    <row r="4128" spans="1:6">
      <c r="A4128" t="s">
        <v>53</v>
      </c>
      <c r="B4128" t="s">
        <v>26</v>
      </c>
      <c r="C4128">
        <v>2025</v>
      </c>
      <c r="D4128" t="s">
        <v>10</v>
      </c>
      <c r="E4128">
        <v>38.799999999999997</v>
      </c>
      <c r="F4128" t="s">
        <v>11</v>
      </c>
    </row>
    <row r="4129" spans="1:6">
      <c r="A4129" t="s">
        <v>53</v>
      </c>
      <c r="B4129" t="s">
        <v>26</v>
      </c>
      <c r="C4129">
        <v>2025</v>
      </c>
      <c r="D4129" t="s">
        <v>16</v>
      </c>
      <c r="E4129">
        <v>0.86</v>
      </c>
      <c r="F4129" t="s">
        <v>15</v>
      </c>
    </row>
    <row r="4130" spans="1:6">
      <c r="A4130" t="s">
        <v>53</v>
      </c>
      <c r="B4130" t="s">
        <v>26</v>
      </c>
      <c r="C4130">
        <v>2025</v>
      </c>
      <c r="D4130" t="s">
        <v>164</v>
      </c>
      <c r="E4130">
        <v>0.13900000000000001</v>
      </c>
      <c r="F4130" t="s">
        <v>166</v>
      </c>
    </row>
    <row r="4131" spans="1:6">
      <c r="A4131" t="s">
        <v>53</v>
      </c>
      <c r="B4131" t="s">
        <v>27</v>
      </c>
      <c r="C4131">
        <v>2025</v>
      </c>
      <c r="D4131" t="s">
        <v>6</v>
      </c>
      <c r="E4131">
        <v>1711.4</v>
      </c>
      <c r="F4131" t="s">
        <v>7</v>
      </c>
    </row>
    <row r="4132" spans="1:6">
      <c r="A4132" t="s">
        <v>53</v>
      </c>
      <c r="B4132" t="s">
        <v>27</v>
      </c>
      <c r="C4132">
        <v>2025</v>
      </c>
      <c r="D4132" t="s">
        <v>10</v>
      </c>
      <c r="E4132">
        <v>38.799999999999997</v>
      </c>
      <c r="F4132" t="s">
        <v>11</v>
      </c>
    </row>
    <row r="4133" spans="1:6">
      <c r="A4133" t="s">
        <v>53</v>
      </c>
      <c r="B4133" t="s">
        <v>27</v>
      </c>
      <c r="C4133">
        <v>2025</v>
      </c>
      <c r="D4133" t="s">
        <v>16</v>
      </c>
      <c r="E4133">
        <v>0.86</v>
      </c>
      <c r="F4133" t="s">
        <v>15</v>
      </c>
    </row>
    <row r="4134" spans="1:6">
      <c r="A4134" t="s">
        <v>53</v>
      </c>
      <c r="B4134" t="s">
        <v>27</v>
      </c>
      <c r="C4134">
        <v>2025</v>
      </c>
      <c r="D4134" t="s">
        <v>164</v>
      </c>
      <c r="E4134">
        <v>0.13900000000000001</v>
      </c>
      <c r="F4134" t="s">
        <v>166</v>
      </c>
    </row>
    <row r="4135" spans="1:6">
      <c r="A4135" t="s">
        <v>53</v>
      </c>
      <c r="B4135" t="s">
        <v>28</v>
      </c>
      <c r="C4135">
        <v>2025</v>
      </c>
      <c r="D4135" t="s">
        <v>6</v>
      </c>
      <c r="E4135">
        <v>1711.4</v>
      </c>
      <c r="F4135" t="s">
        <v>7</v>
      </c>
    </row>
    <row r="4136" spans="1:6">
      <c r="A4136" t="s">
        <v>53</v>
      </c>
      <c r="B4136" t="s">
        <v>28</v>
      </c>
      <c r="C4136">
        <v>2025</v>
      </c>
      <c r="D4136" t="s">
        <v>10</v>
      </c>
      <c r="E4136">
        <v>38.799999999999997</v>
      </c>
      <c r="F4136" t="s">
        <v>11</v>
      </c>
    </row>
    <row r="4137" spans="1:6">
      <c r="A4137" t="s">
        <v>53</v>
      </c>
      <c r="B4137" t="s">
        <v>28</v>
      </c>
      <c r="C4137">
        <v>2025</v>
      </c>
      <c r="D4137" t="s">
        <v>16</v>
      </c>
      <c r="E4137">
        <v>0.86</v>
      </c>
      <c r="F4137" t="s">
        <v>15</v>
      </c>
    </row>
    <row r="4138" spans="1:6">
      <c r="A4138" t="s">
        <v>53</v>
      </c>
      <c r="B4138" t="s">
        <v>28</v>
      </c>
      <c r="C4138">
        <v>2025</v>
      </c>
      <c r="D4138" t="s">
        <v>164</v>
      </c>
      <c r="E4138">
        <v>0.13900000000000001</v>
      </c>
      <c r="F4138" t="s">
        <v>166</v>
      </c>
    </row>
    <row r="4139" spans="1:6">
      <c r="A4139" t="s">
        <v>53</v>
      </c>
      <c r="B4139" t="s">
        <v>20</v>
      </c>
      <c r="C4139">
        <v>2025</v>
      </c>
      <c r="D4139" t="s">
        <v>8</v>
      </c>
      <c r="E4139">
        <v>2159.9</v>
      </c>
      <c r="F4139" t="s">
        <v>7</v>
      </c>
    </row>
    <row r="4140" spans="1:6">
      <c r="A4140" t="s">
        <v>53</v>
      </c>
      <c r="B4140" t="s">
        <v>20</v>
      </c>
      <c r="C4140">
        <v>2025</v>
      </c>
      <c r="D4140" t="s">
        <v>10</v>
      </c>
      <c r="E4140">
        <v>49.6</v>
      </c>
      <c r="F4140" t="s">
        <v>11</v>
      </c>
    </row>
    <row r="4141" spans="1:6">
      <c r="A4141" t="s">
        <v>53</v>
      </c>
      <c r="B4141" t="s">
        <v>21</v>
      </c>
      <c r="C4141">
        <v>2025</v>
      </c>
      <c r="D4141" t="s">
        <v>8</v>
      </c>
      <c r="E4141">
        <v>2159.9</v>
      </c>
      <c r="F4141" t="s">
        <v>7</v>
      </c>
    </row>
    <row r="4142" spans="1:6">
      <c r="A4142" t="s">
        <v>53</v>
      </c>
      <c r="B4142" t="s">
        <v>21</v>
      </c>
      <c r="C4142">
        <v>2025</v>
      </c>
      <c r="D4142" t="s">
        <v>10</v>
      </c>
      <c r="E4142">
        <v>49.6</v>
      </c>
      <c r="F4142" t="s">
        <v>11</v>
      </c>
    </row>
    <row r="4143" spans="1:6">
      <c r="A4143" t="s">
        <v>53</v>
      </c>
      <c r="B4143" t="s">
        <v>22</v>
      </c>
      <c r="C4143">
        <v>2025</v>
      </c>
      <c r="D4143" t="s">
        <v>8</v>
      </c>
      <c r="E4143">
        <v>2159.9</v>
      </c>
      <c r="F4143" t="s">
        <v>7</v>
      </c>
    </row>
    <row r="4144" spans="1:6">
      <c r="A4144" t="s">
        <v>53</v>
      </c>
      <c r="B4144" t="s">
        <v>22</v>
      </c>
      <c r="C4144">
        <v>2025</v>
      </c>
      <c r="D4144" t="s">
        <v>10</v>
      </c>
      <c r="E4144">
        <v>49.6</v>
      </c>
      <c r="F4144" t="s">
        <v>11</v>
      </c>
    </row>
    <row r="4145" spans="1:6">
      <c r="A4145" t="s">
        <v>53</v>
      </c>
      <c r="B4145" t="s">
        <v>23</v>
      </c>
      <c r="C4145">
        <v>2025</v>
      </c>
      <c r="D4145" t="s">
        <v>8</v>
      </c>
      <c r="E4145">
        <v>2159.9</v>
      </c>
      <c r="F4145" t="s">
        <v>7</v>
      </c>
    </row>
    <row r="4146" spans="1:6">
      <c r="A4146" t="s">
        <v>53</v>
      </c>
      <c r="B4146" t="s">
        <v>23</v>
      </c>
      <c r="C4146">
        <v>2025</v>
      </c>
      <c r="D4146" t="s">
        <v>10</v>
      </c>
      <c r="E4146">
        <v>49.6</v>
      </c>
      <c r="F4146" t="s">
        <v>11</v>
      </c>
    </row>
    <row r="4147" spans="1:6">
      <c r="A4147" t="s">
        <v>53</v>
      </c>
      <c r="B4147" t="s">
        <v>24</v>
      </c>
      <c r="C4147">
        <v>2025</v>
      </c>
      <c r="D4147" t="s">
        <v>8</v>
      </c>
      <c r="E4147">
        <v>2159.9</v>
      </c>
      <c r="F4147" t="s">
        <v>7</v>
      </c>
    </row>
    <row r="4148" spans="1:6">
      <c r="A4148" t="s">
        <v>53</v>
      </c>
      <c r="B4148" t="s">
        <v>24</v>
      </c>
      <c r="C4148">
        <v>2025</v>
      </c>
      <c r="D4148" t="s">
        <v>10</v>
      </c>
      <c r="E4148">
        <v>49.6</v>
      </c>
      <c r="F4148" t="s">
        <v>11</v>
      </c>
    </row>
    <row r="4149" spans="1:6">
      <c r="A4149" t="s">
        <v>53</v>
      </c>
      <c r="B4149" t="s">
        <v>25</v>
      </c>
      <c r="C4149">
        <v>2025</v>
      </c>
      <c r="D4149" t="s">
        <v>8</v>
      </c>
      <c r="E4149">
        <v>2159.9</v>
      </c>
      <c r="F4149" t="s">
        <v>7</v>
      </c>
    </row>
    <row r="4150" spans="1:6">
      <c r="A4150" t="s">
        <v>53</v>
      </c>
      <c r="B4150" t="s">
        <v>25</v>
      </c>
      <c r="C4150">
        <v>2025</v>
      </c>
      <c r="D4150" t="s">
        <v>10</v>
      </c>
      <c r="E4150">
        <v>49.6</v>
      </c>
      <c r="F4150" t="s">
        <v>11</v>
      </c>
    </row>
    <row r="4151" spans="1:6">
      <c r="A4151" t="s">
        <v>53</v>
      </c>
      <c r="B4151" t="s">
        <v>26</v>
      </c>
      <c r="C4151">
        <v>2025</v>
      </c>
      <c r="D4151" t="s">
        <v>8</v>
      </c>
      <c r="E4151">
        <v>2159.9</v>
      </c>
      <c r="F4151" t="s">
        <v>7</v>
      </c>
    </row>
    <row r="4152" spans="1:6">
      <c r="A4152" t="s">
        <v>53</v>
      </c>
      <c r="B4152" t="s">
        <v>26</v>
      </c>
      <c r="C4152">
        <v>2025</v>
      </c>
      <c r="D4152" t="s">
        <v>10</v>
      </c>
      <c r="E4152">
        <v>49.6</v>
      </c>
      <c r="F4152" t="s">
        <v>11</v>
      </c>
    </row>
    <row r="4153" spans="1:6">
      <c r="A4153" t="s">
        <v>53</v>
      </c>
      <c r="B4153" t="s">
        <v>27</v>
      </c>
      <c r="C4153">
        <v>2025</v>
      </c>
      <c r="D4153" t="s">
        <v>8</v>
      </c>
      <c r="E4153">
        <v>2159.9</v>
      </c>
      <c r="F4153" t="s">
        <v>7</v>
      </c>
    </row>
    <row r="4154" spans="1:6">
      <c r="A4154" t="s">
        <v>53</v>
      </c>
      <c r="B4154" t="s">
        <v>27</v>
      </c>
      <c r="C4154">
        <v>2025</v>
      </c>
      <c r="D4154" t="s">
        <v>10</v>
      </c>
      <c r="E4154">
        <v>49.6</v>
      </c>
      <c r="F4154" t="s">
        <v>11</v>
      </c>
    </row>
    <row r="4155" spans="1:6">
      <c r="A4155" t="s">
        <v>53</v>
      </c>
      <c r="B4155" t="s">
        <v>28</v>
      </c>
      <c r="C4155">
        <v>2025</v>
      </c>
      <c r="D4155" t="s">
        <v>8</v>
      </c>
      <c r="E4155">
        <v>2159.9</v>
      </c>
      <c r="F4155" t="s">
        <v>7</v>
      </c>
    </row>
    <row r="4156" spans="1:6">
      <c r="A4156" t="s">
        <v>53</v>
      </c>
      <c r="B4156" t="s">
        <v>28</v>
      </c>
      <c r="C4156">
        <v>2025</v>
      </c>
      <c r="D4156" t="s">
        <v>10</v>
      </c>
      <c r="E4156">
        <v>49.6</v>
      </c>
      <c r="F4156" t="s">
        <v>11</v>
      </c>
    </row>
    <row r="4157" spans="1:6">
      <c r="A4157" t="s">
        <v>53</v>
      </c>
      <c r="B4157" t="s">
        <v>20</v>
      </c>
      <c r="C4157">
        <v>2025</v>
      </c>
      <c r="D4157" t="s">
        <v>9</v>
      </c>
      <c r="E4157">
        <v>1390.7</v>
      </c>
      <c r="F4157" t="s">
        <v>7</v>
      </c>
    </row>
    <row r="4158" spans="1:6">
      <c r="A4158" t="s">
        <v>53</v>
      </c>
      <c r="B4158" t="s">
        <v>20</v>
      </c>
      <c r="C4158">
        <v>2025</v>
      </c>
      <c r="D4158" t="s">
        <v>10</v>
      </c>
      <c r="E4158">
        <v>31</v>
      </c>
      <c r="F4158" t="s">
        <v>11</v>
      </c>
    </row>
    <row r="4159" spans="1:6">
      <c r="A4159" t="s">
        <v>53</v>
      </c>
      <c r="B4159" t="s">
        <v>21</v>
      </c>
      <c r="C4159">
        <v>2025</v>
      </c>
      <c r="D4159" t="s">
        <v>9</v>
      </c>
      <c r="E4159">
        <v>1390.7</v>
      </c>
      <c r="F4159" t="s">
        <v>7</v>
      </c>
    </row>
    <row r="4160" spans="1:6">
      <c r="A4160" t="s">
        <v>53</v>
      </c>
      <c r="B4160" t="s">
        <v>21</v>
      </c>
      <c r="C4160">
        <v>2025</v>
      </c>
      <c r="D4160" t="s">
        <v>10</v>
      </c>
      <c r="E4160">
        <v>31</v>
      </c>
      <c r="F4160" t="s">
        <v>11</v>
      </c>
    </row>
    <row r="4161" spans="1:6">
      <c r="A4161" t="s">
        <v>53</v>
      </c>
      <c r="B4161" t="s">
        <v>22</v>
      </c>
      <c r="C4161">
        <v>2025</v>
      </c>
      <c r="D4161" t="s">
        <v>9</v>
      </c>
      <c r="E4161">
        <v>1390.7</v>
      </c>
      <c r="F4161" t="s">
        <v>7</v>
      </c>
    </row>
    <row r="4162" spans="1:6">
      <c r="A4162" t="s">
        <v>53</v>
      </c>
      <c r="B4162" t="s">
        <v>22</v>
      </c>
      <c r="C4162">
        <v>2025</v>
      </c>
      <c r="D4162" t="s">
        <v>10</v>
      </c>
      <c r="E4162">
        <v>31</v>
      </c>
      <c r="F4162" t="s">
        <v>11</v>
      </c>
    </row>
    <row r="4163" spans="1:6">
      <c r="A4163" t="s">
        <v>53</v>
      </c>
      <c r="B4163" t="s">
        <v>23</v>
      </c>
      <c r="C4163">
        <v>2025</v>
      </c>
      <c r="D4163" t="s">
        <v>9</v>
      </c>
      <c r="E4163">
        <v>1390.7</v>
      </c>
      <c r="F4163" t="s">
        <v>7</v>
      </c>
    </row>
    <row r="4164" spans="1:6">
      <c r="A4164" t="s">
        <v>53</v>
      </c>
      <c r="B4164" t="s">
        <v>23</v>
      </c>
      <c r="C4164">
        <v>2025</v>
      </c>
      <c r="D4164" t="s">
        <v>10</v>
      </c>
      <c r="E4164">
        <v>31</v>
      </c>
      <c r="F4164" t="s">
        <v>11</v>
      </c>
    </row>
    <row r="4165" spans="1:6">
      <c r="A4165" t="s">
        <v>53</v>
      </c>
      <c r="B4165" t="s">
        <v>24</v>
      </c>
      <c r="C4165">
        <v>2025</v>
      </c>
      <c r="D4165" t="s">
        <v>9</v>
      </c>
      <c r="E4165">
        <v>1390.7</v>
      </c>
      <c r="F4165" t="s">
        <v>7</v>
      </c>
    </row>
    <row r="4166" spans="1:6">
      <c r="A4166" t="s">
        <v>53</v>
      </c>
      <c r="B4166" t="s">
        <v>24</v>
      </c>
      <c r="C4166">
        <v>2025</v>
      </c>
      <c r="D4166" t="s">
        <v>10</v>
      </c>
      <c r="E4166">
        <v>31</v>
      </c>
      <c r="F4166" t="s">
        <v>11</v>
      </c>
    </row>
    <row r="4167" spans="1:6">
      <c r="A4167" t="s">
        <v>53</v>
      </c>
      <c r="B4167" t="s">
        <v>25</v>
      </c>
      <c r="C4167">
        <v>2025</v>
      </c>
      <c r="D4167" t="s">
        <v>9</v>
      </c>
      <c r="E4167">
        <v>1390.7</v>
      </c>
      <c r="F4167" t="s">
        <v>7</v>
      </c>
    </row>
    <row r="4168" spans="1:6">
      <c r="A4168" t="s">
        <v>53</v>
      </c>
      <c r="B4168" t="s">
        <v>25</v>
      </c>
      <c r="C4168">
        <v>2025</v>
      </c>
      <c r="D4168" t="s">
        <v>10</v>
      </c>
      <c r="E4168">
        <v>31</v>
      </c>
      <c r="F4168" t="s">
        <v>11</v>
      </c>
    </row>
    <row r="4169" spans="1:6">
      <c r="A4169" t="s">
        <v>53</v>
      </c>
      <c r="B4169" t="s">
        <v>26</v>
      </c>
      <c r="C4169">
        <v>2025</v>
      </c>
      <c r="D4169" t="s">
        <v>9</v>
      </c>
      <c r="E4169">
        <v>1390.7</v>
      </c>
      <c r="F4169" t="s">
        <v>7</v>
      </c>
    </row>
    <row r="4170" spans="1:6">
      <c r="A4170" t="s">
        <v>53</v>
      </c>
      <c r="B4170" t="s">
        <v>26</v>
      </c>
      <c r="C4170">
        <v>2025</v>
      </c>
      <c r="D4170" t="s">
        <v>10</v>
      </c>
      <c r="E4170">
        <v>31</v>
      </c>
      <c r="F4170" t="s">
        <v>11</v>
      </c>
    </row>
    <row r="4171" spans="1:6">
      <c r="A4171" t="s">
        <v>53</v>
      </c>
      <c r="B4171" t="s">
        <v>27</v>
      </c>
      <c r="C4171">
        <v>2025</v>
      </c>
      <c r="D4171" t="s">
        <v>9</v>
      </c>
      <c r="E4171">
        <v>1390.7</v>
      </c>
      <c r="F4171" t="s">
        <v>7</v>
      </c>
    </row>
    <row r="4172" spans="1:6">
      <c r="A4172" t="s">
        <v>53</v>
      </c>
      <c r="B4172" t="s">
        <v>27</v>
      </c>
      <c r="C4172">
        <v>2025</v>
      </c>
      <c r="D4172" t="s">
        <v>10</v>
      </c>
      <c r="E4172">
        <v>31</v>
      </c>
      <c r="F4172" t="s">
        <v>11</v>
      </c>
    </row>
    <row r="4173" spans="1:6">
      <c r="A4173" t="s">
        <v>53</v>
      </c>
      <c r="B4173" t="s">
        <v>28</v>
      </c>
      <c r="C4173">
        <v>2025</v>
      </c>
      <c r="D4173" t="s">
        <v>9</v>
      </c>
      <c r="E4173">
        <v>1390.7</v>
      </c>
      <c r="F4173" t="s">
        <v>7</v>
      </c>
    </row>
    <row r="4174" spans="1:6">
      <c r="A4174" t="s">
        <v>53</v>
      </c>
      <c r="B4174" t="s">
        <v>28</v>
      </c>
      <c r="C4174">
        <v>2025</v>
      </c>
      <c r="D4174" t="s">
        <v>10</v>
      </c>
      <c r="E4174">
        <v>31</v>
      </c>
      <c r="F4174" t="s">
        <v>11</v>
      </c>
    </row>
    <row r="4175" spans="1:6">
      <c r="A4175" t="s">
        <v>53</v>
      </c>
      <c r="B4175" t="s">
        <v>20</v>
      </c>
      <c r="C4175">
        <v>2030</v>
      </c>
      <c r="D4175" t="s">
        <v>6</v>
      </c>
      <c r="E4175">
        <v>1451.3</v>
      </c>
      <c r="F4175" t="s">
        <v>7</v>
      </c>
    </row>
    <row r="4176" spans="1:6">
      <c r="A4176" t="s">
        <v>53</v>
      </c>
      <c r="B4176" t="s">
        <v>20</v>
      </c>
      <c r="C4176">
        <v>2030</v>
      </c>
      <c r="D4176" t="s">
        <v>10</v>
      </c>
      <c r="E4176">
        <v>32.5</v>
      </c>
      <c r="F4176" t="s">
        <v>11</v>
      </c>
    </row>
    <row r="4177" spans="1:6">
      <c r="A4177" t="s">
        <v>53</v>
      </c>
      <c r="B4177" t="s">
        <v>20</v>
      </c>
      <c r="C4177">
        <v>2030</v>
      </c>
      <c r="D4177" t="s">
        <v>16</v>
      </c>
      <c r="E4177">
        <v>0.86</v>
      </c>
      <c r="F4177" t="s">
        <v>15</v>
      </c>
    </row>
    <row r="4178" spans="1:6">
      <c r="A4178" t="s">
        <v>53</v>
      </c>
      <c r="B4178" t="s">
        <v>20</v>
      </c>
      <c r="C4178">
        <v>2030</v>
      </c>
      <c r="D4178" t="s">
        <v>164</v>
      </c>
      <c r="E4178">
        <v>0.13900000000000001</v>
      </c>
      <c r="F4178" t="s">
        <v>166</v>
      </c>
    </row>
    <row r="4179" spans="1:6">
      <c r="A4179" t="s">
        <v>53</v>
      </c>
      <c r="B4179" t="s">
        <v>21</v>
      </c>
      <c r="C4179">
        <v>2030</v>
      </c>
      <c r="D4179" t="s">
        <v>6</v>
      </c>
      <c r="E4179">
        <v>1451.3</v>
      </c>
      <c r="F4179" t="s">
        <v>7</v>
      </c>
    </row>
    <row r="4180" spans="1:6">
      <c r="A4180" t="s">
        <v>53</v>
      </c>
      <c r="B4180" t="s">
        <v>21</v>
      </c>
      <c r="C4180">
        <v>2030</v>
      </c>
      <c r="D4180" t="s">
        <v>10</v>
      </c>
      <c r="E4180">
        <v>32.5</v>
      </c>
      <c r="F4180" t="s">
        <v>11</v>
      </c>
    </row>
    <row r="4181" spans="1:6">
      <c r="A4181" t="s">
        <v>53</v>
      </c>
      <c r="B4181" t="s">
        <v>21</v>
      </c>
      <c r="C4181">
        <v>2030</v>
      </c>
      <c r="D4181" t="s">
        <v>16</v>
      </c>
      <c r="E4181">
        <v>0.86</v>
      </c>
      <c r="F4181" t="s">
        <v>15</v>
      </c>
    </row>
    <row r="4182" spans="1:6">
      <c r="A4182" t="s">
        <v>53</v>
      </c>
      <c r="B4182" t="s">
        <v>21</v>
      </c>
      <c r="C4182">
        <v>2030</v>
      </c>
      <c r="D4182" t="s">
        <v>164</v>
      </c>
      <c r="E4182">
        <v>0.13900000000000001</v>
      </c>
      <c r="F4182" t="s">
        <v>166</v>
      </c>
    </row>
    <row r="4183" spans="1:6">
      <c r="A4183" t="s">
        <v>53</v>
      </c>
      <c r="B4183" t="s">
        <v>22</v>
      </c>
      <c r="C4183">
        <v>2030</v>
      </c>
      <c r="D4183" t="s">
        <v>6</v>
      </c>
      <c r="E4183">
        <v>1451.3</v>
      </c>
      <c r="F4183" t="s">
        <v>7</v>
      </c>
    </row>
    <row r="4184" spans="1:6">
      <c r="A4184" t="s">
        <v>53</v>
      </c>
      <c r="B4184" t="s">
        <v>22</v>
      </c>
      <c r="C4184">
        <v>2030</v>
      </c>
      <c r="D4184" t="s">
        <v>10</v>
      </c>
      <c r="E4184">
        <v>32.5</v>
      </c>
      <c r="F4184" t="s">
        <v>11</v>
      </c>
    </row>
    <row r="4185" spans="1:6">
      <c r="A4185" t="s">
        <v>53</v>
      </c>
      <c r="B4185" t="s">
        <v>22</v>
      </c>
      <c r="C4185">
        <v>2030</v>
      </c>
      <c r="D4185" t="s">
        <v>16</v>
      </c>
      <c r="E4185">
        <v>0.86</v>
      </c>
      <c r="F4185" t="s">
        <v>15</v>
      </c>
    </row>
    <row r="4186" spans="1:6">
      <c r="A4186" t="s">
        <v>53</v>
      </c>
      <c r="B4186" t="s">
        <v>22</v>
      </c>
      <c r="C4186">
        <v>2030</v>
      </c>
      <c r="D4186" t="s">
        <v>164</v>
      </c>
      <c r="E4186">
        <v>0.13900000000000001</v>
      </c>
      <c r="F4186" t="s">
        <v>166</v>
      </c>
    </row>
    <row r="4187" spans="1:6">
      <c r="A4187" t="s">
        <v>53</v>
      </c>
      <c r="B4187" t="s">
        <v>23</v>
      </c>
      <c r="C4187">
        <v>2030</v>
      </c>
      <c r="D4187" t="s">
        <v>6</v>
      </c>
      <c r="E4187">
        <v>1451.3</v>
      </c>
      <c r="F4187" t="s">
        <v>7</v>
      </c>
    </row>
    <row r="4188" spans="1:6">
      <c r="A4188" t="s">
        <v>53</v>
      </c>
      <c r="B4188" t="s">
        <v>23</v>
      </c>
      <c r="C4188">
        <v>2030</v>
      </c>
      <c r="D4188" t="s">
        <v>10</v>
      </c>
      <c r="E4188">
        <v>32.5</v>
      </c>
      <c r="F4188" t="s">
        <v>11</v>
      </c>
    </row>
    <row r="4189" spans="1:6">
      <c r="A4189" t="s">
        <v>53</v>
      </c>
      <c r="B4189" t="s">
        <v>23</v>
      </c>
      <c r="C4189">
        <v>2030</v>
      </c>
      <c r="D4189" t="s">
        <v>16</v>
      </c>
      <c r="E4189">
        <v>0.86</v>
      </c>
      <c r="F4189" t="s">
        <v>15</v>
      </c>
    </row>
    <row r="4190" spans="1:6">
      <c r="A4190" t="s">
        <v>53</v>
      </c>
      <c r="B4190" t="s">
        <v>23</v>
      </c>
      <c r="C4190">
        <v>2030</v>
      </c>
      <c r="D4190" t="s">
        <v>164</v>
      </c>
      <c r="E4190">
        <v>0.13900000000000001</v>
      </c>
      <c r="F4190" t="s">
        <v>166</v>
      </c>
    </row>
    <row r="4191" spans="1:6">
      <c r="A4191" t="s">
        <v>53</v>
      </c>
      <c r="B4191" t="s">
        <v>24</v>
      </c>
      <c r="C4191">
        <v>2030</v>
      </c>
      <c r="D4191" t="s">
        <v>6</v>
      </c>
      <c r="E4191">
        <v>1451.3</v>
      </c>
      <c r="F4191" t="s">
        <v>7</v>
      </c>
    </row>
    <row r="4192" spans="1:6">
      <c r="A4192" t="s">
        <v>53</v>
      </c>
      <c r="B4192" t="s">
        <v>24</v>
      </c>
      <c r="C4192">
        <v>2030</v>
      </c>
      <c r="D4192" t="s">
        <v>10</v>
      </c>
      <c r="E4192">
        <v>32.5</v>
      </c>
      <c r="F4192" t="s">
        <v>11</v>
      </c>
    </row>
    <row r="4193" spans="1:6">
      <c r="A4193" t="s">
        <v>53</v>
      </c>
      <c r="B4193" t="s">
        <v>24</v>
      </c>
      <c r="C4193">
        <v>2030</v>
      </c>
      <c r="D4193" t="s">
        <v>16</v>
      </c>
      <c r="E4193">
        <v>0.86</v>
      </c>
      <c r="F4193" t="s">
        <v>15</v>
      </c>
    </row>
    <row r="4194" spans="1:6">
      <c r="A4194" t="s">
        <v>53</v>
      </c>
      <c r="B4194" t="s">
        <v>24</v>
      </c>
      <c r="C4194">
        <v>2030</v>
      </c>
      <c r="D4194" t="s">
        <v>164</v>
      </c>
      <c r="E4194">
        <v>0.13900000000000001</v>
      </c>
      <c r="F4194" t="s">
        <v>166</v>
      </c>
    </row>
    <row r="4195" spans="1:6">
      <c r="A4195" t="s">
        <v>53</v>
      </c>
      <c r="B4195" t="s">
        <v>25</v>
      </c>
      <c r="C4195">
        <v>2030</v>
      </c>
      <c r="D4195" t="s">
        <v>6</v>
      </c>
      <c r="E4195">
        <v>1451.3</v>
      </c>
      <c r="F4195" t="s">
        <v>7</v>
      </c>
    </row>
    <row r="4196" spans="1:6">
      <c r="A4196" t="s">
        <v>53</v>
      </c>
      <c r="B4196" t="s">
        <v>25</v>
      </c>
      <c r="C4196">
        <v>2030</v>
      </c>
      <c r="D4196" t="s">
        <v>10</v>
      </c>
      <c r="E4196">
        <v>32.5</v>
      </c>
      <c r="F4196" t="s">
        <v>11</v>
      </c>
    </row>
    <row r="4197" spans="1:6">
      <c r="A4197" t="s">
        <v>53</v>
      </c>
      <c r="B4197" t="s">
        <v>25</v>
      </c>
      <c r="C4197">
        <v>2030</v>
      </c>
      <c r="D4197" t="s">
        <v>16</v>
      </c>
      <c r="E4197">
        <v>0.86</v>
      </c>
      <c r="F4197" t="s">
        <v>15</v>
      </c>
    </row>
    <row r="4198" spans="1:6">
      <c r="A4198" t="s">
        <v>53</v>
      </c>
      <c r="B4198" t="s">
        <v>25</v>
      </c>
      <c r="C4198">
        <v>2030</v>
      </c>
      <c r="D4198" t="s">
        <v>164</v>
      </c>
      <c r="E4198">
        <v>0.13900000000000001</v>
      </c>
      <c r="F4198" t="s">
        <v>166</v>
      </c>
    </row>
    <row r="4199" spans="1:6">
      <c r="A4199" t="s">
        <v>53</v>
      </c>
      <c r="B4199" t="s">
        <v>26</v>
      </c>
      <c r="C4199">
        <v>2030</v>
      </c>
      <c r="D4199" t="s">
        <v>6</v>
      </c>
      <c r="E4199">
        <v>1451.3</v>
      </c>
      <c r="F4199" t="s">
        <v>7</v>
      </c>
    </row>
    <row r="4200" spans="1:6">
      <c r="A4200" t="s">
        <v>53</v>
      </c>
      <c r="B4200" t="s">
        <v>26</v>
      </c>
      <c r="C4200">
        <v>2030</v>
      </c>
      <c r="D4200" t="s">
        <v>10</v>
      </c>
      <c r="E4200">
        <v>32.5</v>
      </c>
      <c r="F4200" t="s">
        <v>11</v>
      </c>
    </row>
    <row r="4201" spans="1:6">
      <c r="A4201" t="s">
        <v>53</v>
      </c>
      <c r="B4201" t="s">
        <v>26</v>
      </c>
      <c r="C4201">
        <v>2030</v>
      </c>
      <c r="D4201" t="s">
        <v>16</v>
      </c>
      <c r="E4201">
        <v>0.86</v>
      </c>
      <c r="F4201" t="s">
        <v>15</v>
      </c>
    </row>
    <row r="4202" spans="1:6">
      <c r="A4202" t="s">
        <v>53</v>
      </c>
      <c r="B4202" t="s">
        <v>26</v>
      </c>
      <c r="C4202">
        <v>2030</v>
      </c>
      <c r="D4202" t="s">
        <v>164</v>
      </c>
      <c r="E4202">
        <v>0.13900000000000001</v>
      </c>
      <c r="F4202" t="s">
        <v>166</v>
      </c>
    </row>
    <row r="4203" spans="1:6">
      <c r="A4203" t="s">
        <v>53</v>
      </c>
      <c r="B4203" t="s">
        <v>27</v>
      </c>
      <c r="C4203">
        <v>2030</v>
      </c>
      <c r="D4203" t="s">
        <v>6</v>
      </c>
      <c r="E4203">
        <v>1451.3</v>
      </c>
      <c r="F4203" t="s">
        <v>7</v>
      </c>
    </row>
    <row r="4204" spans="1:6">
      <c r="A4204" t="s">
        <v>53</v>
      </c>
      <c r="B4204" t="s">
        <v>27</v>
      </c>
      <c r="C4204">
        <v>2030</v>
      </c>
      <c r="D4204" t="s">
        <v>10</v>
      </c>
      <c r="E4204">
        <v>32.5</v>
      </c>
      <c r="F4204" t="s">
        <v>11</v>
      </c>
    </row>
    <row r="4205" spans="1:6">
      <c r="A4205" t="s">
        <v>53</v>
      </c>
      <c r="B4205" t="s">
        <v>27</v>
      </c>
      <c r="C4205">
        <v>2030</v>
      </c>
      <c r="D4205" t="s">
        <v>16</v>
      </c>
      <c r="E4205">
        <v>0.86</v>
      </c>
      <c r="F4205" t="s">
        <v>15</v>
      </c>
    </row>
    <row r="4206" spans="1:6">
      <c r="A4206" t="s">
        <v>53</v>
      </c>
      <c r="B4206" t="s">
        <v>27</v>
      </c>
      <c r="C4206">
        <v>2030</v>
      </c>
      <c r="D4206" t="s">
        <v>164</v>
      </c>
      <c r="E4206">
        <v>0.13900000000000001</v>
      </c>
      <c r="F4206" t="s">
        <v>166</v>
      </c>
    </row>
    <row r="4207" spans="1:6">
      <c r="A4207" t="s">
        <v>53</v>
      </c>
      <c r="B4207" t="s">
        <v>28</v>
      </c>
      <c r="C4207">
        <v>2030</v>
      </c>
      <c r="D4207" t="s">
        <v>6</v>
      </c>
      <c r="E4207">
        <v>1451.3</v>
      </c>
      <c r="F4207" t="s">
        <v>7</v>
      </c>
    </row>
    <row r="4208" spans="1:6">
      <c r="A4208" t="s">
        <v>53</v>
      </c>
      <c r="B4208" t="s">
        <v>28</v>
      </c>
      <c r="C4208">
        <v>2030</v>
      </c>
      <c r="D4208" t="s">
        <v>10</v>
      </c>
      <c r="E4208">
        <v>32.5</v>
      </c>
      <c r="F4208" t="s">
        <v>11</v>
      </c>
    </row>
    <row r="4209" spans="1:6">
      <c r="A4209" t="s">
        <v>53</v>
      </c>
      <c r="B4209" t="s">
        <v>28</v>
      </c>
      <c r="C4209">
        <v>2030</v>
      </c>
      <c r="D4209" t="s">
        <v>16</v>
      </c>
      <c r="E4209">
        <v>0.86</v>
      </c>
      <c r="F4209" t="s">
        <v>15</v>
      </c>
    </row>
    <row r="4210" spans="1:6">
      <c r="A4210" t="s">
        <v>53</v>
      </c>
      <c r="B4210" t="s">
        <v>28</v>
      </c>
      <c r="C4210">
        <v>2030</v>
      </c>
      <c r="D4210" t="s">
        <v>164</v>
      </c>
      <c r="E4210">
        <v>0.13900000000000001</v>
      </c>
      <c r="F4210" t="s">
        <v>166</v>
      </c>
    </row>
    <row r="4211" spans="1:6">
      <c r="A4211" t="s">
        <v>53</v>
      </c>
      <c r="B4211" t="s">
        <v>20</v>
      </c>
      <c r="C4211">
        <v>2030</v>
      </c>
      <c r="D4211" t="s">
        <v>8</v>
      </c>
      <c r="E4211">
        <v>1774.9</v>
      </c>
      <c r="F4211" t="s">
        <v>7</v>
      </c>
    </row>
    <row r="4212" spans="1:6">
      <c r="A4212" t="s">
        <v>53</v>
      </c>
      <c r="B4212" t="s">
        <v>20</v>
      </c>
      <c r="C4212">
        <v>2030</v>
      </c>
      <c r="D4212" t="s">
        <v>10</v>
      </c>
      <c r="E4212">
        <v>40.299999999999997</v>
      </c>
      <c r="F4212" t="s">
        <v>11</v>
      </c>
    </row>
    <row r="4213" spans="1:6">
      <c r="A4213" t="s">
        <v>53</v>
      </c>
      <c r="B4213" t="s">
        <v>21</v>
      </c>
      <c r="C4213">
        <v>2030</v>
      </c>
      <c r="D4213" t="s">
        <v>8</v>
      </c>
      <c r="E4213">
        <v>1774.9</v>
      </c>
      <c r="F4213" t="s">
        <v>7</v>
      </c>
    </row>
    <row r="4214" spans="1:6">
      <c r="A4214" t="s">
        <v>53</v>
      </c>
      <c r="B4214" t="s">
        <v>21</v>
      </c>
      <c r="C4214">
        <v>2030</v>
      </c>
      <c r="D4214" t="s">
        <v>10</v>
      </c>
      <c r="E4214">
        <v>40.299999999999997</v>
      </c>
      <c r="F4214" t="s">
        <v>11</v>
      </c>
    </row>
    <row r="4215" spans="1:6">
      <c r="A4215" t="s">
        <v>53</v>
      </c>
      <c r="B4215" t="s">
        <v>22</v>
      </c>
      <c r="C4215">
        <v>2030</v>
      </c>
      <c r="D4215" t="s">
        <v>8</v>
      </c>
      <c r="E4215">
        <v>1774.9</v>
      </c>
      <c r="F4215" t="s">
        <v>7</v>
      </c>
    </row>
    <row r="4216" spans="1:6">
      <c r="A4216" t="s">
        <v>53</v>
      </c>
      <c r="B4216" t="s">
        <v>22</v>
      </c>
      <c r="C4216">
        <v>2030</v>
      </c>
      <c r="D4216" t="s">
        <v>10</v>
      </c>
      <c r="E4216">
        <v>40.299999999999997</v>
      </c>
      <c r="F4216" t="s">
        <v>11</v>
      </c>
    </row>
    <row r="4217" spans="1:6">
      <c r="A4217" t="s">
        <v>53</v>
      </c>
      <c r="B4217" t="s">
        <v>23</v>
      </c>
      <c r="C4217">
        <v>2030</v>
      </c>
      <c r="D4217" t="s">
        <v>8</v>
      </c>
      <c r="E4217">
        <v>1774.9</v>
      </c>
      <c r="F4217" t="s">
        <v>7</v>
      </c>
    </row>
    <row r="4218" spans="1:6">
      <c r="A4218" t="s">
        <v>53</v>
      </c>
      <c r="B4218" t="s">
        <v>23</v>
      </c>
      <c r="C4218">
        <v>2030</v>
      </c>
      <c r="D4218" t="s">
        <v>10</v>
      </c>
      <c r="E4218">
        <v>40.299999999999997</v>
      </c>
      <c r="F4218" t="s">
        <v>11</v>
      </c>
    </row>
    <row r="4219" spans="1:6">
      <c r="A4219" t="s">
        <v>53</v>
      </c>
      <c r="B4219" t="s">
        <v>24</v>
      </c>
      <c r="C4219">
        <v>2030</v>
      </c>
      <c r="D4219" t="s">
        <v>8</v>
      </c>
      <c r="E4219">
        <v>1774.9</v>
      </c>
      <c r="F4219" t="s">
        <v>7</v>
      </c>
    </row>
    <row r="4220" spans="1:6">
      <c r="A4220" t="s">
        <v>53</v>
      </c>
      <c r="B4220" t="s">
        <v>24</v>
      </c>
      <c r="C4220">
        <v>2030</v>
      </c>
      <c r="D4220" t="s">
        <v>10</v>
      </c>
      <c r="E4220">
        <v>40.299999999999997</v>
      </c>
      <c r="F4220" t="s">
        <v>11</v>
      </c>
    </row>
    <row r="4221" spans="1:6">
      <c r="A4221" t="s">
        <v>53</v>
      </c>
      <c r="B4221" t="s">
        <v>25</v>
      </c>
      <c r="C4221">
        <v>2030</v>
      </c>
      <c r="D4221" t="s">
        <v>8</v>
      </c>
      <c r="E4221">
        <v>1774.9</v>
      </c>
      <c r="F4221" t="s">
        <v>7</v>
      </c>
    </row>
    <row r="4222" spans="1:6">
      <c r="A4222" t="s">
        <v>53</v>
      </c>
      <c r="B4222" t="s">
        <v>25</v>
      </c>
      <c r="C4222">
        <v>2030</v>
      </c>
      <c r="D4222" t="s">
        <v>10</v>
      </c>
      <c r="E4222">
        <v>40.299999999999997</v>
      </c>
      <c r="F4222" t="s">
        <v>11</v>
      </c>
    </row>
    <row r="4223" spans="1:6">
      <c r="A4223" t="s">
        <v>53</v>
      </c>
      <c r="B4223" t="s">
        <v>26</v>
      </c>
      <c r="C4223">
        <v>2030</v>
      </c>
      <c r="D4223" t="s">
        <v>8</v>
      </c>
      <c r="E4223">
        <v>1774.9</v>
      </c>
      <c r="F4223" t="s">
        <v>7</v>
      </c>
    </row>
    <row r="4224" spans="1:6">
      <c r="A4224" t="s">
        <v>53</v>
      </c>
      <c r="B4224" t="s">
        <v>26</v>
      </c>
      <c r="C4224">
        <v>2030</v>
      </c>
      <c r="D4224" t="s">
        <v>10</v>
      </c>
      <c r="E4224">
        <v>40.299999999999997</v>
      </c>
      <c r="F4224" t="s">
        <v>11</v>
      </c>
    </row>
    <row r="4225" spans="1:6">
      <c r="A4225" t="s">
        <v>53</v>
      </c>
      <c r="B4225" t="s">
        <v>27</v>
      </c>
      <c r="C4225">
        <v>2030</v>
      </c>
      <c r="D4225" t="s">
        <v>8</v>
      </c>
      <c r="E4225">
        <v>1774.9</v>
      </c>
      <c r="F4225" t="s">
        <v>7</v>
      </c>
    </row>
    <row r="4226" spans="1:6">
      <c r="A4226" t="s">
        <v>53</v>
      </c>
      <c r="B4226" t="s">
        <v>27</v>
      </c>
      <c r="C4226">
        <v>2030</v>
      </c>
      <c r="D4226" t="s">
        <v>10</v>
      </c>
      <c r="E4226">
        <v>40.299999999999997</v>
      </c>
      <c r="F4226" t="s">
        <v>11</v>
      </c>
    </row>
    <row r="4227" spans="1:6">
      <c r="A4227" t="s">
        <v>53</v>
      </c>
      <c r="B4227" t="s">
        <v>28</v>
      </c>
      <c r="C4227">
        <v>2030</v>
      </c>
      <c r="D4227" t="s">
        <v>8</v>
      </c>
      <c r="E4227">
        <v>1774.9</v>
      </c>
      <c r="F4227" t="s">
        <v>7</v>
      </c>
    </row>
    <row r="4228" spans="1:6">
      <c r="A4228" t="s">
        <v>53</v>
      </c>
      <c r="B4228" t="s">
        <v>28</v>
      </c>
      <c r="C4228">
        <v>2030</v>
      </c>
      <c r="D4228" t="s">
        <v>10</v>
      </c>
      <c r="E4228">
        <v>40.299999999999997</v>
      </c>
      <c r="F4228" t="s">
        <v>11</v>
      </c>
    </row>
    <row r="4229" spans="1:6">
      <c r="A4229" t="s">
        <v>53</v>
      </c>
      <c r="B4229" t="s">
        <v>20</v>
      </c>
      <c r="C4229">
        <v>2030</v>
      </c>
      <c r="D4229" t="s">
        <v>9</v>
      </c>
      <c r="E4229">
        <v>1117.5999999999999</v>
      </c>
      <c r="F4229" t="s">
        <v>7</v>
      </c>
    </row>
    <row r="4230" spans="1:6">
      <c r="A4230" t="s">
        <v>53</v>
      </c>
      <c r="B4230" t="s">
        <v>20</v>
      </c>
      <c r="C4230">
        <v>2030</v>
      </c>
      <c r="D4230" t="s">
        <v>10</v>
      </c>
      <c r="E4230">
        <v>24.5</v>
      </c>
      <c r="F4230" t="s">
        <v>11</v>
      </c>
    </row>
    <row r="4231" spans="1:6">
      <c r="A4231" t="s">
        <v>53</v>
      </c>
      <c r="B4231" t="s">
        <v>21</v>
      </c>
      <c r="C4231">
        <v>2030</v>
      </c>
      <c r="D4231" t="s">
        <v>9</v>
      </c>
      <c r="E4231">
        <v>1117.5999999999999</v>
      </c>
      <c r="F4231" t="s">
        <v>7</v>
      </c>
    </row>
    <row r="4232" spans="1:6">
      <c r="A4232" t="s">
        <v>53</v>
      </c>
      <c r="B4232" t="s">
        <v>21</v>
      </c>
      <c r="C4232">
        <v>2030</v>
      </c>
      <c r="D4232" t="s">
        <v>10</v>
      </c>
      <c r="E4232">
        <v>24.5</v>
      </c>
      <c r="F4232" t="s">
        <v>11</v>
      </c>
    </row>
    <row r="4233" spans="1:6">
      <c r="A4233" t="s">
        <v>53</v>
      </c>
      <c r="B4233" t="s">
        <v>22</v>
      </c>
      <c r="C4233">
        <v>2030</v>
      </c>
      <c r="D4233" t="s">
        <v>9</v>
      </c>
      <c r="E4233">
        <v>1117.5999999999999</v>
      </c>
      <c r="F4233" t="s">
        <v>7</v>
      </c>
    </row>
    <row r="4234" spans="1:6">
      <c r="A4234" t="s">
        <v>53</v>
      </c>
      <c r="B4234" t="s">
        <v>22</v>
      </c>
      <c r="C4234">
        <v>2030</v>
      </c>
      <c r="D4234" t="s">
        <v>10</v>
      </c>
      <c r="E4234">
        <v>24.5</v>
      </c>
      <c r="F4234" t="s">
        <v>11</v>
      </c>
    </row>
    <row r="4235" spans="1:6">
      <c r="A4235" t="s">
        <v>53</v>
      </c>
      <c r="B4235" t="s">
        <v>23</v>
      </c>
      <c r="C4235">
        <v>2030</v>
      </c>
      <c r="D4235" t="s">
        <v>9</v>
      </c>
      <c r="E4235">
        <v>1117.5999999999999</v>
      </c>
      <c r="F4235" t="s">
        <v>7</v>
      </c>
    </row>
    <row r="4236" spans="1:6">
      <c r="A4236" t="s">
        <v>53</v>
      </c>
      <c r="B4236" t="s">
        <v>23</v>
      </c>
      <c r="C4236">
        <v>2030</v>
      </c>
      <c r="D4236" t="s">
        <v>10</v>
      </c>
      <c r="E4236">
        <v>24.5</v>
      </c>
      <c r="F4236" t="s">
        <v>11</v>
      </c>
    </row>
    <row r="4237" spans="1:6">
      <c r="A4237" t="s">
        <v>53</v>
      </c>
      <c r="B4237" t="s">
        <v>24</v>
      </c>
      <c r="C4237">
        <v>2030</v>
      </c>
      <c r="D4237" t="s">
        <v>9</v>
      </c>
      <c r="E4237">
        <v>1117.5999999999999</v>
      </c>
      <c r="F4237" t="s">
        <v>7</v>
      </c>
    </row>
    <row r="4238" spans="1:6">
      <c r="A4238" t="s">
        <v>53</v>
      </c>
      <c r="B4238" t="s">
        <v>24</v>
      </c>
      <c r="C4238">
        <v>2030</v>
      </c>
      <c r="D4238" t="s">
        <v>10</v>
      </c>
      <c r="E4238">
        <v>24.5</v>
      </c>
      <c r="F4238" t="s">
        <v>11</v>
      </c>
    </row>
    <row r="4239" spans="1:6">
      <c r="A4239" t="s">
        <v>53</v>
      </c>
      <c r="B4239" t="s">
        <v>25</v>
      </c>
      <c r="C4239">
        <v>2030</v>
      </c>
      <c r="D4239" t="s">
        <v>9</v>
      </c>
      <c r="E4239">
        <v>1117.5999999999999</v>
      </c>
      <c r="F4239" t="s">
        <v>7</v>
      </c>
    </row>
    <row r="4240" spans="1:6">
      <c r="A4240" t="s">
        <v>53</v>
      </c>
      <c r="B4240" t="s">
        <v>25</v>
      </c>
      <c r="C4240">
        <v>2030</v>
      </c>
      <c r="D4240" t="s">
        <v>10</v>
      </c>
      <c r="E4240">
        <v>24.5</v>
      </c>
      <c r="F4240" t="s">
        <v>11</v>
      </c>
    </row>
    <row r="4241" spans="1:6">
      <c r="A4241" t="s">
        <v>53</v>
      </c>
      <c r="B4241" t="s">
        <v>26</v>
      </c>
      <c r="C4241">
        <v>2030</v>
      </c>
      <c r="D4241" t="s">
        <v>9</v>
      </c>
      <c r="E4241">
        <v>1117.5999999999999</v>
      </c>
      <c r="F4241" t="s">
        <v>7</v>
      </c>
    </row>
    <row r="4242" spans="1:6">
      <c r="A4242" t="s">
        <v>53</v>
      </c>
      <c r="B4242" t="s">
        <v>26</v>
      </c>
      <c r="C4242">
        <v>2030</v>
      </c>
      <c r="D4242" t="s">
        <v>10</v>
      </c>
      <c r="E4242">
        <v>24.5</v>
      </c>
      <c r="F4242" t="s">
        <v>11</v>
      </c>
    </row>
    <row r="4243" spans="1:6">
      <c r="A4243" t="s">
        <v>53</v>
      </c>
      <c r="B4243" t="s">
        <v>27</v>
      </c>
      <c r="C4243">
        <v>2030</v>
      </c>
      <c r="D4243" t="s">
        <v>9</v>
      </c>
      <c r="E4243">
        <v>1117.5999999999999</v>
      </c>
      <c r="F4243" t="s">
        <v>7</v>
      </c>
    </row>
    <row r="4244" spans="1:6">
      <c r="A4244" t="s">
        <v>53</v>
      </c>
      <c r="B4244" t="s">
        <v>27</v>
      </c>
      <c r="C4244">
        <v>2030</v>
      </c>
      <c r="D4244" t="s">
        <v>10</v>
      </c>
      <c r="E4244">
        <v>24.5</v>
      </c>
      <c r="F4244" t="s">
        <v>11</v>
      </c>
    </row>
    <row r="4245" spans="1:6">
      <c r="A4245" t="s">
        <v>53</v>
      </c>
      <c r="B4245" t="s">
        <v>28</v>
      </c>
      <c r="C4245">
        <v>2030</v>
      </c>
      <c r="D4245" t="s">
        <v>9</v>
      </c>
      <c r="E4245">
        <v>1117.5999999999999</v>
      </c>
      <c r="F4245" t="s">
        <v>7</v>
      </c>
    </row>
    <row r="4246" spans="1:6">
      <c r="A4246" t="s">
        <v>53</v>
      </c>
      <c r="B4246" t="s">
        <v>28</v>
      </c>
      <c r="C4246">
        <v>2030</v>
      </c>
      <c r="D4246" t="s">
        <v>10</v>
      </c>
      <c r="E4246">
        <v>24.5</v>
      </c>
      <c r="F4246" t="s">
        <v>11</v>
      </c>
    </row>
    <row r="4247" spans="1:6">
      <c r="A4247" t="s">
        <v>53</v>
      </c>
      <c r="B4247" t="s">
        <v>20</v>
      </c>
      <c r="C4247">
        <v>2035</v>
      </c>
      <c r="D4247" t="s">
        <v>6</v>
      </c>
      <c r="E4247">
        <v>1347.4</v>
      </c>
      <c r="F4247" t="s">
        <v>7</v>
      </c>
    </row>
    <row r="4248" spans="1:6">
      <c r="A4248" t="s">
        <v>53</v>
      </c>
      <c r="B4248" t="s">
        <v>20</v>
      </c>
      <c r="C4248">
        <v>2035</v>
      </c>
      <c r="D4248" t="s">
        <v>10</v>
      </c>
      <c r="E4248">
        <v>30</v>
      </c>
      <c r="F4248" t="s">
        <v>11</v>
      </c>
    </row>
    <row r="4249" spans="1:6">
      <c r="A4249" t="s">
        <v>53</v>
      </c>
      <c r="B4249" t="s">
        <v>20</v>
      </c>
      <c r="C4249">
        <v>2035</v>
      </c>
      <c r="D4249" t="s">
        <v>16</v>
      </c>
      <c r="E4249">
        <v>0.86</v>
      </c>
      <c r="F4249" t="s">
        <v>15</v>
      </c>
    </row>
    <row r="4250" spans="1:6">
      <c r="A4250" t="s">
        <v>53</v>
      </c>
      <c r="B4250" t="s">
        <v>20</v>
      </c>
      <c r="C4250">
        <v>2035</v>
      </c>
      <c r="D4250" t="s">
        <v>164</v>
      </c>
      <c r="E4250">
        <v>0.13900000000000001</v>
      </c>
      <c r="F4250" t="s">
        <v>166</v>
      </c>
    </row>
    <row r="4251" spans="1:6">
      <c r="A4251" t="s">
        <v>53</v>
      </c>
      <c r="B4251" t="s">
        <v>21</v>
      </c>
      <c r="C4251">
        <v>2035</v>
      </c>
      <c r="D4251" t="s">
        <v>6</v>
      </c>
      <c r="E4251">
        <v>1347.4</v>
      </c>
      <c r="F4251" t="s">
        <v>7</v>
      </c>
    </row>
    <row r="4252" spans="1:6">
      <c r="A4252" t="s">
        <v>53</v>
      </c>
      <c r="B4252" t="s">
        <v>21</v>
      </c>
      <c r="C4252">
        <v>2035</v>
      </c>
      <c r="D4252" t="s">
        <v>10</v>
      </c>
      <c r="E4252">
        <v>30</v>
      </c>
      <c r="F4252" t="s">
        <v>11</v>
      </c>
    </row>
    <row r="4253" spans="1:6">
      <c r="A4253" t="s">
        <v>53</v>
      </c>
      <c r="B4253" t="s">
        <v>21</v>
      </c>
      <c r="C4253">
        <v>2035</v>
      </c>
      <c r="D4253" t="s">
        <v>16</v>
      </c>
      <c r="E4253">
        <v>0.86</v>
      </c>
      <c r="F4253" t="s">
        <v>15</v>
      </c>
    </row>
    <row r="4254" spans="1:6">
      <c r="A4254" t="s">
        <v>53</v>
      </c>
      <c r="B4254" t="s">
        <v>21</v>
      </c>
      <c r="C4254">
        <v>2035</v>
      </c>
      <c r="D4254" t="s">
        <v>164</v>
      </c>
      <c r="E4254">
        <v>0.13900000000000001</v>
      </c>
      <c r="F4254" t="s">
        <v>166</v>
      </c>
    </row>
    <row r="4255" spans="1:6">
      <c r="A4255" t="s">
        <v>53</v>
      </c>
      <c r="B4255" t="s">
        <v>22</v>
      </c>
      <c r="C4255">
        <v>2035</v>
      </c>
      <c r="D4255" t="s">
        <v>6</v>
      </c>
      <c r="E4255">
        <v>1347.4</v>
      </c>
      <c r="F4255" t="s">
        <v>7</v>
      </c>
    </row>
    <row r="4256" spans="1:6">
      <c r="A4256" t="s">
        <v>53</v>
      </c>
      <c r="B4256" t="s">
        <v>22</v>
      </c>
      <c r="C4256">
        <v>2035</v>
      </c>
      <c r="D4256" t="s">
        <v>10</v>
      </c>
      <c r="E4256">
        <v>30</v>
      </c>
      <c r="F4256" t="s">
        <v>11</v>
      </c>
    </row>
    <row r="4257" spans="1:6">
      <c r="A4257" t="s">
        <v>53</v>
      </c>
      <c r="B4257" t="s">
        <v>22</v>
      </c>
      <c r="C4257">
        <v>2035</v>
      </c>
      <c r="D4257" t="s">
        <v>16</v>
      </c>
      <c r="E4257">
        <v>0.86</v>
      </c>
      <c r="F4257" t="s">
        <v>15</v>
      </c>
    </row>
    <row r="4258" spans="1:6">
      <c r="A4258" t="s">
        <v>53</v>
      </c>
      <c r="B4258" t="s">
        <v>22</v>
      </c>
      <c r="C4258">
        <v>2035</v>
      </c>
      <c r="D4258" t="s">
        <v>164</v>
      </c>
      <c r="E4258">
        <v>0.13900000000000001</v>
      </c>
      <c r="F4258" t="s">
        <v>166</v>
      </c>
    </row>
    <row r="4259" spans="1:6">
      <c r="A4259" t="s">
        <v>53</v>
      </c>
      <c r="B4259" t="s">
        <v>23</v>
      </c>
      <c r="C4259">
        <v>2035</v>
      </c>
      <c r="D4259" t="s">
        <v>6</v>
      </c>
      <c r="E4259">
        <v>1347.4</v>
      </c>
      <c r="F4259" t="s">
        <v>7</v>
      </c>
    </row>
    <row r="4260" spans="1:6">
      <c r="A4260" t="s">
        <v>53</v>
      </c>
      <c r="B4260" t="s">
        <v>23</v>
      </c>
      <c r="C4260">
        <v>2035</v>
      </c>
      <c r="D4260" t="s">
        <v>10</v>
      </c>
      <c r="E4260">
        <v>30</v>
      </c>
      <c r="F4260" t="s">
        <v>11</v>
      </c>
    </row>
    <row r="4261" spans="1:6">
      <c r="A4261" t="s">
        <v>53</v>
      </c>
      <c r="B4261" t="s">
        <v>23</v>
      </c>
      <c r="C4261">
        <v>2035</v>
      </c>
      <c r="D4261" t="s">
        <v>16</v>
      </c>
      <c r="E4261">
        <v>0.86</v>
      </c>
      <c r="F4261" t="s">
        <v>15</v>
      </c>
    </row>
    <row r="4262" spans="1:6">
      <c r="A4262" t="s">
        <v>53</v>
      </c>
      <c r="B4262" t="s">
        <v>23</v>
      </c>
      <c r="C4262">
        <v>2035</v>
      </c>
      <c r="D4262" t="s">
        <v>164</v>
      </c>
      <c r="E4262">
        <v>0.13900000000000001</v>
      </c>
      <c r="F4262" t="s">
        <v>166</v>
      </c>
    </row>
    <row r="4263" spans="1:6">
      <c r="A4263" t="s">
        <v>53</v>
      </c>
      <c r="B4263" t="s">
        <v>24</v>
      </c>
      <c r="C4263">
        <v>2035</v>
      </c>
      <c r="D4263" t="s">
        <v>6</v>
      </c>
      <c r="E4263">
        <v>1347.4</v>
      </c>
      <c r="F4263" t="s">
        <v>7</v>
      </c>
    </row>
    <row r="4264" spans="1:6">
      <c r="A4264" t="s">
        <v>53</v>
      </c>
      <c r="B4264" t="s">
        <v>24</v>
      </c>
      <c r="C4264">
        <v>2035</v>
      </c>
      <c r="D4264" t="s">
        <v>10</v>
      </c>
      <c r="E4264">
        <v>30</v>
      </c>
      <c r="F4264" t="s">
        <v>11</v>
      </c>
    </row>
    <row r="4265" spans="1:6">
      <c r="A4265" t="s">
        <v>53</v>
      </c>
      <c r="B4265" t="s">
        <v>24</v>
      </c>
      <c r="C4265">
        <v>2035</v>
      </c>
      <c r="D4265" t="s">
        <v>16</v>
      </c>
      <c r="E4265">
        <v>0.86</v>
      </c>
      <c r="F4265" t="s">
        <v>15</v>
      </c>
    </row>
    <row r="4266" spans="1:6">
      <c r="A4266" t="s">
        <v>53</v>
      </c>
      <c r="B4266" t="s">
        <v>24</v>
      </c>
      <c r="C4266">
        <v>2035</v>
      </c>
      <c r="D4266" t="s">
        <v>164</v>
      </c>
      <c r="E4266">
        <v>0.13900000000000001</v>
      </c>
      <c r="F4266" t="s">
        <v>166</v>
      </c>
    </row>
    <row r="4267" spans="1:6">
      <c r="A4267" t="s">
        <v>53</v>
      </c>
      <c r="B4267" t="s">
        <v>25</v>
      </c>
      <c r="C4267">
        <v>2035</v>
      </c>
      <c r="D4267" t="s">
        <v>6</v>
      </c>
      <c r="E4267">
        <v>1347.4</v>
      </c>
      <c r="F4267" t="s">
        <v>7</v>
      </c>
    </row>
    <row r="4268" spans="1:6">
      <c r="A4268" t="s">
        <v>53</v>
      </c>
      <c r="B4268" t="s">
        <v>25</v>
      </c>
      <c r="C4268">
        <v>2035</v>
      </c>
      <c r="D4268" t="s">
        <v>10</v>
      </c>
      <c r="E4268">
        <v>30</v>
      </c>
      <c r="F4268" t="s">
        <v>11</v>
      </c>
    </row>
    <row r="4269" spans="1:6">
      <c r="A4269" t="s">
        <v>53</v>
      </c>
      <c r="B4269" t="s">
        <v>25</v>
      </c>
      <c r="C4269">
        <v>2035</v>
      </c>
      <c r="D4269" t="s">
        <v>16</v>
      </c>
      <c r="E4269">
        <v>0.86</v>
      </c>
      <c r="F4269" t="s">
        <v>15</v>
      </c>
    </row>
    <row r="4270" spans="1:6">
      <c r="A4270" t="s">
        <v>53</v>
      </c>
      <c r="B4270" t="s">
        <v>25</v>
      </c>
      <c r="C4270">
        <v>2035</v>
      </c>
      <c r="D4270" t="s">
        <v>164</v>
      </c>
      <c r="E4270">
        <v>0.13900000000000001</v>
      </c>
      <c r="F4270" t="s">
        <v>166</v>
      </c>
    </row>
    <row r="4271" spans="1:6">
      <c r="A4271" t="s">
        <v>53</v>
      </c>
      <c r="B4271" t="s">
        <v>26</v>
      </c>
      <c r="C4271">
        <v>2035</v>
      </c>
      <c r="D4271" t="s">
        <v>6</v>
      </c>
      <c r="E4271">
        <v>1347.4</v>
      </c>
      <c r="F4271" t="s">
        <v>7</v>
      </c>
    </row>
    <row r="4272" spans="1:6">
      <c r="A4272" t="s">
        <v>53</v>
      </c>
      <c r="B4272" t="s">
        <v>26</v>
      </c>
      <c r="C4272">
        <v>2035</v>
      </c>
      <c r="D4272" t="s">
        <v>10</v>
      </c>
      <c r="E4272">
        <v>30</v>
      </c>
      <c r="F4272" t="s">
        <v>11</v>
      </c>
    </row>
    <row r="4273" spans="1:6">
      <c r="A4273" t="s">
        <v>53</v>
      </c>
      <c r="B4273" t="s">
        <v>26</v>
      </c>
      <c r="C4273">
        <v>2035</v>
      </c>
      <c r="D4273" t="s">
        <v>16</v>
      </c>
      <c r="E4273">
        <v>0.86</v>
      </c>
      <c r="F4273" t="s">
        <v>15</v>
      </c>
    </row>
    <row r="4274" spans="1:6">
      <c r="A4274" t="s">
        <v>53</v>
      </c>
      <c r="B4274" t="s">
        <v>26</v>
      </c>
      <c r="C4274">
        <v>2035</v>
      </c>
      <c r="D4274" t="s">
        <v>164</v>
      </c>
      <c r="E4274">
        <v>0.13900000000000001</v>
      </c>
      <c r="F4274" t="s">
        <v>166</v>
      </c>
    </row>
    <row r="4275" spans="1:6">
      <c r="A4275" t="s">
        <v>53</v>
      </c>
      <c r="B4275" t="s">
        <v>27</v>
      </c>
      <c r="C4275">
        <v>2035</v>
      </c>
      <c r="D4275" t="s">
        <v>6</v>
      </c>
      <c r="E4275">
        <v>1347.4</v>
      </c>
      <c r="F4275" t="s">
        <v>7</v>
      </c>
    </row>
    <row r="4276" spans="1:6">
      <c r="A4276" t="s">
        <v>53</v>
      </c>
      <c r="B4276" t="s">
        <v>27</v>
      </c>
      <c r="C4276">
        <v>2035</v>
      </c>
      <c r="D4276" t="s">
        <v>10</v>
      </c>
      <c r="E4276">
        <v>30</v>
      </c>
      <c r="F4276" t="s">
        <v>11</v>
      </c>
    </row>
    <row r="4277" spans="1:6">
      <c r="A4277" t="s">
        <v>53</v>
      </c>
      <c r="B4277" t="s">
        <v>27</v>
      </c>
      <c r="C4277">
        <v>2035</v>
      </c>
      <c r="D4277" t="s">
        <v>16</v>
      </c>
      <c r="E4277">
        <v>0.86</v>
      </c>
      <c r="F4277" t="s">
        <v>15</v>
      </c>
    </row>
    <row r="4278" spans="1:6">
      <c r="A4278" t="s">
        <v>53</v>
      </c>
      <c r="B4278" t="s">
        <v>27</v>
      </c>
      <c r="C4278">
        <v>2035</v>
      </c>
      <c r="D4278" t="s">
        <v>164</v>
      </c>
      <c r="E4278">
        <v>0.13900000000000001</v>
      </c>
      <c r="F4278" t="s">
        <v>166</v>
      </c>
    </row>
    <row r="4279" spans="1:6">
      <c r="A4279" t="s">
        <v>53</v>
      </c>
      <c r="B4279" t="s">
        <v>28</v>
      </c>
      <c r="C4279">
        <v>2035</v>
      </c>
      <c r="D4279" t="s">
        <v>6</v>
      </c>
      <c r="E4279">
        <v>1347.4</v>
      </c>
      <c r="F4279" t="s">
        <v>7</v>
      </c>
    </row>
    <row r="4280" spans="1:6">
      <c r="A4280" t="s">
        <v>53</v>
      </c>
      <c r="B4280" t="s">
        <v>28</v>
      </c>
      <c r="C4280">
        <v>2035</v>
      </c>
      <c r="D4280" t="s">
        <v>10</v>
      </c>
      <c r="E4280">
        <v>30</v>
      </c>
      <c r="F4280" t="s">
        <v>11</v>
      </c>
    </row>
    <row r="4281" spans="1:6">
      <c r="A4281" t="s">
        <v>53</v>
      </c>
      <c r="B4281" t="s">
        <v>28</v>
      </c>
      <c r="C4281">
        <v>2035</v>
      </c>
      <c r="D4281" t="s">
        <v>16</v>
      </c>
      <c r="E4281">
        <v>0.86</v>
      </c>
      <c r="F4281" t="s">
        <v>15</v>
      </c>
    </row>
    <row r="4282" spans="1:6">
      <c r="A4282" t="s">
        <v>53</v>
      </c>
      <c r="B4282" t="s">
        <v>28</v>
      </c>
      <c r="C4282">
        <v>2035</v>
      </c>
      <c r="D4282" t="s">
        <v>164</v>
      </c>
      <c r="E4282">
        <v>0.13900000000000001</v>
      </c>
      <c r="F4282" t="s">
        <v>166</v>
      </c>
    </row>
    <row r="4283" spans="1:6">
      <c r="A4283" t="s">
        <v>53</v>
      </c>
      <c r="B4283" t="s">
        <v>20</v>
      </c>
      <c r="C4283">
        <v>2035</v>
      </c>
      <c r="D4283" t="s">
        <v>8</v>
      </c>
      <c r="E4283">
        <v>1717.7</v>
      </c>
      <c r="F4283" t="s">
        <v>7</v>
      </c>
    </row>
    <row r="4284" spans="1:6">
      <c r="A4284" t="s">
        <v>53</v>
      </c>
      <c r="B4284" t="s">
        <v>20</v>
      </c>
      <c r="C4284">
        <v>2035</v>
      </c>
      <c r="D4284" t="s">
        <v>10</v>
      </c>
      <c r="E4284">
        <v>38.9</v>
      </c>
      <c r="F4284" t="s">
        <v>11</v>
      </c>
    </row>
    <row r="4285" spans="1:6">
      <c r="A4285" t="s">
        <v>53</v>
      </c>
      <c r="B4285" t="s">
        <v>21</v>
      </c>
      <c r="C4285">
        <v>2035</v>
      </c>
      <c r="D4285" t="s">
        <v>8</v>
      </c>
      <c r="E4285">
        <v>1717.7</v>
      </c>
      <c r="F4285" t="s">
        <v>7</v>
      </c>
    </row>
    <row r="4286" spans="1:6">
      <c r="A4286" t="s">
        <v>53</v>
      </c>
      <c r="B4286" t="s">
        <v>21</v>
      </c>
      <c r="C4286">
        <v>2035</v>
      </c>
      <c r="D4286" t="s">
        <v>10</v>
      </c>
      <c r="E4286">
        <v>38.9</v>
      </c>
      <c r="F4286" t="s">
        <v>11</v>
      </c>
    </row>
    <row r="4287" spans="1:6">
      <c r="A4287" t="s">
        <v>53</v>
      </c>
      <c r="B4287" t="s">
        <v>22</v>
      </c>
      <c r="C4287">
        <v>2035</v>
      </c>
      <c r="D4287" t="s">
        <v>8</v>
      </c>
      <c r="E4287">
        <v>1717.7</v>
      </c>
      <c r="F4287" t="s">
        <v>7</v>
      </c>
    </row>
    <row r="4288" spans="1:6">
      <c r="A4288" t="s">
        <v>53</v>
      </c>
      <c r="B4288" t="s">
        <v>22</v>
      </c>
      <c r="C4288">
        <v>2035</v>
      </c>
      <c r="D4288" t="s">
        <v>10</v>
      </c>
      <c r="E4288">
        <v>38.9</v>
      </c>
      <c r="F4288" t="s">
        <v>11</v>
      </c>
    </row>
    <row r="4289" spans="1:6">
      <c r="A4289" t="s">
        <v>53</v>
      </c>
      <c r="B4289" t="s">
        <v>23</v>
      </c>
      <c r="C4289">
        <v>2035</v>
      </c>
      <c r="D4289" t="s">
        <v>8</v>
      </c>
      <c r="E4289">
        <v>1717.7</v>
      </c>
      <c r="F4289" t="s">
        <v>7</v>
      </c>
    </row>
    <row r="4290" spans="1:6">
      <c r="A4290" t="s">
        <v>53</v>
      </c>
      <c r="B4290" t="s">
        <v>23</v>
      </c>
      <c r="C4290">
        <v>2035</v>
      </c>
      <c r="D4290" t="s">
        <v>10</v>
      </c>
      <c r="E4290">
        <v>38.9</v>
      </c>
      <c r="F4290" t="s">
        <v>11</v>
      </c>
    </row>
    <row r="4291" spans="1:6">
      <c r="A4291" t="s">
        <v>53</v>
      </c>
      <c r="B4291" t="s">
        <v>24</v>
      </c>
      <c r="C4291">
        <v>2035</v>
      </c>
      <c r="D4291" t="s">
        <v>8</v>
      </c>
      <c r="E4291">
        <v>1717.7</v>
      </c>
      <c r="F4291" t="s">
        <v>7</v>
      </c>
    </row>
    <row r="4292" spans="1:6">
      <c r="A4292" t="s">
        <v>53</v>
      </c>
      <c r="B4292" t="s">
        <v>24</v>
      </c>
      <c r="C4292">
        <v>2035</v>
      </c>
      <c r="D4292" t="s">
        <v>10</v>
      </c>
      <c r="E4292">
        <v>38.9</v>
      </c>
      <c r="F4292" t="s">
        <v>11</v>
      </c>
    </row>
    <row r="4293" spans="1:6">
      <c r="A4293" t="s">
        <v>53</v>
      </c>
      <c r="B4293" t="s">
        <v>25</v>
      </c>
      <c r="C4293">
        <v>2035</v>
      </c>
      <c r="D4293" t="s">
        <v>8</v>
      </c>
      <c r="E4293">
        <v>1717.7</v>
      </c>
      <c r="F4293" t="s">
        <v>7</v>
      </c>
    </row>
    <row r="4294" spans="1:6">
      <c r="A4294" t="s">
        <v>53</v>
      </c>
      <c r="B4294" t="s">
        <v>25</v>
      </c>
      <c r="C4294">
        <v>2035</v>
      </c>
      <c r="D4294" t="s">
        <v>10</v>
      </c>
      <c r="E4294">
        <v>38.9</v>
      </c>
      <c r="F4294" t="s">
        <v>11</v>
      </c>
    </row>
    <row r="4295" spans="1:6">
      <c r="A4295" t="s">
        <v>53</v>
      </c>
      <c r="B4295" t="s">
        <v>26</v>
      </c>
      <c r="C4295">
        <v>2035</v>
      </c>
      <c r="D4295" t="s">
        <v>8</v>
      </c>
      <c r="E4295">
        <v>1717.7</v>
      </c>
      <c r="F4295" t="s">
        <v>7</v>
      </c>
    </row>
    <row r="4296" spans="1:6">
      <c r="A4296" t="s">
        <v>53</v>
      </c>
      <c r="B4296" t="s">
        <v>26</v>
      </c>
      <c r="C4296">
        <v>2035</v>
      </c>
      <c r="D4296" t="s">
        <v>10</v>
      </c>
      <c r="E4296">
        <v>38.9</v>
      </c>
      <c r="F4296" t="s">
        <v>11</v>
      </c>
    </row>
    <row r="4297" spans="1:6">
      <c r="A4297" t="s">
        <v>53</v>
      </c>
      <c r="B4297" t="s">
        <v>27</v>
      </c>
      <c r="C4297">
        <v>2035</v>
      </c>
      <c r="D4297" t="s">
        <v>8</v>
      </c>
      <c r="E4297">
        <v>1717.7</v>
      </c>
      <c r="F4297" t="s">
        <v>7</v>
      </c>
    </row>
    <row r="4298" spans="1:6">
      <c r="A4298" t="s">
        <v>53</v>
      </c>
      <c r="B4298" t="s">
        <v>27</v>
      </c>
      <c r="C4298">
        <v>2035</v>
      </c>
      <c r="D4298" t="s">
        <v>10</v>
      </c>
      <c r="E4298">
        <v>38.9</v>
      </c>
      <c r="F4298" t="s">
        <v>11</v>
      </c>
    </row>
    <row r="4299" spans="1:6">
      <c r="A4299" t="s">
        <v>53</v>
      </c>
      <c r="B4299" t="s">
        <v>28</v>
      </c>
      <c r="C4299">
        <v>2035</v>
      </c>
      <c r="D4299" t="s">
        <v>8</v>
      </c>
      <c r="E4299">
        <v>1717.7</v>
      </c>
      <c r="F4299" t="s">
        <v>7</v>
      </c>
    </row>
    <row r="4300" spans="1:6">
      <c r="A4300" t="s">
        <v>53</v>
      </c>
      <c r="B4300" t="s">
        <v>28</v>
      </c>
      <c r="C4300">
        <v>2035</v>
      </c>
      <c r="D4300" t="s">
        <v>10</v>
      </c>
      <c r="E4300">
        <v>38.9</v>
      </c>
      <c r="F4300" t="s">
        <v>11</v>
      </c>
    </row>
    <row r="4301" spans="1:6">
      <c r="A4301" t="s">
        <v>53</v>
      </c>
      <c r="B4301" t="s">
        <v>20</v>
      </c>
      <c r="C4301">
        <v>2035</v>
      </c>
      <c r="D4301" t="s">
        <v>9</v>
      </c>
      <c r="E4301">
        <v>1028.7</v>
      </c>
      <c r="F4301" t="s">
        <v>7</v>
      </c>
    </row>
    <row r="4302" spans="1:6">
      <c r="A4302" t="s">
        <v>53</v>
      </c>
      <c r="B4302" t="s">
        <v>20</v>
      </c>
      <c r="C4302">
        <v>2035</v>
      </c>
      <c r="D4302" t="s">
        <v>10</v>
      </c>
      <c r="E4302">
        <v>22.3</v>
      </c>
      <c r="F4302" t="s">
        <v>11</v>
      </c>
    </row>
    <row r="4303" spans="1:6">
      <c r="A4303" t="s">
        <v>53</v>
      </c>
      <c r="B4303" t="s">
        <v>21</v>
      </c>
      <c r="C4303">
        <v>2035</v>
      </c>
      <c r="D4303" t="s">
        <v>9</v>
      </c>
      <c r="E4303">
        <v>1028.7</v>
      </c>
      <c r="F4303" t="s">
        <v>7</v>
      </c>
    </row>
    <row r="4304" spans="1:6">
      <c r="A4304" t="s">
        <v>53</v>
      </c>
      <c r="B4304" t="s">
        <v>21</v>
      </c>
      <c r="C4304">
        <v>2035</v>
      </c>
      <c r="D4304" t="s">
        <v>10</v>
      </c>
      <c r="E4304">
        <v>22.3</v>
      </c>
      <c r="F4304" t="s">
        <v>11</v>
      </c>
    </row>
    <row r="4305" spans="1:6">
      <c r="A4305" t="s">
        <v>53</v>
      </c>
      <c r="B4305" t="s">
        <v>22</v>
      </c>
      <c r="C4305">
        <v>2035</v>
      </c>
      <c r="D4305" t="s">
        <v>9</v>
      </c>
      <c r="E4305">
        <v>1028.7</v>
      </c>
      <c r="F4305" t="s">
        <v>7</v>
      </c>
    </row>
    <row r="4306" spans="1:6">
      <c r="A4306" t="s">
        <v>53</v>
      </c>
      <c r="B4306" t="s">
        <v>22</v>
      </c>
      <c r="C4306">
        <v>2035</v>
      </c>
      <c r="D4306" t="s">
        <v>10</v>
      </c>
      <c r="E4306">
        <v>22.3</v>
      </c>
      <c r="F4306" t="s">
        <v>11</v>
      </c>
    </row>
    <row r="4307" spans="1:6">
      <c r="A4307" t="s">
        <v>53</v>
      </c>
      <c r="B4307" t="s">
        <v>23</v>
      </c>
      <c r="C4307">
        <v>2035</v>
      </c>
      <c r="D4307" t="s">
        <v>9</v>
      </c>
      <c r="E4307">
        <v>1028.7</v>
      </c>
      <c r="F4307" t="s">
        <v>7</v>
      </c>
    </row>
    <row r="4308" spans="1:6">
      <c r="A4308" t="s">
        <v>53</v>
      </c>
      <c r="B4308" t="s">
        <v>23</v>
      </c>
      <c r="C4308">
        <v>2035</v>
      </c>
      <c r="D4308" t="s">
        <v>10</v>
      </c>
      <c r="E4308">
        <v>22.3</v>
      </c>
      <c r="F4308" t="s">
        <v>11</v>
      </c>
    </row>
    <row r="4309" spans="1:6">
      <c r="A4309" t="s">
        <v>53</v>
      </c>
      <c r="B4309" t="s">
        <v>24</v>
      </c>
      <c r="C4309">
        <v>2035</v>
      </c>
      <c r="D4309" t="s">
        <v>9</v>
      </c>
      <c r="E4309">
        <v>1028.7</v>
      </c>
      <c r="F4309" t="s">
        <v>7</v>
      </c>
    </row>
    <row r="4310" spans="1:6">
      <c r="A4310" t="s">
        <v>53</v>
      </c>
      <c r="B4310" t="s">
        <v>24</v>
      </c>
      <c r="C4310">
        <v>2035</v>
      </c>
      <c r="D4310" t="s">
        <v>10</v>
      </c>
      <c r="E4310">
        <v>22.3</v>
      </c>
      <c r="F4310" t="s">
        <v>11</v>
      </c>
    </row>
    <row r="4311" spans="1:6">
      <c r="A4311" t="s">
        <v>53</v>
      </c>
      <c r="B4311" t="s">
        <v>25</v>
      </c>
      <c r="C4311">
        <v>2035</v>
      </c>
      <c r="D4311" t="s">
        <v>9</v>
      </c>
      <c r="E4311">
        <v>1028.7</v>
      </c>
      <c r="F4311" t="s">
        <v>7</v>
      </c>
    </row>
    <row r="4312" spans="1:6">
      <c r="A4312" t="s">
        <v>53</v>
      </c>
      <c r="B4312" t="s">
        <v>25</v>
      </c>
      <c r="C4312">
        <v>2035</v>
      </c>
      <c r="D4312" t="s">
        <v>10</v>
      </c>
      <c r="E4312">
        <v>22.3</v>
      </c>
      <c r="F4312" t="s">
        <v>11</v>
      </c>
    </row>
    <row r="4313" spans="1:6">
      <c r="A4313" t="s">
        <v>53</v>
      </c>
      <c r="B4313" t="s">
        <v>26</v>
      </c>
      <c r="C4313">
        <v>2035</v>
      </c>
      <c r="D4313" t="s">
        <v>9</v>
      </c>
      <c r="E4313">
        <v>1028.7</v>
      </c>
      <c r="F4313" t="s">
        <v>7</v>
      </c>
    </row>
    <row r="4314" spans="1:6">
      <c r="A4314" t="s">
        <v>53</v>
      </c>
      <c r="B4314" t="s">
        <v>26</v>
      </c>
      <c r="C4314">
        <v>2035</v>
      </c>
      <c r="D4314" t="s">
        <v>10</v>
      </c>
      <c r="E4314">
        <v>22.3</v>
      </c>
      <c r="F4314" t="s">
        <v>11</v>
      </c>
    </row>
    <row r="4315" spans="1:6">
      <c r="A4315" t="s">
        <v>53</v>
      </c>
      <c r="B4315" t="s">
        <v>27</v>
      </c>
      <c r="C4315">
        <v>2035</v>
      </c>
      <c r="D4315" t="s">
        <v>9</v>
      </c>
      <c r="E4315">
        <v>1028.7</v>
      </c>
      <c r="F4315" t="s">
        <v>7</v>
      </c>
    </row>
    <row r="4316" spans="1:6">
      <c r="A4316" t="s">
        <v>53</v>
      </c>
      <c r="B4316" t="s">
        <v>27</v>
      </c>
      <c r="C4316">
        <v>2035</v>
      </c>
      <c r="D4316" t="s">
        <v>10</v>
      </c>
      <c r="E4316">
        <v>22.3</v>
      </c>
      <c r="F4316" t="s">
        <v>11</v>
      </c>
    </row>
    <row r="4317" spans="1:6">
      <c r="A4317" t="s">
        <v>53</v>
      </c>
      <c r="B4317" t="s">
        <v>28</v>
      </c>
      <c r="C4317">
        <v>2035</v>
      </c>
      <c r="D4317" t="s">
        <v>9</v>
      </c>
      <c r="E4317">
        <v>1028.7</v>
      </c>
      <c r="F4317" t="s">
        <v>7</v>
      </c>
    </row>
    <row r="4318" spans="1:6">
      <c r="A4318" t="s">
        <v>53</v>
      </c>
      <c r="B4318" t="s">
        <v>28</v>
      </c>
      <c r="C4318">
        <v>2035</v>
      </c>
      <c r="D4318" t="s">
        <v>10</v>
      </c>
      <c r="E4318">
        <v>22.3</v>
      </c>
      <c r="F4318" t="s">
        <v>11</v>
      </c>
    </row>
    <row r="4319" spans="1:6">
      <c r="A4319" t="s">
        <v>53</v>
      </c>
      <c r="B4319" t="s">
        <v>20</v>
      </c>
      <c r="C4319">
        <v>2040</v>
      </c>
      <c r="D4319" t="s">
        <v>6</v>
      </c>
      <c r="E4319">
        <v>1243.5</v>
      </c>
      <c r="F4319" t="s">
        <v>7</v>
      </c>
    </row>
    <row r="4320" spans="1:6">
      <c r="A4320" t="s">
        <v>53</v>
      </c>
      <c r="B4320" t="s">
        <v>20</v>
      </c>
      <c r="C4320">
        <v>2040</v>
      </c>
      <c r="D4320" t="s">
        <v>10</v>
      </c>
      <c r="E4320">
        <v>27.5</v>
      </c>
      <c r="F4320" t="s">
        <v>11</v>
      </c>
    </row>
    <row r="4321" spans="1:6">
      <c r="A4321" t="s">
        <v>53</v>
      </c>
      <c r="B4321" t="s">
        <v>20</v>
      </c>
      <c r="C4321">
        <v>2040</v>
      </c>
      <c r="D4321" t="s">
        <v>16</v>
      </c>
      <c r="E4321">
        <v>0.86</v>
      </c>
      <c r="F4321" t="s">
        <v>15</v>
      </c>
    </row>
    <row r="4322" spans="1:6">
      <c r="A4322" t="s">
        <v>53</v>
      </c>
      <c r="B4322" t="s">
        <v>20</v>
      </c>
      <c r="C4322">
        <v>2040</v>
      </c>
      <c r="D4322" t="s">
        <v>164</v>
      </c>
      <c r="E4322">
        <v>0.13900000000000001</v>
      </c>
      <c r="F4322" t="s">
        <v>166</v>
      </c>
    </row>
    <row r="4323" spans="1:6">
      <c r="A4323" t="s">
        <v>53</v>
      </c>
      <c r="B4323" t="s">
        <v>21</v>
      </c>
      <c r="C4323">
        <v>2040</v>
      </c>
      <c r="D4323" t="s">
        <v>6</v>
      </c>
      <c r="E4323">
        <v>1243.5</v>
      </c>
      <c r="F4323" t="s">
        <v>7</v>
      </c>
    </row>
    <row r="4324" spans="1:6">
      <c r="A4324" t="s">
        <v>53</v>
      </c>
      <c r="B4324" t="s">
        <v>21</v>
      </c>
      <c r="C4324">
        <v>2040</v>
      </c>
      <c r="D4324" t="s">
        <v>10</v>
      </c>
      <c r="E4324">
        <v>27.5</v>
      </c>
      <c r="F4324" t="s">
        <v>11</v>
      </c>
    </row>
    <row r="4325" spans="1:6">
      <c r="A4325" t="s">
        <v>53</v>
      </c>
      <c r="B4325" t="s">
        <v>21</v>
      </c>
      <c r="C4325">
        <v>2040</v>
      </c>
      <c r="D4325" t="s">
        <v>16</v>
      </c>
      <c r="E4325">
        <v>0.86</v>
      </c>
      <c r="F4325" t="s">
        <v>15</v>
      </c>
    </row>
    <row r="4326" spans="1:6">
      <c r="A4326" t="s">
        <v>53</v>
      </c>
      <c r="B4326" t="s">
        <v>21</v>
      </c>
      <c r="C4326">
        <v>2040</v>
      </c>
      <c r="D4326" t="s">
        <v>164</v>
      </c>
      <c r="E4326">
        <v>0.13900000000000001</v>
      </c>
      <c r="F4326" t="s">
        <v>166</v>
      </c>
    </row>
    <row r="4327" spans="1:6">
      <c r="A4327" t="s">
        <v>53</v>
      </c>
      <c r="B4327" t="s">
        <v>22</v>
      </c>
      <c r="C4327">
        <v>2040</v>
      </c>
      <c r="D4327" t="s">
        <v>6</v>
      </c>
      <c r="E4327">
        <v>1243.5</v>
      </c>
      <c r="F4327" t="s">
        <v>7</v>
      </c>
    </row>
    <row r="4328" spans="1:6">
      <c r="A4328" t="s">
        <v>53</v>
      </c>
      <c r="B4328" t="s">
        <v>22</v>
      </c>
      <c r="C4328">
        <v>2040</v>
      </c>
      <c r="D4328" t="s">
        <v>10</v>
      </c>
      <c r="E4328">
        <v>27.5</v>
      </c>
      <c r="F4328" t="s">
        <v>11</v>
      </c>
    </row>
    <row r="4329" spans="1:6">
      <c r="A4329" t="s">
        <v>53</v>
      </c>
      <c r="B4329" t="s">
        <v>22</v>
      </c>
      <c r="C4329">
        <v>2040</v>
      </c>
      <c r="D4329" t="s">
        <v>16</v>
      </c>
      <c r="E4329">
        <v>0.86</v>
      </c>
      <c r="F4329" t="s">
        <v>15</v>
      </c>
    </row>
    <row r="4330" spans="1:6">
      <c r="A4330" t="s">
        <v>53</v>
      </c>
      <c r="B4330" t="s">
        <v>22</v>
      </c>
      <c r="C4330">
        <v>2040</v>
      </c>
      <c r="D4330" t="s">
        <v>164</v>
      </c>
      <c r="E4330">
        <v>0.13900000000000001</v>
      </c>
      <c r="F4330" t="s">
        <v>166</v>
      </c>
    </row>
    <row r="4331" spans="1:6">
      <c r="A4331" t="s">
        <v>53</v>
      </c>
      <c r="B4331" t="s">
        <v>23</v>
      </c>
      <c r="C4331">
        <v>2040</v>
      </c>
      <c r="D4331" t="s">
        <v>6</v>
      </c>
      <c r="E4331">
        <v>1243.5</v>
      </c>
      <c r="F4331" t="s">
        <v>7</v>
      </c>
    </row>
    <row r="4332" spans="1:6">
      <c r="A4332" t="s">
        <v>53</v>
      </c>
      <c r="B4332" t="s">
        <v>23</v>
      </c>
      <c r="C4332">
        <v>2040</v>
      </c>
      <c r="D4332" t="s">
        <v>10</v>
      </c>
      <c r="E4332">
        <v>27.5</v>
      </c>
      <c r="F4332" t="s">
        <v>11</v>
      </c>
    </row>
    <row r="4333" spans="1:6">
      <c r="A4333" t="s">
        <v>53</v>
      </c>
      <c r="B4333" t="s">
        <v>23</v>
      </c>
      <c r="C4333">
        <v>2040</v>
      </c>
      <c r="D4333" t="s">
        <v>16</v>
      </c>
      <c r="E4333">
        <v>0.86</v>
      </c>
      <c r="F4333" t="s">
        <v>15</v>
      </c>
    </row>
    <row r="4334" spans="1:6">
      <c r="A4334" t="s">
        <v>53</v>
      </c>
      <c r="B4334" t="s">
        <v>23</v>
      </c>
      <c r="C4334">
        <v>2040</v>
      </c>
      <c r="D4334" t="s">
        <v>164</v>
      </c>
      <c r="E4334">
        <v>0.13900000000000001</v>
      </c>
      <c r="F4334" t="s">
        <v>166</v>
      </c>
    </row>
    <row r="4335" spans="1:6">
      <c r="A4335" t="s">
        <v>53</v>
      </c>
      <c r="B4335" t="s">
        <v>24</v>
      </c>
      <c r="C4335">
        <v>2040</v>
      </c>
      <c r="D4335" t="s">
        <v>6</v>
      </c>
      <c r="E4335">
        <v>1243.5</v>
      </c>
      <c r="F4335" t="s">
        <v>7</v>
      </c>
    </row>
    <row r="4336" spans="1:6">
      <c r="A4336" t="s">
        <v>53</v>
      </c>
      <c r="B4336" t="s">
        <v>24</v>
      </c>
      <c r="C4336">
        <v>2040</v>
      </c>
      <c r="D4336" t="s">
        <v>10</v>
      </c>
      <c r="E4336">
        <v>27.5</v>
      </c>
      <c r="F4336" t="s">
        <v>11</v>
      </c>
    </row>
    <row r="4337" spans="1:6">
      <c r="A4337" t="s">
        <v>53</v>
      </c>
      <c r="B4337" t="s">
        <v>24</v>
      </c>
      <c r="C4337">
        <v>2040</v>
      </c>
      <c r="D4337" t="s">
        <v>16</v>
      </c>
      <c r="E4337">
        <v>0.86</v>
      </c>
      <c r="F4337" t="s">
        <v>15</v>
      </c>
    </row>
    <row r="4338" spans="1:6">
      <c r="A4338" t="s">
        <v>53</v>
      </c>
      <c r="B4338" t="s">
        <v>24</v>
      </c>
      <c r="C4338">
        <v>2040</v>
      </c>
      <c r="D4338" t="s">
        <v>164</v>
      </c>
      <c r="E4338">
        <v>0.13900000000000001</v>
      </c>
      <c r="F4338" t="s">
        <v>166</v>
      </c>
    </row>
    <row r="4339" spans="1:6">
      <c r="A4339" t="s">
        <v>53</v>
      </c>
      <c r="B4339" t="s">
        <v>25</v>
      </c>
      <c r="C4339">
        <v>2040</v>
      </c>
      <c r="D4339" t="s">
        <v>6</v>
      </c>
      <c r="E4339">
        <v>1243.5</v>
      </c>
      <c r="F4339" t="s">
        <v>7</v>
      </c>
    </row>
    <row r="4340" spans="1:6">
      <c r="A4340" t="s">
        <v>53</v>
      </c>
      <c r="B4340" t="s">
        <v>25</v>
      </c>
      <c r="C4340">
        <v>2040</v>
      </c>
      <c r="D4340" t="s">
        <v>10</v>
      </c>
      <c r="E4340">
        <v>27.5</v>
      </c>
      <c r="F4340" t="s">
        <v>11</v>
      </c>
    </row>
    <row r="4341" spans="1:6">
      <c r="A4341" t="s">
        <v>53</v>
      </c>
      <c r="B4341" t="s">
        <v>25</v>
      </c>
      <c r="C4341">
        <v>2040</v>
      </c>
      <c r="D4341" t="s">
        <v>16</v>
      </c>
      <c r="E4341">
        <v>0.86</v>
      </c>
      <c r="F4341" t="s">
        <v>15</v>
      </c>
    </row>
    <row r="4342" spans="1:6">
      <c r="A4342" t="s">
        <v>53</v>
      </c>
      <c r="B4342" t="s">
        <v>25</v>
      </c>
      <c r="C4342">
        <v>2040</v>
      </c>
      <c r="D4342" t="s">
        <v>164</v>
      </c>
      <c r="E4342">
        <v>0.13900000000000001</v>
      </c>
      <c r="F4342" t="s">
        <v>166</v>
      </c>
    </row>
    <row r="4343" spans="1:6">
      <c r="A4343" t="s">
        <v>53</v>
      </c>
      <c r="B4343" t="s">
        <v>26</v>
      </c>
      <c r="C4343">
        <v>2040</v>
      </c>
      <c r="D4343" t="s">
        <v>6</v>
      </c>
      <c r="E4343">
        <v>1243.5</v>
      </c>
      <c r="F4343" t="s">
        <v>7</v>
      </c>
    </row>
    <row r="4344" spans="1:6">
      <c r="A4344" t="s">
        <v>53</v>
      </c>
      <c r="B4344" t="s">
        <v>26</v>
      </c>
      <c r="C4344">
        <v>2040</v>
      </c>
      <c r="D4344" t="s">
        <v>10</v>
      </c>
      <c r="E4344">
        <v>27.5</v>
      </c>
      <c r="F4344" t="s">
        <v>11</v>
      </c>
    </row>
    <row r="4345" spans="1:6">
      <c r="A4345" t="s">
        <v>53</v>
      </c>
      <c r="B4345" t="s">
        <v>26</v>
      </c>
      <c r="C4345">
        <v>2040</v>
      </c>
      <c r="D4345" t="s">
        <v>16</v>
      </c>
      <c r="E4345">
        <v>0.86</v>
      </c>
      <c r="F4345" t="s">
        <v>15</v>
      </c>
    </row>
    <row r="4346" spans="1:6">
      <c r="A4346" t="s">
        <v>53</v>
      </c>
      <c r="B4346" t="s">
        <v>26</v>
      </c>
      <c r="C4346">
        <v>2040</v>
      </c>
      <c r="D4346" t="s">
        <v>164</v>
      </c>
      <c r="E4346">
        <v>0.13900000000000001</v>
      </c>
      <c r="F4346" t="s">
        <v>166</v>
      </c>
    </row>
    <row r="4347" spans="1:6">
      <c r="A4347" t="s">
        <v>53</v>
      </c>
      <c r="B4347" t="s">
        <v>27</v>
      </c>
      <c r="C4347">
        <v>2040</v>
      </c>
      <c r="D4347" t="s">
        <v>6</v>
      </c>
      <c r="E4347">
        <v>1243.5</v>
      </c>
      <c r="F4347" t="s">
        <v>7</v>
      </c>
    </row>
    <row r="4348" spans="1:6">
      <c r="A4348" t="s">
        <v>53</v>
      </c>
      <c r="B4348" t="s">
        <v>27</v>
      </c>
      <c r="C4348">
        <v>2040</v>
      </c>
      <c r="D4348" t="s">
        <v>10</v>
      </c>
      <c r="E4348">
        <v>27.5</v>
      </c>
      <c r="F4348" t="s">
        <v>11</v>
      </c>
    </row>
    <row r="4349" spans="1:6">
      <c r="A4349" t="s">
        <v>53</v>
      </c>
      <c r="B4349" t="s">
        <v>27</v>
      </c>
      <c r="C4349">
        <v>2040</v>
      </c>
      <c r="D4349" t="s">
        <v>16</v>
      </c>
      <c r="E4349">
        <v>0.86</v>
      </c>
      <c r="F4349" t="s">
        <v>15</v>
      </c>
    </row>
    <row r="4350" spans="1:6">
      <c r="A4350" t="s">
        <v>53</v>
      </c>
      <c r="B4350" t="s">
        <v>27</v>
      </c>
      <c r="C4350">
        <v>2040</v>
      </c>
      <c r="D4350" t="s">
        <v>164</v>
      </c>
      <c r="E4350">
        <v>0.13900000000000001</v>
      </c>
      <c r="F4350" t="s">
        <v>166</v>
      </c>
    </row>
    <row r="4351" spans="1:6">
      <c r="A4351" t="s">
        <v>53</v>
      </c>
      <c r="B4351" t="s">
        <v>28</v>
      </c>
      <c r="C4351">
        <v>2040</v>
      </c>
      <c r="D4351" t="s">
        <v>6</v>
      </c>
      <c r="E4351">
        <v>1243.5</v>
      </c>
      <c r="F4351" t="s">
        <v>7</v>
      </c>
    </row>
    <row r="4352" spans="1:6">
      <c r="A4352" t="s">
        <v>53</v>
      </c>
      <c r="B4352" t="s">
        <v>28</v>
      </c>
      <c r="C4352">
        <v>2040</v>
      </c>
      <c r="D4352" t="s">
        <v>10</v>
      </c>
      <c r="E4352">
        <v>27.5</v>
      </c>
      <c r="F4352" t="s">
        <v>11</v>
      </c>
    </row>
    <row r="4353" spans="1:6">
      <c r="A4353" t="s">
        <v>53</v>
      </c>
      <c r="B4353" t="s">
        <v>28</v>
      </c>
      <c r="C4353">
        <v>2040</v>
      </c>
      <c r="D4353" t="s">
        <v>16</v>
      </c>
      <c r="E4353">
        <v>0.86</v>
      </c>
      <c r="F4353" t="s">
        <v>15</v>
      </c>
    </row>
    <row r="4354" spans="1:6">
      <c r="A4354" t="s">
        <v>53</v>
      </c>
      <c r="B4354" t="s">
        <v>28</v>
      </c>
      <c r="C4354">
        <v>2040</v>
      </c>
      <c r="D4354" t="s">
        <v>164</v>
      </c>
      <c r="E4354">
        <v>0.13900000000000001</v>
      </c>
      <c r="F4354" t="s">
        <v>166</v>
      </c>
    </row>
    <row r="4355" spans="1:6">
      <c r="A4355" t="s">
        <v>53</v>
      </c>
      <c r="B4355" t="s">
        <v>20</v>
      </c>
      <c r="C4355">
        <v>2040</v>
      </c>
      <c r="D4355" t="s">
        <v>8</v>
      </c>
      <c r="E4355">
        <v>1660.5</v>
      </c>
      <c r="F4355" t="s">
        <v>7</v>
      </c>
    </row>
    <row r="4356" spans="1:6">
      <c r="A4356" t="s">
        <v>53</v>
      </c>
      <c r="B4356" t="s">
        <v>20</v>
      </c>
      <c r="C4356">
        <v>2040</v>
      </c>
      <c r="D4356" t="s">
        <v>10</v>
      </c>
      <c r="E4356">
        <v>37.5</v>
      </c>
      <c r="F4356" t="s">
        <v>11</v>
      </c>
    </row>
    <row r="4357" spans="1:6">
      <c r="A4357" t="s">
        <v>53</v>
      </c>
      <c r="B4357" t="s">
        <v>21</v>
      </c>
      <c r="C4357">
        <v>2040</v>
      </c>
      <c r="D4357" t="s">
        <v>8</v>
      </c>
      <c r="E4357">
        <v>1660.5</v>
      </c>
      <c r="F4357" t="s">
        <v>7</v>
      </c>
    </row>
    <row r="4358" spans="1:6">
      <c r="A4358" t="s">
        <v>53</v>
      </c>
      <c r="B4358" t="s">
        <v>21</v>
      </c>
      <c r="C4358">
        <v>2040</v>
      </c>
      <c r="D4358" t="s">
        <v>10</v>
      </c>
      <c r="E4358">
        <v>37.5</v>
      </c>
      <c r="F4358" t="s">
        <v>11</v>
      </c>
    </row>
    <row r="4359" spans="1:6">
      <c r="A4359" t="s">
        <v>53</v>
      </c>
      <c r="B4359" t="s">
        <v>22</v>
      </c>
      <c r="C4359">
        <v>2040</v>
      </c>
      <c r="D4359" t="s">
        <v>8</v>
      </c>
      <c r="E4359">
        <v>1660.5</v>
      </c>
      <c r="F4359" t="s">
        <v>7</v>
      </c>
    </row>
    <row r="4360" spans="1:6">
      <c r="A4360" t="s">
        <v>53</v>
      </c>
      <c r="B4360" t="s">
        <v>22</v>
      </c>
      <c r="C4360">
        <v>2040</v>
      </c>
      <c r="D4360" t="s">
        <v>10</v>
      </c>
      <c r="E4360">
        <v>37.5</v>
      </c>
      <c r="F4360" t="s">
        <v>11</v>
      </c>
    </row>
    <row r="4361" spans="1:6">
      <c r="A4361" t="s">
        <v>53</v>
      </c>
      <c r="B4361" t="s">
        <v>23</v>
      </c>
      <c r="C4361">
        <v>2040</v>
      </c>
      <c r="D4361" t="s">
        <v>8</v>
      </c>
      <c r="E4361">
        <v>1660.5</v>
      </c>
      <c r="F4361" t="s">
        <v>7</v>
      </c>
    </row>
    <row r="4362" spans="1:6">
      <c r="A4362" t="s">
        <v>53</v>
      </c>
      <c r="B4362" t="s">
        <v>23</v>
      </c>
      <c r="C4362">
        <v>2040</v>
      </c>
      <c r="D4362" t="s">
        <v>10</v>
      </c>
      <c r="E4362">
        <v>37.5</v>
      </c>
      <c r="F4362" t="s">
        <v>11</v>
      </c>
    </row>
    <row r="4363" spans="1:6">
      <c r="A4363" t="s">
        <v>53</v>
      </c>
      <c r="B4363" t="s">
        <v>24</v>
      </c>
      <c r="C4363">
        <v>2040</v>
      </c>
      <c r="D4363" t="s">
        <v>8</v>
      </c>
      <c r="E4363">
        <v>1660.5</v>
      </c>
      <c r="F4363" t="s">
        <v>7</v>
      </c>
    </row>
    <row r="4364" spans="1:6">
      <c r="A4364" t="s">
        <v>53</v>
      </c>
      <c r="B4364" t="s">
        <v>24</v>
      </c>
      <c r="C4364">
        <v>2040</v>
      </c>
      <c r="D4364" t="s">
        <v>10</v>
      </c>
      <c r="E4364">
        <v>37.5</v>
      </c>
      <c r="F4364" t="s">
        <v>11</v>
      </c>
    </row>
    <row r="4365" spans="1:6">
      <c r="A4365" t="s">
        <v>53</v>
      </c>
      <c r="B4365" t="s">
        <v>25</v>
      </c>
      <c r="C4365">
        <v>2040</v>
      </c>
      <c r="D4365" t="s">
        <v>8</v>
      </c>
      <c r="E4365">
        <v>1660.5</v>
      </c>
      <c r="F4365" t="s">
        <v>7</v>
      </c>
    </row>
    <row r="4366" spans="1:6">
      <c r="A4366" t="s">
        <v>53</v>
      </c>
      <c r="B4366" t="s">
        <v>25</v>
      </c>
      <c r="C4366">
        <v>2040</v>
      </c>
      <c r="D4366" t="s">
        <v>10</v>
      </c>
      <c r="E4366">
        <v>37.5</v>
      </c>
      <c r="F4366" t="s">
        <v>11</v>
      </c>
    </row>
    <row r="4367" spans="1:6">
      <c r="A4367" t="s">
        <v>53</v>
      </c>
      <c r="B4367" t="s">
        <v>26</v>
      </c>
      <c r="C4367">
        <v>2040</v>
      </c>
      <c r="D4367" t="s">
        <v>8</v>
      </c>
      <c r="E4367">
        <v>1660.5</v>
      </c>
      <c r="F4367" t="s">
        <v>7</v>
      </c>
    </row>
    <row r="4368" spans="1:6">
      <c r="A4368" t="s">
        <v>53</v>
      </c>
      <c r="B4368" t="s">
        <v>26</v>
      </c>
      <c r="C4368">
        <v>2040</v>
      </c>
      <c r="D4368" t="s">
        <v>10</v>
      </c>
      <c r="E4368">
        <v>37.5</v>
      </c>
      <c r="F4368" t="s">
        <v>11</v>
      </c>
    </row>
    <row r="4369" spans="1:6">
      <c r="A4369" t="s">
        <v>53</v>
      </c>
      <c r="B4369" t="s">
        <v>27</v>
      </c>
      <c r="C4369">
        <v>2040</v>
      </c>
      <c r="D4369" t="s">
        <v>8</v>
      </c>
      <c r="E4369">
        <v>1660.5</v>
      </c>
      <c r="F4369" t="s">
        <v>7</v>
      </c>
    </row>
    <row r="4370" spans="1:6">
      <c r="A4370" t="s">
        <v>53</v>
      </c>
      <c r="B4370" t="s">
        <v>27</v>
      </c>
      <c r="C4370">
        <v>2040</v>
      </c>
      <c r="D4370" t="s">
        <v>10</v>
      </c>
      <c r="E4370">
        <v>37.5</v>
      </c>
      <c r="F4370" t="s">
        <v>11</v>
      </c>
    </row>
    <row r="4371" spans="1:6">
      <c r="A4371" t="s">
        <v>53</v>
      </c>
      <c r="B4371" t="s">
        <v>28</v>
      </c>
      <c r="C4371">
        <v>2040</v>
      </c>
      <c r="D4371" t="s">
        <v>8</v>
      </c>
      <c r="E4371">
        <v>1660.5</v>
      </c>
      <c r="F4371" t="s">
        <v>7</v>
      </c>
    </row>
    <row r="4372" spans="1:6">
      <c r="A4372" t="s">
        <v>53</v>
      </c>
      <c r="B4372" t="s">
        <v>28</v>
      </c>
      <c r="C4372">
        <v>2040</v>
      </c>
      <c r="D4372" t="s">
        <v>10</v>
      </c>
      <c r="E4372">
        <v>37.5</v>
      </c>
      <c r="F4372" t="s">
        <v>11</v>
      </c>
    </row>
    <row r="4373" spans="1:6">
      <c r="A4373" t="s">
        <v>53</v>
      </c>
      <c r="B4373" t="s">
        <v>20</v>
      </c>
      <c r="C4373">
        <v>2040</v>
      </c>
      <c r="D4373" t="s">
        <v>9</v>
      </c>
      <c r="E4373">
        <v>939.8</v>
      </c>
      <c r="F4373" t="s">
        <v>7</v>
      </c>
    </row>
    <row r="4374" spans="1:6">
      <c r="A4374" t="s">
        <v>53</v>
      </c>
      <c r="B4374" t="s">
        <v>20</v>
      </c>
      <c r="C4374">
        <v>2040</v>
      </c>
      <c r="D4374" t="s">
        <v>10</v>
      </c>
      <c r="E4374">
        <v>20.2</v>
      </c>
      <c r="F4374" t="s">
        <v>11</v>
      </c>
    </row>
    <row r="4375" spans="1:6">
      <c r="A4375" t="s">
        <v>53</v>
      </c>
      <c r="B4375" t="s">
        <v>21</v>
      </c>
      <c r="C4375">
        <v>2040</v>
      </c>
      <c r="D4375" t="s">
        <v>9</v>
      </c>
      <c r="E4375">
        <v>939.8</v>
      </c>
      <c r="F4375" t="s">
        <v>7</v>
      </c>
    </row>
    <row r="4376" spans="1:6">
      <c r="A4376" t="s">
        <v>53</v>
      </c>
      <c r="B4376" t="s">
        <v>21</v>
      </c>
      <c r="C4376">
        <v>2040</v>
      </c>
      <c r="D4376" t="s">
        <v>10</v>
      </c>
      <c r="E4376">
        <v>20.2</v>
      </c>
      <c r="F4376" t="s">
        <v>11</v>
      </c>
    </row>
    <row r="4377" spans="1:6">
      <c r="A4377" t="s">
        <v>53</v>
      </c>
      <c r="B4377" t="s">
        <v>22</v>
      </c>
      <c r="C4377">
        <v>2040</v>
      </c>
      <c r="D4377" t="s">
        <v>9</v>
      </c>
      <c r="E4377">
        <v>939.8</v>
      </c>
      <c r="F4377" t="s">
        <v>7</v>
      </c>
    </row>
    <row r="4378" spans="1:6">
      <c r="A4378" t="s">
        <v>53</v>
      </c>
      <c r="B4378" t="s">
        <v>22</v>
      </c>
      <c r="C4378">
        <v>2040</v>
      </c>
      <c r="D4378" t="s">
        <v>10</v>
      </c>
      <c r="E4378">
        <v>20.2</v>
      </c>
      <c r="F4378" t="s">
        <v>11</v>
      </c>
    </row>
    <row r="4379" spans="1:6">
      <c r="A4379" t="s">
        <v>53</v>
      </c>
      <c r="B4379" t="s">
        <v>23</v>
      </c>
      <c r="C4379">
        <v>2040</v>
      </c>
      <c r="D4379" t="s">
        <v>9</v>
      </c>
      <c r="E4379">
        <v>939.8</v>
      </c>
      <c r="F4379" t="s">
        <v>7</v>
      </c>
    </row>
    <row r="4380" spans="1:6">
      <c r="A4380" t="s">
        <v>53</v>
      </c>
      <c r="B4380" t="s">
        <v>23</v>
      </c>
      <c r="C4380">
        <v>2040</v>
      </c>
      <c r="D4380" t="s">
        <v>10</v>
      </c>
      <c r="E4380">
        <v>20.2</v>
      </c>
      <c r="F4380" t="s">
        <v>11</v>
      </c>
    </row>
    <row r="4381" spans="1:6">
      <c r="A4381" t="s">
        <v>53</v>
      </c>
      <c r="B4381" t="s">
        <v>24</v>
      </c>
      <c r="C4381">
        <v>2040</v>
      </c>
      <c r="D4381" t="s">
        <v>9</v>
      </c>
      <c r="E4381">
        <v>939.8</v>
      </c>
      <c r="F4381" t="s">
        <v>7</v>
      </c>
    </row>
    <row r="4382" spans="1:6">
      <c r="A4382" t="s">
        <v>53</v>
      </c>
      <c r="B4382" t="s">
        <v>24</v>
      </c>
      <c r="C4382">
        <v>2040</v>
      </c>
      <c r="D4382" t="s">
        <v>10</v>
      </c>
      <c r="E4382">
        <v>20.2</v>
      </c>
      <c r="F4382" t="s">
        <v>11</v>
      </c>
    </row>
    <row r="4383" spans="1:6">
      <c r="A4383" t="s">
        <v>53</v>
      </c>
      <c r="B4383" t="s">
        <v>25</v>
      </c>
      <c r="C4383">
        <v>2040</v>
      </c>
      <c r="D4383" t="s">
        <v>9</v>
      </c>
      <c r="E4383">
        <v>939.8</v>
      </c>
      <c r="F4383" t="s">
        <v>7</v>
      </c>
    </row>
    <row r="4384" spans="1:6">
      <c r="A4384" t="s">
        <v>53</v>
      </c>
      <c r="B4384" t="s">
        <v>25</v>
      </c>
      <c r="C4384">
        <v>2040</v>
      </c>
      <c r="D4384" t="s">
        <v>10</v>
      </c>
      <c r="E4384">
        <v>20.2</v>
      </c>
      <c r="F4384" t="s">
        <v>11</v>
      </c>
    </row>
    <row r="4385" spans="1:6">
      <c r="A4385" t="s">
        <v>53</v>
      </c>
      <c r="B4385" t="s">
        <v>26</v>
      </c>
      <c r="C4385">
        <v>2040</v>
      </c>
      <c r="D4385" t="s">
        <v>9</v>
      </c>
      <c r="E4385">
        <v>939.8</v>
      </c>
      <c r="F4385" t="s">
        <v>7</v>
      </c>
    </row>
    <row r="4386" spans="1:6">
      <c r="A4386" t="s">
        <v>53</v>
      </c>
      <c r="B4386" t="s">
        <v>26</v>
      </c>
      <c r="C4386">
        <v>2040</v>
      </c>
      <c r="D4386" t="s">
        <v>10</v>
      </c>
      <c r="E4386">
        <v>20.2</v>
      </c>
      <c r="F4386" t="s">
        <v>11</v>
      </c>
    </row>
    <row r="4387" spans="1:6">
      <c r="A4387" t="s">
        <v>53</v>
      </c>
      <c r="B4387" t="s">
        <v>27</v>
      </c>
      <c r="C4387">
        <v>2040</v>
      </c>
      <c r="D4387" t="s">
        <v>9</v>
      </c>
      <c r="E4387">
        <v>939.8</v>
      </c>
      <c r="F4387" t="s">
        <v>7</v>
      </c>
    </row>
    <row r="4388" spans="1:6">
      <c r="A4388" t="s">
        <v>53</v>
      </c>
      <c r="B4388" t="s">
        <v>27</v>
      </c>
      <c r="C4388">
        <v>2040</v>
      </c>
      <c r="D4388" t="s">
        <v>10</v>
      </c>
      <c r="E4388">
        <v>20.2</v>
      </c>
      <c r="F4388" t="s">
        <v>11</v>
      </c>
    </row>
    <row r="4389" spans="1:6">
      <c r="A4389" t="s">
        <v>53</v>
      </c>
      <c r="B4389" t="s">
        <v>28</v>
      </c>
      <c r="C4389">
        <v>2040</v>
      </c>
      <c r="D4389" t="s">
        <v>9</v>
      </c>
      <c r="E4389">
        <v>939.8</v>
      </c>
      <c r="F4389" t="s">
        <v>7</v>
      </c>
    </row>
    <row r="4390" spans="1:6">
      <c r="A4390" t="s">
        <v>53</v>
      </c>
      <c r="B4390" t="s">
        <v>28</v>
      </c>
      <c r="C4390">
        <v>2040</v>
      </c>
      <c r="D4390" t="s">
        <v>10</v>
      </c>
      <c r="E4390">
        <v>20.2</v>
      </c>
      <c r="F4390" t="s">
        <v>11</v>
      </c>
    </row>
    <row r="4391" spans="1:6">
      <c r="A4391" t="s">
        <v>53</v>
      </c>
      <c r="B4391" t="s">
        <v>20</v>
      </c>
      <c r="C4391">
        <v>2045</v>
      </c>
      <c r="D4391" t="s">
        <v>6</v>
      </c>
      <c r="E4391">
        <v>1139.5999999999999</v>
      </c>
      <c r="F4391" t="s">
        <v>7</v>
      </c>
    </row>
    <row r="4392" spans="1:6">
      <c r="A4392" t="s">
        <v>53</v>
      </c>
      <c r="B4392" t="s">
        <v>20</v>
      </c>
      <c r="C4392">
        <v>2045</v>
      </c>
      <c r="D4392" t="s">
        <v>10</v>
      </c>
      <c r="E4392">
        <v>25</v>
      </c>
      <c r="F4392" t="s">
        <v>11</v>
      </c>
    </row>
    <row r="4393" spans="1:6">
      <c r="A4393" t="s">
        <v>53</v>
      </c>
      <c r="B4393" t="s">
        <v>20</v>
      </c>
      <c r="C4393">
        <v>2045</v>
      </c>
      <c r="D4393" t="s">
        <v>16</v>
      </c>
      <c r="E4393">
        <v>0.86</v>
      </c>
      <c r="F4393" t="s">
        <v>15</v>
      </c>
    </row>
    <row r="4394" spans="1:6">
      <c r="A4394" t="s">
        <v>53</v>
      </c>
      <c r="B4394" t="s">
        <v>20</v>
      </c>
      <c r="C4394">
        <v>2045</v>
      </c>
      <c r="D4394" t="s">
        <v>164</v>
      </c>
      <c r="E4394">
        <v>0.13900000000000001</v>
      </c>
      <c r="F4394" t="s">
        <v>166</v>
      </c>
    </row>
    <row r="4395" spans="1:6">
      <c r="A4395" t="s">
        <v>53</v>
      </c>
      <c r="B4395" t="s">
        <v>21</v>
      </c>
      <c r="C4395">
        <v>2045</v>
      </c>
      <c r="D4395" t="s">
        <v>6</v>
      </c>
      <c r="E4395">
        <v>1139.5999999999999</v>
      </c>
      <c r="F4395" t="s">
        <v>7</v>
      </c>
    </row>
    <row r="4396" spans="1:6">
      <c r="A4396" t="s">
        <v>53</v>
      </c>
      <c r="B4396" t="s">
        <v>21</v>
      </c>
      <c r="C4396">
        <v>2045</v>
      </c>
      <c r="D4396" t="s">
        <v>10</v>
      </c>
      <c r="E4396">
        <v>25</v>
      </c>
      <c r="F4396" t="s">
        <v>11</v>
      </c>
    </row>
    <row r="4397" spans="1:6">
      <c r="A4397" t="s">
        <v>53</v>
      </c>
      <c r="B4397" t="s">
        <v>21</v>
      </c>
      <c r="C4397">
        <v>2045</v>
      </c>
      <c r="D4397" t="s">
        <v>16</v>
      </c>
      <c r="E4397">
        <v>0.86</v>
      </c>
      <c r="F4397" t="s">
        <v>15</v>
      </c>
    </row>
    <row r="4398" spans="1:6">
      <c r="A4398" t="s">
        <v>53</v>
      </c>
      <c r="B4398" t="s">
        <v>21</v>
      </c>
      <c r="C4398">
        <v>2045</v>
      </c>
      <c r="D4398" t="s">
        <v>164</v>
      </c>
      <c r="E4398">
        <v>0.13900000000000001</v>
      </c>
      <c r="F4398" t="s">
        <v>166</v>
      </c>
    </row>
    <row r="4399" spans="1:6">
      <c r="A4399" t="s">
        <v>53</v>
      </c>
      <c r="B4399" t="s">
        <v>22</v>
      </c>
      <c r="C4399">
        <v>2045</v>
      </c>
      <c r="D4399" t="s">
        <v>6</v>
      </c>
      <c r="E4399">
        <v>1139.5999999999999</v>
      </c>
      <c r="F4399" t="s">
        <v>7</v>
      </c>
    </row>
    <row r="4400" spans="1:6">
      <c r="A4400" t="s">
        <v>53</v>
      </c>
      <c r="B4400" t="s">
        <v>22</v>
      </c>
      <c r="C4400">
        <v>2045</v>
      </c>
      <c r="D4400" t="s">
        <v>10</v>
      </c>
      <c r="E4400">
        <v>25</v>
      </c>
      <c r="F4400" t="s">
        <v>11</v>
      </c>
    </row>
    <row r="4401" spans="1:6">
      <c r="A4401" t="s">
        <v>53</v>
      </c>
      <c r="B4401" t="s">
        <v>22</v>
      </c>
      <c r="C4401">
        <v>2045</v>
      </c>
      <c r="D4401" t="s">
        <v>16</v>
      </c>
      <c r="E4401">
        <v>0.86</v>
      </c>
      <c r="F4401" t="s">
        <v>15</v>
      </c>
    </row>
    <row r="4402" spans="1:6">
      <c r="A4402" t="s">
        <v>53</v>
      </c>
      <c r="B4402" t="s">
        <v>22</v>
      </c>
      <c r="C4402">
        <v>2045</v>
      </c>
      <c r="D4402" t="s">
        <v>164</v>
      </c>
      <c r="E4402">
        <v>0.13900000000000001</v>
      </c>
      <c r="F4402" t="s">
        <v>166</v>
      </c>
    </row>
    <row r="4403" spans="1:6">
      <c r="A4403" t="s">
        <v>53</v>
      </c>
      <c r="B4403" t="s">
        <v>23</v>
      </c>
      <c r="C4403">
        <v>2045</v>
      </c>
      <c r="D4403" t="s">
        <v>6</v>
      </c>
      <c r="E4403">
        <v>1139.5999999999999</v>
      </c>
      <c r="F4403" t="s">
        <v>7</v>
      </c>
    </row>
    <row r="4404" spans="1:6">
      <c r="A4404" t="s">
        <v>53</v>
      </c>
      <c r="B4404" t="s">
        <v>23</v>
      </c>
      <c r="C4404">
        <v>2045</v>
      </c>
      <c r="D4404" t="s">
        <v>10</v>
      </c>
      <c r="E4404">
        <v>25</v>
      </c>
      <c r="F4404" t="s">
        <v>11</v>
      </c>
    </row>
    <row r="4405" spans="1:6">
      <c r="A4405" t="s">
        <v>53</v>
      </c>
      <c r="B4405" t="s">
        <v>23</v>
      </c>
      <c r="C4405">
        <v>2045</v>
      </c>
      <c r="D4405" t="s">
        <v>16</v>
      </c>
      <c r="E4405">
        <v>0.86</v>
      </c>
      <c r="F4405" t="s">
        <v>15</v>
      </c>
    </row>
    <row r="4406" spans="1:6">
      <c r="A4406" t="s">
        <v>53</v>
      </c>
      <c r="B4406" t="s">
        <v>23</v>
      </c>
      <c r="C4406">
        <v>2045</v>
      </c>
      <c r="D4406" t="s">
        <v>164</v>
      </c>
      <c r="E4406">
        <v>0.13900000000000001</v>
      </c>
      <c r="F4406" t="s">
        <v>166</v>
      </c>
    </row>
    <row r="4407" spans="1:6">
      <c r="A4407" t="s">
        <v>53</v>
      </c>
      <c r="B4407" t="s">
        <v>24</v>
      </c>
      <c r="C4407">
        <v>2045</v>
      </c>
      <c r="D4407" t="s">
        <v>6</v>
      </c>
      <c r="E4407">
        <v>1139.5999999999999</v>
      </c>
      <c r="F4407" t="s">
        <v>7</v>
      </c>
    </row>
    <row r="4408" spans="1:6">
      <c r="A4408" t="s">
        <v>53</v>
      </c>
      <c r="B4408" t="s">
        <v>24</v>
      </c>
      <c r="C4408">
        <v>2045</v>
      </c>
      <c r="D4408" t="s">
        <v>10</v>
      </c>
      <c r="E4408">
        <v>25</v>
      </c>
      <c r="F4408" t="s">
        <v>11</v>
      </c>
    </row>
    <row r="4409" spans="1:6">
      <c r="A4409" t="s">
        <v>53</v>
      </c>
      <c r="B4409" t="s">
        <v>24</v>
      </c>
      <c r="C4409">
        <v>2045</v>
      </c>
      <c r="D4409" t="s">
        <v>16</v>
      </c>
      <c r="E4409">
        <v>0.86</v>
      </c>
      <c r="F4409" t="s">
        <v>15</v>
      </c>
    </row>
    <row r="4410" spans="1:6">
      <c r="A4410" t="s">
        <v>53</v>
      </c>
      <c r="B4410" t="s">
        <v>24</v>
      </c>
      <c r="C4410">
        <v>2045</v>
      </c>
      <c r="D4410" t="s">
        <v>164</v>
      </c>
      <c r="E4410">
        <v>0.13900000000000001</v>
      </c>
      <c r="F4410" t="s">
        <v>166</v>
      </c>
    </row>
    <row r="4411" spans="1:6">
      <c r="A4411" t="s">
        <v>53</v>
      </c>
      <c r="B4411" t="s">
        <v>25</v>
      </c>
      <c r="C4411">
        <v>2045</v>
      </c>
      <c r="D4411" t="s">
        <v>6</v>
      </c>
      <c r="E4411">
        <v>1139.5999999999999</v>
      </c>
      <c r="F4411" t="s">
        <v>7</v>
      </c>
    </row>
    <row r="4412" spans="1:6">
      <c r="A4412" t="s">
        <v>53</v>
      </c>
      <c r="B4412" t="s">
        <v>25</v>
      </c>
      <c r="C4412">
        <v>2045</v>
      </c>
      <c r="D4412" t="s">
        <v>10</v>
      </c>
      <c r="E4412">
        <v>25</v>
      </c>
      <c r="F4412" t="s">
        <v>11</v>
      </c>
    </row>
    <row r="4413" spans="1:6">
      <c r="A4413" t="s">
        <v>53</v>
      </c>
      <c r="B4413" t="s">
        <v>25</v>
      </c>
      <c r="C4413">
        <v>2045</v>
      </c>
      <c r="D4413" t="s">
        <v>16</v>
      </c>
      <c r="E4413">
        <v>0.86</v>
      </c>
      <c r="F4413" t="s">
        <v>15</v>
      </c>
    </row>
    <row r="4414" spans="1:6">
      <c r="A4414" t="s">
        <v>53</v>
      </c>
      <c r="B4414" t="s">
        <v>25</v>
      </c>
      <c r="C4414">
        <v>2045</v>
      </c>
      <c r="D4414" t="s">
        <v>164</v>
      </c>
      <c r="E4414">
        <v>0.13900000000000001</v>
      </c>
      <c r="F4414" t="s">
        <v>166</v>
      </c>
    </row>
    <row r="4415" spans="1:6">
      <c r="A4415" t="s">
        <v>53</v>
      </c>
      <c r="B4415" t="s">
        <v>26</v>
      </c>
      <c r="C4415">
        <v>2045</v>
      </c>
      <c r="D4415" t="s">
        <v>6</v>
      </c>
      <c r="E4415">
        <v>1139.5999999999999</v>
      </c>
      <c r="F4415" t="s">
        <v>7</v>
      </c>
    </row>
    <row r="4416" spans="1:6">
      <c r="A4416" t="s">
        <v>53</v>
      </c>
      <c r="B4416" t="s">
        <v>26</v>
      </c>
      <c r="C4416">
        <v>2045</v>
      </c>
      <c r="D4416" t="s">
        <v>10</v>
      </c>
      <c r="E4416">
        <v>25</v>
      </c>
      <c r="F4416" t="s">
        <v>11</v>
      </c>
    </row>
    <row r="4417" spans="1:6">
      <c r="A4417" t="s">
        <v>53</v>
      </c>
      <c r="B4417" t="s">
        <v>26</v>
      </c>
      <c r="C4417">
        <v>2045</v>
      </c>
      <c r="D4417" t="s">
        <v>16</v>
      </c>
      <c r="E4417">
        <v>0.86</v>
      </c>
      <c r="F4417" t="s">
        <v>15</v>
      </c>
    </row>
    <row r="4418" spans="1:6">
      <c r="A4418" t="s">
        <v>53</v>
      </c>
      <c r="B4418" t="s">
        <v>26</v>
      </c>
      <c r="C4418">
        <v>2045</v>
      </c>
      <c r="D4418" t="s">
        <v>164</v>
      </c>
      <c r="E4418">
        <v>0.13900000000000001</v>
      </c>
      <c r="F4418" t="s">
        <v>166</v>
      </c>
    </row>
    <row r="4419" spans="1:6">
      <c r="A4419" t="s">
        <v>53</v>
      </c>
      <c r="B4419" t="s">
        <v>27</v>
      </c>
      <c r="C4419">
        <v>2045</v>
      </c>
      <c r="D4419" t="s">
        <v>6</v>
      </c>
      <c r="E4419">
        <v>1139.5999999999999</v>
      </c>
      <c r="F4419" t="s">
        <v>7</v>
      </c>
    </row>
    <row r="4420" spans="1:6">
      <c r="A4420" t="s">
        <v>53</v>
      </c>
      <c r="B4420" t="s">
        <v>27</v>
      </c>
      <c r="C4420">
        <v>2045</v>
      </c>
      <c r="D4420" t="s">
        <v>10</v>
      </c>
      <c r="E4420">
        <v>25</v>
      </c>
      <c r="F4420" t="s">
        <v>11</v>
      </c>
    </row>
    <row r="4421" spans="1:6">
      <c r="A4421" t="s">
        <v>53</v>
      </c>
      <c r="B4421" t="s">
        <v>27</v>
      </c>
      <c r="C4421">
        <v>2045</v>
      </c>
      <c r="D4421" t="s">
        <v>16</v>
      </c>
      <c r="E4421">
        <v>0.86</v>
      </c>
      <c r="F4421" t="s">
        <v>15</v>
      </c>
    </row>
    <row r="4422" spans="1:6">
      <c r="A4422" t="s">
        <v>53</v>
      </c>
      <c r="B4422" t="s">
        <v>27</v>
      </c>
      <c r="C4422">
        <v>2045</v>
      </c>
      <c r="D4422" t="s">
        <v>164</v>
      </c>
      <c r="E4422">
        <v>0.13900000000000001</v>
      </c>
      <c r="F4422" t="s">
        <v>166</v>
      </c>
    </row>
    <row r="4423" spans="1:6">
      <c r="A4423" t="s">
        <v>53</v>
      </c>
      <c r="B4423" t="s">
        <v>28</v>
      </c>
      <c r="C4423">
        <v>2045</v>
      </c>
      <c r="D4423" t="s">
        <v>6</v>
      </c>
      <c r="E4423">
        <v>1139.5999999999999</v>
      </c>
      <c r="F4423" t="s">
        <v>7</v>
      </c>
    </row>
    <row r="4424" spans="1:6">
      <c r="A4424" t="s">
        <v>53</v>
      </c>
      <c r="B4424" t="s">
        <v>28</v>
      </c>
      <c r="C4424">
        <v>2045</v>
      </c>
      <c r="D4424" t="s">
        <v>10</v>
      </c>
      <c r="E4424">
        <v>25</v>
      </c>
      <c r="F4424" t="s">
        <v>11</v>
      </c>
    </row>
    <row r="4425" spans="1:6">
      <c r="A4425" t="s">
        <v>53</v>
      </c>
      <c r="B4425" t="s">
        <v>28</v>
      </c>
      <c r="C4425">
        <v>2045</v>
      </c>
      <c r="D4425" t="s">
        <v>16</v>
      </c>
      <c r="E4425">
        <v>0.86</v>
      </c>
      <c r="F4425" t="s">
        <v>15</v>
      </c>
    </row>
    <row r="4426" spans="1:6">
      <c r="A4426" t="s">
        <v>53</v>
      </c>
      <c r="B4426" t="s">
        <v>28</v>
      </c>
      <c r="C4426">
        <v>2045</v>
      </c>
      <c r="D4426" t="s">
        <v>164</v>
      </c>
      <c r="E4426">
        <v>0.13900000000000001</v>
      </c>
      <c r="F4426" t="s">
        <v>166</v>
      </c>
    </row>
    <row r="4427" spans="1:6">
      <c r="A4427" t="s">
        <v>53</v>
      </c>
      <c r="B4427" t="s">
        <v>20</v>
      </c>
      <c r="C4427">
        <v>2045</v>
      </c>
      <c r="D4427" t="s">
        <v>8</v>
      </c>
      <c r="E4427">
        <v>1603.3</v>
      </c>
      <c r="F4427" t="s">
        <v>7</v>
      </c>
    </row>
    <row r="4428" spans="1:6">
      <c r="A4428" t="s">
        <v>53</v>
      </c>
      <c r="B4428" t="s">
        <v>20</v>
      </c>
      <c r="C4428">
        <v>2045</v>
      </c>
      <c r="D4428" t="s">
        <v>10</v>
      </c>
      <c r="E4428">
        <v>36.200000000000003</v>
      </c>
      <c r="F4428" t="s">
        <v>11</v>
      </c>
    </row>
    <row r="4429" spans="1:6">
      <c r="A4429" t="s">
        <v>53</v>
      </c>
      <c r="B4429" t="s">
        <v>21</v>
      </c>
      <c r="C4429">
        <v>2045</v>
      </c>
      <c r="D4429" t="s">
        <v>8</v>
      </c>
      <c r="E4429">
        <v>1603.3</v>
      </c>
      <c r="F4429" t="s">
        <v>7</v>
      </c>
    </row>
    <row r="4430" spans="1:6">
      <c r="A4430" t="s">
        <v>53</v>
      </c>
      <c r="B4430" t="s">
        <v>21</v>
      </c>
      <c r="C4430">
        <v>2045</v>
      </c>
      <c r="D4430" t="s">
        <v>10</v>
      </c>
      <c r="E4430">
        <v>36.200000000000003</v>
      </c>
      <c r="F4430" t="s">
        <v>11</v>
      </c>
    </row>
    <row r="4431" spans="1:6">
      <c r="A4431" t="s">
        <v>53</v>
      </c>
      <c r="B4431" t="s">
        <v>22</v>
      </c>
      <c r="C4431">
        <v>2045</v>
      </c>
      <c r="D4431" t="s">
        <v>8</v>
      </c>
      <c r="E4431">
        <v>1603.3</v>
      </c>
      <c r="F4431" t="s">
        <v>7</v>
      </c>
    </row>
    <row r="4432" spans="1:6">
      <c r="A4432" t="s">
        <v>53</v>
      </c>
      <c r="B4432" t="s">
        <v>22</v>
      </c>
      <c r="C4432">
        <v>2045</v>
      </c>
      <c r="D4432" t="s">
        <v>10</v>
      </c>
      <c r="E4432">
        <v>36.200000000000003</v>
      </c>
      <c r="F4432" t="s">
        <v>11</v>
      </c>
    </row>
    <row r="4433" spans="1:6">
      <c r="A4433" t="s">
        <v>53</v>
      </c>
      <c r="B4433" t="s">
        <v>23</v>
      </c>
      <c r="C4433">
        <v>2045</v>
      </c>
      <c r="D4433" t="s">
        <v>8</v>
      </c>
      <c r="E4433">
        <v>1603.3</v>
      </c>
      <c r="F4433" t="s">
        <v>7</v>
      </c>
    </row>
    <row r="4434" spans="1:6">
      <c r="A4434" t="s">
        <v>53</v>
      </c>
      <c r="B4434" t="s">
        <v>23</v>
      </c>
      <c r="C4434">
        <v>2045</v>
      </c>
      <c r="D4434" t="s">
        <v>10</v>
      </c>
      <c r="E4434">
        <v>36.200000000000003</v>
      </c>
      <c r="F4434" t="s">
        <v>11</v>
      </c>
    </row>
    <row r="4435" spans="1:6">
      <c r="A4435" t="s">
        <v>53</v>
      </c>
      <c r="B4435" t="s">
        <v>24</v>
      </c>
      <c r="C4435">
        <v>2045</v>
      </c>
      <c r="D4435" t="s">
        <v>8</v>
      </c>
      <c r="E4435">
        <v>1603.3</v>
      </c>
      <c r="F4435" t="s">
        <v>7</v>
      </c>
    </row>
    <row r="4436" spans="1:6">
      <c r="A4436" t="s">
        <v>53</v>
      </c>
      <c r="B4436" t="s">
        <v>24</v>
      </c>
      <c r="C4436">
        <v>2045</v>
      </c>
      <c r="D4436" t="s">
        <v>10</v>
      </c>
      <c r="E4436">
        <v>36.200000000000003</v>
      </c>
      <c r="F4436" t="s">
        <v>11</v>
      </c>
    </row>
    <row r="4437" spans="1:6">
      <c r="A4437" t="s">
        <v>53</v>
      </c>
      <c r="B4437" t="s">
        <v>25</v>
      </c>
      <c r="C4437">
        <v>2045</v>
      </c>
      <c r="D4437" t="s">
        <v>8</v>
      </c>
      <c r="E4437">
        <v>1603.3</v>
      </c>
      <c r="F4437" t="s">
        <v>7</v>
      </c>
    </row>
    <row r="4438" spans="1:6">
      <c r="A4438" t="s">
        <v>53</v>
      </c>
      <c r="B4438" t="s">
        <v>25</v>
      </c>
      <c r="C4438">
        <v>2045</v>
      </c>
      <c r="D4438" t="s">
        <v>10</v>
      </c>
      <c r="E4438">
        <v>36.200000000000003</v>
      </c>
      <c r="F4438" t="s">
        <v>11</v>
      </c>
    </row>
    <row r="4439" spans="1:6">
      <c r="A4439" t="s">
        <v>53</v>
      </c>
      <c r="B4439" t="s">
        <v>26</v>
      </c>
      <c r="C4439">
        <v>2045</v>
      </c>
      <c r="D4439" t="s">
        <v>8</v>
      </c>
      <c r="E4439">
        <v>1603.3</v>
      </c>
      <c r="F4439" t="s">
        <v>7</v>
      </c>
    </row>
    <row r="4440" spans="1:6">
      <c r="A4440" t="s">
        <v>53</v>
      </c>
      <c r="B4440" t="s">
        <v>26</v>
      </c>
      <c r="C4440">
        <v>2045</v>
      </c>
      <c r="D4440" t="s">
        <v>10</v>
      </c>
      <c r="E4440">
        <v>36.200000000000003</v>
      </c>
      <c r="F4440" t="s">
        <v>11</v>
      </c>
    </row>
    <row r="4441" spans="1:6">
      <c r="A4441" t="s">
        <v>53</v>
      </c>
      <c r="B4441" t="s">
        <v>27</v>
      </c>
      <c r="C4441">
        <v>2045</v>
      </c>
      <c r="D4441" t="s">
        <v>8</v>
      </c>
      <c r="E4441">
        <v>1603.3</v>
      </c>
      <c r="F4441" t="s">
        <v>7</v>
      </c>
    </row>
    <row r="4442" spans="1:6">
      <c r="A4442" t="s">
        <v>53</v>
      </c>
      <c r="B4442" t="s">
        <v>27</v>
      </c>
      <c r="C4442">
        <v>2045</v>
      </c>
      <c r="D4442" t="s">
        <v>10</v>
      </c>
      <c r="E4442">
        <v>36.200000000000003</v>
      </c>
      <c r="F4442" t="s">
        <v>11</v>
      </c>
    </row>
    <row r="4443" spans="1:6">
      <c r="A4443" t="s">
        <v>53</v>
      </c>
      <c r="B4443" t="s">
        <v>28</v>
      </c>
      <c r="C4443">
        <v>2045</v>
      </c>
      <c r="D4443" t="s">
        <v>8</v>
      </c>
      <c r="E4443">
        <v>1603.3</v>
      </c>
      <c r="F4443" t="s">
        <v>7</v>
      </c>
    </row>
    <row r="4444" spans="1:6">
      <c r="A4444" t="s">
        <v>53</v>
      </c>
      <c r="B4444" t="s">
        <v>28</v>
      </c>
      <c r="C4444">
        <v>2045</v>
      </c>
      <c r="D4444" t="s">
        <v>10</v>
      </c>
      <c r="E4444">
        <v>36.200000000000003</v>
      </c>
      <c r="F4444" t="s">
        <v>11</v>
      </c>
    </row>
    <row r="4445" spans="1:6">
      <c r="A4445" t="s">
        <v>53</v>
      </c>
      <c r="B4445" t="s">
        <v>20</v>
      </c>
      <c r="C4445">
        <v>2045</v>
      </c>
      <c r="D4445" t="s">
        <v>9</v>
      </c>
      <c r="E4445">
        <v>850.9</v>
      </c>
      <c r="F4445" t="s">
        <v>7</v>
      </c>
    </row>
    <row r="4446" spans="1:6">
      <c r="A4446" t="s">
        <v>53</v>
      </c>
      <c r="B4446" t="s">
        <v>20</v>
      </c>
      <c r="C4446">
        <v>2045</v>
      </c>
      <c r="D4446" t="s">
        <v>10</v>
      </c>
      <c r="E4446">
        <v>18</v>
      </c>
      <c r="F4446" t="s">
        <v>11</v>
      </c>
    </row>
    <row r="4447" spans="1:6">
      <c r="A4447" t="s">
        <v>53</v>
      </c>
      <c r="B4447" t="s">
        <v>21</v>
      </c>
      <c r="C4447">
        <v>2045</v>
      </c>
      <c r="D4447" t="s">
        <v>9</v>
      </c>
      <c r="E4447">
        <v>850.9</v>
      </c>
      <c r="F4447" t="s">
        <v>7</v>
      </c>
    </row>
    <row r="4448" spans="1:6">
      <c r="A4448" t="s">
        <v>53</v>
      </c>
      <c r="B4448" t="s">
        <v>21</v>
      </c>
      <c r="C4448">
        <v>2045</v>
      </c>
      <c r="D4448" t="s">
        <v>10</v>
      </c>
      <c r="E4448">
        <v>18</v>
      </c>
      <c r="F4448" t="s">
        <v>11</v>
      </c>
    </row>
    <row r="4449" spans="1:6">
      <c r="A4449" t="s">
        <v>53</v>
      </c>
      <c r="B4449" t="s">
        <v>22</v>
      </c>
      <c r="C4449">
        <v>2045</v>
      </c>
      <c r="D4449" t="s">
        <v>9</v>
      </c>
      <c r="E4449">
        <v>850.9</v>
      </c>
      <c r="F4449" t="s">
        <v>7</v>
      </c>
    </row>
    <row r="4450" spans="1:6">
      <c r="A4450" t="s">
        <v>53</v>
      </c>
      <c r="B4450" t="s">
        <v>22</v>
      </c>
      <c r="C4450">
        <v>2045</v>
      </c>
      <c r="D4450" t="s">
        <v>10</v>
      </c>
      <c r="E4450">
        <v>18</v>
      </c>
      <c r="F4450" t="s">
        <v>11</v>
      </c>
    </row>
    <row r="4451" spans="1:6">
      <c r="A4451" t="s">
        <v>53</v>
      </c>
      <c r="B4451" t="s">
        <v>23</v>
      </c>
      <c r="C4451">
        <v>2045</v>
      </c>
      <c r="D4451" t="s">
        <v>9</v>
      </c>
      <c r="E4451">
        <v>850.9</v>
      </c>
      <c r="F4451" t="s">
        <v>7</v>
      </c>
    </row>
    <row r="4452" spans="1:6">
      <c r="A4452" t="s">
        <v>53</v>
      </c>
      <c r="B4452" t="s">
        <v>23</v>
      </c>
      <c r="C4452">
        <v>2045</v>
      </c>
      <c r="D4452" t="s">
        <v>10</v>
      </c>
      <c r="E4452">
        <v>18</v>
      </c>
      <c r="F4452" t="s">
        <v>11</v>
      </c>
    </row>
    <row r="4453" spans="1:6">
      <c r="A4453" t="s">
        <v>53</v>
      </c>
      <c r="B4453" t="s">
        <v>24</v>
      </c>
      <c r="C4453">
        <v>2045</v>
      </c>
      <c r="D4453" t="s">
        <v>9</v>
      </c>
      <c r="E4453">
        <v>850.9</v>
      </c>
      <c r="F4453" t="s">
        <v>7</v>
      </c>
    </row>
    <row r="4454" spans="1:6">
      <c r="A4454" t="s">
        <v>53</v>
      </c>
      <c r="B4454" t="s">
        <v>24</v>
      </c>
      <c r="C4454">
        <v>2045</v>
      </c>
      <c r="D4454" t="s">
        <v>10</v>
      </c>
      <c r="E4454">
        <v>18</v>
      </c>
      <c r="F4454" t="s">
        <v>11</v>
      </c>
    </row>
    <row r="4455" spans="1:6">
      <c r="A4455" t="s">
        <v>53</v>
      </c>
      <c r="B4455" t="s">
        <v>25</v>
      </c>
      <c r="C4455">
        <v>2045</v>
      </c>
      <c r="D4455" t="s">
        <v>9</v>
      </c>
      <c r="E4455">
        <v>850.9</v>
      </c>
      <c r="F4455" t="s">
        <v>7</v>
      </c>
    </row>
    <row r="4456" spans="1:6">
      <c r="A4456" t="s">
        <v>53</v>
      </c>
      <c r="B4456" t="s">
        <v>25</v>
      </c>
      <c r="C4456">
        <v>2045</v>
      </c>
      <c r="D4456" t="s">
        <v>10</v>
      </c>
      <c r="E4456">
        <v>18</v>
      </c>
      <c r="F4456" t="s">
        <v>11</v>
      </c>
    </row>
    <row r="4457" spans="1:6">
      <c r="A4457" t="s">
        <v>53</v>
      </c>
      <c r="B4457" t="s">
        <v>26</v>
      </c>
      <c r="C4457">
        <v>2045</v>
      </c>
      <c r="D4457" t="s">
        <v>9</v>
      </c>
      <c r="E4457">
        <v>850.9</v>
      </c>
      <c r="F4457" t="s">
        <v>7</v>
      </c>
    </row>
    <row r="4458" spans="1:6">
      <c r="A4458" t="s">
        <v>53</v>
      </c>
      <c r="B4458" t="s">
        <v>26</v>
      </c>
      <c r="C4458">
        <v>2045</v>
      </c>
      <c r="D4458" t="s">
        <v>10</v>
      </c>
      <c r="E4458">
        <v>18</v>
      </c>
      <c r="F4458" t="s">
        <v>11</v>
      </c>
    </row>
    <row r="4459" spans="1:6">
      <c r="A4459" t="s">
        <v>53</v>
      </c>
      <c r="B4459" t="s">
        <v>27</v>
      </c>
      <c r="C4459">
        <v>2045</v>
      </c>
      <c r="D4459" t="s">
        <v>9</v>
      </c>
      <c r="E4459">
        <v>850.9</v>
      </c>
      <c r="F4459" t="s">
        <v>7</v>
      </c>
    </row>
    <row r="4460" spans="1:6">
      <c r="A4460" t="s">
        <v>53</v>
      </c>
      <c r="B4460" t="s">
        <v>27</v>
      </c>
      <c r="C4460">
        <v>2045</v>
      </c>
      <c r="D4460" t="s">
        <v>10</v>
      </c>
      <c r="E4460">
        <v>18</v>
      </c>
      <c r="F4460" t="s">
        <v>11</v>
      </c>
    </row>
    <row r="4461" spans="1:6">
      <c r="A4461" t="s">
        <v>53</v>
      </c>
      <c r="B4461" t="s">
        <v>28</v>
      </c>
      <c r="C4461">
        <v>2045</v>
      </c>
      <c r="D4461" t="s">
        <v>9</v>
      </c>
      <c r="E4461">
        <v>850.9</v>
      </c>
      <c r="F4461" t="s">
        <v>7</v>
      </c>
    </row>
    <row r="4462" spans="1:6">
      <c r="A4462" t="s">
        <v>53</v>
      </c>
      <c r="B4462" t="s">
        <v>28</v>
      </c>
      <c r="C4462">
        <v>2045</v>
      </c>
      <c r="D4462" t="s">
        <v>10</v>
      </c>
      <c r="E4462">
        <v>18</v>
      </c>
      <c r="F4462" t="s">
        <v>11</v>
      </c>
    </row>
    <row r="4463" spans="1:6">
      <c r="A4463" t="s">
        <v>53</v>
      </c>
      <c r="B4463" t="s">
        <v>20</v>
      </c>
      <c r="C4463">
        <v>2050</v>
      </c>
      <c r="D4463" t="s">
        <v>6</v>
      </c>
      <c r="E4463">
        <v>1035.8</v>
      </c>
      <c r="F4463" t="s">
        <v>7</v>
      </c>
    </row>
    <row r="4464" spans="1:6">
      <c r="A4464" t="s">
        <v>53</v>
      </c>
      <c r="B4464" t="s">
        <v>20</v>
      </c>
      <c r="C4464">
        <v>2050</v>
      </c>
      <c r="D4464" t="s">
        <v>10</v>
      </c>
      <c r="E4464">
        <v>22.5</v>
      </c>
      <c r="F4464" t="s">
        <v>11</v>
      </c>
    </row>
    <row r="4465" spans="1:6">
      <c r="A4465" t="s">
        <v>53</v>
      </c>
      <c r="B4465" t="s">
        <v>20</v>
      </c>
      <c r="C4465">
        <v>2050</v>
      </c>
      <c r="D4465" t="s">
        <v>16</v>
      </c>
      <c r="E4465">
        <v>0.86</v>
      </c>
      <c r="F4465" t="s">
        <v>15</v>
      </c>
    </row>
    <row r="4466" spans="1:6">
      <c r="A4466" t="s">
        <v>53</v>
      </c>
      <c r="B4466" t="s">
        <v>20</v>
      </c>
      <c r="C4466">
        <v>2050</v>
      </c>
      <c r="D4466" t="s">
        <v>164</v>
      </c>
      <c r="E4466">
        <v>0.13900000000000001</v>
      </c>
      <c r="F4466" t="s">
        <v>166</v>
      </c>
    </row>
    <row r="4467" spans="1:6">
      <c r="A4467" t="s">
        <v>53</v>
      </c>
      <c r="B4467" t="s">
        <v>21</v>
      </c>
      <c r="C4467">
        <v>2050</v>
      </c>
      <c r="D4467" t="s">
        <v>6</v>
      </c>
      <c r="E4467">
        <v>1035.8</v>
      </c>
      <c r="F4467" t="s">
        <v>7</v>
      </c>
    </row>
    <row r="4468" spans="1:6">
      <c r="A4468" t="s">
        <v>53</v>
      </c>
      <c r="B4468" t="s">
        <v>21</v>
      </c>
      <c r="C4468">
        <v>2050</v>
      </c>
      <c r="D4468" t="s">
        <v>10</v>
      </c>
      <c r="E4468">
        <v>22.5</v>
      </c>
      <c r="F4468" t="s">
        <v>11</v>
      </c>
    </row>
    <row r="4469" spans="1:6">
      <c r="A4469" t="s">
        <v>53</v>
      </c>
      <c r="B4469" t="s">
        <v>21</v>
      </c>
      <c r="C4469">
        <v>2050</v>
      </c>
      <c r="D4469" t="s">
        <v>16</v>
      </c>
      <c r="E4469">
        <v>0.86</v>
      </c>
      <c r="F4469" t="s">
        <v>15</v>
      </c>
    </row>
    <row r="4470" spans="1:6">
      <c r="A4470" t="s">
        <v>53</v>
      </c>
      <c r="B4470" t="s">
        <v>21</v>
      </c>
      <c r="C4470">
        <v>2050</v>
      </c>
      <c r="D4470" t="s">
        <v>164</v>
      </c>
      <c r="E4470">
        <v>0.13900000000000001</v>
      </c>
      <c r="F4470" t="s">
        <v>166</v>
      </c>
    </row>
    <row r="4471" spans="1:6">
      <c r="A4471" t="s">
        <v>53</v>
      </c>
      <c r="B4471" t="s">
        <v>22</v>
      </c>
      <c r="C4471">
        <v>2050</v>
      </c>
      <c r="D4471" t="s">
        <v>6</v>
      </c>
      <c r="E4471">
        <v>1035.8</v>
      </c>
      <c r="F4471" t="s">
        <v>7</v>
      </c>
    </row>
    <row r="4472" spans="1:6">
      <c r="A4472" t="s">
        <v>53</v>
      </c>
      <c r="B4472" t="s">
        <v>22</v>
      </c>
      <c r="C4472">
        <v>2050</v>
      </c>
      <c r="D4472" t="s">
        <v>10</v>
      </c>
      <c r="E4472">
        <v>22.5</v>
      </c>
      <c r="F4472" t="s">
        <v>11</v>
      </c>
    </row>
    <row r="4473" spans="1:6">
      <c r="A4473" t="s">
        <v>53</v>
      </c>
      <c r="B4473" t="s">
        <v>22</v>
      </c>
      <c r="C4473">
        <v>2050</v>
      </c>
      <c r="D4473" t="s">
        <v>16</v>
      </c>
      <c r="E4473">
        <v>0.86</v>
      </c>
      <c r="F4473" t="s">
        <v>15</v>
      </c>
    </row>
    <row r="4474" spans="1:6">
      <c r="A4474" t="s">
        <v>53</v>
      </c>
      <c r="B4474" t="s">
        <v>22</v>
      </c>
      <c r="C4474">
        <v>2050</v>
      </c>
      <c r="D4474" t="s">
        <v>164</v>
      </c>
      <c r="E4474">
        <v>0.13900000000000001</v>
      </c>
      <c r="F4474" t="s">
        <v>166</v>
      </c>
    </row>
    <row r="4475" spans="1:6">
      <c r="A4475" t="s">
        <v>53</v>
      </c>
      <c r="B4475" t="s">
        <v>23</v>
      </c>
      <c r="C4475">
        <v>2050</v>
      </c>
      <c r="D4475" t="s">
        <v>6</v>
      </c>
      <c r="E4475">
        <v>1035.8</v>
      </c>
      <c r="F4475" t="s">
        <v>7</v>
      </c>
    </row>
    <row r="4476" spans="1:6">
      <c r="A4476" t="s">
        <v>53</v>
      </c>
      <c r="B4476" t="s">
        <v>23</v>
      </c>
      <c r="C4476">
        <v>2050</v>
      </c>
      <c r="D4476" t="s">
        <v>10</v>
      </c>
      <c r="E4476">
        <v>22.5</v>
      </c>
      <c r="F4476" t="s">
        <v>11</v>
      </c>
    </row>
    <row r="4477" spans="1:6">
      <c r="A4477" t="s">
        <v>53</v>
      </c>
      <c r="B4477" t="s">
        <v>23</v>
      </c>
      <c r="C4477">
        <v>2050</v>
      </c>
      <c r="D4477" t="s">
        <v>16</v>
      </c>
      <c r="E4477">
        <v>0.86</v>
      </c>
      <c r="F4477" t="s">
        <v>15</v>
      </c>
    </row>
    <row r="4478" spans="1:6">
      <c r="A4478" t="s">
        <v>53</v>
      </c>
      <c r="B4478" t="s">
        <v>23</v>
      </c>
      <c r="C4478">
        <v>2050</v>
      </c>
      <c r="D4478" t="s">
        <v>164</v>
      </c>
      <c r="E4478">
        <v>0.13900000000000001</v>
      </c>
      <c r="F4478" t="s">
        <v>166</v>
      </c>
    </row>
    <row r="4479" spans="1:6">
      <c r="A4479" t="s">
        <v>53</v>
      </c>
      <c r="B4479" t="s">
        <v>24</v>
      </c>
      <c r="C4479">
        <v>2050</v>
      </c>
      <c r="D4479" t="s">
        <v>6</v>
      </c>
      <c r="E4479">
        <v>1035.8</v>
      </c>
      <c r="F4479" t="s">
        <v>7</v>
      </c>
    </row>
    <row r="4480" spans="1:6">
      <c r="A4480" t="s">
        <v>53</v>
      </c>
      <c r="B4480" t="s">
        <v>24</v>
      </c>
      <c r="C4480">
        <v>2050</v>
      </c>
      <c r="D4480" t="s">
        <v>10</v>
      </c>
      <c r="E4480">
        <v>22.5</v>
      </c>
      <c r="F4480" t="s">
        <v>11</v>
      </c>
    </row>
    <row r="4481" spans="1:6">
      <c r="A4481" t="s">
        <v>53</v>
      </c>
      <c r="B4481" t="s">
        <v>24</v>
      </c>
      <c r="C4481">
        <v>2050</v>
      </c>
      <c r="D4481" t="s">
        <v>16</v>
      </c>
      <c r="E4481">
        <v>0.86</v>
      </c>
      <c r="F4481" t="s">
        <v>15</v>
      </c>
    </row>
    <row r="4482" spans="1:6">
      <c r="A4482" t="s">
        <v>53</v>
      </c>
      <c r="B4482" t="s">
        <v>24</v>
      </c>
      <c r="C4482">
        <v>2050</v>
      </c>
      <c r="D4482" t="s">
        <v>164</v>
      </c>
      <c r="E4482">
        <v>0.13900000000000001</v>
      </c>
      <c r="F4482" t="s">
        <v>166</v>
      </c>
    </row>
    <row r="4483" spans="1:6">
      <c r="A4483" t="s">
        <v>53</v>
      </c>
      <c r="B4483" t="s">
        <v>25</v>
      </c>
      <c r="C4483">
        <v>2050</v>
      </c>
      <c r="D4483" t="s">
        <v>6</v>
      </c>
      <c r="E4483">
        <v>1035.8</v>
      </c>
      <c r="F4483" t="s">
        <v>7</v>
      </c>
    </row>
    <row r="4484" spans="1:6">
      <c r="A4484" t="s">
        <v>53</v>
      </c>
      <c r="B4484" t="s">
        <v>25</v>
      </c>
      <c r="C4484">
        <v>2050</v>
      </c>
      <c r="D4484" t="s">
        <v>10</v>
      </c>
      <c r="E4484">
        <v>22.5</v>
      </c>
      <c r="F4484" t="s">
        <v>11</v>
      </c>
    </row>
    <row r="4485" spans="1:6">
      <c r="A4485" t="s">
        <v>53</v>
      </c>
      <c r="B4485" t="s">
        <v>25</v>
      </c>
      <c r="C4485">
        <v>2050</v>
      </c>
      <c r="D4485" t="s">
        <v>16</v>
      </c>
      <c r="E4485">
        <v>0.86</v>
      </c>
      <c r="F4485" t="s">
        <v>15</v>
      </c>
    </row>
    <row r="4486" spans="1:6">
      <c r="A4486" t="s">
        <v>53</v>
      </c>
      <c r="B4486" t="s">
        <v>25</v>
      </c>
      <c r="C4486">
        <v>2050</v>
      </c>
      <c r="D4486" t="s">
        <v>164</v>
      </c>
      <c r="E4486">
        <v>0.13900000000000001</v>
      </c>
      <c r="F4486" t="s">
        <v>166</v>
      </c>
    </row>
    <row r="4487" spans="1:6">
      <c r="A4487" t="s">
        <v>53</v>
      </c>
      <c r="B4487" t="s">
        <v>26</v>
      </c>
      <c r="C4487">
        <v>2050</v>
      </c>
      <c r="D4487" t="s">
        <v>6</v>
      </c>
      <c r="E4487">
        <v>1035.8</v>
      </c>
      <c r="F4487" t="s">
        <v>7</v>
      </c>
    </row>
    <row r="4488" spans="1:6">
      <c r="A4488" t="s">
        <v>53</v>
      </c>
      <c r="B4488" t="s">
        <v>26</v>
      </c>
      <c r="C4488">
        <v>2050</v>
      </c>
      <c r="D4488" t="s">
        <v>10</v>
      </c>
      <c r="E4488">
        <v>22.5</v>
      </c>
      <c r="F4488" t="s">
        <v>11</v>
      </c>
    </row>
    <row r="4489" spans="1:6">
      <c r="A4489" t="s">
        <v>53</v>
      </c>
      <c r="B4489" t="s">
        <v>26</v>
      </c>
      <c r="C4489">
        <v>2050</v>
      </c>
      <c r="D4489" t="s">
        <v>16</v>
      </c>
      <c r="E4489">
        <v>0.86</v>
      </c>
      <c r="F4489" t="s">
        <v>15</v>
      </c>
    </row>
    <row r="4490" spans="1:6">
      <c r="A4490" t="s">
        <v>53</v>
      </c>
      <c r="B4490" t="s">
        <v>26</v>
      </c>
      <c r="C4490">
        <v>2050</v>
      </c>
      <c r="D4490" t="s">
        <v>164</v>
      </c>
      <c r="E4490">
        <v>0.13900000000000001</v>
      </c>
      <c r="F4490" t="s">
        <v>166</v>
      </c>
    </row>
    <row r="4491" spans="1:6">
      <c r="A4491" t="s">
        <v>53</v>
      </c>
      <c r="B4491" t="s">
        <v>27</v>
      </c>
      <c r="C4491">
        <v>2050</v>
      </c>
      <c r="D4491" t="s">
        <v>6</v>
      </c>
      <c r="E4491">
        <v>1035.8</v>
      </c>
      <c r="F4491" t="s">
        <v>7</v>
      </c>
    </row>
    <row r="4492" spans="1:6">
      <c r="A4492" t="s">
        <v>53</v>
      </c>
      <c r="B4492" t="s">
        <v>27</v>
      </c>
      <c r="C4492">
        <v>2050</v>
      </c>
      <c r="D4492" t="s">
        <v>10</v>
      </c>
      <c r="E4492">
        <v>22.5</v>
      </c>
      <c r="F4492" t="s">
        <v>11</v>
      </c>
    </row>
    <row r="4493" spans="1:6">
      <c r="A4493" t="s">
        <v>53</v>
      </c>
      <c r="B4493" t="s">
        <v>27</v>
      </c>
      <c r="C4493">
        <v>2050</v>
      </c>
      <c r="D4493" t="s">
        <v>16</v>
      </c>
      <c r="E4493">
        <v>0.86</v>
      </c>
      <c r="F4493" t="s">
        <v>15</v>
      </c>
    </row>
    <row r="4494" spans="1:6">
      <c r="A4494" t="s">
        <v>53</v>
      </c>
      <c r="B4494" t="s">
        <v>27</v>
      </c>
      <c r="C4494">
        <v>2050</v>
      </c>
      <c r="D4494" t="s">
        <v>164</v>
      </c>
      <c r="E4494">
        <v>0.13900000000000001</v>
      </c>
      <c r="F4494" t="s">
        <v>166</v>
      </c>
    </row>
    <row r="4495" spans="1:6">
      <c r="A4495" t="s">
        <v>53</v>
      </c>
      <c r="B4495" t="s">
        <v>28</v>
      </c>
      <c r="C4495">
        <v>2050</v>
      </c>
      <c r="D4495" t="s">
        <v>6</v>
      </c>
      <c r="E4495">
        <v>1035.8</v>
      </c>
      <c r="F4495" t="s">
        <v>7</v>
      </c>
    </row>
    <row r="4496" spans="1:6">
      <c r="A4496" t="s">
        <v>53</v>
      </c>
      <c r="B4496" t="s">
        <v>28</v>
      </c>
      <c r="C4496">
        <v>2050</v>
      </c>
      <c r="D4496" t="s">
        <v>10</v>
      </c>
      <c r="E4496">
        <v>22.5</v>
      </c>
      <c r="F4496" t="s">
        <v>11</v>
      </c>
    </row>
    <row r="4497" spans="1:6">
      <c r="A4497" t="s">
        <v>53</v>
      </c>
      <c r="B4497" t="s">
        <v>28</v>
      </c>
      <c r="C4497">
        <v>2050</v>
      </c>
      <c r="D4497" t="s">
        <v>16</v>
      </c>
      <c r="E4497">
        <v>0.86</v>
      </c>
      <c r="F4497" t="s">
        <v>15</v>
      </c>
    </row>
    <row r="4498" spans="1:6">
      <c r="A4498" t="s">
        <v>53</v>
      </c>
      <c r="B4498" t="s">
        <v>28</v>
      </c>
      <c r="C4498">
        <v>2050</v>
      </c>
      <c r="D4498" t="s">
        <v>164</v>
      </c>
      <c r="E4498">
        <v>0.13900000000000001</v>
      </c>
      <c r="F4498" t="s">
        <v>166</v>
      </c>
    </row>
    <row r="4499" spans="1:6">
      <c r="A4499" t="s">
        <v>53</v>
      </c>
      <c r="B4499" t="s">
        <v>20</v>
      </c>
      <c r="C4499">
        <v>2050</v>
      </c>
      <c r="D4499" t="s">
        <v>8</v>
      </c>
      <c r="E4499">
        <v>1546.1</v>
      </c>
      <c r="F4499" t="s">
        <v>7</v>
      </c>
    </row>
    <row r="4500" spans="1:6">
      <c r="A4500" t="s">
        <v>53</v>
      </c>
      <c r="B4500" t="s">
        <v>20</v>
      </c>
      <c r="C4500">
        <v>2050</v>
      </c>
      <c r="D4500" t="s">
        <v>10</v>
      </c>
      <c r="E4500">
        <v>34.799999999999997</v>
      </c>
      <c r="F4500" t="s">
        <v>11</v>
      </c>
    </row>
    <row r="4501" spans="1:6">
      <c r="A4501" t="s">
        <v>53</v>
      </c>
      <c r="B4501" t="s">
        <v>21</v>
      </c>
      <c r="C4501">
        <v>2050</v>
      </c>
      <c r="D4501" t="s">
        <v>8</v>
      </c>
      <c r="E4501">
        <v>1546.1</v>
      </c>
      <c r="F4501" t="s">
        <v>7</v>
      </c>
    </row>
    <row r="4502" spans="1:6">
      <c r="A4502" t="s">
        <v>53</v>
      </c>
      <c r="B4502" t="s">
        <v>21</v>
      </c>
      <c r="C4502">
        <v>2050</v>
      </c>
      <c r="D4502" t="s">
        <v>10</v>
      </c>
      <c r="E4502">
        <v>34.799999999999997</v>
      </c>
      <c r="F4502" t="s">
        <v>11</v>
      </c>
    </row>
    <row r="4503" spans="1:6">
      <c r="A4503" t="s">
        <v>53</v>
      </c>
      <c r="B4503" t="s">
        <v>22</v>
      </c>
      <c r="C4503">
        <v>2050</v>
      </c>
      <c r="D4503" t="s">
        <v>8</v>
      </c>
      <c r="E4503">
        <v>1546.1</v>
      </c>
      <c r="F4503" t="s">
        <v>7</v>
      </c>
    </row>
    <row r="4504" spans="1:6">
      <c r="A4504" t="s">
        <v>53</v>
      </c>
      <c r="B4504" t="s">
        <v>22</v>
      </c>
      <c r="C4504">
        <v>2050</v>
      </c>
      <c r="D4504" t="s">
        <v>10</v>
      </c>
      <c r="E4504">
        <v>34.799999999999997</v>
      </c>
      <c r="F4504" t="s">
        <v>11</v>
      </c>
    </row>
    <row r="4505" spans="1:6">
      <c r="A4505" t="s">
        <v>53</v>
      </c>
      <c r="B4505" t="s">
        <v>23</v>
      </c>
      <c r="C4505">
        <v>2050</v>
      </c>
      <c r="D4505" t="s">
        <v>8</v>
      </c>
      <c r="E4505">
        <v>1546.1</v>
      </c>
      <c r="F4505" t="s">
        <v>7</v>
      </c>
    </row>
    <row r="4506" spans="1:6">
      <c r="A4506" t="s">
        <v>53</v>
      </c>
      <c r="B4506" t="s">
        <v>23</v>
      </c>
      <c r="C4506">
        <v>2050</v>
      </c>
      <c r="D4506" t="s">
        <v>10</v>
      </c>
      <c r="E4506">
        <v>34.799999999999997</v>
      </c>
      <c r="F4506" t="s">
        <v>11</v>
      </c>
    </row>
    <row r="4507" spans="1:6">
      <c r="A4507" t="s">
        <v>53</v>
      </c>
      <c r="B4507" t="s">
        <v>24</v>
      </c>
      <c r="C4507">
        <v>2050</v>
      </c>
      <c r="D4507" t="s">
        <v>8</v>
      </c>
      <c r="E4507">
        <v>1546.1</v>
      </c>
      <c r="F4507" t="s">
        <v>7</v>
      </c>
    </row>
    <row r="4508" spans="1:6">
      <c r="A4508" t="s">
        <v>53</v>
      </c>
      <c r="B4508" t="s">
        <v>24</v>
      </c>
      <c r="C4508">
        <v>2050</v>
      </c>
      <c r="D4508" t="s">
        <v>10</v>
      </c>
      <c r="E4508">
        <v>34.799999999999997</v>
      </c>
      <c r="F4508" t="s">
        <v>11</v>
      </c>
    </row>
    <row r="4509" spans="1:6">
      <c r="A4509" t="s">
        <v>53</v>
      </c>
      <c r="B4509" t="s">
        <v>25</v>
      </c>
      <c r="C4509">
        <v>2050</v>
      </c>
      <c r="D4509" t="s">
        <v>8</v>
      </c>
      <c r="E4509">
        <v>1546.1</v>
      </c>
      <c r="F4509" t="s">
        <v>7</v>
      </c>
    </row>
    <row r="4510" spans="1:6">
      <c r="A4510" t="s">
        <v>53</v>
      </c>
      <c r="B4510" t="s">
        <v>25</v>
      </c>
      <c r="C4510">
        <v>2050</v>
      </c>
      <c r="D4510" t="s">
        <v>10</v>
      </c>
      <c r="E4510">
        <v>34.799999999999997</v>
      </c>
      <c r="F4510" t="s">
        <v>11</v>
      </c>
    </row>
    <row r="4511" spans="1:6">
      <c r="A4511" t="s">
        <v>53</v>
      </c>
      <c r="B4511" t="s">
        <v>26</v>
      </c>
      <c r="C4511">
        <v>2050</v>
      </c>
      <c r="D4511" t="s">
        <v>8</v>
      </c>
      <c r="E4511">
        <v>1546.1</v>
      </c>
      <c r="F4511" t="s">
        <v>7</v>
      </c>
    </row>
    <row r="4512" spans="1:6">
      <c r="A4512" t="s">
        <v>53</v>
      </c>
      <c r="B4512" t="s">
        <v>26</v>
      </c>
      <c r="C4512">
        <v>2050</v>
      </c>
      <c r="D4512" t="s">
        <v>10</v>
      </c>
      <c r="E4512">
        <v>34.799999999999997</v>
      </c>
      <c r="F4512" t="s">
        <v>11</v>
      </c>
    </row>
    <row r="4513" spans="1:6">
      <c r="A4513" t="s">
        <v>53</v>
      </c>
      <c r="B4513" t="s">
        <v>27</v>
      </c>
      <c r="C4513">
        <v>2050</v>
      </c>
      <c r="D4513" t="s">
        <v>8</v>
      </c>
      <c r="E4513">
        <v>1546.1</v>
      </c>
      <c r="F4513" t="s">
        <v>7</v>
      </c>
    </row>
    <row r="4514" spans="1:6">
      <c r="A4514" t="s">
        <v>53</v>
      </c>
      <c r="B4514" t="s">
        <v>27</v>
      </c>
      <c r="C4514">
        <v>2050</v>
      </c>
      <c r="D4514" t="s">
        <v>10</v>
      </c>
      <c r="E4514">
        <v>34.799999999999997</v>
      </c>
      <c r="F4514" t="s">
        <v>11</v>
      </c>
    </row>
    <row r="4515" spans="1:6">
      <c r="A4515" t="s">
        <v>53</v>
      </c>
      <c r="B4515" t="s">
        <v>28</v>
      </c>
      <c r="C4515">
        <v>2050</v>
      </c>
      <c r="D4515" t="s">
        <v>8</v>
      </c>
      <c r="E4515">
        <v>1546.1</v>
      </c>
      <c r="F4515" t="s">
        <v>7</v>
      </c>
    </row>
    <row r="4516" spans="1:6">
      <c r="A4516" t="s">
        <v>53</v>
      </c>
      <c r="B4516" t="s">
        <v>28</v>
      </c>
      <c r="C4516">
        <v>2050</v>
      </c>
      <c r="D4516" t="s">
        <v>10</v>
      </c>
      <c r="E4516">
        <v>34.799999999999997</v>
      </c>
      <c r="F4516" t="s">
        <v>11</v>
      </c>
    </row>
    <row r="4517" spans="1:6">
      <c r="A4517" t="s">
        <v>53</v>
      </c>
      <c r="B4517" t="s">
        <v>20</v>
      </c>
      <c r="C4517">
        <v>2050</v>
      </c>
      <c r="D4517" t="s">
        <v>9</v>
      </c>
      <c r="E4517">
        <v>762</v>
      </c>
      <c r="F4517" t="s">
        <v>7</v>
      </c>
    </row>
    <row r="4518" spans="1:6">
      <c r="A4518" t="s">
        <v>53</v>
      </c>
      <c r="B4518" t="s">
        <v>20</v>
      </c>
      <c r="C4518">
        <v>2050</v>
      </c>
      <c r="D4518" t="s">
        <v>10</v>
      </c>
      <c r="E4518">
        <v>15.9</v>
      </c>
      <c r="F4518" t="s">
        <v>11</v>
      </c>
    </row>
    <row r="4519" spans="1:6">
      <c r="A4519" t="s">
        <v>53</v>
      </c>
      <c r="B4519" t="s">
        <v>21</v>
      </c>
      <c r="C4519">
        <v>2050</v>
      </c>
      <c r="D4519" t="s">
        <v>9</v>
      </c>
      <c r="E4519">
        <v>762</v>
      </c>
      <c r="F4519" t="s">
        <v>7</v>
      </c>
    </row>
    <row r="4520" spans="1:6">
      <c r="A4520" t="s">
        <v>53</v>
      </c>
      <c r="B4520" t="s">
        <v>21</v>
      </c>
      <c r="C4520">
        <v>2050</v>
      </c>
      <c r="D4520" t="s">
        <v>10</v>
      </c>
      <c r="E4520">
        <v>15.9</v>
      </c>
      <c r="F4520" t="s">
        <v>11</v>
      </c>
    </row>
    <row r="4521" spans="1:6">
      <c r="A4521" t="s">
        <v>53</v>
      </c>
      <c r="B4521" t="s">
        <v>22</v>
      </c>
      <c r="C4521">
        <v>2050</v>
      </c>
      <c r="D4521" t="s">
        <v>9</v>
      </c>
      <c r="E4521">
        <v>762</v>
      </c>
      <c r="F4521" t="s">
        <v>7</v>
      </c>
    </row>
    <row r="4522" spans="1:6">
      <c r="A4522" t="s">
        <v>53</v>
      </c>
      <c r="B4522" t="s">
        <v>22</v>
      </c>
      <c r="C4522">
        <v>2050</v>
      </c>
      <c r="D4522" t="s">
        <v>10</v>
      </c>
      <c r="E4522">
        <v>15.9</v>
      </c>
      <c r="F4522" t="s">
        <v>11</v>
      </c>
    </row>
    <row r="4523" spans="1:6">
      <c r="A4523" t="s">
        <v>53</v>
      </c>
      <c r="B4523" t="s">
        <v>23</v>
      </c>
      <c r="C4523">
        <v>2050</v>
      </c>
      <c r="D4523" t="s">
        <v>9</v>
      </c>
      <c r="E4523">
        <v>762</v>
      </c>
      <c r="F4523" t="s">
        <v>7</v>
      </c>
    </row>
    <row r="4524" spans="1:6">
      <c r="A4524" t="s">
        <v>53</v>
      </c>
      <c r="B4524" t="s">
        <v>23</v>
      </c>
      <c r="C4524">
        <v>2050</v>
      </c>
      <c r="D4524" t="s">
        <v>10</v>
      </c>
      <c r="E4524">
        <v>15.9</v>
      </c>
      <c r="F4524" t="s">
        <v>11</v>
      </c>
    </row>
    <row r="4525" spans="1:6">
      <c r="A4525" t="s">
        <v>53</v>
      </c>
      <c r="B4525" t="s">
        <v>24</v>
      </c>
      <c r="C4525">
        <v>2050</v>
      </c>
      <c r="D4525" t="s">
        <v>9</v>
      </c>
      <c r="E4525">
        <v>762</v>
      </c>
      <c r="F4525" t="s">
        <v>7</v>
      </c>
    </row>
    <row r="4526" spans="1:6">
      <c r="A4526" t="s">
        <v>53</v>
      </c>
      <c r="B4526" t="s">
        <v>24</v>
      </c>
      <c r="C4526">
        <v>2050</v>
      </c>
      <c r="D4526" t="s">
        <v>10</v>
      </c>
      <c r="E4526">
        <v>15.9</v>
      </c>
      <c r="F4526" t="s">
        <v>11</v>
      </c>
    </row>
    <row r="4527" spans="1:6">
      <c r="A4527" t="s">
        <v>53</v>
      </c>
      <c r="B4527" t="s">
        <v>25</v>
      </c>
      <c r="C4527">
        <v>2050</v>
      </c>
      <c r="D4527" t="s">
        <v>9</v>
      </c>
      <c r="E4527">
        <v>762</v>
      </c>
      <c r="F4527" t="s">
        <v>7</v>
      </c>
    </row>
    <row r="4528" spans="1:6">
      <c r="A4528" t="s">
        <v>53</v>
      </c>
      <c r="B4528" t="s">
        <v>25</v>
      </c>
      <c r="C4528">
        <v>2050</v>
      </c>
      <c r="D4528" t="s">
        <v>10</v>
      </c>
      <c r="E4528">
        <v>15.9</v>
      </c>
      <c r="F4528" t="s">
        <v>11</v>
      </c>
    </row>
    <row r="4529" spans="1:6">
      <c r="A4529" t="s">
        <v>53</v>
      </c>
      <c r="B4529" t="s">
        <v>26</v>
      </c>
      <c r="C4529">
        <v>2050</v>
      </c>
      <c r="D4529" t="s">
        <v>9</v>
      </c>
      <c r="E4529">
        <v>762</v>
      </c>
      <c r="F4529" t="s">
        <v>7</v>
      </c>
    </row>
    <row r="4530" spans="1:6">
      <c r="A4530" t="s">
        <v>53</v>
      </c>
      <c r="B4530" t="s">
        <v>26</v>
      </c>
      <c r="C4530">
        <v>2050</v>
      </c>
      <c r="D4530" t="s">
        <v>10</v>
      </c>
      <c r="E4530">
        <v>15.9</v>
      </c>
      <c r="F4530" t="s">
        <v>11</v>
      </c>
    </row>
    <row r="4531" spans="1:6">
      <c r="A4531" t="s">
        <v>53</v>
      </c>
      <c r="B4531" t="s">
        <v>27</v>
      </c>
      <c r="C4531">
        <v>2050</v>
      </c>
      <c r="D4531" t="s">
        <v>9</v>
      </c>
      <c r="E4531">
        <v>762</v>
      </c>
      <c r="F4531" t="s">
        <v>7</v>
      </c>
    </row>
    <row r="4532" spans="1:6">
      <c r="A4532" t="s">
        <v>53</v>
      </c>
      <c r="B4532" t="s">
        <v>27</v>
      </c>
      <c r="C4532">
        <v>2050</v>
      </c>
      <c r="D4532" t="s">
        <v>10</v>
      </c>
      <c r="E4532">
        <v>15.9</v>
      </c>
      <c r="F4532" t="s">
        <v>11</v>
      </c>
    </row>
    <row r="4533" spans="1:6">
      <c r="A4533" t="s">
        <v>53</v>
      </c>
      <c r="B4533" t="s">
        <v>28</v>
      </c>
      <c r="C4533">
        <v>2050</v>
      </c>
      <c r="D4533" t="s">
        <v>9</v>
      </c>
      <c r="E4533">
        <v>762</v>
      </c>
      <c r="F4533" t="s">
        <v>7</v>
      </c>
    </row>
    <row r="4534" spans="1:6">
      <c r="A4534" t="s">
        <v>53</v>
      </c>
      <c r="B4534" t="s">
        <v>28</v>
      </c>
      <c r="C4534">
        <v>2050</v>
      </c>
      <c r="D4534" t="s">
        <v>10</v>
      </c>
      <c r="E4534">
        <v>15.9</v>
      </c>
      <c r="F4534" t="s">
        <v>11</v>
      </c>
    </row>
    <row r="4535" spans="1:6">
      <c r="A4535" t="s">
        <v>54</v>
      </c>
      <c r="B4535" t="s">
        <v>20</v>
      </c>
      <c r="C4535">
        <v>2022</v>
      </c>
      <c r="D4535" t="s">
        <v>6</v>
      </c>
      <c r="E4535">
        <v>3721.6</v>
      </c>
      <c r="F4535" t="s">
        <v>7</v>
      </c>
    </row>
    <row r="4536" spans="1:6">
      <c r="A4536" t="s">
        <v>54</v>
      </c>
      <c r="B4536" t="s">
        <v>20</v>
      </c>
      <c r="C4536">
        <v>2022</v>
      </c>
      <c r="D4536" t="s">
        <v>10</v>
      </c>
      <c r="E4536">
        <v>87.3</v>
      </c>
      <c r="F4536" t="s">
        <v>11</v>
      </c>
    </row>
    <row r="4537" spans="1:6">
      <c r="A4537" t="s">
        <v>54</v>
      </c>
      <c r="B4537" t="s">
        <v>20</v>
      </c>
      <c r="C4537">
        <v>2022</v>
      </c>
      <c r="D4537" t="s">
        <v>16</v>
      </c>
      <c r="E4537">
        <v>0.86</v>
      </c>
      <c r="F4537" t="s">
        <v>15</v>
      </c>
    </row>
    <row r="4538" spans="1:6">
      <c r="A4538" t="s">
        <v>54</v>
      </c>
      <c r="B4538" t="s">
        <v>20</v>
      </c>
      <c r="C4538">
        <v>2022</v>
      </c>
      <c r="D4538" t="s">
        <v>164</v>
      </c>
      <c r="E4538">
        <v>0.13900000000000001</v>
      </c>
      <c r="F4538" t="s">
        <v>166</v>
      </c>
    </row>
    <row r="4539" spans="1:6">
      <c r="A4539" t="s">
        <v>54</v>
      </c>
      <c r="B4539" t="s">
        <v>21</v>
      </c>
      <c r="C4539">
        <v>2022</v>
      </c>
      <c r="D4539" t="s">
        <v>6</v>
      </c>
      <c r="E4539">
        <v>3721.6</v>
      </c>
      <c r="F4539" t="s">
        <v>7</v>
      </c>
    </row>
    <row r="4540" spans="1:6">
      <c r="A4540" t="s">
        <v>54</v>
      </c>
      <c r="B4540" t="s">
        <v>21</v>
      </c>
      <c r="C4540">
        <v>2022</v>
      </c>
      <c r="D4540" t="s">
        <v>10</v>
      </c>
      <c r="E4540">
        <v>87.3</v>
      </c>
      <c r="F4540" t="s">
        <v>11</v>
      </c>
    </row>
    <row r="4541" spans="1:6">
      <c r="A4541" t="s">
        <v>54</v>
      </c>
      <c r="B4541" t="s">
        <v>21</v>
      </c>
      <c r="C4541">
        <v>2022</v>
      </c>
      <c r="D4541" t="s">
        <v>16</v>
      </c>
      <c r="E4541">
        <v>0.86</v>
      </c>
      <c r="F4541" t="s">
        <v>15</v>
      </c>
    </row>
    <row r="4542" spans="1:6">
      <c r="A4542" t="s">
        <v>54</v>
      </c>
      <c r="B4542" t="s">
        <v>21</v>
      </c>
      <c r="C4542">
        <v>2022</v>
      </c>
      <c r="D4542" t="s">
        <v>164</v>
      </c>
      <c r="E4542">
        <v>0.13900000000000001</v>
      </c>
      <c r="F4542" t="s">
        <v>166</v>
      </c>
    </row>
    <row r="4543" spans="1:6">
      <c r="A4543" t="s">
        <v>54</v>
      </c>
      <c r="B4543" t="s">
        <v>22</v>
      </c>
      <c r="C4543">
        <v>2022</v>
      </c>
      <c r="D4543" t="s">
        <v>6</v>
      </c>
      <c r="E4543">
        <v>3721.6</v>
      </c>
      <c r="F4543" t="s">
        <v>7</v>
      </c>
    </row>
    <row r="4544" spans="1:6">
      <c r="A4544" t="s">
        <v>54</v>
      </c>
      <c r="B4544" t="s">
        <v>22</v>
      </c>
      <c r="C4544">
        <v>2022</v>
      </c>
      <c r="D4544" t="s">
        <v>10</v>
      </c>
      <c r="E4544">
        <v>87.3</v>
      </c>
      <c r="F4544" t="s">
        <v>11</v>
      </c>
    </row>
    <row r="4545" spans="1:6">
      <c r="A4545" t="s">
        <v>54</v>
      </c>
      <c r="B4545" t="s">
        <v>22</v>
      </c>
      <c r="C4545">
        <v>2022</v>
      </c>
      <c r="D4545" t="s">
        <v>16</v>
      </c>
      <c r="E4545">
        <v>0.86</v>
      </c>
      <c r="F4545" t="s">
        <v>15</v>
      </c>
    </row>
    <row r="4546" spans="1:6">
      <c r="A4546" t="s">
        <v>54</v>
      </c>
      <c r="B4546" t="s">
        <v>22</v>
      </c>
      <c r="C4546">
        <v>2022</v>
      </c>
      <c r="D4546" t="s">
        <v>164</v>
      </c>
      <c r="E4546">
        <v>0.13900000000000001</v>
      </c>
      <c r="F4546" t="s">
        <v>166</v>
      </c>
    </row>
    <row r="4547" spans="1:6">
      <c r="A4547" t="s">
        <v>54</v>
      </c>
      <c r="B4547" t="s">
        <v>23</v>
      </c>
      <c r="C4547">
        <v>2022</v>
      </c>
      <c r="D4547" t="s">
        <v>6</v>
      </c>
      <c r="E4547">
        <v>3721.6</v>
      </c>
      <c r="F4547" t="s">
        <v>7</v>
      </c>
    </row>
    <row r="4548" spans="1:6">
      <c r="A4548" t="s">
        <v>54</v>
      </c>
      <c r="B4548" t="s">
        <v>23</v>
      </c>
      <c r="C4548">
        <v>2022</v>
      </c>
      <c r="D4548" t="s">
        <v>10</v>
      </c>
      <c r="E4548">
        <v>87.3</v>
      </c>
      <c r="F4548" t="s">
        <v>11</v>
      </c>
    </row>
    <row r="4549" spans="1:6">
      <c r="A4549" t="s">
        <v>54</v>
      </c>
      <c r="B4549" t="s">
        <v>23</v>
      </c>
      <c r="C4549">
        <v>2022</v>
      </c>
      <c r="D4549" t="s">
        <v>16</v>
      </c>
      <c r="E4549">
        <v>0.86</v>
      </c>
      <c r="F4549" t="s">
        <v>15</v>
      </c>
    </row>
    <row r="4550" spans="1:6">
      <c r="A4550" t="s">
        <v>54</v>
      </c>
      <c r="B4550" t="s">
        <v>23</v>
      </c>
      <c r="C4550">
        <v>2022</v>
      </c>
      <c r="D4550" t="s">
        <v>164</v>
      </c>
      <c r="E4550">
        <v>0.13900000000000001</v>
      </c>
      <c r="F4550" t="s">
        <v>166</v>
      </c>
    </row>
    <row r="4551" spans="1:6">
      <c r="A4551" t="s">
        <v>54</v>
      </c>
      <c r="B4551" t="s">
        <v>24</v>
      </c>
      <c r="C4551">
        <v>2022</v>
      </c>
      <c r="D4551" t="s">
        <v>6</v>
      </c>
      <c r="E4551">
        <v>3721.6</v>
      </c>
      <c r="F4551" t="s">
        <v>7</v>
      </c>
    </row>
    <row r="4552" spans="1:6">
      <c r="A4552" t="s">
        <v>54</v>
      </c>
      <c r="B4552" t="s">
        <v>24</v>
      </c>
      <c r="C4552">
        <v>2022</v>
      </c>
      <c r="D4552" t="s">
        <v>10</v>
      </c>
      <c r="E4552">
        <v>87.3</v>
      </c>
      <c r="F4552" t="s">
        <v>11</v>
      </c>
    </row>
    <row r="4553" spans="1:6">
      <c r="A4553" t="s">
        <v>54</v>
      </c>
      <c r="B4553" t="s">
        <v>24</v>
      </c>
      <c r="C4553">
        <v>2022</v>
      </c>
      <c r="D4553" t="s">
        <v>16</v>
      </c>
      <c r="E4553">
        <v>0.86</v>
      </c>
      <c r="F4553" t="s">
        <v>15</v>
      </c>
    </row>
    <row r="4554" spans="1:6">
      <c r="A4554" t="s">
        <v>54</v>
      </c>
      <c r="B4554" t="s">
        <v>24</v>
      </c>
      <c r="C4554">
        <v>2022</v>
      </c>
      <c r="D4554" t="s">
        <v>164</v>
      </c>
      <c r="E4554">
        <v>0.13900000000000001</v>
      </c>
      <c r="F4554" t="s">
        <v>166</v>
      </c>
    </row>
    <row r="4555" spans="1:6">
      <c r="A4555" t="s">
        <v>54</v>
      </c>
      <c r="B4555" t="s">
        <v>25</v>
      </c>
      <c r="C4555">
        <v>2022</v>
      </c>
      <c r="D4555" t="s">
        <v>6</v>
      </c>
      <c r="E4555">
        <v>3721.6</v>
      </c>
      <c r="F4555" t="s">
        <v>7</v>
      </c>
    </row>
    <row r="4556" spans="1:6">
      <c r="A4556" t="s">
        <v>54</v>
      </c>
      <c r="B4556" t="s">
        <v>25</v>
      </c>
      <c r="C4556">
        <v>2022</v>
      </c>
      <c r="D4556" t="s">
        <v>10</v>
      </c>
      <c r="E4556">
        <v>87.3</v>
      </c>
      <c r="F4556" t="s">
        <v>11</v>
      </c>
    </row>
    <row r="4557" spans="1:6">
      <c r="A4557" t="s">
        <v>54</v>
      </c>
      <c r="B4557" t="s">
        <v>25</v>
      </c>
      <c r="C4557">
        <v>2022</v>
      </c>
      <c r="D4557" t="s">
        <v>16</v>
      </c>
      <c r="E4557">
        <v>0.86</v>
      </c>
      <c r="F4557" t="s">
        <v>15</v>
      </c>
    </row>
    <row r="4558" spans="1:6">
      <c r="A4558" t="s">
        <v>54</v>
      </c>
      <c r="B4558" t="s">
        <v>25</v>
      </c>
      <c r="C4558">
        <v>2022</v>
      </c>
      <c r="D4558" t="s">
        <v>164</v>
      </c>
      <c r="E4558">
        <v>0.13900000000000001</v>
      </c>
      <c r="F4558" t="s">
        <v>166</v>
      </c>
    </row>
    <row r="4559" spans="1:6">
      <c r="A4559" t="s">
        <v>54</v>
      </c>
      <c r="B4559" t="s">
        <v>26</v>
      </c>
      <c r="C4559">
        <v>2022</v>
      </c>
      <c r="D4559" t="s">
        <v>6</v>
      </c>
      <c r="E4559">
        <v>3721.6</v>
      </c>
      <c r="F4559" t="s">
        <v>7</v>
      </c>
    </row>
    <row r="4560" spans="1:6">
      <c r="A4560" t="s">
        <v>54</v>
      </c>
      <c r="B4560" t="s">
        <v>26</v>
      </c>
      <c r="C4560">
        <v>2022</v>
      </c>
      <c r="D4560" t="s">
        <v>10</v>
      </c>
      <c r="E4560">
        <v>87.3</v>
      </c>
      <c r="F4560" t="s">
        <v>11</v>
      </c>
    </row>
    <row r="4561" spans="1:6">
      <c r="A4561" t="s">
        <v>54</v>
      </c>
      <c r="B4561" t="s">
        <v>26</v>
      </c>
      <c r="C4561">
        <v>2022</v>
      </c>
      <c r="D4561" t="s">
        <v>16</v>
      </c>
      <c r="E4561">
        <v>0.86</v>
      </c>
      <c r="F4561" t="s">
        <v>15</v>
      </c>
    </row>
    <row r="4562" spans="1:6">
      <c r="A4562" t="s">
        <v>54</v>
      </c>
      <c r="B4562" t="s">
        <v>26</v>
      </c>
      <c r="C4562">
        <v>2022</v>
      </c>
      <c r="D4562" t="s">
        <v>164</v>
      </c>
      <c r="E4562">
        <v>0.13900000000000001</v>
      </c>
      <c r="F4562" t="s">
        <v>166</v>
      </c>
    </row>
    <row r="4563" spans="1:6">
      <c r="A4563" t="s">
        <v>54</v>
      </c>
      <c r="B4563" t="s">
        <v>27</v>
      </c>
      <c r="C4563">
        <v>2022</v>
      </c>
      <c r="D4563" t="s">
        <v>6</v>
      </c>
      <c r="E4563">
        <v>3721.6</v>
      </c>
      <c r="F4563" t="s">
        <v>7</v>
      </c>
    </row>
    <row r="4564" spans="1:6">
      <c r="A4564" t="s">
        <v>54</v>
      </c>
      <c r="B4564" t="s">
        <v>27</v>
      </c>
      <c r="C4564">
        <v>2022</v>
      </c>
      <c r="D4564" t="s">
        <v>10</v>
      </c>
      <c r="E4564">
        <v>87.3</v>
      </c>
      <c r="F4564" t="s">
        <v>11</v>
      </c>
    </row>
    <row r="4565" spans="1:6">
      <c r="A4565" t="s">
        <v>54</v>
      </c>
      <c r="B4565" t="s">
        <v>27</v>
      </c>
      <c r="C4565">
        <v>2022</v>
      </c>
      <c r="D4565" t="s">
        <v>16</v>
      </c>
      <c r="E4565">
        <v>0.86</v>
      </c>
      <c r="F4565" t="s">
        <v>15</v>
      </c>
    </row>
    <row r="4566" spans="1:6">
      <c r="A4566" t="s">
        <v>54</v>
      </c>
      <c r="B4566" t="s">
        <v>27</v>
      </c>
      <c r="C4566">
        <v>2022</v>
      </c>
      <c r="D4566" t="s">
        <v>164</v>
      </c>
      <c r="E4566">
        <v>0.13900000000000001</v>
      </c>
      <c r="F4566" t="s">
        <v>166</v>
      </c>
    </row>
    <row r="4567" spans="1:6">
      <c r="A4567" t="s">
        <v>54</v>
      </c>
      <c r="B4567" t="s">
        <v>28</v>
      </c>
      <c r="C4567">
        <v>2022</v>
      </c>
      <c r="D4567" t="s">
        <v>6</v>
      </c>
      <c r="E4567">
        <v>3721.6</v>
      </c>
      <c r="F4567" t="s">
        <v>7</v>
      </c>
    </row>
    <row r="4568" spans="1:6">
      <c r="A4568" t="s">
        <v>54</v>
      </c>
      <c r="B4568" t="s">
        <v>28</v>
      </c>
      <c r="C4568">
        <v>2022</v>
      </c>
      <c r="D4568" t="s">
        <v>10</v>
      </c>
      <c r="E4568">
        <v>87.3</v>
      </c>
      <c r="F4568" t="s">
        <v>11</v>
      </c>
    </row>
    <row r="4569" spans="1:6">
      <c r="A4569" t="s">
        <v>54</v>
      </c>
      <c r="B4569" t="s">
        <v>28</v>
      </c>
      <c r="C4569">
        <v>2022</v>
      </c>
      <c r="D4569" t="s">
        <v>16</v>
      </c>
      <c r="E4569">
        <v>0.86</v>
      </c>
      <c r="F4569" t="s">
        <v>15</v>
      </c>
    </row>
    <row r="4570" spans="1:6">
      <c r="A4570" t="s">
        <v>54</v>
      </c>
      <c r="B4570" t="s">
        <v>28</v>
      </c>
      <c r="C4570">
        <v>2022</v>
      </c>
      <c r="D4570" t="s">
        <v>164</v>
      </c>
      <c r="E4570">
        <v>0.13900000000000001</v>
      </c>
      <c r="F4570" t="s">
        <v>166</v>
      </c>
    </row>
    <row r="4571" spans="1:6">
      <c r="A4571" t="s">
        <v>54</v>
      </c>
      <c r="B4571" t="s">
        <v>20</v>
      </c>
      <c r="C4571">
        <v>2022</v>
      </c>
      <c r="D4571" t="s">
        <v>8</v>
      </c>
      <c r="E4571">
        <v>3721.6</v>
      </c>
      <c r="F4571" t="s">
        <v>7</v>
      </c>
    </row>
    <row r="4572" spans="1:6">
      <c r="A4572" t="s">
        <v>54</v>
      </c>
      <c r="B4572" t="s">
        <v>21</v>
      </c>
      <c r="C4572">
        <v>2022</v>
      </c>
      <c r="D4572" t="s">
        <v>8</v>
      </c>
      <c r="E4572">
        <v>3721.6</v>
      </c>
      <c r="F4572" t="s">
        <v>7</v>
      </c>
    </row>
    <row r="4573" spans="1:6">
      <c r="A4573" t="s">
        <v>54</v>
      </c>
      <c r="B4573" t="s">
        <v>22</v>
      </c>
      <c r="C4573">
        <v>2022</v>
      </c>
      <c r="D4573" t="s">
        <v>8</v>
      </c>
      <c r="E4573">
        <v>3721.6</v>
      </c>
      <c r="F4573" t="s">
        <v>7</v>
      </c>
    </row>
    <row r="4574" spans="1:6">
      <c r="A4574" t="s">
        <v>54</v>
      </c>
      <c r="B4574" t="s">
        <v>23</v>
      </c>
      <c r="C4574">
        <v>2022</v>
      </c>
      <c r="D4574" t="s">
        <v>8</v>
      </c>
      <c r="E4574">
        <v>3721.6</v>
      </c>
      <c r="F4574" t="s">
        <v>7</v>
      </c>
    </row>
    <row r="4575" spans="1:6">
      <c r="A4575" t="s">
        <v>54</v>
      </c>
      <c r="B4575" t="s">
        <v>24</v>
      </c>
      <c r="C4575">
        <v>2022</v>
      </c>
      <c r="D4575" t="s">
        <v>8</v>
      </c>
      <c r="E4575">
        <v>3721.6</v>
      </c>
      <c r="F4575" t="s">
        <v>7</v>
      </c>
    </row>
    <row r="4576" spans="1:6">
      <c r="A4576" t="s">
        <v>54</v>
      </c>
      <c r="B4576" t="s">
        <v>25</v>
      </c>
      <c r="C4576">
        <v>2022</v>
      </c>
      <c r="D4576" t="s">
        <v>8</v>
      </c>
      <c r="E4576">
        <v>3721.6</v>
      </c>
      <c r="F4576" t="s">
        <v>7</v>
      </c>
    </row>
    <row r="4577" spans="1:6">
      <c r="A4577" t="s">
        <v>54</v>
      </c>
      <c r="B4577" t="s">
        <v>26</v>
      </c>
      <c r="C4577">
        <v>2022</v>
      </c>
      <c r="D4577" t="s">
        <v>8</v>
      </c>
      <c r="E4577">
        <v>3721.6</v>
      </c>
      <c r="F4577" t="s">
        <v>7</v>
      </c>
    </row>
    <row r="4578" spans="1:6">
      <c r="A4578" t="s">
        <v>54</v>
      </c>
      <c r="B4578" t="s">
        <v>27</v>
      </c>
      <c r="C4578">
        <v>2022</v>
      </c>
      <c r="D4578" t="s">
        <v>8</v>
      </c>
      <c r="E4578">
        <v>3721.6</v>
      </c>
      <c r="F4578" t="s">
        <v>7</v>
      </c>
    </row>
    <row r="4579" spans="1:6">
      <c r="A4579" t="s">
        <v>54</v>
      </c>
      <c r="B4579" t="s">
        <v>28</v>
      </c>
      <c r="C4579">
        <v>2022</v>
      </c>
      <c r="D4579" t="s">
        <v>8</v>
      </c>
      <c r="E4579">
        <v>3721.6</v>
      </c>
      <c r="F4579" t="s">
        <v>7</v>
      </c>
    </row>
    <row r="4580" spans="1:6">
      <c r="A4580" t="s">
        <v>54</v>
      </c>
      <c r="B4580" t="s">
        <v>20</v>
      </c>
      <c r="C4580">
        <v>2022</v>
      </c>
      <c r="D4580" t="s">
        <v>9</v>
      </c>
      <c r="E4580">
        <v>3721.6</v>
      </c>
      <c r="F4580" t="s">
        <v>7</v>
      </c>
    </row>
    <row r="4581" spans="1:6">
      <c r="A4581" t="s">
        <v>54</v>
      </c>
      <c r="B4581" t="s">
        <v>21</v>
      </c>
      <c r="C4581">
        <v>2022</v>
      </c>
      <c r="D4581" t="s">
        <v>9</v>
      </c>
      <c r="E4581">
        <v>3721.6</v>
      </c>
      <c r="F4581" t="s">
        <v>7</v>
      </c>
    </row>
    <row r="4582" spans="1:6">
      <c r="A4582" t="s">
        <v>54</v>
      </c>
      <c r="B4582" t="s">
        <v>22</v>
      </c>
      <c r="C4582">
        <v>2022</v>
      </c>
      <c r="D4582" t="s">
        <v>9</v>
      </c>
      <c r="E4582">
        <v>3721.6</v>
      </c>
      <c r="F4582" t="s">
        <v>7</v>
      </c>
    </row>
    <row r="4583" spans="1:6">
      <c r="A4583" t="s">
        <v>54</v>
      </c>
      <c r="B4583" t="s">
        <v>23</v>
      </c>
      <c r="C4583">
        <v>2022</v>
      </c>
      <c r="D4583" t="s">
        <v>9</v>
      </c>
      <c r="E4583">
        <v>3721.6</v>
      </c>
      <c r="F4583" t="s">
        <v>7</v>
      </c>
    </row>
    <row r="4584" spans="1:6">
      <c r="A4584" t="s">
        <v>54</v>
      </c>
      <c r="B4584" t="s">
        <v>24</v>
      </c>
      <c r="C4584">
        <v>2022</v>
      </c>
      <c r="D4584" t="s">
        <v>9</v>
      </c>
      <c r="E4584">
        <v>3721.6</v>
      </c>
      <c r="F4584" t="s">
        <v>7</v>
      </c>
    </row>
    <row r="4585" spans="1:6">
      <c r="A4585" t="s">
        <v>54</v>
      </c>
      <c r="B4585" t="s">
        <v>25</v>
      </c>
      <c r="C4585">
        <v>2022</v>
      </c>
      <c r="D4585" t="s">
        <v>9</v>
      </c>
      <c r="E4585">
        <v>3721.6</v>
      </c>
      <c r="F4585" t="s">
        <v>7</v>
      </c>
    </row>
    <row r="4586" spans="1:6">
      <c r="A4586" t="s">
        <v>54</v>
      </c>
      <c r="B4586" t="s">
        <v>26</v>
      </c>
      <c r="C4586">
        <v>2022</v>
      </c>
      <c r="D4586" t="s">
        <v>9</v>
      </c>
      <c r="E4586">
        <v>3721.6</v>
      </c>
      <c r="F4586" t="s">
        <v>7</v>
      </c>
    </row>
    <row r="4587" spans="1:6">
      <c r="A4587" t="s">
        <v>54</v>
      </c>
      <c r="B4587" t="s">
        <v>27</v>
      </c>
      <c r="C4587">
        <v>2022</v>
      </c>
      <c r="D4587" t="s">
        <v>9</v>
      </c>
      <c r="E4587">
        <v>3721.6</v>
      </c>
      <c r="F4587" t="s">
        <v>7</v>
      </c>
    </row>
    <row r="4588" spans="1:6">
      <c r="A4588" t="s">
        <v>54</v>
      </c>
      <c r="B4588" t="s">
        <v>28</v>
      </c>
      <c r="C4588">
        <v>2022</v>
      </c>
      <c r="D4588" t="s">
        <v>9</v>
      </c>
      <c r="E4588">
        <v>3721.6</v>
      </c>
      <c r="F4588" t="s">
        <v>7</v>
      </c>
    </row>
    <row r="4589" spans="1:6">
      <c r="A4589" t="s">
        <v>54</v>
      </c>
      <c r="B4589" t="s">
        <v>20</v>
      </c>
      <c r="C4589">
        <v>2025</v>
      </c>
      <c r="D4589" t="s">
        <v>6</v>
      </c>
      <c r="E4589">
        <v>2996.4</v>
      </c>
      <c r="F4589" t="s">
        <v>7</v>
      </c>
    </row>
    <row r="4590" spans="1:6">
      <c r="A4590" t="s">
        <v>54</v>
      </c>
      <c r="B4590" t="s">
        <v>20</v>
      </c>
      <c r="C4590">
        <v>2025</v>
      </c>
      <c r="D4590" t="s">
        <v>10</v>
      </c>
      <c r="E4590">
        <v>69.8</v>
      </c>
      <c r="F4590" t="s">
        <v>11</v>
      </c>
    </row>
    <row r="4591" spans="1:6">
      <c r="A4591" t="s">
        <v>54</v>
      </c>
      <c r="B4591" t="s">
        <v>20</v>
      </c>
      <c r="C4591">
        <v>2025</v>
      </c>
      <c r="D4591" t="s">
        <v>16</v>
      </c>
      <c r="E4591">
        <v>0.86</v>
      </c>
      <c r="F4591" t="s">
        <v>15</v>
      </c>
    </row>
    <row r="4592" spans="1:6">
      <c r="A4592" t="s">
        <v>54</v>
      </c>
      <c r="B4592" t="s">
        <v>20</v>
      </c>
      <c r="C4592">
        <v>2025</v>
      </c>
      <c r="D4592" t="s">
        <v>164</v>
      </c>
      <c r="E4592">
        <v>0.13900000000000001</v>
      </c>
      <c r="F4592" t="s">
        <v>166</v>
      </c>
    </row>
    <row r="4593" spans="1:6">
      <c r="A4593" t="s">
        <v>54</v>
      </c>
      <c r="B4593" t="s">
        <v>21</v>
      </c>
      <c r="C4593">
        <v>2025</v>
      </c>
      <c r="D4593" t="s">
        <v>6</v>
      </c>
      <c r="E4593">
        <v>2996.4</v>
      </c>
      <c r="F4593" t="s">
        <v>7</v>
      </c>
    </row>
    <row r="4594" spans="1:6">
      <c r="A4594" t="s">
        <v>54</v>
      </c>
      <c r="B4594" t="s">
        <v>21</v>
      </c>
      <c r="C4594">
        <v>2025</v>
      </c>
      <c r="D4594" t="s">
        <v>10</v>
      </c>
      <c r="E4594">
        <v>69.8</v>
      </c>
      <c r="F4594" t="s">
        <v>11</v>
      </c>
    </row>
    <row r="4595" spans="1:6">
      <c r="A4595" t="s">
        <v>54</v>
      </c>
      <c r="B4595" t="s">
        <v>21</v>
      </c>
      <c r="C4595">
        <v>2025</v>
      </c>
      <c r="D4595" t="s">
        <v>16</v>
      </c>
      <c r="E4595">
        <v>0.86</v>
      </c>
      <c r="F4595" t="s">
        <v>15</v>
      </c>
    </row>
    <row r="4596" spans="1:6">
      <c r="A4596" t="s">
        <v>54</v>
      </c>
      <c r="B4596" t="s">
        <v>21</v>
      </c>
      <c r="C4596">
        <v>2025</v>
      </c>
      <c r="D4596" t="s">
        <v>164</v>
      </c>
      <c r="E4596">
        <v>0.13900000000000001</v>
      </c>
      <c r="F4596" t="s">
        <v>166</v>
      </c>
    </row>
    <row r="4597" spans="1:6">
      <c r="A4597" t="s">
        <v>54</v>
      </c>
      <c r="B4597" t="s">
        <v>22</v>
      </c>
      <c r="C4597">
        <v>2025</v>
      </c>
      <c r="D4597" t="s">
        <v>6</v>
      </c>
      <c r="E4597">
        <v>2996.4</v>
      </c>
      <c r="F4597" t="s">
        <v>7</v>
      </c>
    </row>
    <row r="4598" spans="1:6">
      <c r="A4598" t="s">
        <v>54</v>
      </c>
      <c r="B4598" t="s">
        <v>22</v>
      </c>
      <c r="C4598">
        <v>2025</v>
      </c>
      <c r="D4598" t="s">
        <v>10</v>
      </c>
      <c r="E4598">
        <v>69.8</v>
      </c>
      <c r="F4598" t="s">
        <v>11</v>
      </c>
    </row>
    <row r="4599" spans="1:6">
      <c r="A4599" t="s">
        <v>54</v>
      </c>
      <c r="B4599" t="s">
        <v>22</v>
      </c>
      <c r="C4599">
        <v>2025</v>
      </c>
      <c r="D4599" t="s">
        <v>16</v>
      </c>
      <c r="E4599">
        <v>0.86</v>
      </c>
      <c r="F4599" t="s">
        <v>15</v>
      </c>
    </row>
    <row r="4600" spans="1:6">
      <c r="A4600" t="s">
        <v>54</v>
      </c>
      <c r="B4600" t="s">
        <v>22</v>
      </c>
      <c r="C4600">
        <v>2025</v>
      </c>
      <c r="D4600" t="s">
        <v>164</v>
      </c>
      <c r="E4600">
        <v>0.13900000000000001</v>
      </c>
      <c r="F4600" t="s">
        <v>166</v>
      </c>
    </row>
    <row r="4601" spans="1:6">
      <c r="A4601" t="s">
        <v>54</v>
      </c>
      <c r="B4601" t="s">
        <v>23</v>
      </c>
      <c r="C4601">
        <v>2025</v>
      </c>
      <c r="D4601" t="s">
        <v>6</v>
      </c>
      <c r="E4601">
        <v>2996.4</v>
      </c>
      <c r="F4601" t="s">
        <v>7</v>
      </c>
    </row>
    <row r="4602" spans="1:6">
      <c r="A4602" t="s">
        <v>54</v>
      </c>
      <c r="B4602" t="s">
        <v>23</v>
      </c>
      <c r="C4602">
        <v>2025</v>
      </c>
      <c r="D4602" t="s">
        <v>10</v>
      </c>
      <c r="E4602">
        <v>69.8</v>
      </c>
      <c r="F4602" t="s">
        <v>11</v>
      </c>
    </row>
    <row r="4603" spans="1:6">
      <c r="A4603" t="s">
        <v>54</v>
      </c>
      <c r="B4603" t="s">
        <v>23</v>
      </c>
      <c r="C4603">
        <v>2025</v>
      </c>
      <c r="D4603" t="s">
        <v>16</v>
      </c>
      <c r="E4603">
        <v>0.86</v>
      </c>
      <c r="F4603" t="s">
        <v>15</v>
      </c>
    </row>
    <row r="4604" spans="1:6">
      <c r="A4604" t="s">
        <v>54</v>
      </c>
      <c r="B4604" t="s">
        <v>23</v>
      </c>
      <c r="C4604">
        <v>2025</v>
      </c>
      <c r="D4604" t="s">
        <v>164</v>
      </c>
      <c r="E4604">
        <v>0.13900000000000001</v>
      </c>
      <c r="F4604" t="s">
        <v>166</v>
      </c>
    </row>
    <row r="4605" spans="1:6">
      <c r="A4605" t="s">
        <v>54</v>
      </c>
      <c r="B4605" t="s">
        <v>24</v>
      </c>
      <c r="C4605">
        <v>2025</v>
      </c>
      <c r="D4605" t="s">
        <v>6</v>
      </c>
      <c r="E4605">
        <v>2996.4</v>
      </c>
      <c r="F4605" t="s">
        <v>7</v>
      </c>
    </row>
    <row r="4606" spans="1:6">
      <c r="A4606" t="s">
        <v>54</v>
      </c>
      <c r="B4606" t="s">
        <v>24</v>
      </c>
      <c r="C4606">
        <v>2025</v>
      </c>
      <c r="D4606" t="s">
        <v>10</v>
      </c>
      <c r="E4606">
        <v>69.8</v>
      </c>
      <c r="F4606" t="s">
        <v>11</v>
      </c>
    </row>
    <row r="4607" spans="1:6">
      <c r="A4607" t="s">
        <v>54</v>
      </c>
      <c r="B4607" t="s">
        <v>24</v>
      </c>
      <c r="C4607">
        <v>2025</v>
      </c>
      <c r="D4607" t="s">
        <v>16</v>
      </c>
      <c r="E4607">
        <v>0.86</v>
      </c>
      <c r="F4607" t="s">
        <v>15</v>
      </c>
    </row>
    <row r="4608" spans="1:6">
      <c r="A4608" t="s">
        <v>54</v>
      </c>
      <c r="B4608" t="s">
        <v>24</v>
      </c>
      <c r="C4608">
        <v>2025</v>
      </c>
      <c r="D4608" t="s">
        <v>164</v>
      </c>
      <c r="E4608">
        <v>0.13900000000000001</v>
      </c>
      <c r="F4608" t="s">
        <v>166</v>
      </c>
    </row>
    <row r="4609" spans="1:6">
      <c r="A4609" t="s">
        <v>54</v>
      </c>
      <c r="B4609" t="s">
        <v>25</v>
      </c>
      <c r="C4609">
        <v>2025</v>
      </c>
      <c r="D4609" t="s">
        <v>6</v>
      </c>
      <c r="E4609">
        <v>2996.4</v>
      </c>
      <c r="F4609" t="s">
        <v>7</v>
      </c>
    </row>
    <row r="4610" spans="1:6">
      <c r="A4610" t="s">
        <v>54</v>
      </c>
      <c r="B4610" t="s">
        <v>25</v>
      </c>
      <c r="C4610">
        <v>2025</v>
      </c>
      <c r="D4610" t="s">
        <v>10</v>
      </c>
      <c r="E4610">
        <v>69.8</v>
      </c>
      <c r="F4610" t="s">
        <v>11</v>
      </c>
    </row>
    <row r="4611" spans="1:6">
      <c r="A4611" t="s">
        <v>54</v>
      </c>
      <c r="B4611" t="s">
        <v>25</v>
      </c>
      <c r="C4611">
        <v>2025</v>
      </c>
      <c r="D4611" t="s">
        <v>16</v>
      </c>
      <c r="E4611">
        <v>0.86</v>
      </c>
      <c r="F4611" t="s">
        <v>15</v>
      </c>
    </row>
    <row r="4612" spans="1:6">
      <c r="A4612" t="s">
        <v>54</v>
      </c>
      <c r="B4612" t="s">
        <v>25</v>
      </c>
      <c r="C4612">
        <v>2025</v>
      </c>
      <c r="D4612" t="s">
        <v>164</v>
      </c>
      <c r="E4612">
        <v>0.13900000000000001</v>
      </c>
      <c r="F4612" t="s">
        <v>166</v>
      </c>
    </row>
    <row r="4613" spans="1:6">
      <c r="A4613" t="s">
        <v>54</v>
      </c>
      <c r="B4613" t="s">
        <v>26</v>
      </c>
      <c r="C4613">
        <v>2025</v>
      </c>
      <c r="D4613" t="s">
        <v>6</v>
      </c>
      <c r="E4613">
        <v>2996.4</v>
      </c>
      <c r="F4613" t="s">
        <v>7</v>
      </c>
    </row>
    <row r="4614" spans="1:6">
      <c r="A4614" t="s">
        <v>54</v>
      </c>
      <c r="B4614" t="s">
        <v>26</v>
      </c>
      <c r="C4614">
        <v>2025</v>
      </c>
      <c r="D4614" t="s">
        <v>10</v>
      </c>
      <c r="E4614">
        <v>69.8</v>
      </c>
      <c r="F4614" t="s">
        <v>11</v>
      </c>
    </row>
    <row r="4615" spans="1:6">
      <c r="A4615" t="s">
        <v>54</v>
      </c>
      <c r="B4615" t="s">
        <v>26</v>
      </c>
      <c r="C4615">
        <v>2025</v>
      </c>
      <c r="D4615" t="s">
        <v>16</v>
      </c>
      <c r="E4615">
        <v>0.86</v>
      </c>
      <c r="F4615" t="s">
        <v>15</v>
      </c>
    </row>
    <row r="4616" spans="1:6">
      <c r="A4616" t="s">
        <v>54</v>
      </c>
      <c r="B4616" t="s">
        <v>26</v>
      </c>
      <c r="C4616">
        <v>2025</v>
      </c>
      <c r="D4616" t="s">
        <v>164</v>
      </c>
      <c r="E4616">
        <v>0.13900000000000001</v>
      </c>
      <c r="F4616" t="s">
        <v>166</v>
      </c>
    </row>
    <row r="4617" spans="1:6">
      <c r="A4617" t="s">
        <v>54</v>
      </c>
      <c r="B4617" t="s">
        <v>27</v>
      </c>
      <c r="C4617">
        <v>2025</v>
      </c>
      <c r="D4617" t="s">
        <v>6</v>
      </c>
      <c r="E4617">
        <v>2996.4</v>
      </c>
      <c r="F4617" t="s">
        <v>7</v>
      </c>
    </row>
    <row r="4618" spans="1:6">
      <c r="A4618" t="s">
        <v>54</v>
      </c>
      <c r="B4618" t="s">
        <v>27</v>
      </c>
      <c r="C4618">
        <v>2025</v>
      </c>
      <c r="D4618" t="s">
        <v>10</v>
      </c>
      <c r="E4618">
        <v>69.8</v>
      </c>
      <c r="F4618" t="s">
        <v>11</v>
      </c>
    </row>
    <row r="4619" spans="1:6">
      <c r="A4619" t="s">
        <v>54</v>
      </c>
      <c r="B4619" t="s">
        <v>27</v>
      </c>
      <c r="C4619">
        <v>2025</v>
      </c>
      <c r="D4619" t="s">
        <v>16</v>
      </c>
      <c r="E4619">
        <v>0.86</v>
      </c>
      <c r="F4619" t="s">
        <v>15</v>
      </c>
    </row>
    <row r="4620" spans="1:6">
      <c r="A4620" t="s">
        <v>54</v>
      </c>
      <c r="B4620" t="s">
        <v>27</v>
      </c>
      <c r="C4620">
        <v>2025</v>
      </c>
      <c r="D4620" t="s">
        <v>164</v>
      </c>
      <c r="E4620">
        <v>0.13900000000000001</v>
      </c>
      <c r="F4620" t="s">
        <v>166</v>
      </c>
    </row>
    <row r="4621" spans="1:6">
      <c r="A4621" t="s">
        <v>54</v>
      </c>
      <c r="B4621" t="s">
        <v>28</v>
      </c>
      <c r="C4621">
        <v>2025</v>
      </c>
      <c r="D4621" t="s">
        <v>6</v>
      </c>
      <c r="E4621">
        <v>2996.4</v>
      </c>
      <c r="F4621" t="s">
        <v>7</v>
      </c>
    </row>
    <row r="4622" spans="1:6">
      <c r="A4622" t="s">
        <v>54</v>
      </c>
      <c r="B4622" t="s">
        <v>28</v>
      </c>
      <c r="C4622">
        <v>2025</v>
      </c>
      <c r="D4622" t="s">
        <v>10</v>
      </c>
      <c r="E4622">
        <v>69.8</v>
      </c>
      <c r="F4622" t="s">
        <v>11</v>
      </c>
    </row>
    <row r="4623" spans="1:6">
      <c r="A4623" t="s">
        <v>54</v>
      </c>
      <c r="B4623" t="s">
        <v>28</v>
      </c>
      <c r="C4623">
        <v>2025</v>
      </c>
      <c r="D4623" t="s">
        <v>16</v>
      </c>
      <c r="E4623">
        <v>0.86</v>
      </c>
      <c r="F4623" t="s">
        <v>15</v>
      </c>
    </row>
    <row r="4624" spans="1:6">
      <c r="A4624" t="s">
        <v>54</v>
      </c>
      <c r="B4624" t="s">
        <v>28</v>
      </c>
      <c r="C4624">
        <v>2025</v>
      </c>
      <c r="D4624" t="s">
        <v>164</v>
      </c>
      <c r="E4624">
        <v>0.13900000000000001</v>
      </c>
      <c r="F4624" t="s">
        <v>166</v>
      </c>
    </row>
    <row r="4625" spans="1:6">
      <c r="A4625" t="s">
        <v>54</v>
      </c>
      <c r="B4625" t="s">
        <v>20</v>
      </c>
      <c r="C4625">
        <v>2025</v>
      </c>
      <c r="D4625" t="s">
        <v>8</v>
      </c>
      <c r="E4625">
        <v>3828</v>
      </c>
      <c r="F4625" t="s">
        <v>7</v>
      </c>
    </row>
    <row r="4626" spans="1:6">
      <c r="A4626" t="s">
        <v>54</v>
      </c>
      <c r="B4626" t="s">
        <v>20</v>
      </c>
      <c r="C4626">
        <v>2025</v>
      </c>
      <c r="D4626" t="s">
        <v>10</v>
      </c>
      <c r="E4626">
        <v>89.8</v>
      </c>
      <c r="F4626" t="s">
        <v>11</v>
      </c>
    </row>
    <row r="4627" spans="1:6">
      <c r="A4627" t="s">
        <v>54</v>
      </c>
      <c r="B4627" t="s">
        <v>21</v>
      </c>
      <c r="C4627">
        <v>2025</v>
      </c>
      <c r="D4627" t="s">
        <v>8</v>
      </c>
      <c r="E4627">
        <v>3828</v>
      </c>
      <c r="F4627" t="s">
        <v>7</v>
      </c>
    </row>
    <row r="4628" spans="1:6">
      <c r="A4628" t="s">
        <v>54</v>
      </c>
      <c r="B4628" t="s">
        <v>21</v>
      </c>
      <c r="C4628">
        <v>2025</v>
      </c>
      <c r="D4628" t="s">
        <v>10</v>
      </c>
      <c r="E4628">
        <v>89.8</v>
      </c>
      <c r="F4628" t="s">
        <v>11</v>
      </c>
    </row>
    <row r="4629" spans="1:6">
      <c r="A4629" t="s">
        <v>54</v>
      </c>
      <c r="B4629" t="s">
        <v>22</v>
      </c>
      <c r="C4629">
        <v>2025</v>
      </c>
      <c r="D4629" t="s">
        <v>8</v>
      </c>
      <c r="E4629">
        <v>3828</v>
      </c>
      <c r="F4629" t="s">
        <v>7</v>
      </c>
    </row>
    <row r="4630" spans="1:6">
      <c r="A4630" t="s">
        <v>54</v>
      </c>
      <c r="B4630" t="s">
        <v>22</v>
      </c>
      <c r="C4630">
        <v>2025</v>
      </c>
      <c r="D4630" t="s">
        <v>10</v>
      </c>
      <c r="E4630">
        <v>89.8</v>
      </c>
      <c r="F4630" t="s">
        <v>11</v>
      </c>
    </row>
    <row r="4631" spans="1:6">
      <c r="A4631" t="s">
        <v>54</v>
      </c>
      <c r="B4631" t="s">
        <v>23</v>
      </c>
      <c r="C4631">
        <v>2025</v>
      </c>
      <c r="D4631" t="s">
        <v>8</v>
      </c>
      <c r="E4631">
        <v>3828</v>
      </c>
      <c r="F4631" t="s">
        <v>7</v>
      </c>
    </row>
    <row r="4632" spans="1:6">
      <c r="A4632" t="s">
        <v>54</v>
      </c>
      <c r="B4632" t="s">
        <v>23</v>
      </c>
      <c r="C4632">
        <v>2025</v>
      </c>
      <c r="D4632" t="s">
        <v>10</v>
      </c>
      <c r="E4632">
        <v>89.8</v>
      </c>
      <c r="F4632" t="s">
        <v>11</v>
      </c>
    </row>
    <row r="4633" spans="1:6">
      <c r="A4633" t="s">
        <v>54</v>
      </c>
      <c r="B4633" t="s">
        <v>24</v>
      </c>
      <c r="C4633">
        <v>2025</v>
      </c>
      <c r="D4633" t="s">
        <v>8</v>
      </c>
      <c r="E4633">
        <v>3828</v>
      </c>
      <c r="F4633" t="s">
        <v>7</v>
      </c>
    </row>
    <row r="4634" spans="1:6">
      <c r="A4634" t="s">
        <v>54</v>
      </c>
      <c r="B4634" t="s">
        <v>24</v>
      </c>
      <c r="C4634">
        <v>2025</v>
      </c>
      <c r="D4634" t="s">
        <v>10</v>
      </c>
      <c r="E4634">
        <v>89.8</v>
      </c>
      <c r="F4634" t="s">
        <v>11</v>
      </c>
    </row>
    <row r="4635" spans="1:6">
      <c r="A4635" t="s">
        <v>54</v>
      </c>
      <c r="B4635" t="s">
        <v>25</v>
      </c>
      <c r="C4635">
        <v>2025</v>
      </c>
      <c r="D4635" t="s">
        <v>8</v>
      </c>
      <c r="E4635">
        <v>3828</v>
      </c>
      <c r="F4635" t="s">
        <v>7</v>
      </c>
    </row>
    <row r="4636" spans="1:6">
      <c r="A4636" t="s">
        <v>54</v>
      </c>
      <c r="B4636" t="s">
        <v>25</v>
      </c>
      <c r="C4636">
        <v>2025</v>
      </c>
      <c r="D4636" t="s">
        <v>10</v>
      </c>
      <c r="E4636">
        <v>89.8</v>
      </c>
      <c r="F4636" t="s">
        <v>11</v>
      </c>
    </row>
    <row r="4637" spans="1:6">
      <c r="A4637" t="s">
        <v>54</v>
      </c>
      <c r="B4637" t="s">
        <v>26</v>
      </c>
      <c r="C4637">
        <v>2025</v>
      </c>
      <c r="D4637" t="s">
        <v>8</v>
      </c>
      <c r="E4637">
        <v>3828</v>
      </c>
      <c r="F4637" t="s">
        <v>7</v>
      </c>
    </row>
    <row r="4638" spans="1:6">
      <c r="A4638" t="s">
        <v>54</v>
      </c>
      <c r="B4638" t="s">
        <v>26</v>
      </c>
      <c r="C4638">
        <v>2025</v>
      </c>
      <c r="D4638" t="s">
        <v>10</v>
      </c>
      <c r="E4638">
        <v>89.8</v>
      </c>
      <c r="F4638" t="s">
        <v>11</v>
      </c>
    </row>
    <row r="4639" spans="1:6">
      <c r="A4639" t="s">
        <v>54</v>
      </c>
      <c r="B4639" t="s">
        <v>27</v>
      </c>
      <c r="C4639">
        <v>2025</v>
      </c>
      <c r="D4639" t="s">
        <v>8</v>
      </c>
      <c r="E4639">
        <v>3828</v>
      </c>
      <c r="F4639" t="s">
        <v>7</v>
      </c>
    </row>
    <row r="4640" spans="1:6">
      <c r="A4640" t="s">
        <v>54</v>
      </c>
      <c r="B4640" t="s">
        <v>27</v>
      </c>
      <c r="C4640">
        <v>2025</v>
      </c>
      <c r="D4640" t="s">
        <v>10</v>
      </c>
      <c r="E4640">
        <v>89.8</v>
      </c>
      <c r="F4640" t="s">
        <v>11</v>
      </c>
    </row>
    <row r="4641" spans="1:6">
      <c r="A4641" t="s">
        <v>54</v>
      </c>
      <c r="B4641" t="s">
        <v>28</v>
      </c>
      <c r="C4641">
        <v>2025</v>
      </c>
      <c r="D4641" t="s">
        <v>8</v>
      </c>
      <c r="E4641">
        <v>3828</v>
      </c>
      <c r="F4641" t="s">
        <v>7</v>
      </c>
    </row>
    <row r="4642" spans="1:6">
      <c r="A4642" t="s">
        <v>54</v>
      </c>
      <c r="B4642" t="s">
        <v>28</v>
      </c>
      <c r="C4642">
        <v>2025</v>
      </c>
      <c r="D4642" t="s">
        <v>10</v>
      </c>
      <c r="E4642">
        <v>89.8</v>
      </c>
      <c r="F4642" t="s">
        <v>11</v>
      </c>
    </row>
    <row r="4643" spans="1:6">
      <c r="A4643" t="s">
        <v>54</v>
      </c>
      <c r="B4643" t="s">
        <v>20</v>
      </c>
      <c r="C4643">
        <v>2025</v>
      </c>
      <c r="D4643" t="s">
        <v>9</v>
      </c>
      <c r="E4643">
        <v>2436.3000000000002</v>
      </c>
      <c r="F4643" t="s">
        <v>7</v>
      </c>
    </row>
    <row r="4644" spans="1:6">
      <c r="A4644" t="s">
        <v>54</v>
      </c>
      <c r="B4644" t="s">
        <v>20</v>
      </c>
      <c r="C4644">
        <v>2025</v>
      </c>
      <c r="D4644" t="s">
        <v>10</v>
      </c>
      <c r="E4644">
        <v>56.3</v>
      </c>
      <c r="F4644" t="s">
        <v>11</v>
      </c>
    </row>
    <row r="4645" spans="1:6">
      <c r="A4645" t="s">
        <v>54</v>
      </c>
      <c r="B4645" t="s">
        <v>21</v>
      </c>
      <c r="C4645">
        <v>2025</v>
      </c>
      <c r="D4645" t="s">
        <v>9</v>
      </c>
      <c r="E4645">
        <v>2436.3000000000002</v>
      </c>
      <c r="F4645" t="s">
        <v>7</v>
      </c>
    </row>
    <row r="4646" spans="1:6">
      <c r="A4646" t="s">
        <v>54</v>
      </c>
      <c r="B4646" t="s">
        <v>21</v>
      </c>
      <c r="C4646">
        <v>2025</v>
      </c>
      <c r="D4646" t="s">
        <v>10</v>
      </c>
      <c r="E4646">
        <v>56.3</v>
      </c>
      <c r="F4646" t="s">
        <v>11</v>
      </c>
    </row>
    <row r="4647" spans="1:6">
      <c r="A4647" t="s">
        <v>54</v>
      </c>
      <c r="B4647" t="s">
        <v>22</v>
      </c>
      <c r="C4647">
        <v>2025</v>
      </c>
      <c r="D4647" t="s">
        <v>9</v>
      </c>
      <c r="E4647">
        <v>2436.3000000000002</v>
      </c>
      <c r="F4647" t="s">
        <v>7</v>
      </c>
    </row>
    <row r="4648" spans="1:6">
      <c r="A4648" t="s">
        <v>54</v>
      </c>
      <c r="B4648" t="s">
        <v>22</v>
      </c>
      <c r="C4648">
        <v>2025</v>
      </c>
      <c r="D4648" t="s">
        <v>10</v>
      </c>
      <c r="E4648">
        <v>56.3</v>
      </c>
      <c r="F4648" t="s">
        <v>11</v>
      </c>
    </row>
    <row r="4649" spans="1:6">
      <c r="A4649" t="s">
        <v>54</v>
      </c>
      <c r="B4649" t="s">
        <v>23</v>
      </c>
      <c r="C4649">
        <v>2025</v>
      </c>
      <c r="D4649" t="s">
        <v>9</v>
      </c>
      <c r="E4649">
        <v>2436.3000000000002</v>
      </c>
      <c r="F4649" t="s">
        <v>7</v>
      </c>
    </row>
    <row r="4650" spans="1:6">
      <c r="A4650" t="s">
        <v>54</v>
      </c>
      <c r="B4650" t="s">
        <v>23</v>
      </c>
      <c r="C4650">
        <v>2025</v>
      </c>
      <c r="D4650" t="s">
        <v>10</v>
      </c>
      <c r="E4650">
        <v>56.3</v>
      </c>
      <c r="F4650" t="s">
        <v>11</v>
      </c>
    </row>
    <row r="4651" spans="1:6">
      <c r="A4651" t="s">
        <v>54</v>
      </c>
      <c r="B4651" t="s">
        <v>24</v>
      </c>
      <c r="C4651">
        <v>2025</v>
      </c>
      <c r="D4651" t="s">
        <v>9</v>
      </c>
      <c r="E4651">
        <v>2436.3000000000002</v>
      </c>
      <c r="F4651" t="s">
        <v>7</v>
      </c>
    </row>
    <row r="4652" spans="1:6">
      <c r="A4652" t="s">
        <v>54</v>
      </c>
      <c r="B4652" t="s">
        <v>24</v>
      </c>
      <c r="C4652">
        <v>2025</v>
      </c>
      <c r="D4652" t="s">
        <v>10</v>
      </c>
      <c r="E4652">
        <v>56.3</v>
      </c>
      <c r="F4652" t="s">
        <v>11</v>
      </c>
    </row>
    <row r="4653" spans="1:6">
      <c r="A4653" t="s">
        <v>54</v>
      </c>
      <c r="B4653" t="s">
        <v>25</v>
      </c>
      <c r="C4653">
        <v>2025</v>
      </c>
      <c r="D4653" t="s">
        <v>9</v>
      </c>
      <c r="E4653">
        <v>2436.3000000000002</v>
      </c>
      <c r="F4653" t="s">
        <v>7</v>
      </c>
    </row>
    <row r="4654" spans="1:6">
      <c r="A4654" t="s">
        <v>54</v>
      </c>
      <c r="B4654" t="s">
        <v>25</v>
      </c>
      <c r="C4654">
        <v>2025</v>
      </c>
      <c r="D4654" t="s">
        <v>10</v>
      </c>
      <c r="E4654">
        <v>56.3</v>
      </c>
      <c r="F4654" t="s">
        <v>11</v>
      </c>
    </row>
    <row r="4655" spans="1:6">
      <c r="A4655" t="s">
        <v>54</v>
      </c>
      <c r="B4655" t="s">
        <v>26</v>
      </c>
      <c r="C4655">
        <v>2025</v>
      </c>
      <c r="D4655" t="s">
        <v>9</v>
      </c>
      <c r="E4655">
        <v>2436.3000000000002</v>
      </c>
      <c r="F4655" t="s">
        <v>7</v>
      </c>
    </row>
    <row r="4656" spans="1:6">
      <c r="A4656" t="s">
        <v>54</v>
      </c>
      <c r="B4656" t="s">
        <v>26</v>
      </c>
      <c r="C4656">
        <v>2025</v>
      </c>
      <c r="D4656" t="s">
        <v>10</v>
      </c>
      <c r="E4656">
        <v>56.3</v>
      </c>
      <c r="F4656" t="s">
        <v>11</v>
      </c>
    </row>
    <row r="4657" spans="1:6">
      <c r="A4657" t="s">
        <v>54</v>
      </c>
      <c r="B4657" t="s">
        <v>27</v>
      </c>
      <c r="C4657">
        <v>2025</v>
      </c>
      <c r="D4657" t="s">
        <v>9</v>
      </c>
      <c r="E4657">
        <v>2436.3000000000002</v>
      </c>
      <c r="F4657" t="s">
        <v>7</v>
      </c>
    </row>
    <row r="4658" spans="1:6">
      <c r="A4658" t="s">
        <v>54</v>
      </c>
      <c r="B4658" t="s">
        <v>27</v>
      </c>
      <c r="C4658">
        <v>2025</v>
      </c>
      <c r="D4658" t="s">
        <v>10</v>
      </c>
      <c r="E4658">
        <v>56.3</v>
      </c>
      <c r="F4658" t="s">
        <v>11</v>
      </c>
    </row>
    <row r="4659" spans="1:6">
      <c r="A4659" t="s">
        <v>54</v>
      </c>
      <c r="B4659" t="s">
        <v>28</v>
      </c>
      <c r="C4659">
        <v>2025</v>
      </c>
      <c r="D4659" t="s">
        <v>9</v>
      </c>
      <c r="E4659">
        <v>2436.3000000000002</v>
      </c>
      <c r="F4659" t="s">
        <v>7</v>
      </c>
    </row>
    <row r="4660" spans="1:6">
      <c r="A4660" t="s">
        <v>54</v>
      </c>
      <c r="B4660" t="s">
        <v>28</v>
      </c>
      <c r="C4660">
        <v>2025</v>
      </c>
      <c r="D4660" t="s">
        <v>10</v>
      </c>
      <c r="E4660">
        <v>56.3</v>
      </c>
      <c r="F4660" t="s">
        <v>11</v>
      </c>
    </row>
    <row r="4661" spans="1:6">
      <c r="A4661" t="s">
        <v>54</v>
      </c>
      <c r="B4661" t="s">
        <v>20</v>
      </c>
      <c r="C4661">
        <v>2030</v>
      </c>
      <c r="D4661" t="s">
        <v>6</v>
      </c>
      <c r="E4661">
        <v>2470</v>
      </c>
      <c r="F4661" t="s">
        <v>7</v>
      </c>
    </row>
    <row r="4662" spans="1:6">
      <c r="A4662" t="s">
        <v>54</v>
      </c>
      <c r="B4662" t="s">
        <v>20</v>
      </c>
      <c r="C4662">
        <v>2030</v>
      </c>
      <c r="D4662" t="s">
        <v>10</v>
      </c>
      <c r="E4662">
        <v>57.1</v>
      </c>
      <c r="F4662" t="s">
        <v>11</v>
      </c>
    </row>
    <row r="4663" spans="1:6">
      <c r="A4663" t="s">
        <v>54</v>
      </c>
      <c r="B4663" t="s">
        <v>20</v>
      </c>
      <c r="C4663">
        <v>2030</v>
      </c>
      <c r="D4663" t="s">
        <v>16</v>
      </c>
      <c r="E4663">
        <v>0.86</v>
      </c>
      <c r="F4663" t="s">
        <v>15</v>
      </c>
    </row>
    <row r="4664" spans="1:6">
      <c r="A4664" t="s">
        <v>54</v>
      </c>
      <c r="B4664" t="s">
        <v>20</v>
      </c>
      <c r="C4664">
        <v>2030</v>
      </c>
      <c r="D4664" t="s">
        <v>164</v>
      </c>
      <c r="E4664">
        <v>0.13900000000000001</v>
      </c>
      <c r="F4664" t="s">
        <v>166</v>
      </c>
    </row>
    <row r="4665" spans="1:6">
      <c r="A4665" t="s">
        <v>54</v>
      </c>
      <c r="B4665" t="s">
        <v>21</v>
      </c>
      <c r="C4665">
        <v>2030</v>
      </c>
      <c r="D4665" t="s">
        <v>6</v>
      </c>
      <c r="E4665">
        <v>2470</v>
      </c>
      <c r="F4665" t="s">
        <v>7</v>
      </c>
    </row>
    <row r="4666" spans="1:6">
      <c r="A4666" t="s">
        <v>54</v>
      </c>
      <c r="B4666" t="s">
        <v>21</v>
      </c>
      <c r="C4666">
        <v>2030</v>
      </c>
      <c r="D4666" t="s">
        <v>10</v>
      </c>
      <c r="E4666">
        <v>57.1</v>
      </c>
      <c r="F4666" t="s">
        <v>11</v>
      </c>
    </row>
    <row r="4667" spans="1:6">
      <c r="A4667" t="s">
        <v>54</v>
      </c>
      <c r="B4667" t="s">
        <v>21</v>
      </c>
      <c r="C4667">
        <v>2030</v>
      </c>
      <c r="D4667" t="s">
        <v>16</v>
      </c>
      <c r="E4667">
        <v>0.86</v>
      </c>
      <c r="F4667" t="s">
        <v>15</v>
      </c>
    </row>
    <row r="4668" spans="1:6">
      <c r="A4668" t="s">
        <v>54</v>
      </c>
      <c r="B4668" t="s">
        <v>21</v>
      </c>
      <c r="C4668">
        <v>2030</v>
      </c>
      <c r="D4668" t="s">
        <v>164</v>
      </c>
      <c r="E4668">
        <v>0.13900000000000001</v>
      </c>
      <c r="F4668" t="s">
        <v>166</v>
      </c>
    </row>
    <row r="4669" spans="1:6">
      <c r="A4669" t="s">
        <v>54</v>
      </c>
      <c r="B4669" t="s">
        <v>22</v>
      </c>
      <c r="C4669">
        <v>2030</v>
      </c>
      <c r="D4669" t="s">
        <v>6</v>
      </c>
      <c r="E4669">
        <v>2470</v>
      </c>
      <c r="F4669" t="s">
        <v>7</v>
      </c>
    </row>
    <row r="4670" spans="1:6">
      <c r="A4670" t="s">
        <v>54</v>
      </c>
      <c r="B4670" t="s">
        <v>22</v>
      </c>
      <c r="C4670">
        <v>2030</v>
      </c>
      <c r="D4670" t="s">
        <v>10</v>
      </c>
      <c r="E4670">
        <v>57.1</v>
      </c>
      <c r="F4670" t="s">
        <v>11</v>
      </c>
    </row>
    <row r="4671" spans="1:6">
      <c r="A4671" t="s">
        <v>54</v>
      </c>
      <c r="B4671" t="s">
        <v>22</v>
      </c>
      <c r="C4671">
        <v>2030</v>
      </c>
      <c r="D4671" t="s">
        <v>16</v>
      </c>
      <c r="E4671">
        <v>0.86</v>
      </c>
      <c r="F4671" t="s">
        <v>15</v>
      </c>
    </row>
    <row r="4672" spans="1:6">
      <c r="A4672" t="s">
        <v>54</v>
      </c>
      <c r="B4672" t="s">
        <v>22</v>
      </c>
      <c r="C4672">
        <v>2030</v>
      </c>
      <c r="D4672" t="s">
        <v>164</v>
      </c>
      <c r="E4672">
        <v>0.13900000000000001</v>
      </c>
      <c r="F4672" t="s">
        <v>166</v>
      </c>
    </row>
    <row r="4673" spans="1:6">
      <c r="A4673" t="s">
        <v>54</v>
      </c>
      <c r="B4673" t="s">
        <v>23</v>
      </c>
      <c r="C4673">
        <v>2030</v>
      </c>
      <c r="D4673" t="s">
        <v>6</v>
      </c>
      <c r="E4673">
        <v>2470</v>
      </c>
      <c r="F4673" t="s">
        <v>7</v>
      </c>
    </row>
    <row r="4674" spans="1:6">
      <c r="A4674" t="s">
        <v>54</v>
      </c>
      <c r="B4674" t="s">
        <v>23</v>
      </c>
      <c r="C4674">
        <v>2030</v>
      </c>
      <c r="D4674" t="s">
        <v>10</v>
      </c>
      <c r="E4674">
        <v>57.1</v>
      </c>
      <c r="F4674" t="s">
        <v>11</v>
      </c>
    </row>
    <row r="4675" spans="1:6">
      <c r="A4675" t="s">
        <v>54</v>
      </c>
      <c r="B4675" t="s">
        <v>23</v>
      </c>
      <c r="C4675">
        <v>2030</v>
      </c>
      <c r="D4675" t="s">
        <v>16</v>
      </c>
      <c r="E4675">
        <v>0.86</v>
      </c>
      <c r="F4675" t="s">
        <v>15</v>
      </c>
    </row>
    <row r="4676" spans="1:6">
      <c r="A4676" t="s">
        <v>54</v>
      </c>
      <c r="B4676" t="s">
        <v>23</v>
      </c>
      <c r="C4676">
        <v>2030</v>
      </c>
      <c r="D4676" t="s">
        <v>164</v>
      </c>
      <c r="E4676">
        <v>0.13900000000000001</v>
      </c>
      <c r="F4676" t="s">
        <v>166</v>
      </c>
    </row>
    <row r="4677" spans="1:6">
      <c r="A4677" t="s">
        <v>54</v>
      </c>
      <c r="B4677" t="s">
        <v>24</v>
      </c>
      <c r="C4677">
        <v>2030</v>
      </c>
      <c r="D4677" t="s">
        <v>6</v>
      </c>
      <c r="E4677">
        <v>2470</v>
      </c>
      <c r="F4677" t="s">
        <v>7</v>
      </c>
    </row>
    <row r="4678" spans="1:6">
      <c r="A4678" t="s">
        <v>54</v>
      </c>
      <c r="B4678" t="s">
        <v>24</v>
      </c>
      <c r="C4678">
        <v>2030</v>
      </c>
      <c r="D4678" t="s">
        <v>10</v>
      </c>
      <c r="E4678">
        <v>57.1</v>
      </c>
      <c r="F4678" t="s">
        <v>11</v>
      </c>
    </row>
    <row r="4679" spans="1:6">
      <c r="A4679" t="s">
        <v>54</v>
      </c>
      <c r="B4679" t="s">
        <v>24</v>
      </c>
      <c r="C4679">
        <v>2030</v>
      </c>
      <c r="D4679" t="s">
        <v>16</v>
      </c>
      <c r="E4679">
        <v>0.86</v>
      </c>
      <c r="F4679" t="s">
        <v>15</v>
      </c>
    </row>
    <row r="4680" spans="1:6">
      <c r="A4680" t="s">
        <v>54</v>
      </c>
      <c r="B4680" t="s">
        <v>24</v>
      </c>
      <c r="C4680">
        <v>2030</v>
      </c>
      <c r="D4680" t="s">
        <v>164</v>
      </c>
      <c r="E4680">
        <v>0.13900000000000001</v>
      </c>
      <c r="F4680" t="s">
        <v>166</v>
      </c>
    </row>
    <row r="4681" spans="1:6">
      <c r="A4681" t="s">
        <v>54</v>
      </c>
      <c r="B4681" t="s">
        <v>25</v>
      </c>
      <c r="C4681">
        <v>2030</v>
      </c>
      <c r="D4681" t="s">
        <v>6</v>
      </c>
      <c r="E4681">
        <v>2470</v>
      </c>
      <c r="F4681" t="s">
        <v>7</v>
      </c>
    </row>
    <row r="4682" spans="1:6">
      <c r="A4682" t="s">
        <v>54</v>
      </c>
      <c r="B4682" t="s">
        <v>25</v>
      </c>
      <c r="C4682">
        <v>2030</v>
      </c>
      <c r="D4682" t="s">
        <v>10</v>
      </c>
      <c r="E4682">
        <v>57.1</v>
      </c>
      <c r="F4682" t="s">
        <v>11</v>
      </c>
    </row>
    <row r="4683" spans="1:6">
      <c r="A4683" t="s">
        <v>54</v>
      </c>
      <c r="B4683" t="s">
        <v>25</v>
      </c>
      <c r="C4683">
        <v>2030</v>
      </c>
      <c r="D4683" t="s">
        <v>16</v>
      </c>
      <c r="E4683">
        <v>0.86</v>
      </c>
      <c r="F4683" t="s">
        <v>15</v>
      </c>
    </row>
    <row r="4684" spans="1:6">
      <c r="A4684" t="s">
        <v>54</v>
      </c>
      <c r="B4684" t="s">
        <v>25</v>
      </c>
      <c r="C4684">
        <v>2030</v>
      </c>
      <c r="D4684" t="s">
        <v>164</v>
      </c>
      <c r="E4684">
        <v>0.13900000000000001</v>
      </c>
      <c r="F4684" t="s">
        <v>166</v>
      </c>
    </row>
    <row r="4685" spans="1:6">
      <c r="A4685" t="s">
        <v>54</v>
      </c>
      <c r="B4685" t="s">
        <v>26</v>
      </c>
      <c r="C4685">
        <v>2030</v>
      </c>
      <c r="D4685" t="s">
        <v>6</v>
      </c>
      <c r="E4685">
        <v>2470</v>
      </c>
      <c r="F4685" t="s">
        <v>7</v>
      </c>
    </row>
    <row r="4686" spans="1:6">
      <c r="A4686" t="s">
        <v>54</v>
      </c>
      <c r="B4686" t="s">
        <v>26</v>
      </c>
      <c r="C4686">
        <v>2030</v>
      </c>
      <c r="D4686" t="s">
        <v>10</v>
      </c>
      <c r="E4686">
        <v>57.1</v>
      </c>
      <c r="F4686" t="s">
        <v>11</v>
      </c>
    </row>
    <row r="4687" spans="1:6">
      <c r="A4687" t="s">
        <v>54</v>
      </c>
      <c r="B4687" t="s">
        <v>26</v>
      </c>
      <c r="C4687">
        <v>2030</v>
      </c>
      <c r="D4687" t="s">
        <v>16</v>
      </c>
      <c r="E4687">
        <v>0.86</v>
      </c>
      <c r="F4687" t="s">
        <v>15</v>
      </c>
    </row>
    <row r="4688" spans="1:6">
      <c r="A4688" t="s">
        <v>54</v>
      </c>
      <c r="B4688" t="s">
        <v>26</v>
      </c>
      <c r="C4688">
        <v>2030</v>
      </c>
      <c r="D4688" t="s">
        <v>164</v>
      </c>
      <c r="E4688">
        <v>0.13900000000000001</v>
      </c>
      <c r="F4688" t="s">
        <v>166</v>
      </c>
    </row>
    <row r="4689" spans="1:6">
      <c r="A4689" t="s">
        <v>54</v>
      </c>
      <c r="B4689" t="s">
        <v>27</v>
      </c>
      <c r="C4689">
        <v>2030</v>
      </c>
      <c r="D4689" t="s">
        <v>6</v>
      </c>
      <c r="E4689">
        <v>2470</v>
      </c>
      <c r="F4689" t="s">
        <v>7</v>
      </c>
    </row>
    <row r="4690" spans="1:6">
      <c r="A4690" t="s">
        <v>54</v>
      </c>
      <c r="B4690" t="s">
        <v>27</v>
      </c>
      <c r="C4690">
        <v>2030</v>
      </c>
      <c r="D4690" t="s">
        <v>10</v>
      </c>
      <c r="E4690">
        <v>57.1</v>
      </c>
      <c r="F4690" t="s">
        <v>11</v>
      </c>
    </row>
    <row r="4691" spans="1:6">
      <c r="A4691" t="s">
        <v>54</v>
      </c>
      <c r="B4691" t="s">
        <v>27</v>
      </c>
      <c r="C4691">
        <v>2030</v>
      </c>
      <c r="D4691" t="s">
        <v>16</v>
      </c>
      <c r="E4691">
        <v>0.86</v>
      </c>
      <c r="F4691" t="s">
        <v>15</v>
      </c>
    </row>
    <row r="4692" spans="1:6">
      <c r="A4692" t="s">
        <v>54</v>
      </c>
      <c r="B4692" t="s">
        <v>27</v>
      </c>
      <c r="C4692">
        <v>2030</v>
      </c>
      <c r="D4692" t="s">
        <v>164</v>
      </c>
      <c r="E4692">
        <v>0.13900000000000001</v>
      </c>
      <c r="F4692" t="s">
        <v>166</v>
      </c>
    </row>
    <row r="4693" spans="1:6">
      <c r="A4693" t="s">
        <v>54</v>
      </c>
      <c r="B4693" t="s">
        <v>28</v>
      </c>
      <c r="C4693">
        <v>2030</v>
      </c>
      <c r="D4693" t="s">
        <v>6</v>
      </c>
      <c r="E4693">
        <v>2470</v>
      </c>
      <c r="F4693" t="s">
        <v>7</v>
      </c>
    </row>
    <row r="4694" spans="1:6">
      <c r="A4694" t="s">
        <v>54</v>
      </c>
      <c r="B4694" t="s">
        <v>28</v>
      </c>
      <c r="C4694">
        <v>2030</v>
      </c>
      <c r="D4694" t="s">
        <v>10</v>
      </c>
      <c r="E4694">
        <v>57.1</v>
      </c>
      <c r="F4694" t="s">
        <v>11</v>
      </c>
    </row>
    <row r="4695" spans="1:6">
      <c r="A4695" t="s">
        <v>54</v>
      </c>
      <c r="B4695" t="s">
        <v>28</v>
      </c>
      <c r="C4695">
        <v>2030</v>
      </c>
      <c r="D4695" t="s">
        <v>16</v>
      </c>
      <c r="E4695">
        <v>0.86</v>
      </c>
      <c r="F4695" t="s">
        <v>15</v>
      </c>
    </row>
    <row r="4696" spans="1:6">
      <c r="A4696" t="s">
        <v>54</v>
      </c>
      <c r="B4696" t="s">
        <v>28</v>
      </c>
      <c r="C4696">
        <v>2030</v>
      </c>
      <c r="D4696" t="s">
        <v>164</v>
      </c>
      <c r="E4696">
        <v>0.13900000000000001</v>
      </c>
      <c r="F4696" t="s">
        <v>166</v>
      </c>
    </row>
    <row r="4697" spans="1:6">
      <c r="A4697" t="s">
        <v>54</v>
      </c>
      <c r="B4697" t="s">
        <v>20</v>
      </c>
      <c r="C4697">
        <v>2030</v>
      </c>
      <c r="D4697" t="s">
        <v>8</v>
      </c>
      <c r="E4697">
        <v>3095.8</v>
      </c>
      <c r="F4697" t="s">
        <v>7</v>
      </c>
    </row>
    <row r="4698" spans="1:6">
      <c r="A4698" t="s">
        <v>54</v>
      </c>
      <c r="B4698" t="s">
        <v>20</v>
      </c>
      <c r="C4698">
        <v>2030</v>
      </c>
      <c r="D4698" t="s">
        <v>10</v>
      </c>
      <c r="E4698">
        <v>72.2</v>
      </c>
      <c r="F4698" t="s">
        <v>11</v>
      </c>
    </row>
    <row r="4699" spans="1:6">
      <c r="A4699" t="s">
        <v>54</v>
      </c>
      <c r="B4699" t="s">
        <v>21</v>
      </c>
      <c r="C4699">
        <v>2030</v>
      </c>
      <c r="D4699" t="s">
        <v>8</v>
      </c>
      <c r="E4699">
        <v>3095.8</v>
      </c>
      <c r="F4699" t="s">
        <v>7</v>
      </c>
    </row>
    <row r="4700" spans="1:6">
      <c r="A4700" t="s">
        <v>54</v>
      </c>
      <c r="B4700" t="s">
        <v>21</v>
      </c>
      <c r="C4700">
        <v>2030</v>
      </c>
      <c r="D4700" t="s">
        <v>10</v>
      </c>
      <c r="E4700">
        <v>72.2</v>
      </c>
      <c r="F4700" t="s">
        <v>11</v>
      </c>
    </row>
    <row r="4701" spans="1:6">
      <c r="A4701" t="s">
        <v>54</v>
      </c>
      <c r="B4701" t="s">
        <v>22</v>
      </c>
      <c r="C4701">
        <v>2030</v>
      </c>
      <c r="D4701" t="s">
        <v>8</v>
      </c>
      <c r="E4701">
        <v>3095.8</v>
      </c>
      <c r="F4701" t="s">
        <v>7</v>
      </c>
    </row>
    <row r="4702" spans="1:6">
      <c r="A4702" t="s">
        <v>54</v>
      </c>
      <c r="B4702" t="s">
        <v>22</v>
      </c>
      <c r="C4702">
        <v>2030</v>
      </c>
      <c r="D4702" t="s">
        <v>10</v>
      </c>
      <c r="E4702">
        <v>72.2</v>
      </c>
      <c r="F4702" t="s">
        <v>11</v>
      </c>
    </row>
    <row r="4703" spans="1:6">
      <c r="A4703" t="s">
        <v>54</v>
      </c>
      <c r="B4703" t="s">
        <v>23</v>
      </c>
      <c r="C4703">
        <v>2030</v>
      </c>
      <c r="D4703" t="s">
        <v>8</v>
      </c>
      <c r="E4703">
        <v>3095.8</v>
      </c>
      <c r="F4703" t="s">
        <v>7</v>
      </c>
    </row>
    <row r="4704" spans="1:6">
      <c r="A4704" t="s">
        <v>54</v>
      </c>
      <c r="B4704" t="s">
        <v>23</v>
      </c>
      <c r="C4704">
        <v>2030</v>
      </c>
      <c r="D4704" t="s">
        <v>10</v>
      </c>
      <c r="E4704">
        <v>72.2</v>
      </c>
      <c r="F4704" t="s">
        <v>11</v>
      </c>
    </row>
    <row r="4705" spans="1:6">
      <c r="A4705" t="s">
        <v>54</v>
      </c>
      <c r="B4705" t="s">
        <v>24</v>
      </c>
      <c r="C4705">
        <v>2030</v>
      </c>
      <c r="D4705" t="s">
        <v>8</v>
      </c>
      <c r="E4705">
        <v>3095.8</v>
      </c>
      <c r="F4705" t="s">
        <v>7</v>
      </c>
    </row>
    <row r="4706" spans="1:6">
      <c r="A4706" t="s">
        <v>54</v>
      </c>
      <c r="B4706" t="s">
        <v>24</v>
      </c>
      <c r="C4706">
        <v>2030</v>
      </c>
      <c r="D4706" t="s">
        <v>10</v>
      </c>
      <c r="E4706">
        <v>72.2</v>
      </c>
      <c r="F4706" t="s">
        <v>11</v>
      </c>
    </row>
    <row r="4707" spans="1:6">
      <c r="A4707" t="s">
        <v>54</v>
      </c>
      <c r="B4707" t="s">
        <v>25</v>
      </c>
      <c r="C4707">
        <v>2030</v>
      </c>
      <c r="D4707" t="s">
        <v>8</v>
      </c>
      <c r="E4707">
        <v>3095.8</v>
      </c>
      <c r="F4707" t="s">
        <v>7</v>
      </c>
    </row>
    <row r="4708" spans="1:6">
      <c r="A4708" t="s">
        <v>54</v>
      </c>
      <c r="B4708" t="s">
        <v>25</v>
      </c>
      <c r="C4708">
        <v>2030</v>
      </c>
      <c r="D4708" t="s">
        <v>10</v>
      </c>
      <c r="E4708">
        <v>72.2</v>
      </c>
      <c r="F4708" t="s">
        <v>11</v>
      </c>
    </row>
    <row r="4709" spans="1:6">
      <c r="A4709" t="s">
        <v>54</v>
      </c>
      <c r="B4709" t="s">
        <v>26</v>
      </c>
      <c r="C4709">
        <v>2030</v>
      </c>
      <c r="D4709" t="s">
        <v>8</v>
      </c>
      <c r="E4709">
        <v>3095.8</v>
      </c>
      <c r="F4709" t="s">
        <v>7</v>
      </c>
    </row>
    <row r="4710" spans="1:6">
      <c r="A4710" t="s">
        <v>54</v>
      </c>
      <c r="B4710" t="s">
        <v>26</v>
      </c>
      <c r="C4710">
        <v>2030</v>
      </c>
      <c r="D4710" t="s">
        <v>10</v>
      </c>
      <c r="E4710">
        <v>72.2</v>
      </c>
      <c r="F4710" t="s">
        <v>11</v>
      </c>
    </row>
    <row r="4711" spans="1:6">
      <c r="A4711" t="s">
        <v>54</v>
      </c>
      <c r="B4711" t="s">
        <v>27</v>
      </c>
      <c r="C4711">
        <v>2030</v>
      </c>
      <c r="D4711" t="s">
        <v>8</v>
      </c>
      <c r="E4711">
        <v>3095.8</v>
      </c>
      <c r="F4711" t="s">
        <v>7</v>
      </c>
    </row>
    <row r="4712" spans="1:6">
      <c r="A4712" t="s">
        <v>54</v>
      </c>
      <c r="B4712" t="s">
        <v>27</v>
      </c>
      <c r="C4712">
        <v>2030</v>
      </c>
      <c r="D4712" t="s">
        <v>10</v>
      </c>
      <c r="E4712">
        <v>72.2</v>
      </c>
      <c r="F4712" t="s">
        <v>11</v>
      </c>
    </row>
    <row r="4713" spans="1:6">
      <c r="A4713" t="s">
        <v>54</v>
      </c>
      <c r="B4713" t="s">
        <v>28</v>
      </c>
      <c r="C4713">
        <v>2030</v>
      </c>
      <c r="D4713" t="s">
        <v>8</v>
      </c>
      <c r="E4713">
        <v>3095.8</v>
      </c>
      <c r="F4713" t="s">
        <v>7</v>
      </c>
    </row>
    <row r="4714" spans="1:6">
      <c r="A4714" t="s">
        <v>54</v>
      </c>
      <c r="B4714" t="s">
        <v>28</v>
      </c>
      <c r="C4714">
        <v>2030</v>
      </c>
      <c r="D4714" t="s">
        <v>10</v>
      </c>
      <c r="E4714">
        <v>72.2</v>
      </c>
      <c r="F4714" t="s">
        <v>11</v>
      </c>
    </row>
    <row r="4715" spans="1:6">
      <c r="A4715" t="s">
        <v>54</v>
      </c>
      <c r="B4715" t="s">
        <v>20</v>
      </c>
      <c r="C4715">
        <v>2030</v>
      </c>
      <c r="D4715" t="s">
        <v>9</v>
      </c>
      <c r="E4715">
        <v>1940.6</v>
      </c>
      <c r="F4715" t="s">
        <v>7</v>
      </c>
    </row>
    <row r="4716" spans="1:6">
      <c r="A4716" t="s">
        <v>54</v>
      </c>
      <c r="B4716" t="s">
        <v>20</v>
      </c>
      <c r="C4716">
        <v>2030</v>
      </c>
      <c r="D4716" t="s">
        <v>10</v>
      </c>
      <c r="E4716">
        <v>44.3</v>
      </c>
      <c r="F4716" t="s">
        <v>11</v>
      </c>
    </row>
    <row r="4717" spans="1:6">
      <c r="A4717" t="s">
        <v>54</v>
      </c>
      <c r="B4717" t="s">
        <v>21</v>
      </c>
      <c r="C4717">
        <v>2030</v>
      </c>
      <c r="D4717" t="s">
        <v>9</v>
      </c>
      <c r="E4717">
        <v>1940.6</v>
      </c>
      <c r="F4717" t="s">
        <v>7</v>
      </c>
    </row>
    <row r="4718" spans="1:6">
      <c r="A4718" t="s">
        <v>54</v>
      </c>
      <c r="B4718" t="s">
        <v>21</v>
      </c>
      <c r="C4718">
        <v>2030</v>
      </c>
      <c r="D4718" t="s">
        <v>10</v>
      </c>
      <c r="E4718">
        <v>44.3</v>
      </c>
      <c r="F4718" t="s">
        <v>11</v>
      </c>
    </row>
    <row r="4719" spans="1:6">
      <c r="A4719" t="s">
        <v>54</v>
      </c>
      <c r="B4719" t="s">
        <v>22</v>
      </c>
      <c r="C4719">
        <v>2030</v>
      </c>
      <c r="D4719" t="s">
        <v>9</v>
      </c>
      <c r="E4719">
        <v>1940.6</v>
      </c>
      <c r="F4719" t="s">
        <v>7</v>
      </c>
    </row>
    <row r="4720" spans="1:6">
      <c r="A4720" t="s">
        <v>54</v>
      </c>
      <c r="B4720" t="s">
        <v>22</v>
      </c>
      <c r="C4720">
        <v>2030</v>
      </c>
      <c r="D4720" t="s">
        <v>10</v>
      </c>
      <c r="E4720">
        <v>44.3</v>
      </c>
      <c r="F4720" t="s">
        <v>11</v>
      </c>
    </row>
    <row r="4721" spans="1:6">
      <c r="A4721" t="s">
        <v>54</v>
      </c>
      <c r="B4721" t="s">
        <v>23</v>
      </c>
      <c r="C4721">
        <v>2030</v>
      </c>
      <c r="D4721" t="s">
        <v>9</v>
      </c>
      <c r="E4721">
        <v>1940.6</v>
      </c>
      <c r="F4721" t="s">
        <v>7</v>
      </c>
    </row>
    <row r="4722" spans="1:6">
      <c r="A4722" t="s">
        <v>54</v>
      </c>
      <c r="B4722" t="s">
        <v>23</v>
      </c>
      <c r="C4722">
        <v>2030</v>
      </c>
      <c r="D4722" t="s">
        <v>10</v>
      </c>
      <c r="E4722">
        <v>44.3</v>
      </c>
      <c r="F4722" t="s">
        <v>11</v>
      </c>
    </row>
    <row r="4723" spans="1:6">
      <c r="A4723" t="s">
        <v>54</v>
      </c>
      <c r="B4723" t="s">
        <v>24</v>
      </c>
      <c r="C4723">
        <v>2030</v>
      </c>
      <c r="D4723" t="s">
        <v>9</v>
      </c>
      <c r="E4723">
        <v>1940.6</v>
      </c>
      <c r="F4723" t="s">
        <v>7</v>
      </c>
    </row>
    <row r="4724" spans="1:6">
      <c r="A4724" t="s">
        <v>54</v>
      </c>
      <c r="B4724" t="s">
        <v>24</v>
      </c>
      <c r="C4724">
        <v>2030</v>
      </c>
      <c r="D4724" t="s">
        <v>10</v>
      </c>
      <c r="E4724">
        <v>44.3</v>
      </c>
      <c r="F4724" t="s">
        <v>11</v>
      </c>
    </row>
    <row r="4725" spans="1:6">
      <c r="A4725" t="s">
        <v>54</v>
      </c>
      <c r="B4725" t="s">
        <v>25</v>
      </c>
      <c r="C4725">
        <v>2030</v>
      </c>
      <c r="D4725" t="s">
        <v>9</v>
      </c>
      <c r="E4725">
        <v>1940.6</v>
      </c>
      <c r="F4725" t="s">
        <v>7</v>
      </c>
    </row>
    <row r="4726" spans="1:6">
      <c r="A4726" t="s">
        <v>54</v>
      </c>
      <c r="B4726" t="s">
        <v>25</v>
      </c>
      <c r="C4726">
        <v>2030</v>
      </c>
      <c r="D4726" t="s">
        <v>10</v>
      </c>
      <c r="E4726">
        <v>44.3</v>
      </c>
      <c r="F4726" t="s">
        <v>11</v>
      </c>
    </row>
    <row r="4727" spans="1:6">
      <c r="A4727" t="s">
        <v>54</v>
      </c>
      <c r="B4727" t="s">
        <v>26</v>
      </c>
      <c r="C4727">
        <v>2030</v>
      </c>
      <c r="D4727" t="s">
        <v>9</v>
      </c>
      <c r="E4727">
        <v>1940.6</v>
      </c>
      <c r="F4727" t="s">
        <v>7</v>
      </c>
    </row>
    <row r="4728" spans="1:6">
      <c r="A4728" t="s">
        <v>54</v>
      </c>
      <c r="B4728" t="s">
        <v>26</v>
      </c>
      <c r="C4728">
        <v>2030</v>
      </c>
      <c r="D4728" t="s">
        <v>10</v>
      </c>
      <c r="E4728">
        <v>44.3</v>
      </c>
      <c r="F4728" t="s">
        <v>11</v>
      </c>
    </row>
    <row r="4729" spans="1:6">
      <c r="A4729" t="s">
        <v>54</v>
      </c>
      <c r="B4729" t="s">
        <v>27</v>
      </c>
      <c r="C4729">
        <v>2030</v>
      </c>
      <c r="D4729" t="s">
        <v>9</v>
      </c>
      <c r="E4729">
        <v>1940.6</v>
      </c>
      <c r="F4729" t="s">
        <v>7</v>
      </c>
    </row>
    <row r="4730" spans="1:6">
      <c r="A4730" t="s">
        <v>54</v>
      </c>
      <c r="B4730" t="s">
        <v>27</v>
      </c>
      <c r="C4730">
        <v>2030</v>
      </c>
      <c r="D4730" t="s">
        <v>10</v>
      </c>
      <c r="E4730">
        <v>44.3</v>
      </c>
      <c r="F4730" t="s">
        <v>11</v>
      </c>
    </row>
    <row r="4731" spans="1:6">
      <c r="A4731" t="s">
        <v>54</v>
      </c>
      <c r="B4731" t="s">
        <v>28</v>
      </c>
      <c r="C4731">
        <v>2030</v>
      </c>
      <c r="D4731" t="s">
        <v>9</v>
      </c>
      <c r="E4731">
        <v>1940.6</v>
      </c>
      <c r="F4731" t="s">
        <v>7</v>
      </c>
    </row>
    <row r="4732" spans="1:6">
      <c r="A4732" t="s">
        <v>54</v>
      </c>
      <c r="B4732" t="s">
        <v>28</v>
      </c>
      <c r="C4732">
        <v>2030</v>
      </c>
      <c r="D4732" t="s">
        <v>10</v>
      </c>
      <c r="E4732">
        <v>44.3</v>
      </c>
      <c r="F4732" t="s">
        <v>11</v>
      </c>
    </row>
    <row r="4733" spans="1:6">
      <c r="A4733" t="s">
        <v>54</v>
      </c>
      <c r="B4733" t="s">
        <v>20</v>
      </c>
      <c r="C4733">
        <v>2035</v>
      </c>
      <c r="D4733" t="s">
        <v>6</v>
      </c>
      <c r="E4733">
        <v>2273.5</v>
      </c>
      <c r="F4733" t="s">
        <v>7</v>
      </c>
    </row>
    <row r="4734" spans="1:6">
      <c r="A4734" t="s">
        <v>54</v>
      </c>
      <c r="B4734" t="s">
        <v>20</v>
      </c>
      <c r="C4734">
        <v>2035</v>
      </c>
      <c r="D4734" t="s">
        <v>10</v>
      </c>
      <c r="E4734">
        <v>52.3</v>
      </c>
      <c r="F4734" t="s">
        <v>11</v>
      </c>
    </row>
    <row r="4735" spans="1:6">
      <c r="A4735" t="s">
        <v>54</v>
      </c>
      <c r="B4735" t="s">
        <v>20</v>
      </c>
      <c r="C4735">
        <v>2035</v>
      </c>
      <c r="D4735" t="s">
        <v>16</v>
      </c>
      <c r="E4735">
        <v>0.86</v>
      </c>
      <c r="F4735" t="s">
        <v>15</v>
      </c>
    </row>
    <row r="4736" spans="1:6">
      <c r="A4736" t="s">
        <v>54</v>
      </c>
      <c r="B4736" t="s">
        <v>20</v>
      </c>
      <c r="C4736">
        <v>2035</v>
      </c>
      <c r="D4736" t="s">
        <v>164</v>
      </c>
      <c r="E4736">
        <v>0.13900000000000001</v>
      </c>
      <c r="F4736" t="s">
        <v>166</v>
      </c>
    </row>
    <row r="4737" spans="1:6">
      <c r="A4737" t="s">
        <v>54</v>
      </c>
      <c r="B4737" t="s">
        <v>21</v>
      </c>
      <c r="C4737">
        <v>2035</v>
      </c>
      <c r="D4737" t="s">
        <v>6</v>
      </c>
      <c r="E4737">
        <v>2273.5</v>
      </c>
      <c r="F4737" t="s">
        <v>7</v>
      </c>
    </row>
    <row r="4738" spans="1:6">
      <c r="A4738" t="s">
        <v>54</v>
      </c>
      <c r="B4738" t="s">
        <v>21</v>
      </c>
      <c r="C4738">
        <v>2035</v>
      </c>
      <c r="D4738" t="s">
        <v>10</v>
      </c>
      <c r="E4738">
        <v>52.3</v>
      </c>
      <c r="F4738" t="s">
        <v>11</v>
      </c>
    </row>
    <row r="4739" spans="1:6">
      <c r="A4739" t="s">
        <v>54</v>
      </c>
      <c r="B4739" t="s">
        <v>21</v>
      </c>
      <c r="C4739">
        <v>2035</v>
      </c>
      <c r="D4739" t="s">
        <v>16</v>
      </c>
      <c r="E4739">
        <v>0.86</v>
      </c>
      <c r="F4739" t="s">
        <v>15</v>
      </c>
    </row>
    <row r="4740" spans="1:6">
      <c r="A4740" t="s">
        <v>54</v>
      </c>
      <c r="B4740" t="s">
        <v>21</v>
      </c>
      <c r="C4740">
        <v>2035</v>
      </c>
      <c r="D4740" t="s">
        <v>164</v>
      </c>
      <c r="E4740">
        <v>0.13900000000000001</v>
      </c>
      <c r="F4740" t="s">
        <v>166</v>
      </c>
    </row>
    <row r="4741" spans="1:6">
      <c r="A4741" t="s">
        <v>54</v>
      </c>
      <c r="B4741" t="s">
        <v>22</v>
      </c>
      <c r="C4741">
        <v>2035</v>
      </c>
      <c r="D4741" t="s">
        <v>6</v>
      </c>
      <c r="E4741">
        <v>2273.5</v>
      </c>
      <c r="F4741" t="s">
        <v>7</v>
      </c>
    </row>
    <row r="4742" spans="1:6">
      <c r="A4742" t="s">
        <v>54</v>
      </c>
      <c r="B4742" t="s">
        <v>22</v>
      </c>
      <c r="C4742">
        <v>2035</v>
      </c>
      <c r="D4742" t="s">
        <v>10</v>
      </c>
      <c r="E4742">
        <v>52.3</v>
      </c>
      <c r="F4742" t="s">
        <v>11</v>
      </c>
    </row>
    <row r="4743" spans="1:6">
      <c r="A4743" t="s">
        <v>54</v>
      </c>
      <c r="B4743" t="s">
        <v>22</v>
      </c>
      <c r="C4743">
        <v>2035</v>
      </c>
      <c r="D4743" t="s">
        <v>16</v>
      </c>
      <c r="E4743">
        <v>0.86</v>
      </c>
      <c r="F4743" t="s">
        <v>15</v>
      </c>
    </row>
    <row r="4744" spans="1:6">
      <c r="A4744" t="s">
        <v>54</v>
      </c>
      <c r="B4744" t="s">
        <v>22</v>
      </c>
      <c r="C4744">
        <v>2035</v>
      </c>
      <c r="D4744" t="s">
        <v>164</v>
      </c>
      <c r="E4744">
        <v>0.13900000000000001</v>
      </c>
      <c r="F4744" t="s">
        <v>166</v>
      </c>
    </row>
    <row r="4745" spans="1:6">
      <c r="A4745" t="s">
        <v>54</v>
      </c>
      <c r="B4745" t="s">
        <v>23</v>
      </c>
      <c r="C4745">
        <v>2035</v>
      </c>
      <c r="D4745" t="s">
        <v>6</v>
      </c>
      <c r="E4745">
        <v>2273.5</v>
      </c>
      <c r="F4745" t="s">
        <v>7</v>
      </c>
    </row>
    <row r="4746" spans="1:6">
      <c r="A4746" t="s">
        <v>54</v>
      </c>
      <c r="B4746" t="s">
        <v>23</v>
      </c>
      <c r="C4746">
        <v>2035</v>
      </c>
      <c r="D4746" t="s">
        <v>10</v>
      </c>
      <c r="E4746">
        <v>52.3</v>
      </c>
      <c r="F4746" t="s">
        <v>11</v>
      </c>
    </row>
    <row r="4747" spans="1:6">
      <c r="A4747" t="s">
        <v>54</v>
      </c>
      <c r="B4747" t="s">
        <v>23</v>
      </c>
      <c r="C4747">
        <v>2035</v>
      </c>
      <c r="D4747" t="s">
        <v>16</v>
      </c>
      <c r="E4747">
        <v>0.86</v>
      </c>
      <c r="F4747" t="s">
        <v>15</v>
      </c>
    </row>
    <row r="4748" spans="1:6">
      <c r="A4748" t="s">
        <v>54</v>
      </c>
      <c r="B4748" t="s">
        <v>23</v>
      </c>
      <c r="C4748">
        <v>2035</v>
      </c>
      <c r="D4748" t="s">
        <v>164</v>
      </c>
      <c r="E4748">
        <v>0.13900000000000001</v>
      </c>
      <c r="F4748" t="s">
        <v>166</v>
      </c>
    </row>
    <row r="4749" spans="1:6">
      <c r="A4749" t="s">
        <v>54</v>
      </c>
      <c r="B4749" t="s">
        <v>24</v>
      </c>
      <c r="C4749">
        <v>2035</v>
      </c>
      <c r="D4749" t="s">
        <v>6</v>
      </c>
      <c r="E4749">
        <v>2273.5</v>
      </c>
      <c r="F4749" t="s">
        <v>7</v>
      </c>
    </row>
    <row r="4750" spans="1:6">
      <c r="A4750" t="s">
        <v>54</v>
      </c>
      <c r="B4750" t="s">
        <v>24</v>
      </c>
      <c r="C4750">
        <v>2035</v>
      </c>
      <c r="D4750" t="s">
        <v>10</v>
      </c>
      <c r="E4750">
        <v>52.3</v>
      </c>
      <c r="F4750" t="s">
        <v>11</v>
      </c>
    </row>
    <row r="4751" spans="1:6">
      <c r="A4751" t="s">
        <v>54</v>
      </c>
      <c r="B4751" t="s">
        <v>24</v>
      </c>
      <c r="C4751">
        <v>2035</v>
      </c>
      <c r="D4751" t="s">
        <v>16</v>
      </c>
      <c r="E4751">
        <v>0.86</v>
      </c>
      <c r="F4751" t="s">
        <v>15</v>
      </c>
    </row>
    <row r="4752" spans="1:6">
      <c r="A4752" t="s">
        <v>54</v>
      </c>
      <c r="B4752" t="s">
        <v>24</v>
      </c>
      <c r="C4752">
        <v>2035</v>
      </c>
      <c r="D4752" t="s">
        <v>164</v>
      </c>
      <c r="E4752">
        <v>0.13900000000000001</v>
      </c>
      <c r="F4752" t="s">
        <v>166</v>
      </c>
    </row>
    <row r="4753" spans="1:6">
      <c r="A4753" t="s">
        <v>54</v>
      </c>
      <c r="B4753" t="s">
        <v>25</v>
      </c>
      <c r="C4753">
        <v>2035</v>
      </c>
      <c r="D4753" t="s">
        <v>6</v>
      </c>
      <c r="E4753">
        <v>2273.5</v>
      </c>
      <c r="F4753" t="s">
        <v>7</v>
      </c>
    </row>
    <row r="4754" spans="1:6">
      <c r="A4754" t="s">
        <v>54</v>
      </c>
      <c r="B4754" t="s">
        <v>25</v>
      </c>
      <c r="C4754">
        <v>2035</v>
      </c>
      <c r="D4754" t="s">
        <v>10</v>
      </c>
      <c r="E4754">
        <v>52.3</v>
      </c>
      <c r="F4754" t="s">
        <v>11</v>
      </c>
    </row>
    <row r="4755" spans="1:6">
      <c r="A4755" t="s">
        <v>54</v>
      </c>
      <c r="B4755" t="s">
        <v>25</v>
      </c>
      <c r="C4755">
        <v>2035</v>
      </c>
      <c r="D4755" t="s">
        <v>16</v>
      </c>
      <c r="E4755">
        <v>0.86</v>
      </c>
      <c r="F4755" t="s">
        <v>15</v>
      </c>
    </row>
    <row r="4756" spans="1:6">
      <c r="A4756" t="s">
        <v>54</v>
      </c>
      <c r="B4756" t="s">
        <v>25</v>
      </c>
      <c r="C4756">
        <v>2035</v>
      </c>
      <c r="D4756" t="s">
        <v>164</v>
      </c>
      <c r="E4756">
        <v>0.13900000000000001</v>
      </c>
      <c r="F4756" t="s">
        <v>166</v>
      </c>
    </row>
    <row r="4757" spans="1:6">
      <c r="A4757" t="s">
        <v>54</v>
      </c>
      <c r="B4757" t="s">
        <v>26</v>
      </c>
      <c r="C4757">
        <v>2035</v>
      </c>
      <c r="D4757" t="s">
        <v>6</v>
      </c>
      <c r="E4757">
        <v>2273.5</v>
      </c>
      <c r="F4757" t="s">
        <v>7</v>
      </c>
    </row>
    <row r="4758" spans="1:6">
      <c r="A4758" t="s">
        <v>54</v>
      </c>
      <c r="B4758" t="s">
        <v>26</v>
      </c>
      <c r="C4758">
        <v>2035</v>
      </c>
      <c r="D4758" t="s">
        <v>10</v>
      </c>
      <c r="E4758">
        <v>52.3</v>
      </c>
      <c r="F4758" t="s">
        <v>11</v>
      </c>
    </row>
    <row r="4759" spans="1:6">
      <c r="A4759" t="s">
        <v>54</v>
      </c>
      <c r="B4759" t="s">
        <v>26</v>
      </c>
      <c r="C4759">
        <v>2035</v>
      </c>
      <c r="D4759" t="s">
        <v>16</v>
      </c>
      <c r="E4759">
        <v>0.86</v>
      </c>
      <c r="F4759" t="s">
        <v>15</v>
      </c>
    </row>
    <row r="4760" spans="1:6">
      <c r="A4760" t="s">
        <v>54</v>
      </c>
      <c r="B4760" t="s">
        <v>26</v>
      </c>
      <c r="C4760">
        <v>2035</v>
      </c>
      <c r="D4760" t="s">
        <v>164</v>
      </c>
      <c r="E4760">
        <v>0.13900000000000001</v>
      </c>
      <c r="F4760" t="s">
        <v>166</v>
      </c>
    </row>
    <row r="4761" spans="1:6">
      <c r="A4761" t="s">
        <v>54</v>
      </c>
      <c r="B4761" t="s">
        <v>27</v>
      </c>
      <c r="C4761">
        <v>2035</v>
      </c>
      <c r="D4761" t="s">
        <v>6</v>
      </c>
      <c r="E4761">
        <v>2273.5</v>
      </c>
      <c r="F4761" t="s">
        <v>7</v>
      </c>
    </row>
    <row r="4762" spans="1:6">
      <c r="A4762" t="s">
        <v>54</v>
      </c>
      <c r="B4762" t="s">
        <v>27</v>
      </c>
      <c r="C4762">
        <v>2035</v>
      </c>
      <c r="D4762" t="s">
        <v>10</v>
      </c>
      <c r="E4762">
        <v>52.3</v>
      </c>
      <c r="F4762" t="s">
        <v>11</v>
      </c>
    </row>
    <row r="4763" spans="1:6">
      <c r="A4763" t="s">
        <v>54</v>
      </c>
      <c r="B4763" t="s">
        <v>27</v>
      </c>
      <c r="C4763">
        <v>2035</v>
      </c>
      <c r="D4763" t="s">
        <v>16</v>
      </c>
      <c r="E4763">
        <v>0.86</v>
      </c>
      <c r="F4763" t="s">
        <v>15</v>
      </c>
    </row>
    <row r="4764" spans="1:6">
      <c r="A4764" t="s">
        <v>54</v>
      </c>
      <c r="B4764" t="s">
        <v>27</v>
      </c>
      <c r="C4764">
        <v>2035</v>
      </c>
      <c r="D4764" t="s">
        <v>164</v>
      </c>
      <c r="E4764">
        <v>0.13900000000000001</v>
      </c>
      <c r="F4764" t="s">
        <v>166</v>
      </c>
    </row>
    <row r="4765" spans="1:6">
      <c r="A4765" t="s">
        <v>54</v>
      </c>
      <c r="B4765" t="s">
        <v>28</v>
      </c>
      <c r="C4765">
        <v>2035</v>
      </c>
      <c r="D4765" t="s">
        <v>6</v>
      </c>
      <c r="E4765">
        <v>2273.5</v>
      </c>
      <c r="F4765" t="s">
        <v>7</v>
      </c>
    </row>
    <row r="4766" spans="1:6">
      <c r="A4766" t="s">
        <v>54</v>
      </c>
      <c r="B4766" t="s">
        <v>28</v>
      </c>
      <c r="C4766">
        <v>2035</v>
      </c>
      <c r="D4766" t="s">
        <v>10</v>
      </c>
      <c r="E4766">
        <v>52.3</v>
      </c>
      <c r="F4766" t="s">
        <v>11</v>
      </c>
    </row>
    <row r="4767" spans="1:6">
      <c r="A4767" t="s">
        <v>54</v>
      </c>
      <c r="B4767" t="s">
        <v>28</v>
      </c>
      <c r="C4767">
        <v>2035</v>
      </c>
      <c r="D4767" t="s">
        <v>16</v>
      </c>
      <c r="E4767">
        <v>0.86</v>
      </c>
      <c r="F4767" t="s">
        <v>15</v>
      </c>
    </row>
    <row r="4768" spans="1:6">
      <c r="A4768" t="s">
        <v>54</v>
      </c>
      <c r="B4768" t="s">
        <v>28</v>
      </c>
      <c r="C4768">
        <v>2035</v>
      </c>
      <c r="D4768" t="s">
        <v>164</v>
      </c>
      <c r="E4768">
        <v>0.13900000000000001</v>
      </c>
      <c r="F4768" t="s">
        <v>166</v>
      </c>
    </row>
    <row r="4769" spans="1:6">
      <c r="A4769" t="s">
        <v>54</v>
      </c>
      <c r="B4769" t="s">
        <v>20</v>
      </c>
      <c r="C4769">
        <v>2035</v>
      </c>
      <c r="D4769" t="s">
        <v>8</v>
      </c>
      <c r="E4769">
        <v>2993.4</v>
      </c>
      <c r="F4769" t="s">
        <v>7</v>
      </c>
    </row>
    <row r="4770" spans="1:6">
      <c r="A4770" t="s">
        <v>54</v>
      </c>
      <c r="B4770" t="s">
        <v>20</v>
      </c>
      <c r="C4770">
        <v>2035</v>
      </c>
      <c r="D4770" t="s">
        <v>10</v>
      </c>
      <c r="E4770">
        <v>69.7</v>
      </c>
      <c r="F4770" t="s">
        <v>11</v>
      </c>
    </row>
    <row r="4771" spans="1:6">
      <c r="A4771" t="s">
        <v>54</v>
      </c>
      <c r="B4771" t="s">
        <v>21</v>
      </c>
      <c r="C4771">
        <v>2035</v>
      </c>
      <c r="D4771" t="s">
        <v>8</v>
      </c>
      <c r="E4771">
        <v>2993.4</v>
      </c>
      <c r="F4771" t="s">
        <v>7</v>
      </c>
    </row>
    <row r="4772" spans="1:6">
      <c r="A4772" t="s">
        <v>54</v>
      </c>
      <c r="B4772" t="s">
        <v>21</v>
      </c>
      <c r="C4772">
        <v>2035</v>
      </c>
      <c r="D4772" t="s">
        <v>10</v>
      </c>
      <c r="E4772">
        <v>69.7</v>
      </c>
      <c r="F4772" t="s">
        <v>11</v>
      </c>
    </row>
    <row r="4773" spans="1:6">
      <c r="A4773" t="s">
        <v>54</v>
      </c>
      <c r="B4773" t="s">
        <v>22</v>
      </c>
      <c r="C4773">
        <v>2035</v>
      </c>
      <c r="D4773" t="s">
        <v>8</v>
      </c>
      <c r="E4773">
        <v>2993.4</v>
      </c>
      <c r="F4773" t="s">
        <v>7</v>
      </c>
    </row>
    <row r="4774" spans="1:6">
      <c r="A4774" t="s">
        <v>54</v>
      </c>
      <c r="B4774" t="s">
        <v>22</v>
      </c>
      <c r="C4774">
        <v>2035</v>
      </c>
      <c r="D4774" t="s">
        <v>10</v>
      </c>
      <c r="E4774">
        <v>69.7</v>
      </c>
      <c r="F4774" t="s">
        <v>11</v>
      </c>
    </row>
    <row r="4775" spans="1:6">
      <c r="A4775" t="s">
        <v>54</v>
      </c>
      <c r="B4775" t="s">
        <v>23</v>
      </c>
      <c r="C4775">
        <v>2035</v>
      </c>
      <c r="D4775" t="s">
        <v>8</v>
      </c>
      <c r="E4775">
        <v>2993.4</v>
      </c>
      <c r="F4775" t="s">
        <v>7</v>
      </c>
    </row>
    <row r="4776" spans="1:6">
      <c r="A4776" t="s">
        <v>54</v>
      </c>
      <c r="B4776" t="s">
        <v>23</v>
      </c>
      <c r="C4776">
        <v>2035</v>
      </c>
      <c r="D4776" t="s">
        <v>10</v>
      </c>
      <c r="E4776">
        <v>69.7</v>
      </c>
      <c r="F4776" t="s">
        <v>11</v>
      </c>
    </row>
    <row r="4777" spans="1:6">
      <c r="A4777" t="s">
        <v>54</v>
      </c>
      <c r="B4777" t="s">
        <v>24</v>
      </c>
      <c r="C4777">
        <v>2035</v>
      </c>
      <c r="D4777" t="s">
        <v>8</v>
      </c>
      <c r="E4777">
        <v>2993.4</v>
      </c>
      <c r="F4777" t="s">
        <v>7</v>
      </c>
    </row>
    <row r="4778" spans="1:6">
      <c r="A4778" t="s">
        <v>54</v>
      </c>
      <c r="B4778" t="s">
        <v>24</v>
      </c>
      <c r="C4778">
        <v>2035</v>
      </c>
      <c r="D4778" t="s">
        <v>10</v>
      </c>
      <c r="E4778">
        <v>69.7</v>
      </c>
      <c r="F4778" t="s">
        <v>11</v>
      </c>
    </row>
    <row r="4779" spans="1:6">
      <c r="A4779" t="s">
        <v>54</v>
      </c>
      <c r="B4779" t="s">
        <v>25</v>
      </c>
      <c r="C4779">
        <v>2035</v>
      </c>
      <c r="D4779" t="s">
        <v>8</v>
      </c>
      <c r="E4779">
        <v>2993.4</v>
      </c>
      <c r="F4779" t="s">
        <v>7</v>
      </c>
    </row>
    <row r="4780" spans="1:6">
      <c r="A4780" t="s">
        <v>54</v>
      </c>
      <c r="B4780" t="s">
        <v>25</v>
      </c>
      <c r="C4780">
        <v>2035</v>
      </c>
      <c r="D4780" t="s">
        <v>10</v>
      </c>
      <c r="E4780">
        <v>69.7</v>
      </c>
      <c r="F4780" t="s">
        <v>11</v>
      </c>
    </row>
    <row r="4781" spans="1:6">
      <c r="A4781" t="s">
        <v>54</v>
      </c>
      <c r="B4781" t="s">
        <v>26</v>
      </c>
      <c r="C4781">
        <v>2035</v>
      </c>
      <c r="D4781" t="s">
        <v>8</v>
      </c>
      <c r="E4781">
        <v>2993.4</v>
      </c>
      <c r="F4781" t="s">
        <v>7</v>
      </c>
    </row>
    <row r="4782" spans="1:6">
      <c r="A4782" t="s">
        <v>54</v>
      </c>
      <c r="B4782" t="s">
        <v>26</v>
      </c>
      <c r="C4782">
        <v>2035</v>
      </c>
      <c r="D4782" t="s">
        <v>10</v>
      </c>
      <c r="E4782">
        <v>69.7</v>
      </c>
      <c r="F4782" t="s">
        <v>11</v>
      </c>
    </row>
    <row r="4783" spans="1:6">
      <c r="A4783" t="s">
        <v>54</v>
      </c>
      <c r="B4783" t="s">
        <v>27</v>
      </c>
      <c r="C4783">
        <v>2035</v>
      </c>
      <c r="D4783" t="s">
        <v>8</v>
      </c>
      <c r="E4783">
        <v>2993.4</v>
      </c>
      <c r="F4783" t="s">
        <v>7</v>
      </c>
    </row>
    <row r="4784" spans="1:6">
      <c r="A4784" t="s">
        <v>54</v>
      </c>
      <c r="B4784" t="s">
        <v>27</v>
      </c>
      <c r="C4784">
        <v>2035</v>
      </c>
      <c r="D4784" t="s">
        <v>10</v>
      </c>
      <c r="E4784">
        <v>69.7</v>
      </c>
      <c r="F4784" t="s">
        <v>11</v>
      </c>
    </row>
    <row r="4785" spans="1:6">
      <c r="A4785" t="s">
        <v>54</v>
      </c>
      <c r="B4785" t="s">
        <v>28</v>
      </c>
      <c r="C4785">
        <v>2035</v>
      </c>
      <c r="D4785" t="s">
        <v>8</v>
      </c>
      <c r="E4785">
        <v>2993.4</v>
      </c>
      <c r="F4785" t="s">
        <v>7</v>
      </c>
    </row>
    <row r="4786" spans="1:6">
      <c r="A4786" t="s">
        <v>54</v>
      </c>
      <c r="B4786" t="s">
        <v>28</v>
      </c>
      <c r="C4786">
        <v>2035</v>
      </c>
      <c r="D4786" t="s">
        <v>10</v>
      </c>
      <c r="E4786">
        <v>69.7</v>
      </c>
      <c r="F4786" t="s">
        <v>11</v>
      </c>
    </row>
    <row r="4787" spans="1:6">
      <c r="A4787" t="s">
        <v>54</v>
      </c>
      <c r="B4787" t="s">
        <v>20</v>
      </c>
      <c r="C4787">
        <v>2035</v>
      </c>
      <c r="D4787" t="s">
        <v>9</v>
      </c>
      <c r="E4787">
        <v>1780.6</v>
      </c>
      <c r="F4787" t="s">
        <v>7</v>
      </c>
    </row>
    <row r="4788" spans="1:6">
      <c r="A4788" t="s">
        <v>54</v>
      </c>
      <c r="B4788" t="s">
        <v>20</v>
      </c>
      <c r="C4788">
        <v>2035</v>
      </c>
      <c r="D4788" t="s">
        <v>10</v>
      </c>
      <c r="E4788">
        <v>40.4</v>
      </c>
      <c r="F4788" t="s">
        <v>11</v>
      </c>
    </row>
    <row r="4789" spans="1:6">
      <c r="A4789" t="s">
        <v>54</v>
      </c>
      <c r="B4789" t="s">
        <v>21</v>
      </c>
      <c r="C4789">
        <v>2035</v>
      </c>
      <c r="D4789" t="s">
        <v>9</v>
      </c>
      <c r="E4789">
        <v>1780.6</v>
      </c>
      <c r="F4789" t="s">
        <v>7</v>
      </c>
    </row>
    <row r="4790" spans="1:6">
      <c r="A4790" t="s">
        <v>54</v>
      </c>
      <c r="B4790" t="s">
        <v>21</v>
      </c>
      <c r="C4790">
        <v>2035</v>
      </c>
      <c r="D4790" t="s">
        <v>10</v>
      </c>
      <c r="E4790">
        <v>40.4</v>
      </c>
      <c r="F4790" t="s">
        <v>11</v>
      </c>
    </row>
    <row r="4791" spans="1:6">
      <c r="A4791" t="s">
        <v>54</v>
      </c>
      <c r="B4791" t="s">
        <v>22</v>
      </c>
      <c r="C4791">
        <v>2035</v>
      </c>
      <c r="D4791" t="s">
        <v>9</v>
      </c>
      <c r="E4791">
        <v>1780.6</v>
      </c>
      <c r="F4791" t="s">
        <v>7</v>
      </c>
    </row>
    <row r="4792" spans="1:6">
      <c r="A4792" t="s">
        <v>54</v>
      </c>
      <c r="B4792" t="s">
        <v>22</v>
      </c>
      <c r="C4792">
        <v>2035</v>
      </c>
      <c r="D4792" t="s">
        <v>10</v>
      </c>
      <c r="E4792">
        <v>40.4</v>
      </c>
      <c r="F4792" t="s">
        <v>11</v>
      </c>
    </row>
    <row r="4793" spans="1:6">
      <c r="A4793" t="s">
        <v>54</v>
      </c>
      <c r="B4793" t="s">
        <v>23</v>
      </c>
      <c r="C4793">
        <v>2035</v>
      </c>
      <c r="D4793" t="s">
        <v>9</v>
      </c>
      <c r="E4793">
        <v>1780.6</v>
      </c>
      <c r="F4793" t="s">
        <v>7</v>
      </c>
    </row>
    <row r="4794" spans="1:6">
      <c r="A4794" t="s">
        <v>54</v>
      </c>
      <c r="B4794" t="s">
        <v>23</v>
      </c>
      <c r="C4794">
        <v>2035</v>
      </c>
      <c r="D4794" t="s">
        <v>10</v>
      </c>
      <c r="E4794">
        <v>40.4</v>
      </c>
      <c r="F4794" t="s">
        <v>11</v>
      </c>
    </row>
    <row r="4795" spans="1:6">
      <c r="A4795" t="s">
        <v>54</v>
      </c>
      <c r="B4795" t="s">
        <v>24</v>
      </c>
      <c r="C4795">
        <v>2035</v>
      </c>
      <c r="D4795" t="s">
        <v>9</v>
      </c>
      <c r="E4795">
        <v>1780.6</v>
      </c>
      <c r="F4795" t="s">
        <v>7</v>
      </c>
    </row>
    <row r="4796" spans="1:6">
      <c r="A4796" t="s">
        <v>54</v>
      </c>
      <c r="B4796" t="s">
        <v>24</v>
      </c>
      <c r="C4796">
        <v>2035</v>
      </c>
      <c r="D4796" t="s">
        <v>10</v>
      </c>
      <c r="E4796">
        <v>40.4</v>
      </c>
      <c r="F4796" t="s">
        <v>11</v>
      </c>
    </row>
    <row r="4797" spans="1:6">
      <c r="A4797" t="s">
        <v>54</v>
      </c>
      <c r="B4797" t="s">
        <v>25</v>
      </c>
      <c r="C4797">
        <v>2035</v>
      </c>
      <c r="D4797" t="s">
        <v>9</v>
      </c>
      <c r="E4797">
        <v>1780.6</v>
      </c>
      <c r="F4797" t="s">
        <v>7</v>
      </c>
    </row>
    <row r="4798" spans="1:6">
      <c r="A4798" t="s">
        <v>54</v>
      </c>
      <c r="B4798" t="s">
        <v>25</v>
      </c>
      <c r="C4798">
        <v>2035</v>
      </c>
      <c r="D4798" t="s">
        <v>10</v>
      </c>
      <c r="E4798">
        <v>40.4</v>
      </c>
      <c r="F4798" t="s">
        <v>11</v>
      </c>
    </row>
    <row r="4799" spans="1:6">
      <c r="A4799" t="s">
        <v>54</v>
      </c>
      <c r="B4799" t="s">
        <v>26</v>
      </c>
      <c r="C4799">
        <v>2035</v>
      </c>
      <c r="D4799" t="s">
        <v>9</v>
      </c>
      <c r="E4799">
        <v>1780.6</v>
      </c>
      <c r="F4799" t="s">
        <v>7</v>
      </c>
    </row>
    <row r="4800" spans="1:6">
      <c r="A4800" t="s">
        <v>54</v>
      </c>
      <c r="B4800" t="s">
        <v>26</v>
      </c>
      <c r="C4800">
        <v>2035</v>
      </c>
      <c r="D4800" t="s">
        <v>10</v>
      </c>
      <c r="E4800">
        <v>40.4</v>
      </c>
      <c r="F4800" t="s">
        <v>11</v>
      </c>
    </row>
    <row r="4801" spans="1:6">
      <c r="A4801" t="s">
        <v>54</v>
      </c>
      <c r="B4801" t="s">
        <v>27</v>
      </c>
      <c r="C4801">
        <v>2035</v>
      </c>
      <c r="D4801" t="s">
        <v>9</v>
      </c>
      <c r="E4801">
        <v>1780.6</v>
      </c>
      <c r="F4801" t="s">
        <v>7</v>
      </c>
    </row>
    <row r="4802" spans="1:6">
      <c r="A4802" t="s">
        <v>54</v>
      </c>
      <c r="B4802" t="s">
        <v>27</v>
      </c>
      <c r="C4802">
        <v>2035</v>
      </c>
      <c r="D4802" t="s">
        <v>10</v>
      </c>
      <c r="E4802">
        <v>40.4</v>
      </c>
      <c r="F4802" t="s">
        <v>11</v>
      </c>
    </row>
    <row r="4803" spans="1:6">
      <c r="A4803" t="s">
        <v>54</v>
      </c>
      <c r="B4803" t="s">
        <v>28</v>
      </c>
      <c r="C4803">
        <v>2035</v>
      </c>
      <c r="D4803" t="s">
        <v>9</v>
      </c>
      <c r="E4803">
        <v>1780.6</v>
      </c>
      <c r="F4803" t="s">
        <v>7</v>
      </c>
    </row>
    <row r="4804" spans="1:6">
      <c r="A4804" t="s">
        <v>54</v>
      </c>
      <c r="B4804" t="s">
        <v>28</v>
      </c>
      <c r="C4804">
        <v>2035</v>
      </c>
      <c r="D4804" t="s">
        <v>10</v>
      </c>
      <c r="E4804">
        <v>40.4</v>
      </c>
      <c r="F4804" t="s">
        <v>11</v>
      </c>
    </row>
    <row r="4805" spans="1:6">
      <c r="A4805" t="s">
        <v>54</v>
      </c>
      <c r="B4805" t="s">
        <v>20</v>
      </c>
      <c r="C4805">
        <v>2040</v>
      </c>
      <c r="D4805" t="s">
        <v>6</v>
      </c>
      <c r="E4805">
        <v>2077.5</v>
      </c>
      <c r="F4805" t="s">
        <v>7</v>
      </c>
    </row>
    <row r="4806" spans="1:6">
      <c r="A4806" t="s">
        <v>54</v>
      </c>
      <c r="B4806" t="s">
        <v>20</v>
      </c>
      <c r="C4806">
        <v>2040</v>
      </c>
      <c r="D4806" t="s">
        <v>10</v>
      </c>
      <c r="E4806">
        <v>47.6</v>
      </c>
      <c r="F4806" t="s">
        <v>11</v>
      </c>
    </row>
    <row r="4807" spans="1:6">
      <c r="A4807" t="s">
        <v>54</v>
      </c>
      <c r="B4807" t="s">
        <v>20</v>
      </c>
      <c r="C4807">
        <v>2040</v>
      </c>
      <c r="D4807" t="s">
        <v>16</v>
      </c>
      <c r="E4807">
        <v>0.86</v>
      </c>
      <c r="F4807" t="s">
        <v>15</v>
      </c>
    </row>
    <row r="4808" spans="1:6">
      <c r="A4808" t="s">
        <v>54</v>
      </c>
      <c r="B4808" t="s">
        <v>20</v>
      </c>
      <c r="C4808">
        <v>2040</v>
      </c>
      <c r="D4808" t="s">
        <v>164</v>
      </c>
      <c r="E4808">
        <v>0.13900000000000001</v>
      </c>
      <c r="F4808" t="s">
        <v>166</v>
      </c>
    </row>
    <row r="4809" spans="1:6">
      <c r="A4809" t="s">
        <v>54</v>
      </c>
      <c r="B4809" t="s">
        <v>21</v>
      </c>
      <c r="C4809">
        <v>2040</v>
      </c>
      <c r="D4809" t="s">
        <v>6</v>
      </c>
      <c r="E4809">
        <v>2077.5</v>
      </c>
      <c r="F4809" t="s">
        <v>7</v>
      </c>
    </row>
    <row r="4810" spans="1:6">
      <c r="A4810" t="s">
        <v>54</v>
      </c>
      <c r="B4810" t="s">
        <v>21</v>
      </c>
      <c r="C4810">
        <v>2040</v>
      </c>
      <c r="D4810" t="s">
        <v>10</v>
      </c>
      <c r="E4810">
        <v>47.6</v>
      </c>
      <c r="F4810" t="s">
        <v>11</v>
      </c>
    </row>
    <row r="4811" spans="1:6">
      <c r="A4811" t="s">
        <v>54</v>
      </c>
      <c r="B4811" t="s">
        <v>21</v>
      </c>
      <c r="C4811">
        <v>2040</v>
      </c>
      <c r="D4811" t="s">
        <v>16</v>
      </c>
      <c r="E4811">
        <v>0.86</v>
      </c>
      <c r="F4811" t="s">
        <v>15</v>
      </c>
    </row>
    <row r="4812" spans="1:6">
      <c r="A4812" t="s">
        <v>54</v>
      </c>
      <c r="B4812" t="s">
        <v>21</v>
      </c>
      <c r="C4812">
        <v>2040</v>
      </c>
      <c r="D4812" t="s">
        <v>164</v>
      </c>
      <c r="E4812">
        <v>0.13900000000000001</v>
      </c>
      <c r="F4812" t="s">
        <v>166</v>
      </c>
    </row>
    <row r="4813" spans="1:6">
      <c r="A4813" t="s">
        <v>54</v>
      </c>
      <c r="B4813" t="s">
        <v>22</v>
      </c>
      <c r="C4813">
        <v>2040</v>
      </c>
      <c r="D4813" t="s">
        <v>6</v>
      </c>
      <c r="E4813">
        <v>2077.5</v>
      </c>
      <c r="F4813" t="s">
        <v>7</v>
      </c>
    </row>
    <row r="4814" spans="1:6">
      <c r="A4814" t="s">
        <v>54</v>
      </c>
      <c r="B4814" t="s">
        <v>22</v>
      </c>
      <c r="C4814">
        <v>2040</v>
      </c>
      <c r="D4814" t="s">
        <v>10</v>
      </c>
      <c r="E4814">
        <v>47.6</v>
      </c>
      <c r="F4814" t="s">
        <v>11</v>
      </c>
    </row>
    <row r="4815" spans="1:6">
      <c r="A4815" t="s">
        <v>54</v>
      </c>
      <c r="B4815" t="s">
        <v>22</v>
      </c>
      <c r="C4815">
        <v>2040</v>
      </c>
      <c r="D4815" t="s">
        <v>16</v>
      </c>
      <c r="E4815">
        <v>0.86</v>
      </c>
      <c r="F4815" t="s">
        <v>15</v>
      </c>
    </row>
    <row r="4816" spans="1:6">
      <c r="A4816" t="s">
        <v>54</v>
      </c>
      <c r="B4816" t="s">
        <v>22</v>
      </c>
      <c r="C4816">
        <v>2040</v>
      </c>
      <c r="D4816" t="s">
        <v>164</v>
      </c>
      <c r="E4816">
        <v>0.13900000000000001</v>
      </c>
      <c r="F4816" t="s">
        <v>166</v>
      </c>
    </row>
    <row r="4817" spans="1:6">
      <c r="A4817" t="s">
        <v>54</v>
      </c>
      <c r="B4817" t="s">
        <v>23</v>
      </c>
      <c r="C4817">
        <v>2040</v>
      </c>
      <c r="D4817" t="s">
        <v>6</v>
      </c>
      <c r="E4817">
        <v>2077.5</v>
      </c>
      <c r="F4817" t="s">
        <v>7</v>
      </c>
    </row>
    <row r="4818" spans="1:6">
      <c r="A4818" t="s">
        <v>54</v>
      </c>
      <c r="B4818" t="s">
        <v>23</v>
      </c>
      <c r="C4818">
        <v>2040</v>
      </c>
      <c r="D4818" t="s">
        <v>10</v>
      </c>
      <c r="E4818">
        <v>47.6</v>
      </c>
      <c r="F4818" t="s">
        <v>11</v>
      </c>
    </row>
    <row r="4819" spans="1:6">
      <c r="A4819" t="s">
        <v>54</v>
      </c>
      <c r="B4819" t="s">
        <v>23</v>
      </c>
      <c r="C4819">
        <v>2040</v>
      </c>
      <c r="D4819" t="s">
        <v>16</v>
      </c>
      <c r="E4819">
        <v>0.86</v>
      </c>
      <c r="F4819" t="s">
        <v>15</v>
      </c>
    </row>
    <row r="4820" spans="1:6">
      <c r="A4820" t="s">
        <v>54</v>
      </c>
      <c r="B4820" t="s">
        <v>23</v>
      </c>
      <c r="C4820">
        <v>2040</v>
      </c>
      <c r="D4820" t="s">
        <v>164</v>
      </c>
      <c r="E4820">
        <v>0.13900000000000001</v>
      </c>
      <c r="F4820" t="s">
        <v>166</v>
      </c>
    </row>
    <row r="4821" spans="1:6">
      <c r="A4821" t="s">
        <v>54</v>
      </c>
      <c r="B4821" t="s">
        <v>24</v>
      </c>
      <c r="C4821">
        <v>2040</v>
      </c>
      <c r="D4821" t="s">
        <v>6</v>
      </c>
      <c r="E4821">
        <v>2077.5</v>
      </c>
      <c r="F4821" t="s">
        <v>7</v>
      </c>
    </row>
    <row r="4822" spans="1:6">
      <c r="A4822" t="s">
        <v>54</v>
      </c>
      <c r="B4822" t="s">
        <v>24</v>
      </c>
      <c r="C4822">
        <v>2040</v>
      </c>
      <c r="D4822" t="s">
        <v>10</v>
      </c>
      <c r="E4822">
        <v>47.6</v>
      </c>
      <c r="F4822" t="s">
        <v>11</v>
      </c>
    </row>
    <row r="4823" spans="1:6">
      <c r="A4823" t="s">
        <v>54</v>
      </c>
      <c r="B4823" t="s">
        <v>24</v>
      </c>
      <c r="C4823">
        <v>2040</v>
      </c>
      <c r="D4823" t="s">
        <v>16</v>
      </c>
      <c r="E4823">
        <v>0.86</v>
      </c>
      <c r="F4823" t="s">
        <v>15</v>
      </c>
    </row>
    <row r="4824" spans="1:6">
      <c r="A4824" t="s">
        <v>54</v>
      </c>
      <c r="B4824" t="s">
        <v>24</v>
      </c>
      <c r="C4824">
        <v>2040</v>
      </c>
      <c r="D4824" t="s">
        <v>164</v>
      </c>
      <c r="E4824">
        <v>0.13900000000000001</v>
      </c>
      <c r="F4824" t="s">
        <v>166</v>
      </c>
    </row>
    <row r="4825" spans="1:6">
      <c r="A4825" t="s">
        <v>54</v>
      </c>
      <c r="B4825" t="s">
        <v>25</v>
      </c>
      <c r="C4825">
        <v>2040</v>
      </c>
      <c r="D4825" t="s">
        <v>6</v>
      </c>
      <c r="E4825">
        <v>2077.5</v>
      </c>
      <c r="F4825" t="s">
        <v>7</v>
      </c>
    </row>
    <row r="4826" spans="1:6">
      <c r="A4826" t="s">
        <v>54</v>
      </c>
      <c r="B4826" t="s">
        <v>25</v>
      </c>
      <c r="C4826">
        <v>2040</v>
      </c>
      <c r="D4826" t="s">
        <v>10</v>
      </c>
      <c r="E4826">
        <v>47.6</v>
      </c>
      <c r="F4826" t="s">
        <v>11</v>
      </c>
    </row>
    <row r="4827" spans="1:6">
      <c r="A4827" t="s">
        <v>54</v>
      </c>
      <c r="B4827" t="s">
        <v>25</v>
      </c>
      <c r="C4827">
        <v>2040</v>
      </c>
      <c r="D4827" t="s">
        <v>16</v>
      </c>
      <c r="E4827">
        <v>0.86</v>
      </c>
      <c r="F4827" t="s">
        <v>15</v>
      </c>
    </row>
    <row r="4828" spans="1:6">
      <c r="A4828" t="s">
        <v>54</v>
      </c>
      <c r="B4828" t="s">
        <v>25</v>
      </c>
      <c r="C4828">
        <v>2040</v>
      </c>
      <c r="D4828" t="s">
        <v>164</v>
      </c>
      <c r="E4828">
        <v>0.13900000000000001</v>
      </c>
      <c r="F4828" t="s">
        <v>166</v>
      </c>
    </row>
    <row r="4829" spans="1:6">
      <c r="A4829" t="s">
        <v>54</v>
      </c>
      <c r="B4829" t="s">
        <v>26</v>
      </c>
      <c r="C4829">
        <v>2040</v>
      </c>
      <c r="D4829" t="s">
        <v>6</v>
      </c>
      <c r="E4829">
        <v>2077.5</v>
      </c>
      <c r="F4829" t="s">
        <v>7</v>
      </c>
    </row>
    <row r="4830" spans="1:6">
      <c r="A4830" t="s">
        <v>54</v>
      </c>
      <c r="B4830" t="s">
        <v>26</v>
      </c>
      <c r="C4830">
        <v>2040</v>
      </c>
      <c r="D4830" t="s">
        <v>10</v>
      </c>
      <c r="E4830">
        <v>47.6</v>
      </c>
      <c r="F4830" t="s">
        <v>11</v>
      </c>
    </row>
    <row r="4831" spans="1:6">
      <c r="A4831" t="s">
        <v>54</v>
      </c>
      <c r="B4831" t="s">
        <v>26</v>
      </c>
      <c r="C4831">
        <v>2040</v>
      </c>
      <c r="D4831" t="s">
        <v>16</v>
      </c>
      <c r="E4831">
        <v>0.86</v>
      </c>
      <c r="F4831" t="s">
        <v>15</v>
      </c>
    </row>
    <row r="4832" spans="1:6">
      <c r="A4832" t="s">
        <v>54</v>
      </c>
      <c r="B4832" t="s">
        <v>26</v>
      </c>
      <c r="C4832">
        <v>2040</v>
      </c>
      <c r="D4832" t="s">
        <v>164</v>
      </c>
      <c r="E4832">
        <v>0.13900000000000001</v>
      </c>
      <c r="F4832" t="s">
        <v>166</v>
      </c>
    </row>
    <row r="4833" spans="1:6">
      <c r="A4833" t="s">
        <v>54</v>
      </c>
      <c r="B4833" t="s">
        <v>27</v>
      </c>
      <c r="C4833">
        <v>2040</v>
      </c>
      <c r="D4833" t="s">
        <v>6</v>
      </c>
      <c r="E4833">
        <v>2077.5</v>
      </c>
      <c r="F4833" t="s">
        <v>7</v>
      </c>
    </row>
    <row r="4834" spans="1:6">
      <c r="A4834" t="s">
        <v>54</v>
      </c>
      <c r="B4834" t="s">
        <v>27</v>
      </c>
      <c r="C4834">
        <v>2040</v>
      </c>
      <c r="D4834" t="s">
        <v>10</v>
      </c>
      <c r="E4834">
        <v>47.6</v>
      </c>
      <c r="F4834" t="s">
        <v>11</v>
      </c>
    </row>
    <row r="4835" spans="1:6">
      <c r="A4835" t="s">
        <v>54</v>
      </c>
      <c r="B4835" t="s">
        <v>27</v>
      </c>
      <c r="C4835">
        <v>2040</v>
      </c>
      <c r="D4835" t="s">
        <v>16</v>
      </c>
      <c r="E4835">
        <v>0.86</v>
      </c>
      <c r="F4835" t="s">
        <v>15</v>
      </c>
    </row>
    <row r="4836" spans="1:6">
      <c r="A4836" t="s">
        <v>54</v>
      </c>
      <c r="B4836" t="s">
        <v>27</v>
      </c>
      <c r="C4836">
        <v>2040</v>
      </c>
      <c r="D4836" t="s">
        <v>164</v>
      </c>
      <c r="E4836">
        <v>0.13900000000000001</v>
      </c>
      <c r="F4836" t="s">
        <v>166</v>
      </c>
    </row>
    <row r="4837" spans="1:6">
      <c r="A4837" t="s">
        <v>54</v>
      </c>
      <c r="B4837" t="s">
        <v>28</v>
      </c>
      <c r="C4837">
        <v>2040</v>
      </c>
      <c r="D4837" t="s">
        <v>6</v>
      </c>
      <c r="E4837">
        <v>2077.5</v>
      </c>
      <c r="F4837" t="s">
        <v>7</v>
      </c>
    </row>
    <row r="4838" spans="1:6">
      <c r="A4838" t="s">
        <v>54</v>
      </c>
      <c r="B4838" t="s">
        <v>28</v>
      </c>
      <c r="C4838">
        <v>2040</v>
      </c>
      <c r="D4838" t="s">
        <v>10</v>
      </c>
      <c r="E4838">
        <v>47.6</v>
      </c>
      <c r="F4838" t="s">
        <v>11</v>
      </c>
    </row>
    <row r="4839" spans="1:6">
      <c r="A4839" t="s">
        <v>54</v>
      </c>
      <c r="B4839" t="s">
        <v>28</v>
      </c>
      <c r="C4839">
        <v>2040</v>
      </c>
      <c r="D4839" t="s">
        <v>16</v>
      </c>
      <c r="E4839">
        <v>0.86</v>
      </c>
      <c r="F4839" t="s">
        <v>15</v>
      </c>
    </row>
    <row r="4840" spans="1:6">
      <c r="A4840" t="s">
        <v>54</v>
      </c>
      <c r="B4840" t="s">
        <v>28</v>
      </c>
      <c r="C4840">
        <v>2040</v>
      </c>
      <c r="D4840" t="s">
        <v>164</v>
      </c>
      <c r="E4840">
        <v>0.13900000000000001</v>
      </c>
      <c r="F4840" t="s">
        <v>166</v>
      </c>
    </row>
    <row r="4841" spans="1:6">
      <c r="A4841" t="s">
        <v>54</v>
      </c>
      <c r="B4841" t="s">
        <v>20</v>
      </c>
      <c r="C4841">
        <v>2040</v>
      </c>
      <c r="D4841" t="s">
        <v>8</v>
      </c>
      <c r="E4841">
        <v>2891</v>
      </c>
      <c r="F4841" t="s">
        <v>7</v>
      </c>
    </row>
    <row r="4842" spans="1:6">
      <c r="A4842" t="s">
        <v>54</v>
      </c>
      <c r="B4842" t="s">
        <v>20</v>
      </c>
      <c r="C4842">
        <v>2040</v>
      </c>
      <c r="D4842" t="s">
        <v>10</v>
      </c>
      <c r="E4842">
        <v>67.2</v>
      </c>
      <c r="F4842" t="s">
        <v>11</v>
      </c>
    </row>
    <row r="4843" spans="1:6">
      <c r="A4843" t="s">
        <v>54</v>
      </c>
      <c r="B4843" t="s">
        <v>21</v>
      </c>
      <c r="C4843">
        <v>2040</v>
      </c>
      <c r="D4843" t="s">
        <v>8</v>
      </c>
      <c r="E4843">
        <v>2891</v>
      </c>
      <c r="F4843" t="s">
        <v>7</v>
      </c>
    </row>
    <row r="4844" spans="1:6">
      <c r="A4844" t="s">
        <v>54</v>
      </c>
      <c r="B4844" t="s">
        <v>21</v>
      </c>
      <c r="C4844">
        <v>2040</v>
      </c>
      <c r="D4844" t="s">
        <v>10</v>
      </c>
      <c r="E4844">
        <v>67.2</v>
      </c>
      <c r="F4844" t="s">
        <v>11</v>
      </c>
    </row>
    <row r="4845" spans="1:6">
      <c r="A4845" t="s">
        <v>54</v>
      </c>
      <c r="B4845" t="s">
        <v>22</v>
      </c>
      <c r="C4845">
        <v>2040</v>
      </c>
      <c r="D4845" t="s">
        <v>8</v>
      </c>
      <c r="E4845">
        <v>2891</v>
      </c>
      <c r="F4845" t="s">
        <v>7</v>
      </c>
    </row>
    <row r="4846" spans="1:6">
      <c r="A4846" t="s">
        <v>54</v>
      </c>
      <c r="B4846" t="s">
        <v>22</v>
      </c>
      <c r="C4846">
        <v>2040</v>
      </c>
      <c r="D4846" t="s">
        <v>10</v>
      </c>
      <c r="E4846">
        <v>67.2</v>
      </c>
      <c r="F4846" t="s">
        <v>11</v>
      </c>
    </row>
    <row r="4847" spans="1:6">
      <c r="A4847" t="s">
        <v>54</v>
      </c>
      <c r="B4847" t="s">
        <v>23</v>
      </c>
      <c r="C4847">
        <v>2040</v>
      </c>
      <c r="D4847" t="s">
        <v>8</v>
      </c>
      <c r="E4847">
        <v>2891</v>
      </c>
      <c r="F4847" t="s">
        <v>7</v>
      </c>
    </row>
    <row r="4848" spans="1:6">
      <c r="A4848" t="s">
        <v>54</v>
      </c>
      <c r="B4848" t="s">
        <v>23</v>
      </c>
      <c r="C4848">
        <v>2040</v>
      </c>
      <c r="D4848" t="s">
        <v>10</v>
      </c>
      <c r="E4848">
        <v>67.2</v>
      </c>
      <c r="F4848" t="s">
        <v>11</v>
      </c>
    </row>
    <row r="4849" spans="1:6">
      <c r="A4849" t="s">
        <v>54</v>
      </c>
      <c r="B4849" t="s">
        <v>24</v>
      </c>
      <c r="C4849">
        <v>2040</v>
      </c>
      <c r="D4849" t="s">
        <v>8</v>
      </c>
      <c r="E4849">
        <v>2891</v>
      </c>
      <c r="F4849" t="s">
        <v>7</v>
      </c>
    </row>
    <row r="4850" spans="1:6">
      <c r="A4850" t="s">
        <v>54</v>
      </c>
      <c r="B4850" t="s">
        <v>24</v>
      </c>
      <c r="C4850">
        <v>2040</v>
      </c>
      <c r="D4850" t="s">
        <v>10</v>
      </c>
      <c r="E4850">
        <v>67.2</v>
      </c>
      <c r="F4850" t="s">
        <v>11</v>
      </c>
    </row>
    <row r="4851" spans="1:6">
      <c r="A4851" t="s">
        <v>54</v>
      </c>
      <c r="B4851" t="s">
        <v>25</v>
      </c>
      <c r="C4851">
        <v>2040</v>
      </c>
      <c r="D4851" t="s">
        <v>8</v>
      </c>
      <c r="E4851">
        <v>2891</v>
      </c>
      <c r="F4851" t="s">
        <v>7</v>
      </c>
    </row>
    <row r="4852" spans="1:6">
      <c r="A4852" t="s">
        <v>54</v>
      </c>
      <c r="B4852" t="s">
        <v>25</v>
      </c>
      <c r="C4852">
        <v>2040</v>
      </c>
      <c r="D4852" t="s">
        <v>10</v>
      </c>
      <c r="E4852">
        <v>67.2</v>
      </c>
      <c r="F4852" t="s">
        <v>11</v>
      </c>
    </row>
    <row r="4853" spans="1:6">
      <c r="A4853" t="s">
        <v>54</v>
      </c>
      <c r="B4853" t="s">
        <v>26</v>
      </c>
      <c r="C4853">
        <v>2040</v>
      </c>
      <c r="D4853" t="s">
        <v>8</v>
      </c>
      <c r="E4853">
        <v>2891</v>
      </c>
      <c r="F4853" t="s">
        <v>7</v>
      </c>
    </row>
    <row r="4854" spans="1:6">
      <c r="A4854" t="s">
        <v>54</v>
      </c>
      <c r="B4854" t="s">
        <v>26</v>
      </c>
      <c r="C4854">
        <v>2040</v>
      </c>
      <c r="D4854" t="s">
        <v>10</v>
      </c>
      <c r="E4854">
        <v>67.2</v>
      </c>
      <c r="F4854" t="s">
        <v>11</v>
      </c>
    </row>
    <row r="4855" spans="1:6">
      <c r="A4855" t="s">
        <v>54</v>
      </c>
      <c r="B4855" t="s">
        <v>27</v>
      </c>
      <c r="C4855">
        <v>2040</v>
      </c>
      <c r="D4855" t="s">
        <v>8</v>
      </c>
      <c r="E4855">
        <v>2891</v>
      </c>
      <c r="F4855" t="s">
        <v>7</v>
      </c>
    </row>
    <row r="4856" spans="1:6">
      <c r="A4856" t="s">
        <v>54</v>
      </c>
      <c r="B4856" t="s">
        <v>27</v>
      </c>
      <c r="C4856">
        <v>2040</v>
      </c>
      <c r="D4856" t="s">
        <v>10</v>
      </c>
      <c r="E4856">
        <v>67.2</v>
      </c>
      <c r="F4856" t="s">
        <v>11</v>
      </c>
    </row>
    <row r="4857" spans="1:6">
      <c r="A4857" t="s">
        <v>54</v>
      </c>
      <c r="B4857" t="s">
        <v>28</v>
      </c>
      <c r="C4857">
        <v>2040</v>
      </c>
      <c r="D4857" t="s">
        <v>8</v>
      </c>
      <c r="E4857">
        <v>2891</v>
      </c>
      <c r="F4857" t="s">
        <v>7</v>
      </c>
    </row>
    <row r="4858" spans="1:6">
      <c r="A4858" t="s">
        <v>54</v>
      </c>
      <c r="B4858" t="s">
        <v>28</v>
      </c>
      <c r="C4858">
        <v>2040</v>
      </c>
      <c r="D4858" t="s">
        <v>10</v>
      </c>
      <c r="E4858">
        <v>67.2</v>
      </c>
      <c r="F4858" t="s">
        <v>11</v>
      </c>
    </row>
    <row r="4859" spans="1:6">
      <c r="A4859" t="s">
        <v>54</v>
      </c>
      <c r="B4859" t="s">
        <v>20</v>
      </c>
      <c r="C4859">
        <v>2040</v>
      </c>
      <c r="D4859" t="s">
        <v>9</v>
      </c>
      <c r="E4859">
        <v>1617.6</v>
      </c>
      <c r="F4859" t="s">
        <v>7</v>
      </c>
    </row>
    <row r="4860" spans="1:6">
      <c r="A4860" t="s">
        <v>54</v>
      </c>
      <c r="B4860" t="s">
        <v>20</v>
      </c>
      <c r="C4860">
        <v>2040</v>
      </c>
      <c r="D4860" t="s">
        <v>10</v>
      </c>
      <c r="E4860">
        <v>36.5</v>
      </c>
      <c r="F4860" t="s">
        <v>11</v>
      </c>
    </row>
    <row r="4861" spans="1:6">
      <c r="A4861" t="s">
        <v>54</v>
      </c>
      <c r="B4861" t="s">
        <v>21</v>
      </c>
      <c r="C4861">
        <v>2040</v>
      </c>
      <c r="D4861" t="s">
        <v>9</v>
      </c>
      <c r="E4861">
        <v>1617.6</v>
      </c>
      <c r="F4861" t="s">
        <v>7</v>
      </c>
    </row>
    <row r="4862" spans="1:6">
      <c r="A4862" t="s">
        <v>54</v>
      </c>
      <c r="B4862" t="s">
        <v>21</v>
      </c>
      <c r="C4862">
        <v>2040</v>
      </c>
      <c r="D4862" t="s">
        <v>10</v>
      </c>
      <c r="E4862">
        <v>36.5</v>
      </c>
      <c r="F4862" t="s">
        <v>11</v>
      </c>
    </row>
    <row r="4863" spans="1:6">
      <c r="A4863" t="s">
        <v>54</v>
      </c>
      <c r="B4863" t="s">
        <v>22</v>
      </c>
      <c r="C4863">
        <v>2040</v>
      </c>
      <c r="D4863" t="s">
        <v>9</v>
      </c>
      <c r="E4863">
        <v>1617.6</v>
      </c>
      <c r="F4863" t="s">
        <v>7</v>
      </c>
    </row>
    <row r="4864" spans="1:6">
      <c r="A4864" t="s">
        <v>54</v>
      </c>
      <c r="B4864" t="s">
        <v>22</v>
      </c>
      <c r="C4864">
        <v>2040</v>
      </c>
      <c r="D4864" t="s">
        <v>10</v>
      </c>
      <c r="E4864">
        <v>36.5</v>
      </c>
      <c r="F4864" t="s">
        <v>11</v>
      </c>
    </row>
    <row r="4865" spans="1:6">
      <c r="A4865" t="s">
        <v>54</v>
      </c>
      <c r="B4865" t="s">
        <v>23</v>
      </c>
      <c r="C4865">
        <v>2040</v>
      </c>
      <c r="D4865" t="s">
        <v>9</v>
      </c>
      <c r="E4865">
        <v>1617.6</v>
      </c>
      <c r="F4865" t="s">
        <v>7</v>
      </c>
    </row>
    <row r="4866" spans="1:6">
      <c r="A4866" t="s">
        <v>54</v>
      </c>
      <c r="B4866" t="s">
        <v>23</v>
      </c>
      <c r="C4866">
        <v>2040</v>
      </c>
      <c r="D4866" t="s">
        <v>10</v>
      </c>
      <c r="E4866">
        <v>36.5</v>
      </c>
      <c r="F4866" t="s">
        <v>11</v>
      </c>
    </row>
    <row r="4867" spans="1:6">
      <c r="A4867" t="s">
        <v>54</v>
      </c>
      <c r="B4867" t="s">
        <v>24</v>
      </c>
      <c r="C4867">
        <v>2040</v>
      </c>
      <c r="D4867" t="s">
        <v>9</v>
      </c>
      <c r="E4867">
        <v>1617.6</v>
      </c>
      <c r="F4867" t="s">
        <v>7</v>
      </c>
    </row>
    <row r="4868" spans="1:6">
      <c r="A4868" t="s">
        <v>54</v>
      </c>
      <c r="B4868" t="s">
        <v>24</v>
      </c>
      <c r="C4868">
        <v>2040</v>
      </c>
      <c r="D4868" t="s">
        <v>10</v>
      </c>
      <c r="E4868">
        <v>36.5</v>
      </c>
      <c r="F4868" t="s">
        <v>11</v>
      </c>
    </row>
    <row r="4869" spans="1:6">
      <c r="A4869" t="s">
        <v>54</v>
      </c>
      <c r="B4869" t="s">
        <v>25</v>
      </c>
      <c r="C4869">
        <v>2040</v>
      </c>
      <c r="D4869" t="s">
        <v>9</v>
      </c>
      <c r="E4869">
        <v>1617.6</v>
      </c>
      <c r="F4869" t="s">
        <v>7</v>
      </c>
    </row>
    <row r="4870" spans="1:6">
      <c r="A4870" t="s">
        <v>54</v>
      </c>
      <c r="B4870" t="s">
        <v>25</v>
      </c>
      <c r="C4870">
        <v>2040</v>
      </c>
      <c r="D4870" t="s">
        <v>10</v>
      </c>
      <c r="E4870">
        <v>36.5</v>
      </c>
      <c r="F4870" t="s">
        <v>11</v>
      </c>
    </row>
    <row r="4871" spans="1:6">
      <c r="A4871" t="s">
        <v>54</v>
      </c>
      <c r="B4871" t="s">
        <v>26</v>
      </c>
      <c r="C4871">
        <v>2040</v>
      </c>
      <c r="D4871" t="s">
        <v>9</v>
      </c>
      <c r="E4871">
        <v>1617.6</v>
      </c>
      <c r="F4871" t="s">
        <v>7</v>
      </c>
    </row>
    <row r="4872" spans="1:6">
      <c r="A4872" t="s">
        <v>54</v>
      </c>
      <c r="B4872" t="s">
        <v>26</v>
      </c>
      <c r="C4872">
        <v>2040</v>
      </c>
      <c r="D4872" t="s">
        <v>10</v>
      </c>
      <c r="E4872">
        <v>36.5</v>
      </c>
      <c r="F4872" t="s">
        <v>11</v>
      </c>
    </row>
    <row r="4873" spans="1:6">
      <c r="A4873" t="s">
        <v>54</v>
      </c>
      <c r="B4873" t="s">
        <v>27</v>
      </c>
      <c r="C4873">
        <v>2040</v>
      </c>
      <c r="D4873" t="s">
        <v>9</v>
      </c>
      <c r="E4873">
        <v>1617.6</v>
      </c>
      <c r="F4873" t="s">
        <v>7</v>
      </c>
    </row>
    <row r="4874" spans="1:6">
      <c r="A4874" t="s">
        <v>54</v>
      </c>
      <c r="B4874" t="s">
        <v>27</v>
      </c>
      <c r="C4874">
        <v>2040</v>
      </c>
      <c r="D4874" t="s">
        <v>10</v>
      </c>
      <c r="E4874">
        <v>36.5</v>
      </c>
      <c r="F4874" t="s">
        <v>11</v>
      </c>
    </row>
    <row r="4875" spans="1:6">
      <c r="A4875" t="s">
        <v>54</v>
      </c>
      <c r="B4875" t="s">
        <v>28</v>
      </c>
      <c r="C4875">
        <v>2040</v>
      </c>
      <c r="D4875" t="s">
        <v>9</v>
      </c>
      <c r="E4875">
        <v>1617.6</v>
      </c>
      <c r="F4875" t="s">
        <v>7</v>
      </c>
    </row>
    <row r="4876" spans="1:6">
      <c r="A4876" t="s">
        <v>54</v>
      </c>
      <c r="B4876" t="s">
        <v>28</v>
      </c>
      <c r="C4876">
        <v>2040</v>
      </c>
      <c r="D4876" t="s">
        <v>10</v>
      </c>
      <c r="E4876">
        <v>36.5</v>
      </c>
      <c r="F4876" t="s">
        <v>11</v>
      </c>
    </row>
    <row r="4877" spans="1:6">
      <c r="A4877" t="s">
        <v>54</v>
      </c>
      <c r="B4877" t="s">
        <v>20</v>
      </c>
      <c r="C4877">
        <v>2045</v>
      </c>
      <c r="D4877" t="s">
        <v>6</v>
      </c>
      <c r="E4877">
        <v>1882.2</v>
      </c>
      <c r="F4877" t="s">
        <v>7</v>
      </c>
    </row>
    <row r="4878" spans="1:6">
      <c r="A4878" t="s">
        <v>54</v>
      </c>
      <c r="B4878" t="s">
        <v>20</v>
      </c>
      <c r="C4878">
        <v>2045</v>
      </c>
      <c r="D4878" t="s">
        <v>10</v>
      </c>
      <c r="E4878">
        <v>42.9</v>
      </c>
      <c r="F4878" t="s">
        <v>11</v>
      </c>
    </row>
    <row r="4879" spans="1:6">
      <c r="A4879" t="s">
        <v>54</v>
      </c>
      <c r="B4879" t="s">
        <v>20</v>
      </c>
      <c r="C4879">
        <v>2045</v>
      </c>
      <c r="D4879" t="s">
        <v>16</v>
      </c>
      <c r="E4879">
        <v>0.86</v>
      </c>
      <c r="F4879" t="s">
        <v>15</v>
      </c>
    </row>
    <row r="4880" spans="1:6">
      <c r="A4880" t="s">
        <v>54</v>
      </c>
      <c r="B4880" t="s">
        <v>20</v>
      </c>
      <c r="C4880">
        <v>2045</v>
      </c>
      <c r="D4880" t="s">
        <v>164</v>
      </c>
      <c r="E4880">
        <v>0.13900000000000001</v>
      </c>
      <c r="F4880" t="s">
        <v>166</v>
      </c>
    </row>
    <row r="4881" spans="1:6">
      <c r="A4881" t="s">
        <v>54</v>
      </c>
      <c r="B4881" t="s">
        <v>21</v>
      </c>
      <c r="C4881">
        <v>2045</v>
      </c>
      <c r="D4881" t="s">
        <v>6</v>
      </c>
      <c r="E4881">
        <v>1882.2</v>
      </c>
      <c r="F4881" t="s">
        <v>7</v>
      </c>
    </row>
    <row r="4882" spans="1:6">
      <c r="A4882" t="s">
        <v>54</v>
      </c>
      <c r="B4882" t="s">
        <v>21</v>
      </c>
      <c r="C4882">
        <v>2045</v>
      </c>
      <c r="D4882" t="s">
        <v>10</v>
      </c>
      <c r="E4882">
        <v>42.9</v>
      </c>
      <c r="F4882" t="s">
        <v>11</v>
      </c>
    </row>
    <row r="4883" spans="1:6">
      <c r="A4883" t="s">
        <v>54</v>
      </c>
      <c r="B4883" t="s">
        <v>21</v>
      </c>
      <c r="C4883">
        <v>2045</v>
      </c>
      <c r="D4883" t="s">
        <v>16</v>
      </c>
      <c r="E4883">
        <v>0.86</v>
      </c>
      <c r="F4883" t="s">
        <v>15</v>
      </c>
    </row>
    <row r="4884" spans="1:6">
      <c r="A4884" t="s">
        <v>54</v>
      </c>
      <c r="B4884" t="s">
        <v>21</v>
      </c>
      <c r="C4884">
        <v>2045</v>
      </c>
      <c r="D4884" t="s">
        <v>164</v>
      </c>
      <c r="E4884">
        <v>0.13900000000000001</v>
      </c>
      <c r="F4884" t="s">
        <v>166</v>
      </c>
    </row>
    <row r="4885" spans="1:6">
      <c r="A4885" t="s">
        <v>54</v>
      </c>
      <c r="B4885" t="s">
        <v>22</v>
      </c>
      <c r="C4885">
        <v>2045</v>
      </c>
      <c r="D4885" t="s">
        <v>6</v>
      </c>
      <c r="E4885">
        <v>1882.2</v>
      </c>
      <c r="F4885" t="s">
        <v>7</v>
      </c>
    </row>
    <row r="4886" spans="1:6">
      <c r="A4886" t="s">
        <v>54</v>
      </c>
      <c r="B4886" t="s">
        <v>22</v>
      </c>
      <c r="C4886">
        <v>2045</v>
      </c>
      <c r="D4886" t="s">
        <v>10</v>
      </c>
      <c r="E4886">
        <v>42.9</v>
      </c>
      <c r="F4886" t="s">
        <v>11</v>
      </c>
    </row>
    <row r="4887" spans="1:6">
      <c r="A4887" t="s">
        <v>54</v>
      </c>
      <c r="B4887" t="s">
        <v>22</v>
      </c>
      <c r="C4887">
        <v>2045</v>
      </c>
      <c r="D4887" t="s">
        <v>16</v>
      </c>
      <c r="E4887">
        <v>0.86</v>
      </c>
      <c r="F4887" t="s">
        <v>15</v>
      </c>
    </row>
    <row r="4888" spans="1:6">
      <c r="A4888" t="s">
        <v>54</v>
      </c>
      <c r="B4888" t="s">
        <v>22</v>
      </c>
      <c r="C4888">
        <v>2045</v>
      </c>
      <c r="D4888" t="s">
        <v>164</v>
      </c>
      <c r="E4888">
        <v>0.13900000000000001</v>
      </c>
      <c r="F4888" t="s">
        <v>166</v>
      </c>
    </row>
    <row r="4889" spans="1:6">
      <c r="A4889" t="s">
        <v>54</v>
      </c>
      <c r="B4889" t="s">
        <v>23</v>
      </c>
      <c r="C4889">
        <v>2045</v>
      </c>
      <c r="D4889" t="s">
        <v>6</v>
      </c>
      <c r="E4889">
        <v>1882.2</v>
      </c>
      <c r="F4889" t="s">
        <v>7</v>
      </c>
    </row>
    <row r="4890" spans="1:6">
      <c r="A4890" t="s">
        <v>54</v>
      </c>
      <c r="B4890" t="s">
        <v>23</v>
      </c>
      <c r="C4890">
        <v>2045</v>
      </c>
      <c r="D4890" t="s">
        <v>10</v>
      </c>
      <c r="E4890">
        <v>42.9</v>
      </c>
      <c r="F4890" t="s">
        <v>11</v>
      </c>
    </row>
    <row r="4891" spans="1:6">
      <c r="A4891" t="s">
        <v>54</v>
      </c>
      <c r="B4891" t="s">
        <v>23</v>
      </c>
      <c r="C4891">
        <v>2045</v>
      </c>
      <c r="D4891" t="s">
        <v>16</v>
      </c>
      <c r="E4891">
        <v>0.86</v>
      </c>
      <c r="F4891" t="s">
        <v>15</v>
      </c>
    </row>
    <row r="4892" spans="1:6">
      <c r="A4892" t="s">
        <v>54</v>
      </c>
      <c r="B4892" t="s">
        <v>23</v>
      </c>
      <c r="C4892">
        <v>2045</v>
      </c>
      <c r="D4892" t="s">
        <v>164</v>
      </c>
      <c r="E4892">
        <v>0.13900000000000001</v>
      </c>
      <c r="F4892" t="s">
        <v>166</v>
      </c>
    </row>
    <row r="4893" spans="1:6">
      <c r="A4893" t="s">
        <v>54</v>
      </c>
      <c r="B4893" t="s">
        <v>24</v>
      </c>
      <c r="C4893">
        <v>2045</v>
      </c>
      <c r="D4893" t="s">
        <v>6</v>
      </c>
      <c r="E4893">
        <v>1882.2</v>
      </c>
      <c r="F4893" t="s">
        <v>7</v>
      </c>
    </row>
    <row r="4894" spans="1:6">
      <c r="A4894" t="s">
        <v>54</v>
      </c>
      <c r="B4894" t="s">
        <v>24</v>
      </c>
      <c r="C4894">
        <v>2045</v>
      </c>
      <c r="D4894" t="s">
        <v>10</v>
      </c>
      <c r="E4894">
        <v>42.9</v>
      </c>
      <c r="F4894" t="s">
        <v>11</v>
      </c>
    </row>
    <row r="4895" spans="1:6">
      <c r="A4895" t="s">
        <v>54</v>
      </c>
      <c r="B4895" t="s">
        <v>24</v>
      </c>
      <c r="C4895">
        <v>2045</v>
      </c>
      <c r="D4895" t="s">
        <v>16</v>
      </c>
      <c r="E4895">
        <v>0.86</v>
      </c>
      <c r="F4895" t="s">
        <v>15</v>
      </c>
    </row>
    <row r="4896" spans="1:6">
      <c r="A4896" t="s">
        <v>54</v>
      </c>
      <c r="B4896" t="s">
        <v>24</v>
      </c>
      <c r="C4896">
        <v>2045</v>
      </c>
      <c r="D4896" t="s">
        <v>164</v>
      </c>
      <c r="E4896">
        <v>0.13900000000000001</v>
      </c>
      <c r="F4896" t="s">
        <v>166</v>
      </c>
    </row>
    <row r="4897" spans="1:6">
      <c r="A4897" t="s">
        <v>54</v>
      </c>
      <c r="B4897" t="s">
        <v>25</v>
      </c>
      <c r="C4897">
        <v>2045</v>
      </c>
      <c r="D4897" t="s">
        <v>6</v>
      </c>
      <c r="E4897">
        <v>1882.2</v>
      </c>
      <c r="F4897" t="s">
        <v>7</v>
      </c>
    </row>
    <row r="4898" spans="1:6">
      <c r="A4898" t="s">
        <v>54</v>
      </c>
      <c r="B4898" t="s">
        <v>25</v>
      </c>
      <c r="C4898">
        <v>2045</v>
      </c>
      <c r="D4898" t="s">
        <v>10</v>
      </c>
      <c r="E4898">
        <v>42.9</v>
      </c>
      <c r="F4898" t="s">
        <v>11</v>
      </c>
    </row>
    <row r="4899" spans="1:6">
      <c r="A4899" t="s">
        <v>54</v>
      </c>
      <c r="B4899" t="s">
        <v>25</v>
      </c>
      <c r="C4899">
        <v>2045</v>
      </c>
      <c r="D4899" t="s">
        <v>16</v>
      </c>
      <c r="E4899">
        <v>0.86</v>
      </c>
      <c r="F4899" t="s">
        <v>15</v>
      </c>
    </row>
    <row r="4900" spans="1:6">
      <c r="A4900" t="s">
        <v>54</v>
      </c>
      <c r="B4900" t="s">
        <v>25</v>
      </c>
      <c r="C4900">
        <v>2045</v>
      </c>
      <c r="D4900" t="s">
        <v>164</v>
      </c>
      <c r="E4900">
        <v>0.13900000000000001</v>
      </c>
      <c r="F4900" t="s">
        <v>166</v>
      </c>
    </row>
    <row r="4901" spans="1:6">
      <c r="A4901" t="s">
        <v>54</v>
      </c>
      <c r="B4901" t="s">
        <v>26</v>
      </c>
      <c r="C4901">
        <v>2045</v>
      </c>
      <c r="D4901" t="s">
        <v>6</v>
      </c>
      <c r="E4901">
        <v>1882.2</v>
      </c>
      <c r="F4901" t="s">
        <v>7</v>
      </c>
    </row>
    <row r="4902" spans="1:6">
      <c r="A4902" t="s">
        <v>54</v>
      </c>
      <c r="B4902" t="s">
        <v>26</v>
      </c>
      <c r="C4902">
        <v>2045</v>
      </c>
      <c r="D4902" t="s">
        <v>10</v>
      </c>
      <c r="E4902">
        <v>42.9</v>
      </c>
      <c r="F4902" t="s">
        <v>11</v>
      </c>
    </row>
    <row r="4903" spans="1:6">
      <c r="A4903" t="s">
        <v>54</v>
      </c>
      <c r="B4903" t="s">
        <v>26</v>
      </c>
      <c r="C4903">
        <v>2045</v>
      </c>
      <c r="D4903" t="s">
        <v>16</v>
      </c>
      <c r="E4903">
        <v>0.86</v>
      </c>
      <c r="F4903" t="s">
        <v>15</v>
      </c>
    </row>
    <row r="4904" spans="1:6">
      <c r="A4904" t="s">
        <v>54</v>
      </c>
      <c r="B4904" t="s">
        <v>26</v>
      </c>
      <c r="C4904">
        <v>2045</v>
      </c>
      <c r="D4904" t="s">
        <v>164</v>
      </c>
      <c r="E4904">
        <v>0.13900000000000001</v>
      </c>
      <c r="F4904" t="s">
        <v>166</v>
      </c>
    </row>
    <row r="4905" spans="1:6">
      <c r="A4905" t="s">
        <v>54</v>
      </c>
      <c r="B4905" t="s">
        <v>27</v>
      </c>
      <c r="C4905">
        <v>2045</v>
      </c>
      <c r="D4905" t="s">
        <v>6</v>
      </c>
      <c r="E4905">
        <v>1882.2</v>
      </c>
      <c r="F4905" t="s">
        <v>7</v>
      </c>
    </row>
    <row r="4906" spans="1:6">
      <c r="A4906" t="s">
        <v>54</v>
      </c>
      <c r="B4906" t="s">
        <v>27</v>
      </c>
      <c r="C4906">
        <v>2045</v>
      </c>
      <c r="D4906" t="s">
        <v>10</v>
      </c>
      <c r="E4906">
        <v>42.9</v>
      </c>
      <c r="F4906" t="s">
        <v>11</v>
      </c>
    </row>
    <row r="4907" spans="1:6">
      <c r="A4907" t="s">
        <v>54</v>
      </c>
      <c r="B4907" t="s">
        <v>27</v>
      </c>
      <c r="C4907">
        <v>2045</v>
      </c>
      <c r="D4907" t="s">
        <v>16</v>
      </c>
      <c r="E4907">
        <v>0.86</v>
      </c>
      <c r="F4907" t="s">
        <v>15</v>
      </c>
    </row>
    <row r="4908" spans="1:6">
      <c r="A4908" t="s">
        <v>54</v>
      </c>
      <c r="B4908" t="s">
        <v>27</v>
      </c>
      <c r="C4908">
        <v>2045</v>
      </c>
      <c r="D4908" t="s">
        <v>164</v>
      </c>
      <c r="E4908">
        <v>0.13900000000000001</v>
      </c>
      <c r="F4908" t="s">
        <v>166</v>
      </c>
    </row>
    <row r="4909" spans="1:6">
      <c r="A4909" t="s">
        <v>54</v>
      </c>
      <c r="B4909" t="s">
        <v>28</v>
      </c>
      <c r="C4909">
        <v>2045</v>
      </c>
      <c r="D4909" t="s">
        <v>6</v>
      </c>
      <c r="E4909">
        <v>1882.2</v>
      </c>
      <c r="F4909" t="s">
        <v>7</v>
      </c>
    </row>
    <row r="4910" spans="1:6">
      <c r="A4910" t="s">
        <v>54</v>
      </c>
      <c r="B4910" t="s">
        <v>28</v>
      </c>
      <c r="C4910">
        <v>2045</v>
      </c>
      <c r="D4910" t="s">
        <v>10</v>
      </c>
      <c r="E4910">
        <v>42.9</v>
      </c>
      <c r="F4910" t="s">
        <v>11</v>
      </c>
    </row>
    <row r="4911" spans="1:6">
      <c r="A4911" t="s">
        <v>54</v>
      </c>
      <c r="B4911" t="s">
        <v>28</v>
      </c>
      <c r="C4911">
        <v>2045</v>
      </c>
      <c r="D4911" t="s">
        <v>16</v>
      </c>
      <c r="E4911">
        <v>0.86</v>
      </c>
      <c r="F4911" t="s">
        <v>15</v>
      </c>
    </row>
    <row r="4912" spans="1:6">
      <c r="A4912" t="s">
        <v>54</v>
      </c>
      <c r="B4912" t="s">
        <v>28</v>
      </c>
      <c r="C4912">
        <v>2045</v>
      </c>
      <c r="D4912" t="s">
        <v>164</v>
      </c>
      <c r="E4912">
        <v>0.13900000000000001</v>
      </c>
      <c r="F4912" t="s">
        <v>166</v>
      </c>
    </row>
    <row r="4913" spans="1:6">
      <c r="A4913" t="s">
        <v>54</v>
      </c>
      <c r="B4913" t="s">
        <v>20</v>
      </c>
      <c r="C4913">
        <v>2045</v>
      </c>
      <c r="D4913" t="s">
        <v>8</v>
      </c>
      <c r="E4913">
        <v>2788.5</v>
      </c>
      <c r="F4913" t="s">
        <v>7</v>
      </c>
    </row>
    <row r="4914" spans="1:6">
      <c r="A4914" t="s">
        <v>54</v>
      </c>
      <c r="B4914" t="s">
        <v>20</v>
      </c>
      <c r="C4914">
        <v>2045</v>
      </c>
      <c r="D4914" t="s">
        <v>10</v>
      </c>
      <c r="E4914">
        <v>64.8</v>
      </c>
      <c r="F4914" t="s">
        <v>11</v>
      </c>
    </row>
    <row r="4915" spans="1:6">
      <c r="A4915" t="s">
        <v>54</v>
      </c>
      <c r="B4915" t="s">
        <v>21</v>
      </c>
      <c r="C4915">
        <v>2045</v>
      </c>
      <c r="D4915" t="s">
        <v>8</v>
      </c>
      <c r="E4915">
        <v>2788.5</v>
      </c>
      <c r="F4915" t="s">
        <v>7</v>
      </c>
    </row>
    <row r="4916" spans="1:6">
      <c r="A4916" t="s">
        <v>54</v>
      </c>
      <c r="B4916" t="s">
        <v>21</v>
      </c>
      <c r="C4916">
        <v>2045</v>
      </c>
      <c r="D4916" t="s">
        <v>10</v>
      </c>
      <c r="E4916">
        <v>64.8</v>
      </c>
      <c r="F4916" t="s">
        <v>11</v>
      </c>
    </row>
    <row r="4917" spans="1:6">
      <c r="A4917" t="s">
        <v>54</v>
      </c>
      <c r="B4917" t="s">
        <v>22</v>
      </c>
      <c r="C4917">
        <v>2045</v>
      </c>
      <c r="D4917" t="s">
        <v>8</v>
      </c>
      <c r="E4917">
        <v>2788.5</v>
      </c>
      <c r="F4917" t="s">
        <v>7</v>
      </c>
    </row>
    <row r="4918" spans="1:6">
      <c r="A4918" t="s">
        <v>54</v>
      </c>
      <c r="B4918" t="s">
        <v>22</v>
      </c>
      <c r="C4918">
        <v>2045</v>
      </c>
      <c r="D4918" t="s">
        <v>10</v>
      </c>
      <c r="E4918">
        <v>64.8</v>
      </c>
      <c r="F4918" t="s">
        <v>11</v>
      </c>
    </row>
    <row r="4919" spans="1:6">
      <c r="A4919" t="s">
        <v>54</v>
      </c>
      <c r="B4919" t="s">
        <v>23</v>
      </c>
      <c r="C4919">
        <v>2045</v>
      </c>
      <c r="D4919" t="s">
        <v>8</v>
      </c>
      <c r="E4919">
        <v>2788.5</v>
      </c>
      <c r="F4919" t="s">
        <v>7</v>
      </c>
    </row>
    <row r="4920" spans="1:6">
      <c r="A4920" t="s">
        <v>54</v>
      </c>
      <c r="B4920" t="s">
        <v>23</v>
      </c>
      <c r="C4920">
        <v>2045</v>
      </c>
      <c r="D4920" t="s">
        <v>10</v>
      </c>
      <c r="E4920">
        <v>64.8</v>
      </c>
      <c r="F4920" t="s">
        <v>11</v>
      </c>
    </row>
    <row r="4921" spans="1:6">
      <c r="A4921" t="s">
        <v>54</v>
      </c>
      <c r="B4921" t="s">
        <v>24</v>
      </c>
      <c r="C4921">
        <v>2045</v>
      </c>
      <c r="D4921" t="s">
        <v>8</v>
      </c>
      <c r="E4921">
        <v>2788.5</v>
      </c>
      <c r="F4921" t="s">
        <v>7</v>
      </c>
    </row>
    <row r="4922" spans="1:6">
      <c r="A4922" t="s">
        <v>54</v>
      </c>
      <c r="B4922" t="s">
        <v>24</v>
      </c>
      <c r="C4922">
        <v>2045</v>
      </c>
      <c r="D4922" t="s">
        <v>10</v>
      </c>
      <c r="E4922">
        <v>64.8</v>
      </c>
      <c r="F4922" t="s">
        <v>11</v>
      </c>
    </row>
    <row r="4923" spans="1:6">
      <c r="A4923" t="s">
        <v>54</v>
      </c>
      <c r="B4923" t="s">
        <v>25</v>
      </c>
      <c r="C4923">
        <v>2045</v>
      </c>
      <c r="D4923" t="s">
        <v>8</v>
      </c>
      <c r="E4923">
        <v>2788.5</v>
      </c>
      <c r="F4923" t="s">
        <v>7</v>
      </c>
    </row>
    <row r="4924" spans="1:6">
      <c r="A4924" t="s">
        <v>54</v>
      </c>
      <c r="B4924" t="s">
        <v>25</v>
      </c>
      <c r="C4924">
        <v>2045</v>
      </c>
      <c r="D4924" t="s">
        <v>10</v>
      </c>
      <c r="E4924">
        <v>64.8</v>
      </c>
      <c r="F4924" t="s">
        <v>11</v>
      </c>
    </row>
    <row r="4925" spans="1:6">
      <c r="A4925" t="s">
        <v>54</v>
      </c>
      <c r="B4925" t="s">
        <v>26</v>
      </c>
      <c r="C4925">
        <v>2045</v>
      </c>
      <c r="D4925" t="s">
        <v>8</v>
      </c>
      <c r="E4925">
        <v>2788.5</v>
      </c>
      <c r="F4925" t="s">
        <v>7</v>
      </c>
    </row>
    <row r="4926" spans="1:6">
      <c r="A4926" t="s">
        <v>54</v>
      </c>
      <c r="B4926" t="s">
        <v>26</v>
      </c>
      <c r="C4926">
        <v>2045</v>
      </c>
      <c r="D4926" t="s">
        <v>10</v>
      </c>
      <c r="E4926">
        <v>64.8</v>
      </c>
      <c r="F4926" t="s">
        <v>11</v>
      </c>
    </row>
    <row r="4927" spans="1:6">
      <c r="A4927" t="s">
        <v>54</v>
      </c>
      <c r="B4927" t="s">
        <v>27</v>
      </c>
      <c r="C4927">
        <v>2045</v>
      </c>
      <c r="D4927" t="s">
        <v>8</v>
      </c>
      <c r="E4927">
        <v>2788.5</v>
      </c>
      <c r="F4927" t="s">
        <v>7</v>
      </c>
    </row>
    <row r="4928" spans="1:6">
      <c r="A4928" t="s">
        <v>54</v>
      </c>
      <c r="B4928" t="s">
        <v>27</v>
      </c>
      <c r="C4928">
        <v>2045</v>
      </c>
      <c r="D4928" t="s">
        <v>10</v>
      </c>
      <c r="E4928">
        <v>64.8</v>
      </c>
      <c r="F4928" t="s">
        <v>11</v>
      </c>
    </row>
    <row r="4929" spans="1:6">
      <c r="A4929" t="s">
        <v>54</v>
      </c>
      <c r="B4929" t="s">
        <v>28</v>
      </c>
      <c r="C4929">
        <v>2045</v>
      </c>
      <c r="D4929" t="s">
        <v>8</v>
      </c>
      <c r="E4929">
        <v>2788.5</v>
      </c>
      <c r="F4929" t="s">
        <v>7</v>
      </c>
    </row>
    <row r="4930" spans="1:6">
      <c r="A4930" t="s">
        <v>54</v>
      </c>
      <c r="B4930" t="s">
        <v>28</v>
      </c>
      <c r="C4930">
        <v>2045</v>
      </c>
      <c r="D4930" t="s">
        <v>10</v>
      </c>
      <c r="E4930">
        <v>64.8</v>
      </c>
      <c r="F4930" t="s">
        <v>11</v>
      </c>
    </row>
    <row r="4931" spans="1:6">
      <c r="A4931" t="s">
        <v>54</v>
      </c>
      <c r="B4931" t="s">
        <v>20</v>
      </c>
      <c r="C4931">
        <v>2045</v>
      </c>
      <c r="D4931" t="s">
        <v>9</v>
      </c>
      <c r="E4931">
        <v>1457.5</v>
      </c>
      <c r="F4931" t="s">
        <v>7</v>
      </c>
    </row>
    <row r="4932" spans="1:6">
      <c r="A4932" t="s">
        <v>54</v>
      </c>
      <c r="B4932" t="s">
        <v>20</v>
      </c>
      <c r="C4932">
        <v>2045</v>
      </c>
      <c r="D4932" t="s">
        <v>10</v>
      </c>
      <c r="E4932">
        <v>32.700000000000003</v>
      </c>
      <c r="F4932" t="s">
        <v>11</v>
      </c>
    </row>
    <row r="4933" spans="1:6">
      <c r="A4933" t="s">
        <v>54</v>
      </c>
      <c r="B4933" t="s">
        <v>21</v>
      </c>
      <c r="C4933">
        <v>2045</v>
      </c>
      <c r="D4933" t="s">
        <v>9</v>
      </c>
      <c r="E4933">
        <v>1457.5</v>
      </c>
      <c r="F4933" t="s">
        <v>7</v>
      </c>
    </row>
    <row r="4934" spans="1:6">
      <c r="A4934" t="s">
        <v>54</v>
      </c>
      <c r="B4934" t="s">
        <v>21</v>
      </c>
      <c r="C4934">
        <v>2045</v>
      </c>
      <c r="D4934" t="s">
        <v>10</v>
      </c>
      <c r="E4934">
        <v>32.700000000000003</v>
      </c>
      <c r="F4934" t="s">
        <v>11</v>
      </c>
    </row>
    <row r="4935" spans="1:6">
      <c r="A4935" t="s">
        <v>54</v>
      </c>
      <c r="B4935" t="s">
        <v>22</v>
      </c>
      <c r="C4935">
        <v>2045</v>
      </c>
      <c r="D4935" t="s">
        <v>9</v>
      </c>
      <c r="E4935">
        <v>1457.5</v>
      </c>
      <c r="F4935" t="s">
        <v>7</v>
      </c>
    </row>
    <row r="4936" spans="1:6">
      <c r="A4936" t="s">
        <v>54</v>
      </c>
      <c r="B4936" t="s">
        <v>22</v>
      </c>
      <c r="C4936">
        <v>2045</v>
      </c>
      <c r="D4936" t="s">
        <v>10</v>
      </c>
      <c r="E4936">
        <v>32.700000000000003</v>
      </c>
      <c r="F4936" t="s">
        <v>11</v>
      </c>
    </row>
    <row r="4937" spans="1:6">
      <c r="A4937" t="s">
        <v>54</v>
      </c>
      <c r="B4937" t="s">
        <v>23</v>
      </c>
      <c r="C4937">
        <v>2045</v>
      </c>
      <c r="D4937" t="s">
        <v>9</v>
      </c>
      <c r="E4937">
        <v>1457.5</v>
      </c>
      <c r="F4937" t="s">
        <v>7</v>
      </c>
    </row>
    <row r="4938" spans="1:6">
      <c r="A4938" t="s">
        <v>54</v>
      </c>
      <c r="B4938" t="s">
        <v>23</v>
      </c>
      <c r="C4938">
        <v>2045</v>
      </c>
      <c r="D4938" t="s">
        <v>10</v>
      </c>
      <c r="E4938">
        <v>32.700000000000003</v>
      </c>
      <c r="F4938" t="s">
        <v>11</v>
      </c>
    </row>
    <row r="4939" spans="1:6">
      <c r="A4939" t="s">
        <v>54</v>
      </c>
      <c r="B4939" t="s">
        <v>24</v>
      </c>
      <c r="C4939">
        <v>2045</v>
      </c>
      <c r="D4939" t="s">
        <v>9</v>
      </c>
      <c r="E4939">
        <v>1457.5</v>
      </c>
      <c r="F4939" t="s">
        <v>7</v>
      </c>
    </row>
    <row r="4940" spans="1:6">
      <c r="A4940" t="s">
        <v>54</v>
      </c>
      <c r="B4940" t="s">
        <v>24</v>
      </c>
      <c r="C4940">
        <v>2045</v>
      </c>
      <c r="D4940" t="s">
        <v>10</v>
      </c>
      <c r="E4940">
        <v>32.700000000000003</v>
      </c>
      <c r="F4940" t="s">
        <v>11</v>
      </c>
    </row>
    <row r="4941" spans="1:6">
      <c r="A4941" t="s">
        <v>54</v>
      </c>
      <c r="B4941" t="s">
        <v>25</v>
      </c>
      <c r="C4941">
        <v>2045</v>
      </c>
      <c r="D4941" t="s">
        <v>9</v>
      </c>
      <c r="E4941">
        <v>1457.5</v>
      </c>
      <c r="F4941" t="s">
        <v>7</v>
      </c>
    </row>
    <row r="4942" spans="1:6">
      <c r="A4942" t="s">
        <v>54</v>
      </c>
      <c r="B4942" t="s">
        <v>25</v>
      </c>
      <c r="C4942">
        <v>2045</v>
      </c>
      <c r="D4942" t="s">
        <v>10</v>
      </c>
      <c r="E4942">
        <v>32.700000000000003</v>
      </c>
      <c r="F4942" t="s">
        <v>11</v>
      </c>
    </row>
    <row r="4943" spans="1:6">
      <c r="A4943" t="s">
        <v>54</v>
      </c>
      <c r="B4943" t="s">
        <v>26</v>
      </c>
      <c r="C4943">
        <v>2045</v>
      </c>
      <c r="D4943" t="s">
        <v>9</v>
      </c>
      <c r="E4943">
        <v>1457.5</v>
      </c>
      <c r="F4943" t="s">
        <v>7</v>
      </c>
    </row>
    <row r="4944" spans="1:6">
      <c r="A4944" t="s">
        <v>54</v>
      </c>
      <c r="B4944" t="s">
        <v>26</v>
      </c>
      <c r="C4944">
        <v>2045</v>
      </c>
      <c r="D4944" t="s">
        <v>10</v>
      </c>
      <c r="E4944">
        <v>32.700000000000003</v>
      </c>
      <c r="F4944" t="s">
        <v>11</v>
      </c>
    </row>
    <row r="4945" spans="1:6">
      <c r="A4945" t="s">
        <v>54</v>
      </c>
      <c r="B4945" t="s">
        <v>27</v>
      </c>
      <c r="C4945">
        <v>2045</v>
      </c>
      <c r="D4945" t="s">
        <v>9</v>
      </c>
      <c r="E4945">
        <v>1457.5</v>
      </c>
      <c r="F4945" t="s">
        <v>7</v>
      </c>
    </row>
    <row r="4946" spans="1:6">
      <c r="A4946" t="s">
        <v>54</v>
      </c>
      <c r="B4946" t="s">
        <v>27</v>
      </c>
      <c r="C4946">
        <v>2045</v>
      </c>
      <c r="D4946" t="s">
        <v>10</v>
      </c>
      <c r="E4946">
        <v>32.700000000000003</v>
      </c>
      <c r="F4946" t="s">
        <v>11</v>
      </c>
    </row>
    <row r="4947" spans="1:6">
      <c r="A4947" t="s">
        <v>54</v>
      </c>
      <c r="B4947" t="s">
        <v>28</v>
      </c>
      <c r="C4947">
        <v>2045</v>
      </c>
      <c r="D4947" t="s">
        <v>9</v>
      </c>
      <c r="E4947">
        <v>1457.5</v>
      </c>
      <c r="F4947" t="s">
        <v>7</v>
      </c>
    </row>
    <row r="4948" spans="1:6">
      <c r="A4948" t="s">
        <v>54</v>
      </c>
      <c r="B4948" t="s">
        <v>28</v>
      </c>
      <c r="C4948">
        <v>2045</v>
      </c>
      <c r="D4948" t="s">
        <v>10</v>
      </c>
      <c r="E4948">
        <v>32.700000000000003</v>
      </c>
      <c r="F4948" t="s">
        <v>11</v>
      </c>
    </row>
    <row r="4949" spans="1:6">
      <c r="A4949" t="s">
        <v>54</v>
      </c>
      <c r="B4949" t="s">
        <v>20</v>
      </c>
      <c r="C4949">
        <v>2050</v>
      </c>
      <c r="D4949" t="s">
        <v>6</v>
      </c>
      <c r="E4949">
        <v>1687.7</v>
      </c>
      <c r="F4949" t="s">
        <v>7</v>
      </c>
    </row>
    <row r="4950" spans="1:6">
      <c r="A4950" t="s">
        <v>54</v>
      </c>
      <c r="B4950" t="s">
        <v>20</v>
      </c>
      <c r="C4950">
        <v>2050</v>
      </c>
      <c r="D4950" t="s">
        <v>10</v>
      </c>
      <c r="E4950">
        <v>38.200000000000003</v>
      </c>
      <c r="F4950" t="s">
        <v>11</v>
      </c>
    </row>
    <row r="4951" spans="1:6">
      <c r="A4951" t="s">
        <v>54</v>
      </c>
      <c r="B4951" t="s">
        <v>20</v>
      </c>
      <c r="C4951">
        <v>2050</v>
      </c>
      <c r="D4951" t="s">
        <v>16</v>
      </c>
      <c r="E4951">
        <v>0.86</v>
      </c>
      <c r="F4951" t="s">
        <v>15</v>
      </c>
    </row>
    <row r="4952" spans="1:6">
      <c r="A4952" t="s">
        <v>54</v>
      </c>
      <c r="B4952" t="s">
        <v>20</v>
      </c>
      <c r="C4952">
        <v>2050</v>
      </c>
      <c r="D4952" t="s">
        <v>164</v>
      </c>
      <c r="E4952">
        <v>0.13900000000000001</v>
      </c>
      <c r="F4952" t="s">
        <v>166</v>
      </c>
    </row>
    <row r="4953" spans="1:6">
      <c r="A4953" t="s">
        <v>54</v>
      </c>
      <c r="B4953" t="s">
        <v>21</v>
      </c>
      <c r="C4953">
        <v>2050</v>
      </c>
      <c r="D4953" t="s">
        <v>6</v>
      </c>
      <c r="E4953">
        <v>1687.7</v>
      </c>
      <c r="F4953" t="s">
        <v>7</v>
      </c>
    </row>
    <row r="4954" spans="1:6">
      <c r="A4954" t="s">
        <v>54</v>
      </c>
      <c r="B4954" t="s">
        <v>21</v>
      </c>
      <c r="C4954">
        <v>2050</v>
      </c>
      <c r="D4954" t="s">
        <v>10</v>
      </c>
      <c r="E4954">
        <v>38.200000000000003</v>
      </c>
      <c r="F4954" t="s">
        <v>11</v>
      </c>
    </row>
    <row r="4955" spans="1:6">
      <c r="A4955" t="s">
        <v>54</v>
      </c>
      <c r="B4955" t="s">
        <v>21</v>
      </c>
      <c r="C4955">
        <v>2050</v>
      </c>
      <c r="D4955" t="s">
        <v>16</v>
      </c>
      <c r="E4955">
        <v>0.86</v>
      </c>
      <c r="F4955" t="s">
        <v>15</v>
      </c>
    </row>
    <row r="4956" spans="1:6">
      <c r="A4956" t="s">
        <v>54</v>
      </c>
      <c r="B4956" t="s">
        <v>21</v>
      </c>
      <c r="C4956">
        <v>2050</v>
      </c>
      <c r="D4956" t="s">
        <v>164</v>
      </c>
      <c r="E4956">
        <v>0.13900000000000001</v>
      </c>
      <c r="F4956" t="s">
        <v>166</v>
      </c>
    </row>
    <row r="4957" spans="1:6">
      <c r="A4957" t="s">
        <v>54</v>
      </c>
      <c r="B4957" t="s">
        <v>22</v>
      </c>
      <c r="C4957">
        <v>2050</v>
      </c>
      <c r="D4957" t="s">
        <v>6</v>
      </c>
      <c r="E4957">
        <v>1687.7</v>
      </c>
      <c r="F4957" t="s">
        <v>7</v>
      </c>
    </row>
    <row r="4958" spans="1:6">
      <c r="A4958" t="s">
        <v>54</v>
      </c>
      <c r="B4958" t="s">
        <v>22</v>
      </c>
      <c r="C4958">
        <v>2050</v>
      </c>
      <c r="D4958" t="s">
        <v>10</v>
      </c>
      <c r="E4958">
        <v>38.200000000000003</v>
      </c>
      <c r="F4958" t="s">
        <v>11</v>
      </c>
    </row>
    <row r="4959" spans="1:6">
      <c r="A4959" t="s">
        <v>54</v>
      </c>
      <c r="B4959" t="s">
        <v>22</v>
      </c>
      <c r="C4959">
        <v>2050</v>
      </c>
      <c r="D4959" t="s">
        <v>16</v>
      </c>
      <c r="E4959">
        <v>0.86</v>
      </c>
      <c r="F4959" t="s">
        <v>15</v>
      </c>
    </row>
    <row r="4960" spans="1:6">
      <c r="A4960" t="s">
        <v>54</v>
      </c>
      <c r="B4960" t="s">
        <v>22</v>
      </c>
      <c r="C4960">
        <v>2050</v>
      </c>
      <c r="D4960" t="s">
        <v>164</v>
      </c>
      <c r="E4960">
        <v>0.13900000000000001</v>
      </c>
      <c r="F4960" t="s">
        <v>166</v>
      </c>
    </row>
    <row r="4961" spans="1:6">
      <c r="A4961" t="s">
        <v>54</v>
      </c>
      <c r="B4961" t="s">
        <v>23</v>
      </c>
      <c r="C4961">
        <v>2050</v>
      </c>
      <c r="D4961" t="s">
        <v>6</v>
      </c>
      <c r="E4961">
        <v>1687.7</v>
      </c>
      <c r="F4961" t="s">
        <v>7</v>
      </c>
    </row>
    <row r="4962" spans="1:6">
      <c r="A4962" t="s">
        <v>54</v>
      </c>
      <c r="B4962" t="s">
        <v>23</v>
      </c>
      <c r="C4962">
        <v>2050</v>
      </c>
      <c r="D4962" t="s">
        <v>10</v>
      </c>
      <c r="E4962">
        <v>38.200000000000003</v>
      </c>
      <c r="F4962" t="s">
        <v>11</v>
      </c>
    </row>
    <row r="4963" spans="1:6">
      <c r="A4963" t="s">
        <v>54</v>
      </c>
      <c r="B4963" t="s">
        <v>23</v>
      </c>
      <c r="C4963">
        <v>2050</v>
      </c>
      <c r="D4963" t="s">
        <v>16</v>
      </c>
      <c r="E4963">
        <v>0.86</v>
      </c>
      <c r="F4963" t="s">
        <v>15</v>
      </c>
    </row>
    <row r="4964" spans="1:6">
      <c r="A4964" t="s">
        <v>54</v>
      </c>
      <c r="B4964" t="s">
        <v>23</v>
      </c>
      <c r="C4964">
        <v>2050</v>
      </c>
      <c r="D4964" t="s">
        <v>164</v>
      </c>
      <c r="E4964">
        <v>0.13900000000000001</v>
      </c>
      <c r="F4964" t="s">
        <v>166</v>
      </c>
    </row>
    <row r="4965" spans="1:6">
      <c r="A4965" t="s">
        <v>54</v>
      </c>
      <c r="B4965" t="s">
        <v>24</v>
      </c>
      <c r="C4965">
        <v>2050</v>
      </c>
      <c r="D4965" t="s">
        <v>6</v>
      </c>
      <c r="E4965">
        <v>1687.7</v>
      </c>
      <c r="F4965" t="s">
        <v>7</v>
      </c>
    </row>
    <row r="4966" spans="1:6">
      <c r="A4966" t="s">
        <v>54</v>
      </c>
      <c r="B4966" t="s">
        <v>24</v>
      </c>
      <c r="C4966">
        <v>2050</v>
      </c>
      <c r="D4966" t="s">
        <v>10</v>
      </c>
      <c r="E4966">
        <v>38.200000000000003</v>
      </c>
      <c r="F4966" t="s">
        <v>11</v>
      </c>
    </row>
    <row r="4967" spans="1:6">
      <c r="A4967" t="s">
        <v>54</v>
      </c>
      <c r="B4967" t="s">
        <v>24</v>
      </c>
      <c r="C4967">
        <v>2050</v>
      </c>
      <c r="D4967" t="s">
        <v>16</v>
      </c>
      <c r="E4967">
        <v>0.86</v>
      </c>
      <c r="F4967" t="s">
        <v>15</v>
      </c>
    </row>
    <row r="4968" spans="1:6">
      <c r="A4968" t="s">
        <v>54</v>
      </c>
      <c r="B4968" t="s">
        <v>24</v>
      </c>
      <c r="C4968">
        <v>2050</v>
      </c>
      <c r="D4968" t="s">
        <v>164</v>
      </c>
      <c r="E4968">
        <v>0.13900000000000001</v>
      </c>
      <c r="F4968" t="s">
        <v>166</v>
      </c>
    </row>
    <row r="4969" spans="1:6">
      <c r="A4969" t="s">
        <v>54</v>
      </c>
      <c r="B4969" t="s">
        <v>25</v>
      </c>
      <c r="C4969">
        <v>2050</v>
      </c>
      <c r="D4969" t="s">
        <v>6</v>
      </c>
      <c r="E4969">
        <v>1687.7</v>
      </c>
      <c r="F4969" t="s">
        <v>7</v>
      </c>
    </row>
    <row r="4970" spans="1:6">
      <c r="A4970" t="s">
        <v>54</v>
      </c>
      <c r="B4970" t="s">
        <v>25</v>
      </c>
      <c r="C4970">
        <v>2050</v>
      </c>
      <c r="D4970" t="s">
        <v>10</v>
      </c>
      <c r="E4970">
        <v>38.200000000000003</v>
      </c>
      <c r="F4970" t="s">
        <v>11</v>
      </c>
    </row>
    <row r="4971" spans="1:6">
      <c r="A4971" t="s">
        <v>54</v>
      </c>
      <c r="B4971" t="s">
        <v>25</v>
      </c>
      <c r="C4971">
        <v>2050</v>
      </c>
      <c r="D4971" t="s">
        <v>16</v>
      </c>
      <c r="E4971">
        <v>0.86</v>
      </c>
      <c r="F4971" t="s">
        <v>15</v>
      </c>
    </row>
    <row r="4972" spans="1:6">
      <c r="A4972" t="s">
        <v>54</v>
      </c>
      <c r="B4972" t="s">
        <v>25</v>
      </c>
      <c r="C4972">
        <v>2050</v>
      </c>
      <c r="D4972" t="s">
        <v>164</v>
      </c>
      <c r="E4972">
        <v>0.13900000000000001</v>
      </c>
      <c r="F4972" t="s">
        <v>166</v>
      </c>
    </row>
    <row r="4973" spans="1:6">
      <c r="A4973" t="s">
        <v>54</v>
      </c>
      <c r="B4973" t="s">
        <v>26</v>
      </c>
      <c r="C4973">
        <v>2050</v>
      </c>
      <c r="D4973" t="s">
        <v>6</v>
      </c>
      <c r="E4973">
        <v>1687.7</v>
      </c>
      <c r="F4973" t="s">
        <v>7</v>
      </c>
    </row>
    <row r="4974" spans="1:6">
      <c r="A4974" t="s">
        <v>54</v>
      </c>
      <c r="B4974" t="s">
        <v>26</v>
      </c>
      <c r="C4974">
        <v>2050</v>
      </c>
      <c r="D4974" t="s">
        <v>10</v>
      </c>
      <c r="E4974">
        <v>38.200000000000003</v>
      </c>
      <c r="F4974" t="s">
        <v>11</v>
      </c>
    </row>
    <row r="4975" spans="1:6">
      <c r="A4975" t="s">
        <v>54</v>
      </c>
      <c r="B4975" t="s">
        <v>26</v>
      </c>
      <c r="C4975">
        <v>2050</v>
      </c>
      <c r="D4975" t="s">
        <v>16</v>
      </c>
      <c r="E4975">
        <v>0.86</v>
      </c>
      <c r="F4975" t="s">
        <v>15</v>
      </c>
    </row>
    <row r="4976" spans="1:6">
      <c r="A4976" t="s">
        <v>54</v>
      </c>
      <c r="B4976" t="s">
        <v>26</v>
      </c>
      <c r="C4976">
        <v>2050</v>
      </c>
      <c r="D4976" t="s">
        <v>164</v>
      </c>
      <c r="E4976">
        <v>0.13900000000000001</v>
      </c>
      <c r="F4976" t="s">
        <v>166</v>
      </c>
    </row>
    <row r="4977" spans="1:6">
      <c r="A4977" t="s">
        <v>54</v>
      </c>
      <c r="B4977" t="s">
        <v>27</v>
      </c>
      <c r="C4977">
        <v>2050</v>
      </c>
      <c r="D4977" t="s">
        <v>6</v>
      </c>
      <c r="E4977">
        <v>1687.7</v>
      </c>
      <c r="F4977" t="s">
        <v>7</v>
      </c>
    </row>
    <row r="4978" spans="1:6">
      <c r="A4978" t="s">
        <v>54</v>
      </c>
      <c r="B4978" t="s">
        <v>27</v>
      </c>
      <c r="C4978">
        <v>2050</v>
      </c>
      <c r="D4978" t="s">
        <v>10</v>
      </c>
      <c r="E4978">
        <v>38.200000000000003</v>
      </c>
      <c r="F4978" t="s">
        <v>11</v>
      </c>
    </row>
    <row r="4979" spans="1:6">
      <c r="A4979" t="s">
        <v>54</v>
      </c>
      <c r="B4979" t="s">
        <v>27</v>
      </c>
      <c r="C4979">
        <v>2050</v>
      </c>
      <c r="D4979" t="s">
        <v>16</v>
      </c>
      <c r="E4979">
        <v>0.86</v>
      </c>
      <c r="F4979" t="s">
        <v>15</v>
      </c>
    </row>
    <row r="4980" spans="1:6">
      <c r="A4980" t="s">
        <v>54</v>
      </c>
      <c r="B4980" t="s">
        <v>27</v>
      </c>
      <c r="C4980">
        <v>2050</v>
      </c>
      <c r="D4980" t="s">
        <v>164</v>
      </c>
      <c r="E4980">
        <v>0.13900000000000001</v>
      </c>
      <c r="F4980" t="s">
        <v>166</v>
      </c>
    </row>
    <row r="4981" spans="1:6">
      <c r="A4981" t="s">
        <v>54</v>
      </c>
      <c r="B4981" t="s">
        <v>28</v>
      </c>
      <c r="C4981">
        <v>2050</v>
      </c>
      <c r="D4981" t="s">
        <v>6</v>
      </c>
      <c r="E4981">
        <v>1687.7</v>
      </c>
      <c r="F4981" t="s">
        <v>7</v>
      </c>
    </row>
    <row r="4982" spans="1:6">
      <c r="A4982" t="s">
        <v>54</v>
      </c>
      <c r="B4982" t="s">
        <v>28</v>
      </c>
      <c r="C4982">
        <v>2050</v>
      </c>
      <c r="D4982" t="s">
        <v>10</v>
      </c>
      <c r="E4982">
        <v>38.200000000000003</v>
      </c>
      <c r="F4982" t="s">
        <v>11</v>
      </c>
    </row>
    <row r="4983" spans="1:6">
      <c r="A4983" t="s">
        <v>54</v>
      </c>
      <c r="B4983" t="s">
        <v>28</v>
      </c>
      <c r="C4983">
        <v>2050</v>
      </c>
      <c r="D4983" t="s">
        <v>16</v>
      </c>
      <c r="E4983">
        <v>0.86</v>
      </c>
      <c r="F4983" t="s">
        <v>15</v>
      </c>
    </row>
    <row r="4984" spans="1:6">
      <c r="A4984" t="s">
        <v>54</v>
      </c>
      <c r="B4984" t="s">
        <v>28</v>
      </c>
      <c r="C4984">
        <v>2050</v>
      </c>
      <c r="D4984" t="s">
        <v>164</v>
      </c>
      <c r="E4984">
        <v>0.13900000000000001</v>
      </c>
      <c r="F4984" t="s">
        <v>166</v>
      </c>
    </row>
    <row r="4985" spans="1:6">
      <c r="A4985" t="s">
        <v>54</v>
      </c>
      <c r="B4985" t="s">
        <v>20</v>
      </c>
      <c r="C4985">
        <v>2050</v>
      </c>
      <c r="D4985" t="s">
        <v>8</v>
      </c>
      <c r="E4985">
        <v>2686.1</v>
      </c>
      <c r="F4985" t="s">
        <v>7</v>
      </c>
    </row>
    <row r="4986" spans="1:6">
      <c r="A4986" t="s">
        <v>54</v>
      </c>
      <c r="B4986" t="s">
        <v>20</v>
      </c>
      <c r="C4986">
        <v>2050</v>
      </c>
      <c r="D4986" t="s">
        <v>10</v>
      </c>
      <c r="E4986">
        <v>62.3</v>
      </c>
      <c r="F4986" t="s">
        <v>11</v>
      </c>
    </row>
    <row r="4987" spans="1:6">
      <c r="A4987" t="s">
        <v>54</v>
      </c>
      <c r="B4987" t="s">
        <v>21</v>
      </c>
      <c r="C4987">
        <v>2050</v>
      </c>
      <c r="D4987" t="s">
        <v>8</v>
      </c>
      <c r="E4987">
        <v>2686.1</v>
      </c>
      <c r="F4987" t="s">
        <v>7</v>
      </c>
    </row>
    <row r="4988" spans="1:6">
      <c r="A4988" t="s">
        <v>54</v>
      </c>
      <c r="B4988" t="s">
        <v>21</v>
      </c>
      <c r="C4988">
        <v>2050</v>
      </c>
      <c r="D4988" t="s">
        <v>10</v>
      </c>
      <c r="E4988">
        <v>62.3</v>
      </c>
      <c r="F4988" t="s">
        <v>11</v>
      </c>
    </row>
    <row r="4989" spans="1:6">
      <c r="A4989" t="s">
        <v>54</v>
      </c>
      <c r="B4989" t="s">
        <v>22</v>
      </c>
      <c r="C4989">
        <v>2050</v>
      </c>
      <c r="D4989" t="s">
        <v>8</v>
      </c>
      <c r="E4989">
        <v>2686.1</v>
      </c>
      <c r="F4989" t="s">
        <v>7</v>
      </c>
    </row>
    <row r="4990" spans="1:6">
      <c r="A4990" t="s">
        <v>54</v>
      </c>
      <c r="B4990" t="s">
        <v>22</v>
      </c>
      <c r="C4990">
        <v>2050</v>
      </c>
      <c r="D4990" t="s">
        <v>10</v>
      </c>
      <c r="E4990">
        <v>62.3</v>
      </c>
      <c r="F4990" t="s">
        <v>11</v>
      </c>
    </row>
    <row r="4991" spans="1:6">
      <c r="A4991" t="s">
        <v>54</v>
      </c>
      <c r="B4991" t="s">
        <v>23</v>
      </c>
      <c r="C4991">
        <v>2050</v>
      </c>
      <c r="D4991" t="s">
        <v>8</v>
      </c>
      <c r="E4991">
        <v>2686.1</v>
      </c>
      <c r="F4991" t="s">
        <v>7</v>
      </c>
    </row>
    <row r="4992" spans="1:6">
      <c r="A4992" t="s">
        <v>54</v>
      </c>
      <c r="B4992" t="s">
        <v>23</v>
      </c>
      <c r="C4992">
        <v>2050</v>
      </c>
      <c r="D4992" t="s">
        <v>10</v>
      </c>
      <c r="E4992">
        <v>62.3</v>
      </c>
      <c r="F4992" t="s">
        <v>11</v>
      </c>
    </row>
    <row r="4993" spans="1:6">
      <c r="A4993" t="s">
        <v>54</v>
      </c>
      <c r="B4993" t="s">
        <v>24</v>
      </c>
      <c r="C4993">
        <v>2050</v>
      </c>
      <c r="D4993" t="s">
        <v>8</v>
      </c>
      <c r="E4993">
        <v>2686.1</v>
      </c>
      <c r="F4993" t="s">
        <v>7</v>
      </c>
    </row>
    <row r="4994" spans="1:6">
      <c r="A4994" t="s">
        <v>54</v>
      </c>
      <c r="B4994" t="s">
        <v>24</v>
      </c>
      <c r="C4994">
        <v>2050</v>
      </c>
      <c r="D4994" t="s">
        <v>10</v>
      </c>
      <c r="E4994">
        <v>62.3</v>
      </c>
      <c r="F4994" t="s">
        <v>11</v>
      </c>
    </row>
    <row r="4995" spans="1:6">
      <c r="A4995" t="s">
        <v>54</v>
      </c>
      <c r="B4995" t="s">
        <v>25</v>
      </c>
      <c r="C4995">
        <v>2050</v>
      </c>
      <c r="D4995" t="s">
        <v>8</v>
      </c>
      <c r="E4995">
        <v>2686.1</v>
      </c>
      <c r="F4995" t="s">
        <v>7</v>
      </c>
    </row>
    <row r="4996" spans="1:6">
      <c r="A4996" t="s">
        <v>54</v>
      </c>
      <c r="B4996" t="s">
        <v>25</v>
      </c>
      <c r="C4996">
        <v>2050</v>
      </c>
      <c r="D4996" t="s">
        <v>10</v>
      </c>
      <c r="E4996">
        <v>62.3</v>
      </c>
      <c r="F4996" t="s">
        <v>11</v>
      </c>
    </row>
    <row r="4997" spans="1:6">
      <c r="A4997" t="s">
        <v>54</v>
      </c>
      <c r="B4997" t="s">
        <v>26</v>
      </c>
      <c r="C4997">
        <v>2050</v>
      </c>
      <c r="D4997" t="s">
        <v>8</v>
      </c>
      <c r="E4997">
        <v>2686.1</v>
      </c>
      <c r="F4997" t="s">
        <v>7</v>
      </c>
    </row>
    <row r="4998" spans="1:6">
      <c r="A4998" t="s">
        <v>54</v>
      </c>
      <c r="B4998" t="s">
        <v>26</v>
      </c>
      <c r="C4998">
        <v>2050</v>
      </c>
      <c r="D4998" t="s">
        <v>10</v>
      </c>
      <c r="E4998">
        <v>62.3</v>
      </c>
      <c r="F4998" t="s">
        <v>11</v>
      </c>
    </row>
    <row r="4999" spans="1:6">
      <c r="A4999" t="s">
        <v>54</v>
      </c>
      <c r="B4999" t="s">
        <v>27</v>
      </c>
      <c r="C4999">
        <v>2050</v>
      </c>
      <c r="D4999" t="s">
        <v>8</v>
      </c>
      <c r="E4999">
        <v>2686.1</v>
      </c>
      <c r="F4999" t="s">
        <v>7</v>
      </c>
    </row>
    <row r="5000" spans="1:6">
      <c r="A5000" t="s">
        <v>54</v>
      </c>
      <c r="B5000" t="s">
        <v>27</v>
      </c>
      <c r="C5000">
        <v>2050</v>
      </c>
      <c r="D5000" t="s">
        <v>10</v>
      </c>
      <c r="E5000">
        <v>62.3</v>
      </c>
      <c r="F5000" t="s">
        <v>11</v>
      </c>
    </row>
    <row r="5001" spans="1:6">
      <c r="A5001" t="s">
        <v>54</v>
      </c>
      <c r="B5001" t="s">
        <v>28</v>
      </c>
      <c r="C5001">
        <v>2050</v>
      </c>
      <c r="D5001" t="s">
        <v>8</v>
      </c>
      <c r="E5001">
        <v>2686.1</v>
      </c>
      <c r="F5001" t="s">
        <v>7</v>
      </c>
    </row>
    <row r="5002" spans="1:6">
      <c r="A5002" t="s">
        <v>54</v>
      </c>
      <c r="B5002" t="s">
        <v>28</v>
      </c>
      <c r="C5002">
        <v>2050</v>
      </c>
      <c r="D5002" t="s">
        <v>10</v>
      </c>
      <c r="E5002">
        <v>62.3</v>
      </c>
      <c r="F5002" t="s">
        <v>11</v>
      </c>
    </row>
    <row r="5003" spans="1:6">
      <c r="A5003" t="s">
        <v>54</v>
      </c>
      <c r="B5003" t="s">
        <v>20</v>
      </c>
      <c r="C5003">
        <v>2050</v>
      </c>
      <c r="D5003" t="s">
        <v>9</v>
      </c>
      <c r="E5003">
        <v>1297.5</v>
      </c>
      <c r="F5003" t="s">
        <v>7</v>
      </c>
    </row>
    <row r="5004" spans="1:6">
      <c r="A5004" t="s">
        <v>54</v>
      </c>
      <c r="B5004" t="s">
        <v>20</v>
      </c>
      <c r="C5004">
        <v>2050</v>
      </c>
      <c r="D5004" t="s">
        <v>10</v>
      </c>
      <c r="E5004">
        <v>28.8</v>
      </c>
      <c r="F5004" t="s">
        <v>11</v>
      </c>
    </row>
    <row r="5005" spans="1:6">
      <c r="A5005" t="s">
        <v>54</v>
      </c>
      <c r="B5005" t="s">
        <v>21</v>
      </c>
      <c r="C5005">
        <v>2050</v>
      </c>
      <c r="D5005" t="s">
        <v>9</v>
      </c>
      <c r="E5005">
        <v>1297.5</v>
      </c>
      <c r="F5005" t="s">
        <v>7</v>
      </c>
    </row>
    <row r="5006" spans="1:6">
      <c r="A5006" t="s">
        <v>54</v>
      </c>
      <c r="B5006" t="s">
        <v>21</v>
      </c>
      <c r="C5006">
        <v>2050</v>
      </c>
      <c r="D5006" t="s">
        <v>10</v>
      </c>
      <c r="E5006">
        <v>28.8</v>
      </c>
      <c r="F5006" t="s">
        <v>11</v>
      </c>
    </row>
    <row r="5007" spans="1:6">
      <c r="A5007" t="s">
        <v>54</v>
      </c>
      <c r="B5007" t="s">
        <v>22</v>
      </c>
      <c r="C5007">
        <v>2050</v>
      </c>
      <c r="D5007" t="s">
        <v>9</v>
      </c>
      <c r="E5007">
        <v>1297.5</v>
      </c>
      <c r="F5007" t="s">
        <v>7</v>
      </c>
    </row>
    <row r="5008" spans="1:6">
      <c r="A5008" t="s">
        <v>54</v>
      </c>
      <c r="B5008" t="s">
        <v>22</v>
      </c>
      <c r="C5008">
        <v>2050</v>
      </c>
      <c r="D5008" t="s">
        <v>10</v>
      </c>
      <c r="E5008">
        <v>28.8</v>
      </c>
      <c r="F5008" t="s">
        <v>11</v>
      </c>
    </row>
    <row r="5009" spans="1:6">
      <c r="A5009" t="s">
        <v>54</v>
      </c>
      <c r="B5009" t="s">
        <v>23</v>
      </c>
      <c r="C5009">
        <v>2050</v>
      </c>
      <c r="D5009" t="s">
        <v>9</v>
      </c>
      <c r="E5009">
        <v>1297.5</v>
      </c>
      <c r="F5009" t="s">
        <v>7</v>
      </c>
    </row>
    <row r="5010" spans="1:6">
      <c r="A5010" t="s">
        <v>54</v>
      </c>
      <c r="B5010" t="s">
        <v>23</v>
      </c>
      <c r="C5010">
        <v>2050</v>
      </c>
      <c r="D5010" t="s">
        <v>10</v>
      </c>
      <c r="E5010">
        <v>28.8</v>
      </c>
      <c r="F5010" t="s">
        <v>11</v>
      </c>
    </row>
    <row r="5011" spans="1:6">
      <c r="A5011" t="s">
        <v>54</v>
      </c>
      <c r="B5011" t="s">
        <v>24</v>
      </c>
      <c r="C5011">
        <v>2050</v>
      </c>
      <c r="D5011" t="s">
        <v>9</v>
      </c>
      <c r="E5011">
        <v>1297.5</v>
      </c>
      <c r="F5011" t="s">
        <v>7</v>
      </c>
    </row>
    <row r="5012" spans="1:6">
      <c r="A5012" t="s">
        <v>54</v>
      </c>
      <c r="B5012" t="s">
        <v>24</v>
      </c>
      <c r="C5012">
        <v>2050</v>
      </c>
      <c r="D5012" t="s">
        <v>10</v>
      </c>
      <c r="E5012">
        <v>28.8</v>
      </c>
      <c r="F5012" t="s">
        <v>11</v>
      </c>
    </row>
    <row r="5013" spans="1:6">
      <c r="A5013" t="s">
        <v>54</v>
      </c>
      <c r="B5013" t="s">
        <v>25</v>
      </c>
      <c r="C5013">
        <v>2050</v>
      </c>
      <c r="D5013" t="s">
        <v>9</v>
      </c>
      <c r="E5013">
        <v>1297.5</v>
      </c>
      <c r="F5013" t="s">
        <v>7</v>
      </c>
    </row>
    <row r="5014" spans="1:6">
      <c r="A5014" t="s">
        <v>54</v>
      </c>
      <c r="B5014" t="s">
        <v>25</v>
      </c>
      <c r="C5014">
        <v>2050</v>
      </c>
      <c r="D5014" t="s">
        <v>10</v>
      </c>
      <c r="E5014">
        <v>28.8</v>
      </c>
      <c r="F5014" t="s">
        <v>11</v>
      </c>
    </row>
    <row r="5015" spans="1:6">
      <c r="A5015" t="s">
        <v>54</v>
      </c>
      <c r="B5015" t="s">
        <v>26</v>
      </c>
      <c r="C5015">
        <v>2050</v>
      </c>
      <c r="D5015" t="s">
        <v>9</v>
      </c>
      <c r="E5015">
        <v>1297.5</v>
      </c>
      <c r="F5015" t="s">
        <v>7</v>
      </c>
    </row>
    <row r="5016" spans="1:6">
      <c r="A5016" t="s">
        <v>54</v>
      </c>
      <c r="B5016" t="s">
        <v>26</v>
      </c>
      <c r="C5016">
        <v>2050</v>
      </c>
      <c r="D5016" t="s">
        <v>10</v>
      </c>
      <c r="E5016">
        <v>28.8</v>
      </c>
      <c r="F5016" t="s">
        <v>11</v>
      </c>
    </row>
    <row r="5017" spans="1:6">
      <c r="A5017" t="s">
        <v>54</v>
      </c>
      <c r="B5017" t="s">
        <v>27</v>
      </c>
      <c r="C5017">
        <v>2050</v>
      </c>
      <c r="D5017" t="s">
        <v>9</v>
      </c>
      <c r="E5017">
        <v>1297.5</v>
      </c>
      <c r="F5017" t="s">
        <v>7</v>
      </c>
    </row>
    <row r="5018" spans="1:6">
      <c r="A5018" t="s">
        <v>54</v>
      </c>
      <c r="B5018" t="s">
        <v>27</v>
      </c>
      <c r="C5018">
        <v>2050</v>
      </c>
      <c r="D5018" t="s">
        <v>10</v>
      </c>
      <c r="E5018">
        <v>28.8</v>
      </c>
      <c r="F5018" t="s">
        <v>11</v>
      </c>
    </row>
    <row r="5019" spans="1:6">
      <c r="A5019" t="s">
        <v>54</v>
      </c>
      <c r="B5019" t="s">
        <v>28</v>
      </c>
      <c r="C5019">
        <v>2050</v>
      </c>
      <c r="D5019" t="s">
        <v>9</v>
      </c>
      <c r="E5019">
        <v>1297.5</v>
      </c>
      <c r="F5019" t="s">
        <v>7</v>
      </c>
    </row>
    <row r="5020" spans="1:6">
      <c r="A5020" t="s">
        <v>54</v>
      </c>
      <c r="B5020" t="s">
        <v>28</v>
      </c>
      <c r="C5020">
        <v>2050</v>
      </c>
      <c r="D5020" t="s">
        <v>10</v>
      </c>
      <c r="E5020">
        <v>28.8</v>
      </c>
      <c r="F5020" t="s">
        <v>11</v>
      </c>
    </row>
    <row r="5021" spans="1:6">
      <c r="A5021" t="s">
        <v>55</v>
      </c>
      <c r="B5021" t="s">
        <v>20</v>
      </c>
      <c r="C5021">
        <v>2030</v>
      </c>
      <c r="D5021" t="s">
        <v>6</v>
      </c>
      <c r="E5021">
        <v>10253.1</v>
      </c>
      <c r="F5021" t="s">
        <v>7</v>
      </c>
    </row>
    <row r="5022" spans="1:6">
      <c r="A5022" t="s">
        <v>55</v>
      </c>
      <c r="B5022" t="s">
        <v>20</v>
      </c>
      <c r="C5022">
        <v>2030</v>
      </c>
      <c r="D5022" t="s">
        <v>10</v>
      </c>
      <c r="E5022">
        <v>144.5</v>
      </c>
      <c r="F5022" t="s">
        <v>11</v>
      </c>
    </row>
    <row r="5023" spans="1:6">
      <c r="A5023" t="s">
        <v>55</v>
      </c>
      <c r="B5023" t="s">
        <v>20</v>
      </c>
      <c r="C5023">
        <v>2030</v>
      </c>
      <c r="D5023" t="s">
        <v>164</v>
      </c>
      <c r="E5023">
        <v>0.72199999999999998</v>
      </c>
      <c r="F5023" t="s">
        <v>166</v>
      </c>
    </row>
    <row r="5024" spans="1:6">
      <c r="A5024" t="s">
        <v>55</v>
      </c>
      <c r="B5024" t="s">
        <v>21</v>
      </c>
      <c r="C5024">
        <v>2030</v>
      </c>
      <c r="D5024" t="s">
        <v>6</v>
      </c>
      <c r="E5024">
        <v>9650</v>
      </c>
      <c r="F5024" t="s">
        <v>7</v>
      </c>
    </row>
    <row r="5025" spans="1:6">
      <c r="A5025" t="s">
        <v>55</v>
      </c>
      <c r="B5025" t="s">
        <v>21</v>
      </c>
      <c r="C5025">
        <v>2030</v>
      </c>
      <c r="D5025" t="s">
        <v>10</v>
      </c>
      <c r="E5025">
        <v>136</v>
      </c>
      <c r="F5025" t="s">
        <v>11</v>
      </c>
    </row>
    <row r="5026" spans="1:6">
      <c r="A5026" t="s">
        <v>55</v>
      </c>
      <c r="B5026" t="s">
        <v>21</v>
      </c>
      <c r="C5026">
        <v>2030</v>
      </c>
      <c r="D5026" t="s">
        <v>164</v>
      </c>
      <c r="E5026">
        <v>0.72199999999999998</v>
      </c>
      <c r="F5026" t="s">
        <v>166</v>
      </c>
    </row>
    <row r="5027" spans="1:6">
      <c r="A5027" t="s">
        <v>55</v>
      </c>
      <c r="B5027" t="s">
        <v>22</v>
      </c>
      <c r="C5027">
        <v>2030</v>
      </c>
      <c r="D5027" t="s">
        <v>6</v>
      </c>
      <c r="E5027">
        <v>8041.7</v>
      </c>
      <c r="F5027" t="s">
        <v>7</v>
      </c>
    </row>
    <row r="5028" spans="1:6">
      <c r="A5028" t="s">
        <v>55</v>
      </c>
      <c r="B5028" t="s">
        <v>22</v>
      </c>
      <c r="C5028">
        <v>2030</v>
      </c>
      <c r="D5028" t="s">
        <v>10</v>
      </c>
      <c r="E5028">
        <v>113.3</v>
      </c>
      <c r="F5028" t="s">
        <v>11</v>
      </c>
    </row>
    <row r="5029" spans="1:6">
      <c r="A5029" t="s">
        <v>55</v>
      </c>
      <c r="B5029" t="s">
        <v>22</v>
      </c>
      <c r="C5029">
        <v>2030</v>
      </c>
      <c r="D5029" t="s">
        <v>164</v>
      </c>
      <c r="E5029">
        <v>0.72199999999999998</v>
      </c>
      <c r="F5029" t="s">
        <v>166</v>
      </c>
    </row>
    <row r="5030" spans="1:6">
      <c r="A5030" t="s">
        <v>55</v>
      </c>
      <c r="B5030" t="s">
        <v>23</v>
      </c>
      <c r="C5030">
        <v>2030</v>
      </c>
      <c r="D5030" t="s">
        <v>6</v>
      </c>
      <c r="E5030">
        <v>7639.6</v>
      </c>
      <c r="F5030" t="s">
        <v>7</v>
      </c>
    </row>
    <row r="5031" spans="1:6">
      <c r="A5031" t="s">
        <v>55</v>
      </c>
      <c r="B5031" t="s">
        <v>23</v>
      </c>
      <c r="C5031">
        <v>2030</v>
      </c>
      <c r="D5031" t="s">
        <v>10</v>
      </c>
      <c r="E5031">
        <v>107.7</v>
      </c>
      <c r="F5031" t="s">
        <v>11</v>
      </c>
    </row>
    <row r="5032" spans="1:6">
      <c r="A5032" t="s">
        <v>55</v>
      </c>
      <c r="B5032" t="s">
        <v>23</v>
      </c>
      <c r="C5032">
        <v>2030</v>
      </c>
      <c r="D5032" t="s">
        <v>164</v>
      </c>
      <c r="E5032">
        <v>0.72199999999999998</v>
      </c>
      <c r="F5032" t="s">
        <v>166</v>
      </c>
    </row>
    <row r="5033" spans="1:6">
      <c r="A5033" t="s">
        <v>55</v>
      </c>
      <c r="B5033" t="s">
        <v>24</v>
      </c>
      <c r="C5033">
        <v>2030</v>
      </c>
      <c r="D5033" t="s">
        <v>6</v>
      </c>
      <c r="E5033">
        <v>5629.2</v>
      </c>
      <c r="F5033" t="s">
        <v>7</v>
      </c>
    </row>
    <row r="5034" spans="1:6">
      <c r="A5034" t="s">
        <v>55</v>
      </c>
      <c r="B5034" t="s">
        <v>24</v>
      </c>
      <c r="C5034">
        <v>2030</v>
      </c>
      <c r="D5034" t="s">
        <v>10</v>
      </c>
      <c r="E5034">
        <v>79.3</v>
      </c>
      <c r="F5034" t="s">
        <v>11</v>
      </c>
    </row>
    <row r="5035" spans="1:6">
      <c r="A5035" t="s">
        <v>55</v>
      </c>
      <c r="B5035" t="s">
        <v>24</v>
      </c>
      <c r="C5035">
        <v>2030</v>
      </c>
      <c r="D5035" t="s">
        <v>164</v>
      </c>
      <c r="E5035">
        <v>0.72199999999999998</v>
      </c>
      <c r="F5035" t="s">
        <v>166</v>
      </c>
    </row>
    <row r="5036" spans="1:6">
      <c r="A5036" t="s">
        <v>55</v>
      </c>
      <c r="B5036" t="s">
        <v>25</v>
      </c>
      <c r="C5036">
        <v>2030</v>
      </c>
      <c r="D5036" t="s">
        <v>6</v>
      </c>
      <c r="E5036">
        <v>5629.2</v>
      </c>
      <c r="F5036" t="s">
        <v>7</v>
      </c>
    </row>
    <row r="5037" spans="1:6">
      <c r="A5037" t="s">
        <v>55</v>
      </c>
      <c r="B5037" t="s">
        <v>25</v>
      </c>
      <c r="C5037">
        <v>2030</v>
      </c>
      <c r="D5037" t="s">
        <v>10</v>
      </c>
      <c r="E5037">
        <v>79.3</v>
      </c>
      <c r="F5037" t="s">
        <v>11</v>
      </c>
    </row>
    <row r="5038" spans="1:6">
      <c r="A5038" t="s">
        <v>55</v>
      </c>
      <c r="B5038" t="s">
        <v>25</v>
      </c>
      <c r="C5038">
        <v>2030</v>
      </c>
      <c r="D5038" t="s">
        <v>164</v>
      </c>
      <c r="E5038">
        <v>0.72199999999999998</v>
      </c>
      <c r="F5038" t="s">
        <v>166</v>
      </c>
    </row>
    <row r="5039" spans="1:6">
      <c r="A5039" t="s">
        <v>55</v>
      </c>
      <c r="B5039" t="s">
        <v>26</v>
      </c>
      <c r="C5039">
        <v>2030</v>
      </c>
      <c r="D5039" t="s">
        <v>6</v>
      </c>
      <c r="E5039">
        <v>7036.5</v>
      </c>
      <c r="F5039" t="s">
        <v>7</v>
      </c>
    </row>
    <row r="5040" spans="1:6">
      <c r="A5040" t="s">
        <v>55</v>
      </c>
      <c r="B5040" t="s">
        <v>26</v>
      </c>
      <c r="C5040">
        <v>2030</v>
      </c>
      <c r="D5040" t="s">
        <v>10</v>
      </c>
      <c r="E5040">
        <v>99.2</v>
      </c>
      <c r="F5040" t="s">
        <v>11</v>
      </c>
    </row>
    <row r="5041" spans="1:6">
      <c r="A5041" t="s">
        <v>55</v>
      </c>
      <c r="B5041" t="s">
        <v>26</v>
      </c>
      <c r="C5041">
        <v>2030</v>
      </c>
      <c r="D5041" t="s">
        <v>164</v>
      </c>
      <c r="E5041">
        <v>0.72199999999999998</v>
      </c>
      <c r="F5041" t="s">
        <v>166</v>
      </c>
    </row>
    <row r="5042" spans="1:6">
      <c r="A5042" t="s">
        <v>55</v>
      </c>
      <c r="B5042" t="s">
        <v>27</v>
      </c>
      <c r="C5042">
        <v>2030</v>
      </c>
      <c r="D5042" t="s">
        <v>6</v>
      </c>
      <c r="E5042">
        <v>8041.7</v>
      </c>
      <c r="F5042" t="s">
        <v>7</v>
      </c>
    </row>
    <row r="5043" spans="1:6">
      <c r="A5043" t="s">
        <v>55</v>
      </c>
      <c r="B5043" t="s">
        <v>27</v>
      </c>
      <c r="C5043">
        <v>2030</v>
      </c>
      <c r="D5043" t="s">
        <v>10</v>
      </c>
      <c r="E5043">
        <v>113.3</v>
      </c>
      <c r="F5043" t="s">
        <v>11</v>
      </c>
    </row>
    <row r="5044" spans="1:6">
      <c r="A5044" t="s">
        <v>55</v>
      </c>
      <c r="B5044" t="s">
        <v>27</v>
      </c>
      <c r="C5044">
        <v>2030</v>
      </c>
      <c r="D5044" t="s">
        <v>164</v>
      </c>
      <c r="E5044">
        <v>0.72199999999999998</v>
      </c>
      <c r="F5044" t="s">
        <v>166</v>
      </c>
    </row>
    <row r="5045" spans="1:6">
      <c r="A5045" t="s">
        <v>55</v>
      </c>
      <c r="B5045" t="s">
        <v>28</v>
      </c>
      <c r="C5045">
        <v>2030</v>
      </c>
      <c r="D5045" t="s">
        <v>6</v>
      </c>
      <c r="E5045">
        <v>8041.7</v>
      </c>
      <c r="F5045" t="s">
        <v>7</v>
      </c>
    </row>
    <row r="5046" spans="1:6">
      <c r="A5046" t="s">
        <v>55</v>
      </c>
      <c r="B5046" t="s">
        <v>28</v>
      </c>
      <c r="C5046">
        <v>2030</v>
      </c>
      <c r="D5046" t="s">
        <v>10</v>
      </c>
      <c r="E5046">
        <v>113.3</v>
      </c>
      <c r="F5046" t="s">
        <v>11</v>
      </c>
    </row>
    <row r="5047" spans="1:6">
      <c r="A5047" t="s">
        <v>55</v>
      </c>
      <c r="B5047" t="s">
        <v>28</v>
      </c>
      <c r="C5047">
        <v>2030</v>
      </c>
      <c r="D5047" t="s">
        <v>164</v>
      </c>
      <c r="E5047">
        <v>0.72199999999999998</v>
      </c>
      <c r="F5047" t="s">
        <v>166</v>
      </c>
    </row>
    <row r="5048" spans="1:6">
      <c r="A5048" t="s">
        <v>55</v>
      </c>
      <c r="B5048" t="s">
        <v>20</v>
      </c>
      <c r="C5048">
        <v>2030</v>
      </c>
      <c r="D5048" t="s">
        <v>8</v>
      </c>
      <c r="E5048">
        <v>13473.7</v>
      </c>
      <c r="F5048" t="s">
        <v>7</v>
      </c>
    </row>
    <row r="5049" spans="1:6">
      <c r="A5049" t="s">
        <v>55</v>
      </c>
      <c r="B5049" t="s">
        <v>20</v>
      </c>
      <c r="C5049">
        <v>2030</v>
      </c>
      <c r="D5049" t="s">
        <v>10</v>
      </c>
      <c r="E5049">
        <v>229.5</v>
      </c>
      <c r="F5049" t="s">
        <v>11</v>
      </c>
    </row>
    <row r="5050" spans="1:6">
      <c r="A5050" t="s">
        <v>55</v>
      </c>
      <c r="B5050" t="s">
        <v>21</v>
      </c>
      <c r="C5050">
        <v>2030</v>
      </c>
      <c r="D5050" t="s">
        <v>8</v>
      </c>
      <c r="E5050">
        <v>12681.1</v>
      </c>
      <c r="F5050" t="s">
        <v>7</v>
      </c>
    </row>
    <row r="5051" spans="1:6">
      <c r="A5051" t="s">
        <v>55</v>
      </c>
      <c r="B5051" t="s">
        <v>21</v>
      </c>
      <c r="C5051">
        <v>2030</v>
      </c>
      <c r="D5051" t="s">
        <v>10</v>
      </c>
      <c r="E5051">
        <v>216</v>
      </c>
      <c r="F5051" t="s">
        <v>11</v>
      </c>
    </row>
    <row r="5052" spans="1:6">
      <c r="A5052" t="s">
        <v>55</v>
      </c>
      <c r="B5052" t="s">
        <v>22</v>
      </c>
      <c r="C5052">
        <v>2030</v>
      </c>
      <c r="D5052" t="s">
        <v>8</v>
      </c>
      <c r="E5052">
        <v>10567.6</v>
      </c>
      <c r="F5052" t="s">
        <v>7</v>
      </c>
    </row>
    <row r="5053" spans="1:6">
      <c r="A5053" t="s">
        <v>55</v>
      </c>
      <c r="B5053" t="s">
        <v>22</v>
      </c>
      <c r="C5053">
        <v>2030</v>
      </c>
      <c r="D5053" t="s">
        <v>10</v>
      </c>
      <c r="E5053">
        <v>180</v>
      </c>
      <c r="F5053" t="s">
        <v>11</v>
      </c>
    </row>
    <row r="5054" spans="1:6">
      <c r="A5054" t="s">
        <v>55</v>
      </c>
      <c r="B5054" t="s">
        <v>23</v>
      </c>
      <c r="C5054">
        <v>2030</v>
      </c>
      <c r="D5054" t="s">
        <v>8</v>
      </c>
      <c r="E5054">
        <v>10039.200000000001</v>
      </c>
      <c r="F5054" t="s">
        <v>7</v>
      </c>
    </row>
    <row r="5055" spans="1:6">
      <c r="A5055" t="s">
        <v>55</v>
      </c>
      <c r="B5055" t="s">
        <v>23</v>
      </c>
      <c r="C5055">
        <v>2030</v>
      </c>
      <c r="D5055" t="s">
        <v>10</v>
      </c>
      <c r="E5055">
        <v>171</v>
      </c>
      <c r="F5055" t="s">
        <v>11</v>
      </c>
    </row>
    <row r="5056" spans="1:6">
      <c r="A5056" t="s">
        <v>55</v>
      </c>
      <c r="B5056" t="s">
        <v>24</v>
      </c>
      <c r="C5056">
        <v>2030</v>
      </c>
      <c r="D5056" t="s">
        <v>8</v>
      </c>
      <c r="E5056">
        <v>7397.3</v>
      </c>
      <c r="F5056" t="s">
        <v>7</v>
      </c>
    </row>
    <row r="5057" spans="1:6">
      <c r="A5057" t="s">
        <v>55</v>
      </c>
      <c r="B5057" t="s">
        <v>24</v>
      </c>
      <c r="C5057">
        <v>2030</v>
      </c>
      <c r="D5057" t="s">
        <v>10</v>
      </c>
      <c r="E5057">
        <v>126</v>
      </c>
      <c r="F5057" t="s">
        <v>11</v>
      </c>
    </row>
    <row r="5058" spans="1:6">
      <c r="A5058" t="s">
        <v>55</v>
      </c>
      <c r="B5058" t="s">
        <v>25</v>
      </c>
      <c r="C5058">
        <v>2030</v>
      </c>
      <c r="D5058" t="s">
        <v>8</v>
      </c>
      <c r="E5058">
        <v>7397.3</v>
      </c>
      <c r="F5058" t="s">
        <v>7</v>
      </c>
    </row>
    <row r="5059" spans="1:6">
      <c r="A5059" t="s">
        <v>55</v>
      </c>
      <c r="B5059" t="s">
        <v>25</v>
      </c>
      <c r="C5059">
        <v>2030</v>
      </c>
      <c r="D5059" t="s">
        <v>10</v>
      </c>
      <c r="E5059">
        <v>126</v>
      </c>
      <c r="F5059" t="s">
        <v>11</v>
      </c>
    </row>
    <row r="5060" spans="1:6">
      <c r="A5060" t="s">
        <v>55</v>
      </c>
      <c r="B5060" t="s">
        <v>26</v>
      </c>
      <c r="C5060">
        <v>2030</v>
      </c>
      <c r="D5060" t="s">
        <v>8</v>
      </c>
      <c r="E5060">
        <v>9246.6</v>
      </c>
      <c r="F5060" t="s">
        <v>7</v>
      </c>
    </row>
    <row r="5061" spans="1:6">
      <c r="A5061" t="s">
        <v>55</v>
      </c>
      <c r="B5061" t="s">
        <v>26</v>
      </c>
      <c r="C5061">
        <v>2030</v>
      </c>
      <c r="D5061" t="s">
        <v>10</v>
      </c>
      <c r="E5061">
        <v>157.5</v>
      </c>
      <c r="F5061" t="s">
        <v>11</v>
      </c>
    </row>
    <row r="5062" spans="1:6">
      <c r="A5062" t="s">
        <v>55</v>
      </c>
      <c r="B5062" t="s">
        <v>27</v>
      </c>
      <c r="C5062">
        <v>2030</v>
      </c>
      <c r="D5062" t="s">
        <v>8</v>
      </c>
      <c r="E5062">
        <v>10567.6</v>
      </c>
      <c r="F5062" t="s">
        <v>7</v>
      </c>
    </row>
    <row r="5063" spans="1:6">
      <c r="A5063" t="s">
        <v>55</v>
      </c>
      <c r="B5063" t="s">
        <v>27</v>
      </c>
      <c r="C5063">
        <v>2030</v>
      </c>
      <c r="D5063" t="s">
        <v>10</v>
      </c>
      <c r="E5063">
        <v>180</v>
      </c>
      <c r="F5063" t="s">
        <v>11</v>
      </c>
    </row>
    <row r="5064" spans="1:6">
      <c r="A5064" t="s">
        <v>55</v>
      </c>
      <c r="B5064" t="s">
        <v>28</v>
      </c>
      <c r="C5064">
        <v>2030</v>
      </c>
      <c r="D5064" t="s">
        <v>8</v>
      </c>
      <c r="E5064">
        <v>10567.6</v>
      </c>
      <c r="F5064" t="s">
        <v>7</v>
      </c>
    </row>
    <row r="5065" spans="1:6">
      <c r="A5065" t="s">
        <v>55</v>
      </c>
      <c r="B5065" t="s">
        <v>28</v>
      </c>
      <c r="C5065">
        <v>2030</v>
      </c>
      <c r="D5065" t="s">
        <v>10</v>
      </c>
      <c r="E5065">
        <v>180</v>
      </c>
      <c r="F5065" t="s">
        <v>11</v>
      </c>
    </row>
    <row r="5066" spans="1:6">
      <c r="A5066" t="s">
        <v>55</v>
      </c>
      <c r="B5066" t="s">
        <v>20</v>
      </c>
      <c r="C5066">
        <v>2030</v>
      </c>
      <c r="D5066" t="s">
        <v>9</v>
      </c>
      <c r="E5066">
        <v>6817.7</v>
      </c>
      <c r="F5066" t="s">
        <v>7</v>
      </c>
    </row>
    <row r="5067" spans="1:6">
      <c r="A5067" t="s">
        <v>55</v>
      </c>
      <c r="B5067" t="s">
        <v>20</v>
      </c>
      <c r="C5067">
        <v>2030</v>
      </c>
      <c r="D5067" t="s">
        <v>10</v>
      </c>
      <c r="E5067">
        <v>125.4</v>
      </c>
      <c r="F5067" t="s">
        <v>11</v>
      </c>
    </row>
    <row r="5068" spans="1:6">
      <c r="A5068" t="s">
        <v>55</v>
      </c>
      <c r="B5068" t="s">
        <v>21</v>
      </c>
      <c r="C5068">
        <v>2030</v>
      </c>
      <c r="D5068" t="s">
        <v>9</v>
      </c>
      <c r="E5068">
        <v>6416.7</v>
      </c>
      <c r="F5068" t="s">
        <v>7</v>
      </c>
    </row>
    <row r="5069" spans="1:6">
      <c r="A5069" t="s">
        <v>55</v>
      </c>
      <c r="B5069" t="s">
        <v>21</v>
      </c>
      <c r="C5069">
        <v>2030</v>
      </c>
      <c r="D5069" t="s">
        <v>10</v>
      </c>
      <c r="E5069">
        <v>118</v>
      </c>
      <c r="F5069" t="s">
        <v>11</v>
      </c>
    </row>
    <row r="5070" spans="1:6">
      <c r="A5070" t="s">
        <v>55</v>
      </c>
      <c r="B5070" t="s">
        <v>22</v>
      </c>
      <c r="C5070">
        <v>2030</v>
      </c>
      <c r="D5070" t="s">
        <v>9</v>
      </c>
      <c r="E5070">
        <v>5347.2</v>
      </c>
      <c r="F5070" t="s">
        <v>7</v>
      </c>
    </row>
    <row r="5071" spans="1:6">
      <c r="A5071" t="s">
        <v>55</v>
      </c>
      <c r="B5071" t="s">
        <v>22</v>
      </c>
      <c r="C5071">
        <v>2030</v>
      </c>
      <c r="D5071" t="s">
        <v>10</v>
      </c>
      <c r="E5071">
        <v>98.3</v>
      </c>
      <c r="F5071" t="s">
        <v>11</v>
      </c>
    </row>
    <row r="5072" spans="1:6">
      <c r="A5072" t="s">
        <v>55</v>
      </c>
      <c r="B5072" t="s">
        <v>23</v>
      </c>
      <c r="C5072">
        <v>2030</v>
      </c>
      <c r="D5072" t="s">
        <v>9</v>
      </c>
      <c r="E5072">
        <v>5079.8999999999996</v>
      </c>
      <c r="F5072" t="s">
        <v>7</v>
      </c>
    </row>
    <row r="5073" spans="1:6">
      <c r="A5073" t="s">
        <v>55</v>
      </c>
      <c r="B5073" t="s">
        <v>23</v>
      </c>
      <c r="C5073">
        <v>2030</v>
      </c>
      <c r="D5073" t="s">
        <v>10</v>
      </c>
      <c r="E5073">
        <v>93.4</v>
      </c>
      <c r="F5073" t="s">
        <v>11</v>
      </c>
    </row>
    <row r="5074" spans="1:6">
      <c r="A5074" t="s">
        <v>55</v>
      </c>
      <c r="B5074" t="s">
        <v>24</v>
      </c>
      <c r="C5074">
        <v>2030</v>
      </c>
      <c r="D5074" t="s">
        <v>9</v>
      </c>
      <c r="E5074">
        <v>3743.1</v>
      </c>
      <c r="F5074" t="s">
        <v>7</v>
      </c>
    </row>
    <row r="5075" spans="1:6">
      <c r="A5075" t="s">
        <v>55</v>
      </c>
      <c r="B5075" t="s">
        <v>24</v>
      </c>
      <c r="C5075">
        <v>2030</v>
      </c>
      <c r="D5075" t="s">
        <v>10</v>
      </c>
      <c r="E5075">
        <v>68.8</v>
      </c>
      <c r="F5075" t="s">
        <v>11</v>
      </c>
    </row>
    <row r="5076" spans="1:6">
      <c r="A5076" t="s">
        <v>55</v>
      </c>
      <c r="B5076" t="s">
        <v>25</v>
      </c>
      <c r="C5076">
        <v>2030</v>
      </c>
      <c r="D5076" t="s">
        <v>9</v>
      </c>
      <c r="E5076">
        <v>3743.1</v>
      </c>
      <c r="F5076" t="s">
        <v>7</v>
      </c>
    </row>
    <row r="5077" spans="1:6">
      <c r="A5077" t="s">
        <v>55</v>
      </c>
      <c r="B5077" t="s">
        <v>25</v>
      </c>
      <c r="C5077">
        <v>2030</v>
      </c>
      <c r="D5077" t="s">
        <v>10</v>
      </c>
      <c r="E5077">
        <v>68.8</v>
      </c>
      <c r="F5077" t="s">
        <v>11</v>
      </c>
    </row>
    <row r="5078" spans="1:6">
      <c r="A5078" t="s">
        <v>55</v>
      </c>
      <c r="B5078" t="s">
        <v>26</v>
      </c>
      <c r="C5078">
        <v>2030</v>
      </c>
      <c r="D5078" t="s">
        <v>9</v>
      </c>
      <c r="E5078">
        <v>4678.8</v>
      </c>
      <c r="F5078" t="s">
        <v>7</v>
      </c>
    </row>
    <row r="5079" spans="1:6">
      <c r="A5079" t="s">
        <v>55</v>
      </c>
      <c r="B5079" t="s">
        <v>26</v>
      </c>
      <c r="C5079">
        <v>2030</v>
      </c>
      <c r="D5079" t="s">
        <v>10</v>
      </c>
      <c r="E5079">
        <v>86</v>
      </c>
      <c r="F5079" t="s">
        <v>11</v>
      </c>
    </row>
    <row r="5080" spans="1:6">
      <c r="A5080" t="s">
        <v>55</v>
      </c>
      <c r="B5080" t="s">
        <v>27</v>
      </c>
      <c r="C5080">
        <v>2030</v>
      </c>
      <c r="D5080" t="s">
        <v>9</v>
      </c>
      <c r="E5080">
        <v>5347.2</v>
      </c>
      <c r="F5080" t="s">
        <v>7</v>
      </c>
    </row>
    <row r="5081" spans="1:6">
      <c r="A5081" t="s">
        <v>55</v>
      </c>
      <c r="B5081" t="s">
        <v>27</v>
      </c>
      <c r="C5081">
        <v>2030</v>
      </c>
      <c r="D5081" t="s">
        <v>10</v>
      </c>
      <c r="E5081">
        <v>98.3</v>
      </c>
      <c r="F5081" t="s">
        <v>11</v>
      </c>
    </row>
    <row r="5082" spans="1:6">
      <c r="A5082" t="s">
        <v>55</v>
      </c>
      <c r="B5082" t="s">
        <v>28</v>
      </c>
      <c r="C5082">
        <v>2030</v>
      </c>
      <c r="D5082" t="s">
        <v>9</v>
      </c>
      <c r="E5082">
        <v>5347.2</v>
      </c>
      <c r="F5082" t="s">
        <v>7</v>
      </c>
    </row>
    <row r="5083" spans="1:6">
      <c r="A5083" t="s">
        <v>55</v>
      </c>
      <c r="B5083" t="s">
        <v>28</v>
      </c>
      <c r="C5083">
        <v>2030</v>
      </c>
      <c r="D5083" t="s">
        <v>10</v>
      </c>
      <c r="E5083">
        <v>98.3</v>
      </c>
      <c r="F5083" t="s">
        <v>11</v>
      </c>
    </row>
    <row r="5084" spans="1:6">
      <c r="A5084" t="s">
        <v>55</v>
      </c>
      <c r="B5084" t="s">
        <v>20</v>
      </c>
      <c r="C5084">
        <v>2035</v>
      </c>
      <c r="D5084" t="s">
        <v>6</v>
      </c>
      <c r="E5084">
        <v>7863</v>
      </c>
      <c r="F5084" t="s">
        <v>7</v>
      </c>
    </row>
    <row r="5085" spans="1:6">
      <c r="A5085" t="s">
        <v>55</v>
      </c>
      <c r="B5085" t="s">
        <v>20</v>
      </c>
      <c r="C5085">
        <v>2035</v>
      </c>
      <c r="D5085" t="s">
        <v>10</v>
      </c>
      <c r="E5085">
        <v>136</v>
      </c>
      <c r="F5085" t="s">
        <v>11</v>
      </c>
    </row>
    <row r="5086" spans="1:6">
      <c r="A5086" t="s">
        <v>55</v>
      </c>
      <c r="B5086" t="s">
        <v>20</v>
      </c>
      <c r="C5086">
        <v>2035</v>
      </c>
      <c r="D5086" t="s">
        <v>164</v>
      </c>
      <c r="E5086">
        <v>0.72199999999999998</v>
      </c>
      <c r="F5086" t="s">
        <v>166</v>
      </c>
    </row>
    <row r="5087" spans="1:6">
      <c r="A5087" t="s">
        <v>55</v>
      </c>
      <c r="B5087" t="s">
        <v>21</v>
      </c>
      <c r="C5087">
        <v>2035</v>
      </c>
      <c r="D5087" t="s">
        <v>6</v>
      </c>
      <c r="E5087">
        <v>7863</v>
      </c>
      <c r="F5087" t="s">
        <v>7</v>
      </c>
    </row>
    <row r="5088" spans="1:6">
      <c r="A5088" t="s">
        <v>55</v>
      </c>
      <c r="B5088" t="s">
        <v>21</v>
      </c>
      <c r="C5088">
        <v>2035</v>
      </c>
      <c r="D5088" t="s">
        <v>10</v>
      </c>
      <c r="E5088">
        <v>136</v>
      </c>
      <c r="F5088" t="s">
        <v>11</v>
      </c>
    </row>
    <row r="5089" spans="1:6">
      <c r="A5089" t="s">
        <v>55</v>
      </c>
      <c r="B5089" t="s">
        <v>21</v>
      </c>
      <c r="C5089">
        <v>2035</v>
      </c>
      <c r="D5089" t="s">
        <v>164</v>
      </c>
      <c r="E5089">
        <v>0.72199999999999998</v>
      </c>
      <c r="F5089" t="s">
        <v>166</v>
      </c>
    </row>
    <row r="5090" spans="1:6">
      <c r="A5090" t="s">
        <v>55</v>
      </c>
      <c r="B5090" t="s">
        <v>22</v>
      </c>
      <c r="C5090">
        <v>2035</v>
      </c>
      <c r="D5090" t="s">
        <v>6</v>
      </c>
      <c r="E5090">
        <v>6989.3</v>
      </c>
      <c r="F5090" t="s">
        <v>7</v>
      </c>
    </row>
    <row r="5091" spans="1:6">
      <c r="A5091" t="s">
        <v>55</v>
      </c>
      <c r="B5091" t="s">
        <v>22</v>
      </c>
      <c r="C5091">
        <v>2035</v>
      </c>
      <c r="D5091" t="s">
        <v>10</v>
      </c>
      <c r="E5091">
        <v>120.9</v>
      </c>
      <c r="F5091" t="s">
        <v>11</v>
      </c>
    </row>
    <row r="5092" spans="1:6">
      <c r="A5092" t="s">
        <v>55</v>
      </c>
      <c r="B5092" t="s">
        <v>22</v>
      </c>
      <c r="C5092">
        <v>2035</v>
      </c>
      <c r="D5092" t="s">
        <v>164</v>
      </c>
      <c r="E5092">
        <v>0.72199999999999998</v>
      </c>
      <c r="F5092" t="s">
        <v>166</v>
      </c>
    </row>
    <row r="5093" spans="1:6">
      <c r="A5093" t="s">
        <v>55</v>
      </c>
      <c r="B5093" t="s">
        <v>23</v>
      </c>
      <c r="C5093">
        <v>2035</v>
      </c>
      <c r="D5093" t="s">
        <v>6</v>
      </c>
      <c r="E5093">
        <v>6639.9</v>
      </c>
      <c r="F5093" t="s">
        <v>7</v>
      </c>
    </row>
    <row r="5094" spans="1:6">
      <c r="A5094" t="s">
        <v>55</v>
      </c>
      <c r="B5094" t="s">
        <v>23</v>
      </c>
      <c r="C5094">
        <v>2035</v>
      </c>
      <c r="D5094" t="s">
        <v>10</v>
      </c>
      <c r="E5094">
        <v>114.8</v>
      </c>
      <c r="F5094" t="s">
        <v>11</v>
      </c>
    </row>
    <row r="5095" spans="1:6">
      <c r="A5095" t="s">
        <v>55</v>
      </c>
      <c r="B5095" t="s">
        <v>23</v>
      </c>
      <c r="C5095">
        <v>2035</v>
      </c>
      <c r="D5095" t="s">
        <v>164</v>
      </c>
      <c r="E5095">
        <v>0.72199999999999998</v>
      </c>
      <c r="F5095" t="s">
        <v>166</v>
      </c>
    </row>
    <row r="5096" spans="1:6">
      <c r="A5096" t="s">
        <v>55</v>
      </c>
      <c r="B5096" t="s">
        <v>24</v>
      </c>
      <c r="C5096">
        <v>2035</v>
      </c>
      <c r="D5096" t="s">
        <v>6</v>
      </c>
      <c r="E5096">
        <v>4368.3</v>
      </c>
      <c r="F5096" t="s">
        <v>7</v>
      </c>
    </row>
    <row r="5097" spans="1:6">
      <c r="A5097" t="s">
        <v>55</v>
      </c>
      <c r="B5097" t="s">
        <v>24</v>
      </c>
      <c r="C5097">
        <v>2035</v>
      </c>
      <c r="D5097" t="s">
        <v>10</v>
      </c>
      <c r="E5097">
        <v>75.599999999999994</v>
      </c>
      <c r="F5097" t="s">
        <v>11</v>
      </c>
    </row>
    <row r="5098" spans="1:6">
      <c r="A5098" t="s">
        <v>55</v>
      </c>
      <c r="B5098" t="s">
        <v>24</v>
      </c>
      <c r="C5098">
        <v>2035</v>
      </c>
      <c r="D5098" t="s">
        <v>164</v>
      </c>
      <c r="E5098">
        <v>0.72199999999999998</v>
      </c>
      <c r="F5098" t="s">
        <v>166</v>
      </c>
    </row>
    <row r="5099" spans="1:6">
      <c r="A5099" t="s">
        <v>55</v>
      </c>
      <c r="B5099" t="s">
        <v>25</v>
      </c>
      <c r="C5099">
        <v>2035</v>
      </c>
      <c r="D5099" t="s">
        <v>6</v>
      </c>
      <c r="E5099">
        <v>4892.5</v>
      </c>
      <c r="F5099" t="s">
        <v>7</v>
      </c>
    </row>
    <row r="5100" spans="1:6">
      <c r="A5100" t="s">
        <v>55</v>
      </c>
      <c r="B5100" t="s">
        <v>25</v>
      </c>
      <c r="C5100">
        <v>2035</v>
      </c>
      <c r="D5100" t="s">
        <v>10</v>
      </c>
      <c r="E5100">
        <v>84.6</v>
      </c>
      <c r="F5100" t="s">
        <v>11</v>
      </c>
    </row>
    <row r="5101" spans="1:6">
      <c r="A5101" t="s">
        <v>55</v>
      </c>
      <c r="B5101" t="s">
        <v>25</v>
      </c>
      <c r="C5101">
        <v>2035</v>
      </c>
      <c r="D5101" t="s">
        <v>164</v>
      </c>
      <c r="E5101">
        <v>0.72199999999999998</v>
      </c>
      <c r="F5101" t="s">
        <v>166</v>
      </c>
    </row>
    <row r="5102" spans="1:6">
      <c r="A5102" t="s">
        <v>55</v>
      </c>
      <c r="B5102" t="s">
        <v>26</v>
      </c>
      <c r="C5102">
        <v>2035</v>
      </c>
      <c r="D5102" t="s">
        <v>6</v>
      </c>
      <c r="E5102">
        <v>6115.7</v>
      </c>
      <c r="F5102" t="s">
        <v>7</v>
      </c>
    </row>
    <row r="5103" spans="1:6">
      <c r="A5103" t="s">
        <v>55</v>
      </c>
      <c r="B5103" t="s">
        <v>26</v>
      </c>
      <c r="C5103">
        <v>2035</v>
      </c>
      <c r="D5103" t="s">
        <v>10</v>
      </c>
      <c r="E5103">
        <v>105.8</v>
      </c>
      <c r="F5103" t="s">
        <v>11</v>
      </c>
    </row>
    <row r="5104" spans="1:6">
      <c r="A5104" t="s">
        <v>55</v>
      </c>
      <c r="B5104" t="s">
        <v>26</v>
      </c>
      <c r="C5104">
        <v>2035</v>
      </c>
      <c r="D5104" t="s">
        <v>164</v>
      </c>
      <c r="E5104">
        <v>0.72199999999999998</v>
      </c>
      <c r="F5104" t="s">
        <v>166</v>
      </c>
    </row>
    <row r="5105" spans="1:6">
      <c r="A5105" t="s">
        <v>55</v>
      </c>
      <c r="B5105" t="s">
        <v>27</v>
      </c>
      <c r="C5105">
        <v>2035</v>
      </c>
      <c r="D5105" t="s">
        <v>6</v>
      </c>
      <c r="E5105">
        <v>6989.3</v>
      </c>
      <c r="F5105" t="s">
        <v>7</v>
      </c>
    </row>
    <row r="5106" spans="1:6">
      <c r="A5106" t="s">
        <v>55</v>
      </c>
      <c r="B5106" t="s">
        <v>27</v>
      </c>
      <c r="C5106">
        <v>2035</v>
      </c>
      <c r="D5106" t="s">
        <v>10</v>
      </c>
      <c r="E5106">
        <v>120.9</v>
      </c>
      <c r="F5106" t="s">
        <v>11</v>
      </c>
    </row>
    <row r="5107" spans="1:6">
      <c r="A5107" t="s">
        <v>55</v>
      </c>
      <c r="B5107" t="s">
        <v>27</v>
      </c>
      <c r="C5107">
        <v>2035</v>
      </c>
      <c r="D5107" t="s">
        <v>164</v>
      </c>
      <c r="E5107">
        <v>0.72199999999999998</v>
      </c>
      <c r="F5107" t="s">
        <v>166</v>
      </c>
    </row>
    <row r="5108" spans="1:6">
      <c r="A5108" t="s">
        <v>55</v>
      </c>
      <c r="B5108" t="s">
        <v>28</v>
      </c>
      <c r="C5108">
        <v>2035</v>
      </c>
      <c r="D5108" t="s">
        <v>6</v>
      </c>
      <c r="E5108">
        <v>6989.3</v>
      </c>
      <c r="F5108" t="s">
        <v>7</v>
      </c>
    </row>
    <row r="5109" spans="1:6">
      <c r="A5109" t="s">
        <v>55</v>
      </c>
      <c r="B5109" t="s">
        <v>28</v>
      </c>
      <c r="C5109">
        <v>2035</v>
      </c>
      <c r="D5109" t="s">
        <v>10</v>
      </c>
      <c r="E5109">
        <v>120.9</v>
      </c>
      <c r="F5109" t="s">
        <v>11</v>
      </c>
    </row>
    <row r="5110" spans="1:6">
      <c r="A5110" t="s">
        <v>55</v>
      </c>
      <c r="B5110" t="s">
        <v>28</v>
      </c>
      <c r="C5110">
        <v>2035</v>
      </c>
      <c r="D5110" t="s">
        <v>164</v>
      </c>
      <c r="E5110">
        <v>0.72199999999999998</v>
      </c>
      <c r="F5110" t="s">
        <v>166</v>
      </c>
    </row>
    <row r="5111" spans="1:6">
      <c r="A5111" t="s">
        <v>55</v>
      </c>
      <c r="B5111" t="s">
        <v>20</v>
      </c>
      <c r="C5111">
        <v>2035</v>
      </c>
      <c r="D5111" t="s">
        <v>8</v>
      </c>
      <c r="E5111">
        <v>12053.3</v>
      </c>
      <c r="F5111" t="s">
        <v>7</v>
      </c>
    </row>
    <row r="5112" spans="1:6">
      <c r="A5112" t="s">
        <v>55</v>
      </c>
      <c r="B5112" t="s">
        <v>20</v>
      </c>
      <c r="C5112">
        <v>2035</v>
      </c>
      <c r="D5112" t="s">
        <v>10</v>
      </c>
      <c r="E5112">
        <v>216</v>
      </c>
      <c r="F5112" t="s">
        <v>11</v>
      </c>
    </row>
    <row r="5113" spans="1:6">
      <c r="A5113" t="s">
        <v>55</v>
      </c>
      <c r="B5113" t="s">
        <v>21</v>
      </c>
      <c r="C5113">
        <v>2035</v>
      </c>
      <c r="D5113" t="s">
        <v>8</v>
      </c>
      <c r="E5113">
        <v>12053.3</v>
      </c>
      <c r="F5113" t="s">
        <v>7</v>
      </c>
    </row>
    <row r="5114" spans="1:6">
      <c r="A5114" t="s">
        <v>55</v>
      </c>
      <c r="B5114" t="s">
        <v>21</v>
      </c>
      <c r="C5114">
        <v>2035</v>
      </c>
      <c r="D5114" t="s">
        <v>10</v>
      </c>
      <c r="E5114">
        <v>216</v>
      </c>
      <c r="F5114" t="s">
        <v>11</v>
      </c>
    </row>
    <row r="5115" spans="1:6">
      <c r="A5115" t="s">
        <v>55</v>
      </c>
      <c r="B5115" t="s">
        <v>22</v>
      </c>
      <c r="C5115">
        <v>2035</v>
      </c>
      <c r="D5115" t="s">
        <v>8</v>
      </c>
      <c r="E5115">
        <v>10714</v>
      </c>
      <c r="F5115" t="s">
        <v>7</v>
      </c>
    </row>
    <row r="5116" spans="1:6">
      <c r="A5116" t="s">
        <v>55</v>
      </c>
      <c r="B5116" t="s">
        <v>22</v>
      </c>
      <c r="C5116">
        <v>2035</v>
      </c>
      <c r="D5116" t="s">
        <v>10</v>
      </c>
      <c r="E5116">
        <v>192</v>
      </c>
      <c r="F5116" t="s">
        <v>11</v>
      </c>
    </row>
    <row r="5117" spans="1:6">
      <c r="A5117" t="s">
        <v>55</v>
      </c>
      <c r="B5117" t="s">
        <v>23</v>
      </c>
      <c r="C5117">
        <v>2035</v>
      </c>
      <c r="D5117" t="s">
        <v>8</v>
      </c>
      <c r="E5117">
        <v>10178.299999999999</v>
      </c>
      <c r="F5117" t="s">
        <v>7</v>
      </c>
    </row>
    <row r="5118" spans="1:6">
      <c r="A5118" t="s">
        <v>55</v>
      </c>
      <c r="B5118" t="s">
        <v>23</v>
      </c>
      <c r="C5118">
        <v>2035</v>
      </c>
      <c r="D5118" t="s">
        <v>10</v>
      </c>
      <c r="E5118">
        <v>182.4</v>
      </c>
      <c r="F5118" t="s">
        <v>11</v>
      </c>
    </row>
    <row r="5119" spans="1:6">
      <c r="A5119" t="s">
        <v>55</v>
      </c>
      <c r="B5119" t="s">
        <v>24</v>
      </c>
      <c r="C5119">
        <v>2035</v>
      </c>
      <c r="D5119" t="s">
        <v>8</v>
      </c>
      <c r="E5119">
        <v>6696.3</v>
      </c>
      <c r="F5119" t="s">
        <v>7</v>
      </c>
    </row>
    <row r="5120" spans="1:6">
      <c r="A5120" t="s">
        <v>55</v>
      </c>
      <c r="B5120" t="s">
        <v>24</v>
      </c>
      <c r="C5120">
        <v>2035</v>
      </c>
      <c r="D5120" t="s">
        <v>10</v>
      </c>
      <c r="E5120">
        <v>120</v>
      </c>
      <c r="F5120" t="s">
        <v>11</v>
      </c>
    </row>
    <row r="5121" spans="1:6">
      <c r="A5121" t="s">
        <v>55</v>
      </c>
      <c r="B5121" t="s">
        <v>25</v>
      </c>
      <c r="C5121">
        <v>2035</v>
      </c>
      <c r="D5121" t="s">
        <v>8</v>
      </c>
      <c r="E5121">
        <v>7499.8</v>
      </c>
      <c r="F5121" t="s">
        <v>7</v>
      </c>
    </row>
    <row r="5122" spans="1:6">
      <c r="A5122" t="s">
        <v>55</v>
      </c>
      <c r="B5122" t="s">
        <v>25</v>
      </c>
      <c r="C5122">
        <v>2035</v>
      </c>
      <c r="D5122" t="s">
        <v>10</v>
      </c>
      <c r="E5122">
        <v>134.4</v>
      </c>
      <c r="F5122" t="s">
        <v>11</v>
      </c>
    </row>
    <row r="5123" spans="1:6">
      <c r="A5123" t="s">
        <v>55</v>
      </c>
      <c r="B5123" t="s">
        <v>26</v>
      </c>
      <c r="C5123">
        <v>2035</v>
      </c>
      <c r="D5123" t="s">
        <v>8</v>
      </c>
      <c r="E5123">
        <v>9374.7999999999993</v>
      </c>
      <c r="F5123" t="s">
        <v>7</v>
      </c>
    </row>
    <row r="5124" spans="1:6">
      <c r="A5124" t="s">
        <v>55</v>
      </c>
      <c r="B5124" t="s">
        <v>26</v>
      </c>
      <c r="C5124">
        <v>2035</v>
      </c>
      <c r="D5124" t="s">
        <v>10</v>
      </c>
      <c r="E5124">
        <v>168</v>
      </c>
      <c r="F5124" t="s">
        <v>11</v>
      </c>
    </row>
    <row r="5125" spans="1:6">
      <c r="A5125" t="s">
        <v>55</v>
      </c>
      <c r="B5125" t="s">
        <v>27</v>
      </c>
      <c r="C5125">
        <v>2035</v>
      </c>
      <c r="D5125" t="s">
        <v>8</v>
      </c>
      <c r="E5125">
        <v>10714</v>
      </c>
      <c r="F5125" t="s">
        <v>7</v>
      </c>
    </row>
    <row r="5126" spans="1:6">
      <c r="A5126" t="s">
        <v>55</v>
      </c>
      <c r="B5126" t="s">
        <v>27</v>
      </c>
      <c r="C5126">
        <v>2035</v>
      </c>
      <c r="D5126" t="s">
        <v>10</v>
      </c>
      <c r="E5126">
        <v>192</v>
      </c>
      <c r="F5126" t="s">
        <v>11</v>
      </c>
    </row>
    <row r="5127" spans="1:6">
      <c r="A5127" t="s">
        <v>55</v>
      </c>
      <c r="B5127" t="s">
        <v>28</v>
      </c>
      <c r="C5127">
        <v>2035</v>
      </c>
      <c r="D5127" t="s">
        <v>8</v>
      </c>
      <c r="E5127">
        <v>10714</v>
      </c>
      <c r="F5127" t="s">
        <v>7</v>
      </c>
    </row>
    <row r="5128" spans="1:6">
      <c r="A5128" t="s">
        <v>55</v>
      </c>
      <c r="B5128" t="s">
        <v>28</v>
      </c>
      <c r="C5128">
        <v>2035</v>
      </c>
      <c r="D5128" t="s">
        <v>10</v>
      </c>
      <c r="E5128">
        <v>192</v>
      </c>
      <c r="F5128" t="s">
        <v>11</v>
      </c>
    </row>
    <row r="5129" spans="1:6">
      <c r="A5129" t="s">
        <v>55</v>
      </c>
      <c r="B5129" t="s">
        <v>20</v>
      </c>
      <c r="C5129">
        <v>2035</v>
      </c>
      <c r="D5129" t="s">
        <v>9</v>
      </c>
      <c r="E5129">
        <v>3838.6</v>
      </c>
      <c r="F5129" t="s">
        <v>7</v>
      </c>
    </row>
    <row r="5130" spans="1:6">
      <c r="A5130" t="s">
        <v>55</v>
      </c>
      <c r="B5130" t="s">
        <v>20</v>
      </c>
      <c r="C5130">
        <v>2035</v>
      </c>
      <c r="D5130" t="s">
        <v>10</v>
      </c>
      <c r="E5130">
        <v>118</v>
      </c>
      <c r="F5130" t="s">
        <v>11</v>
      </c>
    </row>
    <row r="5131" spans="1:6">
      <c r="A5131" t="s">
        <v>55</v>
      </c>
      <c r="B5131" t="s">
        <v>21</v>
      </c>
      <c r="C5131">
        <v>2035</v>
      </c>
      <c r="D5131" t="s">
        <v>9</v>
      </c>
      <c r="E5131">
        <v>3838.6</v>
      </c>
      <c r="F5131" t="s">
        <v>7</v>
      </c>
    </row>
    <row r="5132" spans="1:6">
      <c r="A5132" t="s">
        <v>55</v>
      </c>
      <c r="B5132" t="s">
        <v>21</v>
      </c>
      <c r="C5132">
        <v>2035</v>
      </c>
      <c r="D5132" t="s">
        <v>10</v>
      </c>
      <c r="E5132">
        <v>118</v>
      </c>
      <c r="F5132" t="s">
        <v>11</v>
      </c>
    </row>
    <row r="5133" spans="1:6">
      <c r="A5133" t="s">
        <v>55</v>
      </c>
      <c r="B5133" t="s">
        <v>22</v>
      </c>
      <c r="C5133">
        <v>2035</v>
      </c>
      <c r="D5133" t="s">
        <v>9</v>
      </c>
      <c r="E5133">
        <v>3412.1</v>
      </c>
      <c r="F5133" t="s">
        <v>7</v>
      </c>
    </row>
    <row r="5134" spans="1:6">
      <c r="A5134" t="s">
        <v>55</v>
      </c>
      <c r="B5134" t="s">
        <v>22</v>
      </c>
      <c r="C5134">
        <v>2035</v>
      </c>
      <c r="D5134" t="s">
        <v>10</v>
      </c>
      <c r="E5134">
        <v>104.9</v>
      </c>
      <c r="F5134" t="s">
        <v>11</v>
      </c>
    </row>
    <row r="5135" spans="1:6">
      <c r="A5135" t="s">
        <v>55</v>
      </c>
      <c r="B5135" t="s">
        <v>23</v>
      </c>
      <c r="C5135">
        <v>2035</v>
      </c>
      <c r="D5135" t="s">
        <v>9</v>
      </c>
      <c r="E5135">
        <v>3241.5</v>
      </c>
      <c r="F5135" t="s">
        <v>7</v>
      </c>
    </row>
    <row r="5136" spans="1:6">
      <c r="A5136" t="s">
        <v>55</v>
      </c>
      <c r="B5136" t="s">
        <v>23</v>
      </c>
      <c r="C5136">
        <v>2035</v>
      </c>
      <c r="D5136" t="s">
        <v>10</v>
      </c>
      <c r="E5136">
        <v>99.6</v>
      </c>
      <c r="F5136" t="s">
        <v>11</v>
      </c>
    </row>
    <row r="5137" spans="1:6">
      <c r="A5137" t="s">
        <v>55</v>
      </c>
      <c r="B5137" t="s">
        <v>24</v>
      </c>
      <c r="C5137">
        <v>2035</v>
      </c>
      <c r="D5137" t="s">
        <v>9</v>
      </c>
      <c r="E5137">
        <v>2132.6</v>
      </c>
      <c r="F5137" t="s">
        <v>7</v>
      </c>
    </row>
    <row r="5138" spans="1:6">
      <c r="A5138" t="s">
        <v>55</v>
      </c>
      <c r="B5138" t="s">
        <v>24</v>
      </c>
      <c r="C5138">
        <v>2035</v>
      </c>
      <c r="D5138" t="s">
        <v>10</v>
      </c>
      <c r="E5138">
        <v>65.599999999999994</v>
      </c>
      <c r="F5138" t="s">
        <v>11</v>
      </c>
    </row>
    <row r="5139" spans="1:6">
      <c r="A5139" t="s">
        <v>55</v>
      </c>
      <c r="B5139" t="s">
        <v>25</v>
      </c>
      <c r="C5139">
        <v>2035</v>
      </c>
      <c r="D5139" t="s">
        <v>9</v>
      </c>
      <c r="E5139">
        <v>2388.5</v>
      </c>
      <c r="F5139" t="s">
        <v>7</v>
      </c>
    </row>
    <row r="5140" spans="1:6">
      <c r="A5140" t="s">
        <v>55</v>
      </c>
      <c r="B5140" t="s">
        <v>25</v>
      </c>
      <c r="C5140">
        <v>2035</v>
      </c>
      <c r="D5140" t="s">
        <v>10</v>
      </c>
      <c r="E5140">
        <v>73.400000000000006</v>
      </c>
      <c r="F5140" t="s">
        <v>11</v>
      </c>
    </row>
    <row r="5141" spans="1:6">
      <c r="A5141" t="s">
        <v>55</v>
      </c>
      <c r="B5141" t="s">
        <v>26</v>
      </c>
      <c r="C5141">
        <v>2035</v>
      </c>
      <c r="D5141" t="s">
        <v>9</v>
      </c>
      <c r="E5141">
        <v>2985.6</v>
      </c>
      <c r="F5141" t="s">
        <v>7</v>
      </c>
    </row>
    <row r="5142" spans="1:6">
      <c r="A5142" t="s">
        <v>55</v>
      </c>
      <c r="B5142" t="s">
        <v>26</v>
      </c>
      <c r="C5142">
        <v>2035</v>
      </c>
      <c r="D5142" t="s">
        <v>10</v>
      </c>
      <c r="E5142">
        <v>91.8</v>
      </c>
      <c r="F5142" t="s">
        <v>11</v>
      </c>
    </row>
    <row r="5143" spans="1:6">
      <c r="A5143" t="s">
        <v>55</v>
      </c>
      <c r="B5143" t="s">
        <v>27</v>
      </c>
      <c r="C5143">
        <v>2035</v>
      </c>
      <c r="D5143" t="s">
        <v>9</v>
      </c>
      <c r="E5143">
        <v>3412.1</v>
      </c>
      <c r="F5143" t="s">
        <v>7</v>
      </c>
    </row>
    <row r="5144" spans="1:6">
      <c r="A5144" t="s">
        <v>55</v>
      </c>
      <c r="B5144" t="s">
        <v>27</v>
      </c>
      <c r="C5144">
        <v>2035</v>
      </c>
      <c r="D5144" t="s">
        <v>10</v>
      </c>
      <c r="E5144">
        <v>104.9</v>
      </c>
      <c r="F5144" t="s">
        <v>11</v>
      </c>
    </row>
    <row r="5145" spans="1:6">
      <c r="A5145" t="s">
        <v>55</v>
      </c>
      <c r="B5145" t="s">
        <v>28</v>
      </c>
      <c r="C5145">
        <v>2035</v>
      </c>
      <c r="D5145" t="s">
        <v>9</v>
      </c>
      <c r="E5145">
        <v>3412.1</v>
      </c>
      <c r="F5145" t="s">
        <v>7</v>
      </c>
    </row>
    <row r="5146" spans="1:6">
      <c r="A5146" t="s">
        <v>55</v>
      </c>
      <c r="B5146" t="s">
        <v>28</v>
      </c>
      <c r="C5146">
        <v>2035</v>
      </c>
      <c r="D5146" t="s">
        <v>10</v>
      </c>
      <c r="E5146">
        <v>104.9</v>
      </c>
      <c r="F5146" t="s">
        <v>11</v>
      </c>
    </row>
    <row r="5147" spans="1:6">
      <c r="A5147" t="s">
        <v>55</v>
      </c>
      <c r="B5147" t="s">
        <v>20</v>
      </c>
      <c r="C5147">
        <v>2040</v>
      </c>
      <c r="D5147" t="s">
        <v>6</v>
      </c>
      <c r="E5147">
        <v>6373.8</v>
      </c>
      <c r="F5147" t="s">
        <v>7</v>
      </c>
    </row>
    <row r="5148" spans="1:6">
      <c r="A5148" t="s">
        <v>55</v>
      </c>
      <c r="B5148" t="s">
        <v>20</v>
      </c>
      <c r="C5148">
        <v>2040</v>
      </c>
      <c r="D5148" t="s">
        <v>10</v>
      </c>
      <c r="E5148">
        <v>136</v>
      </c>
      <c r="F5148" t="s">
        <v>11</v>
      </c>
    </row>
    <row r="5149" spans="1:6">
      <c r="A5149" t="s">
        <v>55</v>
      </c>
      <c r="B5149" t="s">
        <v>20</v>
      </c>
      <c r="C5149">
        <v>2040</v>
      </c>
      <c r="D5149" t="s">
        <v>164</v>
      </c>
      <c r="E5149">
        <v>0.72199999999999998</v>
      </c>
      <c r="F5149" t="s">
        <v>166</v>
      </c>
    </row>
    <row r="5150" spans="1:6">
      <c r="A5150" t="s">
        <v>55</v>
      </c>
      <c r="B5150" t="s">
        <v>21</v>
      </c>
      <c r="C5150">
        <v>2040</v>
      </c>
      <c r="D5150" t="s">
        <v>6</v>
      </c>
      <c r="E5150">
        <v>6373.8</v>
      </c>
      <c r="F5150" t="s">
        <v>7</v>
      </c>
    </row>
    <row r="5151" spans="1:6">
      <c r="A5151" t="s">
        <v>55</v>
      </c>
      <c r="B5151" t="s">
        <v>21</v>
      </c>
      <c r="C5151">
        <v>2040</v>
      </c>
      <c r="D5151" t="s">
        <v>10</v>
      </c>
      <c r="E5151">
        <v>136</v>
      </c>
      <c r="F5151" t="s">
        <v>11</v>
      </c>
    </row>
    <row r="5152" spans="1:6">
      <c r="A5152" t="s">
        <v>55</v>
      </c>
      <c r="B5152" t="s">
        <v>21</v>
      </c>
      <c r="C5152">
        <v>2040</v>
      </c>
      <c r="D5152" t="s">
        <v>164</v>
      </c>
      <c r="E5152">
        <v>0.72199999999999998</v>
      </c>
      <c r="F5152" t="s">
        <v>166</v>
      </c>
    </row>
    <row r="5153" spans="1:6">
      <c r="A5153" t="s">
        <v>55</v>
      </c>
      <c r="B5153" t="s">
        <v>22</v>
      </c>
      <c r="C5153">
        <v>2040</v>
      </c>
      <c r="D5153" t="s">
        <v>6</v>
      </c>
      <c r="E5153">
        <v>5665.6</v>
      </c>
      <c r="F5153" t="s">
        <v>7</v>
      </c>
    </row>
    <row r="5154" spans="1:6">
      <c r="A5154" t="s">
        <v>55</v>
      </c>
      <c r="B5154" t="s">
        <v>22</v>
      </c>
      <c r="C5154">
        <v>2040</v>
      </c>
      <c r="D5154" t="s">
        <v>10</v>
      </c>
      <c r="E5154">
        <v>120.9</v>
      </c>
      <c r="F5154" t="s">
        <v>11</v>
      </c>
    </row>
    <row r="5155" spans="1:6">
      <c r="A5155" t="s">
        <v>55</v>
      </c>
      <c r="B5155" t="s">
        <v>22</v>
      </c>
      <c r="C5155">
        <v>2040</v>
      </c>
      <c r="D5155" t="s">
        <v>164</v>
      </c>
      <c r="E5155">
        <v>0.72199999999999998</v>
      </c>
      <c r="F5155" t="s">
        <v>166</v>
      </c>
    </row>
    <row r="5156" spans="1:6">
      <c r="A5156" t="s">
        <v>55</v>
      </c>
      <c r="B5156" t="s">
        <v>23</v>
      </c>
      <c r="C5156">
        <v>2040</v>
      </c>
      <c r="D5156" t="s">
        <v>6</v>
      </c>
      <c r="E5156">
        <v>5382.3</v>
      </c>
      <c r="F5156" t="s">
        <v>7</v>
      </c>
    </row>
    <row r="5157" spans="1:6">
      <c r="A5157" t="s">
        <v>55</v>
      </c>
      <c r="B5157" t="s">
        <v>23</v>
      </c>
      <c r="C5157">
        <v>2040</v>
      </c>
      <c r="D5157" t="s">
        <v>10</v>
      </c>
      <c r="E5157">
        <v>114.8</v>
      </c>
      <c r="F5157" t="s">
        <v>11</v>
      </c>
    </row>
    <row r="5158" spans="1:6">
      <c r="A5158" t="s">
        <v>55</v>
      </c>
      <c r="B5158" t="s">
        <v>23</v>
      </c>
      <c r="C5158">
        <v>2040</v>
      </c>
      <c r="D5158" t="s">
        <v>164</v>
      </c>
      <c r="E5158">
        <v>0.72199999999999998</v>
      </c>
      <c r="F5158" t="s">
        <v>166</v>
      </c>
    </row>
    <row r="5159" spans="1:6">
      <c r="A5159" t="s">
        <v>55</v>
      </c>
      <c r="B5159" t="s">
        <v>24</v>
      </c>
      <c r="C5159">
        <v>2040</v>
      </c>
      <c r="D5159" t="s">
        <v>6</v>
      </c>
      <c r="E5159">
        <v>3541</v>
      </c>
      <c r="F5159" t="s">
        <v>7</v>
      </c>
    </row>
    <row r="5160" spans="1:6">
      <c r="A5160" t="s">
        <v>55</v>
      </c>
      <c r="B5160" t="s">
        <v>24</v>
      </c>
      <c r="C5160">
        <v>2040</v>
      </c>
      <c r="D5160" t="s">
        <v>10</v>
      </c>
      <c r="E5160">
        <v>75.599999999999994</v>
      </c>
      <c r="F5160" t="s">
        <v>11</v>
      </c>
    </row>
    <row r="5161" spans="1:6">
      <c r="A5161" t="s">
        <v>55</v>
      </c>
      <c r="B5161" t="s">
        <v>24</v>
      </c>
      <c r="C5161">
        <v>2040</v>
      </c>
      <c r="D5161" t="s">
        <v>164</v>
      </c>
      <c r="E5161">
        <v>0.72199999999999998</v>
      </c>
      <c r="F5161" t="s">
        <v>166</v>
      </c>
    </row>
    <row r="5162" spans="1:6">
      <c r="A5162" t="s">
        <v>55</v>
      </c>
      <c r="B5162" t="s">
        <v>25</v>
      </c>
      <c r="C5162">
        <v>2040</v>
      </c>
      <c r="D5162" t="s">
        <v>6</v>
      </c>
      <c r="E5162">
        <v>3965.9</v>
      </c>
      <c r="F5162" t="s">
        <v>7</v>
      </c>
    </row>
    <row r="5163" spans="1:6">
      <c r="A5163" t="s">
        <v>55</v>
      </c>
      <c r="B5163" t="s">
        <v>25</v>
      </c>
      <c r="C5163">
        <v>2040</v>
      </c>
      <c r="D5163" t="s">
        <v>10</v>
      </c>
      <c r="E5163">
        <v>84.6</v>
      </c>
      <c r="F5163" t="s">
        <v>11</v>
      </c>
    </row>
    <row r="5164" spans="1:6">
      <c r="A5164" t="s">
        <v>55</v>
      </c>
      <c r="B5164" t="s">
        <v>25</v>
      </c>
      <c r="C5164">
        <v>2040</v>
      </c>
      <c r="D5164" t="s">
        <v>164</v>
      </c>
      <c r="E5164">
        <v>0.72199999999999998</v>
      </c>
      <c r="F5164" t="s">
        <v>166</v>
      </c>
    </row>
    <row r="5165" spans="1:6">
      <c r="A5165" t="s">
        <v>55</v>
      </c>
      <c r="B5165" t="s">
        <v>26</v>
      </c>
      <c r="C5165">
        <v>2040</v>
      </c>
      <c r="D5165" t="s">
        <v>6</v>
      </c>
      <c r="E5165">
        <v>4957.3999999999996</v>
      </c>
      <c r="F5165" t="s">
        <v>7</v>
      </c>
    </row>
    <row r="5166" spans="1:6">
      <c r="A5166" t="s">
        <v>55</v>
      </c>
      <c r="B5166" t="s">
        <v>26</v>
      </c>
      <c r="C5166">
        <v>2040</v>
      </c>
      <c r="D5166" t="s">
        <v>10</v>
      </c>
      <c r="E5166">
        <v>105.8</v>
      </c>
      <c r="F5166" t="s">
        <v>11</v>
      </c>
    </row>
    <row r="5167" spans="1:6">
      <c r="A5167" t="s">
        <v>55</v>
      </c>
      <c r="B5167" t="s">
        <v>26</v>
      </c>
      <c r="C5167">
        <v>2040</v>
      </c>
      <c r="D5167" t="s">
        <v>164</v>
      </c>
      <c r="E5167">
        <v>0.72199999999999998</v>
      </c>
      <c r="F5167" t="s">
        <v>166</v>
      </c>
    </row>
    <row r="5168" spans="1:6">
      <c r="A5168" t="s">
        <v>55</v>
      </c>
      <c r="B5168" t="s">
        <v>27</v>
      </c>
      <c r="C5168">
        <v>2040</v>
      </c>
      <c r="D5168" t="s">
        <v>6</v>
      </c>
      <c r="E5168">
        <v>5665.6</v>
      </c>
      <c r="F5168" t="s">
        <v>7</v>
      </c>
    </row>
    <row r="5169" spans="1:6">
      <c r="A5169" t="s">
        <v>55</v>
      </c>
      <c r="B5169" t="s">
        <v>27</v>
      </c>
      <c r="C5169">
        <v>2040</v>
      </c>
      <c r="D5169" t="s">
        <v>10</v>
      </c>
      <c r="E5169">
        <v>120.9</v>
      </c>
      <c r="F5169" t="s">
        <v>11</v>
      </c>
    </row>
    <row r="5170" spans="1:6">
      <c r="A5170" t="s">
        <v>55</v>
      </c>
      <c r="B5170" t="s">
        <v>27</v>
      </c>
      <c r="C5170">
        <v>2040</v>
      </c>
      <c r="D5170" t="s">
        <v>164</v>
      </c>
      <c r="E5170">
        <v>0.72199999999999998</v>
      </c>
      <c r="F5170" t="s">
        <v>166</v>
      </c>
    </row>
    <row r="5171" spans="1:6">
      <c r="A5171" t="s">
        <v>55</v>
      </c>
      <c r="B5171" t="s">
        <v>28</v>
      </c>
      <c r="C5171">
        <v>2040</v>
      </c>
      <c r="D5171" t="s">
        <v>6</v>
      </c>
      <c r="E5171">
        <v>5665.6</v>
      </c>
      <c r="F5171" t="s">
        <v>7</v>
      </c>
    </row>
    <row r="5172" spans="1:6">
      <c r="A5172" t="s">
        <v>55</v>
      </c>
      <c r="B5172" t="s">
        <v>28</v>
      </c>
      <c r="C5172">
        <v>2040</v>
      </c>
      <c r="D5172" t="s">
        <v>10</v>
      </c>
      <c r="E5172">
        <v>120.9</v>
      </c>
      <c r="F5172" t="s">
        <v>11</v>
      </c>
    </row>
    <row r="5173" spans="1:6">
      <c r="A5173" t="s">
        <v>55</v>
      </c>
      <c r="B5173" t="s">
        <v>28</v>
      </c>
      <c r="C5173">
        <v>2040</v>
      </c>
      <c r="D5173" t="s">
        <v>164</v>
      </c>
      <c r="E5173">
        <v>0.72199999999999998</v>
      </c>
      <c r="F5173" t="s">
        <v>166</v>
      </c>
    </row>
    <row r="5174" spans="1:6">
      <c r="A5174" t="s">
        <v>55</v>
      </c>
      <c r="B5174" t="s">
        <v>20</v>
      </c>
      <c r="C5174">
        <v>2040</v>
      </c>
      <c r="D5174" t="s">
        <v>8</v>
      </c>
      <c r="E5174">
        <v>10170</v>
      </c>
      <c r="F5174" t="s">
        <v>7</v>
      </c>
    </row>
    <row r="5175" spans="1:6">
      <c r="A5175" t="s">
        <v>55</v>
      </c>
      <c r="B5175" t="s">
        <v>20</v>
      </c>
      <c r="C5175">
        <v>2040</v>
      </c>
      <c r="D5175" t="s">
        <v>10</v>
      </c>
      <c r="E5175">
        <v>216</v>
      </c>
      <c r="F5175" t="s">
        <v>11</v>
      </c>
    </row>
    <row r="5176" spans="1:6">
      <c r="A5176" t="s">
        <v>55</v>
      </c>
      <c r="B5176" t="s">
        <v>21</v>
      </c>
      <c r="C5176">
        <v>2040</v>
      </c>
      <c r="D5176" t="s">
        <v>8</v>
      </c>
      <c r="E5176">
        <v>10170</v>
      </c>
      <c r="F5176" t="s">
        <v>7</v>
      </c>
    </row>
    <row r="5177" spans="1:6">
      <c r="A5177" t="s">
        <v>55</v>
      </c>
      <c r="B5177" t="s">
        <v>21</v>
      </c>
      <c r="C5177">
        <v>2040</v>
      </c>
      <c r="D5177" t="s">
        <v>10</v>
      </c>
      <c r="E5177">
        <v>216</v>
      </c>
      <c r="F5177" t="s">
        <v>11</v>
      </c>
    </row>
    <row r="5178" spans="1:6">
      <c r="A5178" t="s">
        <v>55</v>
      </c>
      <c r="B5178" t="s">
        <v>22</v>
      </c>
      <c r="C5178">
        <v>2040</v>
      </c>
      <c r="D5178" t="s">
        <v>8</v>
      </c>
      <c r="E5178">
        <v>9040</v>
      </c>
      <c r="F5178" t="s">
        <v>7</v>
      </c>
    </row>
    <row r="5179" spans="1:6">
      <c r="A5179" t="s">
        <v>55</v>
      </c>
      <c r="B5179" t="s">
        <v>22</v>
      </c>
      <c r="C5179">
        <v>2040</v>
      </c>
      <c r="D5179" t="s">
        <v>10</v>
      </c>
      <c r="E5179">
        <v>192</v>
      </c>
      <c r="F5179" t="s">
        <v>11</v>
      </c>
    </row>
    <row r="5180" spans="1:6">
      <c r="A5180" t="s">
        <v>55</v>
      </c>
      <c r="B5180" t="s">
        <v>23</v>
      </c>
      <c r="C5180">
        <v>2040</v>
      </c>
      <c r="D5180" t="s">
        <v>8</v>
      </c>
      <c r="E5180">
        <v>8588</v>
      </c>
      <c r="F5180" t="s">
        <v>7</v>
      </c>
    </row>
    <row r="5181" spans="1:6">
      <c r="A5181" t="s">
        <v>55</v>
      </c>
      <c r="B5181" t="s">
        <v>23</v>
      </c>
      <c r="C5181">
        <v>2040</v>
      </c>
      <c r="D5181" t="s">
        <v>10</v>
      </c>
      <c r="E5181">
        <v>182.4</v>
      </c>
      <c r="F5181" t="s">
        <v>11</v>
      </c>
    </row>
    <row r="5182" spans="1:6">
      <c r="A5182" t="s">
        <v>55</v>
      </c>
      <c r="B5182" t="s">
        <v>24</v>
      </c>
      <c r="C5182">
        <v>2040</v>
      </c>
      <c r="D5182" t="s">
        <v>8</v>
      </c>
      <c r="E5182">
        <v>5650</v>
      </c>
      <c r="F5182" t="s">
        <v>7</v>
      </c>
    </row>
    <row r="5183" spans="1:6">
      <c r="A5183" t="s">
        <v>55</v>
      </c>
      <c r="B5183" t="s">
        <v>24</v>
      </c>
      <c r="C5183">
        <v>2040</v>
      </c>
      <c r="D5183" t="s">
        <v>10</v>
      </c>
      <c r="E5183">
        <v>120</v>
      </c>
      <c r="F5183" t="s">
        <v>11</v>
      </c>
    </row>
    <row r="5184" spans="1:6">
      <c r="A5184" t="s">
        <v>55</v>
      </c>
      <c r="B5184" t="s">
        <v>25</v>
      </c>
      <c r="C5184">
        <v>2040</v>
      </c>
      <c r="D5184" t="s">
        <v>8</v>
      </c>
      <c r="E5184">
        <v>6328</v>
      </c>
      <c r="F5184" t="s">
        <v>7</v>
      </c>
    </row>
    <row r="5185" spans="1:6">
      <c r="A5185" t="s">
        <v>55</v>
      </c>
      <c r="B5185" t="s">
        <v>25</v>
      </c>
      <c r="C5185">
        <v>2040</v>
      </c>
      <c r="D5185" t="s">
        <v>10</v>
      </c>
      <c r="E5185">
        <v>134.4</v>
      </c>
      <c r="F5185" t="s">
        <v>11</v>
      </c>
    </row>
    <row r="5186" spans="1:6">
      <c r="A5186" t="s">
        <v>55</v>
      </c>
      <c r="B5186" t="s">
        <v>26</v>
      </c>
      <c r="C5186">
        <v>2040</v>
      </c>
      <c r="D5186" t="s">
        <v>8</v>
      </c>
      <c r="E5186">
        <v>7910</v>
      </c>
      <c r="F5186" t="s">
        <v>7</v>
      </c>
    </row>
    <row r="5187" spans="1:6">
      <c r="A5187" t="s">
        <v>55</v>
      </c>
      <c r="B5187" t="s">
        <v>26</v>
      </c>
      <c r="C5187">
        <v>2040</v>
      </c>
      <c r="D5187" t="s">
        <v>10</v>
      </c>
      <c r="E5187">
        <v>168</v>
      </c>
      <c r="F5187" t="s">
        <v>11</v>
      </c>
    </row>
    <row r="5188" spans="1:6">
      <c r="A5188" t="s">
        <v>55</v>
      </c>
      <c r="B5188" t="s">
        <v>27</v>
      </c>
      <c r="C5188">
        <v>2040</v>
      </c>
      <c r="D5188" t="s">
        <v>8</v>
      </c>
      <c r="E5188">
        <v>9040</v>
      </c>
      <c r="F5188" t="s">
        <v>7</v>
      </c>
    </row>
    <row r="5189" spans="1:6">
      <c r="A5189" t="s">
        <v>55</v>
      </c>
      <c r="B5189" t="s">
        <v>27</v>
      </c>
      <c r="C5189">
        <v>2040</v>
      </c>
      <c r="D5189" t="s">
        <v>10</v>
      </c>
      <c r="E5189">
        <v>192</v>
      </c>
      <c r="F5189" t="s">
        <v>11</v>
      </c>
    </row>
    <row r="5190" spans="1:6">
      <c r="A5190" t="s">
        <v>55</v>
      </c>
      <c r="B5190" t="s">
        <v>28</v>
      </c>
      <c r="C5190">
        <v>2040</v>
      </c>
      <c r="D5190" t="s">
        <v>8</v>
      </c>
      <c r="E5190">
        <v>9040</v>
      </c>
      <c r="F5190" t="s">
        <v>7</v>
      </c>
    </row>
    <row r="5191" spans="1:6">
      <c r="A5191" t="s">
        <v>55</v>
      </c>
      <c r="B5191" t="s">
        <v>28</v>
      </c>
      <c r="C5191">
        <v>2040</v>
      </c>
      <c r="D5191" t="s">
        <v>10</v>
      </c>
      <c r="E5191">
        <v>192</v>
      </c>
      <c r="F5191" t="s">
        <v>11</v>
      </c>
    </row>
    <row r="5192" spans="1:6">
      <c r="A5192" t="s">
        <v>55</v>
      </c>
      <c r="B5192" t="s">
        <v>20</v>
      </c>
      <c r="C5192">
        <v>2040</v>
      </c>
      <c r="D5192" t="s">
        <v>9</v>
      </c>
      <c r="E5192">
        <v>2979.2</v>
      </c>
      <c r="F5192" t="s">
        <v>7</v>
      </c>
    </row>
    <row r="5193" spans="1:6">
      <c r="A5193" t="s">
        <v>55</v>
      </c>
      <c r="B5193" t="s">
        <v>20</v>
      </c>
      <c r="C5193">
        <v>2040</v>
      </c>
      <c r="D5193" t="s">
        <v>10</v>
      </c>
      <c r="E5193">
        <v>118</v>
      </c>
      <c r="F5193" t="s">
        <v>11</v>
      </c>
    </row>
    <row r="5194" spans="1:6">
      <c r="A5194" t="s">
        <v>55</v>
      </c>
      <c r="B5194" t="s">
        <v>21</v>
      </c>
      <c r="C5194">
        <v>2040</v>
      </c>
      <c r="D5194" t="s">
        <v>9</v>
      </c>
      <c r="E5194">
        <v>2979.2</v>
      </c>
      <c r="F5194" t="s">
        <v>7</v>
      </c>
    </row>
    <row r="5195" spans="1:6">
      <c r="A5195" t="s">
        <v>55</v>
      </c>
      <c r="B5195" t="s">
        <v>21</v>
      </c>
      <c r="C5195">
        <v>2040</v>
      </c>
      <c r="D5195" t="s">
        <v>10</v>
      </c>
      <c r="E5195">
        <v>118</v>
      </c>
      <c r="F5195" t="s">
        <v>11</v>
      </c>
    </row>
    <row r="5196" spans="1:6">
      <c r="A5196" t="s">
        <v>55</v>
      </c>
      <c r="B5196" t="s">
        <v>22</v>
      </c>
      <c r="C5196">
        <v>2040</v>
      </c>
      <c r="D5196" t="s">
        <v>9</v>
      </c>
      <c r="E5196">
        <v>2648.2</v>
      </c>
      <c r="F5196" t="s">
        <v>7</v>
      </c>
    </row>
    <row r="5197" spans="1:6">
      <c r="A5197" t="s">
        <v>55</v>
      </c>
      <c r="B5197" t="s">
        <v>22</v>
      </c>
      <c r="C5197">
        <v>2040</v>
      </c>
      <c r="D5197" t="s">
        <v>10</v>
      </c>
      <c r="E5197">
        <v>104.9</v>
      </c>
      <c r="F5197" t="s">
        <v>11</v>
      </c>
    </row>
    <row r="5198" spans="1:6">
      <c r="A5198" t="s">
        <v>55</v>
      </c>
      <c r="B5198" t="s">
        <v>23</v>
      </c>
      <c r="C5198">
        <v>2040</v>
      </c>
      <c r="D5198" t="s">
        <v>9</v>
      </c>
      <c r="E5198">
        <v>2515.8000000000002</v>
      </c>
      <c r="F5198" t="s">
        <v>7</v>
      </c>
    </row>
    <row r="5199" spans="1:6">
      <c r="A5199" t="s">
        <v>55</v>
      </c>
      <c r="B5199" t="s">
        <v>23</v>
      </c>
      <c r="C5199">
        <v>2040</v>
      </c>
      <c r="D5199" t="s">
        <v>10</v>
      </c>
      <c r="E5199">
        <v>99.6</v>
      </c>
      <c r="F5199" t="s">
        <v>11</v>
      </c>
    </row>
    <row r="5200" spans="1:6">
      <c r="A5200" t="s">
        <v>55</v>
      </c>
      <c r="B5200" t="s">
        <v>24</v>
      </c>
      <c r="C5200">
        <v>2040</v>
      </c>
      <c r="D5200" t="s">
        <v>9</v>
      </c>
      <c r="E5200">
        <v>1655.1</v>
      </c>
      <c r="F5200" t="s">
        <v>7</v>
      </c>
    </row>
    <row r="5201" spans="1:6">
      <c r="A5201" t="s">
        <v>55</v>
      </c>
      <c r="B5201" t="s">
        <v>24</v>
      </c>
      <c r="C5201">
        <v>2040</v>
      </c>
      <c r="D5201" t="s">
        <v>10</v>
      </c>
      <c r="E5201">
        <v>65.599999999999994</v>
      </c>
      <c r="F5201" t="s">
        <v>11</v>
      </c>
    </row>
    <row r="5202" spans="1:6">
      <c r="A5202" t="s">
        <v>55</v>
      </c>
      <c r="B5202" t="s">
        <v>25</v>
      </c>
      <c r="C5202">
        <v>2040</v>
      </c>
      <c r="D5202" t="s">
        <v>9</v>
      </c>
      <c r="E5202">
        <v>1853.7</v>
      </c>
      <c r="F5202" t="s">
        <v>7</v>
      </c>
    </row>
    <row r="5203" spans="1:6">
      <c r="A5203" t="s">
        <v>55</v>
      </c>
      <c r="B5203" t="s">
        <v>25</v>
      </c>
      <c r="C5203">
        <v>2040</v>
      </c>
      <c r="D5203" t="s">
        <v>10</v>
      </c>
      <c r="E5203">
        <v>73.400000000000006</v>
      </c>
      <c r="F5203" t="s">
        <v>11</v>
      </c>
    </row>
    <row r="5204" spans="1:6">
      <c r="A5204" t="s">
        <v>55</v>
      </c>
      <c r="B5204" t="s">
        <v>26</v>
      </c>
      <c r="C5204">
        <v>2040</v>
      </c>
      <c r="D5204" t="s">
        <v>9</v>
      </c>
      <c r="E5204">
        <v>2317.1999999999998</v>
      </c>
      <c r="F5204" t="s">
        <v>7</v>
      </c>
    </row>
    <row r="5205" spans="1:6">
      <c r="A5205" t="s">
        <v>55</v>
      </c>
      <c r="B5205" t="s">
        <v>26</v>
      </c>
      <c r="C5205">
        <v>2040</v>
      </c>
      <c r="D5205" t="s">
        <v>10</v>
      </c>
      <c r="E5205">
        <v>91.8</v>
      </c>
      <c r="F5205" t="s">
        <v>11</v>
      </c>
    </row>
    <row r="5206" spans="1:6">
      <c r="A5206" t="s">
        <v>55</v>
      </c>
      <c r="B5206" t="s">
        <v>27</v>
      </c>
      <c r="C5206">
        <v>2040</v>
      </c>
      <c r="D5206" t="s">
        <v>9</v>
      </c>
      <c r="E5206">
        <v>2648.2</v>
      </c>
      <c r="F5206" t="s">
        <v>7</v>
      </c>
    </row>
    <row r="5207" spans="1:6">
      <c r="A5207" t="s">
        <v>55</v>
      </c>
      <c r="B5207" t="s">
        <v>27</v>
      </c>
      <c r="C5207">
        <v>2040</v>
      </c>
      <c r="D5207" t="s">
        <v>10</v>
      </c>
      <c r="E5207">
        <v>104.9</v>
      </c>
      <c r="F5207" t="s">
        <v>11</v>
      </c>
    </row>
    <row r="5208" spans="1:6">
      <c r="A5208" t="s">
        <v>55</v>
      </c>
      <c r="B5208" t="s">
        <v>28</v>
      </c>
      <c r="C5208">
        <v>2040</v>
      </c>
      <c r="D5208" t="s">
        <v>9</v>
      </c>
      <c r="E5208">
        <v>2648.2</v>
      </c>
      <c r="F5208" t="s">
        <v>7</v>
      </c>
    </row>
    <row r="5209" spans="1:6">
      <c r="A5209" t="s">
        <v>55</v>
      </c>
      <c r="B5209" t="s">
        <v>28</v>
      </c>
      <c r="C5209">
        <v>2040</v>
      </c>
      <c r="D5209" t="s">
        <v>10</v>
      </c>
      <c r="E5209">
        <v>104.9</v>
      </c>
      <c r="F5209" t="s">
        <v>11</v>
      </c>
    </row>
    <row r="5210" spans="1:6">
      <c r="A5210" t="s">
        <v>55</v>
      </c>
      <c r="B5210" t="s">
        <v>20</v>
      </c>
      <c r="C5210">
        <v>2045</v>
      </c>
      <c r="D5210" t="s">
        <v>6</v>
      </c>
      <c r="E5210">
        <v>5480.2</v>
      </c>
      <c r="F5210" t="s">
        <v>7</v>
      </c>
    </row>
    <row r="5211" spans="1:6">
      <c r="A5211" t="s">
        <v>55</v>
      </c>
      <c r="B5211" t="s">
        <v>20</v>
      </c>
      <c r="C5211">
        <v>2045</v>
      </c>
      <c r="D5211" t="s">
        <v>10</v>
      </c>
      <c r="E5211">
        <v>136</v>
      </c>
      <c r="F5211" t="s">
        <v>11</v>
      </c>
    </row>
    <row r="5212" spans="1:6">
      <c r="A5212" t="s">
        <v>55</v>
      </c>
      <c r="B5212" t="s">
        <v>20</v>
      </c>
      <c r="C5212">
        <v>2045</v>
      </c>
      <c r="D5212" t="s">
        <v>164</v>
      </c>
      <c r="E5212">
        <v>0.72199999999999998</v>
      </c>
      <c r="F5212" t="s">
        <v>166</v>
      </c>
    </row>
    <row r="5213" spans="1:6">
      <c r="A5213" t="s">
        <v>55</v>
      </c>
      <c r="B5213" t="s">
        <v>21</v>
      </c>
      <c r="C5213">
        <v>2045</v>
      </c>
      <c r="D5213" t="s">
        <v>6</v>
      </c>
      <c r="E5213">
        <v>5480.2</v>
      </c>
      <c r="F5213" t="s">
        <v>7</v>
      </c>
    </row>
    <row r="5214" spans="1:6">
      <c r="A5214" t="s">
        <v>55</v>
      </c>
      <c r="B5214" t="s">
        <v>21</v>
      </c>
      <c r="C5214">
        <v>2045</v>
      </c>
      <c r="D5214" t="s">
        <v>10</v>
      </c>
      <c r="E5214">
        <v>136</v>
      </c>
      <c r="F5214" t="s">
        <v>11</v>
      </c>
    </row>
    <row r="5215" spans="1:6">
      <c r="A5215" t="s">
        <v>55</v>
      </c>
      <c r="B5215" t="s">
        <v>21</v>
      </c>
      <c r="C5215">
        <v>2045</v>
      </c>
      <c r="D5215" t="s">
        <v>164</v>
      </c>
      <c r="E5215">
        <v>0.72199999999999998</v>
      </c>
      <c r="F5215" t="s">
        <v>166</v>
      </c>
    </row>
    <row r="5216" spans="1:6">
      <c r="A5216" t="s">
        <v>55</v>
      </c>
      <c r="B5216" t="s">
        <v>22</v>
      </c>
      <c r="C5216">
        <v>2045</v>
      </c>
      <c r="D5216" t="s">
        <v>6</v>
      </c>
      <c r="E5216">
        <v>4871.3</v>
      </c>
      <c r="F5216" t="s">
        <v>7</v>
      </c>
    </row>
    <row r="5217" spans="1:6">
      <c r="A5217" t="s">
        <v>55</v>
      </c>
      <c r="B5217" t="s">
        <v>22</v>
      </c>
      <c r="C5217">
        <v>2045</v>
      </c>
      <c r="D5217" t="s">
        <v>10</v>
      </c>
      <c r="E5217">
        <v>120.9</v>
      </c>
      <c r="F5217" t="s">
        <v>11</v>
      </c>
    </row>
    <row r="5218" spans="1:6">
      <c r="A5218" t="s">
        <v>55</v>
      </c>
      <c r="B5218" t="s">
        <v>22</v>
      </c>
      <c r="C5218">
        <v>2045</v>
      </c>
      <c r="D5218" t="s">
        <v>164</v>
      </c>
      <c r="E5218">
        <v>0.72199999999999998</v>
      </c>
      <c r="F5218" t="s">
        <v>166</v>
      </c>
    </row>
    <row r="5219" spans="1:6">
      <c r="A5219" t="s">
        <v>55</v>
      </c>
      <c r="B5219" t="s">
        <v>23</v>
      </c>
      <c r="C5219">
        <v>2045</v>
      </c>
      <c r="D5219" t="s">
        <v>6</v>
      </c>
      <c r="E5219">
        <v>4627.7</v>
      </c>
      <c r="F5219" t="s">
        <v>7</v>
      </c>
    </row>
    <row r="5220" spans="1:6">
      <c r="A5220" t="s">
        <v>55</v>
      </c>
      <c r="B5220" t="s">
        <v>23</v>
      </c>
      <c r="C5220">
        <v>2045</v>
      </c>
      <c r="D5220" t="s">
        <v>10</v>
      </c>
      <c r="E5220">
        <v>114.8</v>
      </c>
      <c r="F5220" t="s">
        <v>11</v>
      </c>
    </row>
    <row r="5221" spans="1:6">
      <c r="A5221" t="s">
        <v>55</v>
      </c>
      <c r="B5221" t="s">
        <v>23</v>
      </c>
      <c r="C5221">
        <v>2045</v>
      </c>
      <c r="D5221" t="s">
        <v>164</v>
      </c>
      <c r="E5221">
        <v>0.72199999999999998</v>
      </c>
      <c r="F5221" t="s">
        <v>166</v>
      </c>
    </row>
    <row r="5222" spans="1:6">
      <c r="A5222" t="s">
        <v>55</v>
      </c>
      <c r="B5222" t="s">
        <v>24</v>
      </c>
      <c r="C5222">
        <v>2045</v>
      </c>
      <c r="D5222" t="s">
        <v>6</v>
      </c>
      <c r="E5222">
        <v>3044.6</v>
      </c>
      <c r="F5222" t="s">
        <v>7</v>
      </c>
    </row>
    <row r="5223" spans="1:6">
      <c r="A5223" t="s">
        <v>55</v>
      </c>
      <c r="B5223" t="s">
        <v>24</v>
      </c>
      <c r="C5223">
        <v>2045</v>
      </c>
      <c r="D5223" t="s">
        <v>10</v>
      </c>
      <c r="E5223">
        <v>75.599999999999994</v>
      </c>
      <c r="F5223" t="s">
        <v>11</v>
      </c>
    </row>
    <row r="5224" spans="1:6">
      <c r="A5224" t="s">
        <v>55</v>
      </c>
      <c r="B5224" t="s">
        <v>24</v>
      </c>
      <c r="C5224">
        <v>2045</v>
      </c>
      <c r="D5224" t="s">
        <v>164</v>
      </c>
      <c r="E5224">
        <v>0.72199999999999998</v>
      </c>
      <c r="F5224" t="s">
        <v>166</v>
      </c>
    </row>
    <row r="5225" spans="1:6">
      <c r="A5225" t="s">
        <v>55</v>
      </c>
      <c r="B5225" t="s">
        <v>25</v>
      </c>
      <c r="C5225">
        <v>2045</v>
      </c>
      <c r="D5225" t="s">
        <v>6</v>
      </c>
      <c r="E5225">
        <v>3409.9</v>
      </c>
      <c r="F5225" t="s">
        <v>7</v>
      </c>
    </row>
    <row r="5226" spans="1:6">
      <c r="A5226" t="s">
        <v>55</v>
      </c>
      <c r="B5226" t="s">
        <v>25</v>
      </c>
      <c r="C5226">
        <v>2045</v>
      </c>
      <c r="D5226" t="s">
        <v>10</v>
      </c>
      <c r="E5226">
        <v>84.6</v>
      </c>
      <c r="F5226" t="s">
        <v>11</v>
      </c>
    </row>
    <row r="5227" spans="1:6">
      <c r="A5227" t="s">
        <v>55</v>
      </c>
      <c r="B5227" t="s">
        <v>25</v>
      </c>
      <c r="C5227">
        <v>2045</v>
      </c>
      <c r="D5227" t="s">
        <v>164</v>
      </c>
      <c r="E5227">
        <v>0.72199999999999998</v>
      </c>
      <c r="F5227" t="s">
        <v>166</v>
      </c>
    </row>
    <row r="5228" spans="1:6">
      <c r="A5228" t="s">
        <v>55</v>
      </c>
      <c r="B5228" t="s">
        <v>26</v>
      </c>
      <c r="C5228">
        <v>2045</v>
      </c>
      <c r="D5228" t="s">
        <v>6</v>
      </c>
      <c r="E5228">
        <v>4262.3999999999996</v>
      </c>
      <c r="F5228" t="s">
        <v>7</v>
      </c>
    </row>
    <row r="5229" spans="1:6">
      <c r="A5229" t="s">
        <v>55</v>
      </c>
      <c r="B5229" t="s">
        <v>26</v>
      </c>
      <c r="C5229">
        <v>2045</v>
      </c>
      <c r="D5229" t="s">
        <v>10</v>
      </c>
      <c r="E5229">
        <v>105.8</v>
      </c>
      <c r="F5229" t="s">
        <v>11</v>
      </c>
    </row>
    <row r="5230" spans="1:6">
      <c r="A5230" t="s">
        <v>55</v>
      </c>
      <c r="B5230" t="s">
        <v>26</v>
      </c>
      <c r="C5230">
        <v>2045</v>
      </c>
      <c r="D5230" t="s">
        <v>164</v>
      </c>
      <c r="E5230">
        <v>0.72199999999999998</v>
      </c>
      <c r="F5230" t="s">
        <v>166</v>
      </c>
    </row>
    <row r="5231" spans="1:6">
      <c r="A5231" t="s">
        <v>55</v>
      </c>
      <c r="B5231" t="s">
        <v>27</v>
      </c>
      <c r="C5231">
        <v>2045</v>
      </c>
      <c r="D5231" t="s">
        <v>6</v>
      </c>
      <c r="E5231">
        <v>4871.3</v>
      </c>
      <c r="F5231" t="s">
        <v>7</v>
      </c>
    </row>
    <row r="5232" spans="1:6">
      <c r="A5232" t="s">
        <v>55</v>
      </c>
      <c r="B5232" t="s">
        <v>27</v>
      </c>
      <c r="C5232">
        <v>2045</v>
      </c>
      <c r="D5232" t="s">
        <v>10</v>
      </c>
      <c r="E5232">
        <v>120.9</v>
      </c>
      <c r="F5232" t="s">
        <v>11</v>
      </c>
    </row>
    <row r="5233" spans="1:6">
      <c r="A5233" t="s">
        <v>55</v>
      </c>
      <c r="B5233" t="s">
        <v>27</v>
      </c>
      <c r="C5233">
        <v>2045</v>
      </c>
      <c r="D5233" t="s">
        <v>164</v>
      </c>
      <c r="E5233">
        <v>0.72199999999999998</v>
      </c>
      <c r="F5233" t="s">
        <v>166</v>
      </c>
    </row>
    <row r="5234" spans="1:6">
      <c r="A5234" t="s">
        <v>55</v>
      </c>
      <c r="B5234" t="s">
        <v>28</v>
      </c>
      <c r="C5234">
        <v>2045</v>
      </c>
      <c r="D5234" t="s">
        <v>6</v>
      </c>
      <c r="E5234">
        <v>4871.3</v>
      </c>
      <c r="F5234" t="s">
        <v>7</v>
      </c>
    </row>
    <row r="5235" spans="1:6">
      <c r="A5235" t="s">
        <v>55</v>
      </c>
      <c r="B5235" t="s">
        <v>28</v>
      </c>
      <c r="C5235">
        <v>2045</v>
      </c>
      <c r="D5235" t="s">
        <v>10</v>
      </c>
      <c r="E5235">
        <v>120.9</v>
      </c>
      <c r="F5235" t="s">
        <v>11</v>
      </c>
    </row>
    <row r="5236" spans="1:6">
      <c r="A5236" t="s">
        <v>55</v>
      </c>
      <c r="B5236" t="s">
        <v>28</v>
      </c>
      <c r="C5236">
        <v>2045</v>
      </c>
      <c r="D5236" t="s">
        <v>164</v>
      </c>
      <c r="E5236">
        <v>0.72199999999999998</v>
      </c>
      <c r="F5236" t="s">
        <v>166</v>
      </c>
    </row>
    <row r="5237" spans="1:6">
      <c r="A5237" t="s">
        <v>55</v>
      </c>
      <c r="B5237" t="s">
        <v>20</v>
      </c>
      <c r="C5237">
        <v>2045</v>
      </c>
      <c r="D5237" t="s">
        <v>8</v>
      </c>
      <c r="E5237">
        <v>8914.5</v>
      </c>
      <c r="F5237" t="s">
        <v>7</v>
      </c>
    </row>
    <row r="5238" spans="1:6">
      <c r="A5238" t="s">
        <v>55</v>
      </c>
      <c r="B5238" t="s">
        <v>20</v>
      </c>
      <c r="C5238">
        <v>2045</v>
      </c>
      <c r="D5238" t="s">
        <v>10</v>
      </c>
      <c r="E5238">
        <v>216</v>
      </c>
      <c r="F5238" t="s">
        <v>11</v>
      </c>
    </row>
    <row r="5239" spans="1:6">
      <c r="A5239" t="s">
        <v>55</v>
      </c>
      <c r="B5239" t="s">
        <v>21</v>
      </c>
      <c r="C5239">
        <v>2045</v>
      </c>
      <c r="D5239" t="s">
        <v>8</v>
      </c>
      <c r="E5239">
        <v>8914.5</v>
      </c>
      <c r="F5239" t="s">
        <v>7</v>
      </c>
    </row>
    <row r="5240" spans="1:6">
      <c r="A5240" t="s">
        <v>55</v>
      </c>
      <c r="B5240" t="s">
        <v>21</v>
      </c>
      <c r="C5240">
        <v>2045</v>
      </c>
      <c r="D5240" t="s">
        <v>10</v>
      </c>
      <c r="E5240">
        <v>216</v>
      </c>
      <c r="F5240" t="s">
        <v>11</v>
      </c>
    </row>
    <row r="5241" spans="1:6">
      <c r="A5241" t="s">
        <v>55</v>
      </c>
      <c r="B5241" t="s">
        <v>22</v>
      </c>
      <c r="C5241">
        <v>2045</v>
      </c>
      <c r="D5241" t="s">
        <v>8</v>
      </c>
      <c r="E5241">
        <v>7924</v>
      </c>
      <c r="F5241" t="s">
        <v>7</v>
      </c>
    </row>
    <row r="5242" spans="1:6">
      <c r="A5242" t="s">
        <v>55</v>
      </c>
      <c r="B5242" t="s">
        <v>22</v>
      </c>
      <c r="C5242">
        <v>2045</v>
      </c>
      <c r="D5242" t="s">
        <v>10</v>
      </c>
      <c r="E5242">
        <v>192</v>
      </c>
      <c r="F5242" t="s">
        <v>11</v>
      </c>
    </row>
    <row r="5243" spans="1:6">
      <c r="A5243" t="s">
        <v>55</v>
      </c>
      <c r="B5243" t="s">
        <v>23</v>
      </c>
      <c r="C5243">
        <v>2045</v>
      </c>
      <c r="D5243" t="s">
        <v>8</v>
      </c>
      <c r="E5243">
        <v>7527.8</v>
      </c>
      <c r="F5243" t="s">
        <v>7</v>
      </c>
    </row>
    <row r="5244" spans="1:6">
      <c r="A5244" t="s">
        <v>55</v>
      </c>
      <c r="B5244" t="s">
        <v>23</v>
      </c>
      <c r="C5244">
        <v>2045</v>
      </c>
      <c r="D5244" t="s">
        <v>10</v>
      </c>
      <c r="E5244">
        <v>182.4</v>
      </c>
      <c r="F5244" t="s">
        <v>11</v>
      </c>
    </row>
    <row r="5245" spans="1:6">
      <c r="A5245" t="s">
        <v>55</v>
      </c>
      <c r="B5245" t="s">
        <v>24</v>
      </c>
      <c r="C5245">
        <v>2045</v>
      </c>
      <c r="D5245" t="s">
        <v>8</v>
      </c>
      <c r="E5245">
        <v>4952.5</v>
      </c>
      <c r="F5245" t="s">
        <v>7</v>
      </c>
    </row>
    <row r="5246" spans="1:6">
      <c r="A5246" t="s">
        <v>55</v>
      </c>
      <c r="B5246" t="s">
        <v>24</v>
      </c>
      <c r="C5246">
        <v>2045</v>
      </c>
      <c r="D5246" t="s">
        <v>10</v>
      </c>
      <c r="E5246">
        <v>120</v>
      </c>
      <c r="F5246" t="s">
        <v>11</v>
      </c>
    </row>
    <row r="5247" spans="1:6">
      <c r="A5247" t="s">
        <v>55</v>
      </c>
      <c r="B5247" t="s">
        <v>25</v>
      </c>
      <c r="C5247">
        <v>2045</v>
      </c>
      <c r="D5247" t="s">
        <v>8</v>
      </c>
      <c r="E5247">
        <v>5546.8</v>
      </c>
      <c r="F5247" t="s">
        <v>7</v>
      </c>
    </row>
    <row r="5248" spans="1:6">
      <c r="A5248" t="s">
        <v>55</v>
      </c>
      <c r="B5248" t="s">
        <v>25</v>
      </c>
      <c r="C5248">
        <v>2045</v>
      </c>
      <c r="D5248" t="s">
        <v>10</v>
      </c>
      <c r="E5248">
        <v>134.4</v>
      </c>
      <c r="F5248" t="s">
        <v>11</v>
      </c>
    </row>
    <row r="5249" spans="1:6">
      <c r="A5249" t="s">
        <v>55</v>
      </c>
      <c r="B5249" t="s">
        <v>26</v>
      </c>
      <c r="C5249">
        <v>2045</v>
      </c>
      <c r="D5249" t="s">
        <v>8</v>
      </c>
      <c r="E5249">
        <v>6933.5</v>
      </c>
      <c r="F5249" t="s">
        <v>7</v>
      </c>
    </row>
    <row r="5250" spans="1:6">
      <c r="A5250" t="s">
        <v>55</v>
      </c>
      <c r="B5250" t="s">
        <v>26</v>
      </c>
      <c r="C5250">
        <v>2045</v>
      </c>
      <c r="D5250" t="s">
        <v>10</v>
      </c>
      <c r="E5250">
        <v>168</v>
      </c>
      <c r="F5250" t="s">
        <v>11</v>
      </c>
    </row>
    <row r="5251" spans="1:6">
      <c r="A5251" t="s">
        <v>55</v>
      </c>
      <c r="B5251" t="s">
        <v>27</v>
      </c>
      <c r="C5251">
        <v>2045</v>
      </c>
      <c r="D5251" t="s">
        <v>8</v>
      </c>
      <c r="E5251">
        <v>7924</v>
      </c>
      <c r="F5251" t="s">
        <v>7</v>
      </c>
    </row>
    <row r="5252" spans="1:6">
      <c r="A5252" t="s">
        <v>55</v>
      </c>
      <c r="B5252" t="s">
        <v>27</v>
      </c>
      <c r="C5252">
        <v>2045</v>
      </c>
      <c r="D5252" t="s">
        <v>10</v>
      </c>
      <c r="E5252">
        <v>192</v>
      </c>
      <c r="F5252" t="s">
        <v>11</v>
      </c>
    </row>
    <row r="5253" spans="1:6">
      <c r="A5253" t="s">
        <v>55</v>
      </c>
      <c r="B5253" t="s">
        <v>28</v>
      </c>
      <c r="C5253">
        <v>2045</v>
      </c>
      <c r="D5253" t="s">
        <v>8</v>
      </c>
      <c r="E5253">
        <v>7924</v>
      </c>
      <c r="F5253" t="s">
        <v>7</v>
      </c>
    </row>
    <row r="5254" spans="1:6">
      <c r="A5254" t="s">
        <v>55</v>
      </c>
      <c r="B5254" t="s">
        <v>28</v>
      </c>
      <c r="C5254">
        <v>2045</v>
      </c>
      <c r="D5254" t="s">
        <v>10</v>
      </c>
      <c r="E5254">
        <v>192</v>
      </c>
      <c r="F5254" t="s">
        <v>11</v>
      </c>
    </row>
    <row r="5255" spans="1:6">
      <c r="A5255" t="s">
        <v>55</v>
      </c>
      <c r="B5255" t="s">
        <v>20</v>
      </c>
      <c r="C5255">
        <v>2045</v>
      </c>
      <c r="D5255" t="s">
        <v>9</v>
      </c>
      <c r="E5255">
        <v>2692.7</v>
      </c>
      <c r="F5255" t="s">
        <v>7</v>
      </c>
    </row>
    <row r="5256" spans="1:6">
      <c r="A5256" t="s">
        <v>55</v>
      </c>
      <c r="B5256" t="s">
        <v>20</v>
      </c>
      <c r="C5256">
        <v>2045</v>
      </c>
      <c r="D5256" t="s">
        <v>10</v>
      </c>
      <c r="E5256">
        <v>118</v>
      </c>
      <c r="F5256" t="s">
        <v>11</v>
      </c>
    </row>
    <row r="5257" spans="1:6">
      <c r="A5257" t="s">
        <v>55</v>
      </c>
      <c r="B5257" t="s">
        <v>21</v>
      </c>
      <c r="C5257">
        <v>2045</v>
      </c>
      <c r="D5257" t="s">
        <v>9</v>
      </c>
      <c r="E5257">
        <v>2692.7</v>
      </c>
      <c r="F5257" t="s">
        <v>7</v>
      </c>
    </row>
    <row r="5258" spans="1:6">
      <c r="A5258" t="s">
        <v>55</v>
      </c>
      <c r="B5258" t="s">
        <v>21</v>
      </c>
      <c r="C5258">
        <v>2045</v>
      </c>
      <c r="D5258" t="s">
        <v>10</v>
      </c>
      <c r="E5258">
        <v>118</v>
      </c>
      <c r="F5258" t="s">
        <v>11</v>
      </c>
    </row>
    <row r="5259" spans="1:6">
      <c r="A5259" t="s">
        <v>55</v>
      </c>
      <c r="B5259" t="s">
        <v>22</v>
      </c>
      <c r="C5259">
        <v>2045</v>
      </c>
      <c r="D5259" t="s">
        <v>9</v>
      </c>
      <c r="E5259">
        <v>2393.5</v>
      </c>
      <c r="F5259" t="s">
        <v>7</v>
      </c>
    </row>
    <row r="5260" spans="1:6">
      <c r="A5260" t="s">
        <v>55</v>
      </c>
      <c r="B5260" t="s">
        <v>22</v>
      </c>
      <c r="C5260">
        <v>2045</v>
      </c>
      <c r="D5260" t="s">
        <v>10</v>
      </c>
      <c r="E5260">
        <v>104.9</v>
      </c>
      <c r="F5260" t="s">
        <v>11</v>
      </c>
    </row>
    <row r="5261" spans="1:6">
      <c r="A5261" t="s">
        <v>55</v>
      </c>
      <c r="B5261" t="s">
        <v>23</v>
      </c>
      <c r="C5261">
        <v>2045</v>
      </c>
      <c r="D5261" t="s">
        <v>9</v>
      </c>
      <c r="E5261">
        <v>2273.8000000000002</v>
      </c>
      <c r="F5261" t="s">
        <v>7</v>
      </c>
    </row>
    <row r="5262" spans="1:6">
      <c r="A5262" t="s">
        <v>55</v>
      </c>
      <c r="B5262" t="s">
        <v>23</v>
      </c>
      <c r="C5262">
        <v>2045</v>
      </c>
      <c r="D5262" t="s">
        <v>10</v>
      </c>
      <c r="E5262">
        <v>99.6</v>
      </c>
      <c r="F5262" t="s">
        <v>11</v>
      </c>
    </row>
    <row r="5263" spans="1:6">
      <c r="A5263" t="s">
        <v>55</v>
      </c>
      <c r="B5263" t="s">
        <v>24</v>
      </c>
      <c r="C5263">
        <v>2045</v>
      </c>
      <c r="D5263" t="s">
        <v>9</v>
      </c>
      <c r="E5263">
        <v>1495.9</v>
      </c>
      <c r="F5263" t="s">
        <v>7</v>
      </c>
    </row>
    <row r="5264" spans="1:6">
      <c r="A5264" t="s">
        <v>55</v>
      </c>
      <c r="B5264" t="s">
        <v>24</v>
      </c>
      <c r="C5264">
        <v>2045</v>
      </c>
      <c r="D5264" t="s">
        <v>10</v>
      </c>
      <c r="E5264">
        <v>65.599999999999994</v>
      </c>
      <c r="F5264" t="s">
        <v>11</v>
      </c>
    </row>
    <row r="5265" spans="1:6">
      <c r="A5265" t="s">
        <v>55</v>
      </c>
      <c r="B5265" t="s">
        <v>25</v>
      </c>
      <c r="C5265">
        <v>2045</v>
      </c>
      <c r="D5265" t="s">
        <v>9</v>
      </c>
      <c r="E5265">
        <v>1675.5</v>
      </c>
      <c r="F5265" t="s">
        <v>7</v>
      </c>
    </row>
    <row r="5266" spans="1:6">
      <c r="A5266" t="s">
        <v>55</v>
      </c>
      <c r="B5266" t="s">
        <v>25</v>
      </c>
      <c r="C5266">
        <v>2045</v>
      </c>
      <c r="D5266" t="s">
        <v>10</v>
      </c>
      <c r="E5266">
        <v>73.400000000000006</v>
      </c>
      <c r="F5266" t="s">
        <v>11</v>
      </c>
    </row>
    <row r="5267" spans="1:6">
      <c r="A5267" t="s">
        <v>55</v>
      </c>
      <c r="B5267" t="s">
        <v>26</v>
      </c>
      <c r="C5267">
        <v>2045</v>
      </c>
      <c r="D5267" t="s">
        <v>9</v>
      </c>
      <c r="E5267">
        <v>2094.3000000000002</v>
      </c>
      <c r="F5267" t="s">
        <v>7</v>
      </c>
    </row>
    <row r="5268" spans="1:6">
      <c r="A5268" t="s">
        <v>55</v>
      </c>
      <c r="B5268" t="s">
        <v>26</v>
      </c>
      <c r="C5268">
        <v>2045</v>
      </c>
      <c r="D5268" t="s">
        <v>10</v>
      </c>
      <c r="E5268">
        <v>91.8</v>
      </c>
      <c r="F5268" t="s">
        <v>11</v>
      </c>
    </row>
    <row r="5269" spans="1:6">
      <c r="A5269" t="s">
        <v>55</v>
      </c>
      <c r="B5269" t="s">
        <v>27</v>
      </c>
      <c r="C5269">
        <v>2045</v>
      </c>
      <c r="D5269" t="s">
        <v>9</v>
      </c>
      <c r="E5269">
        <v>2393.5</v>
      </c>
      <c r="F5269" t="s">
        <v>7</v>
      </c>
    </row>
    <row r="5270" spans="1:6">
      <c r="A5270" t="s">
        <v>55</v>
      </c>
      <c r="B5270" t="s">
        <v>27</v>
      </c>
      <c r="C5270">
        <v>2045</v>
      </c>
      <c r="D5270" t="s">
        <v>10</v>
      </c>
      <c r="E5270">
        <v>104.9</v>
      </c>
      <c r="F5270" t="s">
        <v>11</v>
      </c>
    </row>
    <row r="5271" spans="1:6">
      <c r="A5271" t="s">
        <v>55</v>
      </c>
      <c r="B5271" t="s">
        <v>28</v>
      </c>
      <c r="C5271">
        <v>2045</v>
      </c>
      <c r="D5271" t="s">
        <v>9</v>
      </c>
      <c r="E5271">
        <v>2393.5</v>
      </c>
      <c r="F5271" t="s">
        <v>7</v>
      </c>
    </row>
    <row r="5272" spans="1:6">
      <c r="A5272" t="s">
        <v>55</v>
      </c>
      <c r="B5272" t="s">
        <v>28</v>
      </c>
      <c r="C5272">
        <v>2045</v>
      </c>
      <c r="D5272" t="s">
        <v>10</v>
      </c>
      <c r="E5272">
        <v>104.9</v>
      </c>
      <c r="F5272" t="s">
        <v>11</v>
      </c>
    </row>
    <row r="5273" spans="1:6">
      <c r="A5273" t="s">
        <v>55</v>
      </c>
      <c r="B5273" t="s">
        <v>20</v>
      </c>
      <c r="C5273">
        <v>2050</v>
      </c>
      <c r="D5273" t="s">
        <v>6</v>
      </c>
      <c r="E5273">
        <v>4884.6000000000004</v>
      </c>
      <c r="F5273" t="s">
        <v>7</v>
      </c>
    </row>
    <row r="5274" spans="1:6">
      <c r="A5274" t="s">
        <v>55</v>
      </c>
      <c r="B5274" t="s">
        <v>20</v>
      </c>
      <c r="C5274">
        <v>2050</v>
      </c>
      <c r="D5274" t="s">
        <v>10</v>
      </c>
      <c r="E5274">
        <v>136</v>
      </c>
      <c r="F5274" t="s">
        <v>11</v>
      </c>
    </row>
    <row r="5275" spans="1:6">
      <c r="A5275" t="s">
        <v>55</v>
      </c>
      <c r="B5275" t="s">
        <v>20</v>
      </c>
      <c r="C5275">
        <v>2050</v>
      </c>
      <c r="D5275" t="s">
        <v>164</v>
      </c>
      <c r="E5275">
        <v>0.72199999999999998</v>
      </c>
      <c r="F5275" t="s">
        <v>166</v>
      </c>
    </row>
    <row r="5276" spans="1:6">
      <c r="A5276" t="s">
        <v>55</v>
      </c>
      <c r="B5276" t="s">
        <v>21</v>
      </c>
      <c r="C5276">
        <v>2050</v>
      </c>
      <c r="D5276" t="s">
        <v>6</v>
      </c>
      <c r="E5276">
        <v>4884.6000000000004</v>
      </c>
      <c r="F5276" t="s">
        <v>7</v>
      </c>
    </row>
    <row r="5277" spans="1:6">
      <c r="A5277" t="s">
        <v>55</v>
      </c>
      <c r="B5277" t="s">
        <v>21</v>
      </c>
      <c r="C5277">
        <v>2050</v>
      </c>
      <c r="D5277" t="s">
        <v>10</v>
      </c>
      <c r="E5277">
        <v>136</v>
      </c>
      <c r="F5277" t="s">
        <v>11</v>
      </c>
    </row>
    <row r="5278" spans="1:6">
      <c r="A5278" t="s">
        <v>55</v>
      </c>
      <c r="B5278" t="s">
        <v>21</v>
      </c>
      <c r="C5278">
        <v>2050</v>
      </c>
      <c r="D5278" t="s">
        <v>164</v>
      </c>
      <c r="E5278">
        <v>0.72199999999999998</v>
      </c>
      <c r="F5278" t="s">
        <v>166</v>
      </c>
    </row>
    <row r="5279" spans="1:6">
      <c r="A5279" t="s">
        <v>55</v>
      </c>
      <c r="B5279" t="s">
        <v>22</v>
      </c>
      <c r="C5279">
        <v>2050</v>
      </c>
      <c r="D5279" t="s">
        <v>6</v>
      </c>
      <c r="E5279">
        <v>4341.8999999999996</v>
      </c>
      <c r="F5279" t="s">
        <v>7</v>
      </c>
    </row>
    <row r="5280" spans="1:6">
      <c r="A5280" t="s">
        <v>55</v>
      </c>
      <c r="B5280" t="s">
        <v>22</v>
      </c>
      <c r="C5280">
        <v>2050</v>
      </c>
      <c r="D5280" t="s">
        <v>10</v>
      </c>
      <c r="E5280">
        <v>120.9</v>
      </c>
      <c r="F5280" t="s">
        <v>11</v>
      </c>
    </row>
    <row r="5281" spans="1:6">
      <c r="A5281" t="s">
        <v>55</v>
      </c>
      <c r="B5281" t="s">
        <v>22</v>
      </c>
      <c r="C5281">
        <v>2050</v>
      </c>
      <c r="D5281" t="s">
        <v>164</v>
      </c>
      <c r="E5281">
        <v>0.72199999999999998</v>
      </c>
      <c r="F5281" t="s">
        <v>166</v>
      </c>
    </row>
    <row r="5282" spans="1:6">
      <c r="A5282" t="s">
        <v>55</v>
      </c>
      <c r="B5282" t="s">
        <v>23</v>
      </c>
      <c r="C5282">
        <v>2050</v>
      </c>
      <c r="D5282" t="s">
        <v>6</v>
      </c>
      <c r="E5282">
        <v>4124.8</v>
      </c>
      <c r="F5282" t="s">
        <v>7</v>
      </c>
    </row>
    <row r="5283" spans="1:6">
      <c r="A5283" t="s">
        <v>55</v>
      </c>
      <c r="B5283" t="s">
        <v>23</v>
      </c>
      <c r="C5283">
        <v>2050</v>
      </c>
      <c r="D5283" t="s">
        <v>10</v>
      </c>
      <c r="E5283">
        <v>114.8</v>
      </c>
      <c r="F5283" t="s">
        <v>11</v>
      </c>
    </row>
    <row r="5284" spans="1:6">
      <c r="A5284" t="s">
        <v>55</v>
      </c>
      <c r="B5284" t="s">
        <v>23</v>
      </c>
      <c r="C5284">
        <v>2050</v>
      </c>
      <c r="D5284" t="s">
        <v>164</v>
      </c>
      <c r="E5284">
        <v>0.72199999999999998</v>
      </c>
      <c r="F5284" t="s">
        <v>166</v>
      </c>
    </row>
    <row r="5285" spans="1:6">
      <c r="A5285" t="s">
        <v>55</v>
      </c>
      <c r="B5285" t="s">
        <v>24</v>
      </c>
      <c r="C5285">
        <v>2050</v>
      </c>
      <c r="D5285" t="s">
        <v>6</v>
      </c>
      <c r="E5285">
        <v>2713.7</v>
      </c>
      <c r="F5285" t="s">
        <v>7</v>
      </c>
    </row>
    <row r="5286" spans="1:6">
      <c r="A5286" t="s">
        <v>55</v>
      </c>
      <c r="B5286" t="s">
        <v>24</v>
      </c>
      <c r="C5286">
        <v>2050</v>
      </c>
      <c r="D5286" t="s">
        <v>10</v>
      </c>
      <c r="E5286">
        <v>75.599999999999994</v>
      </c>
      <c r="F5286" t="s">
        <v>11</v>
      </c>
    </row>
    <row r="5287" spans="1:6">
      <c r="A5287" t="s">
        <v>55</v>
      </c>
      <c r="B5287" t="s">
        <v>24</v>
      </c>
      <c r="C5287">
        <v>2050</v>
      </c>
      <c r="D5287" t="s">
        <v>164</v>
      </c>
      <c r="E5287">
        <v>0.72199999999999998</v>
      </c>
      <c r="F5287" t="s">
        <v>166</v>
      </c>
    </row>
    <row r="5288" spans="1:6">
      <c r="A5288" t="s">
        <v>55</v>
      </c>
      <c r="B5288" t="s">
        <v>25</v>
      </c>
      <c r="C5288">
        <v>2050</v>
      </c>
      <c r="D5288" t="s">
        <v>6</v>
      </c>
      <c r="E5288">
        <v>3039.3</v>
      </c>
      <c r="F5288" t="s">
        <v>7</v>
      </c>
    </row>
    <row r="5289" spans="1:6">
      <c r="A5289" t="s">
        <v>55</v>
      </c>
      <c r="B5289" t="s">
        <v>25</v>
      </c>
      <c r="C5289">
        <v>2050</v>
      </c>
      <c r="D5289" t="s">
        <v>10</v>
      </c>
      <c r="E5289">
        <v>84.6</v>
      </c>
      <c r="F5289" t="s">
        <v>11</v>
      </c>
    </row>
    <row r="5290" spans="1:6">
      <c r="A5290" t="s">
        <v>55</v>
      </c>
      <c r="B5290" t="s">
        <v>25</v>
      </c>
      <c r="C5290">
        <v>2050</v>
      </c>
      <c r="D5290" t="s">
        <v>164</v>
      </c>
      <c r="E5290">
        <v>0.72199999999999998</v>
      </c>
      <c r="F5290" t="s">
        <v>166</v>
      </c>
    </row>
    <row r="5291" spans="1:6">
      <c r="A5291" t="s">
        <v>55</v>
      </c>
      <c r="B5291" t="s">
        <v>26</v>
      </c>
      <c r="C5291">
        <v>2050</v>
      </c>
      <c r="D5291" t="s">
        <v>6</v>
      </c>
      <c r="E5291">
        <v>3799.1</v>
      </c>
      <c r="F5291" t="s">
        <v>7</v>
      </c>
    </row>
    <row r="5292" spans="1:6">
      <c r="A5292" t="s">
        <v>55</v>
      </c>
      <c r="B5292" t="s">
        <v>26</v>
      </c>
      <c r="C5292">
        <v>2050</v>
      </c>
      <c r="D5292" t="s">
        <v>10</v>
      </c>
      <c r="E5292">
        <v>105.8</v>
      </c>
      <c r="F5292" t="s">
        <v>11</v>
      </c>
    </row>
    <row r="5293" spans="1:6">
      <c r="A5293" t="s">
        <v>55</v>
      </c>
      <c r="B5293" t="s">
        <v>26</v>
      </c>
      <c r="C5293">
        <v>2050</v>
      </c>
      <c r="D5293" t="s">
        <v>164</v>
      </c>
      <c r="E5293">
        <v>0.72199999999999998</v>
      </c>
      <c r="F5293" t="s">
        <v>166</v>
      </c>
    </row>
    <row r="5294" spans="1:6">
      <c r="A5294" t="s">
        <v>55</v>
      </c>
      <c r="B5294" t="s">
        <v>27</v>
      </c>
      <c r="C5294">
        <v>2050</v>
      </c>
      <c r="D5294" t="s">
        <v>6</v>
      </c>
      <c r="E5294">
        <v>4341.8999999999996</v>
      </c>
      <c r="F5294" t="s">
        <v>7</v>
      </c>
    </row>
    <row r="5295" spans="1:6">
      <c r="A5295" t="s">
        <v>55</v>
      </c>
      <c r="B5295" t="s">
        <v>27</v>
      </c>
      <c r="C5295">
        <v>2050</v>
      </c>
      <c r="D5295" t="s">
        <v>10</v>
      </c>
      <c r="E5295">
        <v>120.9</v>
      </c>
      <c r="F5295" t="s">
        <v>11</v>
      </c>
    </row>
    <row r="5296" spans="1:6">
      <c r="A5296" t="s">
        <v>55</v>
      </c>
      <c r="B5296" t="s">
        <v>27</v>
      </c>
      <c r="C5296">
        <v>2050</v>
      </c>
      <c r="D5296" t="s">
        <v>164</v>
      </c>
      <c r="E5296">
        <v>0.72199999999999998</v>
      </c>
      <c r="F5296" t="s">
        <v>166</v>
      </c>
    </row>
    <row r="5297" spans="1:6">
      <c r="A5297" t="s">
        <v>55</v>
      </c>
      <c r="B5297" t="s">
        <v>28</v>
      </c>
      <c r="C5297">
        <v>2050</v>
      </c>
      <c r="D5297" t="s">
        <v>6</v>
      </c>
      <c r="E5297">
        <v>4341.8999999999996</v>
      </c>
      <c r="F5297" t="s">
        <v>7</v>
      </c>
    </row>
    <row r="5298" spans="1:6">
      <c r="A5298" t="s">
        <v>55</v>
      </c>
      <c r="B5298" t="s">
        <v>28</v>
      </c>
      <c r="C5298">
        <v>2050</v>
      </c>
      <c r="D5298" t="s">
        <v>10</v>
      </c>
      <c r="E5298">
        <v>120.9</v>
      </c>
      <c r="F5298" t="s">
        <v>11</v>
      </c>
    </row>
    <row r="5299" spans="1:6">
      <c r="A5299" t="s">
        <v>55</v>
      </c>
      <c r="B5299" t="s">
        <v>28</v>
      </c>
      <c r="C5299">
        <v>2050</v>
      </c>
      <c r="D5299" t="s">
        <v>164</v>
      </c>
      <c r="E5299">
        <v>0.72199999999999998</v>
      </c>
      <c r="F5299" t="s">
        <v>166</v>
      </c>
    </row>
    <row r="5300" spans="1:6">
      <c r="A5300" t="s">
        <v>55</v>
      </c>
      <c r="B5300" t="s">
        <v>20</v>
      </c>
      <c r="C5300">
        <v>2050</v>
      </c>
      <c r="D5300" t="s">
        <v>8</v>
      </c>
      <c r="E5300">
        <v>7972.8</v>
      </c>
      <c r="F5300" t="s">
        <v>7</v>
      </c>
    </row>
    <row r="5301" spans="1:6">
      <c r="A5301" t="s">
        <v>55</v>
      </c>
      <c r="B5301" t="s">
        <v>20</v>
      </c>
      <c r="C5301">
        <v>2050</v>
      </c>
      <c r="D5301" t="s">
        <v>10</v>
      </c>
      <c r="E5301">
        <v>216</v>
      </c>
      <c r="F5301" t="s">
        <v>11</v>
      </c>
    </row>
    <row r="5302" spans="1:6">
      <c r="A5302" t="s">
        <v>55</v>
      </c>
      <c r="B5302" t="s">
        <v>21</v>
      </c>
      <c r="C5302">
        <v>2050</v>
      </c>
      <c r="D5302" t="s">
        <v>8</v>
      </c>
      <c r="E5302">
        <v>7972.8</v>
      </c>
      <c r="F5302" t="s">
        <v>7</v>
      </c>
    </row>
    <row r="5303" spans="1:6">
      <c r="A5303" t="s">
        <v>55</v>
      </c>
      <c r="B5303" t="s">
        <v>21</v>
      </c>
      <c r="C5303">
        <v>2050</v>
      </c>
      <c r="D5303" t="s">
        <v>10</v>
      </c>
      <c r="E5303">
        <v>216</v>
      </c>
      <c r="F5303" t="s">
        <v>11</v>
      </c>
    </row>
    <row r="5304" spans="1:6">
      <c r="A5304" t="s">
        <v>55</v>
      </c>
      <c r="B5304" t="s">
        <v>22</v>
      </c>
      <c r="C5304">
        <v>2050</v>
      </c>
      <c r="D5304" t="s">
        <v>8</v>
      </c>
      <c r="E5304">
        <v>7086.9</v>
      </c>
      <c r="F5304" t="s">
        <v>7</v>
      </c>
    </row>
    <row r="5305" spans="1:6">
      <c r="A5305" t="s">
        <v>55</v>
      </c>
      <c r="B5305" t="s">
        <v>22</v>
      </c>
      <c r="C5305">
        <v>2050</v>
      </c>
      <c r="D5305" t="s">
        <v>10</v>
      </c>
      <c r="E5305">
        <v>192</v>
      </c>
      <c r="F5305" t="s">
        <v>11</v>
      </c>
    </row>
    <row r="5306" spans="1:6">
      <c r="A5306" t="s">
        <v>55</v>
      </c>
      <c r="B5306" t="s">
        <v>23</v>
      </c>
      <c r="C5306">
        <v>2050</v>
      </c>
      <c r="D5306" t="s">
        <v>8</v>
      </c>
      <c r="E5306">
        <v>6732.6</v>
      </c>
      <c r="F5306" t="s">
        <v>7</v>
      </c>
    </row>
    <row r="5307" spans="1:6">
      <c r="A5307" t="s">
        <v>55</v>
      </c>
      <c r="B5307" t="s">
        <v>23</v>
      </c>
      <c r="C5307">
        <v>2050</v>
      </c>
      <c r="D5307" t="s">
        <v>10</v>
      </c>
      <c r="E5307">
        <v>182.4</v>
      </c>
      <c r="F5307" t="s">
        <v>11</v>
      </c>
    </row>
    <row r="5308" spans="1:6">
      <c r="A5308" t="s">
        <v>55</v>
      </c>
      <c r="B5308" t="s">
        <v>24</v>
      </c>
      <c r="C5308">
        <v>2050</v>
      </c>
      <c r="D5308" t="s">
        <v>8</v>
      </c>
      <c r="E5308">
        <v>4429.3</v>
      </c>
      <c r="F5308" t="s">
        <v>7</v>
      </c>
    </row>
    <row r="5309" spans="1:6">
      <c r="A5309" t="s">
        <v>55</v>
      </c>
      <c r="B5309" t="s">
        <v>24</v>
      </c>
      <c r="C5309">
        <v>2050</v>
      </c>
      <c r="D5309" t="s">
        <v>10</v>
      </c>
      <c r="E5309">
        <v>120</v>
      </c>
      <c r="F5309" t="s">
        <v>11</v>
      </c>
    </row>
    <row r="5310" spans="1:6">
      <c r="A5310" t="s">
        <v>55</v>
      </c>
      <c r="B5310" t="s">
        <v>25</v>
      </c>
      <c r="C5310">
        <v>2050</v>
      </c>
      <c r="D5310" t="s">
        <v>8</v>
      </c>
      <c r="E5310">
        <v>4960.8999999999996</v>
      </c>
      <c r="F5310" t="s">
        <v>7</v>
      </c>
    </row>
    <row r="5311" spans="1:6">
      <c r="A5311" t="s">
        <v>55</v>
      </c>
      <c r="B5311" t="s">
        <v>25</v>
      </c>
      <c r="C5311">
        <v>2050</v>
      </c>
      <c r="D5311" t="s">
        <v>10</v>
      </c>
      <c r="E5311">
        <v>134.4</v>
      </c>
      <c r="F5311" t="s">
        <v>11</v>
      </c>
    </row>
    <row r="5312" spans="1:6">
      <c r="A5312" t="s">
        <v>55</v>
      </c>
      <c r="B5312" t="s">
        <v>26</v>
      </c>
      <c r="C5312">
        <v>2050</v>
      </c>
      <c r="D5312" t="s">
        <v>8</v>
      </c>
      <c r="E5312">
        <v>6201.1</v>
      </c>
      <c r="F5312" t="s">
        <v>7</v>
      </c>
    </row>
    <row r="5313" spans="1:6">
      <c r="A5313" t="s">
        <v>55</v>
      </c>
      <c r="B5313" t="s">
        <v>26</v>
      </c>
      <c r="C5313">
        <v>2050</v>
      </c>
      <c r="D5313" t="s">
        <v>10</v>
      </c>
      <c r="E5313">
        <v>168</v>
      </c>
      <c r="F5313" t="s">
        <v>11</v>
      </c>
    </row>
    <row r="5314" spans="1:6">
      <c r="A5314" t="s">
        <v>55</v>
      </c>
      <c r="B5314" t="s">
        <v>27</v>
      </c>
      <c r="C5314">
        <v>2050</v>
      </c>
      <c r="D5314" t="s">
        <v>8</v>
      </c>
      <c r="E5314">
        <v>7086.9</v>
      </c>
      <c r="F5314" t="s">
        <v>7</v>
      </c>
    </row>
    <row r="5315" spans="1:6">
      <c r="A5315" t="s">
        <v>55</v>
      </c>
      <c r="B5315" t="s">
        <v>27</v>
      </c>
      <c r="C5315">
        <v>2050</v>
      </c>
      <c r="D5315" t="s">
        <v>10</v>
      </c>
      <c r="E5315">
        <v>192</v>
      </c>
      <c r="F5315" t="s">
        <v>11</v>
      </c>
    </row>
    <row r="5316" spans="1:6">
      <c r="A5316" t="s">
        <v>55</v>
      </c>
      <c r="B5316" t="s">
        <v>28</v>
      </c>
      <c r="C5316">
        <v>2050</v>
      </c>
      <c r="D5316" t="s">
        <v>8</v>
      </c>
      <c r="E5316">
        <v>7086.9</v>
      </c>
      <c r="F5316" t="s">
        <v>7</v>
      </c>
    </row>
    <row r="5317" spans="1:6">
      <c r="A5317" t="s">
        <v>55</v>
      </c>
      <c r="B5317" t="s">
        <v>28</v>
      </c>
      <c r="C5317">
        <v>2050</v>
      </c>
      <c r="D5317" t="s">
        <v>10</v>
      </c>
      <c r="E5317">
        <v>192</v>
      </c>
      <c r="F5317" t="s">
        <v>11</v>
      </c>
    </row>
    <row r="5318" spans="1:6">
      <c r="A5318" t="s">
        <v>55</v>
      </c>
      <c r="B5318" t="s">
        <v>20</v>
      </c>
      <c r="C5318">
        <v>2050</v>
      </c>
      <c r="D5318" t="s">
        <v>9</v>
      </c>
      <c r="E5318">
        <v>2406.3000000000002</v>
      </c>
      <c r="F5318" t="s">
        <v>7</v>
      </c>
    </row>
    <row r="5319" spans="1:6">
      <c r="A5319" t="s">
        <v>55</v>
      </c>
      <c r="B5319" t="s">
        <v>20</v>
      </c>
      <c r="C5319">
        <v>2050</v>
      </c>
      <c r="D5319" t="s">
        <v>10</v>
      </c>
      <c r="E5319">
        <v>118</v>
      </c>
      <c r="F5319" t="s">
        <v>11</v>
      </c>
    </row>
    <row r="5320" spans="1:6">
      <c r="A5320" t="s">
        <v>55</v>
      </c>
      <c r="B5320" t="s">
        <v>21</v>
      </c>
      <c r="C5320">
        <v>2050</v>
      </c>
      <c r="D5320" t="s">
        <v>9</v>
      </c>
      <c r="E5320">
        <v>2406.3000000000002</v>
      </c>
      <c r="F5320" t="s">
        <v>7</v>
      </c>
    </row>
    <row r="5321" spans="1:6">
      <c r="A5321" t="s">
        <v>55</v>
      </c>
      <c r="B5321" t="s">
        <v>21</v>
      </c>
      <c r="C5321">
        <v>2050</v>
      </c>
      <c r="D5321" t="s">
        <v>10</v>
      </c>
      <c r="E5321">
        <v>118</v>
      </c>
      <c r="F5321" t="s">
        <v>11</v>
      </c>
    </row>
    <row r="5322" spans="1:6">
      <c r="A5322" t="s">
        <v>55</v>
      </c>
      <c r="B5322" t="s">
        <v>22</v>
      </c>
      <c r="C5322">
        <v>2050</v>
      </c>
      <c r="D5322" t="s">
        <v>9</v>
      </c>
      <c r="E5322">
        <v>2138.9</v>
      </c>
      <c r="F5322" t="s">
        <v>7</v>
      </c>
    </row>
    <row r="5323" spans="1:6">
      <c r="A5323" t="s">
        <v>55</v>
      </c>
      <c r="B5323" t="s">
        <v>22</v>
      </c>
      <c r="C5323">
        <v>2050</v>
      </c>
      <c r="D5323" t="s">
        <v>10</v>
      </c>
      <c r="E5323">
        <v>104.9</v>
      </c>
      <c r="F5323" t="s">
        <v>11</v>
      </c>
    </row>
    <row r="5324" spans="1:6">
      <c r="A5324" t="s">
        <v>55</v>
      </c>
      <c r="B5324" t="s">
        <v>23</v>
      </c>
      <c r="C5324">
        <v>2050</v>
      </c>
      <c r="D5324" t="s">
        <v>9</v>
      </c>
      <c r="E5324">
        <v>2032</v>
      </c>
      <c r="F5324" t="s">
        <v>7</v>
      </c>
    </row>
    <row r="5325" spans="1:6">
      <c r="A5325" t="s">
        <v>55</v>
      </c>
      <c r="B5325" t="s">
        <v>23</v>
      </c>
      <c r="C5325">
        <v>2050</v>
      </c>
      <c r="D5325" t="s">
        <v>10</v>
      </c>
      <c r="E5325">
        <v>99.6</v>
      </c>
      <c r="F5325" t="s">
        <v>11</v>
      </c>
    </row>
    <row r="5326" spans="1:6">
      <c r="A5326" t="s">
        <v>55</v>
      </c>
      <c r="B5326" t="s">
        <v>24</v>
      </c>
      <c r="C5326">
        <v>2050</v>
      </c>
      <c r="D5326" t="s">
        <v>9</v>
      </c>
      <c r="E5326">
        <v>1336.8</v>
      </c>
      <c r="F5326" t="s">
        <v>7</v>
      </c>
    </row>
    <row r="5327" spans="1:6">
      <c r="A5327" t="s">
        <v>55</v>
      </c>
      <c r="B5327" t="s">
        <v>24</v>
      </c>
      <c r="C5327">
        <v>2050</v>
      </c>
      <c r="D5327" t="s">
        <v>10</v>
      </c>
      <c r="E5327">
        <v>65.599999999999994</v>
      </c>
      <c r="F5327" t="s">
        <v>11</v>
      </c>
    </row>
    <row r="5328" spans="1:6">
      <c r="A5328" t="s">
        <v>55</v>
      </c>
      <c r="B5328" t="s">
        <v>25</v>
      </c>
      <c r="C5328">
        <v>2050</v>
      </c>
      <c r="D5328" t="s">
        <v>9</v>
      </c>
      <c r="E5328">
        <v>1497.3</v>
      </c>
      <c r="F5328" t="s">
        <v>7</v>
      </c>
    </row>
    <row r="5329" spans="1:6">
      <c r="A5329" t="s">
        <v>55</v>
      </c>
      <c r="B5329" t="s">
        <v>25</v>
      </c>
      <c r="C5329">
        <v>2050</v>
      </c>
      <c r="D5329" t="s">
        <v>10</v>
      </c>
      <c r="E5329">
        <v>73.400000000000006</v>
      </c>
      <c r="F5329" t="s">
        <v>11</v>
      </c>
    </row>
    <row r="5330" spans="1:6">
      <c r="A5330" t="s">
        <v>55</v>
      </c>
      <c r="B5330" t="s">
        <v>26</v>
      </c>
      <c r="C5330">
        <v>2050</v>
      </c>
      <c r="D5330" t="s">
        <v>9</v>
      </c>
      <c r="E5330">
        <v>1871.6</v>
      </c>
      <c r="F5330" t="s">
        <v>7</v>
      </c>
    </row>
    <row r="5331" spans="1:6">
      <c r="A5331" t="s">
        <v>55</v>
      </c>
      <c r="B5331" t="s">
        <v>26</v>
      </c>
      <c r="C5331">
        <v>2050</v>
      </c>
      <c r="D5331" t="s">
        <v>10</v>
      </c>
      <c r="E5331">
        <v>91.8</v>
      </c>
      <c r="F5331" t="s">
        <v>11</v>
      </c>
    </row>
    <row r="5332" spans="1:6">
      <c r="A5332" t="s">
        <v>55</v>
      </c>
      <c r="B5332" t="s">
        <v>27</v>
      </c>
      <c r="C5332">
        <v>2050</v>
      </c>
      <c r="D5332" t="s">
        <v>9</v>
      </c>
      <c r="E5332">
        <v>2138.9</v>
      </c>
      <c r="F5332" t="s">
        <v>7</v>
      </c>
    </row>
    <row r="5333" spans="1:6">
      <c r="A5333" t="s">
        <v>55</v>
      </c>
      <c r="B5333" t="s">
        <v>27</v>
      </c>
      <c r="C5333">
        <v>2050</v>
      </c>
      <c r="D5333" t="s">
        <v>10</v>
      </c>
      <c r="E5333">
        <v>104.9</v>
      </c>
      <c r="F5333" t="s">
        <v>11</v>
      </c>
    </row>
    <row r="5334" spans="1:6">
      <c r="A5334" t="s">
        <v>55</v>
      </c>
      <c r="B5334" t="s">
        <v>28</v>
      </c>
      <c r="C5334">
        <v>2050</v>
      </c>
      <c r="D5334" t="s">
        <v>9</v>
      </c>
      <c r="E5334">
        <v>2138.9</v>
      </c>
      <c r="F5334" t="s">
        <v>7</v>
      </c>
    </row>
    <row r="5335" spans="1:6">
      <c r="A5335" t="s">
        <v>55</v>
      </c>
      <c r="B5335" t="s">
        <v>28</v>
      </c>
      <c r="C5335">
        <v>2050</v>
      </c>
      <c r="D5335" t="s">
        <v>10</v>
      </c>
      <c r="E5335">
        <v>104.9</v>
      </c>
      <c r="F533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veda - techs</vt:lpstr>
      <vt:lpstr>veda - data</vt:lpstr>
      <vt:lpstr>ELC_CO2 Transport and Storage</vt:lpstr>
      <vt:lpstr>pivot</vt:lpstr>
      <vt:lpstr>unified_reference_costs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Kanudia</cp:lastModifiedBy>
  <dcterms:created xsi:type="dcterms:W3CDTF">2026-02-21T07:55:51Z</dcterms:created>
  <dcterms:modified xsi:type="dcterms:W3CDTF">2026-06-07T14:50:33Z</dcterms:modified>
</cp:coreProperties>
</file>